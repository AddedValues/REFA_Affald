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8AF85CB5-9F14-4406-B8C3-AFB062C5B298}" xr6:coauthVersionLast="47" xr6:coauthVersionMax="47" xr10:uidLastSave="{00000000-0000-0000-0000-000000000000}"/>
  <bookViews>
    <workbookView xWindow="1020" yWindow="-120" windowWidth="27900" windowHeight="18240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KapacUdnyttelse" sheetId="10" r:id="rId6"/>
  </sheets>
  <definedNames>
    <definedName name="_xlpm.mo" hidden="1" xlm="1">#NAME?</definedName>
    <definedName name="InSchedule">Inputs!$B$3:$F$6</definedName>
    <definedName name="lookupFuelName">Lister!$B$3:$C$31</definedName>
    <definedName name="PerDataFirst">Inputs!$C$6</definedName>
    <definedName name="PerDataLast">Inputs!$D$6</definedName>
    <definedName name="PerSlut">Inputs!$F$6</definedName>
    <definedName name="PerStart">Inputs!$E$6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" i="4" l="1"/>
  <c r="A21" i="4"/>
  <c r="A22" i="4"/>
  <c r="A23" i="4"/>
  <c r="A24" i="4"/>
  <c r="A26" i="4"/>
  <c r="A27" i="4"/>
  <c r="A28" i="4"/>
  <c r="A29" i="4"/>
  <c r="A30" i="4"/>
  <c r="A31" i="4"/>
  <c r="A32" i="4"/>
  <c r="A11" i="4"/>
  <c r="A12" i="4"/>
  <c r="A13" i="4"/>
  <c r="A14" i="4"/>
  <c r="A15" i="4"/>
  <c r="A16" i="4"/>
  <c r="A17" i="4"/>
  <c r="A18" i="4"/>
  <c r="A19" i="4"/>
  <c r="A10" i="4"/>
  <c r="A7" i="4"/>
  <c r="A9" i="4"/>
  <c r="A8" i="4"/>
  <c r="C2" i="4" l="1"/>
  <c r="D5" i="4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Y5" i="4" s="1"/>
  <c r="Z5" i="4" s="1"/>
  <c r="AA5" i="4" s="1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S2" i="6"/>
  <c r="T2" i="6"/>
  <c r="U2" i="6"/>
  <c r="V2" i="6"/>
  <c r="W2" i="6"/>
  <c r="X2" i="6"/>
  <c r="Y2" i="6"/>
  <c r="Z2" i="6"/>
  <c r="AA2" i="6"/>
  <c r="AB2" i="6"/>
  <c r="AC2" i="6"/>
  <c r="R2" i="6"/>
  <c r="A66" i="4"/>
  <c r="A67" i="4"/>
  <c r="A68" i="4"/>
  <c r="A92" i="4" l="1"/>
  <c r="A93" i="4"/>
  <c r="A94" i="4"/>
  <c r="A58" i="4"/>
  <c r="A59" i="4"/>
  <c r="A60" i="4"/>
  <c r="A61" i="4"/>
  <c r="A62" i="4"/>
  <c r="A63" i="4"/>
  <c r="A100" i="4"/>
  <c r="A99" i="4"/>
  <c r="A98" i="4"/>
  <c r="A97" i="4"/>
  <c r="A96" i="4"/>
  <c r="A95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57" i="4"/>
  <c r="A64" i="4"/>
  <c r="A65" i="4"/>
  <c r="A69" i="4"/>
  <c r="A70" i="4"/>
  <c r="A71" i="4"/>
  <c r="A35" i="4"/>
  <c r="A36" i="4"/>
  <c r="A37" i="4"/>
  <c r="A38" i="4"/>
  <c r="A39" i="4"/>
  <c r="A40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1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40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<sst xmlns="http://schemas.openxmlformats.org/spreadsheetml/2006/main" count="754" uniqueCount="168">
  <si>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</si>
  <si>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</si>
  <si>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</si>
  <si>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</si>
  <si>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</si>
  <si>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</si>
  <si>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</si>
  <si>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</si>
  <si>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</si>
  <si>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</si>
  <si>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</si>
  <si>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</si>
  <si>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</si>
  <si>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</si>
  <si>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</si>
  <si>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</si>
  <si>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</si>
  <si>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</si>
  <si>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</si>
  <si>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</si>
  <si>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</si>
  <si>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</si>
  <si>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</si>
  <si>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aktiv</t>
  </si>
  <si>
    <t>kapRgk</t>
  </si>
  <si>
    <t>etaq</t>
  </si>
  <si>
    <t>DV</t>
  </si>
  <si>
    <t>ovn2</t>
  </si>
  <si>
    <t>ovn3</t>
  </si>
  <si>
    <t>flisk</t>
  </si>
  <si>
    <t>peak</t>
  </si>
  <si>
    <t>cooler</t>
  </si>
  <si>
    <t>Prognoser</t>
  </si>
  <si>
    <t>ELprod</t>
  </si>
  <si>
    <t>fkind</t>
  </si>
  <si>
    <t>pris</t>
  </si>
  <si>
    <t>brandv</t>
  </si>
  <si>
    <t>max</t>
  </si>
  <si>
    <t>DataFuel</t>
  </si>
  <si>
    <t>kapTon</t>
  </si>
  <si>
    <t>kapNom</t>
  </si>
  <si>
    <t>DataU</t>
  </si>
  <si>
    <t>PeakFuel</t>
  </si>
  <si>
    <t>NyAff1</t>
  </si>
  <si>
    <t>NyAff2</t>
  </si>
  <si>
    <t>bortskaffes</t>
  </si>
  <si>
    <t>Kapacitetsudnyttelse</t>
  </si>
  <si>
    <t>FJV-behov</t>
  </si>
  <si>
    <t>minLhv</t>
  </si>
  <si>
    <t>minTonnage</t>
  </si>
  <si>
    <t>maxTonnage</t>
  </si>
  <si>
    <t>co2andel</t>
  </si>
  <si>
    <t>min</t>
  </si>
  <si>
    <t>lagerbar</t>
  </si>
  <si>
    <t>fri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</si>
  <si>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</si>
  <si>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</si>
  <si>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</si>
  <si>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</si>
  <si>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</si>
  <si>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</si>
  <si>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</si>
  <si>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</si>
  <si>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</si>
  <si>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</si>
  <si>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</si>
  <si>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</si>
  <si>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</si>
  <si>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</si>
  <si>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</si>
  <si>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</si>
  <si>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</si>
  <si>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</si>
  <si>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</si>
  <si>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</si>
  <si>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</si>
  <si>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</si>
  <si>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</si>
  <si>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</si>
  <si>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</si>
  <si>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</si>
  <si>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</si>
  <si>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</si>
  <si>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</si>
  <si>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Braendselsforbrug</t>
  </si>
  <si>
    <t>Braendselsindkomst</t>
  </si>
  <si>
    <t>ukind</t>
  </si>
  <si>
    <t>prioritet</t>
  </si>
  <si>
    <t>Elpris</t>
  </si>
  <si>
    <t>Schedule</t>
  </si>
  <si>
    <t>FuelBounds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</si>
  <si>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</si>
  <si>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</si>
  <si>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</si>
  <si>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</si>
  <si>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</si>
  <si>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</si>
  <si>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</si>
  <si>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mo0</t>
  </si>
  <si>
    <t>Enhed</t>
  </si>
  <si>
    <t>Overblik nøgletal</t>
  </si>
  <si>
    <t>aar</t>
  </si>
  <si>
    <t>maaned</t>
  </si>
  <si>
    <t>dato</t>
  </si>
  <si>
    <t>firstYear</t>
  </si>
  <si>
    <t>lastYear</t>
  </si>
  <si>
    <t>firstPeriod</t>
  </si>
  <si>
    <t>lastPeriod</t>
  </si>
  <si>
    <t>NS</t>
  </si>
  <si>
    <t>kapMax</t>
  </si>
  <si>
    <t>aux</t>
  </si>
  <si>
    <t>Ndage</t>
  </si>
  <si>
    <t>Varmebehov</t>
  </si>
  <si>
    <t>NS-prod</t>
  </si>
  <si>
    <t>ETS</t>
  </si>
  <si>
    <t>AFV</t>
  </si>
  <si>
    <t>ATL</t>
  </si>
  <si>
    <t>lhv</t>
  </si>
  <si>
    <t>Overblik</t>
  </si>
  <si>
    <t>Varmemaengder</t>
  </si>
  <si>
    <t>REFA-AnlaegsVarOmk</t>
  </si>
  <si>
    <t>REFA-BraendselOmk</t>
  </si>
  <si>
    <t>REFA-Afgifter</t>
  </si>
  <si>
    <t>REFA-CO2-Emission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</si>
  <si>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</si>
  <si>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</si>
  <si>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</si>
  <si>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</si>
  <si>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</si>
  <si>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</si>
  <si>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</si>
  <si>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</si>
  <si>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</si>
  <si>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</si>
  <si>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</si>
  <si>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</si>
  <si>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</si>
  <si>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</si>
  <si>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</si>
  <si>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Var-Varmeproduktions-Omk-Total</t>
  </si>
  <si>
    <t>Var-Varmeproduktions-Omk-REFA</t>
  </si>
  <si>
    <t>Tidsstempel</t>
  </si>
  <si>
    <t>REFA-El-produktion</t>
  </si>
  <si>
    <t>REFA-Modtryk-Varme</t>
  </si>
  <si>
    <t>REFA-RGK-Varme</t>
  </si>
  <si>
    <t>REFA-RGK-Andel</t>
  </si>
  <si>
    <t>GSF-Total-Varme-Produktion</t>
  </si>
  <si>
    <t>NPV_REFA</t>
  </si>
  <si>
    <t>NPV Total</t>
  </si>
  <si>
    <t>CO2aff</t>
  </si>
  <si>
    <t>NOxAff</t>
  </si>
  <si>
    <t>NOxFlis</t>
  </si>
  <si>
    <t>CO2peak</t>
  </si>
  <si>
    <t>NOxPeak</t>
  </si>
  <si>
    <t>EnrPeak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</si>
  <si>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</si>
  <si>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</si>
  <si>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</si>
  <si>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</si>
  <si>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</si>
  <si>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</si>
  <si>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</si>
  <si>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</si>
  <si>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</si>
  <si>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co2Potentiale</t>
  </si>
  <si>
    <t>mo1</t>
  </si>
  <si>
    <t>mo2</t>
  </si>
  <si>
    <t>mo3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</si>
</sst>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0.000"/>
    <numFmt numFmtId="170" formatCode="0.0"/>
    <numFmt numFmtId="171" formatCode="yyyy\ mmm\ dd\ hh:mm;@"/>
    <numFmt numFmtId="172" formatCode="_-#,##0,\ ;\-#,##0,\ ;_-* &quot;-&quot;??\ _k_r_._-;_-@_-"/>
    <numFmt numFmtId="173" formatCode="_-#,##0,_-;\-#,##0,_-;_-* &quot;-&quot;??_-;_-@_-"/>
    <numFmt numFmtId="174" formatCode="yy\'mmm"/>
    <numFmt numFmtId="175" formatCode="00"/>
    <numFmt numFmtId="176" formatCode="0.0\ %\ "/>
    <numFmt numFmtId="177" formatCode="0\ %\ 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108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5" fillId="0" borderId="0" xfId="0" applyFont="1"/>
    <xf numFmtId="3" fontId="6" fillId="0" borderId="0" xfId="0" applyNumberFormat="1" applyFont="1"/>
    <xf numFmtId="0" fontId="7" fillId="0" borderId="0" xfId="0" applyFont="1"/>
    <xf numFmtId="3" fontId="8" fillId="0" borderId="0" xfId="0" applyNumberFormat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0" fontId="0" fillId="0" borderId="1" xfId="0" applyBorder="1" applyAlignment="1">
      <alignment horizontal="center"/>
    </xf>
    <xf numFmtId="166" fontId="0" fillId="0" borderId="1" xfId="1" applyNumberFormat="1" applyFont="1" applyBorder="1"/>
    <xf numFmtId="0" fontId="2" fillId="2" borderId="2" xfId="0" applyFont="1" applyFill="1" applyBorder="1" applyAlignment="1">
      <alignment horizontal="center"/>
    </xf>
    <xf numFmtId="0" fontId="2" fillId="2" borderId="2" xfId="0" quotePrefix="1" applyFont="1" applyFill="1" applyBorder="1" applyAlignment="1">
      <alignment horizontal="center"/>
    </xf>
    <xf numFmtId="172" fontId="0" fillId="0" borderId="1" xfId="1" applyNumberFormat="1" applyFont="1" applyBorder="1"/>
    <xf numFmtId="173" fontId="0" fillId="0" borderId="0" xfId="1" applyNumberFormat="1" applyFont="1"/>
    <xf numFmtId="0" fontId="2" fillId="2" borderId="2" xfId="0" applyFont="1" applyFill="1" applyBorder="1" applyAlignment="1">
      <alignment horizontal="left" indent="1"/>
    </xf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11" fillId="0" borderId="0" xfId="0" applyFont="1"/>
    <xf numFmtId="0" fontId="11" fillId="0" borderId="0" xfId="3" applyFont="1" applyFill="1"/>
    <xf numFmtId="0" fontId="11" fillId="0" borderId="0" xfId="0" applyFont="1" applyFill="1"/>
    <xf numFmtId="17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applyFont="1" applyFill="1" applyBorder="1"/>
    <xf numFmtId="0" fontId="2" fillId="2" borderId="1" xfId="0" quotePrefix="1" applyFont="1" applyFill="1" applyBorder="1" applyAlignment="1">
      <alignment horizontal="left" indent="1"/>
    </xf>
    <xf numFmtId="2" fontId="11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13" fillId="0" borderId="0" xfId="0" quotePrefix="1" applyFont="1"/>
    <xf numFmtId="0" fontId="13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5" fontId="0" fillId="0" borderId="0" xfId="0" applyNumberFormat="1" applyBorder="1" applyAlignment="1">
      <alignment horizontal="center"/>
    </xf>
    <xf numFmtId="175" fontId="0" fillId="0" borderId="4" xfId="0" applyNumberFormat="1" applyBorder="1" applyAlignment="1">
      <alignment horizontal="center"/>
    </xf>
    <xf numFmtId="174" fontId="0" fillId="0" borderId="6" xfId="0" applyNumberFormat="1" applyBorder="1" applyAlignment="1">
      <alignment horizontal="center"/>
    </xf>
    <xf numFmtId="174" fontId="0" fillId="0" borderId="7" xfId="0" applyNumberFormat="1" applyBorder="1" applyAlignment="1">
      <alignment horizontal="center"/>
    </xf>
    <xf numFmtId="0" fontId="2" fillId="0" borderId="3" xfId="0" quotePrefix="1" applyFont="1" applyBorder="1" applyAlignment="1">
      <alignment horizontal="right" indent="1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2" fillId="0" borderId="5" xfId="0" quotePrefix="1" applyFont="1" applyBorder="1" applyAlignment="1">
      <alignment horizontal="right" indent="1"/>
    </xf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0" fontId="0" fillId="0" borderId="8" xfId="0" applyBorder="1" applyAlignment="1">
      <alignment horizontal="center"/>
    </xf>
    <xf numFmtId="0" fontId="2" fillId="0" borderId="3" xfId="0" quotePrefix="1" applyFont="1" applyBorder="1"/>
    <xf numFmtId="0" fontId="2" fillId="0" borderId="5" xfId="0" quotePrefix="1" applyFont="1" applyBorder="1"/>
    <xf numFmtId="0" fontId="2" fillId="2" borderId="2" xfId="0" quotePrefix="1" applyFont="1" applyFill="1" applyBorder="1" applyAlignment="1">
      <alignment horizontal="left" indent="1"/>
    </xf>
    <xf numFmtId="176" fontId="0" fillId="0" borderId="0" xfId="2" applyNumberFormat="1" applyFont="1"/>
    <xf numFmtId="177" fontId="0" fillId="0" borderId="0" xfId="2" applyNumberFormat="1" applyFont="1"/>
    <xf numFmtId="173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172" fontId="0" fillId="0" borderId="0" xfId="1" applyNumberFormat="1" applyFont="1" applyBorder="1" applyAlignment="1">
      <alignment horizontal="left"/>
    </xf>
    <xf numFmtId="1" fontId="14" fillId="0" borderId="0" xfId="0" quotePrefix="1" applyNumberFormat="1" applyFont="1" applyFill="1" applyBorder="1" applyAlignment="1">
      <alignment horizontal="center"/>
    </xf>
    <xf numFmtId="0" fontId="2" fillId="2" borderId="9" xfId="0" quotePrefix="1" applyFont="1" applyFill="1" applyBorder="1"/>
    <xf numFmtId="0" fontId="2" fillId="2" borderId="10" xfId="0" quotePrefix="1" applyFont="1" applyFill="1" applyBorder="1" applyAlignment="1">
      <alignment horizontal="center"/>
    </xf>
    <xf numFmtId="174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4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171" fontId="0" fillId="0" borderId="12" xfId="0" applyNumberFormat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4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3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2" fillId="4" borderId="0" xfId="0" quotePrefix="1" applyFont="1" applyFill="1" applyAlignment="1">
      <alignment horizontal="left" indent="1"/>
    </xf>
    <xf numFmtId="173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11" fillId="0" borderId="0" xfId="0" quotePrefix="1" applyFont="1" applyBorder="1"/>
    <xf numFmtId="0" fontId="11" fillId="0" borderId="0" xfId="0" quotePrefix="1" applyFont="1" applyBorder="1" applyAlignment="1">
      <alignment horizontal="center"/>
    </xf>
    <xf numFmtId="164" fontId="11" fillId="0" borderId="0" xfId="1" applyNumberFormat="1" applyFont="1" applyBorder="1"/>
    <xf numFmtId="0" fontId="2" fillId="2" borderId="1" xfId="0" quotePrefix="1" applyFont="1" applyFill="1" applyBorder="1" applyAlignment="1">
      <alignment horizontal="center"/>
    </xf>
    <xf numFmtId="0" fontId="2" fillId="2" borderId="12" xfId="0" quotePrefix="1" applyFont="1" applyFill="1" applyBorder="1" applyAlignment="1">
      <alignment horizontal="center"/>
    </xf>
    <xf numFmtId="170" fontId="0" fillId="0" borderId="1" xfId="0" applyNumberFormat="1" applyBorder="1"/>
    <xf numFmtId="169" fontId="0" fillId="0" borderId="1" xfId="0" applyNumberFormat="1" applyBorder="1"/>
    <xf numFmtId="2" fontId="0" fillId="0" borderId="1" xfId="0" applyNumberFormat="1" applyBorder="1"/>
    <xf numFmtId="0" fontId="9" fillId="2" borderId="1" xfId="0" quotePrefix="1" applyFont="1" applyFill="1" applyBorder="1" applyAlignment="1">
      <alignment horizontal="center"/>
    </xf>
    <xf numFmtId="0" fontId="2" fillId="2" borderId="1" xfId="0" quotePrefix="1" applyFont="1" applyFill="1" applyBorder="1"/>
    <xf numFmtId="0" fontId="9" fillId="2" borderId="8" xfId="0" applyFont="1" applyFill="1" applyBorder="1"/>
    <xf numFmtId="0" fontId="9" fillId="2" borderId="8" xfId="0" applyFont="1" applyFill="1" applyBorder="1" applyAlignment="1">
      <alignment horizontal="center"/>
    </xf>
    <xf numFmtId="0" fontId="9" fillId="2" borderId="8" xfId="0" quotePrefix="1" applyFont="1" applyFill="1" applyBorder="1" applyAlignment="1">
      <alignment horizontal="center"/>
    </xf>
    <xf numFmtId="0" fontId="15" fillId="2" borderId="1" xfId="0" quotePrefix="1" applyFont="1" applyFill="1" applyBorder="1" applyAlignment="1">
      <alignment horizontal="center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42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Overblik!$C$35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Overblik!$D$35:$AA$35</c:f>
              <c:numCache>
                <c:formatCode>_-* #,##0_-;\-#,##0_-;_-* "-"??_-;_-@_-</c:formatCode>
                <c:ptCount val="24"/>
                <c:pt idx="0">
                  <c:v>763.42020327825298</c:v>
                </c:pt>
                <c:pt idx="1">
                  <c:v>2306.3368699449284</c:v>
                </c:pt>
                <c:pt idx="2">
                  <c:v>762.7140629273764</c:v>
                </c:pt>
                <c:pt idx="3">
                  <c:v>1055.3181389400058</c:v>
                </c:pt>
                <c:pt idx="4">
                  <c:v>5770.4453783117478</c:v>
                </c:pt>
                <c:pt idx="5">
                  <c:v>5590.8953783117477</c:v>
                </c:pt>
                <c:pt idx="6">
                  <c:v>1966.5</c:v>
                </c:pt>
                <c:pt idx="7">
                  <c:v>1966.5</c:v>
                </c:pt>
                <c:pt idx="8">
                  <c:v>5590.8953783117477</c:v>
                </c:pt>
                <c:pt idx="9">
                  <c:v>630.06813894000663</c:v>
                </c:pt>
                <c:pt idx="10">
                  <c:v>1277.4903787168491</c:v>
                </c:pt>
                <c:pt idx="11">
                  <c:v>762.7140629273764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Overblik!$C$36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Overblik!$D$36:$AA$36</c:f>
              <c:numCache>
                <c:formatCode>_-* #,##0_-;\-#,##0_-;_-* "-"??_-;_-@_-</c:formatCode>
                <c:ptCount val="24"/>
                <c:pt idx="0">
                  <c:v>17725.572121283149</c:v>
                </c:pt>
                <c:pt idx="1">
                  <c:v>16036.384621283149</c:v>
                </c:pt>
                <c:pt idx="2">
                  <c:v>17725.572121283145</c:v>
                </c:pt>
                <c:pt idx="3">
                  <c:v>17162.509621283149</c:v>
                </c:pt>
                <c:pt idx="4">
                  <c:v>8933.9988171850055</c:v>
                </c:pt>
                <c:pt idx="5">
                  <c:v>9128.5113171850062</c:v>
                </c:pt>
                <c:pt idx="6">
                  <c:v>13054.939643689399</c:v>
                </c:pt>
                <c:pt idx="7">
                  <c:v>13054.939643689395</c:v>
                </c:pt>
                <c:pt idx="8">
                  <c:v>9128.5113171850062</c:v>
                </c:pt>
                <c:pt idx="9">
                  <c:v>17725.572121283145</c:v>
                </c:pt>
                <c:pt idx="10">
                  <c:v>17162.509621283152</c:v>
                </c:pt>
                <c:pt idx="11">
                  <c:v>17725.572121283145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Overblik!$C$37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Overblik!$D$37:$AA$37</c:f>
              <c:numCache>
                <c:formatCode>_-* #,##0_-;\-#,##0_-;_-* "-"??_-;_-@_-</c:formatCode>
                <c:ptCount val="24"/>
                <c:pt idx="0">
                  <c:v>7812</c:v>
                </c:pt>
                <c:pt idx="1">
                  <c:v>7056</c:v>
                </c:pt>
                <c:pt idx="2">
                  <c:v>7812</c:v>
                </c:pt>
                <c:pt idx="3">
                  <c:v>1782.1722397768463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1344.3597397768499</c:v>
                </c:pt>
                <c:pt idx="10">
                  <c:v>7560</c:v>
                </c:pt>
                <c:pt idx="11">
                  <c:v>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Overblik!$C$38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Overblik!$D$38:$AA$38</c:f>
              <c:numCache>
                <c:formatCode>_-* #,##0_-;\-#,##0_-;_-*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Overblik!$C$39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Overblik!$D$39:$AA$39</c:f>
              <c:numCache>
                <c:formatCode>_-* #,##0_-;\-#,##0_-;_-* "-"??_-;_-@_-</c:formatCode>
                <c:ptCount val="24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-1704.4441954967533</c:v>
                </c:pt>
                <c:pt idx="5">
                  <c:v>-7219.4066954967539</c:v>
                </c:pt>
                <c:pt idx="6">
                  <c:v>-7521.4396436893985</c:v>
                </c:pt>
                <c:pt idx="7">
                  <c:v>-8021.4396436893949</c:v>
                </c:pt>
                <c:pt idx="8">
                  <c:v>-6719.4066954967539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Overblik!$C$40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Overblik!$D$40:$AA$40</c:f>
              <c:numCache>
                <c:formatCode>_-* #,##0_-;\-#,##0_-;_-* "-"??_-;_-@_-</c:formatCode>
                <c:ptCount val="24"/>
                <c:pt idx="0">
                  <c:v>4999.0076754385991</c:v>
                </c:pt>
                <c:pt idx="1">
                  <c:v>6601.278508771924</c:v>
                </c:pt>
                <c:pt idx="2">
                  <c:v>3199.7138157894769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1099.7138157894769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Overblik!$C$20</c:f>
              <c:strCache>
                <c:ptCount val="1"/>
                <c:pt idx="0">
                  <c:v>REFA-CO2-Emission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Overblik!$D$34:$O$34</c:f>
              <c:strCache>
                <c:ptCount val="12"/>
                <c:pt idx="0">
                  <c:v>mo1</c:v>
                </c:pt>
                <c:pt idx="1">
                  <c:v>mo2</c:v>
                </c:pt>
                <c:pt idx="2">
                  <c:v>mo3</c:v>
                </c:pt>
                <c:pt idx="3">
                  <c:v>mo4</c:v>
                </c:pt>
                <c:pt idx="4">
                  <c:v>mo5</c:v>
                </c:pt>
                <c:pt idx="5">
                  <c:v>mo6</c:v>
                </c:pt>
                <c:pt idx="6">
                  <c:v>mo7</c:v>
                </c:pt>
                <c:pt idx="7">
                  <c:v>mo8</c:v>
                </c:pt>
                <c:pt idx="8">
                  <c:v>mo9</c:v>
                </c:pt>
                <c:pt idx="9">
                  <c:v>mo10</c:v>
                </c:pt>
                <c:pt idx="10">
                  <c:v>mo11</c:v>
                </c:pt>
                <c:pt idx="11">
                  <c:v>mo12</c:v>
                </c:pt>
              </c:strCache>
            </c:strRef>
          </c:cat>
          <c:val>
            <c:numRef>
              <c:f>Overblik!$D$20:$AA$20</c:f>
              <c:numCache>
                <c:formatCode>_-* #,##0_-;\-* #,##0_-;_-* "-"??_-;_-@_-</c:formatCode>
                <c:ptCount val="24"/>
                <c:pt idx="0">
                  <c:v>2590.1295</c:v>
                </c:pt>
                <c:pt idx="1">
                  <c:v>2589.8705000000018</c:v>
                </c:pt>
                <c:pt idx="2">
                  <c:v>2590</c:v>
                </c:pt>
                <c:pt idx="3">
                  <c:v>2590</c:v>
                </c:pt>
                <c:pt idx="4">
                  <c:v>2590</c:v>
                </c:pt>
                <c:pt idx="5">
                  <c:v>2590</c:v>
                </c:pt>
                <c:pt idx="6">
                  <c:v>2590</c:v>
                </c:pt>
                <c:pt idx="7">
                  <c:v>2589.9999999999991</c:v>
                </c:pt>
                <c:pt idx="8">
                  <c:v>2590</c:v>
                </c:pt>
                <c:pt idx="9">
                  <c:v>2590</c:v>
                </c:pt>
                <c:pt idx="10">
                  <c:v>2590</c:v>
                </c:pt>
                <c:pt idx="11">
                  <c:v>2590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dateAx>
        <c:axId val="40864386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Offset val="100"/>
        <c:baseTimeUnit val="months"/>
      </c:date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Overblik!$C$42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Overblik!$D$42:$AA$42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Overblik!$C$43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Overblik!$D$43:$AA$43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Overblik!$C$44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Overblik!$D$44:$AA$44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Overblik!$C$45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Overblik!$D$45:$AA$45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Overblik!$C$46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Overblik!$D$46:$AA$46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Overblik!$C$47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Overblik!$D$47:$AA$47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Overblik!$C$48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Overblik!$D$48:$AA$48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Overblik!$C$49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Overblik!$D$49:$AA$49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Overblik!$C$50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Overblik!$D$50:$AA$50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Overblik!$C$51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Overblik!$D$51:$AA$51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Overblik!$C$52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Overblik!$D$52:$AA$52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Overblik!$C$53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Overblik!$D$53:$AA$53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Overblik!$C$54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Overblik!$D$54:$AA$54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Overblik!$C$55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Overblik!$D$55:$AA$55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Overblik!$C$56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Overblik!$D$56:$AA$56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Overblik!$C$57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Overblik!$D$57:$AA$57</c:f>
              <c:numCache>
                <c:formatCode>_-* #,##0_-;\-* #,##0_-;_-* "-"??_-;_-@_-</c:formatCode>
                <c:ptCount val="24"/>
                <c:pt idx="0">
                  <c:v>3333.666666666667</c:v>
                </c:pt>
                <c:pt idx="1">
                  <c:v>3333.0000000000041</c:v>
                </c:pt>
                <c:pt idx="2">
                  <c:v>3333.3333333333335</c:v>
                </c:pt>
                <c:pt idx="3">
                  <c:v>3333.3333333333335</c:v>
                </c:pt>
                <c:pt idx="4">
                  <c:v>3333.3333333333335</c:v>
                </c:pt>
                <c:pt idx="5">
                  <c:v>3333.3333333333335</c:v>
                </c:pt>
                <c:pt idx="6">
                  <c:v>3333.3333333333335</c:v>
                </c:pt>
                <c:pt idx="7">
                  <c:v>3333.3333333333335</c:v>
                </c:pt>
                <c:pt idx="8">
                  <c:v>3333.3333333333335</c:v>
                </c:pt>
                <c:pt idx="9">
                  <c:v>3333.3333333333335</c:v>
                </c:pt>
                <c:pt idx="10">
                  <c:v>3333.3333333333335</c:v>
                </c:pt>
                <c:pt idx="11">
                  <c:v>3333.3333333333335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Overblik!$C$58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Overblik!$C$59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Overblik!$D$59:$AA$59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Overblik!$C$60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Overblik!$D$60:$AA$60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Overblik!$C$61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Overblik!$D$61:$AA$61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Overblik!$C$62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Overblik!$D$62:$AA$62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Overblik!$C$63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Overblik!$D$63:$AA$63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Overblik!$C$64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Overblik!$D$64:$AA$64</c:f>
              <c:numCache>
                <c:formatCode>_-* #,##0_-;\-* #,##0_-;_-* "-"??_-;_-@_-</c:formatCode>
                <c:ptCount val="24"/>
                <c:pt idx="0">
                  <c:v>1226.3722698704792</c:v>
                </c:pt>
                <c:pt idx="1">
                  <c:v>1226.3722698704792</c:v>
                </c:pt>
                <c:pt idx="2">
                  <c:v>1226.3722698704792</c:v>
                </c:pt>
                <c:pt idx="3">
                  <c:v>1226.3722698704792</c:v>
                </c:pt>
                <c:pt idx="4">
                  <c:v>1226.3722698704792</c:v>
                </c:pt>
                <c:pt idx="5">
                  <c:v>1226.3722698704792</c:v>
                </c:pt>
                <c:pt idx="6">
                  <c:v>1226.3722698704792</c:v>
                </c:pt>
                <c:pt idx="7">
                  <c:v>1226.3722698704792</c:v>
                </c:pt>
                <c:pt idx="8">
                  <c:v>1226.3722698704792</c:v>
                </c:pt>
                <c:pt idx="9">
                  <c:v>1226.3722698704792</c:v>
                </c:pt>
                <c:pt idx="10">
                  <c:v>1226.3722698704792</c:v>
                </c:pt>
                <c:pt idx="11">
                  <c:v>1226.3722698704792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Overblik!$C$65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Overblik!$D$65:$AA$65</c:f>
              <c:numCache>
                <c:formatCode>_-* #,##0_-;\-* #,##0_-;_-* "-"??_-;_-@_-</c:formatCode>
                <c:ptCount val="24"/>
                <c:pt idx="0">
                  <c:v>3333.3333333333335</c:v>
                </c:pt>
                <c:pt idx="1">
                  <c:v>3333.3333333333339</c:v>
                </c:pt>
                <c:pt idx="2">
                  <c:v>3333.3333333333335</c:v>
                </c:pt>
                <c:pt idx="3">
                  <c:v>3333.3333333333335</c:v>
                </c:pt>
                <c:pt idx="4">
                  <c:v>3333.3333333333335</c:v>
                </c:pt>
                <c:pt idx="5">
                  <c:v>3333.3333333333335</c:v>
                </c:pt>
                <c:pt idx="6">
                  <c:v>3333.3333333333335</c:v>
                </c:pt>
                <c:pt idx="7">
                  <c:v>3333.3333333333308</c:v>
                </c:pt>
                <c:pt idx="8">
                  <c:v>3333.3333333333335</c:v>
                </c:pt>
                <c:pt idx="9">
                  <c:v>3333.3333333333335</c:v>
                </c:pt>
                <c:pt idx="10">
                  <c:v>3333.3333333333335</c:v>
                </c:pt>
                <c:pt idx="11">
                  <c:v>3333.3333333333335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Overblik!$C$66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Overblik!$D$66:$AA$66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Overblik!$C$67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Overblik!$D$67:$AA$67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Overblik!$C$68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Overblik!$D$68:$AA$68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Overblik!$C$69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Overblik!$D$69:$AA$69</c:f>
              <c:numCache>
                <c:formatCode>_-* #,##0_-;\-* #,##0_-;_-* "-"??_-;_-@_-</c:formatCode>
                <c:ptCount val="24"/>
                <c:pt idx="0">
                  <c:v>3519.7997496871085</c:v>
                </c:pt>
                <c:pt idx="1">
                  <c:v>3179.1739674593241</c:v>
                </c:pt>
                <c:pt idx="2">
                  <c:v>3519.7997496871085</c:v>
                </c:pt>
                <c:pt idx="3">
                  <c:v>802.9812344426341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605.71903168919391</c:v>
                </c:pt>
                <c:pt idx="10">
                  <c:v>3406.257822277847</c:v>
                </c:pt>
                <c:pt idx="11">
                  <c:v>3519.7997496871085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Overblik!$C$70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Overblik!$D$70:$AA$70</c:f>
              <c:numCache>
                <c:formatCode>_-* #,##0_-;\-* 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Overblik!$C$71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Overblik!$D$71:$AA$71</c:f>
              <c:numCache>
                <c:formatCode>_-* #,##0_-;\-* #,##0_-;_-* "-"??_-;_-@_-</c:formatCode>
                <c:ptCount val="24"/>
                <c:pt idx="0">
                  <c:v>409.00971889952172</c:v>
                </c:pt>
                <c:pt idx="1">
                  <c:v>540.1046052631574</c:v>
                </c:pt>
                <c:pt idx="2">
                  <c:v>261.79476674641171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89.976584928229926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dateAx>
        <c:axId val="90370178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Offset val="100"/>
        <c:baseTimeUnit val="months"/>
      </c:date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Overblik!$C$107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Overblik!$D$107:$AA$107</c:f>
              <c:numCache>
                <c:formatCode>0\ %\ </c:formatCode>
                <c:ptCount val="24"/>
                <c:pt idx="0">
                  <c:v>8.9226297718355885E-2</c:v>
                </c:pt>
                <c:pt idx="1">
                  <c:v>0.29843903596595867</c:v>
                </c:pt>
                <c:pt idx="2">
                  <c:v>8.9143766120544227E-2</c:v>
                </c:pt>
                <c:pt idx="3">
                  <c:v>0.12745388151449347</c:v>
                </c:pt>
                <c:pt idx="4">
                  <c:v>0.67443260616079337</c:v>
                </c:pt>
                <c:pt idx="5">
                  <c:v>0.67522891042412414</c:v>
                </c:pt>
                <c:pt idx="6">
                  <c:v>0.71250000000000002</c:v>
                </c:pt>
                <c:pt idx="7">
                  <c:v>0.71250000000000002</c:v>
                </c:pt>
                <c:pt idx="8">
                  <c:v>0.67522891042412414</c:v>
                </c:pt>
                <c:pt idx="9">
                  <c:v>7.3640502447406109E-2</c:v>
                </c:pt>
                <c:pt idx="10">
                  <c:v>0.15428627762280786</c:v>
                </c:pt>
                <c:pt idx="11">
                  <c:v>8.9143766120544227E-2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Overblik!$C$108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Overblik!$D$108:$AA$108</c:f>
              <c:numCache>
                <c:formatCode>0\ %\ </c:formatCode>
                <c:ptCount val="24"/>
                <c:pt idx="0">
                  <c:v>0.86635249859643937</c:v>
                </c:pt>
                <c:pt idx="1">
                  <c:v>0.86776973058891493</c:v>
                </c:pt>
                <c:pt idx="2">
                  <c:v>0.86635249859643915</c:v>
                </c:pt>
                <c:pt idx="3">
                  <c:v>0.86679341521632058</c:v>
                </c:pt>
                <c:pt idx="4">
                  <c:v>0.43665683368450664</c:v>
                </c:pt>
                <c:pt idx="5">
                  <c:v>0.46103592511035385</c:v>
                </c:pt>
                <c:pt idx="6">
                  <c:v>0.63807134133379273</c:v>
                </c:pt>
                <c:pt idx="7">
                  <c:v>0.63807134133379251</c:v>
                </c:pt>
                <c:pt idx="8">
                  <c:v>0.46103592511035385</c:v>
                </c:pt>
                <c:pt idx="9">
                  <c:v>0.86635249859643915</c:v>
                </c:pt>
                <c:pt idx="10">
                  <c:v>0.86679341521632081</c:v>
                </c:pt>
                <c:pt idx="11">
                  <c:v>0.86635249859643915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Overblik!$C$109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Overblik!$D$109:$AA$109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0.2357370687535511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0.17208906039130184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Overblik!$C$110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Overblik!$D$110:$AA$110</c:f>
              <c:numCache>
                <c:formatCode>0\ %\ </c:formatCode>
                <c:ptCount val="24"/>
                <c:pt idx="0">
                  <c:v>1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Overblik!$C$111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Overblik!$D$111:$AA$111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0.15272797450687753</c:v>
                </c:pt>
                <c:pt idx="5">
                  <c:v>0.66846358291636609</c:v>
                </c:pt>
                <c:pt idx="6">
                  <c:v>0.67396412577861997</c:v>
                </c:pt>
                <c:pt idx="7">
                  <c:v>0.71876699316213211</c:v>
                </c:pt>
                <c:pt idx="8">
                  <c:v>0.62216728662006981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Overblik!$C$112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Overblik!$D$112:$AA$112</c:f>
              <c:numCache>
                <c:formatCode>0\ %\ </c:formatCode>
                <c:ptCount val="24"/>
                <c:pt idx="0">
                  <c:v>6.7190963379551064E-2</c:v>
                </c:pt>
                <c:pt idx="1">
                  <c:v>9.8233311142439342E-2</c:v>
                </c:pt>
                <c:pt idx="2">
                  <c:v>4.300690612620265E-2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1.4781099674589744E-2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4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26" bestFit="1" customWidth="1"/>
    <col min="3" max="3" width="32.85546875" bestFit="1" customWidth="1"/>
    <col min="4" max="4" width="14.5703125" bestFit="1" customWidth="1"/>
  </cols>
  <sheetData>
    <row r="2" spans="2:4" x14ac:dyDescent="0.25">
      <c r="B2" s="27" t="s">
        <v>80</v>
      </c>
    </row>
    <row r="3" spans="2:4" x14ac:dyDescent="0.25">
      <c r="B3" s="28" t="s">
        <v>0</v>
      </c>
      <c r="C3" s="28" t="s">
        <v>56</v>
      </c>
      <c r="D3" s="28" t="s">
        <v>0</v>
      </c>
    </row>
    <row r="4" spans="2:4" x14ac:dyDescent="0.25">
      <c r="B4" s="29" t="s">
        <v>1</v>
      </c>
      <c r="C4" s="28" t="s">
        <v>57</v>
      </c>
      <c r="D4" s="29" t="s">
        <v>1</v>
      </c>
    </row>
    <row r="5" spans="2:4" x14ac:dyDescent="0.25">
      <c r="B5" s="29" t="s">
        <v>2</v>
      </c>
      <c r="C5" s="28" t="s">
        <v>58</v>
      </c>
      <c r="D5" s="29" t="s">
        <v>2</v>
      </c>
    </row>
    <row r="6" spans="2:4" x14ac:dyDescent="0.25">
      <c r="B6" s="30" t="s">
        <v>3</v>
      </c>
      <c r="C6" s="28" t="s">
        <v>59</v>
      </c>
      <c r="D6" s="30" t="s">
        <v>3</v>
      </c>
    </row>
    <row r="7" spans="2:4" x14ac:dyDescent="0.25">
      <c r="B7" s="30" t="s">
        <v>4</v>
      </c>
      <c r="C7" s="28" t="s">
        <v>60</v>
      </c>
      <c r="D7" s="30" t="s">
        <v>4</v>
      </c>
    </row>
    <row r="8" spans="2:4" x14ac:dyDescent="0.25">
      <c r="B8" s="30" t="s">
        <v>5</v>
      </c>
      <c r="C8" s="28" t="s">
        <v>61</v>
      </c>
      <c r="D8" s="30" t="s">
        <v>5</v>
      </c>
    </row>
    <row r="9" spans="2:4" x14ac:dyDescent="0.25">
      <c r="B9" s="30" t="s">
        <v>6</v>
      </c>
      <c r="C9" s="28" t="s">
        <v>62</v>
      </c>
      <c r="D9" s="30" t="s">
        <v>6</v>
      </c>
    </row>
    <row r="10" spans="2:4" x14ac:dyDescent="0.25">
      <c r="B10" s="30" t="s">
        <v>7</v>
      </c>
      <c r="C10" s="28" t="s">
        <v>63</v>
      </c>
      <c r="D10" s="30" t="s">
        <v>7</v>
      </c>
    </row>
    <row r="11" spans="2:4" x14ac:dyDescent="0.25">
      <c r="B11" s="30" t="s">
        <v>8</v>
      </c>
      <c r="C11" s="28" t="s">
        <v>64</v>
      </c>
      <c r="D11" s="30" t="s">
        <v>8</v>
      </c>
    </row>
    <row r="12" spans="2:4" x14ac:dyDescent="0.25">
      <c r="B12" s="30" t="s">
        <v>9</v>
      </c>
      <c r="C12" s="28" t="s">
        <v>65</v>
      </c>
      <c r="D12" s="30" t="s">
        <v>9</v>
      </c>
    </row>
    <row r="13" spans="2:4" x14ac:dyDescent="0.25">
      <c r="B13" s="30" t="s">
        <v>10</v>
      </c>
      <c r="C13" s="28" t="s">
        <v>66</v>
      </c>
      <c r="D13" s="30" t="s">
        <v>10</v>
      </c>
    </row>
    <row r="14" spans="2:4" x14ac:dyDescent="0.25">
      <c r="B14" s="30" t="s">
        <v>11</v>
      </c>
      <c r="C14" s="28" t="s">
        <v>67</v>
      </c>
      <c r="D14" s="30" t="s">
        <v>11</v>
      </c>
    </row>
    <row r="15" spans="2:4" x14ac:dyDescent="0.25">
      <c r="B15" s="29" t="s">
        <v>12</v>
      </c>
      <c r="C15" s="28" t="s">
        <v>68</v>
      </c>
      <c r="D15" s="29" t="s">
        <v>12</v>
      </c>
    </row>
    <row r="16" spans="2:4" x14ac:dyDescent="0.25">
      <c r="B16" s="30" t="s">
        <v>13</v>
      </c>
      <c r="C16" s="28" t="s">
        <v>69</v>
      </c>
      <c r="D16" s="30" t="s">
        <v>13</v>
      </c>
    </row>
    <row r="17" spans="2:4" x14ac:dyDescent="0.25">
      <c r="B17" s="30" t="s">
        <v>14</v>
      </c>
      <c r="C17" s="28" t="s">
        <v>70</v>
      </c>
      <c r="D17" s="30" t="s">
        <v>14</v>
      </c>
    </row>
    <row r="18" spans="2:4" x14ac:dyDescent="0.25">
      <c r="B18" s="30" t="s">
        <v>15</v>
      </c>
      <c r="C18" s="28" t="s">
        <v>71</v>
      </c>
      <c r="D18" s="30" t="s">
        <v>15</v>
      </c>
    </row>
    <row r="19" spans="2:4" x14ac:dyDescent="0.25">
      <c r="B19" s="29" t="s">
        <v>16</v>
      </c>
      <c r="C19" s="28" t="s">
        <v>72</v>
      </c>
      <c r="D19" s="29" t="s">
        <v>16</v>
      </c>
    </row>
    <row r="20" spans="2:4" x14ac:dyDescent="0.25">
      <c r="B20" s="29" t="s">
        <v>18</v>
      </c>
      <c r="C20" s="28" t="s">
        <v>73</v>
      </c>
      <c r="D20" s="29" t="s">
        <v>18</v>
      </c>
    </row>
    <row r="21" spans="2:4" x14ac:dyDescent="0.25">
      <c r="B21" s="30" t="s">
        <v>19</v>
      </c>
      <c r="C21" s="28" t="s">
        <v>74</v>
      </c>
      <c r="D21" s="30" t="s">
        <v>19</v>
      </c>
    </row>
    <row r="22" spans="2:4" x14ac:dyDescent="0.25">
      <c r="B22" s="28" t="s">
        <v>20</v>
      </c>
      <c r="C22" s="28" t="s">
        <v>75</v>
      </c>
      <c r="D22" s="28" t="s">
        <v>20</v>
      </c>
    </row>
    <row r="23" spans="2:4" x14ac:dyDescent="0.25">
      <c r="B23" s="28" t="s">
        <v>17</v>
      </c>
      <c r="C23" s="28" t="s">
        <v>76</v>
      </c>
      <c r="D23" s="28" t="s">
        <v>17</v>
      </c>
    </row>
    <row r="24" spans="2:4" x14ac:dyDescent="0.25">
      <c r="B24" s="28" t="s">
        <v>43</v>
      </c>
      <c r="C24" s="28" t="s">
        <v>77</v>
      </c>
      <c r="D24" s="28" t="s">
        <v>43</v>
      </c>
    </row>
    <row r="25" spans="2:4" x14ac:dyDescent="0.25">
      <c r="B25" s="28" t="s">
        <v>44</v>
      </c>
      <c r="C25" s="28" t="s">
        <v>78</v>
      </c>
      <c r="D25" s="28" t="s">
        <v>44</v>
      </c>
    </row>
    <row r="26" spans="2:4" s="26" customFormat="1" x14ac:dyDescent="0.25">
      <c r="B26" s="28" t="s">
        <v>91</v>
      </c>
      <c r="C26" s="28" t="s">
        <v>95</v>
      </c>
      <c r="D26" s="28" t="s">
        <v>91</v>
      </c>
    </row>
    <row r="27" spans="2:4" s="26" customFormat="1" x14ac:dyDescent="0.25">
      <c r="B27" s="28" t="s">
        <v>92</v>
      </c>
      <c r="C27" s="28" t="s">
        <v>96</v>
      </c>
      <c r="D27" s="28" t="s">
        <v>92</v>
      </c>
    </row>
    <row r="28" spans="2:4" s="26" customFormat="1" x14ac:dyDescent="0.25">
      <c r="B28" s="28" t="s">
        <v>93</v>
      </c>
      <c r="C28" s="28" t="s">
        <v>97</v>
      </c>
      <c r="D28" s="28" t="s">
        <v>93</v>
      </c>
    </row>
    <row r="29" spans="2:4" x14ac:dyDescent="0.25">
      <c r="B29" s="28" t="s">
        <v>21</v>
      </c>
      <c r="C29" s="28" t="s">
        <v>21</v>
      </c>
      <c r="D29" s="28" t="s">
        <v>21</v>
      </c>
    </row>
    <row r="30" spans="2:4" x14ac:dyDescent="0.25">
      <c r="B30" s="28" t="s">
        <v>22</v>
      </c>
      <c r="C30" s="28" t="s">
        <v>79</v>
      </c>
      <c r="D30" s="28" t="s">
        <v>22</v>
      </c>
    </row>
    <row r="31" spans="2:4" x14ac:dyDescent="0.25">
      <c r="B31" s="28" t="s">
        <v>42</v>
      </c>
      <c r="C31" s="28" t="s">
        <v>42</v>
      </c>
      <c r="D31" s="28" t="s">
        <v>42</v>
      </c>
    </row>
  </sheetData>
  <phoneticPr fontId="1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A177"/>
  <sheetViews>
    <sheetView zoomScale="85" zoomScaleNormal="85" workbookViewId="0">
      <selection activeCell="P24" sqref="P24"/>
    </sheetView>
  </sheetViews>
  <sheetFormatPr defaultRowHeight="15" outlineLevelCol="1" x14ac:dyDescent="0.25"/>
  <cols>
    <col min="1" max="1" width="3.140625" customWidth="1"/>
    <col min="2" max="2" width="14.5703125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8.7109375" customWidth="1" outlineLevel="1"/>
    <col min="8" max="8" width="12.28515625" customWidth="1" outlineLevel="1"/>
    <col min="9" max="9" width="12.28515625" bestFit="1" customWidth="1" outlineLevel="1"/>
    <col min="10" max="10" width="12" bestFit="1" customWidth="1" outlineLevel="1"/>
    <col min="11" max="11" width="12.28515625" bestFit="1" customWidth="1" outlineLevel="1"/>
    <col min="12" max="12" width="10.28515625" customWidth="1" outlineLevel="1"/>
    <col min="13" max="13" width="10.28515625" style="26" customWidth="1" outlineLevel="1"/>
    <col min="14" max="14" width="3.85546875" style="26" customWidth="1" outlineLevel="1"/>
    <col min="15" max="15" width="4" style="33" customWidth="1"/>
    <col min="16" max="16" width="16.42578125" style="26" bestFit="1" customWidth="1"/>
    <col min="17" max="17" width="10.42578125" style="26" customWidth="1"/>
    <col min="18" max="18" width="9.7109375" customWidth="1"/>
    <col min="19" max="23" width="9.7109375" customWidth="1" outlineLevel="1"/>
    <col min="24" max="29" width="10.42578125" customWidth="1" outlineLevel="1"/>
    <col min="30" max="30" width="10.42578125" customWidth="1"/>
    <col min="31" max="31" width="10.42578125" customWidth="1" outlineLevel="1"/>
    <col min="32" max="41" width="11.42578125" customWidth="1" outlineLevel="1"/>
    <col min="42" max="42" width="11.42578125" customWidth="1"/>
    <col min="43" max="53" width="11.42578125" customWidth="1" outlineLevel="1"/>
  </cols>
  <sheetData>
    <row r="1" spans="2:53" x14ac:dyDescent="0.25">
      <c r="H1" s="39"/>
      <c r="P1"/>
      <c r="Q1"/>
      <c r="R1" s="26"/>
    </row>
    <row r="2" spans="2:53" x14ac:dyDescent="0.25">
      <c r="P2"/>
      <c r="Q2"/>
      <c r="R2" s="31">
        <f>IF(ISBLANK(R$3),"",_xlfn.LET(_xlpm.mo,MID(R$3,3,4),DATE(YEAR(Inputs!$E$6),_xlpm.mo,1)))</f>
        <v>44562</v>
      </c>
      <c r="S2" s="31">
        <f>IF(ISBLANK(S$3),"",_xlfn.LET(_xlpm.mo,MID(S$3,3,4),DATE(YEAR(Inputs!$E$6),_xlpm.mo,1)))</f>
        <v>44593</v>
      </c>
      <c r="T2" s="31">
        <f>IF(ISBLANK(T$3),"",_xlfn.LET(_xlpm.mo,MID(T$3,3,4),DATE(YEAR(Inputs!$E$6),_xlpm.mo,1)))</f>
        <v>44621</v>
      </c>
      <c r="U2" s="31">
        <f>IF(ISBLANK(U$3),"",_xlfn.LET(_xlpm.mo,MID(U$3,3,4),DATE(YEAR(Inputs!$E$6),_xlpm.mo,1)))</f>
        <v>44652</v>
      </c>
      <c r="V2" s="31">
        <f>IF(ISBLANK(V$3),"",_xlfn.LET(_xlpm.mo,MID(V$3,3,4),DATE(YEAR(Inputs!$E$6),_xlpm.mo,1)))</f>
        <v>44682</v>
      </c>
      <c r="W2" s="31">
        <f>IF(ISBLANK(W$3),"",_xlfn.LET(_xlpm.mo,MID(W$3,3,4),DATE(YEAR(Inputs!$E$6),_xlpm.mo,1)))</f>
        <v>44713</v>
      </c>
      <c r="X2" s="31">
        <f>IF(ISBLANK(X$3),"",_xlfn.LET(_xlpm.mo,MID(X$3,3,4),DATE(YEAR(Inputs!$E$6),_xlpm.mo,1)))</f>
        <v>44743</v>
      </c>
      <c r="Y2" s="31">
        <f>IF(ISBLANK(Y$3),"",_xlfn.LET(_xlpm.mo,MID(Y$3,3,4),DATE(YEAR(Inputs!$E$6),_xlpm.mo,1)))</f>
        <v>44774</v>
      </c>
      <c r="Z2" s="31">
        <f>IF(ISBLANK(Z$3),"",_xlfn.LET(_xlpm.mo,MID(Z$3,3,4),DATE(YEAR(Inputs!$E$6),_xlpm.mo,1)))</f>
        <v>44805</v>
      </c>
      <c r="AA2" s="31">
        <f>IF(ISBLANK(AA$3),"",_xlfn.LET(_xlpm.mo,MID(AA$3,3,4),DATE(YEAR(Inputs!$E$6),_xlpm.mo,1)))</f>
        <v>44835</v>
      </c>
      <c r="AB2" s="31">
        <f>IF(ISBLANK(AB$3),"",_xlfn.LET(_xlpm.mo,MID(AB$3,3,4),DATE(YEAR(Inputs!$E$6),_xlpm.mo,1)))</f>
        <v>44866</v>
      </c>
      <c r="AC2" s="31">
        <f>IF(ISBLANK(AC$3),"",_xlfn.LET(_xlpm.mo,MID(AC$3,3,4),DATE(YEAR(Inputs!$E$6),_xlpm.mo,1)))</f>
        <v>44896</v>
      </c>
      <c r="AD2" s="31" t="str">
        <f>IF(ISBLANK(AD$3),"",_xlfn.LET(_xlpm.mo,MID(AD$3,3,4),DATE(YEAR(Inputs!$E$6),_xlpm.mo,1)))</f>
        <v/>
      </c>
      <c r="AE2" s="31" t="str">
        <f>IF(ISBLANK(AE$3),"",_xlfn.LET(_xlpm.mo,MID(AE$3,3,4),DATE(YEAR(Inputs!$E$6),_xlpm.mo,1)))</f>
        <v/>
      </c>
      <c r="AF2" s="31" t="str">
        <f>IF(ISBLANK(AF$3),"",_xlfn.LET(_xlpm.mo,MID(AF$3,3,4),DATE(YEAR(Inputs!$E$6),_xlpm.mo,1)))</f>
        <v/>
      </c>
      <c r="AG2" s="31" t="str">
        <f>IF(ISBLANK(AG$3),"",_xlfn.LET(_xlpm.mo,MID(AG$3,3,4),DATE(YEAR(Inputs!$E$6),_xlpm.mo,1)))</f>
        <v/>
      </c>
      <c r="AH2" s="31" t="str">
        <f>IF(ISBLANK(AH$3),"",_xlfn.LET(_xlpm.mo,MID(AH$3,3,4),DATE(YEAR(Inputs!$E$6),_xlpm.mo,1)))</f>
        <v/>
      </c>
      <c r="AI2" s="31" t="str">
        <f>IF(ISBLANK(AI$3),"",_xlfn.LET(_xlpm.mo,MID(AI$3,3,4),DATE(YEAR(Inputs!$E$6),_xlpm.mo,1)))</f>
        <v/>
      </c>
      <c r="AJ2" s="31" t="str">
        <f>IF(ISBLANK(AJ$3),"",_xlfn.LET(_xlpm.mo,MID(AJ$3,3,4),DATE(YEAR(Inputs!$E$6),_xlpm.mo,1)))</f>
        <v/>
      </c>
      <c r="AK2" s="31" t="str">
        <f>IF(ISBLANK(AK$3),"",_xlfn.LET(_xlpm.mo,MID(AK$3,3,4),DATE(YEAR(Inputs!$E$6),_xlpm.mo,1)))</f>
        <v/>
      </c>
      <c r="AL2" s="31" t="str">
        <f>IF(ISBLANK(AL$3),"",_xlfn.LET(_xlpm.mo,MID(AL$3,3,4),DATE(YEAR(Inputs!$E$6),_xlpm.mo,1)))</f>
        <v/>
      </c>
      <c r="AM2" s="31" t="str">
        <f>IF(ISBLANK(AM$3),"",_xlfn.LET(_xlpm.mo,MID(AM$3,3,4),DATE(YEAR(Inputs!$E$6),_xlpm.mo,1)))</f>
        <v/>
      </c>
      <c r="AN2" s="31" t="str">
        <f>IF(ISBLANK(AN$3),"",_xlfn.LET(_xlpm.mo,MID(AN$3,3,4),DATE(YEAR(Inputs!$E$6),_xlpm.mo,1)))</f>
        <v/>
      </c>
      <c r="AO2" s="31" t="str">
        <f>IF(ISBLANK(AO$3),"",_xlfn.LET(_xlpm.mo,MID(AO$3,3,4),DATE(YEAR(Inputs!$E$6),_xlpm.mo,1)))</f>
        <v/>
      </c>
      <c r="AP2" s="31" t="str">
        <f>IF(ISBLANK(AP$3),"",_xlfn.LET(_xlpm.mo,MID(AP$3,3,4),DATE(YEAR(Inputs!$E$6),_xlpm.mo,1)))</f>
        <v/>
      </c>
      <c r="AQ2" s="31" t="str">
        <f>IF(ISBLANK(AQ$3),"",_xlfn.LET(_xlpm.mo,MID(AQ$3,3,4),DATE(YEAR(Inputs!$E$6),_xlpm.mo,1)))</f>
        <v/>
      </c>
      <c r="AR2" s="31" t="str">
        <f>IF(ISBLANK(AR$3),"",_xlfn.LET(_xlpm.mo,MID(AR$3,3,4),DATE(YEAR(Inputs!$E$6),_xlpm.mo,1)))</f>
        <v/>
      </c>
      <c r="AS2" s="31" t="str">
        <f>IF(ISBLANK(AS$3),"",_xlfn.LET(_xlpm.mo,MID(AS$3,3,4),DATE(YEAR(Inputs!$E$6),_xlpm.mo,1)))</f>
        <v/>
      </c>
      <c r="AT2" s="31" t="str">
        <f>IF(ISBLANK(AT$3),"",_xlfn.LET(_xlpm.mo,MID(AT$3,3,4),DATE(YEAR(Inputs!$E$6),_xlpm.mo,1)))</f>
        <v/>
      </c>
      <c r="AU2" s="31" t="str">
        <f>IF(ISBLANK(AU$3),"",_xlfn.LET(_xlpm.mo,MID(AU$3,3,4),DATE(YEAR(Inputs!$E$6),_xlpm.mo,1)))</f>
        <v/>
      </c>
      <c r="AV2" s="31" t="str">
        <f>IF(ISBLANK(AV$3),"",_xlfn.LET(_xlpm.mo,MID(AV$3,3,4),DATE(YEAR(Inputs!$E$6),_xlpm.mo,1)))</f>
        <v/>
      </c>
      <c r="AW2" s="31" t="str">
        <f>IF(ISBLANK(AW$3),"",_xlfn.LET(_xlpm.mo,MID(AW$3,3,4),DATE(YEAR(Inputs!$E$6),_xlpm.mo,1)))</f>
        <v/>
      </c>
      <c r="AX2" s="31" t="str">
        <f>IF(ISBLANK(AX$3),"",_xlfn.LET(_xlpm.mo,MID(AX$3,3,4),DATE(YEAR(Inputs!$E$6),_xlpm.mo,1)))</f>
        <v/>
      </c>
      <c r="AY2" s="31" t="str">
        <f>IF(ISBLANK(AY$3),"",_xlfn.LET(_xlpm.mo,MID(AY$3,3,4),DATE(YEAR(Inputs!$E$6),_xlpm.mo,1)))</f>
        <v/>
      </c>
      <c r="AZ2" s="31" t="str">
        <f>IF(ISBLANK(AZ$3),"",_xlfn.LET(_xlpm.mo,MID(AZ$3,3,4),DATE(YEAR(Inputs!$E$6),_xlpm.mo,1)))</f>
        <v/>
      </c>
      <c r="BA2" s="31" t="str">
        <f>IF(ISBLANK(BA$3),"",_xlfn.LET(_xlpm.mo,MID(BA$3,3,4),DATE(YEAR(Inputs!$E$6),_xlpm.mo,1)))</f>
        <v/>
      </c>
    </row>
    <row r="3" spans="2:53" x14ac:dyDescent="0.25">
      <c r="B3" s="34" t="s">
        <v>89</v>
      </c>
      <c r="C3" s="103" t="s">
        <v>104</v>
      </c>
      <c r="D3" s="103" t="s">
        <v>105</v>
      </c>
      <c r="E3" s="103" t="s">
        <v>106</v>
      </c>
      <c r="F3" s="103" t="s">
        <v>107</v>
      </c>
      <c r="P3" s="34" t="s">
        <v>32</v>
      </c>
      <c r="Q3" s="107" t="s">
        <v>98</v>
      </c>
      <c r="R3" s="97" t="s">
        <v>165</v>
      </c>
      <c r="S3" s="97" t="s">
        <v>166</v>
      </c>
      <c r="T3" s="97" t="s">
        <v>167</v>
      </c>
      <c r="U3" s="97" t="s">
        <v>155</v>
      </c>
      <c r="V3" s="97" t="s">
        <v>156</v>
      </c>
      <c r="W3" s="97" t="s">
        <v>157</v>
      </c>
      <c r="X3" s="97" t="s">
        <v>158</v>
      </c>
      <c r="Y3" s="97" t="s">
        <v>159</v>
      </c>
      <c r="Z3" s="97" t="s">
        <v>160</v>
      </c>
      <c r="AA3" s="97" t="s">
        <v>161</v>
      </c>
      <c r="AB3" s="97" t="s">
        <v>162</v>
      </c>
      <c r="AC3" s="97" t="s">
        <v>163</v>
      </c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7"/>
      <c r="BA3" s="97"/>
    </row>
    <row r="4" spans="2:53" x14ac:dyDescent="0.25">
      <c r="B4" s="62" t="s">
        <v>101</v>
      </c>
      <c r="C4" s="41">
        <v>2022</v>
      </c>
      <c r="D4" s="41">
        <v>2024</v>
      </c>
      <c r="E4" s="41">
        <v>2022</v>
      </c>
      <c r="F4" s="42">
        <v>2022</v>
      </c>
      <c r="H4" s="40"/>
      <c r="P4" s="35" t="s">
        <v>27</v>
      </c>
      <c r="Q4" s="73">
        <v>1E-14</v>
      </c>
      <c r="R4" s="2">
        <v>31</v>
      </c>
      <c r="S4" s="2">
        <v>28</v>
      </c>
      <c r="T4" s="2">
        <v>31</v>
      </c>
      <c r="U4" s="2">
        <v>30</v>
      </c>
      <c r="V4" s="2">
        <v>31</v>
      </c>
      <c r="W4" s="2">
        <v>30</v>
      </c>
      <c r="X4" s="2">
        <v>10</v>
      </c>
      <c r="Y4" s="2">
        <v>10</v>
      </c>
      <c r="Z4" s="2">
        <v>30</v>
      </c>
      <c r="AA4" s="2">
        <v>31</v>
      </c>
      <c r="AB4" s="2">
        <v>30</v>
      </c>
      <c r="AC4" s="2">
        <v>31</v>
      </c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</row>
    <row r="5" spans="2:53" x14ac:dyDescent="0.25">
      <c r="B5" s="62" t="s">
        <v>102</v>
      </c>
      <c r="C5" s="41"/>
      <c r="D5" s="41"/>
      <c r="E5" s="43">
        <v>1</v>
      </c>
      <c r="F5" s="44">
        <v>12</v>
      </c>
      <c r="P5" s="35" t="s">
        <v>28</v>
      </c>
      <c r="Q5" s="73">
        <v>1E-14</v>
      </c>
      <c r="R5" s="32">
        <v>31</v>
      </c>
      <c r="S5" s="32">
        <v>28</v>
      </c>
      <c r="T5" s="32">
        <v>31</v>
      </c>
      <c r="U5" s="32">
        <v>30</v>
      </c>
      <c r="V5" s="32">
        <v>31</v>
      </c>
      <c r="W5" s="32">
        <v>30</v>
      </c>
      <c r="X5" s="32">
        <v>31</v>
      </c>
      <c r="Y5" s="32">
        <v>31</v>
      </c>
      <c r="Z5" s="32">
        <v>30</v>
      </c>
      <c r="AA5" s="32">
        <v>31</v>
      </c>
      <c r="AB5" s="32">
        <v>30</v>
      </c>
      <c r="AC5" s="32">
        <v>31</v>
      </c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</row>
    <row r="6" spans="2:53" x14ac:dyDescent="0.25">
      <c r="B6" s="63" t="s">
        <v>103</v>
      </c>
      <c r="C6" s="45">
        <v>44562</v>
      </c>
      <c r="D6" s="45">
        <v>45292</v>
      </c>
      <c r="E6" s="45">
        <v>44562</v>
      </c>
      <c r="F6" s="46">
        <v>44896</v>
      </c>
      <c r="P6" s="35" t="s">
        <v>29</v>
      </c>
      <c r="Q6" s="73">
        <v>1E-14</v>
      </c>
      <c r="R6" s="32">
        <v>31</v>
      </c>
      <c r="S6" s="32">
        <v>28</v>
      </c>
      <c r="T6" s="32">
        <v>31</v>
      </c>
      <c r="U6" s="32">
        <v>30</v>
      </c>
      <c r="V6" s="32">
        <v>31</v>
      </c>
      <c r="W6" s="32">
        <v>30</v>
      </c>
      <c r="X6" s="32">
        <v>31</v>
      </c>
      <c r="Y6" s="32">
        <v>31</v>
      </c>
      <c r="Z6" s="32">
        <v>30</v>
      </c>
      <c r="AA6" s="32">
        <v>31</v>
      </c>
      <c r="AB6" s="32">
        <v>30</v>
      </c>
      <c r="AC6" s="32">
        <v>31</v>
      </c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</row>
    <row r="7" spans="2:53" x14ac:dyDescent="0.25">
      <c r="P7" s="35" t="s">
        <v>108</v>
      </c>
      <c r="Q7" s="73">
        <v>1E-14</v>
      </c>
      <c r="R7" s="32">
        <v>20.833333333333332</v>
      </c>
      <c r="S7" s="32">
        <v>1E-14</v>
      </c>
      <c r="T7" s="32">
        <v>1E-14</v>
      </c>
      <c r="U7" s="32">
        <v>1E-14</v>
      </c>
      <c r="V7" s="32">
        <v>1E-14</v>
      </c>
      <c r="W7" s="32">
        <v>1E-14</v>
      </c>
      <c r="X7" s="32">
        <v>1E-14</v>
      </c>
      <c r="Y7" s="32">
        <v>1E-14</v>
      </c>
      <c r="Z7" s="32">
        <v>1E-14</v>
      </c>
      <c r="AA7" s="32">
        <v>1E-14</v>
      </c>
      <c r="AB7" s="32">
        <v>7.8125</v>
      </c>
      <c r="AC7" s="32">
        <v>29.166666666666668</v>
      </c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</row>
    <row r="8" spans="2:53" x14ac:dyDescent="0.25">
      <c r="P8" s="35" t="s">
        <v>31</v>
      </c>
      <c r="Q8" s="73">
        <v>1E-14</v>
      </c>
      <c r="R8" s="32">
        <v>31</v>
      </c>
      <c r="S8" s="32">
        <v>28</v>
      </c>
      <c r="T8" s="32">
        <v>31</v>
      </c>
      <c r="U8" s="32">
        <v>30</v>
      </c>
      <c r="V8" s="32">
        <v>31</v>
      </c>
      <c r="W8" s="32">
        <v>30</v>
      </c>
      <c r="X8" s="32">
        <v>31</v>
      </c>
      <c r="Y8" s="32">
        <v>31</v>
      </c>
      <c r="Z8" s="32">
        <v>30</v>
      </c>
      <c r="AA8" s="32">
        <v>31</v>
      </c>
      <c r="AB8" s="32">
        <v>30</v>
      </c>
      <c r="AC8" s="32">
        <v>31</v>
      </c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</row>
    <row r="9" spans="2:53" x14ac:dyDescent="0.25">
      <c r="P9" s="35" t="s">
        <v>30</v>
      </c>
      <c r="Q9" s="73">
        <v>1E-14</v>
      </c>
      <c r="R9" s="32">
        <v>31</v>
      </c>
      <c r="S9" s="32">
        <v>28</v>
      </c>
      <c r="T9" s="32">
        <v>31</v>
      </c>
      <c r="U9" s="32">
        <v>30</v>
      </c>
      <c r="V9" s="32">
        <v>31</v>
      </c>
      <c r="W9" s="32">
        <v>30</v>
      </c>
      <c r="X9" s="32">
        <v>31</v>
      </c>
      <c r="Y9" s="32">
        <v>31</v>
      </c>
      <c r="Z9" s="32">
        <v>30</v>
      </c>
      <c r="AA9" s="32">
        <v>31</v>
      </c>
      <c r="AB9" s="32">
        <v>30</v>
      </c>
      <c r="AC9" s="32">
        <v>31</v>
      </c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</row>
    <row r="10" spans="2:53" x14ac:dyDescent="0.25"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P10" s="35" t="s">
        <v>23</v>
      </c>
      <c r="Q10" s="73">
        <v>1E-14</v>
      </c>
      <c r="R10" s="32">
        <v>1</v>
      </c>
      <c r="S10" s="32">
        <v>1</v>
      </c>
      <c r="T10" s="32">
        <v>1</v>
      </c>
      <c r="U10" s="32">
        <v>1</v>
      </c>
      <c r="V10" s="32">
        <v>1</v>
      </c>
      <c r="W10" s="32">
        <v>1</v>
      </c>
      <c r="X10" s="32">
        <v>1</v>
      </c>
      <c r="Y10" s="32">
        <v>1</v>
      </c>
      <c r="Z10" s="32">
        <v>1</v>
      </c>
      <c r="AA10" s="32">
        <v>1</v>
      </c>
      <c r="AB10" s="32">
        <v>1</v>
      </c>
      <c r="AC10" s="32">
        <v>1</v>
      </c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</row>
    <row r="11" spans="2:53" x14ac:dyDescent="0.25">
      <c r="B11" s="34" t="s">
        <v>41</v>
      </c>
      <c r="C11" s="97" t="s">
        <v>23</v>
      </c>
      <c r="D11" s="97" t="s">
        <v>86</v>
      </c>
      <c r="E11" s="97" t="s">
        <v>87</v>
      </c>
      <c r="F11" s="102" t="s">
        <v>48</v>
      </c>
      <c r="G11" s="102" t="s">
        <v>39</v>
      </c>
      <c r="H11" s="97" t="s">
        <v>40</v>
      </c>
      <c r="I11" s="97" t="s">
        <v>24</v>
      </c>
      <c r="J11" s="97" t="s">
        <v>109</v>
      </c>
      <c r="K11" s="97" t="s">
        <v>25</v>
      </c>
      <c r="L11" s="97" t="s">
        <v>26</v>
      </c>
      <c r="M11" s="97" t="s">
        <v>110</v>
      </c>
      <c r="P11" s="35" t="s">
        <v>111</v>
      </c>
      <c r="Q11" s="73">
        <v>1E-14</v>
      </c>
      <c r="R11" s="32">
        <v>31</v>
      </c>
      <c r="S11" s="32">
        <v>28</v>
      </c>
      <c r="T11" s="32">
        <v>31</v>
      </c>
      <c r="U11" s="32">
        <v>30</v>
      </c>
      <c r="V11" s="32">
        <v>31</v>
      </c>
      <c r="W11" s="32">
        <v>30</v>
      </c>
      <c r="X11" s="32">
        <v>31</v>
      </c>
      <c r="Y11" s="32">
        <v>31</v>
      </c>
      <c r="Z11" s="32">
        <v>30</v>
      </c>
      <c r="AA11" s="32">
        <v>31</v>
      </c>
      <c r="AB11" s="32">
        <v>30</v>
      </c>
      <c r="AC11" s="32">
        <v>31</v>
      </c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</row>
    <row r="12" spans="2:53" x14ac:dyDescent="0.25">
      <c r="B12" s="47" t="s">
        <v>27</v>
      </c>
      <c r="C12" s="48">
        <v>1</v>
      </c>
      <c r="D12" s="48">
        <v>1</v>
      </c>
      <c r="E12" s="48"/>
      <c r="F12" s="49">
        <v>8</v>
      </c>
      <c r="G12" s="49">
        <v>4.2750000000000004</v>
      </c>
      <c r="H12" s="50">
        <v>9.5</v>
      </c>
      <c r="I12" s="50">
        <v>2</v>
      </c>
      <c r="J12" s="50">
        <v>11.5</v>
      </c>
      <c r="K12" s="51">
        <v>0.6</v>
      </c>
      <c r="L12" s="49">
        <v>50</v>
      </c>
      <c r="M12" s="52"/>
      <c r="P12" s="35" t="s">
        <v>112</v>
      </c>
      <c r="Q12" s="73">
        <v>1E-14</v>
      </c>
      <c r="R12" s="1">
        <v>35300</v>
      </c>
      <c r="S12" s="1">
        <v>32000</v>
      </c>
      <c r="T12" s="1">
        <v>29500</v>
      </c>
      <c r="U12" s="1">
        <v>20000</v>
      </c>
      <c r="V12" s="1">
        <v>13000</v>
      </c>
      <c r="W12" s="1">
        <v>7500</v>
      </c>
      <c r="X12" s="1">
        <v>7500</v>
      </c>
      <c r="Y12" s="1">
        <v>7000</v>
      </c>
      <c r="Z12" s="1">
        <v>8000</v>
      </c>
      <c r="AA12" s="1">
        <v>19700</v>
      </c>
      <c r="AB12" s="1">
        <v>27500</v>
      </c>
      <c r="AC12" s="1">
        <v>33000</v>
      </c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2:53" x14ac:dyDescent="0.25">
      <c r="B13" s="47" t="s">
        <v>28</v>
      </c>
      <c r="C13" s="48">
        <v>1</v>
      </c>
      <c r="D13" s="48">
        <v>1</v>
      </c>
      <c r="E13" s="48">
        <v>10</v>
      </c>
      <c r="F13" s="49">
        <v>8</v>
      </c>
      <c r="G13" s="49">
        <v>10.125</v>
      </c>
      <c r="H13" s="50">
        <v>22.5</v>
      </c>
      <c r="I13" s="50">
        <v>5</v>
      </c>
      <c r="J13" s="50">
        <v>27.5</v>
      </c>
      <c r="K13" s="51">
        <v>0.65</v>
      </c>
      <c r="L13" s="49">
        <v>40</v>
      </c>
      <c r="M13" s="52"/>
      <c r="P13" s="35" t="s">
        <v>113</v>
      </c>
      <c r="Q13" s="73">
        <v>1E-14</v>
      </c>
      <c r="R13" s="1">
        <v>1E-14</v>
      </c>
      <c r="S13" s="1">
        <v>1E-14</v>
      </c>
      <c r="T13" s="1">
        <v>1E-14</v>
      </c>
      <c r="U13" s="1">
        <v>1E-14</v>
      </c>
      <c r="V13" s="1">
        <v>1E-14</v>
      </c>
      <c r="W13" s="1">
        <v>1E-14</v>
      </c>
      <c r="X13" s="1">
        <v>1E-14</v>
      </c>
      <c r="Y13" s="1">
        <v>1E-14</v>
      </c>
      <c r="Z13" s="1">
        <v>1E-14</v>
      </c>
      <c r="AA13" s="1">
        <v>1E-14</v>
      </c>
      <c r="AB13" s="1">
        <v>1E-14</v>
      </c>
      <c r="AC13" s="1">
        <v>1E-14</v>
      </c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2:53" x14ac:dyDescent="0.25">
      <c r="B14" s="47" t="s">
        <v>29</v>
      </c>
      <c r="C14" s="48">
        <v>1</v>
      </c>
      <c r="D14" s="48">
        <v>2</v>
      </c>
      <c r="E14" s="48"/>
      <c r="F14" s="53"/>
      <c r="G14" s="53"/>
      <c r="H14" s="50">
        <v>10.5</v>
      </c>
      <c r="I14" s="50"/>
      <c r="J14" s="50">
        <v>10.5</v>
      </c>
      <c r="K14" s="51">
        <v>0.85</v>
      </c>
      <c r="L14" s="49">
        <v>25</v>
      </c>
      <c r="M14" s="52"/>
      <c r="P14" s="35" t="s">
        <v>33</v>
      </c>
      <c r="Q14" s="73">
        <v>1E-14</v>
      </c>
      <c r="R14" s="1">
        <v>5952</v>
      </c>
      <c r="S14" s="1">
        <v>5376</v>
      </c>
      <c r="T14" s="1">
        <v>5952</v>
      </c>
      <c r="U14" s="1">
        <v>5760</v>
      </c>
      <c r="V14" s="1">
        <v>5952</v>
      </c>
      <c r="W14" s="1">
        <v>5760</v>
      </c>
      <c r="X14" s="1">
        <v>5952</v>
      </c>
      <c r="Y14" s="1">
        <v>5952</v>
      </c>
      <c r="Z14" s="1">
        <v>5760</v>
      </c>
      <c r="AA14" s="1">
        <v>5952</v>
      </c>
      <c r="AB14" s="1">
        <v>5760</v>
      </c>
      <c r="AC14" s="1">
        <v>5952</v>
      </c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2:53" x14ac:dyDescent="0.25">
      <c r="B15" s="47" t="s">
        <v>108</v>
      </c>
      <c r="C15" s="48">
        <v>1</v>
      </c>
      <c r="D15" s="48">
        <v>3</v>
      </c>
      <c r="E15" s="48">
        <v>9</v>
      </c>
      <c r="F15" s="53"/>
      <c r="G15" s="53"/>
      <c r="H15" s="50">
        <v>8</v>
      </c>
      <c r="I15" s="50"/>
      <c r="J15" s="50">
        <v>8</v>
      </c>
      <c r="K15" s="51">
        <v>1</v>
      </c>
      <c r="L15" s="49">
        <v>5</v>
      </c>
      <c r="M15" s="52"/>
      <c r="P15" s="35" t="s">
        <v>88</v>
      </c>
      <c r="Q15" s="73">
        <v>1E-14</v>
      </c>
      <c r="R15" s="1">
        <v>400</v>
      </c>
      <c r="S15" s="1">
        <v>400</v>
      </c>
      <c r="T15" s="1">
        <v>400</v>
      </c>
      <c r="U15" s="1">
        <v>400</v>
      </c>
      <c r="V15" s="1">
        <v>400</v>
      </c>
      <c r="W15" s="1">
        <v>400</v>
      </c>
      <c r="X15" s="1">
        <v>400</v>
      </c>
      <c r="Y15" s="1">
        <v>400</v>
      </c>
      <c r="Z15" s="1">
        <v>400</v>
      </c>
      <c r="AA15" s="1">
        <v>400</v>
      </c>
      <c r="AB15" s="1">
        <v>400</v>
      </c>
      <c r="AC15" s="1">
        <v>400</v>
      </c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2:53" x14ac:dyDescent="0.25">
      <c r="B16" s="47" t="s">
        <v>31</v>
      </c>
      <c r="C16" s="48">
        <v>1</v>
      </c>
      <c r="D16" s="48">
        <v>5</v>
      </c>
      <c r="E16" s="48"/>
      <c r="F16" s="53"/>
      <c r="G16" s="53"/>
      <c r="H16" s="50">
        <v>15</v>
      </c>
      <c r="I16" s="50"/>
      <c r="J16" s="50">
        <v>15</v>
      </c>
      <c r="K16" s="51">
        <v>1</v>
      </c>
      <c r="L16" s="49">
        <v>10</v>
      </c>
      <c r="M16" s="52">
        <v>20</v>
      </c>
      <c r="P16" s="35" t="s">
        <v>114</v>
      </c>
      <c r="Q16" s="73">
        <v>1E-14</v>
      </c>
      <c r="R16" s="1">
        <v>265.64662500000003</v>
      </c>
      <c r="S16" s="1">
        <v>298.42762500000003</v>
      </c>
      <c r="T16" s="1">
        <v>334.72087500000004</v>
      </c>
      <c r="U16" s="1">
        <v>369.84337500000004</v>
      </c>
      <c r="V16" s="1">
        <v>406.13662500000004</v>
      </c>
      <c r="W16" s="1">
        <v>441.25912500000004</v>
      </c>
      <c r="X16" s="1">
        <v>477.55237500000004</v>
      </c>
      <c r="Y16" s="1">
        <v>513.84562500000004</v>
      </c>
      <c r="Z16" s="1">
        <v>548.9681250000001</v>
      </c>
      <c r="AA16" s="1">
        <v>585.26137500000004</v>
      </c>
      <c r="AB16" s="1">
        <v>620.38387499999999</v>
      </c>
      <c r="AC16" s="1">
        <v>656.67712499999993</v>
      </c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</row>
    <row r="17" spans="1:53" x14ac:dyDescent="0.25">
      <c r="A17" s="26"/>
      <c r="B17" s="54" t="s">
        <v>30</v>
      </c>
      <c r="C17" s="55">
        <v>1</v>
      </c>
      <c r="D17" s="55">
        <v>4</v>
      </c>
      <c r="E17" s="55"/>
      <c r="F17" s="56"/>
      <c r="G17" s="56"/>
      <c r="H17" s="57">
        <v>100</v>
      </c>
      <c r="I17" s="57"/>
      <c r="J17" s="57">
        <v>100</v>
      </c>
      <c r="K17" s="58">
        <v>1</v>
      </c>
      <c r="L17" s="59">
        <v>10</v>
      </c>
      <c r="M17" s="60"/>
      <c r="P17" s="35" t="s">
        <v>115</v>
      </c>
      <c r="Q17" s="73">
        <v>1E-14</v>
      </c>
      <c r="R17" s="3">
        <v>26</v>
      </c>
      <c r="S17" s="3">
        <v>26</v>
      </c>
      <c r="T17" s="3">
        <v>26</v>
      </c>
      <c r="U17" s="3">
        <v>26</v>
      </c>
      <c r="V17" s="3">
        <v>26</v>
      </c>
      <c r="W17" s="3">
        <v>26</v>
      </c>
      <c r="X17" s="3">
        <v>26</v>
      </c>
      <c r="Y17" s="3">
        <v>26</v>
      </c>
      <c r="Z17" s="3">
        <v>26</v>
      </c>
      <c r="AA17" s="3">
        <v>26</v>
      </c>
      <c r="AB17" s="3">
        <v>26</v>
      </c>
      <c r="AC17" s="3">
        <v>26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</row>
    <row r="18" spans="1:53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P18" s="35" t="s">
        <v>116</v>
      </c>
      <c r="Q18" s="73">
        <v>1E-14</v>
      </c>
      <c r="R18" s="3">
        <v>31.8</v>
      </c>
      <c r="S18" s="3">
        <v>31.8</v>
      </c>
      <c r="T18" s="3">
        <v>31.8</v>
      </c>
      <c r="U18" s="3">
        <v>31.8</v>
      </c>
      <c r="V18" s="3">
        <v>31.8</v>
      </c>
      <c r="W18" s="3">
        <v>31.8</v>
      </c>
      <c r="X18" s="3">
        <v>31.8</v>
      </c>
      <c r="Y18" s="3">
        <v>31.8</v>
      </c>
      <c r="Z18" s="3">
        <v>31.8</v>
      </c>
      <c r="AA18" s="3">
        <v>31.8</v>
      </c>
      <c r="AB18" s="3">
        <v>31.8</v>
      </c>
      <c r="AC18" s="3">
        <v>31.8</v>
      </c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</row>
    <row r="19" spans="1:53" x14ac:dyDescent="0.25">
      <c r="M19"/>
      <c r="P19" s="35" t="s">
        <v>149</v>
      </c>
      <c r="Q19" s="73">
        <v>1E-14</v>
      </c>
      <c r="R19" s="36">
        <v>179.2</v>
      </c>
      <c r="S19" s="36">
        <v>179.2</v>
      </c>
      <c r="T19" s="36">
        <v>179.2</v>
      </c>
      <c r="U19" s="36">
        <v>179.2</v>
      </c>
      <c r="V19" s="36">
        <v>179.2</v>
      </c>
      <c r="W19" s="36">
        <v>179.2</v>
      </c>
      <c r="X19" s="36">
        <v>179.2</v>
      </c>
      <c r="Y19" s="36">
        <v>179.2</v>
      </c>
      <c r="Z19" s="36">
        <v>179.2</v>
      </c>
      <c r="AA19" s="36">
        <v>179.2</v>
      </c>
      <c r="AB19" s="36">
        <v>179.2</v>
      </c>
      <c r="AC19" s="36">
        <v>179.2</v>
      </c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</row>
    <row r="20" spans="1:53" s="26" customFormat="1" x14ac:dyDescent="0.25">
      <c r="O20" s="33"/>
      <c r="P20" s="35" t="s">
        <v>150</v>
      </c>
      <c r="Q20" s="73">
        <v>1E-14</v>
      </c>
      <c r="R20" s="36">
        <v>5.83</v>
      </c>
      <c r="S20" s="36">
        <v>1E-14</v>
      </c>
      <c r="T20" s="36">
        <v>1E-14</v>
      </c>
      <c r="U20" s="36">
        <v>1E-14</v>
      </c>
      <c r="V20" s="36">
        <v>1E-14</v>
      </c>
      <c r="W20" s="36">
        <v>1E-14</v>
      </c>
      <c r="X20" s="36">
        <v>1E-14</v>
      </c>
      <c r="Y20" s="36">
        <v>1E-14</v>
      </c>
      <c r="Z20" s="36">
        <v>1E-14</v>
      </c>
      <c r="AA20" s="36">
        <v>1E-14</v>
      </c>
      <c r="AB20" s="36">
        <v>1E-14</v>
      </c>
      <c r="AC20" s="36">
        <v>1E-14</v>
      </c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</row>
    <row r="21" spans="1:53" s="26" customFormat="1" x14ac:dyDescent="0.25">
      <c r="O21" s="33"/>
      <c r="P21" s="35" t="s">
        <v>151</v>
      </c>
      <c r="Q21" s="73">
        <v>1E-14</v>
      </c>
      <c r="R21" s="36">
        <v>0.5</v>
      </c>
      <c r="S21" s="36">
        <v>0.5</v>
      </c>
      <c r="T21" s="36">
        <v>0.5</v>
      </c>
      <c r="U21" s="36">
        <v>0.5</v>
      </c>
      <c r="V21" s="36">
        <v>0.5</v>
      </c>
      <c r="W21" s="36">
        <v>0.5</v>
      </c>
      <c r="X21" s="36">
        <v>0.5</v>
      </c>
      <c r="Y21" s="36">
        <v>0.5</v>
      </c>
      <c r="Z21" s="36">
        <v>0.5</v>
      </c>
      <c r="AA21" s="36">
        <v>0.5</v>
      </c>
      <c r="AB21" s="36">
        <v>0.5</v>
      </c>
      <c r="AC21" s="36">
        <v>0.5</v>
      </c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</row>
    <row r="22" spans="1:53" s="26" customFormat="1" x14ac:dyDescent="0.25">
      <c r="M22" s="6"/>
      <c r="N22" s="7"/>
      <c r="O22" s="33"/>
      <c r="P22" s="35" t="s">
        <v>154</v>
      </c>
      <c r="Q22" s="73">
        <v>1E-14</v>
      </c>
      <c r="R22" s="36">
        <v>62.37</v>
      </c>
      <c r="S22" s="36">
        <v>62.37</v>
      </c>
      <c r="T22" s="36">
        <v>62.37</v>
      </c>
      <c r="U22" s="36">
        <v>62.37</v>
      </c>
      <c r="V22" s="36">
        <v>62.37</v>
      </c>
      <c r="W22" s="36">
        <v>62.37</v>
      </c>
      <c r="X22" s="36">
        <v>62.37</v>
      </c>
      <c r="Y22" s="36">
        <v>62.37</v>
      </c>
      <c r="Z22" s="36">
        <v>62.37</v>
      </c>
      <c r="AA22" s="36">
        <v>62.37</v>
      </c>
      <c r="AB22" s="36">
        <v>62.37</v>
      </c>
      <c r="AC22" s="36">
        <v>62.37</v>
      </c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</row>
    <row r="23" spans="1:53" x14ac:dyDescent="0.25">
      <c r="K23" s="26"/>
      <c r="L23" s="26"/>
      <c r="M23" s="6"/>
      <c r="N23" s="7"/>
      <c r="P23" s="35" t="s">
        <v>152</v>
      </c>
      <c r="Q23" s="73">
        <v>1E-14</v>
      </c>
      <c r="R23" s="36">
        <v>680.72289156626493</v>
      </c>
      <c r="S23" s="36">
        <v>680.72289156626493</v>
      </c>
      <c r="T23" s="36">
        <v>680.72289156626493</v>
      </c>
      <c r="U23" s="36">
        <v>680.72289156626493</v>
      </c>
      <c r="V23" s="36">
        <v>680.72289156626493</v>
      </c>
      <c r="W23" s="36">
        <v>680.72289156626493</v>
      </c>
      <c r="X23" s="36">
        <v>680.72289156626493</v>
      </c>
      <c r="Y23" s="36">
        <v>680.72289156626493</v>
      </c>
      <c r="Z23" s="36">
        <v>680.72289156626493</v>
      </c>
      <c r="AA23" s="36">
        <v>680.72289156626493</v>
      </c>
      <c r="AB23" s="36">
        <v>680.72289156626493</v>
      </c>
      <c r="AC23" s="36">
        <v>680.72289156626493</v>
      </c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</row>
    <row r="24" spans="1:53" s="26" customFormat="1" x14ac:dyDescent="0.25">
      <c r="M24" s="6"/>
      <c r="N24" s="7"/>
      <c r="O24" s="33"/>
      <c r="P24" s="35" t="s">
        <v>153</v>
      </c>
      <c r="Q24" s="73">
        <v>1E-14</v>
      </c>
      <c r="R24" s="36">
        <v>10.843373493975903</v>
      </c>
      <c r="S24" s="36">
        <v>10.843373493975903</v>
      </c>
      <c r="T24" s="36">
        <v>10.843373493975903</v>
      </c>
      <c r="U24" s="36">
        <v>10.843373493975903</v>
      </c>
      <c r="V24" s="36">
        <v>10.843373493975903</v>
      </c>
      <c r="W24" s="36">
        <v>10.843373493975903</v>
      </c>
      <c r="X24" s="36">
        <v>10.843373493975903</v>
      </c>
      <c r="Y24" s="36">
        <v>10.843373493975903</v>
      </c>
      <c r="Z24" s="36">
        <v>10.843373493975903</v>
      </c>
      <c r="AA24" s="36">
        <v>10.843373493975903</v>
      </c>
      <c r="AB24" s="36">
        <v>10.843373493975903</v>
      </c>
      <c r="AC24" s="36">
        <v>10.843373493975903</v>
      </c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</row>
    <row r="25" spans="1:53" x14ac:dyDescent="0.25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6"/>
      <c r="N25" s="7"/>
      <c r="P25"/>
      <c r="Q25" s="73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</row>
    <row r="26" spans="1:53" x14ac:dyDescent="0.25">
      <c r="B26" s="74" t="s">
        <v>38</v>
      </c>
      <c r="C26" s="75" t="s">
        <v>35</v>
      </c>
      <c r="D26" s="75" t="s">
        <v>51</v>
      </c>
      <c r="E26" s="75" t="s">
        <v>23</v>
      </c>
      <c r="F26" s="75" t="s">
        <v>34</v>
      </c>
      <c r="G26" s="75" t="s">
        <v>53</v>
      </c>
      <c r="H26" s="75" t="s">
        <v>54</v>
      </c>
      <c r="I26" s="75" t="s">
        <v>45</v>
      </c>
      <c r="J26" s="21" t="s">
        <v>49</v>
      </c>
      <c r="K26" s="21" t="s">
        <v>50</v>
      </c>
      <c r="L26" s="21" t="s">
        <v>36</v>
      </c>
      <c r="M26" s="98" t="s">
        <v>164</v>
      </c>
      <c r="N26" s="7"/>
      <c r="P26" s="104" t="s">
        <v>90</v>
      </c>
      <c r="Q26" s="105"/>
      <c r="R26" s="106" t="s">
        <v>165</v>
      </c>
      <c r="S26" s="106" t="s">
        <v>166</v>
      </c>
      <c r="T26" s="106" t="s">
        <v>167</v>
      </c>
      <c r="U26" s="106" t="s">
        <v>155</v>
      </c>
      <c r="V26" s="106" t="s">
        <v>156</v>
      </c>
      <c r="W26" s="106" t="s">
        <v>157</v>
      </c>
      <c r="X26" s="106" t="s">
        <v>158</v>
      </c>
      <c r="Y26" s="106" t="s">
        <v>159</v>
      </c>
      <c r="Z26" s="106" t="s">
        <v>160</v>
      </c>
      <c r="AA26" s="106" t="s">
        <v>161</v>
      </c>
      <c r="AB26" s="106" t="s">
        <v>162</v>
      </c>
      <c r="AC26" s="106" t="s">
        <v>163</v>
      </c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  <c r="BA26" s="106"/>
    </row>
    <row r="27" spans="1:53" x14ac:dyDescent="0.25">
      <c r="B27" s="11" t="s">
        <v>0</v>
      </c>
      <c r="C27" s="61">
        <v>525</v>
      </c>
      <c r="D27" s="61">
        <v>37</v>
      </c>
      <c r="E27" s="61"/>
      <c r="F27" s="61">
        <v>1</v>
      </c>
      <c r="G27" s="61">
        <v>1</v>
      </c>
      <c r="H27" s="61"/>
      <c r="I27" s="61">
        <v>1</v>
      </c>
      <c r="J27" s="25">
        <v>9093</v>
      </c>
      <c r="K27" s="99">
        <v>9093</v>
      </c>
      <c r="L27" s="100">
        <v>10.5</v>
      </c>
      <c r="M27" s="101">
        <v>0.38850000000000001</v>
      </c>
      <c r="N27" s="7"/>
      <c r="P27" s="94" t="s">
        <v>0</v>
      </c>
      <c r="Q27" s="95" t="s">
        <v>52</v>
      </c>
      <c r="R27" s="96">
        <v>1E-14</v>
      </c>
      <c r="S27" s="96">
        <v>1E-14</v>
      </c>
      <c r="T27" s="96">
        <v>1E-14</v>
      </c>
      <c r="U27" s="96">
        <v>1E-14</v>
      </c>
      <c r="V27" s="96">
        <v>1E-14</v>
      </c>
      <c r="W27" s="96">
        <v>1E-14</v>
      </c>
      <c r="X27" s="96">
        <v>1E-14</v>
      </c>
      <c r="Y27" s="96">
        <v>1E-14</v>
      </c>
      <c r="Z27" s="96">
        <v>1E-14</v>
      </c>
      <c r="AA27" s="96">
        <v>1E-14</v>
      </c>
      <c r="AB27" s="96">
        <v>1E-14</v>
      </c>
      <c r="AC27" s="96">
        <v>1E-14</v>
      </c>
      <c r="AD27" s="96"/>
      <c r="AE27" s="96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96"/>
      <c r="AQ27" s="96"/>
      <c r="AR27" s="96"/>
      <c r="AS27" s="96"/>
      <c r="AT27" s="96"/>
      <c r="AU27" s="96"/>
      <c r="AV27" s="96"/>
      <c r="AW27" s="96"/>
      <c r="AX27" s="96"/>
      <c r="AY27" s="96"/>
      <c r="AZ27" s="96"/>
      <c r="BA27" s="96"/>
    </row>
    <row r="28" spans="1:53" x14ac:dyDescent="0.25">
      <c r="B28" s="11" t="s">
        <v>1</v>
      </c>
      <c r="C28" s="18"/>
      <c r="D28" s="18">
        <v>37</v>
      </c>
      <c r="E28" s="18"/>
      <c r="F28" s="18">
        <v>1</v>
      </c>
      <c r="G28" s="18">
        <v>1</v>
      </c>
      <c r="H28" s="18"/>
      <c r="I28" s="18">
        <v>1</v>
      </c>
      <c r="J28" s="25"/>
      <c r="K28" s="99"/>
      <c r="L28" s="100">
        <v>10.5</v>
      </c>
      <c r="M28" s="101">
        <v>0.38850000000000001</v>
      </c>
      <c r="N28" s="7"/>
      <c r="P28" s="94" t="s">
        <v>0</v>
      </c>
      <c r="Q28" s="95" t="s">
        <v>37</v>
      </c>
      <c r="R28" s="96">
        <v>9093</v>
      </c>
      <c r="S28" s="96">
        <v>9093</v>
      </c>
      <c r="T28" s="96">
        <v>9093</v>
      </c>
      <c r="U28" s="96">
        <v>9093</v>
      </c>
      <c r="V28" s="96">
        <v>9093</v>
      </c>
      <c r="W28" s="96">
        <v>9093</v>
      </c>
      <c r="X28" s="96">
        <v>9093</v>
      </c>
      <c r="Y28" s="96">
        <v>9093</v>
      </c>
      <c r="Z28" s="96">
        <v>9093</v>
      </c>
      <c r="AA28" s="96">
        <v>9093</v>
      </c>
      <c r="AB28" s="96">
        <v>9093</v>
      </c>
      <c r="AC28" s="96">
        <v>9093</v>
      </c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96"/>
      <c r="AW28" s="96"/>
      <c r="AX28" s="96"/>
      <c r="AY28" s="96"/>
      <c r="AZ28" s="96"/>
      <c r="BA28" s="96"/>
    </row>
    <row r="29" spans="1:53" x14ac:dyDescent="0.25">
      <c r="B29" s="11" t="s">
        <v>2</v>
      </c>
      <c r="C29" s="18"/>
      <c r="D29" s="18">
        <v>37</v>
      </c>
      <c r="E29" s="18"/>
      <c r="F29" s="18">
        <v>1</v>
      </c>
      <c r="G29" s="18">
        <v>1</v>
      </c>
      <c r="H29" s="18"/>
      <c r="I29" s="18">
        <v>1</v>
      </c>
      <c r="J29" s="25"/>
      <c r="K29" s="99"/>
      <c r="L29" s="100">
        <v>10.5</v>
      </c>
      <c r="M29" s="101">
        <v>0.38850000000000001</v>
      </c>
      <c r="N29" s="7"/>
      <c r="P29" s="94" t="s">
        <v>0</v>
      </c>
      <c r="Q29" s="95" t="s">
        <v>117</v>
      </c>
      <c r="R29" s="96">
        <v>10.5</v>
      </c>
      <c r="S29" s="96">
        <v>10.5</v>
      </c>
      <c r="T29" s="96">
        <v>10.5</v>
      </c>
      <c r="U29" s="96">
        <v>10.5</v>
      </c>
      <c r="V29" s="96">
        <v>10.5</v>
      </c>
      <c r="W29" s="96">
        <v>10.5</v>
      </c>
      <c r="X29" s="96">
        <v>10.5</v>
      </c>
      <c r="Y29" s="96">
        <v>10.5</v>
      </c>
      <c r="Z29" s="96">
        <v>10.5</v>
      </c>
      <c r="AA29" s="96">
        <v>10.5</v>
      </c>
      <c r="AB29" s="96">
        <v>10.5</v>
      </c>
      <c r="AC29" s="96">
        <v>10.5</v>
      </c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</row>
    <row r="30" spans="1:53" x14ac:dyDescent="0.25">
      <c r="B30" s="11" t="s">
        <v>3</v>
      </c>
      <c r="C30" s="18">
        <v>525</v>
      </c>
      <c r="D30" s="18">
        <v>37</v>
      </c>
      <c r="E30" s="18"/>
      <c r="F30" s="18">
        <v>1</v>
      </c>
      <c r="G30" s="18"/>
      <c r="H30" s="18"/>
      <c r="I30" s="18">
        <v>1</v>
      </c>
      <c r="J30" s="25">
        <v>28869</v>
      </c>
      <c r="K30" s="99">
        <v>28869</v>
      </c>
      <c r="L30" s="100">
        <v>9.4</v>
      </c>
      <c r="M30" s="101">
        <v>0.3478</v>
      </c>
      <c r="N30" s="7"/>
      <c r="P30" s="94" t="s">
        <v>0</v>
      </c>
      <c r="Q30" s="95" t="s">
        <v>35</v>
      </c>
      <c r="R30" s="96">
        <v>525</v>
      </c>
      <c r="S30" s="96">
        <v>525</v>
      </c>
      <c r="T30" s="96">
        <v>525</v>
      </c>
      <c r="U30" s="96">
        <v>525</v>
      </c>
      <c r="V30" s="96">
        <v>525</v>
      </c>
      <c r="W30" s="96">
        <v>525</v>
      </c>
      <c r="X30" s="96">
        <v>525</v>
      </c>
      <c r="Y30" s="96">
        <v>525</v>
      </c>
      <c r="Z30" s="96">
        <v>525</v>
      </c>
      <c r="AA30" s="96">
        <v>525</v>
      </c>
      <c r="AB30" s="96">
        <v>525</v>
      </c>
      <c r="AC30" s="96">
        <v>525</v>
      </c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</row>
    <row r="31" spans="1:53" x14ac:dyDescent="0.25">
      <c r="B31" s="11" t="s">
        <v>4</v>
      </c>
      <c r="C31" s="18">
        <v>525</v>
      </c>
      <c r="D31" s="18">
        <v>37</v>
      </c>
      <c r="E31" s="18"/>
      <c r="F31" s="18">
        <v>1</v>
      </c>
      <c r="G31" s="18"/>
      <c r="H31" s="18"/>
      <c r="I31" s="18">
        <v>1</v>
      </c>
      <c r="J31" s="25">
        <v>3500</v>
      </c>
      <c r="K31" s="99">
        <v>3500</v>
      </c>
      <c r="L31" s="100">
        <v>10.5</v>
      </c>
      <c r="M31" s="101">
        <v>0.38850000000000001</v>
      </c>
      <c r="N31" s="7"/>
      <c r="P31" s="94" t="s">
        <v>0</v>
      </c>
      <c r="Q31" s="95" t="s">
        <v>51</v>
      </c>
      <c r="R31" s="96">
        <v>37</v>
      </c>
      <c r="S31" s="96">
        <v>37</v>
      </c>
      <c r="T31" s="96">
        <v>37</v>
      </c>
      <c r="U31" s="96">
        <v>37</v>
      </c>
      <c r="V31" s="96">
        <v>37</v>
      </c>
      <c r="W31" s="96">
        <v>37</v>
      </c>
      <c r="X31" s="96">
        <v>37</v>
      </c>
      <c r="Y31" s="96">
        <v>37</v>
      </c>
      <c r="Z31" s="96">
        <v>37</v>
      </c>
      <c r="AA31" s="96">
        <v>37</v>
      </c>
      <c r="AB31" s="96">
        <v>37</v>
      </c>
      <c r="AC31" s="96">
        <v>37</v>
      </c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</row>
    <row r="32" spans="1:53" x14ac:dyDescent="0.25">
      <c r="B32" s="11" t="s">
        <v>5</v>
      </c>
      <c r="C32" s="18">
        <v>155</v>
      </c>
      <c r="D32" s="18">
        <v>37</v>
      </c>
      <c r="E32" s="18"/>
      <c r="F32" s="18">
        <v>1</v>
      </c>
      <c r="G32" s="18"/>
      <c r="H32" s="18"/>
      <c r="I32" s="18">
        <v>1</v>
      </c>
      <c r="J32" s="25"/>
      <c r="K32" s="99"/>
      <c r="L32" s="100">
        <v>14.5</v>
      </c>
      <c r="M32" s="101">
        <v>0.53649999999999998</v>
      </c>
      <c r="N32" s="7"/>
      <c r="P32" s="94" t="s">
        <v>1</v>
      </c>
      <c r="Q32" s="95" t="s">
        <v>52</v>
      </c>
      <c r="R32" s="96">
        <v>1E-14</v>
      </c>
      <c r="S32" s="96">
        <v>1E-14</v>
      </c>
      <c r="T32" s="96">
        <v>1E-14</v>
      </c>
      <c r="U32" s="96">
        <v>1E-14</v>
      </c>
      <c r="V32" s="96">
        <v>1E-14</v>
      </c>
      <c r="W32" s="96">
        <v>1E-14</v>
      </c>
      <c r="X32" s="96">
        <v>1E-14</v>
      </c>
      <c r="Y32" s="96">
        <v>1E-14</v>
      </c>
      <c r="Z32" s="96">
        <v>1E-14</v>
      </c>
      <c r="AA32" s="96">
        <v>1E-14</v>
      </c>
      <c r="AB32" s="96">
        <v>1E-14</v>
      </c>
      <c r="AC32" s="96">
        <v>1E-14</v>
      </c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96"/>
      <c r="AV32" s="96"/>
      <c r="AW32" s="96"/>
      <c r="AX32" s="96"/>
      <c r="AY32" s="96"/>
      <c r="AZ32" s="96"/>
      <c r="BA32" s="96"/>
    </row>
    <row r="33" spans="2:53" x14ac:dyDescent="0.25">
      <c r="B33" s="11" t="s">
        <v>6</v>
      </c>
      <c r="C33" s="18">
        <v>525</v>
      </c>
      <c r="D33" s="18">
        <v>37</v>
      </c>
      <c r="E33" s="18"/>
      <c r="F33" s="18">
        <v>1</v>
      </c>
      <c r="G33" s="18"/>
      <c r="H33" s="18"/>
      <c r="I33" s="18">
        <v>1</v>
      </c>
      <c r="J33" s="25"/>
      <c r="K33" s="99"/>
      <c r="L33" s="100">
        <v>12</v>
      </c>
      <c r="M33" s="101">
        <v>0.44400000000000001</v>
      </c>
      <c r="N33" s="7"/>
      <c r="P33" s="94" t="s">
        <v>1</v>
      </c>
      <c r="Q33" s="95" t="s">
        <v>37</v>
      </c>
      <c r="R33" s="96">
        <v>1E-14</v>
      </c>
      <c r="S33" s="96">
        <v>1E-14</v>
      </c>
      <c r="T33" s="96">
        <v>1E-14</v>
      </c>
      <c r="U33" s="96">
        <v>1E-14</v>
      </c>
      <c r="V33" s="96">
        <v>1E-14</v>
      </c>
      <c r="W33" s="96">
        <v>1E-14</v>
      </c>
      <c r="X33" s="96">
        <v>1E-14</v>
      </c>
      <c r="Y33" s="96">
        <v>1E-14</v>
      </c>
      <c r="Z33" s="96">
        <v>1E-14</v>
      </c>
      <c r="AA33" s="96">
        <v>1E-14</v>
      </c>
      <c r="AB33" s="96">
        <v>1E-14</v>
      </c>
      <c r="AC33" s="96">
        <v>1E-14</v>
      </c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</row>
    <row r="34" spans="2:53" x14ac:dyDescent="0.25">
      <c r="B34" s="11" t="s">
        <v>7</v>
      </c>
      <c r="C34" s="18">
        <v>525</v>
      </c>
      <c r="D34" s="18">
        <v>37</v>
      </c>
      <c r="E34" s="18"/>
      <c r="F34" s="18">
        <v>1</v>
      </c>
      <c r="G34" s="18"/>
      <c r="H34" s="18"/>
      <c r="I34" s="18">
        <v>1</v>
      </c>
      <c r="J34" s="25">
        <v>7800</v>
      </c>
      <c r="K34" s="99">
        <v>7800</v>
      </c>
      <c r="L34" s="100">
        <v>9</v>
      </c>
      <c r="M34" s="101">
        <v>0.33300000000000002</v>
      </c>
      <c r="N34" s="7"/>
      <c r="P34" s="94" t="s">
        <v>1</v>
      </c>
      <c r="Q34" s="95" t="s">
        <v>117</v>
      </c>
      <c r="R34" s="96">
        <v>10.5</v>
      </c>
      <c r="S34" s="96">
        <v>10.5</v>
      </c>
      <c r="T34" s="96">
        <v>10.5</v>
      </c>
      <c r="U34" s="96">
        <v>10.5</v>
      </c>
      <c r="V34" s="96">
        <v>10.5</v>
      </c>
      <c r="W34" s="96">
        <v>10.5</v>
      </c>
      <c r="X34" s="96">
        <v>10.5</v>
      </c>
      <c r="Y34" s="96">
        <v>10.5</v>
      </c>
      <c r="Z34" s="96">
        <v>10.5</v>
      </c>
      <c r="AA34" s="96">
        <v>10.5</v>
      </c>
      <c r="AB34" s="96">
        <v>10.5</v>
      </c>
      <c r="AC34" s="96">
        <v>10.5</v>
      </c>
      <c r="AD34" s="96"/>
      <c r="AE34" s="96"/>
      <c r="AF34" s="96"/>
      <c r="AG34" s="96"/>
      <c r="AH34" s="96"/>
      <c r="AI34" s="96"/>
      <c r="AJ34" s="96"/>
      <c r="AK34" s="96"/>
      <c r="AL34" s="96"/>
      <c r="AM34" s="96"/>
      <c r="AN34" s="96"/>
      <c r="AO34" s="96"/>
      <c r="AP34" s="96"/>
      <c r="AQ34" s="96"/>
      <c r="AR34" s="96"/>
      <c r="AS34" s="96"/>
      <c r="AT34" s="96"/>
      <c r="AU34" s="96"/>
      <c r="AV34" s="96"/>
      <c r="AW34" s="96"/>
      <c r="AX34" s="96"/>
      <c r="AY34" s="96"/>
      <c r="AZ34" s="96"/>
      <c r="BA34" s="96"/>
    </row>
    <row r="35" spans="2:53" x14ac:dyDescent="0.25">
      <c r="B35" s="11" t="s">
        <v>8</v>
      </c>
      <c r="C35" s="18">
        <v>525</v>
      </c>
      <c r="D35" s="18">
        <v>37</v>
      </c>
      <c r="E35" s="18"/>
      <c r="F35" s="18">
        <v>1</v>
      </c>
      <c r="G35" s="18"/>
      <c r="H35" s="18"/>
      <c r="I35" s="18">
        <v>1</v>
      </c>
      <c r="J35" s="25"/>
      <c r="K35" s="99"/>
      <c r="L35" s="100">
        <v>11</v>
      </c>
      <c r="M35" s="101">
        <v>0.40699999999999997</v>
      </c>
      <c r="N35" s="7"/>
      <c r="P35" s="94" t="s">
        <v>1</v>
      </c>
      <c r="Q35" s="95" t="s">
        <v>35</v>
      </c>
      <c r="R35" s="96">
        <v>1E-14</v>
      </c>
      <c r="S35" s="96">
        <v>1E-14</v>
      </c>
      <c r="T35" s="96">
        <v>1E-14</v>
      </c>
      <c r="U35" s="96">
        <v>1E-14</v>
      </c>
      <c r="V35" s="96">
        <v>1E-14</v>
      </c>
      <c r="W35" s="96">
        <v>1E-14</v>
      </c>
      <c r="X35" s="96">
        <v>1E-14</v>
      </c>
      <c r="Y35" s="96">
        <v>1E-14</v>
      </c>
      <c r="Z35" s="96">
        <v>1E-14</v>
      </c>
      <c r="AA35" s="96">
        <v>1E-14</v>
      </c>
      <c r="AB35" s="96">
        <v>1E-14</v>
      </c>
      <c r="AC35" s="96">
        <v>1E-14</v>
      </c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6"/>
      <c r="AP35" s="96"/>
      <c r="AQ35" s="96"/>
      <c r="AR35" s="96"/>
      <c r="AS35" s="96"/>
      <c r="AT35" s="96"/>
      <c r="AU35" s="96"/>
      <c r="AV35" s="96"/>
      <c r="AW35" s="96"/>
      <c r="AX35" s="96"/>
      <c r="AY35" s="96"/>
      <c r="AZ35" s="96"/>
      <c r="BA35" s="96"/>
    </row>
    <row r="36" spans="2:53" x14ac:dyDescent="0.25">
      <c r="B36" s="11" t="s">
        <v>9</v>
      </c>
      <c r="C36" s="18">
        <v>525</v>
      </c>
      <c r="D36" s="18">
        <v>37</v>
      </c>
      <c r="E36" s="18"/>
      <c r="F36" s="18">
        <v>1</v>
      </c>
      <c r="G36" s="18"/>
      <c r="H36" s="18"/>
      <c r="I36" s="18">
        <v>1</v>
      </c>
      <c r="J36" s="25"/>
      <c r="K36" s="99"/>
      <c r="L36" s="100">
        <v>9.5</v>
      </c>
      <c r="M36" s="101">
        <v>0.35149999999999998</v>
      </c>
      <c r="N36" s="7"/>
      <c r="P36" s="94" t="s">
        <v>1</v>
      </c>
      <c r="Q36" s="95" t="s">
        <v>51</v>
      </c>
      <c r="R36" s="96">
        <v>37</v>
      </c>
      <c r="S36" s="96">
        <v>37</v>
      </c>
      <c r="T36" s="96">
        <v>37</v>
      </c>
      <c r="U36" s="96">
        <v>37</v>
      </c>
      <c r="V36" s="96">
        <v>37</v>
      </c>
      <c r="W36" s="96">
        <v>37</v>
      </c>
      <c r="X36" s="96">
        <v>37</v>
      </c>
      <c r="Y36" s="96">
        <v>37</v>
      </c>
      <c r="Z36" s="96">
        <v>37</v>
      </c>
      <c r="AA36" s="96">
        <v>37</v>
      </c>
      <c r="AB36" s="96">
        <v>37</v>
      </c>
      <c r="AC36" s="96">
        <v>37</v>
      </c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6"/>
      <c r="AP36" s="96"/>
      <c r="AQ36" s="96"/>
      <c r="AR36" s="96"/>
      <c r="AS36" s="96"/>
      <c r="AT36" s="96"/>
      <c r="AU36" s="96"/>
      <c r="AV36" s="96"/>
      <c r="AW36" s="96"/>
      <c r="AX36" s="96"/>
      <c r="AY36" s="96"/>
      <c r="AZ36" s="96"/>
      <c r="BA36" s="96"/>
    </row>
    <row r="37" spans="2:53" x14ac:dyDescent="0.25">
      <c r="B37" s="11" t="s">
        <v>10</v>
      </c>
      <c r="C37" s="18">
        <v>525</v>
      </c>
      <c r="D37" s="18">
        <v>37</v>
      </c>
      <c r="E37" s="18"/>
      <c r="F37" s="18">
        <v>1</v>
      </c>
      <c r="G37" s="18">
        <v>1</v>
      </c>
      <c r="H37" s="18"/>
      <c r="I37" s="18">
        <v>1</v>
      </c>
      <c r="J37" s="25">
        <v>5200</v>
      </c>
      <c r="K37" s="99">
        <v>5200</v>
      </c>
      <c r="L37" s="100">
        <v>9</v>
      </c>
      <c r="M37" s="101">
        <v>0.33300000000000002</v>
      </c>
      <c r="N37" s="7"/>
      <c r="P37" s="94" t="s">
        <v>2</v>
      </c>
      <c r="Q37" s="95" t="s">
        <v>52</v>
      </c>
      <c r="R37" s="96">
        <v>1E-14</v>
      </c>
      <c r="S37" s="96">
        <v>1E-14</v>
      </c>
      <c r="T37" s="96">
        <v>1E-14</v>
      </c>
      <c r="U37" s="96">
        <v>1E-14</v>
      </c>
      <c r="V37" s="96">
        <v>1E-14</v>
      </c>
      <c r="W37" s="96">
        <v>1E-14</v>
      </c>
      <c r="X37" s="96">
        <v>1E-14</v>
      </c>
      <c r="Y37" s="96">
        <v>1E-14</v>
      </c>
      <c r="Z37" s="96">
        <v>1E-14</v>
      </c>
      <c r="AA37" s="96">
        <v>1E-14</v>
      </c>
      <c r="AB37" s="96">
        <v>1E-14</v>
      </c>
      <c r="AC37" s="96">
        <v>1E-14</v>
      </c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</row>
    <row r="38" spans="2:53" x14ac:dyDescent="0.25">
      <c r="B38" s="11" t="s">
        <v>11</v>
      </c>
      <c r="C38" s="18">
        <v>785</v>
      </c>
      <c r="D38" s="18">
        <v>37</v>
      </c>
      <c r="E38" s="18"/>
      <c r="F38" s="18">
        <v>1</v>
      </c>
      <c r="G38" s="18"/>
      <c r="H38" s="18"/>
      <c r="I38" s="18">
        <v>1</v>
      </c>
      <c r="J38" s="25">
        <v>500</v>
      </c>
      <c r="K38" s="99">
        <v>500</v>
      </c>
      <c r="L38" s="100">
        <v>12</v>
      </c>
      <c r="M38" s="101">
        <v>0.44400000000000001</v>
      </c>
      <c r="N38" s="7"/>
      <c r="P38" s="94" t="s">
        <v>2</v>
      </c>
      <c r="Q38" s="95" t="s">
        <v>37</v>
      </c>
      <c r="R38" s="96">
        <v>1E-14</v>
      </c>
      <c r="S38" s="96">
        <v>1E-14</v>
      </c>
      <c r="T38" s="96">
        <v>1E-14</v>
      </c>
      <c r="U38" s="96">
        <v>1E-14</v>
      </c>
      <c r="V38" s="96">
        <v>1E-14</v>
      </c>
      <c r="W38" s="96">
        <v>1E-14</v>
      </c>
      <c r="X38" s="96">
        <v>1E-14</v>
      </c>
      <c r="Y38" s="96">
        <v>1E-14</v>
      </c>
      <c r="Z38" s="96">
        <v>1E-14</v>
      </c>
      <c r="AA38" s="96">
        <v>1E-14</v>
      </c>
      <c r="AB38" s="96">
        <v>1E-14</v>
      </c>
      <c r="AC38" s="96">
        <v>1E-14</v>
      </c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</row>
    <row r="39" spans="2:53" x14ac:dyDescent="0.25">
      <c r="B39" s="11" t="s">
        <v>12</v>
      </c>
      <c r="C39" s="18"/>
      <c r="D39" s="18">
        <v>37</v>
      </c>
      <c r="E39" s="18"/>
      <c r="F39" s="18">
        <v>1</v>
      </c>
      <c r="G39" s="18"/>
      <c r="H39" s="18"/>
      <c r="I39" s="18">
        <v>1</v>
      </c>
      <c r="J39" s="25"/>
      <c r="K39" s="99"/>
      <c r="L39" s="100">
        <v>10</v>
      </c>
      <c r="M39" s="101">
        <v>0.37</v>
      </c>
      <c r="N39" s="7"/>
      <c r="P39" s="94" t="s">
        <v>2</v>
      </c>
      <c r="Q39" s="95" t="s">
        <v>117</v>
      </c>
      <c r="R39" s="96">
        <v>10.5</v>
      </c>
      <c r="S39" s="96">
        <v>10.5</v>
      </c>
      <c r="T39" s="96">
        <v>10.5</v>
      </c>
      <c r="U39" s="96">
        <v>10.5</v>
      </c>
      <c r="V39" s="96">
        <v>10.5</v>
      </c>
      <c r="W39" s="96">
        <v>10.5</v>
      </c>
      <c r="X39" s="96">
        <v>10.5</v>
      </c>
      <c r="Y39" s="96">
        <v>10.5</v>
      </c>
      <c r="Z39" s="96">
        <v>10.5</v>
      </c>
      <c r="AA39" s="96">
        <v>10.5</v>
      </c>
      <c r="AB39" s="96">
        <v>10.5</v>
      </c>
      <c r="AC39" s="96">
        <v>10.5</v>
      </c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6"/>
      <c r="AP39" s="96"/>
      <c r="AQ39" s="96"/>
      <c r="AR39" s="96"/>
      <c r="AS39" s="96"/>
      <c r="AT39" s="96"/>
      <c r="AU39" s="96"/>
      <c r="AV39" s="96"/>
      <c r="AW39" s="96"/>
      <c r="AX39" s="96"/>
      <c r="AY39" s="96"/>
      <c r="AZ39" s="96"/>
      <c r="BA39" s="96"/>
    </row>
    <row r="40" spans="2:53" x14ac:dyDescent="0.25">
      <c r="B40" s="11" t="s">
        <v>13</v>
      </c>
      <c r="C40" s="18">
        <v>525</v>
      </c>
      <c r="D40" s="18">
        <v>37</v>
      </c>
      <c r="E40" s="18"/>
      <c r="F40" s="18">
        <v>1</v>
      </c>
      <c r="G40" s="18"/>
      <c r="H40" s="18"/>
      <c r="I40" s="18">
        <v>1</v>
      </c>
      <c r="J40" s="25"/>
      <c r="K40" s="99"/>
      <c r="L40" s="100">
        <v>11</v>
      </c>
      <c r="M40" s="101">
        <v>0.40699999999999997</v>
      </c>
      <c r="N40" s="7"/>
      <c r="P40" s="94" t="s">
        <v>2</v>
      </c>
      <c r="Q40" s="95" t="s">
        <v>35</v>
      </c>
      <c r="R40" s="96">
        <v>1E-14</v>
      </c>
      <c r="S40" s="96">
        <v>1E-14</v>
      </c>
      <c r="T40" s="96">
        <v>1E-14</v>
      </c>
      <c r="U40" s="96">
        <v>1E-14</v>
      </c>
      <c r="V40" s="96">
        <v>1E-14</v>
      </c>
      <c r="W40" s="96">
        <v>1E-14</v>
      </c>
      <c r="X40" s="96">
        <v>1E-14</v>
      </c>
      <c r="Y40" s="96">
        <v>1E-14</v>
      </c>
      <c r="Z40" s="96">
        <v>1E-14</v>
      </c>
      <c r="AA40" s="96">
        <v>1E-14</v>
      </c>
      <c r="AB40" s="96">
        <v>1E-14</v>
      </c>
      <c r="AC40" s="96">
        <v>1E-14</v>
      </c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6"/>
      <c r="AP40" s="96"/>
      <c r="AQ40" s="96"/>
      <c r="AR40" s="96"/>
      <c r="AS40" s="96"/>
      <c r="AT40" s="96"/>
      <c r="AU40" s="96"/>
      <c r="AV40" s="96"/>
      <c r="AW40" s="96"/>
      <c r="AX40" s="96"/>
      <c r="AY40" s="96"/>
      <c r="AZ40" s="96"/>
      <c r="BA40" s="96"/>
    </row>
    <row r="41" spans="2:53" x14ac:dyDescent="0.25">
      <c r="B41" s="11" t="s">
        <v>14</v>
      </c>
      <c r="C41" s="18">
        <v>400</v>
      </c>
      <c r="D41" s="18">
        <v>37</v>
      </c>
      <c r="E41" s="18">
        <v>1</v>
      </c>
      <c r="F41" s="18">
        <v>1</v>
      </c>
      <c r="G41" s="18"/>
      <c r="H41" s="18"/>
      <c r="I41" s="18">
        <v>1</v>
      </c>
      <c r="J41" s="25">
        <v>40000</v>
      </c>
      <c r="K41" s="99">
        <v>40000</v>
      </c>
      <c r="L41" s="100">
        <v>10.5</v>
      </c>
      <c r="M41" s="101">
        <v>0.38850000000000001</v>
      </c>
      <c r="N41" s="7"/>
      <c r="P41" s="94" t="s">
        <v>2</v>
      </c>
      <c r="Q41" s="95" t="s">
        <v>51</v>
      </c>
      <c r="R41" s="96">
        <v>37</v>
      </c>
      <c r="S41" s="96">
        <v>37</v>
      </c>
      <c r="T41" s="96">
        <v>37</v>
      </c>
      <c r="U41" s="96">
        <v>37</v>
      </c>
      <c r="V41" s="96">
        <v>37</v>
      </c>
      <c r="W41" s="96">
        <v>37</v>
      </c>
      <c r="X41" s="96">
        <v>37</v>
      </c>
      <c r="Y41" s="96">
        <v>37</v>
      </c>
      <c r="Z41" s="96">
        <v>37</v>
      </c>
      <c r="AA41" s="96">
        <v>37</v>
      </c>
      <c r="AB41" s="96">
        <v>37</v>
      </c>
      <c r="AC41" s="96">
        <v>37</v>
      </c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</row>
    <row r="42" spans="2:53" x14ac:dyDescent="0.25">
      <c r="B42" s="11" t="s">
        <v>15</v>
      </c>
      <c r="C42" s="18">
        <v>515</v>
      </c>
      <c r="D42" s="18">
        <v>37</v>
      </c>
      <c r="E42" s="18"/>
      <c r="F42" s="18">
        <v>1</v>
      </c>
      <c r="G42" s="18"/>
      <c r="H42" s="18"/>
      <c r="I42" s="18">
        <v>1</v>
      </c>
      <c r="J42" s="25">
        <v>2000</v>
      </c>
      <c r="K42" s="99">
        <v>2000</v>
      </c>
      <c r="L42" s="100">
        <v>10.5</v>
      </c>
      <c r="M42" s="101">
        <v>0.38850000000000001</v>
      </c>
      <c r="N42" s="7"/>
      <c r="P42" s="94" t="s">
        <v>3</v>
      </c>
      <c r="Q42" s="95" t="s">
        <v>52</v>
      </c>
      <c r="R42" s="96">
        <v>2405.75</v>
      </c>
      <c r="S42" s="96">
        <v>1E-14</v>
      </c>
      <c r="T42" s="96">
        <v>2405.75</v>
      </c>
      <c r="U42" s="96">
        <v>2405.75</v>
      </c>
      <c r="V42" s="96">
        <v>2405.75</v>
      </c>
      <c r="W42" s="96">
        <v>2405.75</v>
      </c>
      <c r="X42" s="96">
        <v>2405.75</v>
      </c>
      <c r="Y42" s="96">
        <v>2405.75</v>
      </c>
      <c r="Z42" s="96">
        <v>2405.75</v>
      </c>
      <c r="AA42" s="96">
        <v>2405.75</v>
      </c>
      <c r="AB42" s="96">
        <v>2405.75</v>
      </c>
      <c r="AC42" s="96">
        <v>2405.75</v>
      </c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</row>
    <row r="43" spans="2:53" x14ac:dyDescent="0.25">
      <c r="B43" s="11" t="s">
        <v>16</v>
      </c>
      <c r="C43" s="18"/>
      <c r="D43" s="18">
        <v>37</v>
      </c>
      <c r="E43" s="18"/>
      <c r="F43" s="18">
        <v>1</v>
      </c>
      <c r="G43" s="18">
        <v>1</v>
      </c>
      <c r="H43" s="18"/>
      <c r="I43" s="18">
        <v>1</v>
      </c>
      <c r="J43" s="25"/>
      <c r="K43" s="99"/>
      <c r="L43" s="100">
        <v>13</v>
      </c>
      <c r="M43" s="101">
        <v>0.48099999999999998</v>
      </c>
      <c r="N43" s="7"/>
      <c r="P43" s="94" t="s">
        <v>3</v>
      </c>
      <c r="Q43" s="95" t="s">
        <v>37</v>
      </c>
      <c r="R43" s="96">
        <v>2405.75</v>
      </c>
      <c r="S43" s="96">
        <v>2405.75</v>
      </c>
      <c r="T43" s="96">
        <v>2405.75</v>
      </c>
      <c r="U43" s="96">
        <v>2405.75</v>
      </c>
      <c r="V43" s="96">
        <v>2405.75</v>
      </c>
      <c r="W43" s="96">
        <v>2405.75</v>
      </c>
      <c r="X43" s="96">
        <v>2405.75</v>
      </c>
      <c r="Y43" s="96">
        <v>2405.75</v>
      </c>
      <c r="Z43" s="96">
        <v>2405.75</v>
      </c>
      <c r="AA43" s="96">
        <v>2405.75</v>
      </c>
      <c r="AB43" s="96">
        <v>2405.75</v>
      </c>
      <c r="AC43" s="96">
        <v>2405.75</v>
      </c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</row>
    <row r="44" spans="2:53" x14ac:dyDescent="0.25">
      <c r="B44" s="11" t="s">
        <v>18</v>
      </c>
      <c r="C44" s="18"/>
      <c r="D44" s="18">
        <v>37</v>
      </c>
      <c r="E44" s="18"/>
      <c r="F44" s="18">
        <v>1</v>
      </c>
      <c r="G44" s="18">
        <v>1</v>
      </c>
      <c r="H44" s="18"/>
      <c r="I44" s="18">
        <v>1</v>
      </c>
      <c r="J44" s="25">
        <v>1500</v>
      </c>
      <c r="K44" s="99">
        <v>1500</v>
      </c>
      <c r="L44" s="100">
        <v>14.5</v>
      </c>
      <c r="M44" s="101">
        <v>0.53649999999999998</v>
      </c>
      <c r="N44" s="9"/>
      <c r="P44" s="94" t="s">
        <v>3</v>
      </c>
      <c r="Q44" s="95" t="s">
        <v>117</v>
      </c>
      <c r="R44" s="96">
        <v>9.4</v>
      </c>
      <c r="S44" s="96">
        <v>9.4</v>
      </c>
      <c r="T44" s="96">
        <v>9.4</v>
      </c>
      <c r="U44" s="96">
        <v>9.4</v>
      </c>
      <c r="V44" s="96">
        <v>9.4</v>
      </c>
      <c r="W44" s="96">
        <v>9.4</v>
      </c>
      <c r="X44" s="96">
        <v>9.4</v>
      </c>
      <c r="Y44" s="96">
        <v>9.4</v>
      </c>
      <c r="Z44" s="96">
        <v>9.4</v>
      </c>
      <c r="AA44" s="96">
        <v>9.4</v>
      </c>
      <c r="AB44" s="96">
        <v>9.4</v>
      </c>
      <c r="AC44" s="96">
        <v>9.4</v>
      </c>
      <c r="AD44" s="96"/>
      <c r="AE44" s="96"/>
      <c r="AF44" s="96"/>
      <c r="AG44" s="96"/>
      <c r="AH44" s="96"/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  <c r="AY44" s="96"/>
      <c r="AZ44" s="96"/>
      <c r="BA44" s="96"/>
    </row>
    <row r="45" spans="2:53" x14ac:dyDescent="0.25">
      <c r="B45" s="11" t="s">
        <v>19</v>
      </c>
      <c r="C45" s="18"/>
      <c r="D45" s="18">
        <v>37</v>
      </c>
      <c r="E45" s="18"/>
      <c r="F45" s="18">
        <v>1</v>
      </c>
      <c r="G45" s="18"/>
      <c r="H45" s="18"/>
      <c r="I45" s="18">
        <v>1</v>
      </c>
      <c r="J45" s="25"/>
      <c r="K45" s="99"/>
      <c r="L45" s="100">
        <v>14.7</v>
      </c>
      <c r="M45" s="101">
        <v>0.54389999999999994</v>
      </c>
      <c r="N45" s="9"/>
      <c r="P45" s="94" t="s">
        <v>3</v>
      </c>
      <c r="Q45" s="95" t="s">
        <v>35</v>
      </c>
      <c r="R45" s="96">
        <v>525</v>
      </c>
      <c r="S45" s="96">
        <v>525</v>
      </c>
      <c r="T45" s="96">
        <v>525</v>
      </c>
      <c r="U45" s="96">
        <v>525</v>
      </c>
      <c r="V45" s="96">
        <v>525</v>
      </c>
      <c r="W45" s="96">
        <v>525</v>
      </c>
      <c r="X45" s="96">
        <v>525</v>
      </c>
      <c r="Y45" s="96">
        <v>525</v>
      </c>
      <c r="Z45" s="96">
        <v>525</v>
      </c>
      <c r="AA45" s="96">
        <v>525</v>
      </c>
      <c r="AB45" s="96">
        <v>525</v>
      </c>
      <c r="AC45" s="96">
        <v>525</v>
      </c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6"/>
      <c r="AP45" s="96"/>
      <c r="AQ45" s="96"/>
      <c r="AR45" s="96"/>
      <c r="AS45" s="96"/>
      <c r="AT45" s="96"/>
      <c r="AU45" s="96"/>
      <c r="AV45" s="96"/>
      <c r="AW45" s="96"/>
      <c r="AX45" s="96"/>
      <c r="AY45" s="96"/>
      <c r="AZ45" s="96"/>
      <c r="BA45" s="96"/>
    </row>
    <row r="46" spans="2:53" x14ac:dyDescent="0.25">
      <c r="B46" s="11" t="s">
        <v>20</v>
      </c>
      <c r="C46" s="18">
        <v>685</v>
      </c>
      <c r="D46" s="18">
        <v>37</v>
      </c>
      <c r="E46" s="18"/>
      <c r="F46" s="18">
        <v>1</v>
      </c>
      <c r="G46" s="18"/>
      <c r="H46" s="18"/>
      <c r="I46" s="18">
        <v>1</v>
      </c>
      <c r="J46" s="25">
        <v>120</v>
      </c>
      <c r="K46" s="99">
        <v>120</v>
      </c>
      <c r="L46" s="100">
        <v>14</v>
      </c>
      <c r="M46" s="101">
        <v>0.51800000000000002</v>
      </c>
      <c r="N46" s="9"/>
      <c r="P46" s="94" t="s">
        <v>3</v>
      </c>
      <c r="Q46" s="95" t="s">
        <v>51</v>
      </c>
      <c r="R46" s="96">
        <v>37</v>
      </c>
      <c r="S46" s="96">
        <v>37</v>
      </c>
      <c r="T46" s="96">
        <v>37</v>
      </c>
      <c r="U46" s="96">
        <v>37</v>
      </c>
      <c r="V46" s="96">
        <v>37</v>
      </c>
      <c r="W46" s="96">
        <v>37</v>
      </c>
      <c r="X46" s="96">
        <v>37</v>
      </c>
      <c r="Y46" s="96">
        <v>37</v>
      </c>
      <c r="Z46" s="96">
        <v>37</v>
      </c>
      <c r="AA46" s="96">
        <v>37</v>
      </c>
      <c r="AB46" s="96">
        <v>37</v>
      </c>
      <c r="AC46" s="96">
        <v>37</v>
      </c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6"/>
      <c r="AP46" s="96"/>
      <c r="AQ46" s="96"/>
      <c r="AR46" s="96"/>
      <c r="AS46" s="96"/>
      <c r="AT46" s="96"/>
      <c r="AU46" s="96"/>
      <c r="AV46" s="96"/>
      <c r="AW46" s="96"/>
      <c r="AX46" s="96"/>
      <c r="AY46" s="96"/>
      <c r="AZ46" s="96"/>
      <c r="BA46" s="96"/>
    </row>
    <row r="47" spans="2:53" x14ac:dyDescent="0.25">
      <c r="B47" s="11" t="s">
        <v>17</v>
      </c>
      <c r="C47" s="18">
        <v>-450</v>
      </c>
      <c r="D47" s="18"/>
      <c r="E47" s="18"/>
      <c r="F47" s="18">
        <v>1</v>
      </c>
      <c r="G47" s="18">
        <v>1</v>
      </c>
      <c r="H47" s="18"/>
      <c r="I47" s="18">
        <v>1</v>
      </c>
      <c r="J47" s="25">
        <v>150</v>
      </c>
      <c r="K47" s="99">
        <v>150</v>
      </c>
      <c r="L47" s="100">
        <v>9</v>
      </c>
      <c r="M47" s="101"/>
      <c r="N47" s="9"/>
      <c r="P47" s="94" t="s">
        <v>4</v>
      </c>
      <c r="Q47" s="95" t="s">
        <v>52</v>
      </c>
      <c r="R47" s="96">
        <v>291.66666666666669</v>
      </c>
      <c r="S47" s="96">
        <v>1E-14</v>
      </c>
      <c r="T47" s="96">
        <v>291.66666666666669</v>
      </c>
      <c r="U47" s="96">
        <v>291.66666666666669</v>
      </c>
      <c r="V47" s="96">
        <v>291.66666666666669</v>
      </c>
      <c r="W47" s="96">
        <v>291.66666666666669</v>
      </c>
      <c r="X47" s="96">
        <v>291.66666666666669</v>
      </c>
      <c r="Y47" s="96">
        <v>291.66666666666669</v>
      </c>
      <c r="Z47" s="96">
        <v>291.66666666666669</v>
      </c>
      <c r="AA47" s="96">
        <v>291.66666666666669</v>
      </c>
      <c r="AB47" s="96">
        <v>291.66666666666669</v>
      </c>
      <c r="AC47" s="96">
        <v>291.66666666666669</v>
      </c>
      <c r="AD47" s="96"/>
      <c r="AE47" s="96"/>
      <c r="AF47" s="96"/>
      <c r="AG47" s="96"/>
      <c r="AH47" s="96"/>
      <c r="AI47" s="96"/>
      <c r="AJ47" s="96"/>
      <c r="AK47" s="96"/>
      <c r="AL47" s="96"/>
      <c r="AM47" s="96"/>
      <c r="AN47" s="96"/>
      <c r="AO47" s="96"/>
      <c r="AP47" s="96"/>
      <c r="AQ47" s="96"/>
      <c r="AR47" s="96"/>
      <c r="AS47" s="96"/>
      <c r="AT47" s="96"/>
      <c r="AU47" s="96"/>
      <c r="AV47" s="96"/>
      <c r="AW47" s="96"/>
      <c r="AX47" s="96"/>
      <c r="AY47" s="96"/>
      <c r="AZ47" s="96"/>
      <c r="BA47" s="96"/>
    </row>
    <row r="48" spans="2:53" x14ac:dyDescent="0.25">
      <c r="B48" s="11" t="s">
        <v>43</v>
      </c>
      <c r="C48" s="18">
        <v>-50</v>
      </c>
      <c r="D48" s="18"/>
      <c r="E48" s="18">
        <v>1</v>
      </c>
      <c r="F48" s="18">
        <v>1</v>
      </c>
      <c r="G48" s="18"/>
      <c r="H48" s="18">
        <v>1</v>
      </c>
      <c r="I48" s="18">
        <v>1</v>
      </c>
      <c r="J48" s="25"/>
      <c r="K48" s="99">
        <v>50000</v>
      </c>
      <c r="L48" s="100">
        <v>11.5</v>
      </c>
      <c r="M48" s="101"/>
      <c r="N48" s="9"/>
      <c r="P48" s="94" t="s">
        <v>4</v>
      </c>
      <c r="Q48" s="95" t="s">
        <v>37</v>
      </c>
      <c r="R48" s="96">
        <v>291.66666666666669</v>
      </c>
      <c r="S48" s="96">
        <v>291.66666666666669</v>
      </c>
      <c r="T48" s="96">
        <v>291.66666666666669</v>
      </c>
      <c r="U48" s="96">
        <v>291.66666666666669</v>
      </c>
      <c r="V48" s="96">
        <v>291.66666666666669</v>
      </c>
      <c r="W48" s="96">
        <v>291.66666666666669</v>
      </c>
      <c r="X48" s="96">
        <v>291.66666666666669</v>
      </c>
      <c r="Y48" s="96">
        <v>291.66666666666669</v>
      </c>
      <c r="Z48" s="96">
        <v>291.66666666666669</v>
      </c>
      <c r="AA48" s="96">
        <v>291.66666666666669</v>
      </c>
      <c r="AB48" s="96">
        <v>291.66666666666669</v>
      </c>
      <c r="AC48" s="96">
        <v>291.66666666666669</v>
      </c>
      <c r="AD48" s="96"/>
      <c r="AE48" s="96"/>
      <c r="AF48" s="96"/>
      <c r="AG48" s="96"/>
      <c r="AH48" s="96"/>
      <c r="AI48" s="96"/>
      <c r="AJ48" s="96"/>
      <c r="AK48" s="96"/>
      <c r="AL48" s="96"/>
      <c r="AM48" s="96"/>
      <c r="AN48" s="96"/>
      <c r="AO48" s="96"/>
      <c r="AP48" s="96"/>
      <c r="AQ48" s="96"/>
      <c r="AR48" s="96"/>
      <c r="AS48" s="96"/>
      <c r="AT48" s="96"/>
      <c r="AU48" s="96"/>
      <c r="AV48" s="96"/>
      <c r="AW48" s="96"/>
      <c r="AX48" s="96"/>
      <c r="AY48" s="96"/>
      <c r="AZ48" s="96"/>
      <c r="BA48" s="96"/>
    </row>
    <row r="49" spans="2:53" x14ac:dyDescent="0.25">
      <c r="B49" s="11" t="s">
        <v>44</v>
      </c>
      <c r="C49" s="18">
        <v>450</v>
      </c>
      <c r="D49" s="18">
        <v>37</v>
      </c>
      <c r="E49" s="18">
        <v>1</v>
      </c>
      <c r="F49" s="18">
        <v>1</v>
      </c>
      <c r="G49" s="18"/>
      <c r="H49" s="18">
        <v>1</v>
      </c>
      <c r="I49" s="18">
        <v>1</v>
      </c>
      <c r="J49" s="25"/>
      <c r="K49" s="99">
        <v>40000</v>
      </c>
      <c r="L49" s="100">
        <v>10.5</v>
      </c>
      <c r="M49" s="101">
        <v>0.38850000000000001</v>
      </c>
      <c r="N49" s="9"/>
      <c r="P49" s="94" t="s">
        <v>4</v>
      </c>
      <c r="Q49" s="95" t="s">
        <v>117</v>
      </c>
      <c r="R49" s="96">
        <v>10.5</v>
      </c>
      <c r="S49" s="96">
        <v>10.5</v>
      </c>
      <c r="T49" s="96">
        <v>10.5</v>
      </c>
      <c r="U49" s="96">
        <v>10.5</v>
      </c>
      <c r="V49" s="96">
        <v>10.5</v>
      </c>
      <c r="W49" s="96">
        <v>10.5</v>
      </c>
      <c r="X49" s="96">
        <v>10.5</v>
      </c>
      <c r="Y49" s="96">
        <v>10.5</v>
      </c>
      <c r="Z49" s="96">
        <v>10.5</v>
      </c>
      <c r="AA49" s="96">
        <v>10.5</v>
      </c>
      <c r="AB49" s="96">
        <v>10.5</v>
      </c>
      <c r="AC49" s="96">
        <v>10.5</v>
      </c>
      <c r="AD49" s="96"/>
      <c r="AE49" s="96"/>
      <c r="AF49" s="96"/>
      <c r="AG49" s="96"/>
      <c r="AH49" s="96"/>
      <c r="AI49" s="96"/>
      <c r="AJ49" s="96"/>
      <c r="AK49" s="96"/>
      <c r="AL49" s="96"/>
      <c r="AM49" s="96"/>
      <c r="AN49" s="96"/>
      <c r="AO49" s="96"/>
      <c r="AP49" s="96"/>
      <c r="AQ49" s="96"/>
      <c r="AR49" s="96"/>
      <c r="AS49" s="96"/>
      <c r="AT49" s="96"/>
      <c r="AU49" s="96"/>
      <c r="AV49" s="96"/>
      <c r="AW49" s="96"/>
      <c r="AX49" s="96"/>
      <c r="AY49" s="96"/>
      <c r="AZ49" s="96"/>
      <c r="BA49" s="96"/>
    </row>
    <row r="50" spans="2:53" x14ac:dyDescent="0.25">
      <c r="B50" s="11" t="s">
        <v>91</v>
      </c>
      <c r="C50" s="18">
        <v>500</v>
      </c>
      <c r="D50" s="18">
        <v>37</v>
      </c>
      <c r="E50" s="18"/>
      <c r="F50" s="18">
        <v>1</v>
      </c>
      <c r="G50" s="18"/>
      <c r="H50" s="18">
        <v>1</v>
      </c>
      <c r="I50" s="18">
        <v>1</v>
      </c>
      <c r="J50" s="25"/>
      <c r="K50" s="99">
        <v>30000</v>
      </c>
      <c r="L50" s="100">
        <v>9.5</v>
      </c>
      <c r="M50" s="101">
        <v>0.35149999999999998</v>
      </c>
      <c r="N50" s="9"/>
      <c r="P50" s="94" t="s">
        <v>4</v>
      </c>
      <c r="Q50" s="95" t="s">
        <v>35</v>
      </c>
      <c r="R50" s="96">
        <v>525</v>
      </c>
      <c r="S50" s="96">
        <v>525</v>
      </c>
      <c r="T50" s="96">
        <v>525</v>
      </c>
      <c r="U50" s="96">
        <v>525</v>
      </c>
      <c r="V50" s="96">
        <v>525</v>
      </c>
      <c r="W50" s="96">
        <v>525</v>
      </c>
      <c r="X50" s="96">
        <v>525</v>
      </c>
      <c r="Y50" s="96">
        <v>525</v>
      </c>
      <c r="Z50" s="96">
        <v>525</v>
      </c>
      <c r="AA50" s="96">
        <v>525</v>
      </c>
      <c r="AB50" s="96">
        <v>525</v>
      </c>
      <c r="AC50" s="96">
        <v>525</v>
      </c>
      <c r="AD50" s="96"/>
      <c r="AE50" s="96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6"/>
      <c r="AR50" s="96"/>
      <c r="AS50" s="96"/>
      <c r="AT50" s="96"/>
      <c r="AU50" s="96"/>
      <c r="AV50" s="96"/>
      <c r="AW50" s="96"/>
      <c r="AX50" s="96"/>
      <c r="AY50" s="96"/>
      <c r="AZ50" s="96"/>
      <c r="BA50" s="96"/>
    </row>
    <row r="51" spans="2:53" x14ac:dyDescent="0.25">
      <c r="B51" s="11" t="s">
        <v>92</v>
      </c>
      <c r="C51" s="18">
        <v>550</v>
      </c>
      <c r="D51" s="18">
        <v>37</v>
      </c>
      <c r="E51" s="18"/>
      <c r="F51" s="18">
        <v>1</v>
      </c>
      <c r="G51" s="18"/>
      <c r="H51" s="18">
        <v>1</v>
      </c>
      <c r="I51" s="18">
        <v>1</v>
      </c>
      <c r="J51" s="25"/>
      <c r="K51" s="99">
        <v>20000</v>
      </c>
      <c r="L51" s="100">
        <v>8.5</v>
      </c>
      <c r="M51" s="101">
        <v>0.3145</v>
      </c>
      <c r="N51" s="9"/>
      <c r="P51" s="94" t="s">
        <v>4</v>
      </c>
      <c r="Q51" s="95" t="s">
        <v>51</v>
      </c>
      <c r="R51" s="96">
        <v>37</v>
      </c>
      <c r="S51" s="96">
        <v>37</v>
      </c>
      <c r="T51" s="96">
        <v>37</v>
      </c>
      <c r="U51" s="96">
        <v>37</v>
      </c>
      <c r="V51" s="96">
        <v>37</v>
      </c>
      <c r="W51" s="96">
        <v>37</v>
      </c>
      <c r="X51" s="96">
        <v>37</v>
      </c>
      <c r="Y51" s="96">
        <v>37</v>
      </c>
      <c r="Z51" s="96">
        <v>37</v>
      </c>
      <c r="AA51" s="96">
        <v>37</v>
      </c>
      <c r="AB51" s="96">
        <v>37</v>
      </c>
      <c r="AC51" s="96">
        <v>37</v>
      </c>
      <c r="AD51" s="96"/>
      <c r="AE51" s="96"/>
      <c r="AF51" s="96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6"/>
      <c r="AR51" s="96"/>
      <c r="AS51" s="96"/>
      <c r="AT51" s="96"/>
      <c r="AU51" s="96"/>
      <c r="AV51" s="96"/>
      <c r="AW51" s="96"/>
      <c r="AX51" s="96"/>
      <c r="AY51" s="96"/>
      <c r="AZ51" s="96"/>
      <c r="BA51" s="96"/>
    </row>
    <row r="52" spans="2:53" x14ac:dyDescent="0.25">
      <c r="B52" s="11" t="s">
        <v>93</v>
      </c>
      <c r="C52" s="18">
        <v>600</v>
      </c>
      <c r="D52" s="18">
        <v>37</v>
      </c>
      <c r="E52" s="18"/>
      <c r="F52" s="18">
        <v>1</v>
      </c>
      <c r="G52" s="18"/>
      <c r="H52" s="18">
        <v>1</v>
      </c>
      <c r="I52" s="18">
        <v>1</v>
      </c>
      <c r="J52" s="25"/>
      <c r="K52" s="99">
        <v>10000</v>
      </c>
      <c r="L52" s="100">
        <v>7.5</v>
      </c>
      <c r="M52" s="101">
        <v>0.27750000000000002</v>
      </c>
      <c r="N52" s="9"/>
      <c r="P52" s="94" t="s">
        <v>5</v>
      </c>
      <c r="Q52" s="95" t="s">
        <v>52</v>
      </c>
      <c r="R52" s="96">
        <v>1E-14</v>
      </c>
      <c r="S52" s="96">
        <v>1E-14</v>
      </c>
      <c r="T52" s="96">
        <v>1E-14</v>
      </c>
      <c r="U52" s="96">
        <v>1E-14</v>
      </c>
      <c r="V52" s="96">
        <v>1E-14</v>
      </c>
      <c r="W52" s="96">
        <v>1E-14</v>
      </c>
      <c r="X52" s="96">
        <v>1E-14</v>
      </c>
      <c r="Y52" s="96">
        <v>1E-14</v>
      </c>
      <c r="Z52" s="96">
        <v>1E-14</v>
      </c>
      <c r="AA52" s="96">
        <v>1E-14</v>
      </c>
      <c r="AB52" s="96">
        <v>1E-14</v>
      </c>
      <c r="AC52" s="96">
        <v>1E-14</v>
      </c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6"/>
      <c r="AR52" s="96"/>
      <c r="AS52" s="96"/>
      <c r="AT52" s="96"/>
      <c r="AU52" s="96"/>
      <c r="AV52" s="96"/>
      <c r="AW52" s="96"/>
      <c r="AX52" s="96"/>
      <c r="AY52" s="96"/>
      <c r="AZ52" s="96"/>
      <c r="BA52" s="96"/>
    </row>
    <row r="53" spans="2:53" x14ac:dyDescent="0.25">
      <c r="B53" s="11" t="s">
        <v>21</v>
      </c>
      <c r="C53" s="18">
        <v>-470</v>
      </c>
      <c r="D53" s="18"/>
      <c r="E53" s="18">
        <v>1</v>
      </c>
      <c r="F53" s="18">
        <v>2</v>
      </c>
      <c r="G53" s="18">
        <v>1</v>
      </c>
      <c r="H53" s="18">
        <v>1</v>
      </c>
      <c r="I53" s="18"/>
      <c r="J53" s="25"/>
      <c r="K53" s="99"/>
      <c r="L53" s="100">
        <v>9.4</v>
      </c>
      <c r="M53" s="101"/>
      <c r="N53" s="8"/>
      <c r="P53" s="94" t="s">
        <v>5</v>
      </c>
      <c r="Q53" s="95" t="s">
        <v>37</v>
      </c>
      <c r="R53" s="96">
        <v>1E-14</v>
      </c>
      <c r="S53" s="96">
        <v>1E-14</v>
      </c>
      <c r="T53" s="96">
        <v>1E-14</v>
      </c>
      <c r="U53" s="96">
        <v>1E-14</v>
      </c>
      <c r="V53" s="96">
        <v>1E-14</v>
      </c>
      <c r="W53" s="96">
        <v>1E-14</v>
      </c>
      <c r="X53" s="96">
        <v>1E-14</v>
      </c>
      <c r="Y53" s="96">
        <v>1E-14</v>
      </c>
      <c r="Z53" s="96">
        <v>1E-14</v>
      </c>
      <c r="AA53" s="96">
        <v>1E-14</v>
      </c>
      <c r="AB53" s="96">
        <v>1E-14</v>
      </c>
      <c r="AC53" s="96">
        <v>1E-14</v>
      </c>
      <c r="AD53" s="96"/>
      <c r="AE53" s="96"/>
      <c r="AF53" s="96"/>
      <c r="AG53" s="96"/>
      <c r="AH53" s="96"/>
      <c r="AI53" s="96"/>
      <c r="AJ53" s="96"/>
      <c r="AK53" s="96"/>
      <c r="AL53" s="96"/>
      <c r="AM53" s="96"/>
      <c r="AN53" s="96"/>
      <c r="AO53" s="96"/>
      <c r="AP53" s="96"/>
      <c r="AQ53" s="96"/>
      <c r="AR53" s="96"/>
      <c r="AS53" s="96"/>
      <c r="AT53" s="96"/>
      <c r="AU53" s="96"/>
      <c r="AV53" s="96"/>
      <c r="AW53" s="96"/>
      <c r="AX53" s="96"/>
      <c r="AY53" s="96"/>
      <c r="AZ53" s="96"/>
      <c r="BA53" s="96"/>
    </row>
    <row r="54" spans="2:53" x14ac:dyDescent="0.25">
      <c r="B54" s="11" t="s">
        <v>22</v>
      </c>
      <c r="C54" s="18">
        <v>-50</v>
      </c>
      <c r="D54" s="18"/>
      <c r="E54" s="18">
        <v>1</v>
      </c>
      <c r="F54" s="18">
        <v>3</v>
      </c>
      <c r="G54" s="18"/>
      <c r="H54" s="18">
        <v>1</v>
      </c>
      <c r="I54" s="18"/>
      <c r="J54" s="25"/>
      <c r="K54" s="99">
        <v>11000</v>
      </c>
      <c r="L54" s="100">
        <v>3.6</v>
      </c>
      <c r="M54" s="101"/>
      <c r="N54" s="8"/>
      <c r="P54" s="94" t="s">
        <v>5</v>
      </c>
      <c r="Q54" s="95" t="s">
        <v>117</v>
      </c>
      <c r="R54" s="96">
        <v>14.5</v>
      </c>
      <c r="S54" s="96">
        <v>14.5</v>
      </c>
      <c r="T54" s="96">
        <v>14.5</v>
      </c>
      <c r="U54" s="96">
        <v>14.5</v>
      </c>
      <c r="V54" s="96">
        <v>14.5</v>
      </c>
      <c r="W54" s="96">
        <v>14.5</v>
      </c>
      <c r="X54" s="96">
        <v>14.5</v>
      </c>
      <c r="Y54" s="96">
        <v>14.5</v>
      </c>
      <c r="Z54" s="96">
        <v>14.5</v>
      </c>
      <c r="AA54" s="96">
        <v>14.5</v>
      </c>
      <c r="AB54" s="96">
        <v>14.5</v>
      </c>
      <c r="AC54" s="96">
        <v>14.5</v>
      </c>
      <c r="AD54" s="96"/>
      <c r="AE54" s="96"/>
      <c r="AF54" s="96"/>
      <c r="AG54" s="96"/>
      <c r="AH54" s="96"/>
      <c r="AI54" s="96"/>
      <c r="AJ54" s="96"/>
      <c r="AK54" s="96"/>
      <c r="AL54" s="96"/>
      <c r="AM54" s="96"/>
      <c r="AN54" s="96"/>
      <c r="AO54" s="96"/>
      <c r="AP54" s="96"/>
      <c r="AQ54" s="96"/>
      <c r="AR54" s="96"/>
      <c r="AS54" s="96"/>
      <c r="AT54" s="96"/>
      <c r="AU54" s="96"/>
      <c r="AV54" s="96"/>
      <c r="AW54" s="96"/>
      <c r="AX54" s="96"/>
      <c r="AY54" s="96"/>
      <c r="AZ54" s="96"/>
      <c r="BA54" s="96"/>
    </row>
    <row r="55" spans="2:53" x14ac:dyDescent="0.25">
      <c r="B55" s="11" t="s">
        <v>42</v>
      </c>
      <c r="C55" s="18">
        <v>-5000</v>
      </c>
      <c r="D55" s="18">
        <v>74</v>
      </c>
      <c r="E55" s="18">
        <v>1</v>
      </c>
      <c r="F55" s="18">
        <v>4</v>
      </c>
      <c r="G55" s="18">
        <v>1</v>
      </c>
      <c r="H55" s="18">
        <v>1</v>
      </c>
      <c r="I55" s="18"/>
      <c r="J55" s="25"/>
      <c r="K55" s="99">
        <v>20000</v>
      </c>
      <c r="L55" s="100">
        <v>44</v>
      </c>
      <c r="M55" s="101">
        <v>3.2559999999999998</v>
      </c>
      <c r="N55" s="8"/>
      <c r="P55" s="94" t="s">
        <v>5</v>
      </c>
      <c r="Q55" s="95" t="s">
        <v>35</v>
      </c>
      <c r="R55" s="96">
        <v>155</v>
      </c>
      <c r="S55" s="96">
        <v>155</v>
      </c>
      <c r="T55" s="96">
        <v>155</v>
      </c>
      <c r="U55" s="96">
        <v>155</v>
      </c>
      <c r="V55" s="96">
        <v>155</v>
      </c>
      <c r="W55" s="96">
        <v>155</v>
      </c>
      <c r="X55" s="96">
        <v>155</v>
      </c>
      <c r="Y55" s="96">
        <v>155</v>
      </c>
      <c r="Z55" s="96">
        <v>155</v>
      </c>
      <c r="AA55" s="96">
        <v>155</v>
      </c>
      <c r="AB55" s="96">
        <v>155</v>
      </c>
      <c r="AC55" s="96">
        <v>155</v>
      </c>
      <c r="AD55" s="96"/>
      <c r="AE55" s="96"/>
      <c r="AF55" s="96"/>
      <c r="AG55" s="96"/>
      <c r="AH55" s="96"/>
      <c r="AI55" s="96"/>
      <c r="AJ55" s="96"/>
      <c r="AK55" s="96"/>
      <c r="AL55" s="96"/>
      <c r="AM55" s="96"/>
      <c r="AN55" s="96"/>
      <c r="AO55" s="96"/>
      <c r="AP55" s="96"/>
      <c r="AQ55" s="96"/>
      <c r="AR55" s="96"/>
      <c r="AS55" s="96"/>
      <c r="AT55" s="96"/>
      <c r="AU55" s="96"/>
      <c r="AV55" s="96"/>
      <c r="AW55" s="96"/>
      <c r="AX55" s="96"/>
      <c r="AY55" s="96"/>
      <c r="AZ55" s="96"/>
      <c r="BA55" s="96"/>
    </row>
    <row r="56" spans="2:53" x14ac:dyDescent="0.25">
      <c r="B56" s="11"/>
      <c r="C56" s="18"/>
      <c r="D56" s="18"/>
      <c r="E56" s="18"/>
      <c r="F56" s="18"/>
      <c r="G56" s="18"/>
      <c r="H56" s="18"/>
      <c r="I56" s="18"/>
      <c r="J56" s="25"/>
      <c r="K56" s="99"/>
      <c r="L56" s="100"/>
      <c r="M56" s="101"/>
      <c r="P56" s="94" t="s">
        <v>5</v>
      </c>
      <c r="Q56" s="95" t="s">
        <v>51</v>
      </c>
      <c r="R56" s="96">
        <v>37</v>
      </c>
      <c r="S56" s="96">
        <v>37</v>
      </c>
      <c r="T56" s="96">
        <v>37</v>
      </c>
      <c r="U56" s="96">
        <v>37</v>
      </c>
      <c r="V56" s="96">
        <v>37</v>
      </c>
      <c r="W56" s="96">
        <v>37</v>
      </c>
      <c r="X56" s="96">
        <v>37</v>
      </c>
      <c r="Y56" s="96">
        <v>37</v>
      </c>
      <c r="Z56" s="96">
        <v>37</v>
      </c>
      <c r="AA56" s="96">
        <v>37</v>
      </c>
      <c r="AB56" s="96">
        <v>37</v>
      </c>
      <c r="AC56" s="96">
        <v>37</v>
      </c>
      <c r="AD56" s="96"/>
      <c r="AE56" s="96"/>
      <c r="AF56" s="96"/>
      <c r="AG56" s="96"/>
      <c r="AH56" s="96"/>
      <c r="AI56" s="96"/>
      <c r="AJ56" s="96"/>
      <c r="AK56" s="96"/>
      <c r="AL56" s="96"/>
      <c r="AM56" s="96"/>
      <c r="AN56" s="96"/>
      <c r="AO56" s="96"/>
      <c r="AP56" s="96"/>
      <c r="AQ56" s="96"/>
      <c r="AR56" s="96"/>
      <c r="AS56" s="96"/>
      <c r="AT56" s="96"/>
      <c r="AU56" s="96"/>
      <c r="AV56" s="96"/>
      <c r="AW56" s="96"/>
      <c r="AX56" s="96"/>
      <c r="AY56" s="96"/>
      <c r="AZ56" s="96"/>
      <c r="BA56" s="96"/>
    </row>
    <row r="57" spans="2:53" x14ac:dyDescent="0.25">
      <c r="B57" s="11"/>
      <c r="C57" s="18"/>
      <c r="D57" s="18"/>
      <c r="E57" s="18"/>
      <c r="F57" s="18"/>
      <c r="G57" s="18"/>
      <c r="H57" s="18"/>
      <c r="I57" s="18"/>
      <c r="J57" s="25"/>
      <c r="K57" s="99"/>
      <c r="L57" s="100"/>
      <c r="M57" s="101"/>
      <c r="P57" s="94" t="s">
        <v>6</v>
      </c>
      <c r="Q57" s="95" t="s">
        <v>52</v>
      </c>
      <c r="R57" s="96">
        <v>1E-14</v>
      </c>
      <c r="S57" s="96">
        <v>1E-14</v>
      </c>
      <c r="T57" s="96">
        <v>1E-14</v>
      </c>
      <c r="U57" s="96">
        <v>1E-14</v>
      </c>
      <c r="V57" s="96">
        <v>1E-14</v>
      </c>
      <c r="W57" s="96">
        <v>1E-14</v>
      </c>
      <c r="X57" s="96">
        <v>1E-14</v>
      </c>
      <c r="Y57" s="96">
        <v>1E-14</v>
      </c>
      <c r="Z57" s="96">
        <v>1E-14</v>
      </c>
      <c r="AA57" s="96">
        <v>1E-14</v>
      </c>
      <c r="AB57" s="96">
        <v>1E-14</v>
      </c>
      <c r="AC57" s="96">
        <v>1E-14</v>
      </c>
      <c r="AD57" s="96"/>
      <c r="AE57" s="96"/>
      <c r="AF57" s="96"/>
      <c r="AG57" s="96"/>
      <c r="AH57" s="96"/>
      <c r="AI57" s="96"/>
      <c r="AJ57" s="96"/>
      <c r="AK57" s="96"/>
      <c r="AL57" s="96"/>
      <c r="AM57" s="96"/>
      <c r="AN57" s="96"/>
      <c r="AO57" s="96"/>
      <c r="AP57" s="96"/>
      <c r="AQ57" s="96"/>
      <c r="AR57" s="96"/>
      <c r="AS57" s="96"/>
      <c r="AT57" s="96"/>
      <c r="AU57" s="96"/>
      <c r="AV57" s="96"/>
      <c r="AW57" s="96"/>
      <c r="AX57" s="96"/>
      <c r="AY57" s="96"/>
      <c r="AZ57" s="96"/>
      <c r="BA57" s="96"/>
    </row>
    <row r="58" spans="2:53" x14ac:dyDescent="0.25">
      <c r="B58" s="11"/>
      <c r="C58" s="18"/>
      <c r="D58" s="18"/>
      <c r="E58" s="18"/>
      <c r="F58" s="18"/>
      <c r="G58" s="18"/>
      <c r="H58" s="18"/>
      <c r="I58" s="18"/>
      <c r="J58" s="25"/>
      <c r="K58" s="99"/>
      <c r="L58" s="100"/>
      <c r="M58" s="101"/>
      <c r="P58" s="94" t="s">
        <v>6</v>
      </c>
      <c r="Q58" s="95" t="s">
        <v>37</v>
      </c>
      <c r="R58" s="96">
        <v>1E-14</v>
      </c>
      <c r="S58" s="96">
        <v>1E-14</v>
      </c>
      <c r="T58" s="96">
        <v>1E-14</v>
      </c>
      <c r="U58" s="96">
        <v>1E-14</v>
      </c>
      <c r="V58" s="96">
        <v>1E-14</v>
      </c>
      <c r="W58" s="96">
        <v>1E-14</v>
      </c>
      <c r="X58" s="96">
        <v>1E-14</v>
      </c>
      <c r="Y58" s="96">
        <v>1E-14</v>
      </c>
      <c r="Z58" s="96">
        <v>1E-14</v>
      </c>
      <c r="AA58" s="96">
        <v>1E-14</v>
      </c>
      <c r="AB58" s="96">
        <v>1E-14</v>
      </c>
      <c r="AC58" s="96">
        <v>1E-14</v>
      </c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</row>
    <row r="59" spans="2:53" x14ac:dyDescent="0.25">
      <c r="P59" s="94" t="s">
        <v>6</v>
      </c>
      <c r="Q59" s="95" t="s">
        <v>117</v>
      </c>
      <c r="R59" s="96">
        <v>12</v>
      </c>
      <c r="S59" s="96">
        <v>12</v>
      </c>
      <c r="T59" s="96">
        <v>12</v>
      </c>
      <c r="U59" s="96">
        <v>12</v>
      </c>
      <c r="V59" s="96">
        <v>12</v>
      </c>
      <c r="W59" s="96">
        <v>12</v>
      </c>
      <c r="X59" s="96">
        <v>12</v>
      </c>
      <c r="Y59" s="96">
        <v>12</v>
      </c>
      <c r="Z59" s="96">
        <v>12</v>
      </c>
      <c r="AA59" s="96">
        <v>12</v>
      </c>
      <c r="AB59" s="96">
        <v>12</v>
      </c>
      <c r="AC59" s="96">
        <v>12</v>
      </c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6"/>
      <c r="BA59" s="96"/>
    </row>
    <row r="60" spans="2:53" x14ac:dyDescent="0.25">
      <c r="P60" s="94" t="s">
        <v>6</v>
      </c>
      <c r="Q60" s="95" t="s">
        <v>35</v>
      </c>
      <c r="R60" s="96">
        <v>525</v>
      </c>
      <c r="S60" s="96">
        <v>525</v>
      </c>
      <c r="T60" s="96">
        <v>525</v>
      </c>
      <c r="U60" s="96">
        <v>525</v>
      </c>
      <c r="V60" s="96">
        <v>525</v>
      </c>
      <c r="W60" s="96">
        <v>525</v>
      </c>
      <c r="X60" s="96">
        <v>525</v>
      </c>
      <c r="Y60" s="96">
        <v>525</v>
      </c>
      <c r="Z60" s="96">
        <v>525</v>
      </c>
      <c r="AA60" s="96">
        <v>525</v>
      </c>
      <c r="AB60" s="96">
        <v>525</v>
      </c>
      <c r="AC60" s="96">
        <v>525</v>
      </c>
      <c r="AD60" s="96"/>
      <c r="AE60" s="96"/>
      <c r="AF60" s="96"/>
      <c r="AG60" s="96"/>
      <c r="AH60" s="96"/>
      <c r="AI60" s="96"/>
      <c r="AJ60" s="96"/>
      <c r="AK60" s="96"/>
      <c r="AL60" s="96"/>
      <c r="AM60" s="96"/>
      <c r="AN60" s="96"/>
      <c r="AO60" s="96"/>
      <c r="AP60" s="96"/>
      <c r="AQ60" s="96"/>
      <c r="AR60" s="96"/>
      <c r="AS60" s="96"/>
      <c r="AT60" s="96"/>
      <c r="AU60" s="96"/>
      <c r="AV60" s="96"/>
      <c r="AW60" s="96"/>
      <c r="AX60" s="96"/>
      <c r="AY60" s="96"/>
      <c r="AZ60" s="96"/>
      <c r="BA60" s="96"/>
    </row>
    <row r="61" spans="2:53" x14ac:dyDescent="0.25">
      <c r="P61" s="94" t="s">
        <v>6</v>
      </c>
      <c r="Q61" s="95" t="s">
        <v>51</v>
      </c>
      <c r="R61" s="96">
        <v>37</v>
      </c>
      <c r="S61" s="96">
        <v>37</v>
      </c>
      <c r="T61" s="96">
        <v>37</v>
      </c>
      <c r="U61" s="96">
        <v>37</v>
      </c>
      <c r="V61" s="96">
        <v>37</v>
      </c>
      <c r="W61" s="96">
        <v>37</v>
      </c>
      <c r="X61" s="96">
        <v>37</v>
      </c>
      <c r="Y61" s="96">
        <v>37</v>
      </c>
      <c r="Z61" s="96">
        <v>37</v>
      </c>
      <c r="AA61" s="96">
        <v>37</v>
      </c>
      <c r="AB61" s="96">
        <v>37</v>
      </c>
      <c r="AC61" s="96">
        <v>37</v>
      </c>
      <c r="AD61" s="96"/>
      <c r="AE61" s="96"/>
      <c r="AF61" s="96"/>
      <c r="AG61" s="96"/>
      <c r="AH61" s="96"/>
      <c r="AI61" s="96"/>
      <c r="AJ61" s="96"/>
      <c r="AK61" s="96"/>
      <c r="AL61" s="96"/>
      <c r="AM61" s="96"/>
      <c r="AN61" s="96"/>
      <c r="AO61" s="96"/>
      <c r="AP61" s="96"/>
      <c r="AQ61" s="96"/>
      <c r="AR61" s="96"/>
      <c r="AS61" s="96"/>
      <c r="AT61" s="96"/>
      <c r="AU61" s="96"/>
      <c r="AV61" s="96"/>
      <c r="AW61" s="96"/>
      <c r="AX61" s="96"/>
      <c r="AY61" s="96"/>
      <c r="AZ61" s="96"/>
      <c r="BA61" s="96"/>
    </row>
    <row r="62" spans="2:53" x14ac:dyDescent="0.25">
      <c r="P62" s="94" t="s">
        <v>7</v>
      </c>
      <c r="Q62" s="95" t="s">
        <v>52</v>
      </c>
      <c r="R62" s="96">
        <v>650</v>
      </c>
      <c r="S62" s="96">
        <v>1E-14</v>
      </c>
      <c r="T62" s="96">
        <v>650</v>
      </c>
      <c r="U62" s="96">
        <v>650</v>
      </c>
      <c r="V62" s="96">
        <v>650</v>
      </c>
      <c r="W62" s="96">
        <v>650</v>
      </c>
      <c r="X62" s="96">
        <v>650</v>
      </c>
      <c r="Y62" s="96">
        <v>650</v>
      </c>
      <c r="Z62" s="96">
        <v>650</v>
      </c>
      <c r="AA62" s="96">
        <v>650</v>
      </c>
      <c r="AB62" s="96">
        <v>650</v>
      </c>
      <c r="AC62" s="96">
        <v>650</v>
      </c>
      <c r="AD62" s="96"/>
      <c r="AE62" s="96"/>
      <c r="AF62" s="96"/>
      <c r="AG62" s="96"/>
      <c r="AH62" s="96"/>
      <c r="AI62" s="96"/>
      <c r="AJ62" s="96"/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</row>
    <row r="63" spans="2:53" x14ac:dyDescent="0.25">
      <c r="P63" s="94" t="s">
        <v>7</v>
      </c>
      <c r="Q63" s="95" t="s">
        <v>37</v>
      </c>
      <c r="R63" s="96">
        <v>650</v>
      </c>
      <c r="S63" s="96">
        <v>650</v>
      </c>
      <c r="T63" s="96">
        <v>650</v>
      </c>
      <c r="U63" s="96">
        <v>650</v>
      </c>
      <c r="V63" s="96">
        <v>650</v>
      </c>
      <c r="W63" s="96">
        <v>650</v>
      </c>
      <c r="X63" s="96">
        <v>650</v>
      </c>
      <c r="Y63" s="96">
        <v>650</v>
      </c>
      <c r="Z63" s="96">
        <v>650</v>
      </c>
      <c r="AA63" s="96">
        <v>650</v>
      </c>
      <c r="AB63" s="96">
        <v>650</v>
      </c>
      <c r="AC63" s="96">
        <v>650</v>
      </c>
      <c r="AD63" s="96"/>
      <c r="AE63" s="96"/>
      <c r="AF63" s="96"/>
      <c r="AG63" s="96"/>
      <c r="AH63" s="96"/>
      <c r="AI63" s="96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</row>
    <row r="64" spans="2:53" x14ac:dyDescent="0.25">
      <c r="P64" s="94" t="s">
        <v>7</v>
      </c>
      <c r="Q64" s="95" t="s">
        <v>117</v>
      </c>
      <c r="R64" s="96">
        <v>9</v>
      </c>
      <c r="S64" s="96">
        <v>9</v>
      </c>
      <c r="T64" s="96">
        <v>9</v>
      </c>
      <c r="U64" s="96">
        <v>9</v>
      </c>
      <c r="V64" s="96">
        <v>9</v>
      </c>
      <c r="W64" s="96">
        <v>9</v>
      </c>
      <c r="X64" s="96">
        <v>9</v>
      </c>
      <c r="Y64" s="96">
        <v>9</v>
      </c>
      <c r="Z64" s="96">
        <v>9</v>
      </c>
      <c r="AA64" s="96">
        <v>9</v>
      </c>
      <c r="AB64" s="96">
        <v>9</v>
      </c>
      <c r="AC64" s="96">
        <v>9</v>
      </c>
      <c r="AD64" s="96"/>
      <c r="AE64" s="96"/>
      <c r="AF64" s="96"/>
      <c r="AG64" s="96"/>
      <c r="AH64" s="96"/>
      <c r="AI64" s="96"/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</row>
    <row r="65" spans="16:53" x14ac:dyDescent="0.25">
      <c r="P65" s="94" t="s">
        <v>7</v>
      </c>
      <c r="Q65" s="95" t="s">
        <v>35</v>
      </c>
      <c r="R65" s="96">
        <v>525</v>
      </c>
      <c r="S65" s="96">
        <v>525</v>
      </c>
      <c r="T65" s="96">
        <v>525</v>
      </c>
      <c r="U65" s="96">
        <v>525</v>
      </c>
      <c r="V65" s="96">
        <v>525</v>
      </c>
      <c r="W65" s="96">
        <v>525</v>
      </c>
      <c r="X65" s="96">
        <v>525</v>
      </c>
      <c r="Y65" s="96">
        <v>525</v>
      </c>
      <c r="Z65" s="96">
        <v>525</v>
      </c>
      <c r="AA65" s="96">
        <v>525</v>
      </c>
      <c r="AB65" s="96">
        <v>525</v>
      </c>
      <c r="AC65" s="96">
        <v>525</v>
      </c>
      <c r="AD65" s="96"/>
      <c r="AE65" s="96"/>
      <c r="AF65" s="96"/>
      <c r="AG65" s="96"/>
      <c r="AH65" s="96"/>
      <c r="AI65" s="96"/>
      <c r="AJ65" s="96"/>
      <c r="AK65" s="96"/>
      <c r="AL65" s="96"/>
      <c r="AM65" s="96"/>
      <c r="AN65" s="96"/>
      <c r="AO65" s="96"/>
      <c r="AP65" s="96"/>
      <c r="AQ65" s="96"/>
      <c r="AR65" s="96"/>
      <c r="AS65" s="96"/>
      <c r="AT65" s="96"/>
      <c r="AU65" s="96"/>
      <c r="AV65" s="96"/>
      <c r="AW65" s="96"/>
      <c r="AX65" s="96"/>
      <c r="AY65" s="96"/>
      <c r="AZ65" s="96"/>
      <c r="BA65" s="96"/>
    </row>
    <row r="66" spans="16:53" x14ac:dyDescent="0.25">
      <c r="P66" s="94" t="s">
        <v>7</v>
      </c>
      <c r="Q66" s="95" t="s">
        <v>51</v>
      </c>
      <c r="R66" s="96">
        <v>37</v>
      </c>
      <c r="S66" s="96">
        <v>37</v>
      </c>
      <c r="T66" s="96">
        <v>37</v>
      </c>
      <c r="U66" s="96">
        <v>37</v>
      </c>
      <c r="V66" s="96">
        <v>37</v>
      </c>
      <c r="W66" s="96">
        <v>37</v>
      </c>
      <c r="X66" s="96">
        <v>37</v>
      </c>
      <c r="Y66" s="96">
        <v>37</v>
      </c>
      <c r="Z66" s="96">
        <v>37</v>
      </c>
      <c r="AA66" s="96">
        <v>37</v>
      </c>
      <c r="AB66" s="96">
        <v>37</v>
      </c>
      <c r="AC66" s="96">
        <v>37</v>
      </c>
      <c r="AD66" s="96"/>
      <c r="AE66" s="96"/>
      <c r="AF66" s="96"/>
      <c r="AG66" s="96"/>
      <c r="AH66" s="96"/>
      <c r="AI66" s="96"/>
      <c r="AJ66" s="96"/>
      <c r="AK66" s="96"/>
      <c r="AL66" s="96"/>
      <c r="AM66" s="96"/>
      <c r="AN66" s="96"/>
      <c r="AO66" s="96"/>
      <c r="AP66" s="96"/>
      <c r="AQ66" s="96"/>
      <c r="AR66" s="96"/>
      <c r="AS66" s="96"/>
      <c r="AT66" s="96"/>
      <c r="AU66" s="96"/>
      <c r="AV66" s="96"/>
      <c r="AW66" s="96"/>
      <c r="AX66" s="96"/>
      <c r="AY66" s="96"/>
      <c r="AZ66" s="96"/>
      <c r="BA66" s="96"/>
    </row>
    <row r="67" spans="16:53" x14ac:dyDescent="0.25">
      <c r="P67" s="94" t="s">
        <v>8</v>
      </c>
      <c r="Q67" s="95" t="s">
        <v>52</v>
      </c>
      <c r="R67" s="96">
        <v>1E-14</v>
      </c>
      <c r="S67" s="96">
        <v>1E-14</v>
      </c>
      <c r="T67" s="96">
        <v>1E-14</v>
      </c>
      <c r="U67" s="96">
        <v>1E-14</v>
      </c>
      <c r="V67" s="96">
        <v>1E-14</v>
      </c>
      <c r="W67" s="96">
        <v>1E-14</v>
      </c>
      <c r="X67" s="96">
        <v>1E-14</v>
      </c>
      <c r="Y67" s="96">
        <v>1E-14</v>
      </c>
      <c r="Z67" s="96">
        <v>1E-14</v>
      </c>
      <c r="AA67" s="96">
        <v>1E-14</v>
      </c>
      <c r="AB67" s="96">
        <v>1E-14</v>
      </c>
      <c r="AC67" s="96">
        <v>1E-14</v>
      </c>
      <c r="AD67" s="96"/>
      <c r="AE67" s="96"/>
      <c r="AF67" s="96"/>
      <c r="AG67" s="96"/>
      <c r="AH67" s="96"/>
      <c r="AI67" s="96"/>
      <c r="AJ67" s="96"/>
      <c r="AK67" s="96"/>
      <c r="AL67" s="96"/>
      <c r="AM67" s="96"/>
      <c r="AN67" s="96"/>
      <c r="AO67" s="96"/>
      <c r="AP67" s="96"/>
      <c r="AQ67" s="96"/>
      <c r="AR67" s="96"/>
      <c r="AS67" s="96"/>
      <c r="AT67" s="96"/>
      <c r="AU67" s="96"/>
      <c r="AV67" s="96"/>
      <c r="AW67" s="96"/>
      <c r="AX67" s="96"/>
      <c r="AY67" s="96"/>
      <c r="AZ67" s="96"/>
      <c r="BA67" s="96"/>
    </row>
    <row r="68" spans="16:53" x14ac:dyDescent="0.25">
      <c r="P68" s="94" t="s">
        <v>8</v>
      </c>
      <c r="Q68" s="95" t="s">
        <v>37</v>
      </c>
      <c r="R68" s="96">
        <v>1E-14</v>
      </c>
      <c r="S68" s="96">
        <v>1E-14</v>
      </c>
      <c r="T68" s="96">
        <v>1E-14</v>
      </c>
      <c r="U68" s="96">
        <v>1E-14</v>
      </c>
      <c r="V68" s="96">
        <v>1E-14</v>
      </c>
      <c r="W68" s="96">
        <v>1E-14</v>
      </c>
      <c r="X68" s="96">
        <v>1E-14</v>
      </c>
      <c r="Y68" s="96">
        <v>1E-14</v>
      </c>
      <c r="Z68" s="96">
        <v>1E-14</v>
      </c>
      <c r="AA68" s="96">
        <v>1E-14</v>
      </c>
      <c r="AB68" s="96">
        <v>1E-14</v>
      </c>
      <c r="AC68" s="96">
        <v>1E-14</v>
      </c>
      <c r="AD68" s="96"/>
      <c r="AE68" s="96"/>
      <c r="AF68" s="96"/>
      <c r="AG68" s="96"/>
      <c r="AH68" s="96"/>
      <c r="AI68" s="96"/>
      <c r="AJ68" s="96"/>
      <c r="AK68" s="96"/>
      <c r="AL68" s="96"/>
      <c r="AM68" s="96"/>
      <c r="AN68" s="96"/>
      <c r="AO68" s="96"/>
      <c r="AP68" s="96"/>
      <c r="AQ68" s="96"/>
      <c r="AR68" s="96"/>
      <c r="AS68" s="96"/>
      <c r="AT68" s="96"/>
      <c r="AU68" s="96"/>
      <c r="AV68" s="96"/>
      <c r="AW68" s="96"/>
      <c r="AX68" s="96"/>
      <c r="AY68" s="96"/>
      <c r="AZ68" s="96"/>
      <c r="BA68" s="96"/>
    </row>
    <row r="69" spans="16:53" x14ac:dyDescent="0.25">
      <c r="P69" s="94" t="s">
        <v>8</v>
      </c>
      <c r="Q69" s="95" t="s">
        <v>117</v>
      </c>
      <c r="R69" s="96">
        <v>11</v>
      </c>
      <c r="S69" s="96">
        <v>11</v>
      </c>
      <c r="T69" s="96">
        <v>11</v>
      </c>
      <c r="U69" s="96">
        <v>11</v>
      </c>
      <c r="V69" s="96">
        <v>11</v>
      </c>
      <c r="W69" s="96">
        <v>11</v>
      </c>
      <c r="X69" s="96">
        <v>11</v>
      </c>
      <c r="Y69" s="96">
        <v>11</v>
      </c>
      <c r="Z69" s="96">
        <v>11</v>
      </c>
      <c r="AA69" s="96">
        <v>11</v>
      </c>
      <c r="AB69" s="96">
        <v>11</v>
      </c>
      <c r="AC69" s="96">
        <v>11</v>
      </c>
      <c r="AD69" s="96"/>
      <c r="AE69" s="96"/>
      <c r="AF69" s="96"/>
      <c r="AG69" s="96"/>
      <c r="AH69" s="96"/>
      <c r="AI69" s="96"/>
      <c r="AJ69" s="96"/>
      <c r="AK69" s="96"/>
      <c r="AL69" s="96"/>
      <c r="AM69" s="96"/>
      <c r="AN69" s="96"/>
      <c r="AO69" s="96"/>
      <c r="AP69" s="96"/>
      <c r="AQ69" s="96"/>
      <c r="AR69" s="96"/>
      <c r="AS69" s="96"/>
      <c r="AT69" s="96"/>
      <c r="AU69" s="96"/>
      <c r="AV69" s="96"/>
      <c r="AW69" s="96"/>
      <c r="AX69" s="96"/>
      <c r="AY69" s="96"/>
      <c r="AZ69" s="96"/>
      <c r="BA69" s="96"/>
    </row>
    <row r="70" spans="16:53" x14ac:dyDescent="0.25">
      <c r="P70" s="94" t="s">
        <v>8</v>
      </c>
      <c r="Q70" s="95" t="s">
        <v>35</v>
      </c>
      <c r="R70" s="96">
        <v>525</v>
      </c>
      <c r="S70" s="96">
        <v>525</v>
      </c>
      <c r="T70" s="96">
        <v>525</v>
      </c>
      <c r="U70" s="96">
        <v>525</v>
      </c>
      <c r="V70" s="96">
        <v>525</v>
      </c>
      <c r="W70" s="96">
        <v>525</v>
      </c>
      <c r="X70" s="96">
        <v>525</v>
      </c>
      <c r="Y70" s="96">
        <v>525</v>
      </c>
      <c r="Z70" s="96">
        <v>525</v>
      </c>
      <c r="AA70" s="96">
        <v>525</v>
      </c>
      <c r="AB70" s="96">
        <v>525</v>
      </c>
      <c r="AC70" s="96">
        <v>525</v>
      </c>
      <c r="AD70" s="96"/>
      <c r="AE70" s="96"/>
      <c r="AF70" s="96"/>
      <c r="AG70" s="96"/>
      <c r="AH70" s="96"/>
      <c r="AI70" s="96"/>
      <c r="AJ70" s="96"/>
      <c r="AK70" s="96"/>
      <c r="AL70" s="96"/>
      <c r="AM70" s="96"/>
      <c r="AN70" s="96"/>
      <c r="AO70" s="96"/>
      <c r="AP70" s="96"/>
      <c r="AQ70" s="96"/>
      <c r="AR70" s="96"/>
      <c r="AS70" s="96"/>
      <c r="AT70" s="96"/>
      <c r="AU70" s="96"/>
      <c r="AV70" s="96"/>
      <c r="AW70" s="96"/>
      <c r="AX70" s="96"/>
      <c r="AY70" s="96"/>
      <c r="AZ70" s="96"/>
      <c r="BA70" s="96"/>
    </row>
    <row r="71" spans="16:53" x14ac:dyDescent="0.25">
      <c r="P71" s="94" t="s">
        <v>8</v>
      </c>
      <c r="Q71" s="95" t="s">
        <v>51</v>
      </c>
      <c r="R71" s="96">
        <v>37</v>
      </c>
      <c r="S71" s="96">
        <v>37</v>
      </c>
      <c r="T71" s="96">
        <v>37</v>
      </c>
      <c r="U71" s="96">
        <v>37</v>
      </c>
      <c r="V71" s="96">
        <v>37</v>
      </c>
      <c r="W71" s="96">
        <v>37</v>
      </c>
      <c r="X71" s="96">
        <v>37</v>
      </c>
      <c r="Y71" s="96">
        <v>37</v>
      </c>
      <c r="Z71" s="96">
        <v>37</v>
      </c>
      <c r="AA71" s="96">
        <v>37</v>
      </c>
      <c r="AB71" s="96">
        <v>37</v>
      </c>
      <c r="AC71" s="96">
        <v>37</v>
      </c>
      <c r="AD71" s="96"/>
      <c r="AE71" s="96"/>
      <c r="AF71" s="96"/>
      <c r="AG71" s="96"/>
      <c r="AH71" s="96"/>
      <c r="AI71" s="96"/>
      <c r="AJ71" s="96"/>
      <c r="AK71" s="96"/>
      <c r="AL71" s="96"/>
      <c r="AM71" s="96"/>
      <c r="AN71" s="96"/>
      <c r="AO71" s="96"/>
      <c r="AP71" s="96"/>
      <c r="AQ71" s="96"/>
      <c r="AR71" s="96"/>
      <c r="AS71" s="96"/>
      <c r="AT71" s="96"/>
      <c r="AU71" s="96"/>
      <c r="AV71" s="96"/>
      <c r="AW71" s="96"/>
      <c r="AX71" s="96"/>
      <c r="AY71" s="96"/>
      <c r="AZ71" s="96"/>
      <c r="BA71" s="96"/>
    </row>
    <row r="72" spans="16:53" x14ac:dyDescent="0.25">
      <c r="P72" s="94" t="s">
        <v>9</v>
      </c>
      <c r="Q72" s="95" t="s">
        <v>52</v>
      </c>
      <c r="R72" s="96">
        <v>1E-14</v>
      </c>
      <c r="S72" s="96">
        <v>1E-14</v>
      </c>
      <c r="T72" s="96">
        <v>1E-14</v>
      </c>
      <c r="U72" s="96">
        <v>1E-14</v>
      </c>
      <c r="V72" s="96">
        <v>1E-14</v>
      </c>
      <c r="W72" s="96">
        <v>1E-14</v>
      </c>
      <c r="X72" s="96">
        <v>1E-14</v>
      </c>
      <c r="Y72" s="96">
        <v>1E-14</v>
      </c>
      <c r="Z72" s="96">
        <v>1E-14</v>
      </c>
      <c r="AA72" s="96">
        <v>1E-14</v>
      </c>
      <c r="AB72" s="96">
        <v>1E-14</v>
      </c>
      <c r="AC72" s="96">
        <v>1E-14</v>
      </c>
      <c r="AD72" s="96"/>
      <c r="AE72" s="96"/>
      <c r="AF72" s="96"/>
      <c r="AG72" s="96"/>
      <c r="AH72" s="96"/>
      <c r="AI72" s="96"/>
      <c r="AJ72" s="96"/>
      <c r="AK72" s="96"/>
      <c r="AL72" s="96"/>
      <c r="AM72" s="96"/>
      <c r="AN72" s="96"/>
      <c r="AO72" s="96"/>
      <c r="AP72" s="96"/>
      <c r="AQ72" s="96"/>
      <c r="AR72" s="96"/>
      <c r="AS72" s="96"/>
      <c r="AT72" s="96"/>
      <c r="AU72" s="96"/>
      <c r="AV72" s="96"/>
      <c r="AW72" s="96"/>
      <c r="AX72" s="96"/>
      <c r="AY72" s="96"/>
      <c r="AZ72" s="96"/>
      <c r="BA72" s="96"/>
    </row>
    <row r="73" spans="16:53" x14ac:dyDescent="0.25">
      <c r="P73" s="94" t="s">
        <v>9</v>
      </c>
      <c r="Q73" s="95" t="s">
        <v>37</v>
      </c>
      <c r="R73" s="96">
        <v>1E-14</v>
      </c>
      <c r="S73" s="96">
        <v>1E-14</v>
      </c>
      <c r="T73" s="96">
        <v>1E-14</v>
      </c>
      <c r="U73" s="96">
        <v>1E-14</v>
      </c>
      <c r="V73" s="96">
        <v>1E-14</v>
      </c>
      <c r="W73" s="96">
        <v>1E-14</v>
      </c>
      <c r="X73" s="96">
        <v>1E-14</v>
      </c>
      <c r="Y73" s="96">
        <v>1E-14</v>
      </c>
      <c r="Z73" s="96">
        <v>1E-14</v>
      </c>
      <c r="AA73" s="96">
        <v>1E-14</v>
      </c>
      <c r="AB73" s="96">
        <v>1E-14</v>
      </c>
      <c r="AC73" s="96">
        <v>1E-14</v>
      </c>
      <c r="AD73" s="96"/>
      <c r="AE73" s="96"/>
      <c r="AF73" s="96"/>
      <c r="AG73" s="96"/>
      <c r="AH73" s="96"/>
      <c r="AI73" s="96"/>
      <c r="AJ73" s="96"/>
      <c r="AK73" s="96"/>
      <c r="AL73" s="96"/>
      <c r="AM73" s="96"/>
      <c r="AN73" s="96"/>
      <c r="AO73" s="96"/>
      <c r="AP73" s="96"/>
      <c r="AQ73" s="96"/>
      <c r="AR73" s="96"/>
      <c r="AS73" s="96"/>
      <c r="AT73" s="96"/>
      <c r="AU73" s="96"/>
      <c r="AV73" s="96"/>
      <c r="AW73" s="96"/>
      <c r="AX73" s="96"/>
      <c r="AY73" s="96"/>
      <c r="AZ73" s="96"/>
      <c r="BA73" s="96"/>
    </row>
    <row r="74" spans="16:53" x14ac:dyDescent="0.25">
      <c r="P74" s="94" t="s">
        <v>9</v>
      </c>
      <c r="Q74" s="95" t="s">
        <v>117</v>
      </c>
      <c r="R74" s="96">
        <v>9.5</v>
      </c>
      <c r="S74" s="96">
        <v>9.5</v>
      </c>
      <c r="T74" s="96">
        <v>9.5</v>
      </c>
      <c r="U74" s="96">
        <v>9.5</v>
      </c>
      <c r="V74" s="96">
        <v>9.5</v>
      </c>
      <c r="W74" s="96">
        <v>9.5</v>
      </c>
      <c r="X74" s="96">
        <v>9.5</v>
      </c>
      <c r="Y74" s="96">
        <v>9.5</v>
      </c>
      <c r="Z74" s="96">
        <v>9.5</v>
      </c>
      <c r="AA74" s="96">
        <v>9.5</v>
      </c>
      <c r="AB74" s="96">
        <v>9.5</v>
      </c>
      <c r="AC74" s="96">
        <v>9.5</v>
      </c>
      <c r="AD74" s="96"/>
      <c r="AE74" s="96"/>
      <c r="AF74" s="96"/>
      <c r="AG74" s="96"/>
      <c r="AH74" s="96"/>
      <c r="AI74" s="96"/>
      <c r="AJ74" s="96"/>
      <c r="AK74" s="96"/>
      <c r="AL74" s="96"/>
      <c r="AM74" s="96"/>
      <c r="AN74" s="96"/>
      <c r="AO74" s="96"/>
      <c r="AP74" s="96"/>
      <c r="AQ74" s="96"/>
      <c r="AR74" s="96"/>
      <c r="AS74" s="96"/>
      <c r="AT74" s="96"/>
      <c r="AU74" s="96"/>
      <c r="AV74" s="96"/>
      <c r="AW74" s="96"/>
      <c r="AX74" s="96"/>
      <c r="AY74" s="96"/>
      <c r="AZ74" s="96"/>
      <c r="BA74" s="96"/>
    </row>
    <row r="75" spans="16:53" x14ac:dyDescent="0.25">
      <c r="P75" s="94" t="s">
        <v>9</v>
      </c>
      <c r="Q75" s="95" t="s">
        <v>35</v>
      </c>
      <c r="R75" s="96">
        <v>525</v>
      </c>
      <c r="S75" s="96">
        <v>525</v>
      </c>
      <c r="T75" s="96">
        <v>525</v>
      </c>
      <c r="U75" s="96">
        <v>525</v>
      </c>
      <c r="V75" s="96">
        <v>525</v>
      </c>
      <c r="W75" s="96">
        <v>525</v>
      </c>
      <c r="X75" s="96">
        <v>525</v>
      </c>
      <c r="Y75" s="96">
        <v>525</v>
      </c>
      <c r="Z75" s="96">
        <v>525</v>
      </c>
      <c r="AA75" s="96">
        <v>525</v>
      </c>
      <c r="AB75" s="96">
        <v>525</v>
      </c>
      <c r="AC75" s="96">
        <v>525</v>
      </c>
      <c r="AD75" s="96"/>
      <c r="AE75" s="96"/>
      <c r="AF75" s="96"/>
      <c r="AG75" s="96"/>
      <c r="AH75" s="96"/>
      <c r="AI75" s="96"/>
      <c r="AJ75" s="96"/>
      <c r="AK75" s="96"/>
      <c r="AL75" s="96"/>
      <c r="AM75" s="96"/>
      <c r="AN75" s="96"/>
      <c r="AO75" s="96"/>
      <c r="AP75" s="96"/>
      <c r="AQ75" s="96"/>
      <c r="AR75" s="96"/>
      <c r="AS75" s="96"/>
      <c r="AT75" s="96"/>
      <c r="AU75" s="96"/>
      <c r="AV75" s="96"/>
      <c r="AW75" s="96"/>
      <c r="AX75" s="96"/>
      <c r="AY75" s="96"/>
      <c r="AZ75" s="96"/>
      <c r="BA75" s="96"/>
    </row>
    <row r="76" spans="16:53" x14ac:dyDescent="0.25">
      <c r="P76" s="94" t="s">
        <v>9</v>
      </c>
      <c r="Q76" s="95" t="s">
        <v>51</v>
      </c>
      <c r="R76" s="96">
        <v>37</v>
      </c>
      <c r="S76" s="96">
        <v>37</v>
      </c>
      <c r="T76" s="96">
        <v>37</v>
      </c>
      <c r="U76" s="96">
        <v>37</v>
      </c>
      <c r="V76" s="96">
        <v>37</v>
      </c>
      <c r="W76" s="96">
        <v>37</v>
      </c>
      <c r="X76" s="96">
        <v>37</v>
      </c>
      <c r="Y76" s="96">
        <v>37</v>
      </c>
      <c r="Z76" s="96">
        <v>37</v>
      </c>
      <c r="AA76" s="96">
        <v>37</v>
      </c>
      <c r="AB76" s="96">
        <v>37</v>
      </c>
      <c r="AC76" s="96">
        <v>37</v>
      </c>
      <c r="AD76" s="96"/>
      <c r="AE76" s="96"/>
      <c r="AF76" s="96"/>
      <c r="AG76" s="96"/>
      <c r="AH76" s="96"/>
      <c r="AI76" s="96"/>
      <c r="AJ76" s="96"/>
      <c r="AK76" s="96"/>
      <c r="AL76" s="96"/>
      <c r="AM76" s="96"/>
      <c r="AN76" s="96"/>
      <c r="AO76" s="96"/>
      <c r="AP76" s="96"/>
      <c r="AQ76" s="96"/>
      <c r="AR76" s="96"/>
      <c r="AS76" s="96"/>
      <c r="AT76" s="96"/>
      <c r="AU76" s="96"/>
      <c r="AV76" s="96"/>
      <c r="AW76" s="96"/>
      <c r="AX76" s="96"/>
      <c r="AY76" s="96"/>
      <c r="AZ76" s="96"/>
      <c r="BA76" s="96"/>
    </row>
    <row r="77" spans="16:53" x14ac:dyDescent="0.25">
      <c r="P77" s="94" t="s">
        <v>10</v>
      </c>
      <c r="Q77" s="95" t="s">
        <v>52</v>
      </c>
      <c r="R77" s="96">
        <v>1E-14</v>
      </c>
      <c r="S77" s="96">
        <v>1E-14</v>
      </c>
      <c r="T77" s="96">
        <v>1E-14</v>
      </c>
      <c r="U77" s="96">
        <v>1E-14</v>
      </c>
      <c r="V77" s="96">
        <v>1E-14</v>
      </c>
      <c r="W77" s="96">
        <v>1E-14</v>
      </c>
      <c r="X77" s="96">
        <v>1E-14</v>
      </c>
      <c r="Y77" s="96">
        <v>1E-14</v>
      </c>
      <c r="Z77" s="96">
        <v>1E-14</v>
      </c>
      <c r="AA77" s="96">
        <v>1E-14</v>
      </c>
      <c r="AB77" s="96">
        <v>1E-14</v>
      </c>
      <c r="AC77" s="96">
        <v>1E-14</v>
      </c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  <c r="AP77" s="96"/>
      <c r="AQ77" s="96"/>
      <c r="AR77" s="96"/>
      <c r="AS77" s="96"/>
      <c r="AT77" s="96"/>
      <c r="AU77" s="96"/>
      <c r="AV77" s="96"/>
      <c r="AW77" s="96"/>
      <c r="AX77" s="96"/>
      <c r="AY77" s="96"/>
      <c r="AZ77" s="96"/>
      <c r="BA77" s="96"/>
    </row>
    <row r="78" spans="16:53" x14ac:dyDescent="0.25">
      <c r="P78" s="94" t="s">
        <v>10</v>
      </c>
      <c r="Q78" s="95" t="s">
        <v>37</v>
      </c>
      <c r="R78" s="96">
        <v>5200</v>
      </c>
      <c r="S78" s="96">
        <v>5200</v>
      </c>
      <c r="T78" s="96">
        <v>5200</v>
      </c>
      <c r="U78" s="96">
        <v>5200</v>
      </c>
      <c r="V78" s="96">
        <v>5200</v>
      </c>
      <c r="W78" s="96">
        <v>5200</v>
      </c>
      <c r="X78" s="96">
        <v>5200</v>
      </c>
      <c r="Y78" s="96">
        <v>5200</v>
      </c>
      <c r="Z78" s="96">
        <v>5200</v>
      </c>
      <c r="AA78" s="96">
        <v>5200</v>
      </c>
      <c r="AB78" s="96">
        <v>5200</v>
      </c>
      <c r="AC78" s="96">
        <v>5200</v>
      </c>
      <c r="AD78" s="96"/>
      <c r="AE78" s="96"/>
      <c r="AF78" s="96"/>
      <c r="AG78" s="96"/>
      <c r="AH78" s="96"/>
      <c r="AI78" s="96"/>
      <c r="AJ78" s="96"/>
      <c r="AK78" s="96"/>
      <c r="AL78" s="96"/>
      <c r="AM78" s="96"/>
      <c r="AN78" s="96"/>
      <c r="AO78" s="96"/>
      <c r="AP78" s="96"/>
      <c r="AQ78" s="96"/>
      <c r="AR78" s="96"/>
      <c r="AS78" s="96"/>
      <c r="AT78" s="96"/>
      <c r="AU78" s="96"/>
      <c r="AV78" s="96"/>
      <c r="AW78" s="96"/>
      <c r="AX78" s="96"/>
      <c r="AY78" s="96"/>
      <c r="AZ78" s="96"/>
      <c r="BA78" s="96"/>
    </row>
    <row r="79" spans="16:53" x14ac:dyDescent="0.25">
      <c r="P79" s="94" t="s">
        <v>10</v>
      </c>
      <c r="Q79" s="95" t="s">
        <v>117</v>
      </c>
      <c r="R79" s="96">
        <v>9</v>
      </c>
      <c r="S79" s="96">
        <v>9</v>
      </c>
      <c r="T79" s="96">
        <v>9</v>
      </c>
      <c r="U79" s="96">
        <v>9</v>
      </c>
      <c r="V79" s="96">
        <v>9</v>
      </c>
      <c r="W79" s="96">
        <v>9</v>
      </c>
      <c r="X79" s="96">
        <v>9</v>
      </c>
      <c r="Y79" s="96">
        <v>9</v>
      </c>
      <c r="Z79" s="96">
        <v>9</v>
      </c>
      <c r="AA79" s="96">
        <v>9</v>
      </c>
      <c r="AB79" s="96">
        <v>9</v>
      </c>
      <c r="AC79" s="96">
        <v>9</v>
      </c>
      <c r="AD79" s="96"/>
      <c r="AE79" s="96"/>
      <c r="AF79" s="96"/>
      <c r="AG79" s="96"/>
      <c r="AH79" s="96"/>
      <c r="AI79" s="96"/>
      <c r="AJ79" s="96"/>
      <c r="AK79" s="96"/>
      <c r="AL79" s="96"/>
      <c r="AM79" s="96"/>
      <c r="AN79" s="96"/>
      <c r="AO79" s="96"/>
      <c r="AP79" s="96"/>
      <c r="AQ79" s="96"/>
      <c r="AR79" s="96"/>
      <c r="AS79" s="96"/>
      <c r="AT79" s="96"/>
      <c r="AU79" s="96"/>
      <c r="AV79" s="96"/>
      <c r="AW79" s="96"/>
      <c r="AX79" s="96"/>
      <c r="AY79" s="96"/>
      <c r="AZ79" s="96"/>
      <c r="BA79" s="96"/>
    </row>
    <row r="80" spans="16:53" x14ac:dyDescent="0.25">
      <c r="P80" s="94" t="s">
        <v>10</v>
      </c>
      <c r="Q80" s="95" t="s">
        <v>35</v>
      </c>
      <c r="R80" s="96">
        <v>525</v>
      </c>
      <c r="S80" s="96">
        <v>525</v>
      </c>
      <c r="T80" s="96">
        <v>525</v>
      </c>
      <c r="U80" s="96">
        <v>525</v>
      </c>
      <c r="V80" s="96">
        <v>525</v>
      </c>
      <c r="W80" s="96">
        <v>525</v>
      </c>
      <c r="X80" s="96">
        <v>525</v>
      </c>
      <c r="Y80" s="96">
        <v>525</v>
      </c>
      <c r="Z80" s="96">
        <v>525</v>
      </c>
      <c r="AA80" s="96">
        <v>525</v>
      </c>
      <c r="AB80" s="96">
        <v>525</v>
      </c>
      <c r="AC80" s="96">
        <v>525</v>
      </c>
      <c r="AD80" s="96"/>
      <c r="AE80" s="96"/>
      <c r="AF80" s="96"/>
      <c r="AG80" s="96"/>
      <c r="AH80" s="96"/>
      <c r="AI80" s="96"/>
      <c r="AJ80" s="96"/>
      <c r="AK80" s="96"/>
      <c r="AL80" s="96"/>
      <c r="AM80" s="96"/>
      <c r="AN80" s="96"/>
      <c r="AO80" s="96"/>
      <c r="AP80" s="96"/>
      <c r="AQ80" s="96"/>
      <c r="AR80" s="96"/>
      <c r="AS80" s="96"/>
      <c r="AT80" s="96"/>
      <c r="AU80" s="96"/>
      <c r="AV80" s="96"/>
      <c r="AW80" s="96"/>
      <c r="AX80" s="96"/>
      <c r="AY80" s="96"/>
      <c r="AZ80" s="96"/>
      <c r="BA80" s="96"/>
    </row>
    <row r="81" spans="16:53" x14ac:dyDescent="0.25">
      <c r="P81" s="94" t="s">
        <v>10</v>
      </c>
      <c r="Q81" s="95" t="s">
        <v>51</v>
      </c>
      <c r="R81" s="96">
        <v>37</v>
      </c>
      <c r="S81" s="96">
        <v>37</v>
      </c>
      <c r="T81" s="96">
        <v>37</v>
      </c>
      <c r="U81" s="96">
        <v>37</v>
      </c>
      <c r="V81" s="96">
        <v>37</v>
      </c>
      <c r="W81" s="96">
        <v>37</v>
      </c>
      <c r="X81" s="96">
        <v>37</v>
      </c>
      <c r="Y81" s="96">
        <v>37</v>
      </c>
      <c r="Z81" s="96">
        <v>37</v>
      </c>
      <c r="AA81" s="96">
        <v>37</v>
      </c>
      <c r="AB81" s="96">
        <v>37</v>
      </c>
      <c r="AC81" s="96">
        <v>37</v>
      </c>
      <c r="AD81" s="96"/>
      <c r="AE81" s="96"/>
      <c r="AF81" s="96"/>
      <c r="AG81" s="96"/>
      <c r="AH81" s="96"/>
      <c r="AI81" s="96"/>
      <c r="AJ81" s="96"/>
      <c r="AK81" s="96"/>
      <c r="AL81" s="96"/>
      <c r="AM81" s="96"/>
      <c r="AN81" s="96"/>
      <c r="AO81" s="96"/>
      <c r="AP81" s="96"/>
      <c r="AQ81" s="96"/>
      <c r="AR81" s="96"/>
      <c r="AS81" s="96"/>
      <c r="AT81" s="96"/>
      <c r="AU81" s="96"/>
      <c r="AV81" s="96"/>
      <c r="AW81" s="96"/>
      <c r="AX81" s="96"/>
      <c r="AY81" s="96"/>
      <c r="AZ81" s="96"/>
      <c r="BA81" s="96"/>
    </row>
    <row r="82" spans="16:53" x14ac:dyDescent="0.25">
      <c r="P82" s="94" t="s">
        <v>11</v>
      </c>
      <c r="Q82" s="95" t="s">
        <v>52</v>
      </c>
      <c r="R82" s="96">
        <v>41.666666666666664</v>
      </c>
      <c r="S82" s="96">
        <v>1E-14</v>
      </c>
      <c r="T82" s="96">
        <v>41.666666666666664</v>
      </c>
      <c r="U82" s="96">
        <v>41.666666666666664</v>
      </c>
      <c r="V82" s="96">
        <v>41.666666666666664</v>
      </c>
      <c r="W82" s="96">
        <v>41.666666666666664</v>
      </c>
      <c r="X82" s="96">
        <v>41.666666666666664</v>
      </c>
      <c r="Y82" s="96">
        <v>41.666666666666664</v>
      </c>
      <c r="Z82" s="96">
        <v>41.666666666666664</v>
      </c>
      <c r="AA82" s="96">
        <v>41.666666666666664</v>
      </c>
      <c r="AB82" s="96">
        <v>41.666666666666664</v>
      </c>
      <c r="AC82" s="96">
        <v>41.666666666666664</v>
      </c>
      <c r="AD82" s="96"/>
      <c r="AE82" s="96"/>
      <c r="AF82" s="96"/>
      <c r="AG82" s="96"/>
      <c r="AH82" s="96"/>
      <c r="AI82" s="96"/>
      <c r="AJ82" s="96"/>
      <c r="AK82" s="96"/>
      <c r="AL82" s="96"/>
      <c r="AM82" s="96"/>
      <c r="AN82" s="96"/>
      <c r="AO82" s="96"/>
      <c r="AP82" s="96"/>
      <c r="AQ82" s="96"/>
      <c r="AR82" s="96"/>
      <c r="AS82" s="96"/>
      <c r="AT82" s="96"/>
      <c r="AU82" s="96"/>
      <c r="AV82" s="96"/>
      <c r="AW82" s="96"/>
      <c r="AX82" s="96"/>
      <c r="AY82" s="96"/>
      <c r="AZ82" s="96"/>
      <c r="BA82" s="96"/>
    </row>
    <row r="83" spans="16:53" x14ac:dyDescent="0.25">
      <c r="P83" s="94" t="s">
        <v>11</v>
      </c>
      <c r="Q83" s="95" t="s">
        <v>37</v>
      </c>
      <c r="R83" s="96">
        <v>41.666666666666664</v>
      </c>
      <c r="S83" s="96">
        <v>41.666666666666664</v>
      </c>
      <c r="T83" s="96">
        <v>41.666666666666664</v>
      </c>
      <c r="U83" s="96">
        <v>41.666666666666664</v>
      </c>
      <c r="V83" s="96">
        <v>41.666666666666664</v>
      </c>
      <c r="W83" s="96">
        <v>41.666666666666664</v>
      </c>
      <c r="X83" s="96">
        <v>41.666666666666664</v>
      </c>
      <c r="Y83" s="96">
        <v>41.666666666666664</v>
      </c>
      <c r="Z83" s="96">
        <v>41.666666666666664</v>
      </c>
      <c r="AA83" s="96">
        <v>41.666666666666664</v>
      </c>
      <c r="AB83" s="96">
        <v>41.666666666666664</v>
      </c>
      <c r="AC83" s="96">
        <v>41.666666666666664</v>
      </c>
      <c r="AD83" s="96"/>
      <c r="AE83" s="96"/>
      <c r="AF83" s="96"/>
      <c r="AG83" s="96"/>
      <c r="AH83" s="96"/>
      <c r="AI83" s="96"/>
      <c r="AJ83" s="96"/>
      <c r="AK83" s="96"/>
      <c r="AL83" s="96"/>
      <c r="AM83" s="96"/>
      <c r="AN83" s="96"/>
      <c r="AO83" s="96"/>
      <c r="AP83" s="96"/>
      <c r="AQ83" s="96"/>
      <c r="AR83" s="96"/>
      <c r="AS83" s="96"/>
      <c r="AT83" s="96"/>
      <c r="AU83" s="96"/>
      <c r="AV83" s="96"/>
      <c r="AW83" s="96"/>
      <c r="AX83" s="96"/>
      <c r="AY83" s="96"/>
      <c r="AZ83" s="96"/>
      <c r="BA83" s="96"/>
    </row>
    <row r="84" spans="16:53" x14ac:dyDescent="0.25">
      <c r="P84" s="94" t="s">
        <v>11</v>
      </c>
      <c r="Q84" s="95" t="s">
        <v>117</v>
      </c>
      <c r="R84" s="96">
        <v>12</v>
      </c>
      <c r="S84" s="96">
        <v>12</v>
      </c>
      <c r="T84" s="96">
        <v>12</v>
      </c>
      <c r="U84" s="96">
        <v>12</v>
      </c>
      <c r="V84" s="96">
        <v>12</v>
      </c>
      <c r="W84" s="96">
        <v>12</v>
      </c>
      <c r="X84" s="96">
        <v>12</v>
      </c>
      <c r="Y84" s="96">
        <v>12</v>
      </c>
      <c r="Z84" s="96">
        <v>12</v>
      </c>
      <c r="AA84" s="96">
        <v>12</v>
      </c>
      <c r="AB84" s="96">
        <v>12</v>
      </c>
      <c r="AC84" s="96">
        <v>12</v>
      </c>
      <c r="AD84" s="96"/>
      <c r="AE84" s="96"/>
      <c r="AF84" s="96"/>
      <c r="AG84" s="96"/>
      <c r="AH84" s="96"/>
      <c r="AI84" s="96"/>
      <c r="AJ84" s="96"/>
      <c r="AK84" s="96"/>
      <c r="AL84" s="96"/>
      <c r="AM84" s="96"/>
      <c r="AN84" s="96"/>
      <c r="AO84" s="96"/>
      <c r="AP84" s="96"/>
      <c r="AQ84" s="96"/>
      <c r="AR84" s="96"/>
      <c r="AS84" s="96"/>
      <c r="AT84" s="96"/>
      <c r="AU84" s="96"/>
      <c r="AV84" s="96"/>
      <c r="AW84" s="96"/>
      <c r="AX84" s="96"/>
      <c r="AY84" s="96"/>
      <c r="AZ84" s="96"/>
      <c r="BA84" s="96"/>
    </row>
    <row r="85" spans="16:53" x14ac:dyDescent="0.25">
      <c r="P85" s="94" t="s">
        <v>11</v>
      </c>
      <c r="Q85" s="95" t="s">
        <v>35</v>
      </c>
      <c r="R85" s="96">
        <v>785</v>
      </c>
      <c r="S85" s="96">
        <v>785</v>
      </c>
      <c r="T85" s="96">
        <v>785</v>
      </c>
      <c r="U85" s="96">
        <v>785</v>
      </c>
      <c r="V85" s="96">
        <v>785</v>
      </c>
      <c r="W85" s="96">
        <v>785</v>
      </c>
      <c r="X85" s="96">
        <v>785</v>
      </c>
      <c r="Y85" s="96">
        <v>785</v>
      </c>
      <c r="Z85" s="96">
        <v>785</v>
      </c>
      <c r="AA85" s="96">
        <v>785</v>
      </c>
      <c r="AB85" s="96">
        <v>785</v>
      </c>
      <c r="AC85" s="96">
        <v>785</v>
      </c>
      <c r="AD85" s="96"/>
      <c r="AE85" s="96"/>
      <c r="AF85" s="96"/>
      <c r="AG85" s="96"/>
      <c r="AH85" s="96"/>
      <c r="AI85" s="96"/>
      <c r="AJ85" s="96"/>
      <c r="AK85" s="96"/>
      <c r="AL85" s="96"/>
      <c r="AM85" s="96"/>
      <c r="AN85" s="96"/>
      <c r="AO85" s="96"/>
      <c r="AP85" s="96"/>
      <c r="AQ85" s="96"/>
      <c r="AR85" s="96"/>
      <c r="AS85" s="96"/>
      <c r="AT85" s="96"/>
      <c r="AU85" s="96"/>
      <c r="AV85" s="96"/>
      <c r="AW85" s="96"/>
      <c r="AX85" s="96"/>
      <c r="AY85" s="96"/>
      <c r="AZ85" s="96"/>
      <c r="BA85" s="96"/>
    </row>
    <row r="86" spans="16:53" x14ac:dyDescent="0.25">
      <c r="P86" s="94" t="s">
        <v>11</v>
      </c>
      <c r="Q86" s="95" t="s">
        <v>51</v>
      </c>
      <c r="R86" s="96">
        <v>37</v>
      </c>
      <c r="S86" s="96">
        <v>37</v>
      </c>
      <c r="T86" s="96">
        <v>37</v>
      </c>
      <c r="U86" s="96">
        <v>37</v>
      </c>
      <c r="V86" s="96">
        <v>37</v>
      </c>
      <c r="W86" s="96">
        <v>37</v>
      </c>
      <c r="X86" s="96">
        <v>37</v>
      </c>
      <c r="Y86" s="96">
        <v>37</v>
      </c>
      <c r="Z86" s="96">
        <v>37</v>
      </c>
      <c r="AA86" s="96">
        <v>37</v>
      </c>
      <c r="AB86" s="96">
        <v>37</v>
      </c>
      <c r="AC86" s="96">
        <v>37</v>
      </c>
      <c r="AD86" s="96"/>
      <c r="AE86" s="96"/>
      <c r="AF86" s="96"/>
      <c r="AG86" s="96"/>
      <c r="AH86" s="96"/>
      <c r="AI86" s="96"/>
      <c r="AJ86" s="96"/>
      <c r="AK86" s="96"/>
      <c r="AL86" s="96"/>
      <c r="AM86" s="96"/>
      <c r="AN86" s="96"/>
      <c r="AO86" s="96"/>
      <c r="AP86" s="96"/>
      <c r="AQ86" s="96"/>
      <c r="AR86" s="96"/>
      <c r="AS86" s="96"/>
      <c r="AT86" s="96"/>
      <c r="AU86" s="96"/>
      <c r="AV86" s="96"/>
      <c r="AW86" s="96"/>
      <c r="AX86" s="96"/>
      <c r="AY86" s="96"/>
      <c r="AZ86" s="96"/>
      <c r="BA86" s="96"/>
    </row>
    <row r="87" spans="16:53" x14ac:dyDescent="0.25">
      <c r="P87" s="94" t="s">
        <v>12</v>
      </c>
      <c r="Q87" s="95" t="s">
        <v>52</v>
      </c>
      <c r="R87" s="96">
        <v>1E-14</v>
      </c>
      <c r="S87" s="96">
        <v>1E-14</v>
      </c>
      <c r="T87" s="96">
        <v>1E-14</v>
      </c>
      <c r="U87" s="96">
        <v>1E-14</v>
      </c>
      <c r="V87" s="96">
        <v>1E-14</v>
      </c>
      <c r="W87" s="96">
        <v>1E-14</v>
      </c>
      <c r="X87" s="96">
        <v>1E-14</v>
      </c>
      <c r="Y87" s="96">
        <v>1E-14</v>
      </c>
      <c r="Z87" s="96">
        <v>1E-14</v>
      </c>
      <c r="AA87" s="96">
        <v>1E-14</v>
      </c>
      <c r="AB87" s="96">
        <v>1E-14</v>
      </c>
      <c r="AC87" s="96">
        <v>1E-14</v>
      </c>
      <c r="AD87" s="96"/>
      <c r="AE87" s="96"/>
      <c r="AF87" s="96"/>
      <c r="AG87" s="96"/>
      <c r="AH87" s="96"/>
      <c r="AI87" s="96"/>
      <c r="AJ87" s="96"/>
      <c r="AK87" s="96"/>
      <c r="AL87" s="96"/>
      <c r="AM87" s="96"/>
      <c r="AN87" s="96"/>
      <c r="AO87" s="96"/>
      <c r="AP87" s="96"/>
      <c r="AQ87" s="96"/>
      <c r="AR87" s="96"/>
      <c r="AS87" s="96"/>
      <c r="AT87" s="96"/>
      <c r="AU87" s="96"/>
      <c r="AV87" s="96"/>
      <c r="AW87" s="96"/>
      <c r="AX87" s="96"/>
      <c r="AY87" s="96"/>
      <c r="AZ87" s="96"/>
      <c r="BA87" s="96"/>
    </row>
    <row r="88" spans="16:53" x14ac:dyDescent="0.25">
      <c r="P88" s="94" t="s">
        <v>12</v>
      </c>
      <c r="Q88" s="95" t="s">
        <v>37</v>
      </c>
      <c r="R88" s="96">
        <v>1E-14</v>
      </c>
      <c r="S88" s="96">
        <v>1E-14</v>
      </c>
      <c r="T88" s="96">
        <v>1E-14</v>
      </c>
      <c r="U88" s="96">
        <v>1E-14</v>
      </c>
      <c r="V88" s="96">
        <v>1E-14</v>
      </c>
      <c r="W88" s="96">
        <v>1E-14</v>
      </c>
      <c r="X88" s="96">
        <v>1E-14</v>
      </c>
      <c r="Y88" s="96">
        <v>1E-14</v>
      </c>
      <c r="Z88" s="96">
        <v>1E-14</v>
      </c>
      <c r="AA88" s="96">
        <v>1E-14</v>
      </c>
      <c r="AB88" s="96">
        <v>1E-14</v>
      </c>
      <c r="AC88" s="96">
        <v>1E-14</v>
      </c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</row>
    <row r="89" spans="16:53" x14ac:dyDescent="0.25">
      <c r="P89" s="94" t="s">
        <v>12</v>
      </c>
      <c r="Q89" s="95" t="s">
        <v>117</v>
      </c>
      <c r="R89" s="96">
        <v>10</v>
      </c>
      <c r="S89" s="96">
        <v>10</v>
      </c>
      <c r="T89" s="96">
        <v>10</v>
      </c>
      <c r="U89" s="96">
        <v>10</v>
      </c>
      <c r="V89" s="96">
        <v>10</v>
      </c>
      <c r="W89" s="96">
        <v>10</v>
      </c>
      <c r="X89" s="96">
        <v>10</v>
      </c>
      <c r="Y89" s="96">
        <v>10</v>
      </c>
      <c r="Z89" s="96">
        <v>10</v>
      </c>
      <c r="AA89" s="96">
        <v>10</v>
      </c>
      <c r="AB89" s="96">
        <v>10</v>
      </c>
      <c r="AC89" s="96">
        <v>10</v>
      </c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</row>
    <row r="90" spans="16:53" x14ac:dyDescent="0.25">
      <c r="P90" s="94" t="s">
        <v>12</v>
      </c>
      <c r="Q90" s="95" t="s">
        <v>35</v>
      </c>
      <c r="R90" s="96">
        <v>1E-14</v>
      </c>
      <c r="S90" s="96">
        <v>1E-14</v>
      </c>
      <c r="T90" s="96">
        <v>1E-14</v>
      </c>
      <c r="U90" s="96">
        <v>1E-14</v>
      </c>
      <c r="V90" s="96">
        <v>1E-14</v>
      </c>
      <c r="W90" s="96">
        <v>1E-14</v>
      </c>
      <c r="X90" s="96">
        <v>1E-14</v>
      </c>
      <c r="Y90" s="96">
        <v>1E-14</v>
      </c>
      <c r="Z90" s="96">
        <v>1E-14</v>
      </c>
      <c r="AA90" s="96">
        <v>1E-14</v>
      </c>
      <c r="AB90" s="96">
        <v>1E-14</v>
      </c>
      <c r="AC90" s="96">
        <v>1E-14</v>
      </c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</row>
    <row r="91" spans="16:53" x14ac:dyDescent="0.25">
      <c r="P91" s="94" t="s">
        <v>12</v>
      </c>
      <c r="Q91" s="95" t="s">
        <v>51</v>
      </c>
      <c r="R91" s="96">
        <v>37</v>
      </c>
      <c r="S91" s="96">
        <v>37</v>
      </c>
      <c r="T91" s="96">
        <v>37</v>
      </c>
      <c r="U91" s="96">
        <v>37</v>
      </c>
      <c r="V91" s="96">
        <v>37</v>
      </c>
      <c r="W91" s="96">
        <v>37</v>
      </c>
      <c r="X91" s="96">
        <v>37</v>
      </c>
      <c r="Y91" s="96">
        <v>37</v>
      </c>
      <c r="Z91" s="96">
        <v>37</v>
      </c>
      <c r="AA91" s="96">
        <v>37</v>
      </c>
      <c r="AB91" s="96">
        <v>37</v>
      </c>
      <c r="AC91" s="96">
        <v>37</v>
      </c>
      <c r="AD91" s="96"/>
      <c r="AE91" s="96"/>
      <c r="AF91" s="96"/>
      <c r="AG91" s="96"/>
      <c r="AH91" s="96"/>
      <c r="AI91" s="96"/>
      <c r="AJ91" s="96"/>
      <c r="AK91" s="96"/>
      <c r="AL91" s="96"/>
      <c r="AM91" s="96"/>
      <c r="AN91" s="96"/>
      <c r="AO91" s="96"/>
      <c r="AP91" s="96"/>
      <c r="AQ91" s="96"/>
      <c r="AR91" s="96"/>
      <c r="AS91" s="96"/>
      <c r="AT91" s="96"/>
      <c r="AU91" s="96"/>
      <c r="AV91" s="96"/>
      <c r="AW91" s="96"/>
      <c r="AX91" s="96"/>
      <c r="AY91" s="96"/>
      <c r="AZ91" s="96"/>
      <c r="BA91" s="96"/>
    </row>
    <row r="92" spans="16:53" x14ac:dyDescent="0.25">
      <c r="P92" s="94" t="s">
        <v>13</v>
      </c>
      <c r="Q92" s="95" t="s">
        <v>52</v>
      </c>
      <c r="R92" s="96">
        <v>1E-14</v>
      </c>
      <c r="S92" s="96">
        <v>1E-14</v>
      </c>
      <c r="T92" s="96">
        <v>1E-14</v>
      </c>
      <c r="U92" s="96">
        <v>1E-14</v>
      </c>
      <c r="V92" s="96">
        <v>1E-14</v>
      </c>
      <c r="W92" s="96">
        <v>1E-14</v>
      </c>
      <c r="X92" s="96">
        <v>1E-14</v>
      </c>
      <c r="Y92" s="96">
        <v>1E-14</v>
      </c>
      <c r="Z92" s="96">
        <v>1E-14</v>
      </c>
      <c r="AA92" s="96">
        <v>1E-14</v>
      </c>
      <c r="AB92" s="96">
        <v>1E-14</v>
      </c>
      <c r="AC92" s="96">
        <v>1E-14</v>
      </c>
      <c r="AD92" s="96"/>
      <c r="AE92" s="96"/>
      <c r="AF92" s="96"/>
      <c r="AG92" s="96"/>
      <c r="AH92" s="96"/>
      <c r="AI92" s="96"/>
      <c r="AJ92" s="96"/>
      <c r="AK92" s="96"/>
      <c r="AL92" s="96"/>
      <c r="AM92" s="96"/>
      <c r="AN92" s="96"/>
      <c r="AO92" s="96"/>
      <c r="AP92" s="96"/>
      <c r="AQ92" s="96"/>
      <c r="AR92" s="96"/>
      <c r="AS92" s="96"/>
      <c r="AT92" s="96"/>
      <c r="AU92" s="96"/>
      <c r="AV92" s="96"/>
      <c r="AW92" s="96"/>
      <c r="AX92" s="96"/>
      <c r="AY92" s="96"/>
      <c r="AZ92" s="96"/>
      <c r="BA92" s="96"/>
    </row>
    <row r="93" spans="16:53" x14ac:dyDescent="0.25">
      <c r="P93" s="94" t="s">
        <v>13</v>
      </c>
      <c r="Q93" s="95" t="s">
        <v>37</v>
      </c>
      <c r="R93" s="96">
        <v>1E-14</v>
      </c>
      <c r="S93" s="96">
        <v>1E-14</v>
      </c>
      <c r="T93" s="96">
        <v>1E-14</v>
      </c>
      <c r="U93" s="96">
        <v>1E-14</v>
      </c>
      <c r="V93" s="96">
        <v>1E-14</v>
      </c>
      <c r="W93" s="96">
        <v>1E-14</v>
      </c>
      <c r="X93" s="96">
        <v>1E-14</v>
      </c>
      <c r="Y93" s="96">
        <v>1E-14</v>
      </c>
      <c r="Z93" s="96">
        <v>1E-14</v>
      </c>
      <c r="AA93" s="96">
        <v>1E-14</v>
      </c>
      <c r="AB93" s="96">
        <v>1E-14</v>
      </c>
      <c r="AC93" s="96">
        <v>1E-14</v>
      </c>
      <c r="AD93" s="96"/>
      <c r="AE93" s="96"/>
      <c r="AF93" s="96"/>
      <c r="AG93" s="96"/>
      <c r="AH93" s="96"/>
      <c r="AI93" s="96"/>
      <c r="AJ93" s="96"/>
      <c r="AK93" s="96"/>
      <c r="AL93" s="96"/>
      <c r="AM93" s="96"/>
      <c r="AN93" s="96"/>
      <c r="AO93" s="96"/>
      <c r="AP93" s="96"/>
      <c r="AQ93" s="96"/>
      <c r="AR93" s="96"/>
      <c r="AS93" s="96"/>
      <c r="AT93" s="96"/>
      <c r="AU93" s="96"/>
      <c r="AV93" s="96"/>
      <c r="AW93" s="96"/>
      <c r="AX93" s="96"/>
      <c r="AY93" s="96"/>
      <c r="AZ93" s="96"/>
      <c r="BA93" s="96"/>
    </row>
    <row r="94" spans="16:53" x14ac:dyDescent="0.25">
      <c r="P94" s="94" t="s">
        <v>13</v>
      </c>
      <c r="Q94" s="95" t="s">
        <v>117</v>
      </c>
      <c r="R94" s="96">
        <v>11</v>
      </c>
      <c r="S94" s="96">
        <v>11</v>
      </c>
      <c r="T94" s="96">
        <v>11</v>
      </c>
      <c r="U94" s="96">
        <v>11</v>
      </c>
      <c r="V94" s="96">
        <v>11</v>
      </c>
      <c r="W94" s="96">
        <v>11</v>
      </c>
      <c r="X94" s="96">
        <v>11</v>
      </c>
      <c r="Y94" s="96">
        <v>11</v>
      </c>
      <c r="Z94" s="96">
        <v>11</v>
      </c>
      <c r="AA94" s="96">
        <v>11</v>
      </c>
      <c r="AB94" s="96">
        <v>11</v>
      </c>
      <c r="AC94" s="96">
        <v>11</v>
      </c>
      <c r="AD94" s="96"/>
      <c r="AE94" s="96"/>
      <c r="AF94" s="96"/>
      <c r="AG94" s="96"/>
      <c r="AH94" s="96"/>
      <c r="AI94" s="96"/>
      <c r="AJ94" s="96"/>
      <c r="AK94" s="96"/>
      <c r="AL94" s="96"/>
      <c r="AM94" s="96"/>
      <c r="AN94" s="96"/>
      <c r="AO94" s="96"/>
      <c r="AP94" s="96"/>
      <c r="AQ94" s="96"/>
      <c r="AR94" s="96"/>
      <c r="AS94" s="96"/>
      <c r="AT94" s="96"/>
      <c r="AU94" s="96"/>
      <c r="AV94" s="96"/>
      <c r="AW94" s="96"/>
      <c r="AX94" s="96"/>
      <c r="AY94" s="96"/>
      <c r="AZ94" s="96"/>
      <c r="BA94" s="96"/>
    </row>
    <row r="95" spans="16:53" x14ac:dyDescent="0.25">
      <c r="P95" s="94" t="s">
        <v>13</v>
      </c>
      <c r="Q95" s="95" t="s">
        <v>35</v>
      </c>
      <c r="R95" s="96">
        <v>525</v>
      </c>
      <c r="S95" s="96">
        <v>525</v>
      </c>
      <c r="T95" s="96">
        <v>525</v>
      </c>
      <c r="U95" s="96">
        <v>525</v>
      </c>
      <c r="V95" s="96">
        <v>525</v>
      </c>
      <c r="W95" s="96">
        <v>525</v>
      </c>
      <c r="X95" s="96">
        <v>525</v>
      </c>
      <c r="Y95" s="96">
        <v>525</v>
      </c>
      <c r="Z95" s="96">
        <v>525</v>
      </c>
      <c r="AA95" s="96">
        <v>525</v>
      </c>
      <c r="AB95" s="96">
        <v>525</v>
      </c>
      <c r="AC95" s="96">
        <v>525</v>
      </c>
      <c r="AD95" s="96"/>
      <c r="AE95" s="96"/>
      <c r="AF95" s="96"/>
      <c r="AG95" s="96"/>
      <c r="AH95" s="96"/>
      <c r="AI95" s="96"/>
      <c r="AJ95" s="96"/>
      <c r="AK95" s="96"/>
      <c r="AL95" s="96"/>
      <c r="AM95" s="96"/>
      <c r="AN95" s="96"/>
      <c r="AO95" s="96"/>
      <c r="AP95" s="96"/>
      <c r="AQ95" s="96"/>
      <c r="AR95" s="96"/>
      <c r="AS95" s="96"/>
      <c r="AT95" s="96"/>
      <c r="AU95" s="96"/>
      <c r="AV95" s="96"/>
      <c r="AW95" s="96"/>
      <c r="AX95" s="96"/>
      <c r="AY95" s="96"/>
      <c r="AZ95" s="96"/>
      <c r="BA95" s="96"/>
    </row>
    <row r="96" spans="16:53" x14ac:dyDescent="0.25">
      <c r="P96" s="94" t="s">
        <v>13</v>
      </c>
      <c r="Q96" s="95" t="s">
        <v>51</v>
      </c>
      <c r="R96" s="96">
        <v>37</v>
      </c>
      <c r="S96" s="96">
        <v>37</v>
      </c>
      <c r="T96" s="96">
        <v>37</v>
      </c>
      <c r="U96" s="96">
        <v>37</v>
      </c>
      <c r="V96" s="96">
        <v>37</v>
      </c>
      <c r="W96" s="96">
        <v>37</v>
      </c>
      <c r="X96" s="96">
        <v>37</v>
      </c>
      <c r="Y96" s="96">
        <v>37</v>
      </c>
      <c r="Z96" s="96">
        <v>37</v>
      </c>
      <c r="AA96" s="96">
        <v>37</v>
      </c>
      <c r="AB96" s="96">
        <v>37</v>
      </c>
      <c r="AC96" s="96">
        <v>37</v>
      </c>
      <c r="AD96" s="96"/>
      <c r="AE96" s="96"/>
      <c r="AF96" s="96"/>
      <c r="AG96" s="96"/>
      <c r="AH96" s="96"/>
      <c r="AI96" s="96"/>
      <c r="AJ96" s="96"/>
      <c r="AK96" s="96"/>
      <c r="AL96" s="96"/>
      <c r="AM96" s="96"/>
      <c r="AN96" s="96"/>
      <c r="AO96" s="96"/>
      <c r="AP96" s="96"/>
      <c r="AQ96" s="96"/>
      <c r="AR96" s="96"/>
      <c r="AS96" s="96"/>
      <c r="AT96" s="96"/>
      <c r="AU96" s="96"/>
      <c r="AV96" s="96"/>
      <c r="AW96" s="96"/>
      <c r="AX96" s="96"/>
      <c r="AY96" s="96"/>
      <c r="AZ96" s="96"/>
      <c r="BA96" s="96"/>
    </row>
    <row r="97" spans="16:53" x14ac:dyDescent="0.25">
      <c r="P97" s="94" t="s">
        <v>14</v>
      </c>
      <c r="Q97" s="95" t="s">
        <v>52</v>
      </c>
      <c r="R97" s="96">
        <v>3333.3333333333335</v>
      </c>
      <c r="S97" s="96">
        <v>1E-14</v>
      </c>
      <c r="T97" s="96">
        <v>3333.3333333333335</v>
      </c>
      <c r="U97" s="96">
        <v>3333.3333333333335</v>
      </c>
      <c r="V97" s="96">
        <v>3333.3333333333335</v>
      </c>
      <c r="W97" s="96">
        <v>3333.3333333333335</v>
      </c>
      <c r="X97" s="96">
        <v>3333.3333333333335</v>
      </c>
      <c r="Y97" s="96">
        <v>3333.3333333333335</v>
      </c>
      <c r="Z97" s="96">
        <v>3333.3333333333335</v>
      </c>
      <c r="AA97" s="96">
        <v>3333.3333333333335</v>
      </c>
      <c r="AB97" s="96">
        <v>3333.3333333333335</v>
      </c>
      <c r="AC97" s="96">
        <v>3333.3333333333335</v>
      </c>
      <c r="AD97" s="96"/>
      <c r="AE97" s="96"/>
      <c r="AF97" s="96"/>
      <c r="AG97" s="96"/>
      <c r="AH97" s="96"/>
      <c r="AI97" s="96"/>
      <c r="AJ97" s="96"/>
      <c r="AK97" s="96"/>
      <c r="AL97" s="96"/>
      <c r="AM97" s="96"/>
      <c r="AN97" s="96"/>
      <c r="AO97" s="96"/>
      <c r="AP97" s="96"/>
      <c r="AQ97" s="96"/>
      <c r="AR97" s="96"/>
      <c r="AS97" s="96"/>
      <c r="AT97" s="96"/>
      <c r="AU97" s="96"/>
      <c r="AV97" s="96"/>
      <c r="AW97" s="96"/>
      <c r="AX97" s="96"/>
      <c r="AY97" s="96"/>
      <c r="AZ97" s="96"/>
      <c r="BA97" s="96"/>
    </row>
    <row r="98" spans="16:53" x14ac:dyDescent="0.25">
      <c r="P98" s="94" t="s">
        <v>14</v>
      </c>
      <c r="Q98" s="95" t="s">
        <v>37</v>
      </c>
      <c r="R98" s="96">
        <v>3333.3333333333335</v>
      </c>
      <c r="S98" s="96">
        <v>3333.3333333333335</v>
      </c>
      <c r="T98" s="96">
        <v>3333.3333333333335</v>
      </c>
      <c r="U98" s="96">
        <v>3333.3333333333335</v>
      </c>
      <c r="V98" s="96">
        <v>3333.3333333333335</v>
      </c>
      <c r="W98" s="96">
        <v>3333.3333333333335</v>
      </c>
      <c r="X98" s="96">
        <v>3333.3333333333335</v>
      </c>
      <c r="Y98" s="96">
        <v>3333.3333333333335</v>
      </c>
      <c r="Z98" s="96">
        <v>3333.3333333333335</v>
      </c>
      <c r="AA98" s="96">
        <v>3333.3333333333335</v>
      </c>
      <c r="AB98" s="96">
        <v>3333.3333333333335</v>
      </c>
      <c r="AC98" s="96">
        <v>3333.3333333333335</v>
      </c>
      <c r="AD98" s="96"/>
      <c r="AE98" s="96"/>
      <c r="AF98" s="96"/>
      <c r="AG98" s="96"/>
      <c r="AH98" s="96"/>
      <c r="AI98" s="96"/>
      <c r="AJ98" s="96"/>
      <c r="AK98" s="96"/>
      <c r="AL98" s="96"/>
      <c r="AM98" s="96"/>
      <c r="AN98" s="96"/>
      <c r="AO98" s="96"/>
      <c r="AP98" s="96"/>
      <c r="AQ98" s="96"/>
      <c r="AR98" s="96"/>
      <c r="AS98" s="96"/>
      <c r="AT98" s="96"/>
      <c r="AU98" s="96"/>
      <c r="AV98" s="96"/>
      <c r="AW98" s="96"/>
      <c r="AX98" s="96"/>
      <c r="AY98" s="96"/>
      <c r="AZ98" s="96"/>
      <c r="BA98" s="96"/>
    </row>
    <row r="99" spans="16:53" x14ac:dyDescent="0.25">
      <c r="P99" s="94" t="s">
        <v>14</v>
      </c>
      <c r="Q99" s="95" t="s">
        <v>117</v>
      </c>
      <c r="R99" s="96">
        <v>10.5</v>
      </c>
      <c r="S99" s="96">
        <v>10.5</v>
      </c>
      <c r="T99" s="96">
        <v>10.5</v>
      </c>
      <c r="U99" s="96">
        <v>10.5</v>
      </c>
      <c r="V99" s="96">
        <v>10.5</v>
      </c>
      <c r="W99" s="96">
        <v>10.5</v>
      </c>
      <c r="X99" s="96">
        <v>10.5</v>
      </c>
      <c r="Y99" s="96">
        <v>10.5</v>
      </c>
      <c r="Z99" s="96">
        <v>10.5</v>
      </c>
      <c r="AA99" s="96">
        <v>10.5</v>
      </c>
      <c r="AB99" s="96">
        <v>10.5</v>
      </c>
      <c r="AC99" s="96">
        <v>10.5</v>
      </c>
      <c r="AD99" s="96"/>
      <c r="AE99" s="96"/>
      <c r="AF99" s="96"/>
      <c r="AG99" s="96"/>
      <c r="AH99" s="96"/>
      <c r="AI99" s="96"/>
      <c r="AJ99" s="96"/>
      <c r="AK99" s="96"/>
      <c r="AL99" s="96"/>
      <c r="AM99" s="96"/>
      <c r="AN99" s="96"/>
      <c r="AO99" s="96"/>
      <c r="AP99" s="96"/>
      <c r="AQ99" s="96"/>
      <c r="AR99" s="96"/>
      <c r="AS99" s="96"/>
      <c r="AT99" s="96"/>
      <c r="AU99" s="96"/>
      <c r="AV99" s="96"/>
      <c r="AW99" s="96"/>
      <c r="AX99" s="96"/>
      <c r="AY99" s="96"/>
      <c r="AZ99" s="96"/>
      <c r="BA99" s="96"/>
    </row>
    <row r="100" spans="16:53" x14ac:dyDescent="0.25">
      <c r="P100" s="94" t="s">
        <v>14</v>
      </c>
      <c r="Q100" s="95" t="s">
        <v>35</v>
      </c>
      <c r="R100" s="96">
        <v>400</v>
      </c>
      <c r="S100" s="96">
        <v>400</v>
      </c>
      <c r="T100" s="96">
        <v>400</v>
      </c>
      <c r="U100" s="96">
        <v>400</v>
      </c>
      <c r="V100" s="96">
        <v>400</v>
      </c>
      <c r="W100" s="96">
        <v>400</v>
      </c>
      <c r="X100" s="96">
        <v>400</v>
      </c>
      <c r="Y100" s="96">
        <v>400</v>
      </c>
      <c r="Z100" s="96">
        <v>400</v>
      </c>
      <c r="AA100" s="96">
        <v>400</v>
      </c>
      <c r="AB100" s="96">
        <v>400</v>
      </c>
      <c r="AC100" s="96">
        <v>400</v>
      </c>
      <c r="AD100" s="96"/>
      <c r="AE100" s="96"/>
      <c r="AF100" s="96"/>
      <c r="AG100" s="96"/>
      <c r="AH100" s="96"/>
      <c r="AI100" s="96"/>
      <c r="AJ100" s="96"/>
      <c r="AK100" s="96"/>
      <c r="AL100" s="96"/>
      <c r="AM100" s="96"/>
      <c r="AN100" s="96"/>
      <c r="AO100" s="96"/>
      <c r="AP100" s="96"/>
      <c r="AQ100" s="96"/>
      <c r="AR100" s="96"/>
      <c r="AS100" s="96"/>
      <c r="AT100" s="96"/>
      <c r="AU100" s="96"/>
      <c r="AV100" s="96"/>
      <c r="AW100" s="96"/>
      <c r="AX100" s="96"/>
      <c r="AY100" s="96"/>
      <c r="AZ100" s="96"/>
      <c r="BA100" s="96"/>
    </row>
    <row r="101" spans="16:53" x14ac:dyDescent="0.25">
      <c r="P101" s="94" t="s">
        <v>14</v>
      </c>
      <c r="Q101" s="95" t="s">
        <v>51</v>
      </c>
      <c r="R101" s="96">
        <v>37</v>
      </c>
      <c r="S101" s="96">
        <v>37</v>
      </c>
      <c r="T101" s="96">
        <v>37</v>
      </c>
      <c r="U101" s="96">
        <v>37</v>
      </c>
      <c r="V101" s="96">
        <v>37</v>
      </c>
      <c r="W101" s="96">
        <v>37</v>
      </c>
      <c r="X101" s="96">
        <v>37</v>
      </c>
      <c r="Y101" s="96">
        <v>37</v>
      </c>
      <c r="Z101" s="96">
        <v>37</v>
      </c>
      <c r="AA101" s="96">
        <v>37</v>
      </c>
      <c r="AB101" s="96">
        <v>37</v>
      </c>
      <c r="AC101" s="96">
        <v>37</v>
      </c>
      <c r="AD101" s="96"/>
      <c r="AE101" s="96"/>
      <c r="AF101" s="96"/>
      <c r="AG101" s="96"/>
      <c r="AH101" s="96"/>
      <c r="AI101" s="96"/>
      <c r="AJ101" s="96"/>
      <c r="AK101" s="96"/>
      <c r="AL101" s="96"/>
      <c r="AM101" s="96"/>
      <c r="AN101" s="96"/>
      <c r="AO101" s="96"/>
      <c r="AP101" s="96"/>
      <c r="AQ101" s="96"/>
      <c r="AR101" s="96"/>
      <c r="AS101" s="96"/>
      <c r="AT101" s="96"/>
      <c r="AU101" s="96"/>
      <c r="AV101" s="96"/>
      <c r="AW101" s="96"/>
      <c r="AX101" s="96"/>
      <c r="AY101" s="96"/>
      <c r="AZ101" s="96"/>
      <c r="BA101" s="96"/>
    </row>
    <row r="102" spans="16:53" x14ac:dyDescent="0.25">
      <c r="P102" s="94" t="s">
        <v>15</v>
      </c>
      <c r="Q102" s="95" t="s">
        <v>52</v>
      </c>
      <c r="R102" s="96">
        <v>166.66666666666666</v>
      </c>
      <c r="S102" s="96">
        <v>1E-14</v>
      </c>
      <c r="T102" s="96">
        <v>166.66666666666666</v>
      </c>
      <c r="U102" s="96">
        <v>166.66666666666666</v>
      </c>
      <c r="V102" s="96">
        <v>166.66666666666666</v>
      </c>
      <c r="W102" s="96">
        <v>166.66666666666666</v>
      </c>
      <c r="X102" s="96">
        <v>166.66666666666666</v>
      </c>
      <c r="Y102" s="96">
        <v>166.66666666666666</v>
      </c>
      <c r="Z102" s="96">
        <v>166.66666666666666</v>
      </c>
      <c r="AA102" s="96">
        <v>166.66666666666666</v>
      </c>
      <c r="AB102" s="96">
        <v>166.66666666666666</v>
      </c>
      <c r="AC102" s="96">
        <v>166.66666666666666</v>
      </c>
      <c r="AD102" s="96"/>
      <c r="AE102" s="96"/>
      <c r="AF102" s="96"/>
      <c r="AG102" s="96"/>
      <c r="AH102" s="96"/>
      <c r="AI102" s="96"/>
      <c r="AJ102" s="96"/>
      <c r="AK102" s="96"/>
      <c r="AL102" s="96"/>
      <c r="AM102" s="96"/>
      <c r="AN102" s="96"/>
      <c r="AO102" s="96"/>
      <c r="AP102" s="96"/>
      <c r="AQ102" s="96"/>
      <c r="AR102" s="96"/>
      <c r="AS102" s="96"/>
      <c r="AT102" s="96"/>
      <c r="AU102" s="96"/>
      <c r="AV102" s="96"/>
      <c r="AW102" s="96"/>
      <c r="AX102" s="96"/>
      <c r="AY102" s="96"/>
      <c r="AZ102" s="96"/>
      <c r="BA102" s="96"/>
    </row>
    <row r="103" spans="16:53" x14ac:dyDescent="0.25">
      <c r="P103" s="94" t="s">
        <v>15</v>
      </c>
      <c r="Q103" s="95" t="s">
        <v>37</v>
      </c>
      <c r="R103" s="96">
        <v>166.66666666666666</v>
      </c>
      <c r="S103" s="96">
        <v>166.66666666666666</v>
      </c>
      <c r="T103" s="96">
        <v>166.66666666666666</v>
      </c>
      <c r="U103" s="96">
        <v>166.66666666666666</v>
      </c>
      <c r="V103" s="96">
        <v>166.66666666666666</v>
      </c>
      <c r="W103" s="96">
        <v>166.66666666666666</v>
      </c>
      <c r="X103" s="96">
        <v>166.66666666666666</v>
      </c>
      <c r="Y103" s="96">
        <v>166.66666666666666</v>
      </c>
      <c r="Z103" s="96">
        <v>166.66666666666666</v>
      </c>
      <c r="AA103" s="96">
        <v>166.66666666666666</v>
      </c>
      <c r="AB103" s="96">
        <v>166.66666666666666</v>
      </c>
      <c r="AC103" s="96">
        <v>166.66666666666666</v>
      </c>
      <c r="AD103" s="96"/>
      <c r="AE103" s="96"/>
      <c r="AF103" s="96"/>
      <c r="AG103" s="96"/>
      <c r="AH103" s="96"/>
      <c r="AI103" s="96"/>
      <c r="AJ103" s="96"/>
      <c r="AK103" s="96"/>
      <c r="AL103" s="96"/>
      <c r="AM103" s="96"/>
      <c r="AN103" s="96"/>
      <c r="AO103" s="96"/>
      <c r="AP103" s="96"/>
      <c r="AQ103" s="96"/>
      <c r="AR103" s="96"/>
      <c r="AS103" s="96"/>
      <c r="AT103" s="96"/>
      <c r="AU103" s="96"/>
      <c r="AV103" s="96"/>
      <c r="AW103" s="96"/>
      <c r="AX103" s="96"/>
      <c r="AY103" s="96"/>
      <c r="AZ103" s="96"/>
      <c r="BA103" s="96"/>
    </row>
    <row r="104" spans="16:53" x14ac:dyDescent="0.25">
      <c r="P104" s="94" t="s">
        <v>15</v>
      </c>
      <c r="Q104" s="95" t="s">
        <v>117</v>
      </c>
      <c r="R104" s="96">
        <v>10.5</v>
      </c>
      <c r="S104" s="96">
        <v>10.5</v>
      </c>
      <c r="T104" s="96">
        <v>10.5</v>
      </c>
      <c r="U104" s="96">
        <v>10.5</v>
      </c>
      <c r="V104" s="96">
        <v>10.5</v>
      </c>
      <c r="W104" s="96">
        <v>10.5</v>
      </c>
      <c r="X104" s="96">
        <v>10.5</v>
      </c>
      <c r="Y104" s="96">
        <v>10.5</v>
      </c>
      <c r="Z104" s="96">
        <v>10.5</v>
      </c>
      <c r="AA104" s="96">
        <v>10.5</v>
      </c>
      <c r="AB104" s="96">
        <v>10.5</v>
      </c>
      <c r="AC104" s="96">
        <v>10.5</v>
      </c>
      <c r="AD104" s="96"/>
      <c r="AE104" s="96"/>
      <c r="AF104" s="96"/>
      <c r="AG104" s="96"/>
      <c r="AH104" s="96"/>
      <c r="AI104" s="96"/>
      <c r="AJ104" s="96"/>
      <c r="AK104" s="96"/>
      <c r="AL104" s="96"/>
      <c r="AM104" s="96"/>
      <c r="AN104" s="96"/>
      <c r="AO104" s="96"/>
      <c r="AP104" s="96"/>
      <c r="AQ104" s="96"/>
      <c r="AR104" s="96"/>
      <c r="AS104" s="96"/>
      <c r="AT104" s="96"/>
      <c r="AU104" s="96"/>
      <c r="AV104" s="96"/>
      <c r="AW104" s="96"/>
      <c r="AX104" s="96"/>
      <c r="AY104" s="96"/>
      <c r="AZ104" s="96"/>
      <c r="BA104" s="96"/>
    </row>
    <row r="105" spans="16:53" x14ac:dyDescent="0.25">
      <c r="P105" s="94" t="s">
        <v>15</v>
      </c>
      <c r="Q105" s="95" t="s">
        <v>35</v>
      </c>
      <c r="R105" s="96">
        <v>515</v>
      </c>
      <c r="S105" s="96">
        <v>515</v>
      </c>
      <c r="T105" s="96">
        <v>515</v>
      </c>
      <c r="U105" s="96">
        <v>515</v>
      </c>
      <c r="V105" s="96">
        <v>515</v>
      </c>
      <c r="W105" s="96">
        <v>515</v>
      </c>
      <c r="X105" s="96">
        <v>515</v>
      </c>
      <c r="Y105" s="96">
        <v>515</v>
      </c>
      <c r="Z105" s="96">
        <v>515</v>
      </c>
      <c r="AA105" s="96">
        <v>515</v>
      </c>
      <c r="AB105" s="96">
        <v>515</v>
      </c>
      <c r="AC105" s="96">
        <v>515</v>
      </c>
      <c r="AD105" s="96"/>
      <c r="AE105" s="96"/>
      <c r="AF105" s="96"/>
      <c r="AG105" s="96"/>
      <c r="AH105" s="96"/>
      <c r="AI105" s="96"/>
      <c r="AJ105" s="96"/>
      <c r="AK105" s="96"/>
      <c r="AL105" s="96"/>
      <c r="AM105" s="96"/>
      <c r="AN105" s="96"/>
      <c r="AO105" s="96"/>
      <c r="AP105" s="96"/>
      <c r="AQ105" s="96"/>
      <c r="AR105" s="96"/>
      <c r="AS105" s="96"/>
      <c r="AT105" s="96"/>
      <c r="AU105" s="96"/>
      <c r="AV105" s="96"/>
      <c r="AW105" s="96"/>
      <c r="AX105" s="96"/>
      <c r="AY105" s="96"/>
      <c r="AZ105" s="96"/>
      <c r="BA105" s="96"/>
    </row>
    <row r="106" spans="16:53" x14ac:dyDescent="0.25">
      <c r="P106" s="94" t="s">
        <v>15</v>
      </c>
      <c r="Q106" s="95" t="s">
        <v>51</v>
      </c>
      <c r="R106" s="96">
        <v>37</v>
      </c>
      <c r="S106" s="96">
        <v>37</v>
      </c>
      <c r="T106" s="96">
        <v>37</v>
      </c>
      <c r="U106" s="96">
        <v>37</v>
      </c>
      <c r="V106" s="96">
        <v>37</v>
      </c>
      <c r="W106" s="96">
        <v>37</v>
      </c>
      <c r="X106" s="96">
        <v>37</v>
      </c>
      <c r="Y106" s="96">
        <v>37</v>
      </c>
      <c r="Z106" s="96">
        <v>37</v>
      </c>
      <c r="AA106" s="96">
        <v>37</v>
      </c>
      <c r="AB106" s="96">
        <v>37</v>
      </c>
      <c r="AC106" s="96">
        <v>37</v>
      </c>
      <c r="AD106" s="96"/>
      <c r="AE106" s="96"/>
      <c r="AF106" s="96"/>
      <c r="AG106" s="96"/>
      <c r="AH106" s="96"/>
      <c r="AI106" s="96"/>
      <c r="AJ106" s="96"/>
      <c r="AK106" s="96"/>
      <c r="AL106" s="96"/>
      <c r="AM106" s="96"/>
      <c r="AN106" s="96"/>
      <c r="AO106" s="96"/>
      <c r="AP106" s="96"/>
      <c r="AQ106" s="96"/>
      <c r="AR106" s="96"/>
      <c r="AS106" s="96"/>
      <c r="AT106" s="96"/>
      <c r="AU106" s="96"/>
      <c r="AV106" s="96"/>
      <c r="AW106" s="96"/>
      <c r="AX106" s="96"/>
      <c r="AY106" s="96"/>
      <c r="AZ106" s="96"/>
      <c r="BA106" s="96"/>
    </row>
    <row r="107" spans="16:53" x14ac:dyDescent="0.25">
      <c r="P107" s="94" t="s">
        <v>16</v>
      </c>
      <c r="Q107" s="95" t="s">
        <v>52</v>
      </c>
      <c r="R107" s="96">
        <v>1E-14</v>
      </c>
      <c r="S107" s="96">
        <v>1E-14</v>
      </c>
      <c r="T107" s="96">
        <v>1E-14</v>
      </c>
      <c r="U107" s="96">
        <v>1E-14</v>
      </c>
      <c r="V107" s="96">
        <v>1E-14</v>
      </c>
      <c r="W107" s="96">
        <v>1E-14</v>
      </c>
      <c r="X107" s="96">
        <v>1E-14</v>
      </c>
      <c r="Y107" s="96">
        <v>1E-14</v>
      </c>
      <c r="Z107" s="96">
        <v>1E-14</v>
      </c>
      <c r="AA107" s="96">
        <v>1E-14</v>
      </c>
      <c r="AB107" s="96">
        <v>1E-14</v>
      </c>
      <c r="AC107" s="96">
        <v>1E-14</v>
      </c>
      <c r="AD107" s="96"/>
      <c r="AE107" s="96"/>
      <c r="AF107" s="96"/>
      <c r="AG107" s="96"/>
      <c r="AH107" s="96"/>
      <c r="AI107" s="96"/>
      <c r="AJ107" s="96"/>
      <c r="AK107" s="96"/>
      <c r="AL107" s="96"/>
      <c r="AM107" s="96"/>
      <c r="AN107" s="96"/>
      <c r="AO107" s="96"/>
      <c r="AP107" s="96"/>
      <c r="AQ107" s="96"/>
      <c r="AR107" s="96"/>
      <c r="AS107" s="96"/>
      <c r="AT107" s="96"/>
      <c r="AU107" s="96"/>
      <c r="AV107" s="96"/>
      <c r="AW107" s="96"/>
      <c r="AX107" s="96"/>
      <c r="AY107" s="96"/>
      <c r="AZ107" s="96"/>
      <c r="BA107" s="96"/>
    </row>
    <row r="108" spans="16:53" x14ac:dyDescent="0.25">
      <c r="P108" s="94" t="s">
        <v>16</v>
      </c>
      <c r="Q108" s="95" t="s">
        <v>37</v>
      </c>
      <c r="R108" s="96">
        <v>1E-14</v>
      </c>
      <c r="S108" s="96">
        <v>1E-14</v>
      </c>
      <c r="T108" s="96">
        <v>1E-14</v>
      </c>
      <c r="U108" s="96">
        <v>1E-14</v>
      </c>
      <c r="V108" s="96">
        <v>1E-14</v>
      </c>
      <c r="W108" s="96">
        <v>1E-14</v>
      </c>
      <c r="X108" s="96">
        <v>1E-14</v>
      </c>
      <c r="Y108" s="96">
        <v>1E-14</v>
      </c>
      <c r="Z108" s="96">
        <v>1E-14</v>
      </c>
      <c r="AA108" s="96">
        <v>1E-14</v>
      </c>
      <c r="AB108" s="96">
        <v>1E-14</v>
      </c>
      <c r="AC108" s="96">
        <v>1E-14</v>
      </c>
      <c r="AD108" s="96"/>
      <c r="AE108" s="96"/>
      <c r="AF108" s="96"/>
      <c r="AG108" s="96"/>
      <c r="AH108" s="96"/>
      <c r="AI108" s="96"/>
      <c r="AJ108" s="96"/>
      <c r="AK108" s="96"/>
      <c r="AL108" s="96"/>
      <c r="AM108" s="96"/>
      <c r="AN108" s="96"/>
      <c r="AO108" s="96"/>
      <c r="AP108" s="96"/>
      <c r="AQ108" s="96"/>
      <c r="AR108" s="96"/>
      <c r="AS108" s="96"/>
      <c r="AT108" s="96"/>
      <c r="AU108" s="96"/>
      <c r="AV108" s="96"/>
      <c r="AW108" s="96"/>
      <c r="AX108" s="96"/>
      <c r="AY108" s="96"/>
      <c r="AZ108" s="96"/>
      <c r="BA108" s="96"/>
    </row>
    <row r="109" spans="16:53" x14ac:dyDescent="0.25">
      <c r="P109" s="94" t="s">
        <v>16</v>
      </c>
      <c r="Q109" s="95" t="s">
        <v>117</v>
      </c>
      <c r="R109" s="96">
        <v>13</v>
      </c>
      <c r="S109" s="96">
        <v>13</v>
      </c>
      <c r="T109" s="96">
        <v>13</v>
      </c>
      <c r="U109" s="96">
        <v>13</v>
      </c>
      <c r="V109" s="96">
        <v>13</v>
      </c>
      <c r="W109" s="96">
        <v>13</v>
      </c>
      <c r="X109" s="96">
        <v>13</v>
      </c>
      <c r="Y109" s="96">
        <v>13</v>
      </c>
      <c r="Z109" s="96">
        <v>13</v>
      </c>
      <c r="AA109" s="96">
        <v>13</v>
      </c>
      <c r="AB109" s="96">
        <v>13</v>
      </c>
      <c r="AC109" s="96">
        <v>13</v>
      </c>
      <c r="AD109" s="96"/>
      <c r="AE109" s="96"/>
      <c r="AF109" s="96"/>
      <c r="AG109" s="96"/>
      <c r="AH109" s="96"/>
      <c r="AI109" s="96"/>
      <c r="AJ109" s="96"/>
      <c r="AK109" s="96"/>
      <c r="AL109" s="96"/>
      <c r="AM109" s="96"/>
      <c r="AN109" s="96"/>
      <c r="AO109" s="96"/>
      <c r="AP109" s="96"/>
      <c r="AQ109" s="96"/>
      <c r="AR109" s="96"/>
      <c r="AS109" s="96"/>
      <c r="AT109" s="96"/>
      <c r="AU109" s="96"/>
      <c r="AV109" s="96"/>
      <c r="AW109" s="96"/>
      <c r="AX109" s="96"/>
      <c r="AY109" s="96"/>
      <c r="AZ109" s="96"/>
      <c r="BA109" s="96"/>
    </row>
    <row r="110" spans="16:53" x14ac:dyDescent="0.25">
      <c r="P110" s="94" t="s">
        <v>16</v>
      </c>
      <c r="Q110" s="95" t="s">
        <v>35</v>
      </c>
      <c r="R110" s="96">
        <v>1E-14</v>
      </c>
      <c r="S110" s="96">
        <v>1E-14</v>
      </c>
      <c r="T110" s="96">
        <v>1E-14</v>
      </c>
      <c r="U110" s="96">
        <v>1E-14</v>
      </c>
      <c r="V110" s="96">
        <v>1E-14</v>
      </c>
      <c r="W110" s="96">
        <v>1E-14</v>
      </c>
      <c r="X110" s="96">
        <v>1E-14</v>
      </c>
      <c r="Y110" s="96">
        <v>1E-14</v>
      </c>
      <c r="Z110" s="96">
        <v>1E-14</v>
      </c>
      <c r="AA110" s="96">
        <v>1E-14</v>
      </c>
      <c r="AB110" s="96">
        <v>1E-14</v>
      </c>
      <c r="AC110" s="96">
        <v>1E-14</v>
      </c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</row>
    <row r="111" spans="16:53" x14ac:dyDescent="0.25">
      <c r="P111" s="94" t="s">
        <v>16</v>
      </c>
      <c r="Q111" s="95" t="s">
        <v>51</v>
      </c>
      <c r="R111" s="96">
        <v>37</v>
      </c>
      <c r="S111" s="96">
        <v>37</v>
      </c>
      <c r="T111" s="96">
        <v>37</v>
      </c>
      <c r="U111" s="96">
        <v>37</v>
      </c>
      <c r="V111" s="96">
        <v>37</v>
      </c>
      <c r="W111" s="96">
        <v>37</v>
      </c>
      <c r="X111" s="96">
        <v>37</v>
      </c>
      <c r="Y111" s="96">
        <v>37</v>
      </c>
      <c r="Z111" s="96">
        <v>37</v>
      </c>
      <c r="AA111" s="96">
        <v>37</v>
      </c>
      <c r="AB111" s="96">
        <v>37</v>
      </c>
      <c r="AC111" s="96">
        <v>37</v>
      </c>
      <c r="AD111" s="96"/>
      <c r="AE111" s="96"/>
      <c r="AF111" s="96"/>
      <c r="AG111" s="96"/>
      <c r="AH111" s="96"/>
      <c r="AI111" s="96"/>
      <c r="AJ111" s="96"/>
      <c r="AK111" s="96"/>
      <c r="AL111" s="96"/>
      <c r="AM111" s="96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96"/>
      <c r="BA111" s="96"/>
    </row>
    <row r="112" spans="16:53" x14ac:dyDescent="0.25">
      <c r="P112" s="94" t="s">
        <v>18</v>
      </c>
      <c r="Q112" s="95" t="s">
        <v>52</v>
      </c>
      <c r="R112" s="96">
        <v>1E-14</v>
      </c>
      <c r="S112" s="96">
        <v>1E-14</v>
      </c>
      <c r="T112" s="96">
        <v>1E-14</v>
      </c>
      <c r="U112" s="96">
        <v>1E-14</v>
      </c>
      <c r="V112" s="96">
        <v>1E-14</v>
      </c>
      <c r="W112" s="96">
        <v>1E-14</v>
      </c>
      <c r="X112" s="96">
        <v>1E-14</v>
      </c>
      <c r="Y112" s="96">
        <v>1E-14</v>
      </c>
      <c r="Z112" s="96">
        <v>1E-14</v>
      </c>
      <c r="AA112" s="96">
        <v>1E-14</v>
      </c>
      <c r="AB112" s="96">
        <v>1E-14</v>
      </c>
      <c r="AC112" s="96">
        <v>1E-14</v>
      </c>
      <c r="AD112" s="96"/>
      <c r="AE112" s="96"/>
      <c r="AF112" s="96"/>
      <c r="AG112" s="96"/>
      <c r="AH112" s="96"/>
      <c r="AI112" s="96"/>
      <c r="AJ112" s="96"/>
      <c r="AK112" s="96"/>
      <c r="AL112" s="96"/>
      <c r="AM112" s="96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96"/>
      <c r="BA112" s="96"/>
    </row>
    <row r="113" spans="16:53" x14ac:dyDescent="0.25">
      <c r="P113" s="94" t="s">
        <v>18</v>
      </c>
      <c r="Q113" s="95" t="s">
        <v>37</v>
      </c>
      <c r="R113" s="96">
        <v>1500</v>
      </c>
      <c r="S113" s="96">
        <v>1500</v>
      </c>
      <c r="T113" s="96">
        <v>1500</v>
      </c>
      <c r="U113" s="96">
        <v>1500</v>
      </c>
      <c r="V113" s="96">
        <v>1500</v>
      </c>
      <c r="W113" s="96">
        <v>1500</v>
      </c>
      <c r="X113" s="96">
        <v>1500</v>
      </c>
      <c r="Y113" s="96">
        <v>1500</v>
      </c>
      <c r="Z113" s="96">
        <v>1500</v>
      </c>
      <c r="AA113" s="96">
        <v>1500</v>
      </c>
      <c r="AB113" s="96">
        <v>1500</v>
      </c>
      <c r="AC113" s="96">
        <v>1500</v>
      </c>
      <c r="AD113" s="96"/>
      <c r="AE113" s="96"/>
      <c r="AF113" s="96"/>
      <c r="AG113" s="96"/>
      <c r="AH113" s="96"/>
      <c r="AI113" s="96"/>
      <c r="AJ113" s="96"/>
      <c r="AK113" s="96"/>
      <c r="AL113" s="96"/>
      <c r="AM113" s="96"/>
      <c r="AN113" s="96"/>
      <c r="AO113" s="96"/>
      <c r="AP113" s="96"/>
      <c r="AQ113" s="96"/>
      <c r="AR113" s="96"/>
      <c r="AS113" s="96"/>
      <c r="AT113" s="96"/>
      <c r="AU113" s="96"/>
      <c r="AV113" s="96"/>
      <c r="AW113" s="96"/>
      <c r="AX113" s="96"/>
      <c r="AY113" s="96"/>
      <c r="AZ113" s="96"/>
      <c r="BA113" s="96"/>
    </row>
    <row r="114" spans="16:53" x14ac:dyDescent="0.25">
      <c r="P114" s="94" t="s">
        <v>18</v>
      </c>
      <c r="Q114" s="95" t="s">
        <v>117</v>
      </c>
      <c r="R114" s="96">
        <v>14.5</v>
      </c>
      <c r="S114" s="96">
        <v>14.5</v>
      </c>
      <c r="T114" s="96">
        <v>14.5</v>
      </c>
      <c r="U114" s="96">
        <v>14.5</v>
      </c>
      <c r="V114" s="96">
        <v>14.5</v>
      </c>
      <c r="W114" s="96">
        <v>14.5</v>
      </c>
      <c r="X114" s="96">
        <v>14.5</v>
      </c>
      <c r="Y114" s="96">
        <v>14.5</v>
      </c>
      <c r="Z114" s="96">
        <v>14.5</v>
      </c>
      <c r="AA114" s="96">
        <v>14.5</v>
      </c>
      <c r="AB114" s="96">
        <v>14.5</v>
      </c>
      <c r="AC114" s="96">
        <v>14.5</v>
      </c>
      <c r="AD114" s="96"/>
      <c r="AE114" s="96"/>
      <c r="AF114" s="96"/>
      <c r="AG114" s="96"/>
      <c r="AH114" s="96"/>
      <c r="AI114" s="96"/>
      <c r="AJ114" s="96"/>
      <c r="AK114" s="96"/>
      <c r="AL114" s="96"/>
      <c r="AM114" s="96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96"/>
      <c r="BA114" s="96"/>
    </row>
    <row r="115" spans="16:53" x14ac:dyDescent="0.25">
      <c r="P115" s="94" t="s">
        <v>18</v>
      </c>
      <c r="Q115" s="95" t="s">
        <v>35</v>
      </c>
      <c r="R115" s="96">
        <v>1E-14</v>
      </c>
      <c r="S115" s="96">
        <v>1E-14</v>
      </c>
      <c r="T115" s="96">
        <v>1E-14</v>
      </c>
      <c r="U115" s="96">
        <v>1E-14</v>
      </c>
      <c r="V115" s="96">
        <v>1E-14</v>
      </c>
      <c r="W115" s="96">
        <v>1E-14</v>
      </c>
      <c r="X115" s="96">
        <v>1E-14</v>
      </c>
      <c r="Y115" s="96">
        <v>1E-14</v>
      </c>
      <c r="Z115" s="96">
        <v>1E-14</v>
      </c>
      <c r="AA115" s="96">
        <v>1E-14</v>
      </c>
      <c r="AB115" s="96">
        <v>1E-14</v>
      </c>
      <c r="AC115" s="96">
        <v>1E-14</v>
      </c>
      <c r="AD115" s="96"/>
      <c r="AE115" s="96"/>
      <c r="AF115" s="96"/>
      <c r="AG115" s="96"/>
      <c r="AH115" s="96"/>
      <c r="AI115" s="96"/>
      <c r="AJ115" s="96"/>
      <c r="AK115" s="96"/>
      <c r="AL115" s="96"/>
      <c r="AM115" s="96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96"/>
      <c r="BA115" s="96"/>
    </row>
    <row r="116" spans="16:53" x14ac:dyDescent="0.25">
      <c r="P116" s="94" t="s">
        <v>18</v>
      </c>
      <c r="Q116" s="95" t="s">
        <v>51</v>
      </c>
      <c r="R116" s="96">
        <v>37</v>
      </c>
      <c r="S116" s="96">
        <v>37</v>
      </c>
      <c r="T116" s="96">
        <v>37</v>
      </c>
      <c r="U116" s="96">
        <v>37</v>
      </c>
      <c r="V116" s="96">
        <v>37</v>
      </c>
      <c r="W116" s="96">
        <v>37</v>
      </c>
      <c r="X116" s="96">
        <v>37</v>
      </c>
      <c r="Y116" s="96">
        <v>37</v>
      </c>
      <c r="Z116" s="96">
        <v>37</v>
      </c>
      <c r="AA116" s="96">
        <v>37</v>
      </c>
      <c r="AB116" s="96">
        <v>37</v>
      </c>
      <c r="AC116" s="96">
        <v>37</v>
      </c>
      <c r="AD116" s="96"/>
      <c r="AE116" s="96"/>
      <c r="AF116" s="96"/>
      <c r="AG116" s="96"/>
      <c r="AH116" s="96"/>
      <c r="AI116" s="96"/>
      <c r="AJ116" s="96"/>
      <c r="AK116" s="96"/>
      <c r="AL116" s="96"/>
      <c r="AM116" s="96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96"/>
      <c r="BA116" s="96"/>
    </row>
    <row r="117" spans="16:53" x14ac:dyDescent="0.25">
      <c r="P117" s="94" t="s">
        <v>19</v>
      </c>
      <c r="Q117" s="95" t="s">
        <v>52</v>
      </c>
      <c r="R117" s="96">
        <v>1E-14</v>
      </c>
      <c r="S117" s="96">
        <v>1E-14</v>
      </c>
      <c r="T117" s="96">
        <v>1E-14</v>
      </c>
      <c r="U117" s="96">
        <v>1E-14</v>
      </c>
      <c r="V117" s="96">
        <v>1E-14</v>
      </c>
      <c r="W117" s="96">
        <v>1E-14</v>
      </c>
      <c r="X117" s="96">
        <v>1E-14</v>
      </c>
      <c r="Y117" s="96">
        <v>1E-14</v>
      </c>
      <c r="Z117" s="96">
        <v>1E-14</v>
      </c>
      <c r="AA117" s="96">
        <v>1E-14</v>
      </c>
      <c r="AB117" s="96">
        <v>1E-14</v>
      </c>
      <c r="AC117" s="96">
        <v>1E-14</v>
      </c>
      <c r="AD117" s="96"/>
      <c r="AE117" s="96"/>
      <c r="AF117" s="96"/>
      <c r="AG117" s="96"/>
      <c r="AH117" s="96"/>
      <c r="AI117" s="96"/>
      <c r="AJ117" s="96"/>
      <c r="AK117" s="96"/>
      <c r="AL117" s="96"/>
      <c r="AM117" s="96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96"/>
      <c r="BA117" s="96"/>
    </row>
    <row r="118" spans="16:53" x14ac:dyDescent="0.25">
      <c r="P118" s="94" t="s">
        <v>19</v>
      </c>
      <c r="Q118" s="95" t="s">
        <v>37</v>
      </c>
      <c r="R118" s="96">
        <v>1E-14</v>
      </c>
      <c r="S118" s="96">
        <v>1E-14</v>
      </c>
      <c r="T118" s="96">
        <v>1E-14</v>
      </c>
      <c r="U118" s="96">
        <v>1E-14</v>
      </c>
      <c r="V118" s="96">
        <v>1E-14</v>
      </c>
      <c r="W118" s="96">
        <v>1E-14</v>
      </c>
      <c r="X118" s="96">
        <v>1E-14</v>
      </c>
      <c r="Y118" s="96">
        <v>1E-14</v>
      </c>
      <c r="Z118" s="96">
        <v>1E-14</v>
      </c>
      <c r="AA118" s="96">
        <v>1E-14</v>
      </c>
      <c r="AB118" s="96">
        <v>1E-14</v>
      </c>
      <c r="AC118" s="96">
        <v>1E-14</v>
      </c>
      <c r="AD118" s="96"/>
      <c r="AE118" s="96"/>
      <c r="AF118" s="96"/>
      <c r="AG118" s="96"/>
      <c r="AH118" s="96"/>
      <c r="AI118" s="96"/>
      <c r="AJ118" s="96"/>
      <c r="AK118" s="96"/>
      <c r="AL118" s="96"/>
      <c r="AM118" s="96"/>
      <c r="AN118" s="96"/>
      <c r="AO118" s="96"/>
      <c r="AP118" s="96"/>
      <c r="AQ118" s="96"/>
      <c r="AR118" s="96"/>
      <c r="AS118" s="96"/>
      <c r="AT118" s="96"/>
      <c r="AU118" s="96"/>
      <c r="AV118" s="96"/>
      <c r="AW118" s="96"/>
      <c r="AX118" s="96"/>
      <c r="AY118" s="96"/>
      <c r="AZ118" s="96"/>
      <c r="BA118" s="96"/>
    </row>
    <row r="119" spans="16:53" x14ac:dyDescent="0.25">
      <c r="P119" s="94" t="s">
        <v>19</v>
      </c>
      <c r="Q119" s="95" t="s">
        <v>117</v>
      </c>
      <c r="R119" s="96">
        <v>14.7</v>
      </c>
      <c r="S119" s="96">
        <v>14.7</v>
      </c>
      <c r="T119" s="96">
        <v>14.7</v>
      </c>
      <c r="U119" s="96">
        <v>14.7</v>
      </c>
      <c r="V119" s="96">
        <v>14.7</v>
      </c>
      <c r="W119" s="96">
        <v>14.7</v>
      </c>
      <c r="X119" s="96">
        <v>14.7</v>
      </c>
      <c r="Y119" s="96">
        <v>14.7</v>
      </c>
      <c r="Z119" s="96">
        <v>14.7</v>
      </c>
      <c r="AA119" s="96">
        <v>14.7</v>
      </c>
      <c r="AB119" s="96">
        <v>14.7</v>
      </c>
      <c r="AC119" s="96">
        <v>14.7</v>
      </c>
      <c r="AD119" s="96"/>
      <c r="AE119" s="96"/>
      <c r="AF119" s="96"/>
      <c r="AG119" s="96"/>
      <c r="AH119" s="96"/>
      <c r="AI119" s="96"/>
      <c r="AJ119" s="96"/>
      <c r="AK119" s="96"/>
      <c r="AL119" s="96"/>
      <c r="AM119" s="96"/>
      <c r="AN119" s="96"/>
      <c r="AO119" s="96"/>
      <c r="AP119" s="96"/>
      <c r="AQ119" s="96"/>
      <c r="AR119" s="96"/>
      <c r="AS119" s="96"/>
      <c r="AT119" s="96"/>
      <c r="AU119" s="96"/>
      <c r="AV119" s="96"/>
      <c r="AW119" s="96"/>
      <c r="AX119" s="96"/>
      <c r="AY119" s="96"/>
      <c r="AZ119" s="96"/>
      <c r="BA119" s="96"/>
    </row>
    <row r="120" spans="16:53" x14ac:dyDescent="0.25">
      <c r="P120" s="94" t="s">
        <v>19</v>
      </c>
      <c r="Q120" s="95" t="s">
        <v>35</v>
      </c>
      <c r="R120" s="96">
        <v>1E-14</v>
      </c>
      <c r="S120" s="96">
        <v>1E-14</v>
      </c>
      <c r="T120" s="96">
        <v>1E-14</v>
      </c>
      <c r="U120" s="96">
        <v>1E-14</v>
      </c>
      <c r="V120" s="96">
        <v>1E-14</v>
      </c>
      <c r="W120" s="96">
        <v>1E-14</v>
      </c>
      <c r="X120" s="96">
        <v>1E-14</v>
      </c>
      <c r="Y120" s="96">
        <v>1E-14</v>
      </c>
      <c r="Z120" s="96">
        <v>1E-14</v>
      </c>
      <c r="AA120" s="96">
        <v>1E-14</v>
      </c>
      <c r="AB120" s="96">
        <v>1E-14</v>
      </c>
      <c r="AC120" s="96">
        <v>1E-14</v>
      </c>
      <c r="AD120" s="96"/>
      <c r="AE120" s="96"/>
      <c r="AF120" s="96"/>
      <c r="AG120" s="96"/>
      <c r="AH120" s="96"/>
      <c r="AI120" s="96"/>
      <c r="AJ120" s="96"/>
      <c r="AK120" s="96"/>
      <c r="AL120" s="96"/>
      <c r="AM120" s="96"/>
      <c r="AN120" s="96"/>
      <c r="AO120" s="96"/>
      <c r="AP120" s="96"/>
      <c r="AQ120" s="96"/>
      <c r="AR120" s="96"/>
      <c r="AS120" s="96"/>
      <c r="AT120" s="96"/>
      <c r="AU120" s="96"/>
      <c r="AV120" s="96"/>
      <c r="AW120" s="96"/>
      <c r="AX120" s="96"/>
      <c r="AY120" s="96"/>
      <c r="AZ120" s="96"/>
      <c r="BA120" s="96"/>
    </row>
    <row r="121" spans="16:53" x14ac:dyDescent="0.25">
      <c r="P121" s="94" t="s">
        <v>19</v>
      </c>
      <c r="Q121" s="95" t="s">
        <v>51</v>
      </c>
      <c r="R121" s="96">
        <v>37</v>
      </c>
      <c r="S121" s="96">
        <v>37</v>
      </c>
      <c r="T121" s="96">
        <v>37</v>
      </c>
      <c r="U121" s="96">
        <v>37</v>
      </c>
      <c r="V121" s="96">
        <v>37</v>
      </c>
      <c r="W121" s="96">
        <v>37</v>
      </c>
      <c r="X121" s="96">
        <v>37</v>
      </c>
      <c r="Y121" s="96">
        <v>37</v>
      </c>
      <c r="Z121" s="96">
        <v>37</v>
      </c>
      <c r="AA121" s="96">
        <v>37</v>
      </c>
      <c r="AB121" s="96">
        <v>37</v>
      </c>
      <c r="AC121" s="96">
        <v>37</v>
      </c>
      <c r="AD121" s="96"/>
      <c r="AE121" s="96"/>
      <c r="AF121" s="96"/>
      <c r="AG121" s="96"/>
      <c r="AH121" s="96"/>
      <c r="AI121" s="96"/>
      <c r="AJ121" s="96"/>
      <c r="AK121" s="96"/>
      <c r="AL121" s="96"/>
      <c r="AM121" s="96"/>
      <c r="AN121" s="96"/>
      <c r="AO121" s="96"/>
      <c r="AP121" s="96"/>
      <c r="AQ121" s="96"/>
      <c r="AR121" s="96"/>
      <c r="AS121" s="96"/>
      <c r="AT121" s="96"/>
      <c r="AU121" s="96"/>
      <c r="AV121" s="96"/>
      <c r="AW121" s="96"/>
      <c r="AX121" s="96"/>
      <c r="AY121" s="96"/>
      <c r="AZ121" s="96"/>
      <c r="BA121" s="96"/>
    </row>
    <row r="122" spans="16:53" x14ac:dyDescent="0.25">
      <c r="P122" s="94" t="s">
        <v>20</v>
      </c>
      <c r="Q122" s="95" t="s">
        <v>52</v>
      </c>
      <c r="R122" s="96">
        <v>10</v>
      </c>
      <c r="S122" s="96">
        <v>1E-14</v>
      </c>
      <c r="T122" s="96">
        <v>10</v>
      </c>
      <c r="U122" s="96">
        <v>10</v>
      </c>
      <c r="V122" s="96">
        <v>10</v>
      </c>
      <c r="W122" s="96">
        <v>10</v>
      </c>
      <c r="X122" s="96">
        <v>10</v>
      </c>
      <c r="Y122" s="96">
        <v>10</v>
      </c>
      <c r="Z122" s="96">
        <v>10</v>
      </c>
      <c r="AA122" s="96">
        <v>10</v>
      </c>
      <c r="AB122" s="96">
        <v>10</v>
      </c>
      <c r="AC122" s="96">
        <v>10</v>
      </c>
      <c r="AD122" s="96"/>
      <c r="AE122" s="96"/>
      <c r="AF122" s="96"/>
      <c r="AG122" s="96"/>
      <c r="AH122" s="96"/>
      <c r="AI122" s="96"/>
      <c r="AJ122" s="96"/>
      <c r="AK122" s="96"/>
      <c r="AL122" s="96"/>
      <c r="AM122" s="96"/>
      <c r="AN122" s="96"/>
      <c r="AO122" s="96"/>
      <c r="AP122" s="96"/>
      <c r="AQ122" s="96"/>
      <c r="AR122" s="96"/>
      <c r="AS122" s="96"/>
      <c r="AT122" s="96"/>
      <c r="AU122" s="96"/>
      <c r="AV122" s="96"/>
      <c r="AW122" s="96"/>
      <c r="AX122" s="96"/>
      <c r="AY122" s="96"/>
      <c r="AZ122" s="96"/>
      <c r="BA122" s="96"/>
    </row>
    <row r="123" spans="16:53" x14ac:dyDescent="0.25">
      <c r="P123" s="94" t="s">
        <v>20</v>
      </c>
      <c r="Q123" s="95" t="s">
        <v>37</v>
      </c>
      <c r="R123" s="96">
        <v>10</v>
      </c>
      <c r="S123" s="96">
        <v>10</v>
      </c>
      <c r="T123" s="96">
        <v>10</v>
      </c>
      <c r="U123" s="96">
        <v>10</v>
      </c>
      <c r="V123" s="96">
        <v>10</v>
      </c>
      <c r="W123" s="96">
        <v>10</v>
      </c>
      <c r="X123" s="96">
        <v>10</v>
      </c>
      <c r="Y123" s="96">
        <v>10</v>
      </c>
      <c r="Z123" s="96">
        <v>10</v>
      </c>
      <c r="AA123" s="96">
        <v>10</v>
      </c>
      <c r="AB123" s="96">
        <v>10</v>
      </c>
      <c r="AC123" s="96">
        <v>10</v>
      </c>
      <c r="AD123" s="96"/>
      <c r="AE123" s="96"/>
      <c r="AF123" s="96"/>
      <c r="AG123" s="96"/>
      <c r="AH123" s="96"/>
      <c r="AI123" s="96"/>
      <c r="AJ123" s="96"/>
      <c r="AK123" s="96"/>
      <c r="AL123" s="96"/>
      <c r="AM123" s="96"/>
      <c r="AN123" s="96"/>
      <c r="AO123" s="96"/>
      <c r="AP123" s="96"/>
      <c r="AQ123" s="96"/>
      <c r="AR123" s="96"/>
      <c r="AS123" s="96"/>
      <c r="AT123" s="96"/>
      <c r="AU123" s="96"/>
      <c r="AV123" s="96"/>
      <c r="AW123" s="96"/>
      <c r="AX123" s="96"/>
      <c r="AY123" s="96"/>
      <c r="AZ123" s="96"/>
      <c r="BA123" s="96"/>
    </row>
    <row r="124" spans="16:53" x14ac:dyDescent="0.25">
      <c r="P124" s="94" t="s">
        <v>20</v>
      </c>
      <c r="Q124" s="95" t="s">
        <v>117</v>
      </c>
      <c r="R124" s="96">
        <v>14</v>
      </c>
      <c r="S124" s="96">
        <v>14</v>
      </c>
      <c r="T124" s="96">
        <v>14</v>
      </c>
      <c r="U124" s="96">
        <v>14</v>
      </c>
      <c r="V124" s="96">
        <v>14</v>
      </c>
      <c r="W124" s="96">
        <v>14</v>
      </c>
      <c r="X124" s="96">
        <v>14</v>
      </c>
      <c r="Y124" s="96">
        <v>14</v>
      </c>
      <c r="Z124" s="96">
        <v>14</v>
      </c>
      <c r="AA124" s="96">
        <v>14</v>
      </c>
      <c r="AB124" s="96">
        <v>14</v>
      </c>
      <c r="AC124" s="96">
        <v>14</v>
      </c>
      <c r="AD124" s="96"/>
      <c r="AE124" s="96"/>
      <c r="AF124" s="96"/>
      <c r="AG124" s="96"/>
      <c r="AH124" s="96"/>
      <c r="AI124" s="96"/>
      <c r="AJ124" s="96"/>
      <c r="AK124" s="96"/>
      <c r="AL124" s="96"/>
      <c r="AM124" s="96"/>
      <c r="AN124" s="96"/>
      <c r="AO124" s="96"/>
      <c r="AP124" s="96"/>
      <c r="AQ124" s="96"/>
      <c r="AR124" s="96"/>
      <c r="AS124" s="96"/>
      <c r="AT124" s="96"/>
      <c r="AU124" s="96"/>
      <c r="AV124" s="96"/>
      <c r="AW124" s="96"/>
      <c r="AX124" s="96"/>
      <c r="AY124" s="96"/>
      <c r="AZ124" s="96"/>
      <c r="BA124" s="96"/>
    </row>
    <row r="125" spans="16:53" x14ac:dyDescent="0.25">
      <c r="P125" s="94" t="s">
        <v>20</v>
      </c>
      <c r="Q125" s="95" t="s">
        <v>35</v>
      </c>
      <c r="R125" s="96">
        <v>685</v>
      </c>
      <c r="S125" s="96">
        <v>685</v>
      </c>
      <c r="T125" s="96">
        <v>685</v>
      </c>
      <c r="U125" s="96">
        <v>685</v>
      </c>
      <c r="V125" s="96">
        <v>685</v>
      </c>
      <c r="W125" s="96">
        <v>685</v>
      </c>
      <c r="X125" s="96">
        <v>685</v>
      </c>
      <c r="Y125" s="96">
        <v>685</v>
      </c>
      <c r="Z125" s="96">
        <v>685</v>
      </c>
      <c r="AA125" s="96">
        <v>685</v>
      </c>
      <c r="AB125" s="96">
        <v>685</v>
      </c>
      <c r="AC125" s="96">
        <v>685</v>
      </c>
      <c r="AD125" s="96"/>
      <c r="AE125" s="96"/>
      <c r="AF125" s="96"/>
      <c r="AG125" s="96"/>
      <c r="AH125" s="96"/>
      <c r="AI125" s="96"/>
      <c r="AJ125" s="96"/>
      <c r="AK125" s="96"/>
      <c r="AL125" s="96"/>
      <c r="AM125" s="96"/>
      <c r="AN125" s="96"/>
      <c r="AO125" s="96"/>
      <c r="AP125" s="96"/>
      <c r="AQ125" s="96"/>
      <c r="AR125" s="96"/>
      <c r="AS125" s="96"/>
      <c r="AT125" s="96"/>
      <c r="AU125" s="96"/>
      <c r="AV125" s="96"/>
      <c r="AW125" s="96"/>
      <c r="AX125" s="96"/>
      <c r="AY125" s="96"/>
      <c r="AZ125" s="96"/>
      <c r="BA125" s="96"/>
    </row>
    <row r="126" spans="16:53" x14ac:dyDescent="0.25">
      <c r="P126" s="94" t="s">
        <v>20</v>
      </c>
      <c r="Q126" s="95" t="s">
        <v>51</v>
      </c>
      <c r="R126" s="96">
        <v>37</v>
      </c>
      <c r="S126" s="96">
        <v>37</v>
      </c>
      <c r="T126" s="96">
        <v>37</v>
      </c>
      <c r="U126" s="96">
        <v>37</v>
      </c>
      <c r="V126" s="96">
        <v>37</v>
      </c>
      <c r="W126" s="96">
        <v>37</v>
      </c>
      <c r="X126" s="96">
        <v>37</v>
      </c>
      <c r="Y126" s="96">
        <v>37</v>
      </c>
      <c r="Z126" s="96">
        <v>37</v>
      </c>
      <c r="AA126" s="96">
        <v>37</v>
      </c>
      <c r="AB126" s="96">
        <v>37</v>
      </c>
      <c r="AC126" s="96">
        <v>37</v>
      </c>
      <c r="AD126" s="96"/>
      <c r="AE126" s="96"/>
      <c r="AF126" s="96"/>
      <c r="AG126" s="96"/>
      <c r="AH126" s="96"/>
      <c r="AI126" s="96"/>
      <c r="AJ126" s="96"/>
      <c r="AK126" s="96"/>
      <c r="AL126" s="96"/>
      <c r="AM126" s="96"/>
      <c r="AN126" s="96"/>
      <c r="AO126" s="96"/>
      <c r="AP126" s="96"/>
      <c r="AQ126" s="96"/>
      <c r="AR126" s="96"/>
      <c r="AS126" s="96"/>
      <c r="AT126" s="96"/>
      <c r="AU126" s="96"/>
      <c r="AV126" s="96"/>
      <c r="AW126" s="96"/>
      <c r="AX126" s="96"/>
      <c r="AY126" s="96"/>
      <c r="AZ126" s="96"/>
      <c r="BA126" s="96"/>
    </row>
    <row r="127" spans="16:53" x14ac:dyDescent="0.25">
      <c r="P127" s="94" t="s">
        <v>17</v>
      </c>
      <c r="Q127" s="95" t="s">
        <v>52</v>
      </c>
      <c r="R127" s="96">
        <v>1E-14</v>
      </c>
      <c r="S127" s="96">
        <v>1E-14</v>
      </c>
      <c r="T127" s="96">
        <v>1E-14</v>
      </c>
      <c r="U127" s="96">
        <v>1E-14</v>
      </c>
      <c r="V127" s="96">
        <v>1E-14</v>
      </c>
      <c r="W127" s="96">
        <v>1E-14</v>
      </c>
      <c r="X127" s="96">
        <v>1E-14</v>
      </c>
      <c r="Y127" s="96">
        <v>1E-14</v>
      </c>
      <c r="Z127" s="96">
        <v>1E-14</v>
      </c>
      <c r="AA127" s="96">
        <v>1E-14</v>
      </c>
      <c r="AB127" s="96">
        <v>1E-14</v>
      </c>
      <c r="AC127" s="96">
        <v>1E-14</v>
      </c>
      <c r="AD127" s="96"/>
      <c r="AE127" s="96"/>
      <c r="AF127" s="96"/>
      <c r="AG127" s="96"/>
      <c r="AH127" s="96"/>
      <c r="AI127" s="96"/>
      <c r="AJ127" s="96"/>
      <c r="AK127" s="96"/>
      <c r="AL127" s="96"/>
      <c r="AM127" s="96"/>
      <c r="AN127" s="96"/>
      <c r="AO127" s="96"/>
      <c r="AP127" s="96"/>
      <c r="AQ127" s="96"/>
      <c r="AR127" s="96"/>
      <c r="AS127" s="96"/>
      <c r="AT127" s="96"/>
      <c r="AU127" s="96"/>
      <c r="AV127" s="96"/>
      <c r="AW127" s="96"/>
      <c r="AX127" s="96"/>
      <c r="AY127" s="96"/>
      <c r="AZ127" s="96"/>
      <c r="BA127" s="96"/>
    </row>
    <row r="128" spans="16:53" x14ac:dyDescent="0.25">
      <c r="P128" s="94" t="s">
        <v>17</v>
      </c>
      <c r="Q128" s="95" t="s">
        <v>37</v>
      </c>
      <c r="R128" s="96">
        <v>150</v>
      </c>
      <c r="S128" s="96">
        <v>150</v>
      </c>
      <c r="T128" s="96">
        <v>150</v>
      </c>
      <c r="U128" s="96">
        <v>150</v>
      </c>
      <c r="V128" s="96">
        <v>150</v>
      </c>
      <c r="W128" s="96">
        <v>150</v>
      </c>
      <c r="X128" s="96">
        <v>150</v>
      </c>
      <c r="Y128" s="96">
        <v>150</v>
      </c>
      <c r="Z128" s="96">
        <v>150</v>
      </c>
      <c r="AA128" s="96">
        <v>150</v>
      </c>
      <c r="AB128" s="96">
        <v>150</v>
      </c>
      <c r="AC128" s="96">
        <v>150</v>
      </c>
      <c r="AD128" s="96"/>
      <c r="AE128" s="96"/>
      <c r="AF128" s="96"/>
      <c r="AG128" s="96"/>
      <c r="AH128" s="96"/>
      <c r="AI128" s="96"/>
      <c r="AJ128" s="96"/>
      <c r="AK128" s="96"/>
      <c r="AL128" s="96"/>
      <c r="AM128" s="96"/>
      <c r="AN128" s="96"/>
      <c r="AO128" s="96"/>
      <c r="AP128" s="96"/>
      <c r="AQ128" s="96"/>
      <c r="AR128" s="96"/>
      <c r="AS128" s="96"/>
      <c r="AT128" s="96"/>
      <c r="AU128" s="96"/>
      <c r="AV128" s="96"/>
      <c r="AW128" s="96"/>
      <c r="AX128" s="96"/>
      <c r="AY128" s="96"/>
      <c r="AZ128" s="96"/>
      <c r="BA128" s="96"/>
    </row>
    <row r="129" spans="16:53" x14ac:dyDescent="0.25">
      <c r="P129" s="94" t="s">
        <v>17</v>
      </c>
      <c r="Q129" s="95" t="s">
        <v>117</v>
      </c>
      <c r="R129" s="96">
        <v>9</v>
      </c>
      <c r="S129" s="96">
        <v>9</v>
      </c>
      <c r="T129" s="96">
        <v>9</v>
      </c>
      <c r="U129" s="96">
        <v>9</v>
      </c>
      <c r="V129" s="96">
        <v>9</v>
      </c>
      <c r="W129" s="96">
        <v>9</v>
      </c>
      <c r="X129" s="96">
        <v>9</v>
      </c>
      <c r="Y129" s="96">
        <v>9</v>
      </c>
      <c r="Z129" s="96">
        <v>9</v>
      </c>
      <c r="AA129" s="96">
        <v>9</v>
      </c>
      <c r="AB129" s="96">
        <v>9</v>
      </c>
      <c r="AC129" s="96">
        <v>9</v>
      </c>
      <c r="AD129" s="96"/>
      <c r="AE129" s="96"/>
      <c r="AF129" s="96"/>
      <c r="AG129" s="96"/>
      <c r="AH129" s="96"/>
      <c r="AI129" s="96"/>
      <c r="AJ129" s="96"/>
      <c r="AK129" s="96"/>
      <c r="AL129" s="96"/>
      <c r="AM129" s="96"/>
      <c r="AN129" s="96"/>
      <c r="AO129" s="96"/>
      <c r="AP129" s="96"/>
      <c r="AQ129" s="96"/>
      <c r="AR129" s="96"/>
      <c r="AS129" s="96"/>
      <c r="AT129" s="96"/>
      <c r="AU129" s="96"/>
      <c r="AV129" s="96"/>
      <c r="AW129" s="96"/>
      <c r="AX129" s="96"/>
      <c r="AY129" s="96"/>
      <c r="AZ129" s="96"/>
      <c r="BA129" s="96"/>
    </row>
    <row r="130" spans="16:53" x14ac:dyDescent="0.25">
      <c r="P130" s="94" t="s">
        <v>17</v>
      </c>
      <c r="Q130" s="95" t="s">
        <v>35</v>
      </c>
      <c r="R130" s="96">
        <v>1E-14</v>
      </c>
      <c r="S130" s="96">
        <v>1E-14</v>
      </c>
      <c r="T130" s="96">
        <v>1E-14</v>
      </c>
      <c r="U130" s="96">
        <v>1E-14</v>
      </c>
      <c r="V130" s="96">
        <v>1E-14</v>
      </c>
      <c r="W130" s="96">
        <v>1E-14</v>
      </c>
      <c r="X130" s="96">
        <v>1E-14</v>
      </c>
      <c r="Y130" s="96">
        <v>1E-14</v>
      </c>
      <c r="Z130" s="96">
        <v>1E-14</v>
      </c>
      <c r="AA130" s="96">
        <v>1E-14</v>
      </c>
      <c r="AB130" s="96">
        <v>1E-14</v>
      </c>
      <c r="AC130" s="96">
        <v>1E-14</v>
      </c>
      <c r="AD130" s="96"/>
      <c r="AE130" s="96"/>
      <c r="AF130" s="96"/>
      <c r="AG130" s="96"/>
      <c r="AH130" s="96"/>
      <c r="AI130" s="96"/>
      <c r="AJ130" s="96"/>
      <c r="AK130" s="96"/>
      <c r="AL130" s="96"/>
      <c r="AM130" s="96"/>
      <c r="AN130" s="96"/>
      <c r="AO130" s="96"/>
      <c r="AP130" s="96"/>
      <c r="AQ130" s="96"/>
      <c r="AR130" s="96"/>
      <c r="AS130" s="96"/>
      <c r="AT130" s="96"/>
      <c r="AU130" s="96"/>
      <c r="AV130" s="96"/>
      <c r="AW130" s="96"/>
      <c r="AX130" s="96"/>
      <c r="AY130" s="96"/>
      <c r="AZ130" s="96"/>
      <c r="BA130" s="96"/>
    </row>
    <row r="131" spans="16:53" x14ac:dyDescent="0.25">
      <c r="P131" s="94" t="s">
        <v>17</v>
      </c>
      <c r="Q131" s="95" t="s">
        <v>51</v>
      </c>
      <c r="R131" s="96">
        <v>1E-14</v>
      </c>
      <c r="S131" s="96">
        <v>1E-14</v>
      </c>
      <c r="T131" s="96">
        <v>1E-14</v>
      </c>
      <c r="U131" s="96">
        <v>1E-14</v>
      </c>
      <c r="V131" s="96">
        <v>1E-14</v>
      </c>
      <c r="W131" s="96">
        <v>1E-14</v>
      </c>
      <c r="X131" s="96">
        <v>1E-14</v>
      </c>
      <c r="Y131" s="96">
        <v>1E-14</v>
      </c>
      <c r="Z131" s="96">
        <v>1E-14</v>
      </c>
      <c r="AA131" s="96">
        <v>1E-14</v>
      </c>
      <c r="AB131" s="96">
        <v>1E-14</v>
      </c>
      <c r="AC131" s="96">
        <v>1E-14</v>
      </c>
      <c r="AD131" s="96"/>
      <c r="AE131" s="96"/>
      <c r="AF131" s="96"/>
      <c r="AG131" s="96"/>
      <c r="AH131" s="96"/>
      <c r="AI131" s="96"/>
      <c r="AJ131" s="96"/>
      <c r="AK131" s="96"/>
      <c r="AL131" s="96"/>
      <c r="AM131" s="96"/>
      <c r="AN131" s="96"/>
      <c r="AO131" s="96"/>
      <c r="AP131" s="96"/>
      <c r="AQ131" s="96"/>
      <c r="AR131" s="96"/>
      <c r="AS131" s="96"/>
      <c r="AT131" s="96"/>
      <c r="AU131" s="96"/>
      <c r="AV131" s="96"/>
      <c r="AW131" s="96"/>
      <c r="AX131" s="96"/>
      <c r="AY131" s="96"/>
      <c r="AZ131" s="96"/>
      <c r="BA131" s="96"/>
    </row>
    <row r="132" spans="16:53" x14ac:dyDescent="0.25">
      <c r="P132" s="94" t="s">
        <v>43</v>
      </c>
      <c r="Q132" s="95" t="s">
        <v>52</v>
      </c>
      <c r="R132" s="96">
        <v>1E-14</v>
      </c>
      <c r="S132" s="96">
        <v>1E-14</v>
      </c>
      <c r="T132" s="96">
        <v>1E-14</v>
      </c>
      <c r="U132" s="96">
        <v>1E-14</v>
      </c>
      <c r="V132" s="96">
        <v>1E-14</v>
      </c>
      <c r="W132" s="96">
        <v>1E-14</v>
      </c>
      <c r="X132" s="96">
        <v>1E-14</v>
      </c>
      <c r="Y132" s="96">
        <v>1E-14</v>
      </c>
      <c r="Z132" s="96">
        <v>1E-14</v>
      </c>
      <c r="AA132" s="96">
        <v>1E-14</v>
      </c>
      <c r="AB132" s="96">
        <v>1E-14</v>
      </c>
      <c r="AC132" s="96">
        <v>1E-14</v>
      </c>
      <c r="AD132" s="96"/>
      <c r="AE132" s="96"/>
      <c r="AF132" s="96"/>
      <c r="AG132" s="96"/>
      <c r="AH132" s="96"/>
      <c r="AI132" s="96"/>
      <c r="AJ132" s="96"/>
      <c r="AK132" s="96"/>
      <c r="AL132" s="96"/>
      <c r="AM132" s="96"/>
      <c r="AN132" s="96"/>
      <c r="AO132" s="96"/>
      <c r="AP132" s="96"/>
      <c r="AQ132" s="96"/>
      <c r="AR132" s="96"/>
      <c r="AS132" s="96"/>
      <c r="AT132" s="96"/>
      <c r="AU132" s="96"/>
      <c r="AV132" s="96"/>
      <c r="AW132" s="96"/>
      <c r="AX132" s="96"/>
      <c r="AY132" s="96"/>
      <c r="AZ132" s="96"/>
      <c r="BA132" s="96"/>
    </row>
    <row r="133" spans="16:53" x14ac:dyDescent="0.25">
      <c r="P133" s="94" t="s">
        <v>43</v>
      </c>
      <c r="Q133" s="95" t="s">
        <v>37</v>
      </c>
      <c r="R133" s="96">
        <v>4166.666666666667</v>
      </c>
      <c r="S133" s="96">
        <v>4166.666666666667</v>
      </c>
      <c r="T133" s="96">
        <v>4166.666666666667</v>
      </c>
      <c r="U133" s="96">
        <v>4166.666666666667</v>
      </c>
      <c r="V133" s="96">
        <v>4166.666666666667</v>
      </c>
      <c r="W133" s="96">
        <v>4166.666666666667</v>
      </c>
      <c r="X133" s="96">
        <v>4166.666666666667</v>
      </c>
      <c r="Y133" s="96">
        <v>4166.666666666667</v>
      </c>
      <c r="Z133" s="96">
        <v>4166.666666666667</v>
      </c>
      <c r="AA133" s="96">
        <v>4166.666666666667</v>
      </c>
      <c r="AB133" s="96">
        <v>4166.666666666667</v>
      </c>
      <c r="AC133" s="96">
        <v>4166.666666666667</v>
      </c>
      <c r="AD133" s="96"/>
      <c r="AE133" s="96"/>
      <c r="AF133" s="96"/>
      <c r="AG133" s="96"/>
      <c r="AH133" s="96"/>
      <c r="AI133" s="96"/>
      <c r="AJ133" s="96"/>
      <c r="AK133" s="96"/>
      <c r="AL133" s="96"/>
      <c r="AM133" s="96"/>
      <c r="AN133" s="96"/>
      <c r="AO133" s="96"/>
      <c r="AP133" s="96"/>
      <c r="AQ133" s="96"/>
      <c r="AR133" s="96"/>
      <c r="AS133" s="96"/>
      <c r="AT133" s="96"/>
      <c r="AU133" s="96"/>
      <c r="AV133" s="96"/>
      <c r="AW133" s="96"/>
      <c r="AX133" s="96"/>
      <c r="AY133" s="96"/>
      <c r="AZ133" s="96"/>
      <c r="BA133" s="96"/>
    </row>
    <row r="134" spans="16:53" x14ac:dyDescent="0.25">
      <c r="P134" s="94" t="s">
        <v>43</v>
      </c>
      <c r="Q134" s="95" t="s">
        <v>117</v>
      </c>
      <c r="R134" s="96">
        <v>11.5</v>
      </c>
      <c r="S134" s="96">
        <v>11.5</v>
      </c>
      <c r="T134" s="96">
        <v>11.5</v>
      </c>
      <c r="U134" s="96">
        <v>11.5</v>
      </c>
      <c r="V134" s="96">
        <v>11.5</v>
      </c>
      <c r="W134" s="96">
        <v>11.5</v>
      </c>
      <c r="X134" s="96">
        <v>11.5</v>
      </c>
      <c r="Y134" s="96">
        <v>11.5</v>
      </c>
      <c r="Z134" s="96">
        <v>11.5</v>
      </c>
      <c r="AA134" s="96">
        <v>11.5</v>
      </c>
      <c r="AB134" s="96">
        <v>11.5</v>
      </c>
      <c r="AC134" s="96">
        <v>11.5</v>
      </c>
      <c r="AD134" s="96"/>
      <c r="AE134" s="96"/>
      <c r="AF134" s="96"/>
      <c r="AG134" s="96"/>
      <c r="AH134" s="96"/>
      <c r="AI134" s="96"/>
      <c r="AJ134" s="96"/>
      <c r="AK134" s="96"/>
      <c r="AL134" s="96"/>
      <c r="AM134" s="96"/>
      <c r="AN134" s="96"/>
      <c r="AO134" s="96"/>
      <c r="AP134" s="96"/>
      <c r="AQ134" s="96"/>
      <c r="AR134" s="96"/>
      <c r="AS134" s="96"/>
      <c r="AT134" s="96"/>
      <c r="AU134" s="96"/>
      <c r="AV134" s="96"/>
      <c r="AW134" s="96"/>
      <c r="AX134" s="96"/>
      <c r="AY134" s="96"/>
      <c r="AZ134" s="96"/>
      <c r="BA134" s="96"/>
    </row>
    <row r="135" spans="16:53" x14ac:dyDescent="0.25">
      <c r="P135" s="94" t="s">
        <v>43</v>
      </c>
      <c r="Q135" s="95" t="s">
        <v>35</v>
      </c>
      <c r="R135" s="96">
        <v>1E-14</v>
      </c>
      <c r="S135" s="96">
        <v>1E-14</v>
      </c>
      <c r="T135" s="96">
        <v>1E-14</v>
      </c>
      <c r="U135" s="96">
        <v>1E-14</v>
      </c>
      <c r="V135" s="96">
        <v>1E-14</v>
      </c>
      <c r="W135" s="96">
        <v>1E-14</v>
      </c>
      <c r="X135" s="96">
        <v>1E-14</v>
      </c>
      <c r="Y135" s="96">
        <v>1E-14</v>
      </c>
      <c r="Z135" s="96">
        <v>1E-14</v>
      </c>
      <c r="AA135" s="96">
        <v>1E-14</v>
      </c>
      <c r="AB135" s="96">
        <v>1E-14</v>
      </c>
      <c r="AC135" s="96">
        <v>1E-14</v>
      </c>
      <c r="AD135" s="96"/>
      <c r="AE135" s="96"/>
      <c r="AF135" s="96"/>
      <c r="AG135" s="96"/>
      <c r="AH135" s="96"/>
      <c r="AI135" s="96"/>
      <c r="AJ135" s="96"/>
      <c r="AK135" s="96"/>
      <c r="AL135" s="96"/>
      <c r="AM135" s="96"/>
      <c r="AN135" s="96"/>
      <c r="AO135" s="96"/>
      <c r="AP135" s="96"/>
      <c r="AQ135" s="96"/>
      <c r="AR135" s="96"/>
      <c r="AS135" s="96"/>
      <c r="AT135" s="96"/>
      <c r="AU135" s="96"/>
      <c r="AV135" s="96"/>
      <c r="AW135" s="96"/>
      <c r="AX135" s="96"/>
      <c r="AY135" s="96"/>
      <c r="AZ135" s="96"/>
      <c r="BA135" s="96"/>
    </row>
    <row r="136" spans="16:53" x14ac:dyDescent="0.25">
      <c r="P136" s="94" t="s">
        <v>43</v>
      </c>
      <c r="Q136" s="95" t="s">
        <v>51</v>
      </c>
      <c r="R136" s="96">
        <v>1E-14</v>
      </c>
      <c r="S136" s="96">
        <v>1E-14</v>
      </c>
      <c r="T136" s="96">
        <v>1E-14</v>
      </c>
      <c r="U136" s="96">
        <v>1E-14</v>
      </c>
      <c r="V136" s="96">
        <v>1E-14</v>
      </c>
      <c r="W136" s="96">
        <v>1E-14</v>
      </c>
      <c r="X136" s="96">
        <v>1E-14</v>
      </c>
      <c r="Y136" s="96">
        <v>1E-14</v>
      </c>
      <c r="Z136" s="96">
        <v>1E-14</v>
      </c>
      <c r="AA136" s="96">
        <v>1E-14</v>
      </c>
      <c r="AB136" s="96">
        <v>1E-14</v>
      </c>
      <c r="AC136" s="96">
        <v>1E-14</v>
      </c>
      <c r="AD136" s="96"/>
      <c r="AE136" s="96"/>
      <c r="AF136" s="96"/>
      <c r="AG136" s="96"/>
      <c r="AH136" s="96"/>
      <c r="AI136" s="96"/>
      <c r="AJ136" s="96"/>
      <c r="AK136" s="96"/>
      <c r="AL136" s="96"/>
      <c r="AM136" s="96"/>
      <c r="AN136" s="96"/>
      <c r="AO136" s="96"/>
      <c r="AP136" s="96"/>
      <c r="AQ136" s="96"/>
      <c r="AR136" s="96"/>
      <c r="AS136" s="96"/>
      <c r="AT136" s="96"/>
      <c r="AU136" s="96"/>
      <c r="AV136" s="96"/>
      <c r="AW136" s="96"/>
      <c r="AX136" s="96"/>
      <c r="AY136" s="96"/>
      <c r="AZ136" s="96"/>
      <c r="BA136" s="96"/>
    </row>
    <row r="137" spans="16:53" x14ac:dyDescent="0.25">
      <c r="P137" s="94" t="s">
        <v>44</v>
      </c>
      <c r="Q137" s="95" t="s">
        <v>52</v>
      </c>
      <c r="R137" s="96">
        <v>1E-14</v>
      </c>
      <c r="S137" s="96">
        <v>1E-14</v>
      </c>
      <c r="T137" s="96">
        <v>1E-14</v>
      </c>
      <c r="U137" s="96">
        <v>1E-14</v>
      </c>
      <c r="V137" s="96">
        <v>1E-14</v>
      </c>
      <c r="W137" s="96">
        <v>1E-14</v>
      </c>
      <c r="X137" s="96">
        <v>1E-14</v>
      </c>
      <c r="Y137" s="96">
        <v>1E-14</v>
      </c>
      <c r="Z137" s="96">
        <v>1E-14</v>
      </c>
      <c r="AA137" s="96">
        <v>1E-14</v>
      </c>
      <c r="AB137" s="96">
        <v>1E-14</v>
      </c>
      <c r="AC137" s="96">
        <v>1E-14</v>
      </c>
      <c r="AD137" s="96"/>
      <c r="AE137" s="96"/>
      <c r="AF137" s="96"/>
      <c r="AG137" s="96"/>
      <c r="AH137" s="96"/>
      <c r="AI137" s="96"/>
      <c r="AJ137" s="96"/>
      <c r="AK137" s="96"/>
      <c r="AL137" s="96"/>
      <c r="AM137" s="96"/>
      <c r="AN137" s="96"/>
      <c r="AO137" s="96"/>
      <c r="AP137" s="96"/>
      <c r="AQ137" s="96"/>
      <c r="AR137" s="96"/>
      <c r="AS137" s="96"/>
      <c r="AT137" s="96"/>
      <c r="AU137" s="96"/>
      <c r="AV137" s="96"/>
      <c r="AW137" s="96"/>
      <c r="AX137" s="96"/>
      <c r="AY137" s="96"/>
      <c r="AZ137" s="96"/>
      <c r="BA137" s="96"/>
    </row>
    <row r="138" spans="16:53" x14ac:dyDescent="0.25">
      <c r="P138" s="94" t="s">
        <v>44</v>
      </c>
      <c r="Q138" s="95" t="s">
        <v>37</v>
      </c>
      <c r="R138" s="96">
        <v>3333.3333333333335</v>
      </c>
      <c r="S138" s="96">
        <v>3333.3333333333335</v>
      </c>
      <c r="T138" s="96">
        <v>3333.3333333333335</v>
      </c>
      <c r="U138" s="96">
        <v>3333.3333333333335</v>
      </c>
      <c r="V138" s="96">
        <v>3333.3333333333335</v>
      </c>
      <c r="W138" s="96">
        <v>3333.3333333333335</v>
      </c>
      <c r="X138" s="96">
        <v>3333.3333333333335</v>
      </c>
      <c r="Y138" s="96">
        <v>3333.3333333333335</v>
      </c>
      <c r="Z138" s="96">
        <v>3333.3333333333335</v>
      </c>
      <c r="AA138" s="96">
        <v>3333.3333333333335</v>
      </c>
      <c r="AB138" s="96">
        <v>3333.3333333333335</v>
      </c>
      <c r="AC138" s="96">
        <v>3333.3333333333335</v>
      </c>
      <c r="AD138" s="96"/>
      <c r="AE138" s="96"/>
      <c r="AF138" s="96"/>
      <c r="AG138" s="96"/>
      <c r="AH138" s="96"/>
      <c r="AI138" s="96"/>
      <c r="AJ138" s="96"/>
      <c r="AK138" s="96"/>
      <c r="AL138" s="96"/>
      <c r="AM138" s="96"/>
      <c r="AN138" s="96"/>
      <c r="AO138" s="96"/>
      <c r="AP138" s="96"/>
      <c r="AQ138" s="96"/>
      <c r="AR138" s="96"/>
      <c r="AS138" s="96"/>
      <c r="AT138" s="96"/>
      <c r="AU138" s="96"/>
      <c r="AV138" s="96"/>
      <c r="AW138" s="96"/>
      <c r="AX138" s="96"/>
      <c r="AY138" s="96"/>
      <c r="AZ138" s="96"/>
      <c r="BA138" s="96"/>
    </row>
    <row r="139" spans="16:53" x14ac:dyDescent="0.25">
      <c r="P139" s="94" t="s">
        <v>44</v>
      </c>
      <c r="Q139" s="95" t="s">
        <v>117</v>
      </c>
      <c r="R139" s="96">
        <v>10.5</v>
      </c>
      <c r="S139" s="96">
        <v>10.5</v>
      </c>
      <c r="T139" s="96">
        <v>10.5</v>
      </c>
      <c r="U139" s="96">
        <v>10.5</v>
      </c>
      <c r="V139" s="96">
        <v>10.5</v>
      </c>
      <c r="W139" s="96">
        <v>10.5</v>
      </c>
      <c r="X139" s="96">
        <v>10.5</v>
      </c>
      <c r="Y139" s="96">
        <v>10.5</v>
      </c>
      <c r="Z139" s="96">
        <v>10.5</v>
      </c>
      <c r="AA139" s="96">
        <v>10.5</v>
      </c>
      <c r="AB139" s="96">
        <v>10.5</v>
      </c>
      <c r="AC139" s="96">
        <v>10.5</v>
      </c>
      <c r="AD139" s="96"/>
      <c r="AE139" s="96"/>
      <c r="AF139" s="96"/>
      <c r="AG139" s="96"/>
      <c r="AH139" s="96"/>
      <c r="AI139" s="96"/>
      <c r="AJ139" s="96"/>
      <c r="AK139" s="96"/>
      <c r="AL139" s="96"/>
      <c r="AM139" s="96"/>
      <c r="AN139" s="96"/>
      <c r="AO139" s="96"/>
      <c r="AP139" s="96"/>
      <c r="AQ139" s="96"/>
      <c r="AR139" s="96"/>
      <c r="AS139" s="96"/>
      <c r="AT139" s="96"/>
      <c r="AU139" s="96"/>
      <c r="AV139" s="96"/>
      <c r="AW139" s="96"/>
      <c r="AX139" s="96"/>
      <c r="AY139" s="96"/>
      <c r="AZ139" s="96"/>
      <c r="BA139" s="96"/>
    </row>
    <row r="140" spans="16:53" x14ac:dyDescent="0.25">
      <c r="P140" s="94" t="s">
        <v>44</v>
      </c>
      <c r="Q140" s="95" t="s">
        <v>35</v>
      </c>
      <c r="R140" s="96">
        <v>450</v>
      </c>
      <c r="S140" s="96">
        <v>450</v>
      </c>
      <c r="T140" s="96">
        <v>450</v>
      </c>
      <c r="U140" s="96">
        <v>450</v>
      </c>
      <c r="V140" s="96">
        <v>450</v>
      </c>
      <c r="W140" s="96">
        <v>450</v>
      </c>
      <c r="X140" s="96">
        <v>450</v>
      </c>
      <c r="Y140" s="96">
        <v>450</v>
      </c>
      <c r="Z140" s="96">
        <v>450</v>
      </c>
      <c r="AA140" s="96">
        <v>450</v>
      </c>
      <c r="AB140" s="96">
        <v>450</v>
      </c>
      <c r="AC140" s="96">
        <v>450</v>
      </c>
      <c r="AD140" s="96"/>
      <c r="AE140" s="96"/>
      <c r="AF140" s="96"/>
      <c r="AG140" s="96"/>
      <c r="AH140" s="96"/>
      <c r="AI140" s="96"/>
      <c r="AJ140" s="96"/>
      <c r="AK140" s="96"/>
      <c r="AL140" s="96"/>
      <c r="AM140" s="96"/>
      <c r="AN140" s="96"/>
      <c r="AO140" s="96"/>
      <c r="AP140" s="96"/>
      <c r="AQ140" s="96"/>
      <c r="AR140" s="96"/>
      <c r="AS140" s="96"/>
      <c r="AT140" s="96"/>
      <c r="AU140" s="96"/>
      <c r="AV140" s="96"/>
      <c r="AW140" s="96"/>
      <c r="AX140" s="96"/>
      <c r="AY140" s="96"/>
      <c r="AZ140" s="96"/>
      <c r="BA140" s="96"/>
    </row>
    <row r="141" spans="16:53" x14ac:dyDescent="0.25">
      <c r="P141" s="94" t="s">
        <v>44</v>
      </c>
      <c r="Q141" s="95" t="s">
        <v>51</v>
      </c>
      <c r="R141" s="96">
        <v>37</v>
      </c>
      <c r="S141" s="96">
        <v>37</v>
      </c>
      <c r="T141" s="96">
        <v>37</v>
      </c>
      <c r="U141" s="96">
        <v>37</v>
      </c>
      <c r="V141" s="96">
        <v>37</v>
      </c>
      <c r="W141" s="96">
        <v>37</v>
      </c>
      <c r="X141" s="96">
        <v>37</v>
      </c>
      <c r="Y141" s="96">
        <v>37</v>
      </c>
      <c r="Z141" s="96">
        <v>37</v>
      </c>
      <c r="AA141" s="96">
        <v>37</v>
      </c>
      <c r="AB141" s="96">
        <v>37</v>
      </c>
      <c r="AC141" s="96">
        <v>37</v>
      </c>
      <c r="AD141" s="96"/>
      <c r="AE141" s="96"/>
      <c r="AF141" s="96"/>
      <c r="AG141" s="96"/>
      <c r="AH141" s="96"/>
      <c r="AI141" s="96"/>
      <c r="AJ141" s="96"/>
      <c r="AK141" s="96"/>
      <c r="AL141" s="96"/>
      <c r="AM141" s="96"/>
      <c r="AN141" s="96"/>
      <c r="AO141" s="96"/>
      <c r="AP141" s="96"/>
      <c r="AQ141" s="96"/>
      <c r="AR141" s="96"/>
      <c r="AS141" s="96"/>
      <c r="AT141" s="96"/>
      <c r="AU141" s="96"/>
      <c r="AV141" s="96"/>
      <c r="AW141" s="96"/>
      <c r="AX141" s="96"/>
      <c r="AY141" s="96"/>
      <c r="AZ141" s="96"/>
      <c r="BA141" s="96"/>
    </row>
    <row r="142" spans="16:53" x14ac:dyDescent="0.25">
      <c r="P142" s="94" t="s">
        <v>91</v>
      </c>
      <c r="Q142" s="95" t="s">
        <v>52</v>
      </c>
      <c r="R142" s="96">
        <v>1E-14</v>
      </c>
      <c r="S142" s="96">
        <v>1E-14</v>
      </c>
      <c r="T142" s="96">
        <v>1E-14</v>
      </c>
      <c r="U142" s="96">
        <v>1E-14</v>
      </c>
      <c r="V142" s="96">
        <v>1E-14</v>
      </c>
      <c r="W142" s="96">
        <v>1E-14</v>
      </c>
      <c r="X142" s="96">
        <v>1E-14</v>
      </c>
      <c r="Y142" s="96">
        <v>1E-14</v>
      </c>
      <c r="Z142" s="96">
        <v>1E-14</v>
      </c>
      <c r="AA142" s="96">
        <v>1E-14</v>
      </c>
      <c r="AB142" s="96">
        <v>1E-14</v>
      </c>
      <c r="AC142" s="96">
        <v>1E-14</v>
      </c>
      <c r="AD142" s="96"/>
      <c r="AE142" s="96"/>
      <c r="AF142" s="96"/>
      <c r="AG142" s="96"/>
      <c r="AH142" s="96"/>
      <c r="AI142" s="96"/>
      <c r="AJ142" s="96"/>
      <c r="AK142" s="96"/>
      <c r="AL142" s="96"/>
      <c r="AM142" s="96"/>
      <c r="AN142" s="96"/>
      <c r="AO142" s="96"/>
      <c r="AP142" s="96"/>
      <c r="AQ142" s="96"/>
      <c r="AR142" s="96"/>
      <c r="AS142" s="96"/>
      <c r="AT142" s="96"/>
      <c r="AU142" s="96"/>
      <c r="AV142" s="96"/>
      <c r="AW142" s="96"/>
      <c r="AX142" s="96"/>
      <c r="AY142" s="96"/>
      <c r="AZ142" s="96"/>
      <c r="BA142" s="96"/>
    </row>
    <row r="143" spans="16:53" x14ac:dyDescent="0.25">
      <c r="P143" s="94" t="s">
        <v>91</v>
      </c>
      <c r="Q143" s="95" t="s">
        <v>37</v>
      </c>
      <c r="R143" s="96">
        <v>2500</v>
      </c>
      <c r="S143" s="96">
        <v>2500</v>
      </c>
      <c r="T143" s="96">
        <v>2500</v>
      </c>
      <c r="U143" s="96">
        <v>2500</v>
      </c>
      <c r="V143" s="96">
        <v>2500</v>
      </c>
      <c r="W143" s="96">
        <v>2500</v>
      </c>
      <c r="X143" s="96">
        <v>2500</v>
      </c>
      <c r="Y143" s="96">
        <v>2500</v>
      </c>
      <c r="Z143" s="96">
        <v>2500</v>
      </c>
      <c r="AA143" s="96">
        <v>2500</v>
      </c>
      <c r="AB143" s="96">
        <v>2500</v>
      </c>
      <c r="AC143" s="96">
        <v>2500</v>
      </c>
      <c r="AD143" s="96"/>
      <c r="AE143" s="96"/>
      <c r="AF143" s="96"/>
      <c r="AG143" s="96"/>
      <c r="AH143" s="96"/>
      <c r="AI143" s="96"/>
      <c r="AJ143" s="96"/>
      <c r="AK143" s="96"/>
      <c r="AL143" s="96"/>
      <c r="AM143" s="96"/>
      <c r="AN143" s="96"/>
      <c r="AO143" s="96"/>
      <c r="AP143" s="96"/>
      <c r="AQ143" s="96"/>
      <c r="AR143" s="96"/>
      <c r="AS143" s="96"/>
      <c r="AT143" s="96"/>
      <c r="AU143" s="96"/>
      <c r="AV143" s="96"/>
      <c r="AW143" s="96"/>
      <c r="AX143" s="96"/>
      <c r="AY143" s="96"/>
      <c r="AZ143" s="96"/>
      <c r="BA143" s="96"/>
    </row>
    <row r="144" spans="16:53" x14ac:dyDescent="0.25">
      <c r="P144" s="94" t="s">
        <v>91</v>
      </c>
      <c r="Q144" s="95" t="s">
        <v>117</v>
      </c>
      <c r="R144" s="96">
        <v>9.5</v>
      </c>
      <c r="S144" s="96">
        <v>9.5</v>
      </c>
      <c r="T144" s="96">
        <v>9.5</v>
      </c>
      <c r="U144" s="96">
        <v>9.5</v>
      </c>
      <c r="V144" s="96">
        <v>9.5</v>
      </c>
      <c r="W144" s="96">
        <v>9.5</v>
      </c>
      <c r="X144" s="96">
        <v>9.5</v>
      </c>
      <c r="Y144" s="96">
        <v>9.5</v>
      </c>
      <c r="Z144" s="96">
        <v>9.5</v>
      </c>
      <c r="AA144" s="96">
        <v>9.5</v>
      </c>
      <c r="AB144" s="96">
        <v>9.5</v>
      </c>
      <c r="AC144" s="96">
        <v>9.5</v>
      </c>
      <c r="AD144" s="96"/>
      <c r="AE144" s="96"/>
      <c r="AF144" s="96"/>
      <c r="AG144" s="96"/>
      <c r="AH144" s="96"/>
      <c r="AI144" s="96"/>
      <c r="AJ144" s="96"/>
      <c r="AK144" s="96"/>
      <c r="AL144" s="96"/>
      <c r="AM144" s="96"/>
      <c r="AN144" s="96"/>
      <c r="AO144" s="96"/>
      <c r="AP144" s="96"/>
      <c r="AQ144" s="96"/>
      <c r="AR144" s="96"/>
      <c r="AS144" s="96"/>
      <c r="AT144" s="96"/>
      <c r="AU144" s="96"/>
      <c r="AV144" s="96"/>
      <c r="AW144" s="96"/>
      <c r="AX144" s="96"/>
      <c r="AY144" s="96"/>
      <c r="AZ144" s="96"/>
      <c r="BA144" s="96"/>
    </row>
    <row r="145" spans="16:53" x14ac:dyDescent="0.25">
      <c r="P145" s="94" t="s">
        <v>91</v>
      </c>
      <c r="Q145" s="95" t="s">
        <v>35</v>
      </c>
      <c r="R145" s="96">
        <v>500</v>
      </c>
      <c r="S145" s="96">
        <v>500</v>
      </c>
      <c r="T145" s="96">
        <v>500</v>
      </c>
      <c r="U145" s="96">
        <v>500</v>
      </c>
      <c r="V145" s="96">
        <v>500</v>
      </c>
      <c r="W145" s="96">
        <v>500</v>
      </c>
      <c r="X145" s="96">
        <v>500</v>
      </c>
      <c r="Y145" s="96">
        <v>500</v>
      </c>
      <c r="Z145" s="96">
        <v>500</v>
      </c>
      <c r="AA145" s="96">
        <v>500</v>
      </c>
      <c r="AB145" s="96">
        <v>500</v>
      </c>
      <c r="AC145" s="96">
        <v>500</v>
      </c>
      <c r="AD145" s="96"/>
      <c r="AE145" s="96"/>
      <c r="AF145" s="96"/>
      <c r="AG145" s="96"/>
      <c r="AH145" s="96"/>
      <c r="AI145" s="96"/>
      <c r="AJ145" s="96"/>
      <c r="AK145" s="96"/>
      <c r="AL145" s="96"/>
      <c r="AM145" s="96"/>
      <c r="AN145" s="96"/>
      <c r="AO145" s="96"/>
      <c r="AP145" s="96"/>
      <c r="AQ145" s="96"/>
      <c r="AR145" s="96"/>
      <c r="AS145" s="96"/>
      <c r="AT145" s="96"/>
      <c r="AU145" s="96"/>
      <c r="AV145" s="96"/>
      <c r="AW145" s="96"/>
      <c r="AX145" s="96"/>
      <c r="AY145" s="96"/>
      <c r="AZ145" s="96"/>
      <c r="BA145" s="96"/>
    </row>
    <row r="146" spans="16:53" x14ac:dyDescent="0.25">
      <c r="P146" s="94" t="s">
        <v>91</v>
      </c>
      <c r="Q146" s="95" t="s">
        <v>51</v>
      </c>
      <c r="R146" s="96">
        <v>37</v>
      </c>
      <c r="S146" s="96">
        <v>37</v>
      </c>
      <c r="T146" s="96">
        <v>37</v>
      </c>
      <c r="U146" s="96">
        <v>37</v>
      </c>
      <c r="V146" s="96">
        <v>37</v>
      </c>
      <c r="W146" s="96">
        <v>37</v>
      </c>
      <c r="X146" s="96">
        <v>37</v>
      </c>
      <c r="Y146" s="96">
        <v>37</v>
      </c>
      <c r="Z146" s="96">
        <v>37</v>
      </c>
      <c r="AA146" s="96">
        <v>37</v>
      </c>
      <c r="AB146" s="96">
        <v>37</v>
      </c>
      <c r="AC146" s="96">
        <v>37</v>
      </c>
      <c r="AD146" s="96"/>
      <c r="AE146" s="96"/>
      <c r="AF146" s="96"/>
      <c r="AG146" s="96"/>
      <c r="AH146" s="96"/>
      <c r="AI146" s="96"/>
      <c r="AJ146" s="96"/>
      <c r="AK146" s="96"/>
      <c r="AL146" s="96"/>
      <c r="AM146" s="96"/>
      <c r="AN146" s="96"/>
      <c r="AO146" s="96"/>
      <c r="AP146" s="96"/>
      <c r="AQ146" s="96"/>
      <c r="AR146" s="96"/>
      <c r="AS146" s="96"/>
      <c r="AT146" s="96"/>
      <c r="AU146" s="96"/>
      <c r="AV146" s="96"/>
      <c r="AW146" s="96"/>
      <c r="AX146" s="96"/>
      <c r="AY146" s="96"/>
      <c r="AZ146" s="96"/>
      <c r="BA146" s="96"/>
    </row>
    <row r="147" spans="16:53" x14ac:dyDescent="0.25">
      <c r="P147" s="94" t="s">
        <v>92</v>
      </c>
      <c r="Q147" s="95" t="s">
        <v>52</v>
      </c>
      <c r="R147" s="96">
        <v>1E-14</v>
      </c>
      <c r="S147" s="96">
        <v>1E-14</v>
      </c>
      <c r="T147" s="96">
        <v>1E-14</v>
      </c>
      <c r="U147" s="96">
        <v>1E-14</v>
      </c>
      <c r="V147" s="96">
        <v>1E-14</v>
      </c>
      <c r="W147" s="96">
        <v>1E-14</v>
      </c>
      <c r="X147" s="96">
        <v>1E-14</v>
      </c>
      <c r="Y147" s="96">
        <v>1E-14</v>
      </c>
      <c r="Z147" s="96">
        <v>1E-14</v>
      </c>
      <c r="AA147" s="96">
        <v>1E-14</v>
      </c>
      <c r="AB147" s="96">
        <v>1E-14</v>
      </c>
      <c r="AC147" s="96">
        <v>1E-14</v>
      </c>
      <c r="AD147" s="96"/>
      <c r="AE147" s="96"/>
      <c r="AF147" s="96"/>
      <c r="AG147" s="96"/>
      <c r="AH147" s="96"/>
      <c r="AI147" s="96"/>
      <c r="AJ147" s="96"/>
      <c r="AK147" s="96"/>
      <c r="AL147" s="96"/>
      <c r="AM147" s="96"/>
      <c r="AN147" s="96"/>
      <c r="AO147" s="96"/>
      <c r="AP147" s="96"/>
      <c r="AQ147" s="96"/>
      <c r="AR147" s="96"/>
      <c r="AS147" s="96"/>
      <c r="AT147" s="96"/>
      <c r="AU147" s="96"/>
      <c r="AV147" s="96"/>
      <c r="AW147" s="96"/>
      <c r="AX147" s="96"/>
      <c r="AY147" s="96"/>
      <c r="AZ147" s="96"/>
      <c r="BA147" s="96"/>
    </row>
    <row r="148" spans="16:53" x14ac:dyDescent="0.25">
      <c r="P148" s="94" t="s">
        <v>92</v>
      </c>
      <c r="Q148" s="95" t="s">
        <v>37</v>
      </c>
      <c r="R148" s="96">
        <v>1666.6666666666667</v>
      </c>
      <c r="S148" s="96">
        <v>1666.6666666666667</v>
      </c>
      <c r="T148" s="96">
        <v>1666.6666666666667</v>
      </c>
      <c r="U148" s="96">
        <v>1666.6666666666667</v>
      </c>
      <c r="V148" s="96">
        <v>1666.6666666666667</v>
      </c>
      <c r="W148" s="96">
        <v>1666.6666666666667</v>
      </c>
      <c r="X148" s="96">
        <v>1666.6666666666667</v>
      </c>
      <c r="Y148" s="96">
        <v>1666.6666666666667</v>
      </c>
      <c r="Z148" s="96">
        <v>1666.6666666666667</v>
      </c>
      <c r="AA148" s="96">
        <v>1666.6666666666667</v>
      </c>
      <c r="AB148" s="96">
        <v>1666.6666666666667</v>
      </c>
      <c r="AC148" s="96">
        <v>1666.6666666666667</v>
      </c>
      <c r="AD148" s="96"/>
      <c r="AE148" s="96"/>
      <c r="AF148" s="96"/>
      <c r="AG148" s="96"/>
      <c r="AH148" s="96"/>
      <c r="AI148" s="96"/>
      <c r="AJ148" s="96"/>
      <c r="AK148" s="96"/>
      <c r="AL148" s="96"/>
      <c r="AM148" s="96"/>
      <c r="AN148" s="96"/>
      <c r="AO148" s="96"/>
      <c r="AP148" s="96"/>
      <c r="AQ148" s="96"/>
      <c r="AR148" s="96"/>
      <c r="AS148" s="96"/>
      <c r="AT148" s="96"/>
      <c r="AU148" s="96"/>
      <c r="AV148" s="96"/>
      <c r="AW148" s="96"/>
      <c r="AX148" s="96"/>
      <c r="AY148" s="96"/>
      <c r="AZ148" s="96"/>
      <c r="BA148" s="96"/>
    </row>
    <row r="149" spans="16:53" x14ac:dyDescent="0.25">
      <c r="P149" s="94" t="s">
        <v>92</v>
      </c>
      <c r="Q149" s="95" t="s">
        <v>117</v>
      </c>
      <c r="R149" s="96">
        <v>8.5</v>
      </c>
      <c r="S149" s="96">
        <v>8.5</v>
      </c>
      <c r="T149" s="96">
        <v>8.5</v>
      </c>
      <c r="U149" s="96">
        <v>8.5</v>
      </c>
      <c r="V149" s="96">
        <v>8.5</v>
      </c>
      <c r="W149" s="96">
        <v>8.5</v>
      </c>
      <c r="X149" s="96">
        <v>8.5</v>
      </c>
      <c r="Y149" s="96">
        <v>8.5</v>
      </c>
      <c r="Z149" s="96">
        <v>8.5</v>
      </c>
      <c r="AA149" s="96">
        <v>8.5</v>
      </c>
      <c r="AB149" s="96">
        <v>8.5</v>
      </c>
      <c r="AC149" s="96">
        <v>8.5</v>
      </c>
      <c r="AD149" s="96"/>
      <c r="AE149" s="96"/>
      <c r="AF149" s="96"/>
      <c r="AG149" s="96"/>
      <c r="AH149" s="96"/>
      <c r="AI149" s="96"/>
      <c r="AJ149" s="96"/>
      <c r="AK149" s="96"/>
      <c r="AL149" s="96"/>
      <c r="AM149" s="96"/>
      <c r="AN149" s="96"/>
      <c r="AO149" s="96"/>
      <c r="AP149" s="96"/>
      <c r="AQ149" s="96"/>
      <c r="AR149" s="96"/>
      <c r="AS149" s="96"/>
      <c r="AT149" s="96"/>
      <c r="AU149" s="96"/>
      <c r="AV149" s="96"/>
      <c r="AW149" s="96"/>
      <c r="AX149" s="96"/>
      <c r="AY149" s="96"/>
      <c r="AZ149" s="96"/>
      <c r="BA149" s="96"/>
    </row>
    <row r="150" spans="16:53" x14ac:dyDescent="0.25">
      <c r="P150" s="94" t="s">
        <v>92</v>
      </c>
      <c r="Q150" s="95" t="s">
        <v>35</v>
      </c>
      <c r="R150" s="96">
        <v>550</v>
      </c>
      <c r="S150" s="96">
        <v>550</v>
      </c>
      <c r="T150" s="96">
        <v>550</v>
      </c>
      <c r="U150" s="96">
        <v>550</v>
      </c>
      <c r="V150" s="96">
        <v>550</v>
      </c>
      <c r="W150" s="96">
        <v>550</v>
      </c>
      <c r="X150" s="96">
        <v>550</v>
      </c>
      <c r="Y150" s="96">
        <v>550</v>
      </c>
      <c r="Z150" s="96">
        <v>550</v>
      </c>
      <c r="AA150" s="96">
        <v>550</v>
      </c>
      <c r="AB150" s="96">
        <v>550</v>
      </c>
      <c r="AC150" s="96">
        <v>550</v>
      </c>
      <c r="AD150" s="96"/>
      <c r="AE150" s="96"/>
      <c r="AF150" s="96"/>
      <c r="AG150" s="96"/>
      <c r="AH150" s="96"/>
      <c r="AI150" s="96"/>
      <c r="AJ150" s="96"/>
      <c r="AK150" s="96"/>
      <c r="AL150" s="96"/>
      <c r="AM150" s="96"/>
      <c r="AN150" s="96"/>
      <c r="AO150" s="96"/>
      <c r="AP150" s="96"/>
      <c r="AQ150" s="96"/>
      <c r="AR150" s="96"/>
      <c r="AS150" s="96"/>
      <c r="AT150" s="96"/>
      <c r="AU150" s="96"/>
      <c r="AV150" s="96"/>
      <c r="AW150" s="96"/>
      <c r="AX150" s="96"/>
      <c r="AY150" s="96"/>
      <c r="AZ150" s="96"/>
      <c r="BA150" s="96"/>
    </row>
    <row r="151" spans="16:53" x14ac:dyDescent="0.25">
      <c r="P151" s="94" t="s">
        <v>92</v>
      </c>
      <c r="Q151" s="95" t="s">
        <v>51</v>
      </c>
      <c r="R151" s="96">
        <v>37</v>
      </c>
      <c r="S151" s="96">
        <v>37</v>
      </c>
      <c r="T151" s="96">
        <v>37</v>
      </c>
      <c r="U151" s="96">
        <v>37</v>
      </c>
      <c r="V151" s="96">
        <v>37</v>
      </c>
      <c r="W151" s="96">
        <v>37</v>
      </c>
      <c r="X151" s="96">
        <v>37</v>
      </c>
      <c r="Y151" s="96">
        <v>37</v>
      </c>
      <c r="Z151" s="96">
        <v>37</v>
      </c>
      <c r="AA151" s="96">
        <v>37</v>
      </c>
      <c r="AB151" s="96">
        <v>37</v>
      </c>
      <c r="AC151" s="96">
        <v>37</v>
      </c>
      <c r="AD151" s="96"/>
      <c r="AE151" s="96"/>
      <c r="AF151" s="96"/>
      <c r="AG151" s="96"/>
      <c r="AH151" s="96"/>
      <c r="AI151" s="96"/>
      <c r="AJ151" s="96"/>
      <c r="AK151" s="96"/>
      <c r="AL151" s="96"/>
      <c r="AM151" s="96"/>
      <c r="AN151" s="96"/>
      <c r="AO151" s="96"/>
      <c r="AP151" s="96"/>
      <c r="AQ151" s="96"/>
      <c r="AR151" s="96"/>
      <c r="AS151" s="96"/>
      <c r="AT151" s="96"/>
      <c r="AU151" s="96"/>
      <c r="AV151" s="96"/>
      <c r="AW151" s="96"/>
      <c r="AX151" s="96"/>
      <c r="AY151" s="96"/>
      <c r="AZ151" s="96"/>
      <c r="BA151" s="96"/>
    </row>
    <row r="152" spans="16:53" x14ac:dyDescent="0.25">
      <c r="P152" s="94" t="s">
        <v>93</v>
      </c>
      <c r="Q152" s="95" t="s">
        <v>52</v>
      </c>
      <c r="R152" s="96">
        <v>1E-14</v>
      </c>
      <c r="S152" s="96">
        <v>1E-14</v>
      </c>
      <c r="T152" s="96">
        <v>1E-14</v>
      </c>
      <c r="U152" s="96">
        <v>1E-14</v>
      </c>
      <c r="V152" s="96">
        <v>1E-14</v>
      </c>
      <c r="W152" s="96">
        <v>1E-14</v>
      </c>
      <c r="X152" s="96">
        <v>1E-14</v>
      </c>
      <c r="Y152" s="96">
        <v>1E-14</v>
      </c>
      <c r="Z152" s="96">
        <v>1E-14</v>
      </c>
      <c r="AA152" s="96">
        <v>1E-14</v>
      </c>
      <c r="AB152" s="96">
        <v>1E-14</v>
      </c>
      <c r="AC152" s="96">
        <v>1E-14</v>
      </c>
      <c r="AD152" s="96"/>
      <c r="AE152" s="96"/>
      <c r="AF152" s="96"/>
      <c r="AG152" s="96"/>
      <c r="AH152" s="96"/>
      <c r="AI152" s="96"/>
      <c r="AJ152" s="96"/>
      <c r="AK152" s="96"/>
      <c r="AL152" s="96"/>
      <c r="AM152" s="96"/>
      <c r="AN152" s="96"/>
      <c r="AO152" s="96"/>
      <c r="AP152" s="96"/>
      <c r="AQ152" s="96"/>
      <c r="AR152" s="96"/>
      <c r="AS152" s="96"/>
      <c r="AT152" s="96"/>
      <c r="AU152" s="96"/>
      <c r="AV152" s="96"/>
      <c r="AW152" s="96"/>
      <c r="AX152" s="96"/>
      <c r="AY152" s="96"/>
      <c r="AZ152" s="96"/>
      <c r="BA152" s="96"/>
    </row>
    <row r="153" spans="16:53" x14ac:dyDescent="0.25">
      <c r="P153" s="94" t="s">
        <v>93</v>
      </c>
      <c r="Q153" s="95" t="s">
        <v>37</v>
      </c>
      <c r="R153" s="96">
        <v>833.33333333333337</v>
      </c>
      <c r="S153" s="96">
        <v>833.33333333333337</v>
      </c>
      <c r="T153" s="96">
        <v>833.33333333333337</v>
      </c>
      <c r="U153" s="96">
        <v>833.33333333333337</v>
      </c>
      <c r="V153" s="96">
        <v>833.33333333333337</v>
      </c>
      <c r="W153" s="96">
        <v>833.33333333333337</v>
      </c>
      <c r="X153" s="96">
        <v>833.33333333333337</v>
      </c>
      <c r="Y153" s="96">
        <v>833.33333333333337</v>
      </c>
      <c r="Z153" s="96">
        <v>833.33333333333337</v>
      </c>
      <c r="AA153" s="96">
        <v>833.33333333333337</v>
      </c>
      <c r="AB153" s="96">
        <v>833.33333333333337</v>
      </c>
      <c r="AC153" s="96">
        <v>833.33333333333337</v>
      </c>
      <c r="AD153" s="96"/>
      <c r="AE153" s="96"/>
      <c r="AF153" s="96"/>
      <c r="AG153" s="96"/>
      <c r="AH153" s="96"/>
      <c r="AI153" s="96"/>
      <c r="AJ153" s="96"/>
      <c r="AK153" s="96"/>
      <c r="AL153" s="96"/>
      <c r="AM153" s="96"/>
      <c r="AN153" s="96"/>
      <c r="AO153" s="96"/>
      <c r="AP153" s="96"/>
      <c r="AQ153" s="96"/>
      <c r="AR153" s="96"/>
      <c r="AS153" s="96"/>
      <c r="AT153" s="96"/>
      <c r="AU153" s="96"/>
      <c r="AV153" s="96"/>
      <c r="AW153" s="96"/>
      <c r="AX153" s="96"/>
      <c r="AY153" s="96"/>
      <c r="AZ153" s="96"/>
      <c r="BA153" s="96"/>
    </row>
    <row r="154" spans="16:53" x14ac:dyDescent="0.25">
      <c r="P154" s="94" t="s">
        <v>93</v>
      </c>
      <c r="Q154" s="95" t="s">
        <v>117</v>
      </c>
      <c r="R154" s="96">
        <v>7.5</v>
      </c>
      <c r="S154" s="96">
        <v>7.5</v>
      </c>
      <c r="T154" s="96">
        <v>7.5</v>
      </c>
      <c r="U154" s="96">
        <v>7.5</v>
      </c>
      <c r="V154" s="96">
        <v>7.5</v>
      </c>
      <c r="W154" s="96">
        <v>7.5</v>
      </c>
      <c r="X154" s="96">
        <v>7.5</v>
      </c>
      <c r="Y154" s="96">
        <v>7.5</v>
      </c>
      <c r="Z154" s="96">
        <v>7.5</v>
      </c>
      <c r="AA154" s="96">
        <v>7.5</v>
      </c>
      <c r="AB154" s="96">
        <v>7.5</v>
      </c>
      <c r="AC154" s="96">
        <v>7.5</v>
      </c>
      <c r="AD154" s="96"/>
      <c r="AE154" s="96"/>
      <c r="AF154" s="96"/>
      <c r="AG154" s="96"/>
      <c r="AH154" s="96"/>
      <c r="AI154" s="96"/>
      <c r="AJ154" s="96"/>
      <c r="AK154" s="96"/>
      <c r="AL154" s="96"/>
      <c r="AM154" s="96"/>
      <c r="AN154" s="96"/>
      <c r="AO154" s="96"/>
      <c r="AP154" s="96"/>
      <c r="AQ154" s="96"/>
      <c r="AR154" s="96"/>
      <c r="AS154" s="96"/>
      <c r="AT154" s="96"/>
      <c r="AU154" s="96"/>
      <c r="AV154" s="96"/>
      <c r="AW154" s="96"/>
      <c r="AX154" s="96"/>
      <c r="AY154" s="96"/>
      <c r="AZ154" s="96"/>
      <c r="BA154" s="96"/>
    </row>
    <row r="155" spans="16:53" x14ac:dyDescent="0.25">
      <c r="P155" s="94" t="s">
        <v>93</v>
      </c>
      <c r="Q155" s="95" t="s">
        <v>35</v>
      </c>
      <c r="R155" s="96">
        <v>600</v>
      </c>
      <c r="S155" s="96">
        <v>600</v>
      </c>
      <c r="T155" s="96">
        <v>600</v>
      </c>
      <c r="U155" s="96">
        <v>600</v>
      </c>
      <c r="V155" s="96">
        <v>600</v>
      </c>
      <c r="W155" s="96">
        <v>600</v>
      </c>
      <c r="X155" s="96">
        <v>600</v>
      </c>
      <c r="Y155" s="96">
        <v>600</v>
      </c>
      <c r="Z155" s="96">
        <v>600</v>
      </c>
      <c r="AA155" s="96">
        <v>600</v>
      </c>
      <c r="AB155" s="96">
        <v>600</v>
      </c>
      <c r="AC155" s="96">
        <v>600</v>
      </c>
      <c r="AD155" s="96"/>
      <c r="AE155" s="96"/>
      <c r="AF155" s="96"/>
      <c r="AG155" s="96"/>
      <c r="AH155" s="96"/>
      <c r="AI155" s="96"/>
      <c r="AJ155" s="96"/>
      <c r="AK155" s="96"/>
      <c r="AL155" s="96"/>
      <c r="AM155" s="96"/>
      <c r="AN155" s="96"/>
      <c r="AO155" s="96"/>
      <c r="AP155" s="96"/>
      <c r="AQ155" s="96"/>
      <c r="AR155" s="96"/>
      <c r="AS155" s="96"/>
      <c r="AT155" s="96"/>
      <c r="AU155" s="96"/>
      <c r="AV155" s="96"/>
      <c r="AW155" s="96"/>
      <c r="AX155" s="96"/>
      <c r="AY155" s="96"/>
      <c r="AZ155" s="96"/>
      <c r="BA155" s="96"/>
    </row>
    <row r="156" spans="16:53" x14ac:dyDescent="0.25">
      <c r="P156" s="94" t="s">
        <v>93</v>
      </c>
      <c r="Q156" s="95" t="s">
        <v>51</v>
      </c>
      <c r="R156" s="96">
        <v>37</v>
      </c>
      <c r="S156" s="96">
        <v>37</v>
      </c>
      <c r="T156" s="96">
        <v>37</v>
      </c>
      <c r="U156" s="96">
        <v>37</v>
      </c>
      <c r="V156" s="96">
        <v>37</v>
      </c>
      <c r="W156" s="96">
        <v>37</v>
      </c>
      <c r="X156" s="96">
        <v>37</v>
      </c>
      <c r="Y156" s="96">
        <v>37</v>
      </c>
      <c r="Z156" s="96">
        <v>37</v>
      </c>
      <c r="AA156" s="96">
        <v>37</v>
      </c>
      <c r="AB156" s="96">
        <v>37</v>
      </c>
      <c r="AC156" s="96">
        <v>37</v>
      </c>
      <c r="AD156" s="96"/>
      <c r="AE156" s="96"/>
      <c r="AF156" s="96"/>
      <c r="AG156" s="96"/>
      <c r="AH156" s="96"/>
      <c r="AI156" s="96"/>
      <c r="AJ156" s="96"/>
      <c r="AK156" s="96"/>
      <c r="AL156" s="96"/>
      <c r="AM156" s="96"/>
      <c r="AN156" s="96"/>
      <c r="AO156" s="96"/>
      <c r="AP156" s="96"/>
      <c r="AQ156" s="96"/>
      <c r="AR156" s="96"/>
      <c r="AS156" s="96"/>
      <c r="AT156" s="96"/>
      <c r="AU156" s="96"/>
      <c r="AV156" s="96"/>
      <c r="AW156" s="96"/>
      <c r="AX156" s="96"/>
      <c r="AY156" s="96"/>
      <c r="AZ156" s="96"/>
      <c r="BA156" s="96"/>
    </row>
    <row r="157" spans="16:53" x14ac:dyDescent="0.25">
      <c r="P157" s="94" t="s">
        <v>21</v>
      </c>
      <c r="Q157" s="95" t="s">
        <v>52</v>
      </c>
      <c r="R157" s="96">
        <v>1E-14</v>
      </c>
      <c r="S157" s="96">
        <v>1E-14</v>
      </c>
      <c r="T157" s="96">
        <v>1E-14</v>
      </c>
      <c r="U157" s="96">
        <v>1E-14</v>
      </c>
      <c r="V157" s="96">
        <v>1E-14</v>
      </c>
      <c r="W157" s="96">
        <v>1E-14</v>
      </c>
      <c r="X157" s="96">
        <v>1E-14</v>
      </c>
      <c r="Y157" s="96">
        <v>1E-14</v>
      </c>
      <c r="Z157" s="96">
        <v>1E-14</v>
      </c>
      <c r="AA157" s="96">
        <v>1E-14</v>
      </c>
      <c r="AB157" s="96">
        <v>1E-14</v>
      </c>
      <c r="AC157" s="96">
        <v>1E-14</v>
      </c>
      <c r="AD157" s="96"/>
      <c r="AE157" s="96"/>
      <c r="AF157" s="96"/>
      <c r="AG157" s="96"/>
      <c r="AH157" s="96"/>
      <c r="AI157" s="96"/>
      <c r="AJ157" s="96"/>
      <c r="AK157" s="96"/>
      <c r="AL157" s="96"/>
      <c r="AM157" s="96"/>
      <c r="AN157" s="96"/>
      <c r="AO157" s="96"/>
      <c r="AP157" s="96"/>
      <c r="AQ157" s="96"/>
      <c r="AR157" s="96"/>
      <c r="AS157" s="96"/>
      <c r="AT157" s="96"/>
      <c r="AU157" s="96"/>
      <c r="AV157" s="96"/>
      <c r="AW157" s="96"/>
      <c r="AX157" s="96"/>
      <c r="AY157" s="96"/>
      <c r="AZ157" s="96"/>
      <c r="BA157" s="96"/>
    </row>
    <row r="158" spans="16:53" x14ac:dyDescent="0.25">
      <c r="P158" s="94" t="s">
        <v>21</v>
      </c>
      <c r="Q158" s="95" t="s">
        <v>37</v>
      </c>
      <c r="R158" s="96">
        <v>1E-14</v>
      </c>
      <c r="S158" s="96">
        <v>1E-14</v>
      </c>
      <c r="T158" s="96">
        <v>1E-14</v>
      </c>
      <c r="U158" s="96">
        <v>1E-14</v>
      </c>
      <c r="V158" s="96">
        <v>1E-14</v>
      </c>
      <c r="W158" s="96">
        <v>1E-14</v>
      </c>
      <c r="X158" s="96">
        <v>1E-14</v>
      </c>
      <c r="Y158" s="96">
        <v>1E-14</v>
      </c>
      <c r="Z158" s="96">
        <v>1E-14</v>
      </c>
      <c r="AA158" s="96">
        <v>1E-14</v>
      </c>
      <c r="AB158" s="96">
        <v>1E-14</v>
      </c>
      <c r="AC158" s="96">
        <v>1E-14</v>
      </c>
      <c r="AD158" s="96"/>
      <c r="AE158" s="96"/>
      <c r="AF158" s="96"/>
      <c r="AG158" s="96"/>
      <c r="AH158" s="96"/>
      <c r="AI158" s="96"/>
      <c r="AJ158" s="96"/>
      <c r="AK158" s="96"/>
      <c r="AL158" s="96"/>
      <c r="AM158" s="96"/>
      <c r="AN158" s="96"/>
      <c r="AO158" s="96"/>
      <c r="AP158" s="96"/>
      <c r="AQ158" s="96"/>
      <c r="AR158" s="96"/>
      <c r="AS158" s="96"/>
      <c r="AT158" s="96"/>
      <c r="AU158" s="96"/>
      <c r="AV158" s="96"/>
      <c r="AW158" s="96"/>
      <c r="AX158" s="96"/>
      <c r="AY158" s="96"/>
      <c r="AZ158" s="96"/>
      <c r="BA158" s="96"/>
    </row>
    <row r="159" spans="16:53" x14ac:dyDescent="0.25">
      <c r="P159" s="94" t="s">
        <v>21</v>
      </c>
      <c r="Q159" s="95" t="s">
        <v>117</v>
      </c>
      <c r="R159" s="96">
        <v>1E-14</v>
      </c>
      <c r="S159" s="96">
        <v>1E-14</v>
      </c>
      <c r="T159" s="96">
        <v>1E-14</v>
      </c>
      <c r="U159" s="96">
        <v>1E-14</v>
      </c>
      <c r="V159" s="96">
        <v>1E-14</v>
      </c>
      <c r="W159" s="96">
        <v>1E-14</v>
      </c>
      <c r="X159" s="96">
        <v>1E-14</v>
      </c>
      <c r="Y159" s="96">
        <v>1E-14</v>
      </c>
      <c r="Z159" s="96">
        <v>1E-14</v>
      </c>
      <c r="AA159" s="96">
        <v>1E-14</v>
      </c>
      <c r="AB159" s="96">
        <v>1E-14</v>
      </c>
      <c r="AC159" s="96">
        <v>1E-14</v>
      </c>
      <c r="AD159" s="96"/>
      <c r="AE159" s="96"/>
      <c r="AF159" s="96"/>
      <c r="AG159" s="96"/>
      <c r="AH159" s="96"/>
      <c r="AI159" s="96"/>
      <c r="AJ159" s="96"/>
      <c r="AK159" s="96"/>
      <c r="AL159" s="96"/>
      <c r="AM159" s="96"/>
      <c r="AN159" s="96"/>
      <c r="AO159" s="96"/>
      <c r="AP159" s="96"/>
      <c r="AQ159" s="96"/>
      <c r="AR159" s="96"/>
      <c r="AS159" s="96"/>
      <c r="AT159" s="96"/>
      <c r="AU159" s="96"/>
      <c r="AV159" s="96"/>
      <c r="AW159" s="96"/>
      <c r="AX159" s="96"/>
      <c r="AY159" s="96"/>
      <c r="AZ159" s="96"/>
      <c r="BA159" s="96"/>
    </row>
    <row r="160" spans="16:53" x14ac:dyDescent="0.25">
      <c r="P160" s="94" t="s">
        <v>21</v>
      </c>
      <c r="Q160" s="95" t="s">
        <v>35</v>
      </c>
      <c r="R160" s="96">
        <v>1E-14</v>
      </c>
      <c r="S160" s="96">
        <v>1E-14</v>
      </c>
      <c r="T160" s="96">
        <v>1E-14</v>
      </c>
      <c r="U160" s="96">
        <v>1E-14</v>
      </c>
      <c r="V160" s="96">
        <v>1E-14</v>
      </c>
      <c r="W160" s="96">
        <v>1E-14</v>
      </c>
      <c r="X160" s="96">
        <v>1E-14</v>
      </c>
      <c r="Y160" s="96">
        <v>1E-14</v>
      </c>
      <c r="Z160" s="96">
        <v>1E-14</v>
      </c>
      <c r="AA160" s="96">
        <v>1E-14</v>
      </c>
      <c r="AB160" s="96">
        <v>1E-14</v>
      </c>
      <c r="AC160" s="96">
        <v>1E-14</v>
      </c>
      <c r="AD160" s="96"/>
      <c r="AE160" s="96"/>
      <c r="AF160" s="96"/>
      <c r="AG160" s="96"/>
      <c r="AH160" s="96"/>
      <c r="AI160" s="96"/>
      <c r="AJ160" s="96"/>
      <c r="AK160" s="96"/>
      <c r="AL160" s="96"/>
      <c r="AM160" s="96"/>
      <c r="AN160" s="96"/>
      <c r="AO160" s="96"/>
      <c r="AP160" s="96"/>
      <c r="AQ160" s="96"/>
      <c r="AR160" s="96"/>
      <c r="AS160" s="96"/>
      <c r="AT160" s="96"/>
      <c r="AU160" s="96"/>
      <c r="AV160" s="96"/>
      <c r="AW160" s="96"/>
      <c r="AX160" s="96"/>
      <c r="AY160" s="96"/>
      <c r="AZ160" s="96"/>
      <c r="BA160" s="96"/>
    </row>
    <row r="161" spans="16:53" x14ac:dyDescent="0.25">
      <c r="P161" s="94" t="s">
        <v>21</v>
      </c>
      <c r="Q161" s="95" t="s">
        <v>51</v>
      </c>
      <c r="R161" s="96">
        <v>1E-14</v>
      </c>
      <c r="S161" s="96">
        <v>1E-14</v>
      </c>
      <c r="T161" s="96">
        <v>1E-14</v>
      </c>
      <c r="U161" s="96">
        <v>1E-14</v>
      </c>
      <c r="V161" s="96">
        <v>1E-14</v>
      </c>
      <c r="W161" s="96">
        <v>1E-14</v>
      </c>
      <c r="X161" s="96">
        <v>1E-14</v>
      </c>
      <c r="Y161" s="96">
        <v>1E-14</v>
      </c>
      <c r="Z161" s="96">
        <v>1E-14</v>
      </c>
      <c r="AA161" s="96">
        <v>1E-14</v>
      </c>
      <c r="AB161" s="96">
        <v>1E-14</v>
      </c>
      <c r="AC161" s="96">
        <v>1E-14</v>
      </c>
      <c r="AD161" s="96"/>
      <c r="AE161" s="96"/>
      <c r="AF161" s="96"/>
      <c r="AG161" s="96"/>
      <c r="AH161" s="96"/>
      <c r="AI161" s="96"/>
      <c r="AJ161" s="96"/>
      <c r="AK161" s="96"/>
      <c r="AL161" s="96"/>
      <c r="AM161" s="96"/>
      <c r="AN161" s="96"/>
      <c r="AO161" s="96"/>
      <c r="AP161" s="96"/>
      <c r="AQ161" s="96"/>
      <c r="AR161" s="96"/>
      <c r="AS161" s="96"/>
      <c r="AT161" s="96"/>
      <c r="AU161" s="96"/>
      <c r="AV161" s="96"/>
      <c r="AW161" s="96"/>
      <c r="AX161" s="96"/>
      <c r="AY161" s="96"/>
      <c r="AZ161" s="96"/>
      <c r="BA161" s="96"/>
    </row>
    <row r="162" spans="16:53" x14ac:dyDescent="0.25">
      <c r="P162" s="94" t="s">
        <v>22</v>
      </c>
      <c r="Q162" s="95" t="s">
        <v>52</v>
      </c>
      <c r="R162" s="96">
        <v>1E-14</v>
      </c>
      <c r="S162" s="96">
        <v>1E-14</v>
      </c>
      <c r="T162" s="96">
        <v>1E-14</v>
      </c>
      <c r="U162" s="96">
        <v>1E-14</v>
      </c>
      <c r="V162" s="96">
        <v>1E-14</v>
      </c>
      <c r="W162" s="96">
        <v>1E-14</v>
      </c>
      <c r="X162" s="96">
        <v>1E-14</v>
      </c>
      <c r="Y162" s="96">
        <v>1E-14</v>
      </c>
      <c r="Z162" s="96">
        <v>1E-14</v>
      </c>
      <c r="AA162" s="96">
        <v>1E-14</v>
      </c>
      <c r="AB162" s="96">
        <v>1E-14</v>
      </c>
      <c r="AC162" s="96">
        <v>1E-14</v>
      </c>
      <c r="AD162" s="96"/>
      <c r="AE162" s="96"/>
      <c r="AF162" s="96"/>
      <c r="AG162" s="96"/>
      <c r="AH162" s="96"/>
      <c r="AI162" s="96"/>
      <c r="AJ162" s="96"/>
      <c r="AK162" s="96"/>
      <c r="AL162" s="96"/>
      <c r="AM162" s="96"/>
      <c r="AN162" s="96"/>
      <c r="AO162" s="96"/>
      <c r="AP162" s="96"/>
      <c r="AQ162" s="96"/>
      <c r="AR162" s="96"/>
      <c r="AS162" s="96"/>
      <c r="AT162" s="96"/>
      <c r="AU162" s="96"/>
      <c r="AV162" s="96"/>
      <c r="AW162" s="96"/>
      <c r="AX162" s="96"/>
      <c r="AY162" s="96"/>
      <c r="AZ162" s="96"/>
      <c r="BA162" s="96"/>
    </row>
    <row r="163" spans="16:53" x14ac:dyDescent="0.25">
      <c r="P163" s="94" t="s">
        <v>22</v>
      </c>
      <c r="Q163" s="95" t="s">
        <v>37</v>
      </c>
      <c r="R163" s="96">
        <v>20.833333333333332</v>
      </c>
      <c r="S163" s="96">
        <v>1E-14</v>
      </c>
      <c r="T163" s="96">
        <v>1E-14</v>
      </c>
      <c r="U163" s="96">
        <v>1E-14</v>
      </c>
      <c r="V163" s="96">
        <v>1E-14</v>
      </c>
      <c r="W163" s="96">
        <v>1E-14</v>
      </c>
      <c r="X163" s="96">
        <v>1E-14</v>
      </c>
      <c r="Y163" s="96">
        <v>1E-14</v>
      </c>
      <c r="Z163" s="96">
        <v>1E-14</v>
      </c>
      <c r="AA163" s="96">
        <v>1E-14</v>
      </c>
      <c r="AB163" s="96">
        <v>7.8125</v>
      </c>
      <c r="AC163" s="96">
        <v>29.166666666666668</v>
      </c>
      <c r="AD163" s="96"/>
      <c r="AE163" s="96"/>
      <c r="AF163" s="96"/>
      <c r="AG163" s="96"/>
      <c r="AH163" s="96"/>
      <c r="AI163" s="96"/>
      <c r="AJ163" s="96"/>
      <c r="AK163" s="96"/>
      <c r="AL163" s="96"/>
      <c r="AM163" s="96"/>
      <c r="AN163" s="96"/>
      <c r="AO163" s="96"/>
      <c r="AP163" s="96"/>
      <c r="AQ163" s="96"/>
      <c r="AR163" s="96"/>
      <c r="AS163" s="96"/>
      <c r="AT163" s="96"/>
      <c r="AU163" s="96"/>
      <c r="AV163" s="96"/>
      <c r="AW163" s="96"/>
      <c r="AX163" s="96"/>
      <c r="AY163" s="96"/>
      <c r="AZ163" s="96"/>
      <c r="BA163" s="96"/>
    </row>
    <row r="164" spans="16:53" x14ac:dyDescent="0.25">
      <c r="P164" s="94" t="s">
        <v>22</v>
      </c>
      <c r="Q164" s="95" t="s">
        <v>117</v>
      </c>
      <c r="R164" s="96">
        <v>1E-14</v>
      </c>
      <c r="S164" s="96">
        <v>1E-14</v>
      </c>
      <c r="T164" s="96">
        <v>1E-14</v>
      </c>
      <c r="U164" s="96">
        <v>1E-14</v>
      </c>
      <c r="V164" s="96">
        <v>1E-14</v>
      </c>
      <c r="W164" s="96">
        <v>1E-14</v>
      </c>
      <c r="X164" s="96">
        <v>1E-14</v>
      </c>
      <c r="Y164" s="96">
        <v>1E-14</v>
      </c>
      <c r="Z164" s="96">
        <v>1E-14</v>
      </c>
      <c r="AA164" s="96">
        <v>1E-14</v>
      </c>
      <c r="AB164" s="96">
        <v>1E-14</v>
      </c>
      <c r="AC164" s="96">
        <v>1E-14</v>
      </c>
      <c r="AD164" s="96"/>
      <c r="AE164" s="96"/>
      <c r="AF164" s="96"/>
      <c r="AG164" s="96"/>
      <c r="AH164" s="96"/>
      <c r="AI164" s="96"/>
      <c r="AJ164" s="96"/>
      <c r="AK164" s="96"/>
      <c r="AL164" s="96"/>
      <c r="AM164" s="96"/>
      <c r="AN164" s="96"/>
      <c r="AO164" s="96"/>
      <c r="AP164" s="96"/>
      <c r="AQ164" s="96"/>
      <c r="AR164" s="96"/>
      <c r="AS164" s="96"/>
      <c r="AT164" s="96"/>
      <c r="AU164" s="96"/>
      <c r="AV164" s="96"/>
      <c r="AW164" s="96"/>
      <c r="AX164" s="96"/>
      <c r="AY164" s="96"/>
      <c r="AZ164" s="96"/>
      <c r="BA164" s="96"/>
    </row>
    <row r="165" spans="16:53" x14ac:dyDescent="0.25">
      <c r="P165" s="94" t="s">
        <v>22</v>
      </c>
      <c r="Q165" s="95" t="s">
        <v>35</v>
      </c>
      <c r="R165" s="96">
        <v>1E-14</v>
      </c>
      <c r="S165" s="96">
        <v>1E-14</v>
      </c>
      <c r="T165" s="96">
        <v>1E-14</v>
      </c>
      <c r="U165" s="96">
        <v>1E-14</v>
      </c>
      <c r="V165" s="96">
        <v>1E-14</v>
      </c>
      <c r="W165" s="96">
        <v>1E-14</v>
      </c>
      <c r="X165" s="96">
        <v>1E-14</v>
      </c>
      <c r="Y165" s="96">
        <v>1E-14</v>
      </c>
      <c r="Z165" s="96">
        <v>1E-14</v>
      </c>
      <c r="AA165" s="96">
        <v>1E-14</v>
      </c>
      <c r="AB165" s="96">
        <v>1E-14</v>
      </c>
      <c r="AC165" s="96">
        <v>1E-14</v>
      </c>
      <c r="AD165" s="96"/>
      <c r="AE165" s="96"/>
      <c r="AF165" s="96"/>
      <c r="AG165" s="96"/>
      <c r="AH165" s="96"/>
      <c r="AI165" s="96"/>
      <c r="AJ165" s="96"/>
      <c r="AK165" s="96"/>
      <c r="AL165" s="96"/>
      <c r="AM165" s="96"/>
      <c r="AN165" s="96"/>
      <c r="AO165" s="96"/>
      <c r="AP165" s="96"/>
      <c r="AQ165" s="96"/>
      <c r="AR165" s="96"/>
      <c r="AS165" s="96"/>
      <c r="AT165" s="96"/>
      <c r="AU165" s="96"/>
      <c r="AV165" s="96"/>
      <c r="AW165" s="96"/>
      <c r="AX165" s="96"/>
      <c r="AY165" s="96"/>
      <c r="AZ165" s="96"/>
      <c r="BA165" s="96"/>
    </row>
    <row r="166" spans="16:53" x14ac:dyDescent="0.25">
      <c r="P166" s="94" t="s">
        <v>22</v>
      </c>
      <c r="Q166" s="95" t="s">
        <v>51</v>
      </c>
      <c r="R166" s="96">
        <v>1E-14</v>
      </c>
      <c r="S166" s="96">
        <v>1E-14</v>
      </c>
      <c r="T166" s="96">
        <v>1E-14</v>
      </c>
      <c r="U166" s="96">
        <v>1E-14</v>
      </c>
      <c r="V166" s="96">
        <v>1E-14</v>
      </c>
      <c r="W166" s="96">
        <v>1E-14</v>
      </c>
      <c r="X166" s="96">
        <v>1E-14</v>
      </c>
      <c r="Y166" s="96">
        <v>1E-14</v>
      </c>
      <c r="Z166" s="96">
        <v>1E-14</v>
      </c>
      <c r="AA166" s="96">
        <v>1E-14</v>
      </c>
      <c r="AB166" s="96">
        <v>1E-14</v>
      </c>
      <c r="AC166" s="96">
        <v>1E-14</v>
      </c>
      <c r="AD166" s="96"/>
      <c r="AE166" s="96"/>
      <c r="AF166" s="96"/>
      <c r="AG166" s="96"/>
      <c r="AH166" s="96"/>
      <c r="AI166" s="96"/>
      <c r="AJ166" s="96"/>
      <c r="AK166" s="96"/>
      <c r="AL166" s="96"/>
      <c r="AM166" s="96"/>
      <c r="AN166" s="96"/>
      <c r="AO166" s="96"/>
      <c r="AP166" s="96"/>
      <c r="AQ166" s="96"/>
      <c r="AR166" s="96"/>
      <c r="AS166" s="96"/>
      <c r="AT166" s="96"/>
      <c r="AU166" s="96"/>
      <c r="AV166" s="96"/>
      <c r="AW166" s="96"/>
      <c r="AX166" s="96"/>
      <c r="AY166" s="96"/>
      <c r="AZ166" s="96"/>
      <c r="BA166" s="96"/>
    </row>
    <row r="167" spans="16:53" x14ac:dyDescent="0.25">
      <c r="P167" s="94" t="s">
        <v>42</v>
      </c>
      <c r="Q167" s="95" t="s">
        <v>52</v>
      </c>
      <c r="R167" s="96">
        <v>1E-14</v>
      </c>
      <c r="S167" s="96">
        <v>1E-14</v>
      </c>
      <c r="T167" s="96">
        <v>1E-14</v>
      </c>
      <c r="U167" s="96">
        <v>1E-14</v>
      </c>
      <c r="V167" s="96">
        <v>1E-14</v>
      </c>
      <c r="W167" s="96">
        <v>1E-14</v>
      </c>
      <c r="X167" s="96">
        <v>1E-14</v>
      </c>
      <c r="Y167" s="96">
        <v>1E-14</v>
      </c>
      <c r="Z167" s="96">
        <v>1E-14</v>
      </c>
      <c r="AA167" s="96">
        <v>1E-14</v>
      </c>
      <c r="AB167" s="96">
        <v>1E-14</v>
      </c>
      <c r="AC167" s="96">
        <v>1E-14</v>
      </c>
      <c r="AD167" s="96"/>
      <c r="AE167" s="96"/>
      <c r="AF167" s="96"/>
      <c r="AG167" s="96"/>
      <c r="AH167" s="96"/>
      <c r="AI167" s="96"/>
      <c r="AJ167" s="96"/>
      <c r="AK167" s="96"/>
      <c r="AL167" s="96"/>
      <c r="AM167" s="96"/>
      <c r="AN167" s="96"/>
      <c r="AO167" s="96"/>
      <c r="AP167" s="96"/>
      <c r="AQ167" s="96"/>
      <c r="AR167" s="96"/>
      <c r="AS167" s="96"/>
      <c r="AT167" s="96"/>
      <c r="AU167" s="96"/>
      <c r="AV167" s="96"/>
      <c r="AW167" s="96"/>
      <c r="AX167" s="96"/>
      <c r="AY167" s="96"/>
      <c r="AZ167" s="96"/>
      <c r="BA167" s="96"/>
    </row>
    <row r="168" spans="16:53" x14ac:dyDescent="0.25">
      <c r="P168" s="94" t="s">
        <v>42</v>
      </c>
      <c r="Q168" s="95" t="s">
        <v>37</v>
      </c>
      <c r="R168" s="96">
        <v>1E-14</v>
      </c>
      <c r="S168" s="96">
        <v>1E-14</v>
      </c>
      <c r="T168" s="96">
        <v>1E-14</v>
      </c>
      <c r="U168" s="96">
        <v>1E-14</v>
      </c>
      <c r="V168" s="96">
        <v>1E-14</v>
      </c>
      <c r="W168" s="96">
        <v>1E-14</v>
      </c>
      <c r="X168" s="96">
        <v>1E-14</v>
      </c>
      <c r="Y168" s="96">
        <v>1E-14</v>
      </c>
      <c r="Z168" s="96">
        <v>1E-14</v>
      </c>
      <c r="AA168" s="96">
        <v>1E-14</v>
      </c>
      <c r="AB168" s="96">
        <v>1E-14</v>
      </c>
      <c r="AC168" s="96">
        <v>1E-14</v>
      </c>
      <c r="AD168" s="96"/>
      <c r="AE168" s="96"/>
      <c r="AF168" s="96"/>
      <c r="AG168" s="96"/>
      <c r="AH168" s="96"/>
      <c r="AI168" s="96"/>
      <c r="AJ168" s="96"/>
      <c r="AK168" s="96"/>
      <c r="AL168" s="96"/>
      <c r="AM168" s="96"/>
      <c r="AN168" s="96"/>
      <c r="AO168" s="96"/>
      <c r="AP168" s="96"/>
      <c r="AQ168" s="96"/>
      <c r="AR168" s="96"/>
      <c r="AS168" s="96"/>
      <c r="AT168" s="96"/>
      <c r="AU168" s="96"/>
      <c r="AV168" s="96"/>
      <c r="AW168" s="96"/>
      <c r="AX168" s="96"/>
      <c r="AY168" s="96"/>
      <c r="AZ168" s="96"/>
      <c r="BA168" s="96"/>
    </row>
    <row r="169" spans="16:53" x14ac:dyDescent="0.25">
      <c r="P169" s="94" t="s">
        <v>42</v>
      </c>
      <c r="Q169" s="95" t="s">
        <v>117</v>
      </c>
      <c r="R169" s="96">
        <v>1E-14</v>
      </c>
      <c r="S169" s="96">
        <v>1E-14</v>
      </c>
      <c r="T169" s="96">
        <v>1E-14</v>
      </c>
      <c r="U169" s="96">
        <v>1E-14</v>
      </c>
      <c r="V169" s="96">
        <v>1E-14</v>
      </c>
      <c r="W169" s="96">
        <v>1E-14</v>
      </c>
      <c r="X169" s="96">
        <v>1E-14</v>
      </c>
      <c r="Y169" s="96">
        <v>1E-14</v>
      </c>
      <c r="Z169" s="96">
        <v>1E-14</v>
      </c>
      <c r="AA169" s="96">
        <v>1E-14</v>
      </c>
      <c r="AB169" s="96">
        <v>1E-14</v>
      </c>
      <c r="AC169" s="96">
        <v>1E-14</v>
      </c>
      <c r="AD169" s="96"/>
      <c r="AE169" s="96"/>
      <c r="AF169" s="96"/>
      <c r="AG169" s="96"/>
      <c r="AH169" s="96"/>
      <c r="AI169" s="96"/>
      <c r="AJ169" s="96"/>
      <c r="AK169" s="96"/>
      <c r="AL169" s="96"/>
      <c r="AM169" s="96"/>
      <c r="AN169" s="96"/>
      <c r="AO169" s="96"/>
      <c r="AP169" s="96"/>
      <c r="AQ169" s="96"/>
      <c r="AR169" s="96"/>
      <c r="AS169" s="96"/>
      <c r="AT169" s="96"/>
      <c r="AU169" s="96"/>
      <c r="AV169" s="96"/>
      <c r="AW169" s="96"/>
      <c r="AX169" s="96"/>
      <c r="AY169" s="96"/>
      <c r="AZ169" s="96"/>
      <c r="BA169" s="96"/>
    </row>
    <row r="170" spans="16:53" x14ac:dyDescent="0.25">
      <c r="P170" s="94" t="s">
        <v>42</v>
      </c>
      <c r="Q170" s="95" t="s">
        <v>35</v>
      </c>
      <c r="R170" s="96">
        <v>1E-14</v>
      </c>
      <c r="S170" s="96">
        <v>1E-14</v>
      </c>
      <c r="T170" s="96">
        <v>1E-14</v>
      </c>
      <c r="U170" s="96">
        <v>1E-14</v>
      </c>
      <c r="V170" s="96">
        <v>1E-14</v>
      </c>
      <c r="W170" s="96">
        <v>1E-14</v>
      </c>
      <c r="X170" s="96">
        <v>1E-14</v>
      </c>
      <c r="Y170" s="96">
        <v>1E-14</v>
      </c>
      <c r="Z170" s="96">
        <v>1E-14</v>
      </c>
      <c r="AA170" s="96">
        <v>1E-14</v>
      </c>
      <c r="AB170" s="96">
        <v>1E-14</v>
      </c>
      <c r="AC170" s="96">
        <v>1E-14</v>
      </c>
      <c r="AD170" s="96"/>
      <c r="AE170" s="96"/>
      <c r="AF170" s="96"/>
      <c r="AG170" s="96"/>
      <c r="AH170" s="96"/>
      <c r="AI170" s="96"/>
      <c r="AJ170" s="96"/>
      <c r="AK170" s="96"/>
      <c r="AL170" s="96"/>
      <c r="AM170" s="96"/>
      <c r="AN170" s="96"/>
      <c r="AO170" s="96"/>
      <c r="AP170" s="96"/>
      <c r="AQ170" s="96"/>
      <c r="AR170" s="96"/>
      <c r="AS170" s="96"/>
      <c r="AT170" s="96"/>
      <c r="AU170" s="96"/>
      <c r="AV170" s="96"/>
      <c r="AW170" s="96"/>
      <c r="AX170" s="96"/>
      <c r="AY170" s="96"/>
      <c r="AZ170" s="96"/>
      <c r="BA170" s="96"/>
    </row>
    <row r="171" spans="16:53" x14ac:dyDescent="0.25">
      <c r="P171" s="94" t="s">
        <v>42</v>
      </c>
      <c r="Q171" s="95" t="s">
        <v>51</v>
      </c>
      <c r="R171" s="96">
        <v>1E-14</v>
      </c>
      <c r="S171" s="96">
        <v>1E-14</v>
      </c>
      <c r="T171" s="96">
        <v>1E-14</v>
      </c>
      <c r="U171" s="96">
        <v>1E-14</v>
      </c>
      <c r="V171" s="96">
        <v>1E-14</v>
      </c>
      <c r="W171" s="96">
        <v>1E-14</v>
      </c>
      <c r="X171" s="96">
        <v>1E-14</v>
      </c>
      <c r="Y171" s="96">
        <v>1E-14</v>
      </c>
      <c r="Z171" s="96">
        <v>1E-14</v>
      </c>
      <c r="AA171" s="96">
        <v>1E-14</v>
      </c>
      <c r="AB171" s="96">
        <v>1E-14</v>
      </c>
      <c r="AC171" s="96">
        <v>1E-14</v>
      </c>
      <c r="AD171" s="96"/>
      <c r="AE171" s="96"/>
      <c r="AF171" s="96"/>
      <c r="AG171" s="96"/>
      <c r="AH171" s="96"/>
      <c r="AI171" s="96"/>
      <c r="AJ171" s="96"/>
      <c r="AK171" s="96"/>
      <c r="AL171" s="96"/>
      <c r="AM171" s="96"/>
      <c r="AN171" s="96"/>
      <c r="AO171" s="96"/>
      <c r="AP171" s="96"/>
      <c r="AQ171" s="96"/>
      <c r="AR171" s="96"/>
      <c r="AS171" s="96"/>
      <c r="AT171" s="96"/>
      <c r="AU171" s="96"/>
      <c r="AV171" s="96"/>
      <c r="AW171" s="96"/>
      <c r="AX171" s="96"/>
      <c r="AY171" s="96"/>
      <c r="AZ171" s="96"/>
      <c r="BA171" s="96"/>
    </row>
    <row r="172" spans="16:53" x14ac:dyDescent="0.25">
      <c r="P172" s="94"/>
      <c r="Q172" s="95"/>
      <c r="R172" s="96"/>
      <c r="S172" s="96"/>
      <c r="T172" s="96"/>
      <c r="U172" s="96"/>
      <c r="V172" s="96"/>
      <c r="W172" s="96"/>
      <c r="X172" s="96"/>
      <c r="Y172" s="96"/>
      <c r="Z172" s="96"/>
      <c r="AA172" s="96"/>
      <c r="AB172" s="96"/>
      <c r="AC172" s="96"/>
      <c r="AD172" s="96"/>
      <c r="AE172" s="96"/>
      <c r="AF172" s="96"/>
      <c r="AG172" s="96"/>
      <c r="AH172" s="96"/>
      <c r="AI172" s="96"/>
      <c r="AJ172" s="96"/>
      <c r="AK172" s="96"/>
      <c r="AL172" s="96"/>
      <c r="AM172" s="96"/>
      <c r="AN172" s="96"/>
      <c r="AO172" s="96"/>
      <c r="AP172" s="96"/>
      <c r="AQ172" s="96"/>
      <c r="AR172" s="96"/>
      <c r="AS172" s="96"/>
      <c r="AT172" s="96"/>
      <c r="AU172" s="96"/>
      <c r="AV172" s="96"/>
      <c r="AW172" s="96"/>
      <c r="AX172" s="96"/>
      <c r="AY172" s="96"/>
      <c r="AZ172" s="96"/>
      <c r="BA172" s="96"/>
    </row>
    <row r="173" spans="16:53" x14ac:dyDescent="0.25">
      <c r="P173" s="94"/>
      <c r="Q173" s="95"/>
      <c r="R173" s="96"/>
      <c r="S173" s="96"/>
      <c r="T173" s="96"/>
      <c r="U173" s="96"/>
      <c r="V173" s="96"/>
      <c r="W173" s="96"/>
      <c r="X173" s="96"/>
      <c r="Y173" s="96"/>
      <c r="Z173" s="96"/>
      <c r="AA173" s="96"/>
      <c r="AB173" s="96"/>
      <c r="AC173" s="96"/>
      <c r="AD173" s="96"/>
      <c r="AE173" s="96"/>
      <c r="AF173" s="96"/>
      <c r="AG173" s="96"/>
      <c r="AH173" s="96"/>
      <c r="AI173" s="96"/>
      <c r="AJ173" s="96"/>
      <c r="AK173" s="96"/>
      <c r="AL173" s="96"/>
      <c r="AM173" s="96"/>
      <c r="AN173" s="96"/>
      <c r="AO173" s="96"/>
      <c r="AP173" s="96"/>
      <c r="AQ173" s="96"/>
      <c r="AR173" s="96"/>
      <c r="AS173" s="96"/>
      <c r="AT173" s="96"/>
      <c r="AU173" s="96"/>
      <c r="AV173" s="96"/>
      <c r="AW173" s="96"/>
      <c r="AX173" s="96"/>
      <c r="AY173" s="96"/>
      <c r="AZ173" s="96"/>
      <c r="BA173" s="96"/>
    </row>
    <row r="174" spans="16:53" x14ac:dyDescent="0.25">
      <c r="P174" s="94"/>
      <c r="Q174" s="95"/>
      <c r="R174" s="96"/>
      <c r="S174" s="96"/>
      <c r="T174" s="96"/>
      <c r="U174" s="96"/>
      <c r="V174" s="96"/>
      <c r="W174" s="96"/>
      <c r="X174" s="96"/>
      <c r="Y174" s="96"/>
      <c r="Z174" s="96"/>
      <c r="AA174" s="96"/>
      <c r="AB174" s="96"/>
      <c r="AC174" s="96"/>
      <c r="AD174" s="96"/>
      <c r="AE174" s="96"/>
      <c r="AF174" s="96"/>
      <c r="AG174" s="96"/>
      <c r="AH174" s="96"/>
      <c r="AI174" s="96"/>
      <c r="AJ174" s="96"/>
      <c r="AK174" s="96"/>
      <c r="AL174" s="96"/>
      <c r="AM174" s="96"/>
      <c r="AN174" s="96"/>
      <c r="AO174" s="96"/>
      <c r="AP174" s="96"/>
      <c r="AQ174" s="96"/>
      <c r="AR174" s="96"/>
      <c r="AS174" s="96"/>
      <c r="AT174" s="96"/>
      <c r="AU174" s="96"/>
      <c r="AV174" s="96"/>
      <c r="AW174" s="96"/>
      <c r="AX174" s="96"/>
      <c r="AY174" s="96"/>
      <c r="AZ174" s="96"/>
      <c r="BA174" s="96"/>
    </row>
    <row r="175" spans="16:53" x14ac:dyDescent="0.25">
      <c r="P175" s="94"/>
      <c r="Q175" s="95"/>
      <c r="R175" s="96"/>
      <c r="S175" s="96"/>
      <c r="T175" s="96"/>
      <c r="U175" s="96"/>
      <c r="V175" s="96"/>
      <c r="W175" s="96"/>
      <c r="X175" s="96"/>
      <c r="Y175" s="96"/>
      <c r="Z175" s="96"/>
      <c r="AA175" s="96"/>
      <c r="AB175" s="96"/>
      <c r="AC175" s="96"/>
      <c r="AD175" s="96"/>
      <c r="AE175" s="96"/>
      <c r="AF175" s="96"/>
      <c r="AG175" s="96"/>
      <c r="AH175" s="96"/>
      <c r="AI175" s="96"/>
      <c r="AJ175" s="96"/>
      <c r="AK175" s="96"/>
      <c r="AL175" s="96"/>
      <c r="AM175" s="96"/>
      <c r="AN175" s="96"/>
      <c r="AO175" s="96"/>
      <c r="AP175" s="96"/>
      <c r="AQ175" s="96"/>
      <c r="AR175" s="96"/>
      <c r="AS175" s="96"/>
      <c r="AT175" s="96"/>
      <c r="AU175" s="96"/>
      <c r="AV175" s="96"/>
      <c r="AW175" s="96"/>
      <c r="AX175" s="96"/>
      <c r="AY175" s="96"/>
      <c r="AZ175" s="96"/>
      <c r="BA175" s="96"/>
    </row>
    <row r="176" spans="16:53" x14ac:dyDescent="0.25">
      <c r="P176" s="94"/>
      <c r="Q176" s="95"/>
      <c r="R176" s="96"/>
      <c r="S176" s="96"/>
      <c r="T176" s="96"/>
      <c r="U176" s="96"/>
      <c r="V176" s="96"/>
      <c r="W176" s="96"/>
      <c r="X176" s="96"/>
      <c r="Y176" s="96"/>
      <c r="Z176" s="96"/>
      <c r="AA176" s="96"/>
      <c r="AB176" s="96"/>
      <c r="AC176" s="96"/>
      <c r="AD176" s="96"/>
      <c r="AE176" s="96"/>
      <c r="AF176" s="96"/>
      <c r="AG176" s="96"/>
      <c r="AH176" s="96"/>
      <c r="AI176" s="96"/>
      <c r="AJ176" s="96"/>
      <c r="AK176" s="96"/>
      <c r="AL176" s="96"/>
      <c r="AM176" s="96"/>
      <c r="AN176" s="96"/>
      <c r="AO176" s="96"/>
      <c r="AP176" s="96"/>
      <c r="AQ176" s="96"/>
      <c r="AR176" s="96"/>
      <c r="AS176" s="96"/>
      <c r="AT176" s="96"/>
      <c r="AU176" s="96"/>
      <c r="AV176" s="96"/>
      <c r="AW176" s="96"/>
      <c r="AX176" s="96"/>
      <c r="AY176" s="96"/>
      <c r="AZ176" s="96"/>
      <c r="BA176" s="96"/>
    </row>
    <row r="177" spans="16:53" x14ac:dyDescent="0.25">
      <c r="P177" s="94"/>
      <c r="Q177" s="95"/>
      <c r="R177" s="96"/>
      <c r="S177" s="96"/>
      <c r="T177" s="96"/>
      <c r="U177" s="96"/>
      <c r="V177" s="96"/>
      <c r="W177" s="96"/>
      <c r="X177" s="96"/>
      <c r="Y177" s="96"/>
      <c r="Z177" s="96"/>
      <c r="AA177" s="96"/>
      <c r="AB177" s="96"/>
      <c r="AC177" s="96"/>
      <c r="AD177" s="96"/>
      <c r="AE177" s="96"/>
      <c r="AF177" s="96"/>
      <c r="AG177" s="96"/>
      <c r="AH177" s="96"/>
      <c r="AI177" s="96"/>
      <c r="AJ177" s="96"/>
      <c r="AK177" s="96"/>
      <c r="AL177" s="96"/>
      <c r="AM177" s="96"/>
      <c r="AN177" s="96"/>
      <c r="AO177" s="96"/>
      <c r="AP177" s="96"/>
      <c r="AQ177" s="96"/>
      <c r="AR177" s="96"/>
      <c r="AS177" s="96"/>
      <c r="AT177" s="96"/>
      <c r="AU177" s="96"/>
      <c r="AV177" s="96"/>
      <c r="AW177" s="96"/>
      <c r="AX177" s="96"/>
      <c r="AY177" s="96"/>
      <c r="AZ177" s="96"/>
      <c r="BA177" s="96"/>
    </row>
  </sheetData>
  <phoneticPr fontId="12" type="noConversion"/>
  <conditionalFormatting sqref="C12:C17">
    <cfRule type="colorScale" priority="16">
      <colorScale>
        <cfvo type="min"/>
        <cfvo type="max"/>
        <color theme="7" tint="0.79998168889431442"/>
        <color theme="9" tint="0.59999389629810485"/>
      </colorScale>
    </cfRule>
  </conditionalFormatting>
  <conditionalFormatting sqref="C27:C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ellIs" dxfId="41" priority="7" operator="lessThanOrEqual">
      <formula>0</formula>
    </cfRule>
  </conditionalFormatting>
  <conditionalFormatting sqref="E27:E58">
    <cfRule type="colorScale" priority="6">
      <colorScale>
        <cfvo type="min"/>
        <cfvo type="max"/>
        <color theme="7" tint="0.79998168889431442"/>
        <color theme="9" tint="0.59999389629810485"/>
      </colorScale>
    </cfRule>
  </conditionalFormatting>
  <conditionalFormatting sqref="F27:F58">
    <cfRule type="colorScale" priority="5">
      <colorScale>
        <cfvo type="min"/>
        <cfvo type="max"/>
        <color theme="7" tint="0.79998168889431442"/>
        <color theme="9" tint="0.59999389629810485"/>
      </colorScale>
    </cfRule>
  </conditionalFormatting>
  <conditionalFormatting sqref="G27:I58">
    <cfRule type="colorScale" priority="4">
      <colorScale>
        <cfvo type="min"/>
        <cfvo type="max"/>
        <color theme="7" tint="0.79998168889431442"/>
        <color theme="9" tint="0.59999389629810485"/>
      </colorScale>
    </cfRule>
  </conditionalFormatting>
  <conditionalFormatting sqref="B27:B58">
    <cfRule type="expression" dxfId="40" priority="40">
      <formula>$C27=0</formula>
    </cfRule>
  </conditionalFormatting>
  <conditionalFormatting sqref="R4:BA4">
    <cfRule type="cellIs" dxfId="39" priority="2" operator="greater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12"/>
  <sheetViews>
    <sheetView tabSelected="1" zoomScale="85" zoomScaleNormal="85" workbookViewId="0">
      <pane xSplit="3" ySplit="5" topLeftCell="F6" activePane="bottomRight" state="frozen"/>
      <selection pane="topRight" activeCell="D1" sqref="D1"/>
      <selection pane="bottomLeft" activeCell="A6" sqref="A6"/>
      <selection pane="bottomRight" activeCell="R18" sqref="R18"/>
    </sheetView>
  </sheetViews>
  <sheetFormatPr defaultRowHeight="15" outlineLevelRow="1" outlineLevelCol="1" x14ac:dyDescent="0.25"/>
  <cols>
    <col min="1" max="1" width="18.140625" bestFit="1" customWidth="1"/>
    <col min="2" max="2" width="12.7109375" style="37" bestFit="1" customWidth="1"/>
    <col min="3" max="3" width="34.140625" bestFit="1" customWidth="1"/>
    <col min="4" max="15" width="9.7109375" customWidth="1" outlineLevel="1"/>
    <col min="16" max="16" width="9.7109375" style="26" customWidth="1" outlineLevel="1"/>
    <col min="17" max="27" width="9.7109375" customWidth="1" outlineLevel="1"/>
    <col min="28" max="29" width="9.7109375" customWidth="1"/>
  </cols>
  <sheetData>
    <row r="1" spans="1:27" x14ac:dyDescent="0.25">
      <c r="A1" s="83" t="s">
        <v>141</v>
      </c>
      <c r="B1" s="24"/>
      <c r="C1" s="84">
        <v>44532.363355243055</v>
      </c>
      <c r="D1" s="14"/>
      <c r="E1" s="14"/>
    </row>
    <row r="2" spans="1:27" x14ac:dyDescent="0.25">
      <c r="A2" s="85" t="s">
        <v>138</v>
      </c>
      <c r="B2" s="82">
        <v>44896</v>
      </c>
      <c r="C2" s="86">
        <f>PerSlut</f>
        <v>44896</v>
      </c>
    </row>
    <row r="3" spans="1:27" x14ac:dyDescent="0.25">
      <c r="A3" s="85" t="s">
        <v>147</v>
      </c>
      <c r="B3" s="92">
        <v>-31236386.321781609</v>
      </c>
      <c r="C3" s="93" t="s">
        <v>81</v>
      </c>
    </row>
    <row r="4" spans="1:27" x14ac:dyDescent="0.25">
      <c r="A4" s="87" t="s">
        <v>148</v>
      </c>
      <c r="B4" s="88">
        <v>-38785354.497979224</v>
      </c>
      <c r="C4" s="89" t="s">
        <v>81</v>
      </c>
      <c r="P4" s="76"/>
    </row>
    <row r="5" spans="1:27" x14ac:dyDescent="0.25">
      <c r="D5" s="31">
        <f>IF(ISBLANK(D$6),C$5+31,_xlfn.LET(_xlpm.mo,MID(D$6,3,4),DATE(YEAR(Inputs!$E$6),_xlpm.mo,1)))</f>
        <v>44562</v>
      </c>
      <c r="E5" s="31">
        <f>IF(ISBLANK(E$6),D$5+31,_xlfn.LET(_xlpm.mo,MID(E$6,3,4),DATE(YEAR(Inputs!$E$6),_xlpm.mo,1)))</f>
        <v>44593</v>
      </c>
      <c r="F5" s="31">
        <f>IF(ISBLANK(F$6),E$5+31,_xlfn.LET(_xlpm.mo,MID(F$6,3,4),DATE(YEAR(Inputs!$E$6),_xlpm.mo,1)))</f>
        <v>44621</v>
      </c>
      <c r="G5" s="31">
        <f>IF(ISBLANK(G$6),F$5+31,_xlfn.LET(_xlpm.mo,MID(G$6,3,4),DATE(YEAR(Inputs!$E$6),_xlpm.mo,1)))</f>
        <v>44652</v>
      </c>
      <c r="H5" s="31">
        <f>IF(ISBLANK(H$6),G$5+31,_xlfn.LET(_xlpm.mo,MID(H$6,3,4),DATE(YEAR(Inputs!$E$6),_xlpm.mo,1)))</f>
        <v>44682</v>
      </c>
      <c r="I5" s="31">
        <f>IF(ISBLANK(I$6),H$5+31,_xlfn.LET(_xlpm.mo,MID(I$6,3,4),DATE(YEAR(Inputs!$E$6),_xlpm.mo,1)))</f>
        <v>44713</v>
      </c>
      <c r="J5" s="31">
        <f>IF(ISBLANK(J$6),I$5+31,_xlfn.LET(_xlpm.mo,MID(J$6,3,4),DATE(YEAR(Inputs!$E$6),_xlpm.mo,1)))</f>
        <v>44743</v>
      </c>
      <c r="K5" s="31">
        <f>IF(ISBLANK(K$6),J$5+31,_xlfn.LET(_xlpm.mo,MID(K$6,3,4),DATE(YEAR(Inputs!$E$6),_xlpm.mo,1)))</f>
        <v>44774</v>
      </c>
      <c r="L5" s="31">
        <f>IF(ISBLANK(L$6),K$5+31,_xlfn.LET(_xlpm.mo,MID(L$6,3,4),DATE(YEAR(Inputs!$E$6),_xlpm.mo,1)))</f>
        <v>44805</v>
      </c>
      <c r="M5" s="31">
        <f>IF(ISBLANK(M$6),L$5+31,_xlfn.LET(_xlpm.mo,MID(M$6,3,4),DATE(YEAR(Inputs!$E$6),_xlpm.mo,1)))</f>
        <v>44835</v>
      </c>
      <c r="N5" s="31">
        <f>IF(ISBLANK(N$6),M$5+31,_xlfn.LET(_xlpm.mo,MID(N$6,3,4),DATE(YEAR(Inputs!$E$6),_xlpm.mo,1)))</f>
        <v>44866</v>
      </c>
      <c r="O5" s="31">
        <f>IF(ISBLANK(O$6),N$5+31,_xlfn.LET(_xlpm.mo,MID(O$6,3,4),DATE(YEAR(Inputs!$E$6),_xlpm.mo,1)))</f>
        <v>44896</v>
      </c>
      <c r="P5" s="31">
        <f>IF(ISBLANK(P$6),O$5+31,_xlfn.LET(_xlpm.mo,MID(P$6,3,4),DATE(YEAR(Inputs!$E$6),_xlpm.mo,1)))</f>
        <v>44927</v>
      </c>
      <c r="Q5" s="31">
        <f>IF(ISBLANK(Q$6),P$5+31,_xlfn.LET(_xlpm.mo,MID(Q$6,3,4),DATE(YEAR(Inputs!$E$6),_xlpm.mo,1)))</f>
        <v>44958</v>
      </c>
      <c r="R5" s="31">
        <f>IF(ISBLANK(R$6),Q$5+31,_xlfn.LET(_xlpm.mo,MID(R$6,3,4),DATE(YEAR(Inputs!$E$6),_xlpm.mo,1)))</f>
        <v>44989</v>
      </c>
      <c r="S5" s="31">
        <f>IF(ISBLANK(S$6),R$5+31,_xlfn.LET(_xlpm.mo,MID(S$6,3,4),DATE(YEAR(Inputs!$E$6),_xlpm.mo,1)))</f>
        <v>45020</v>
      </c>
      <c r="T5" s="31">
        <f>IF(ISBLANK(T$6),S$5+31,_xlfn.LET(_xlpm.mo,MID(T$6,3,4),DATE(YEAR(Inputs!$E$6),_xlpm.mo,1)))</f>
        <v>45051</v>
      </c>
      <c r="U5" s="31">
        <f>IF(ISBLANK(U$6),T$5+31,_xlfn.LET(_xlpm.mo,MID(U$6,3,4),DATE(YEAR(Inputs!$E$6),_xlpm.mo,1)))</f>
        <v>45082</v>
      </c>
      <c r="V5" s="31">
        <f>IF(ISBLANK(V$6),U$5+31,_xlfn.LET(_xlpm.mo,MID(V$6,3,4),DATE(YEAR(Inputs!$E$6),_xlpm.mo,1)))</f>
        <v>45113</v>
      </c>
      <c r="W5" s="31">
        <f>IF(ISBLANK(W$6),V$5+31,_xlfn.LET(_xlpm.mo,MID(W$6,3,4),DATE(YEAR(Inputs!$E$6),_xlpm.mo,1)))</f>
        <v>45144</v>
      </c>
      <c r="X5" s="31">
        <f>IF(ISBLANK(X$6),W$5+31,_xlfn.LET(_xlpm.mo,MID(X$6,3,4),DATE(YEAR(Inputs!$E$6),_xlpm.mo,1)))</f>
        <v>45175</v>
      </c>
      <c r="Y5" s="31">
        <f>IF(ISBLANK(Y$6),X$5+31,_xlfn.LET(_xlpm.mo,MID(Y$6,3,4),DATE(YEAR(Inputs!$E$6),_xlpm.mo,1)))</f>
        <v>45206</v>
      </c>
      <c r="Z5" s="31">
        <f>IF(ISBLANK(Z$6),Y$5+31,_xlfn.LET(_xlpm.mo,MID(Z$6,3,4),DATE(YEAR(Inputs!$E$6),_xlpm.mo,1)))</f>
        <v>45237</v>
      </c>
      <c r="AA5" s="31">
        <f>IF(ISBLANK(AA$6),Z$5+31,_xlfn.LET(_xlpm.mo,MID(AA$6,3,4),DATE(YEAR(Inputs!$E$6),_xlpm.mo,1)))</f>
        <v>45268</v>
      </c>
    </row>
    <row r="6" spans="1:27" x14ac:dyDescent="0.25">
      <c r="A6" s="24" t="s">
        <v>100</v>
      </c>
      <c r="B6" s="24" t="s">
        <v>99</v>
      </c>
      <c r="C6" s="24" t="s">
        <v>118</v>
      </c>
      <c r="D6" s="21" t="s">
        <v>165</v>
      </c>
      <c r="E6" s="21" t="s">
        <v>166</v>
      </c>
      <c r="F6" s="21" t="s">
        <v>167</v>
      </c>
      <c r="G6" s="21" t="s">
        <v>155</v>
      </c>
      <c r="H6" s="21" t="s">
        <v>156</v>
      </c>
      <c r="I6" s="21" t="s">
        <v>157</v>
      </c>
      <c r="J6" s="21" t="s">
        <v>158</v>
      </c>
      <c r="K6" s="21" t="s">
        <v>159</v>
      </c>
      <c r="L6" s="21" t="s">
        <v>160</v>
      </c>
      <c r="M6" s="21" t="s">
        <v>161</v>
      </c>
      <c r="N6" s="21" t="s">
        <v>162</v>
      </c>
      <c r="O6" s="21" t="s">
        <v>163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</row>
    <row r="7" spans="1:27" s="26" customFormat="1" outlineLevel="1" x14ac:dyDescent="0.25">
      <c r="A7" s="15">
        <f>SUM(D7:AA7)</f>
        <v>240000</v>
      </c>
      <c r="B7" s="68" t="s">
        <v>82</v>
      </c>
      <c r="C7" s="77" t="s">
        <v>47</v>
      </c>
      <c r="D7" s="15">
        <v>35300</v>
      </c>
      <c r="E7" s="15">
        <v>32000</v>
      </c>
      <c r="F7" s="15">
        <v>29500</v>
      </c>
      <c r="G7" s="15">
        <v>20000</v>
      </c>
      <c r="H7" s="15">
        <v>13000</v>
      </c>
      <c r="I7" s="15">
        <v>7500</v>
      </c>
      <c r="J7" s="15">
        <v>7500</v>
      </c>
      <c r="K7" s="15">
        <v>7000</v>
      </c>
      <c r="L7" s="15">
        <v>8000</v>
      </c>
      <c r="M7" s="15">
        <v>19700</v>
      </c>
      <c r="N7" s="15">
        <v>27500</v>
      </c>
      <c r="O7" s="15">
        <v>33000</v>
      </c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1:27" outlineLevel="1" x14ac:dyDescent="0.25">
      <c r="A8" s="3">
        <f>AVERAGE(D8:AA8)</f>
        <v>131.43292394264435</v>
      </c>
      <c r="B8" s="68" t="s">
        <v>55</v>
      </c>
      <c r="C8" s="77" t="s">
        <v>139</v>
      </c>
      <c r="D8" s="17">
        <v>163.04225732257515</v>
      </c>
      <c r="E8" s="17">
        <v>201.04149204138503</v>
      </c>
      <c r="F8" s="17">
        <v>165.41961849723569</v>
      </c>
      <c r="G8" s="17">
        <v>101.98709424833157</v>
      </c>
      <c r="H8" s="17">
        <v>70.0532334850773</v>
      </c>
      <c r="I8" s="17">
        <v>97.283212307467437</v>
      </c>
      <c r="J8" s="17">
        <v>102.17315924072886</v>
      </c>
      <c r="K8" s="17">
        <v>118.35688740078093</v>
      </c>
      <c r="L8" s="17">
        <v>130.04880028825079</v>
      </c>
      <c r="M8" s="17">
        <v>124.14082764835102</v>
      </c>
      <c r="N8" s="17">
        <v>152.23353651256019</v>
      </c>
      <c r="O8" s="17">
        <v>151.41496831898829</v>
      </c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</row>
    <row r="9" spans="1:27" s="26" customFormat="1" outlineLevel="1" x14ac:dyDescent="0.25">
      <c r="A9" s="3">
        <f>AVERAGE(D9:AA9)</f>
        <v>121.78784867101861</v>
      </c>
      <c r="B9" s="68" t="s">
        <v>55</v>
      </c>
      <c r="C9" s="77" t="s">
        <v>140</v>
      </c>
      <c r="D9" s="17">
        <v>128.58567053185584</v>
      </c>
      <c r="E9" s="17">
        <v>129.89356044623108</v>
      </c>
      <c r="F9" s="17">
        <v>127.78180661697799</v>
      </c>
      <c r="G9" s="17">
        <v>101.98709424833157</v>
      </c>
      <c r="H9" s="17">
        <v>70.0532334850773</v>
      </c>
      <c r="I9" s="17">
        <v>97.283212307467451</v>
      </c>
      <c r="J9" s="17">
        <v>102.17315924072886</v>
      </c>
      <c r="K9" s="17">
        <v>118.35688740078093</v>
      </c>
      <c r="L9" s="17">
        <v>130.04880028825079</v>
      </c>
      <c r="M9" s="17">
        <v>124.14082764835102</v>
      </c>
      <c r="N9" s="17">
        <v>161.01624054213099</v>
      </c>
      <c r="O9" s="17">
        <v>170.13369129603953</v>
      </c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</row>
    <row r="10" spans="1:27" s="26" customFormat="1" outlineLevel="1" x14ac:dyDescent="0.25">
      <c r="A10" s="23">
        <f>SUM(D10:AA10)</f>
        <v>-27463565.832572177</v>
      </c>
      <c r="B10" s="67" t="s">
        <v>81</v>
      </c>
      <c r="C10" s="79" t="s">
        <v>128</v>
      </c>
      <c r="D10" s="23">
        <v>-3381930.7337069213</v>
      </c>
      <c r="E10" s="23">
        <v>-3299130.3652778221</v>
      </c>
      <c r="F10" s="23">
        <v>-3360698.0831619669</v>
      </c>
      <c r="G10" s="23">
        <v>-2039741.8849666314</v>
      </c>
      <c r="H10" s="23">
        <v>-910692.03530600481</v>
      </c>
      <c r="I10" s="23">
        <v>-729624.09230600577</v>
      </c>
      <c r="J10" s="23">
        <v>-766298.69430546649</v>
      </c>
      <c r="K10" s="23">
        <v>-828498.21180546656</v>
      </c>
      <c r="L10" s="23">
        <v>-1040390.4023060063</v>
      </c>
      <c r="M10" s="23">
        <v>-2445574.304672515</v>
      </c>
      <c r="N10" s="23">
        <v>-4186422.2540954053</v>
      </c>
      <c r="O10" s="23">
        <v>-4474564.7706619669</v>
      </c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</row>
    <row r="11" spans="1:27" s="26" customFormat="1" outlineLevel="1" x14ac:dyDescent="0.25">
      <c r="A11" s="23">
        <f t="shared" ref="A11:A32" si="0">SUM(D11:AA11)</f>
        <v>63506751.442134917</v>
      </c>
      <c r="B11" s="67" t="s">
        <v>81</v>
      </c>
      <c r="C11" s="90" t="s">
        <v>136</v>
      </c>
      <c r="D11" s="23">
        <v>5425928.6507982463</v>
      </c>
      <c r="E11" s="23">
        <v>5193587.4756315807</v>
      </c>
      <c r="F11" s="23">
        <v>5425787.2335701752</v>
      </c>
      <c r="G11" s="23">
        <v>5345891.0255323686</v>
      </c>
      <c r="H11" s="23">
        <v>5214133.333333334</v>
      </c>
      <c r="I11" s="23">
        <v>5137333.333333334</v>
      </c>
      <c r="J11" s="23">
        <v>5214133.333333334</v>
      </c>
      <c r="K11" s="23">
        <v>5214133.3333333321</v>
      </c>
      <c r="L11" s="23">
        <v>5137333.333333334</v>
      </c>
      <c r="M11" s="23">
        <v>5424268.7030323688</v>
      </c>
      <c r="N11" s="23">
        <v>5348434.4533333331</v>
      </c>
      <c r="O11" s="23">
        <v>5425787.2335701752</v>
      </c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</row>
    <row r="12" spans="1:27" outlineLevel="1" x14ac:dyDescent="0.25">
      <c r="A12" s="23">
        <f t="shared" si="0"/>
        <v>34000000</v>
      </c>
      <c r="B12" s="67" t="s">
        <v>81</v>
      </c>
      <c r="C12" s="81" t="s">
        <v>129</v>
      </c>
      <c r="D12" s="23">
        <v>2833466.666666667</v>
      </c>
      <c r="E12" s="23">
        <v>2833200.0000000019</v>
      </c>
      <c r="F12" s="23">
        <v>2833333.3333333335</v>
      </c>
      <c r="G12" s="23">
        <v>2833333.3333333335</v>
      </c>
      <c r="H12" s="23">
        <v>2833333.3333333335</v>
      </c>
      <c r="I12" s="23">
        <v>2833333.3333333335</v>
      </c>
      <c r="J12" s="23">
        <v>2833333.3333333335</v>
      </c>
      <c r="K12" s="23">
        <v>2833333.3333333321</v>
      </c>
      <c r="L12" s="23">
        <v>2833333.3333333335</v>
      </c>
      <c r="M12" s="23">
        <v>2833333.3333333335</v>
      </c>
      <c r="N12" s="23">
        <v>2833333.3333333335</v>
      </c>
      <c r="O12" s="23">
        <v>2833333.3333333335</v>
      </c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</row>
    <row r="13" spans="1:27" s="26" customFormat="1" outlineLevel="1" x14ac:dyDescent="0.25">
      <c r="A13" s="23">
        <f t="shared" si="0"/>
        <v>1474751.4421349117</v>
      </c>
      <c r="B13" s="67" t="s">
        <v>81</v>
      </c>
      <c r="C13" s="81" t="s">
        <v>130</v>
      </c>
      <c r="D13" s="23">
        <v>211661.98413157894</v>
      </c>
      <c r="E13" s="23">
        <v>209987.47563157903</v>
      </c>
      <c r="F13" s="23">
        <v>211653.90023684205</v>
      </c>
      <c r="G13" s="23">
        <v>208557.6921990347</v>
      </c>
      <c r="H13" s="23">
        <v>1E-14</v>
      </c>
      <c r="I13" s="23">
        <v>1E-14</v>
      </c>
      <c r="J13" s="23">
        <v>1E-14</v>
      </c>
      <c r="K13" s="23">
        <v>1E-14</v>
      </c>
      <c r="L13" s="23">
        <v>1E-14</v>
      </c>
      <c r="M13" s="23">
        <v>210135.36969903467</v>
      </c>
      <c r="N13" s="23">
        <v>211101.12000000002</v>
      </c>
      <c r="O13" s="23">
        <v>211653.90023684205</v>
      </c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</row>
    <row r="14" spans="1:27" s="26" customFormat="1" outlineLevel="1" x14ac:dyDescent="0.25">
      <c r="A14" s="23">
        <f t="shared" si="0"/>
        <v>28032000</v>
      </c>
      <c r="B14" s="67" t="s">
        <v>81</v>
      </c>
      <c r="C14" s="81" t="s">
        <v>131</v>
      </c>
      <c r="D14" s="23">
        <v>2380800</v>
      </c>
      <c r="E14" s="23">
        <v>2150400</v>
      </c>
      <c r="F14" s="23">
        <v>2380800</v>
      </c>
      <c r="G14" s="23">
        <v>2304000</v>
      </c>
      <c r="H14" s="23">
        <v>2380800</v>
      </c>
      <c r="I14" s="23">
        <v>2304000</v>
      </c>
      <c r="J14" s="23">
        <v>2380800</v>
      </c>
      <c r="K14" s="23">
        <v>2380800</v>
      </c>
      <c r="L14" s="23">
        <v>2304000</v>
      </c>
      <c r="M14" s="23">
        <v>2380800</v>
      </c>
      <c r="N14" s="23">
        <v>2304000</v>
      </c>
      <c r="O14" s="23">
        <v>2380800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</row>
    <row r="15" spans="1:27" s="26" customFormat="1" outlineLevel="1" x14ac:dyDescent="0.25">
      <c r="A15" s="23">
        <f t="shared" si="0"/>
        <v>90970317.274707094</v>
      </c>
      <c r="B15" s="67" t="s">
        <v>81</v>
      </c>
      <c r="C15" s="90" t="s">
        <v>135</v>
      </c>
      <c r="D15" s="23">
        <v>8807859.3845051676</v>
      </c>
      <c r="E15" s="23">
        <v>8492717.8409094028</v>
      </c>
      <c r="F15" s="23">
        <v>8786485.3167321421</v>
      </c>
      <c r="G15" s="23">
        <v>7385632.910499</v>
      </c>
      <c r="H15" s="23">
        <v>6124825.3686393388</v>
      </c>
      <c r="I15" s="23">
        <v>5866957.4256393397</v>
      </c>
      <c r="J15" s="23">
        <v>5980432.0276388004</v>
      </c>
      <c r="K15" s="23">
        <v>6042631.5451387987</v>
      </c>
      <c r="L15" s="23">
        <v>6177723.7356393402</v>
      </c>
      <c r="M15" s="23">
        <v>7869843.0077048838</v>
      </c>
      <c r="N15" s="23">
        <v>9534856.7074287385</v>
      </c>
      <c r="O15" s="23">
        <v>9900352.0042321421</v>
      </c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</row>
    <row r="16" spans="1:27" outlineLevel="1" x14ac:dyDescent="0.25">
      <c r="A16" s="23">
        <f t="shared" si="0"/>
        <v>10369796.028752048</v>
      </c>
      <c r="B16" s="67" t="s">
        <v>81</v>
      </c>
      <c r="C16" s="81" t="s">
        <v>120</v>
      </c>
      <c r="D16" s="23">
        <v>942493.89501523867</v>
      </c>
      <c r="E16" s="23">
        <v>933172.22834857239</v>
      </c>
      <c r="F16" s="23">
        <v>942458.58799769462</v>
      </c>
      <c r="G16" s="23">
        <v>783820.59779274743</v>
      </c>
      <c r="H16" s="23">
        <v>697015.5474678902</v>
      </c>
      <c r="I16" s="23">
        <v>861267.42246789031</v>
      </c>
      <c r="J16" s="23">
        <v>846165.77505825786</v>
      </c>
      <c r="K16" s="23">
        <v>861165.77505825763</v>
      </c>
      <c r="L16" s="23">
        <v>846267.42246789031</v>
      </c>
      <c r="M16" s="23">
        <v>774135.28529274731</v>
      </c>
      <c r="N16" s="23">
        <v>939374.90378716856</v>
      </c>
      <c r="O16" s="23">
        <v>942458.58799769462</v>
      </c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</row>
    <row r="17" spans="1:27" outlineLevel="1" x14ac:dyDescent="0.25">
      <c r="A17" s="23">
        <f t="shared" si="0"/>
        <v>10010983.075239539</v>
      </c>
      <c r="B17" s="67" t="s">
        <v>81</v>
      </c>
      <c r="C17" s="81" t="s">
        <v>121</v>
      </c>
      <c r="D17" s="23">
        <v>1915624.495846465</v>
      </c>
      <c r="E17" s="23">
        <v>1555530.3781994062</v>
      </c>
      <c r="F17" s="23">
        <v>1715624.495846465</v>
      </c>
      <c r="G17" s="23">
        <v>438719.79368156201</v>
      </c>
      <c r="H17" s="23">
        <v>61318.613493523961</v>
      </c>
      <c r="I17" s="23">
        <v>61318.613493523961</v>
      </c>
      <c r="J17" s="23">
        <v>61318.613493523953</v>
      </c>
      <c r="K17" s="23">
        <v>61318.613493523953</v>
      </c>
      <c r="L17" s="23">
        <v>61318.613493523961</v>
      </c>
      <c r="M17" s="23">
        <v>346006.55838744511</v>
      </c>
      <c r="N17" s="23">
        <v>1737259.7899641122</v>
      </c>
      <c r="O17" s="23">
        <v>1995624.495846465</v>
      </c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</row>
    <row r="18" spans="1:27" s="26" customFormat="1" outlineLevel="1" x14ac:dyDescent="0.25">
      <c r="A18" s="23">
        <f t="shared" si="0"/>
        <v>56296050.493354999</v>
      </c>
      <c r="B18" s="67" t="s">
        <v>81</v>
      </c>
      <c r="C18" s="81" t="s">
        <v>122</v>
      </c>
      <c r="D18" s="23">
        <v>5261681.8336555259</v>
      </c>
      <c r="E18" s="23">
        <v>5231126.3319888618</v>
      </c>
      <c r="F18" s="23">
        <v>5261475.1666379813</v>
      </c>
      <c r="G18" s="23">
        <v>5205198.1777746901</v>
      </c>
      <c r="H18" s="23">
        <v>4314597.3489279244</v>
      </c>
      <c r="I18" s="23">
        <v>3801510.255927925</v>
      </c>
      <c r="J18" s="23">
        <v>3836086.9878370189</v>
      </c>
      <c r="K18" s="23">
        <v>3789286.987837018</v>
      </c>
      <c r="L18" s="23">
        <v>3848310.255927925</v>
      </c>
      <c r="M18" s="23">
        <v>5233874.2027746905</v>
      </c>
      <c r="N18" s="23">
        <v>5251427.7774274573</v>
      </c>
      <c r="O18" s="23">
        <v>5261475.1666379813</v>
      </c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</row>
    <row r="19" spans="1:27" s="26" customFormat="1" outlineLevel="1" x14ac:dyDescent="0.25">
      <c r="A19" s="23">
        <f t="shared" si="0"/>
        <v>14293487.677360501</v>
      </c>
      <c r="B19" s="67" t="s">
        <v>81</v>
      </c>
      <c r="C19" s="81" t="s">
        <v>132</v>
      </c>
      <c r="D19" s="23">
        <v>688059.15998793766</v>
      </c>
      <c r="E19" s="23">
        <v>772888.90237256314</v>
      </c>
      <c r="F19" s="23">
        <v>866927.06625000015</v>
      </c>
      <c r="G19" s="23">
        <v>957894.34125000017</v>
      </c>
      <c r="H19" s="23">
        <v>1051893.8587500001</v>
      </c>
      <c r="I19" s="23">
        <v>1142861.13375</v>
      </c>
      <c r="J19" s="23">
        <v>1236860.6512500001</v>
      </c>
      <c r="K19" s="23">
        <v>1330860.1687499997</v>
      </c>
      <c r="L19" s="23">
        <v>1421827.4437500003</v>
      </c>
      <c r="M19" s="23">
        <v>1515826.9612500002</v>
      </c>
      <c r="N19" s="23">
        <v>1606794.2362500001</v>
      </c>
      <c r="O19" s="23">
        <v>1700793.7537500001</v>
      </c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</row>
    <row r="20" spans="1:27" outlineLevel="1" x14ac:dyDescent="0.25">
      <c r="A20" s="12">
        <f t="shared" si="0"/>
        <v>31080</v>
      </c>
      <c r="B20" s="68" t="s">
        <v>83</v>
      </c>
      <c r="C20" s="79" t="s">
        <v>123</v>
      </c>
      <c r="D20" s="12">
        <v>2590.1295</v>
      </c>
      <c r="E20" s="12">
        <v>2589.8705000000018</v>
      </c>
      <c r="F20" s="12">
        <v>2590</v>
      </c>
      <c r="G20" s="12">
        <v>2590</v>
      </c>
      <c r="H20" s="12">
        <v>2590</v>
      </c>
      <c r="I20" s="12">
        <v>2590</v>
      </c>
      <c r="J20" s="12">
        <v>2590</v>
      </c>
      <c r="K20" s="12">
        <v>2589.9999999999991</v>
      </c>
      <c r="L20" s="12">
        <v>2590</v>
      </c>
      <c r="M20" s="12">
        <v>2590</v>
      </c>
      <c r="N20" s="12">
        <v>2590</v>
      </c>
      <c r="O20" s="12">
        <v>2590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</row>
    <row r="21" spans="1:27" outlineLevel="1" x14ac:dyDescent="0.25">
      <c r="A21" s="12">
        <f t="shared" si="0"/>
        <v>70080</v>
      </c>
      <c r="B21" s="68" t="s">
        <v>94</v>
      </c>
      <c r="C21" s="79" t="s">
        <v>142</v>
      </c>
      <c r="D21" s="12">
        <v>5952</v>
      </c>
      <c r="E21" s="12">
        <v>5376</v>
      </c>
      <c r="F21" s="12">
        <v>5952</v>
      </c>
      <c r="G21" s="12">
        <v>5760</v>
      </c>
      <c r="H21" s="12">
        <v>5952</v>
      </c>
      <c r="I21" s="12">
        <v>5760</v>
      </c>
      <c r="J21" s="12">
        <v>5952</v>
      </c>
      <c r="K21" s="12">
        <v>5952</v>
      </c>
      <c r="L21" s="12">
        <v>5760</v>
      </c>
      <c r="M21" s="12">
        <v>5952</v>
      </c>
      <c r="N21" s="12">
        <v>5760</v>
      </c>
      <c r="O21" s="12">
        <v>5952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</row>
    <row r="22" spans="1:27" outlineLevel="1" x14ac:dyDescent="0.25">
      <c r="A22" s="12">
        <f t="shared" si="0"/>
        <v>244186.42305807958</v>
      </c>
      <c r="B22" s="68" t="s">
        <v>82</v>
      </c>
      <c r="C22" s="90" t="s">
        <v>134</v>
      </c>
      <c r="D22" s="15">
        <v>26300.992324561401</v>
      </c>
      <c r="E22" s="15">
        <v>25398.721491228076</v>
      </c>
      <c r="F22" s="15">
        <v>26300.286184210523</v>
      </c>
      <c r="G22" s="15">
        <v>20000</v>
      </c>
      <c r="H22" s="15">
        <v>14704.444195496753</v>
      </c>
      <c r="I22" s="15">
        <v>14719.406695496753</v>
      </c>
      <c r="J22" s="15">
        <v>15021.439643689399</v>
      </c>
      <c r="K22" s="15">
        <v>15021.439643689395</v>
      </c>
      <c r="L22" s="15">
        <v>14719.406695496753</v>
      </c>
      <c r="M22" s="15">
        <v>19700</v>
      </c>
      <c r="N22" s="15">
        <v>26000</v>
      </c>
      <c r="O22" s="15">
        <v>26300.286184210523</v>
      </c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</row>
    <row r="23" spans="1:27" s="26" customFormat="1" outlineLevel="1" x14ac:dyDescent="0.25">
      <c r="A23" s="12">
        <f t="shared" si="0"/>
        <v>179938.61213197984</v>
      </c>
      <c r="B23" s="68" t="s">
        <v>82</v>
      </c>
      <c r="C23" s="81" t="s">
        <v>143</v>
      </c>
      <c r="D23" s="15">
        <v>15133.392298777733</v>
      </c>
      <c r="E23" s="15">
        <v>15025.913132111074</v>
      </c>
      <c r="F23" s="15">
        <v>15132.808965444399</v>
      </c>
      <c r="G23" s="15">
        <v>15097.371465444399</v>
      </c>
      <c r="H23" s="15">
        <v>14704.444195496753</v>
      </c>
      <c r="I23" s="15">
        <v>14719.406695496753</v>
      </c>
      <c r="J23" s="15">
        <v>15021.439643689399</v>
      </c>
      <c r="K23" s="15">
        <v>15021.439643689395</v>
      </c>
      <c r="L23" s="15">
        <v>14719.406695496753</v>
      </c>
      <c r="M23" s="15">
        <v>15132.808965444399</v>
      </c>
      <c r="N23" s="15">
        <v>15097.371465444401</v>
      </c>
      <c r="O23" s="15">
        <v>15132.808965444399</v>
      </c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</row>
    <row r="24" spans="1:27" outlineLevel="1" x14ac:dyDescent="0.25">
      <c r="A24" s="12">
        <f t="shared" si="0"/>
        <v>23069.278946546023</v>
      </c>
      <c r="B24" s="68" t="s">
        <v>82</v>
      </c>
      <c r="C24" s="81" t="s">
        <v>144</v>
      </c>
      <c r="D24" s="15">
        <v>3355.6000257836677</v>
      </c>
      <c r="E24" s="15">
        <v>3316.8083591170025</v>
      </c>
      <c r="F24" s="15">
        <v>3355.4772187661233</v>
      </c>
      <c r="G24" s="15">
        <v>3120.456294778754</v>
      </c>
      <c r="H24" s="15">
        <v>1E-14</v>
      </c>
      <c r="I24" s="15">
        <v>1E-14</v>
      </c>
      <c r="J24" s="15">
        <v>1E-14</v>
      </c>
      <c r="K24" s="15">
        <v>1E-14</v>
      </c>
      <c r="L24" s="15">
        <v>1E-14</v>
      </c>
      <c r="M24" s="15">
        <v>3222.8312947787535</v>
      </c>
      <c r="N24" s="15">
        <v>3342.628534555598</v>
      </c>
      <c r="O24" s="15">
        <v>3355.4772187661233</v>
      </c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</row>
    <row r="25" spans="1:27" outlineLevel="1" x14ac:dyDescent="0.25">
      <c r="A25" s="12"/>
      <c r="B25" s="68"/>
      <c r="C25" s="81" t="s">
        <v>145</v>
      </c>
      <c r="D25" s="65">
        <v>0.18149177450444259</v>
      </c>
      <c r="E25" s="65">
        <v>0.18082422287789621</v>
      </c>
      <c r="F25" s="65">
        <v>0.1814920639659823</v>
      </c>
      <c r="G25" s="65">
        <v>0.17128585997458848</v>
      </c>
      <c r="H25" s="65">
        <v>1E-14</v>
      </c>
      <c r="I25" s="65">
        <v>1E-14</v>
      </c>
      <c r="J25" s="65">
        <v>1E-14</v>
      </c>
      <c r="K25" s="65">
        <v>1E-14</v>
      </c>
      <c r="L25" s="65">
        <v>1E-14</v>
      </c>
      <c r="M25" s="65">
        <v>0.17557716587868963</v>
      </c>
      <c r="N25" s="65">
        <v>0.18127052790431658</v>
      </c>
      <c r="O25" s="65">
        <v>0.1814920639659823</v>
      </c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</row>
    <row r="26" spans="1:27" outlineLevel="1" x14ac:dyDescent="0.25">
      <c r="A26" s="12">
        <f t="shared" si="0"/>
        <v>31186.136873869054</v>
      </c>
      <c r="B26" s="68" t="s">
        <v>82</v>
      </c>
      <c r="C26" s="81" t="s">
        <v>133</v>
      </c>
      <c r="D26" s="12">
        <v>1E-14</v>
      </c>
      <c r="E26" s="12">
        <v>1E-14</v>
      </c>
      <c r="F26" s="12">
        <v>1E-14</v>
      </c>
      <c r="G26" s="12">
        <v>1E-14</v>
      </c>
      <c r="H26" s="12">
        <v>1704.4441954967533</v>
      </c>
      <c r="I26" s="12">
        <v>7219.4066954967539</v>
      </c>
      <c r="J26" s="12">
        <v>7521.4396436893985</v>
      </c>
      <c r="K26" s="12">
        <v>8021.4396436893949</v>
      </c>
      <c r="L26" s="12">
        <v>6719.4066954967539</v>
      </c>
      <c r="M26" s="12">
        <v>1E-14</v>
      </c>
      <c r="N26" s="12">
        <v>1E-14</v>
      </c>
      <c r="O26" s="12">
        <v>1E-14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</row>
    <row r="27" spans="1:27" s="26" customFormat="1" outlineLevel="1" x14ac:dyDescent="0.25">
      <c r="A27" s="23">
        <f t="shared" si="0"/>
        <v>7548968.1761976136</v>
      </c>
      <c r="B27" s="67" t="s">
        <v>81</v>
      </c>
      <c r="C27" s="91" t="s">
        <v>137</v>
      </c>
      <c r="D27" s="23">
        <v>2373460.9497799822</v>
      </c>
      <c r="E27" s="23">
        <v>3134197.3800464985</v>
      </c>
      <c r="F27" s="23">
        <v>1519180.6625064865</v>
      </c>
      <c r="G27" s="23">
        <v>1E-14</v>
      </c>
      <c r="H27" s="23">
        <v>1E-14</v>
      </c>
      <c r="I27" s="23">
        <v>1E-14</v>
      </c>
      <c r="J27" s="23">
        <v>1E-14</v>
      </c>
      <c r="K27" s="23">
        <v>1E-14</v>
      </c>
      <c r="L27" s="23">
        <v>1E-14</v>
      </c>
      <c r="M27" s="23">
        <v>1E-14</v>
      </c>
      <c r="N27" s="23">
        <v>1E-14</v>
      </c>
      <c r="O27" s="23">
        <v>522129.18386464671</v>
      </c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</row>
    <row r="28" spans="1:27" s="26" customFormat="1" outlineLevel="1" x14ac:dyDescent="0.25">
      <c r="A28" s="23">
        <f t="shared" si="0"/>
        <v>158997.13815789478</v>
      </c>
      <c r="B28" s="67" t="s">
        <v>81</v>
      </c>
      <c r="C28" s="80" t="s">
        <v>124</v>
      </c>
      <c r="D28" s="23">
        <v>49990.076754385991</v>
      </c>
      <c r="E28" s="23">
        <v>66012.78508771924</v>
      </c>
      <c r="F28" s="23">
        <v>31997.138157894769</v>
      </c>
      <c r="G28" s="23">
        <v>1E-14</v>
      </c>
      <c r="H28" s="23">
        <v>1E-14</v>
      </c>
      <c r="I28" s="23">
        <v>1E-14</v>
      </c>
      <c r="J28" s="23">
        <v>1E-14</v>
      </c>
      <c r="K28" s="23">
        <v>1E-14</v>
      </c>
      <c r="L28" s="23">
        <v>1E-14</v>
      </c>
      <c r="M28" s="23">
        <v>1E-14</v>
      </c>
      <c r="N28" s="23">
        <v>1E-14</v>
      </c>
      <c r="O28" s="23">
        <v>10997.138157894769</v>
      </c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</row>
    <row r="29" spans="1:27" s="26" customFormat="1" outlineLevel="1" x14ac:dyDescent="0.25">
      <c r="A29" s="23">
        <f t="shared" si="0"/>
        <v>6504428.3791866042</v>
      </c>
      <c r="B29" s="67" t="s">
        <v>81</v>
      </c>
      <c r="C29" s="80" t="s">
        <v>125</v>
      </c>
      <c r="D29" s="23">
        <v>2045048.5944976085</v>
      </c>
      <c r="E29" s="23">
        <v>2700523.0263157869</v>
      </c>
      <c r="F29" s="23">
        <v>1308973.8337320585</v>
      </c>
      <c r="G29" s="23">
        <v>1E-14</v>
      </c>
      <c r="H29" s="23">
        <v>1E-14</v>
      </c>
      <c r="I29" s="23">
        <v>1E-14</v>
      </c>
      <c r="J29" s="23">
        <v>1E-14</v>
      </c>
      <c r="K29" s="23">
        <v>1E-14</v>
      </c>
      <c r="L29" s="23">
        <v>1E-14</v>
      </c>
      <c r="M29" s="23">
        <v>1E-14</v>
      </c>
      <c r="N29" s="23">
        <v>1E-14</v>
      </c>
      <c r="O29" s="23">
        <v>449882.92464114964</v>
      </c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</row>
    <row r="30" spans="1:27" s="26" customFormat="1" outlineLevel="1" x14ac:dyDescent="0.25">
      <c r="A30" s="23">
        <f t="shared" si="0"/>
        <v>885542.65885311575</v>
      </c>
      <c r="B30" s="67" t="s">
        <v>81</v>
      </c>
      <c r="C30" s="80" t="s">
        <v>126</v>
      </c>
      <c r="D30" s="23">
        <v>278422.2785279876</v>
      </c>
      <c r="E30" s="23">
        <v>367661.56864299264</v>
      </c>
      <c r="F30" s="23">
        <v>178209.69061653325</v>
      </c>
      <c r="G30" s="23">
        <v>1E-14</v>
      </c>
      <c r="H30" s="23">
        <v>1E-14</v>
      </c>
      <c r="I30" s="23">
        <v>1E-14</v>
      </c>
      <c r="J30" s="23">
        <v>1E-14</v>
      </c>
      <c r="K30" s="23">
        <v>1E-14</v>
      </c>
      <c r="L30" s="23">
        <v>1E-14</v>
      </c>
      <c r="M30" s="23">
        <v>1E-14</v>
      </c>
      <c r="N30" s="23">
        <v>1E-14</v>
      </c>
      <c r="O30" s="23">
        <v>61249.121065602289</v>
      </c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</row>
    <row r="31" spans="1:27" s="26" customFormat="1" outlineLevel="1" x14ac:dyDescent="0.25">
      <c r="A31" s="12">
        <f t="shared" si="0"/>
        <v>4235.6837605263163</v>
      </c>
      <c r="B31" s="68" t="s">
        <v>83</v>
      </c>
      <c r="C31" s="78" t="s">
        <v>127</v>
      </c>
      <c r="D31" s="12">
        <v>1331.7356447368427</v>
      </c>
      <c r="E31" s="12">
        <v>1758.5805947368403</v>
      </c>
      <c r="F31" s="12">
        <v>852.40376052631643</v>
      </c>
      <c r="G31" s="12">
        <v>1E-14</v>
      </c>
      <c r="H31" s="12">
        <v>1E-14</v>
      </c>
      <c r="I31" s="12">
        <v>1E-14</v>
      </c>
      <c r="J31" s="12">
        <v>1E-14</v>
      </c>
      <c r="K31" s="12">
        <v>1E-14</v>
      </c>
      <c r="L31" s="12">
        <v>1E-14</v>
      </c>
      <c r="M31" s="12">
        <v>1E-14</v>
      </c>
      <c r="N31" s="12">
        <v>1E-14</v>
      </c>
      <c r="O31" s="12">
        <v>292.96376052631661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</row>
    <row r="32" spans="1:27" s="26" customFormat="1" outlineLevel="1" x14ac:dyDescent="0.25">
      <c r="A32" s="15">
        <f t="shared" si="0"/>
        <v>15899.713815789477</v>
      </c>
      <c r="B32" s="68" t="s">
        <v>82</v>
      </c>
      <c r="C32" s="78" t="s">
        <v>146</v>
      </c>
      <c r="D32" s="15">
        <v>4999.0076754385991</v>
      </c>
      <c r="E32" s="15">
        <v>6601.278508771924</v>
      </c>
      <c r="F32" s="15">
        <v>3199.7138157894769</v>
      </c>
      <c r="G32" s="15">
        <v>1E-14</v>
      </c>
      <c r="H32" s="15">
        <v>1E-14</v>
      </c>
      <c r="I32" s="15">
        <v>1E-14</v>
      </c>
      <c r="J32" s="15">
        <v>1E-14</v>
      </c>
      <c r="K32" s="15">
        <v>1E-14</v>
      </c>
      <c r="L32" s="15">
        <v>1E-14</v>
      </c>
      <c r="M32" s="15">
        <v>1E-14</v>
      </c>
      <c r="N32" s="15">
        <v>1E-14</v>
      </c>
      <c r="O32" s="15">
        <v>1099.7138157894769</v>
      </c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</row>
    <row r="33" spans="1:27" outlineLevel="1" x14ac:dyDescent="0.25">
      <c r="B33" s="69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</row>
    <row r="34" spans="1:27" x14ac:dyDescent="0.25">
      <c r="A34" s="20" t="s">
        <v>119</v>
      </c>
      <c r="B34" s="24" t="s">
        <v>99</v>
      </c>
      <c r="C34" s="24"/>
      <c r="D34" s="21" t="s">
        <v>165</v>
      </c>
      <c r="E34" s="21" t="s">
        <v>166</v>
      </c>
      <c r="F34" s="21" t="s">
        <v>167</v>
      </c>
      <c r="G34" s="21" t="s">
        <v>155</v>
      </c>
      <c r="H34" s="21" t="s">
        <v>156</v>
      </c>
      <c r="I34" s="21" t="s">
        <v>157</v>
      </c>
      <c r="J34" s="21" t="s">
        <v>158</v>
      </c>
      <c r="K34" s="21" t="s">
        <v>159</v>
      </c>
      <c r="L34" s="21" t="s">
        <v>160</v>
      </c>
      <c r="M34" s="21" t="s">
        <v>161</v>
      </c>
      <c r="N34" s="21" t="s">
        <v>162</v>
      </c>
      <c r="O34" s="21" t="s">
        <v>163</v>
      </c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</row>
    <row r="35" spans="1:27" outlineLevel="1" x14ac:dyDescent="0.25">
      <c r="A35" s="19">
        <f t="shared" ref="A35:A71" si="1">SUM(D35:O35)</f>
        <v>28443.297990610037</v>
      </c>
      <c r="B35" s="68" t="s">
        <v>82</v>
      </c>
      <c r="C35" s="10" t="s">
        <v>27</v>
      </c>
      <c r="D35" s="19">
        <v>763.42020327825298</v>
      </c>
      <c r="E35" s="19">
        <v>2306.3368699449284</v>
      </c>
      <c r="F35" s="19">
        <v>762.7140629273764</v>
      </c>
      <c r="G35" s="19">
        <v>1055.3181389400058</v>
      </c>
      <c r="H35" s="19">
        <v>5770.4453783117478</v>
      </c>
      <c r="I35" s="19">
        <v>5590.8953783117477</v>
      </c>
      <c r="J35" s="19">
        <v>1966.5</v>
      </c>
      <c r="K35" s="19">
        <v>1966.5</v>
      </c>
      <c r="L35" s="19">
        <v>5590.8953783117477</v>
      </c>
      <c r="M35" s="19">
        <v>630.06813894000663</v>
      </c>
      <c r="N35" s="19">
        <v>1277.4903787168491</v>
      </c>
      <c r="O35" s="19">
        <v>762.7140629273764</v>
      </c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</row>
    <row r="36" spans="1:27" outlineLevel="1" x14ac:dyDescent="0.25">
      <c r="A36" s="19">
        <f t="shared" si="1"/>
        <v>174564.59308791588</v>
      </c>
      <c r="B36" s="68" t="s">
        <v>82</v>
      </c>
      <c r="C36" s="10" t="s">
        <v>28</v>
      </c>
      <c r="D36" s="19">
        <v>17725.572121283149</v>
      </c>
      <c r="E36" s="19">
        <v>16036.384621283149</v>
      </c>
      <c r="F36" s="19">
        <v>17725.572121283145</v>
      </c>
      <c r="G36" s="19">
        <v>17162.509621283149</v>
      </c>
      <c r="H36" s="19">
        <v>8933.9988171850055</v>
      </c>
      <c r="I36" s="19">
        <v>9128.5113171850062</v>
      </c>
      <c r="J36" s="19">
        <v>13054.939643689399</v>
      </c>
      <c r="K36" s="19">
        <v>13054.939643689395</v>
      </c>
      <c r="L36" s="19">
        <v>9128.5113171850062</v>
      </c>
      <c r="M36" s="19">
        <v>17725.572121283145</v>
      </c>
      <c r="N36" s="19">
        <v>17162.509621283152</v>
      </c>
      <c r="O36" s="19">
        <v>17725.572121283145</v>
      </c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</row>
    <row r="37" spans="1:27" outlineLevel="1" x14ac:dyDescent="0.25">
      <c r="A37" s="19">
        <f t="shared" si="1"/>
        <v>41178.531979553693</v>
      </c>
      <c r="B37" s="68" t="s">
        <v>82</v>
      </c>
      <c r="C37" s="10" t="s">
        <v>29</v>
      </c>
      <c r="D37" s="19">
        <v>7812</v>
      </c>
      <c r="E37" s="19">
        <v>7056</v>
      </c>
      <c r="F37" s="19">
        <v>7812</v>
      </c>
      <c r="G37" s="19">
        <v>1782.1722397768463</v>
      </c>
      <c r="H37" s="19">
        <v>1E-14</v>
      </c>
      <c r="I37" s="19">
        <v>1E-14</v>
      </c>
      <c r="J37" s="19">
        <v>1E-14</v>
      </c>
      <c r="K37" s="19">
        <v>1E-14</v>
      </c>
      <c r="L37" s="19">
        <v>1E-14</v>
      </c>
      <c r="M37" s="19">
        <v>1344.3597397768499</v>
      </c>
      <c r="N37" s="19">
        <v>7560</v>
      </c>
      <c r="O37" s="19">
        <v>7812</v>
      </c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</row>
    <row r="38" spans="1:27" outlineLevel="1" x14ac:dyDescent="0.25">
      <c r="A38" s="19">
        <f t="shared" si="1"/>
        <v>11100</v>
      </c>
      <c r="B38" s="68" t="s">
        <v>82</v>
      </c>
      <c r="C38" s="10" t="s">
        <v>108</v>
      </c>
      <c r="D38" s="19">
        <v>3999.9999999999995</v>
      </c>
      <c r="E38" s="19">
        <v>1E-14</v>
      </c>
      <c r="F38" s="19">
        <v>1E-14</v>
      </c>
      <c r="G38" s="19">
        <v>1E-14</v>
      </c>
      <c r="H38" s="19">
        <v>1E-14</v>
      </c>
      <c r="I38" s="19">
        <v>1E-14</v>
      </c>
      <c r="J38" s="19">
        <v>1E-14</v>
      </c>
      <c r="K38" s="19">
        <v>1E-14</v>
      </c>
      <c r="L38" s="19">
        <v>1E-14</v>
      </c>
      <c r="M38" s="19">
        <v>1E-14</v>
      </c>
      <c r="N38" s="19">
        <v>1500</v>
      </c>
      <c r="O38" s="19">
        <v>5600</v>
      </c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</row>
    <row r="39" spans="1:27" outlineLevel="1" x14ac:dyDescent="0.25">
      <c r="A39" s="19">
        <f t="shared" si="1"/>
        <v>-31186.136873869054</v>
      </c>
      <c r="B39" s="68" t="s">
        <v>82</v>
      </c>
      <c r="C39" s="10" t="s">
        <v>31</v>
      </c>
      <c r="D39" s="19">
        <v>-1E-14</v>
      </c>
      <c r="E39" s="19">
        <v>-1E-14</v>
      </c>
      <c r="F39" s="19">
        <v>-1E-14</v>
      </c>
      <c r="G39" s="19">
        <v>-1E-14</v>
      </c>
      <c r="H39" s="19">
        <v>-1704.4441954967533</v>
      </c>
      <c r="I39" s="19">
        <v>-7219.4066954967539</v>
      </c>
      <c r="J39" s="19">
        <v>-7521.4396436893985</v>
      </c>
      <c r="K39" s="19">
        <v>-8021.4396436893949</v>
      </c>
      <c r="L39" s="19">
        <v>-6719.4066954967539</v>
      </c>
      <c r="M39" s="19">
        <v>-1E-14</v>
      </c>
      <c r="N39" s="19">
        <v>-1E-14</v>
      </c>
      <c r="O39" s="19">
        <v>-1E-14</v>
      </c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</row>
    <row r="40" spans="1:27" outlineLevel="1" x14ac:dyDescent="0.25">
      <c r="A40" s="19">
        <f t="shared" si="1"/>
        <v>15899.713815789477</v>
      </c>
      <c r="B40" s="68" t="s">
        <v>82</v>
      </c>
      <c r="C40" s="10" t="s">
        <v>30</v>
      </c>
      <c r="D40" s="19">
        <v>4999.0076754385991</v>
      </c>
      <c r="E40" s="19">
        <v>6601.278508771924</v>
      </c>
      <c r="F40" s="19">
        <v>3199.7138157894769</v>
      </c>
      <c r="G40" s="19">
        <v>1E-14</v>
      </c>
      <c r="H40" s="19">
        <v>1E-14</v>
      </c>
      <c r="I40" s="19">
        <v>1E-14</v>
      </c>
      <c r="J40" s="19">
        <v>1E-14</v>
      </c>
      <c r="K40" s="19">
        <v>1E-14</v>
      </c>
      <c r="L40" s="19">
        <v>1E-14</v>
      </c>
      <c r="M40" s="19">
        <v>1E-14</v>
      </c>
      <c r="N40" s="19">
        <v>1E-14</v>
      </c>
      <c r="O40" s="19">
        <v>1099.7138157894769</v>
      </c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</row>
    <row r="41" spans="1:27" outlineLevel="1" x14ac:dyDescent="0.25">
      <c r="A41" s="5"/>
      <c r="B41" s="38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</row>
    <row r="42" spans="1:27" x14ac:dyDescent="0.25">
      <c r="A42" s="24" t="s">
        <v>84</v>
      </c>
      <c r="B42" s="24" t="s">
        <v>99</v>
      </c>
      <c r="C42" s="24"/>
      <c r="D42" s="21" t="s">
        <v>165</v>
      </c>
      <c r="E42" s="21" t="s">
        <v>166</v>
      </c>
      <c r="F42" s="21" t="s">
        <v>167</v>
      </c>
      <c r="G42" s="21" t="s">
        <v>155</v>
      </c>
      <c r="H42" s="21" t="s">
        <v>156</v>
      </c>
      <c r="I42" s="21" t="s">
        <v>157</v>
      </c>
      <c r="J42" s="21" t="s">
        <v>158</v>
      </c>
      <c r="K42" s="21" t="s">
        <v>159</v>
      </c>
      <c r="L42" s="21" t="s">
        <v>160</v>
      </c>
      <c r="M42" s="21" t="s">
        <v>161</v>
      </c>
      <c r="N42" s="21" t="s">
        <v>162</v>
      </c>
      <c r="O42" s="21" t="s">
        <v>163</v>
      </c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</row>
    <row r="43" spans="1:27" outlineLevel="1" x14ac:dyDescent="0.25">
      <c r="A43" s="16">
        <f t="shared" si="1"/>
        <v>1.1999999999999997E-13</v>
      </c>
      <c r="B43" s="70" t="s">
        <v>83</v>
      </c>
      <c r="C43" s="13" t="s">
        <v>0</v>
      </c>
      <c r="D43" s="16">
        <v>1E-14</v>
      </c>
      <c r="E43" s="16">
        <v>1E-14</v>
      </c>
      <c r="F43" s="16">
        <v>1E-14</v>
      </c>
      <c r="G43" s="16">
        <v>1E-14</v>
      </c>
      <c r="H43" s="16">
        <v>1E-14</v>
      </c>
      <c r="I43" s="16">
        <v>1E-14</v>
      </c>
      <c r="J43" s="16">
        <v>1E-14</v>
      </c>
      <c r="K43" s="16">
        <v>1E-14</v>
      </c>
      <c r="L43" s="16">
        <v>1E-14</v>
      </c>
      <c r="M43" s="16">
        <v>1E-14</v>
      </c>
      <c r="N43" s="16">
        <v>1E-14</v>
      </c>
      <c r="O43" s="16">
        <v>1E-14</v>
      </c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</row>
    <row r="44" spans="1:27" outlineLevel="1" x14ac:dyDescent="0.25">
      <c r="A44" s="16">
        <f t="shared" si="1"/>
        <v>1.1999999999999997E-13</v>
      </c>
      <c r="B44" s="70" t="s">
        <v>83</v>
      </c>
      <c r="C44" s="13" t="s">
        <v>1</v>
      </c>
      <c r="D44" s="16">
        <v>1E-14</v>
      </c>
      <c r="E44" s="16">
        <v>1E-14</v>
      </c>
      <c r="F44" s="16">
        <v>1E-14</v>
      </c>
      <c r="G44" s="16">
        <v>1E-14</v>
      </c>
      <c r="H44" s="16">
        <v>1E-14</v>
      </c>
      <c r="I44" s="16">
        <v>1E-14</v>
      </c>
      <c r="J44" s="16">
        <v>1E-14</v>
      </c>
      <c r="K44" s="16">
        <v>1E-14</v>
      </c>
      <c r="L44" s="16">
        <v>1E-14</v>
      </c>
      <c r="M44" s="16">
        <v>1E-14</v>
      </c>
      <c r="N44" s="16">
        <v>1E-14</v>
      </c>
      <c r="O44" s="16">
        <v>1E-14</v>
      </c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</row>
    <row r="45" spans="1:27" outlineLevel="1" x14ac:dyDescent="0.25">
      <c r="A45" s="16">
        <f t="shared" si="1"/>
        <v>1.1999999999999997E-13</v>
      </c>
      <c r="B45" s="70" t="s">
        <v>83</v>
      </c>
      <c r="C45" s="13" t="s">
        <v>2</v>
      </c>
      <c r="D45" s="16">
        <v>1E-14</v>
      </c>
      <c r="E45" s="16">
        <v>1E-14</v>
      </c>
      <c r="F45" s="16">
        <v>1E-14</v>
      </c>
      <c r="G45" s="16">
        <v>1E-14</v>
      </c>
      <c r="H45" s="16">
        <v>1E-14</v>
      </c>
      <c r="I45" s="16">
        <v>1E-14</v>
      </c>
      <c r="J45" s="16">
        <v>1E-14</v>
      </c>
      <c r="K45" s="16">
        <v>1E-14</v>
      </c>
      <c r="L45" s="16">
        <v>1E-14</v>
      </c>
      <c r="M45" s="16">
        <v>1E-14</v>
      </c>
      <c r="N45" s="16">
        <v>1E-14</v>
      </c>
      <c r="O45" s="16">
        <v>1E-14</v>
      </c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</row>
    <row r="46" spans="1:27" outlineLevel="1" x14ac:dyDescent="0.25">
      <c r="A46" s="16">
        <f t="shared" si="1"/>
        <v>1.1999999999999997E-13</v>
      </c>
      <c r="B46" s="70" t="s">
        <v>83</v>
      </c>
      <c r="C46" s="13" t="s">
        <v>3</v>
      </c>
      <c r="D46" s="16">
        <v>1E-14</v>
      </c>
      <c r="E46" s="16">
        <v>1E-14</v>
      </c>
      <c r="F46" s="16">
        <v>1E-14</v>
      </c>
      <c r="G46" s="16">
        <v>1E-14</v>
      </c>
      <c r="H46" s="16">
        <v>1E-14</v>
      </c>
      <c r="I46" s="16">
        <v>1E-14</v>
      </c>
      <c r="J46" s="16">
        <v>1E-14</v>
      </c>
      <c r="K46" s="16">
        <v>1E-14</v>
      </c>
      <c r="L46" s="16">
        <v>1E-14</v>
      </c>
      <c r="M46" s="16">
        <v>1E-14</v>
      </c>
      <c r="N46" s="16">
        <v>1E-14</v>
      </c>
      <c r="O46" s="16">
        <v>1E-14</v>
      </c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</row>
    <row r="47" spans="1:27" outlineLevel="1" x14ac:dyDescent="0.25">
      <c r="A47" s="16">
        <f t="shared" si="1"/>
        <v>1.1999999999999997E-13</v>
      </c>
      <c r="B47" s="70" t="s">
        <v>83</v>
      </c>
      <c r="C47" s="13" t="s">
        <v>4</v>
      </c>
      <c r="D47" s="16">
        <v>1E-14</v>
      </c>
      <c r="E47" s="16">
        <v>1E-14</v>
      </c>
      <c r="F47" s="16">
        <v>1E-14</v>
      </c>
      <c r="G47" s="16">
        <v>1E-14</v>
      </c>
      <c r="H47" s="16">
        <v>1E-14</v>
      </c>
      <c r="I47" s="16">
        <v>1E-14</v>
      </c>
      <c r="J47" s="16">
        <v>1E-14</v>
      </c>
      <c r="K47" s="16">
        <v>1E-14</v>
      </c>
      <c r="L47" s="16">
        <v>1E-14</v>
      </c>
      <c r="M47" s="16">
        <v>1E-14</v>
      </c>
      <c r="N47" s="16">
        <v>1E-14</v>
      </c>
      <c r="O47" s="16">
        <v>1E-14</v>
      </c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</row>
    <row r="48" spans="1:27" outlineLevel="1" x14ac:dyDescent="0.25">
      <c r="A48" s="16">
        <f t="shared" si="1"/>
        <v>1.1999999999999997E-13</v>
      </c>
      <c r="B48" s="70" t="s">
        <v>83</v>
      </c>
      <c r="C48" s="13" t="s">
        <v>5</v>
      </c>
      <c r="D48" s="16">
        <v>1E-14</v>
      </c>
      <c r="E48" s="16">
        <v>1E-14</v>
      </c>
      <c r="F48" s="16">
        <v>1E-14</v>
      </c>
      <c r="G48" s="16">
        <v>1E-14</v>
      </c>
      <c r="H48" s="16">
        <v>1E-14</v>
      </c>
      <c r="I48" s="16">
        <v>1E-14</v>
      </c>
      <c r="J48" s="16">
        <v>1E-14</v>
      </c>
      <c r="K48" s="16">
        <v>1E-14</v>
      </c>
      <c r="L48" s="16">
        <v>1E-14</v>
      </c>
      <c r="M48" s="16">
        <v>1E-14</v>
      </c>
      <c r="N48" s="16">
        <v>1E-14</v>
      </c>
      <c r="O48" s="16">
        <v>1E-14</v>
      </c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</row>
    <row r="49" spans="1:27" outlineLevel="1" x14ac:dyDescent="0.25">
      <c r="A49" s="16">
        <f t="shared" si="1"/>
        <v>1.1999999999999997E-13</v>
      </c>
      <c r="B49" s="70" t="s">
        <v>83</v>
      </c>
      <c r="C49" s="13" t="s">
        <v>6</v>
      </c>
      <c r="D49" s="16">
        <v>1E-14</v>
      </c>
      <c r="E49" s="16">
        <v>1E-14</v>
      </c>
      <c r="F49" s="16">
        <v>1E-14</v>
      </c>
      <c r="G49" s="16">
        <v>1E-14</v>
      </c>
      <c r="H49" s="16">
        <v>1E-14</v>
      </c>
      <c r="I49" s="16">
        <v>1E-14</v>
      </c>
      <c r="J49" s="16">
        <v>1E-14</v>
      </c>
      <c r="K49" s="16">
        <v>1E-14</v>
      </c>
      <c r="L49" s="16">
        <v>1E-14</v>
      </c>
      <c r="M49" s="16">
        <v>1E-14</v>
      </c>
      <c r="N49" s="16">
        <v>1E-14</v>
      </c>
      <c r="O49" s="16">
        <v>1E-14</v>
      </c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</row>
    <row r="50" spans="1:27" outlineLevel="1" x14ac:dyDescent="0.25">
      <c r="A50" s="16">
        <f t="shared" si="1"/>
        <v>1.1999999999999997E-13</v>
      </c>
      <c r="B50" s="70" t="s">
        <v>83</v>
      </c>
      <c r="C50" s="13" t="s">
        <v>7</v>
      </c>
      <c r="D50" s="16">
        <v>1E-14</v>
      </c>
      <c r="E50" s="16">
        <v>1E-14</v>
      </c>
      <c r="F50" s="16">
        <v>1E-14</v>
      </c>
      <c r="G50" s="16">
        <v>1E-14</v>
      </c>
      <c r="H50" s="16">
        <v>1E-14</v>
      </c>
      <c r="I50" s="16">
        <v>1E-14</v>
      </c>
      <c r="J50" s="16">
        <v>1E-14</v>
      </c>
      <c r="K50" s="16">
        <v>1E-14</v>
      </c>
      <c r="L50" s="16">
        <v>1E-14</v>
      </c>
      <c r="M50" s="16">
        <v>1E-14</v>
      </c>
      <c r="N50" s="16">
        <v>1E-14</v>
      </c>
      <c r="O50" s="16">
        <v>1E-14</v>
      </c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</row>
    <row r="51" spans="1:27" outlineLevel="1" x14ac:dyDescent="0.25">
      <c r="A51" s="16">
        <f t="shared" si="1"/>
        <v>1.1999999999999997E-13</v>
      </c>
      <c r="B51" s="70" t="s">
        <v>83</v>
      </c>
      <c r="C51" s="13" t="s">
        <v>8</v>
      </c>
      <c r="D51" s="16">
        <v>1E-14</v>
      </c>
      <c r="E51" s="16">
        <v>1E-14</v>
      </c>
      <c r="F51" s="16">
        <v>1E-14</v>
      </c>
      <c r="G51" s="16">
        <v>1E-14</v>
      </c>
      <c r="H51" s="16">
        <v>1E-14</v>
      </c>
      <c r="I51" s="16">
        <v>1E-14</v>
      </c>
      <c r="J51" s="16">
        <v>1E-14</v>
      </c>
      <c r="K51" s="16">
        <v>1E-14</v>
      </c>
      <c r="L51" s="16">
        <v>1E-14</v>
      </c>
      <c r="M51" s="16">
        <v>1E-14</v>
      </c>
      <c r="N51" s="16">
        <v>1E-14</v>
      </c>
      <c r="O51" s="16">
        <v>1E-14</v>
      </c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1:27" outlineLevel="1" x14ac:dyDescent="0.25">
      <c r="A52" s="16">
        <f t="shared" si="1"/>
        <v>1.1999999999999997E-13</v>
      </c>
      <c r="B52" s="70" t="s">
        <v>83</v>
      </c>
      <c r="C52" s="13" t="s">
        <v>9</v>
      </c>
      <c r="D52" s="16">
        <v>1E-14</v>
      </c>
      <c r="E52" s="16">
        <v>1E-14</v>
      </c>
      <c r="F52" s="16">
        <v>1E-14</v>
      </c>
      <c r="G52" s="16">
        <v>1E-14</v>
      </c>
      <c r="H52" s="16">
        <v>1E-14</v>
      </c>
      <c r="I52" s="16">
        <v>1E-14</v>
      </c>
      <c r="J52" s="16">
        <v>1E-14</v>
      </c>
      <c r="K52" s="16">
        <v>1E-14</v>
      </c>
      <c r="L52" s="16">
        <v>1E-14</v>
      </c>
      <c r="M52" s="16">
        <v>1E-14</v>
      </c>
      <c r="N52" s="16">
        <v>1E-14</v>
      </c>
      <c r="O52" s="16">
        <v>1E-14</v>
      </c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</row>
    <row r="53" spans="1:27" outlineLevel="1" x14ac:dyDescent="0.25">
      <c r="A53" s="16">
        <f t="shared" si="1"/>
        <v>1.1999999999999997E-13</v>
      </c>
      <c r="B53" s="70" t="s">
        <v>83</v>
      </c>
      <c r="C53" s="13" t="s">
        <v>10</v>
      </c>
      <c r="D53" s="16">
        <v>1E-14</v>
      </c>
      <c r="E53" s="16">
        <v>1E-14</v>
      </c>
      <c r="F53" s="16">
        <v>1E-14</v>
      </c>
      <c r="G53" s="16">
        <v>1E-14</v>
      </c>
      <c r="H53" s="16">
        <v>1E-14</v>
      </c>
      <c r="I53" s="16">
        <v>1E-14</v>
      </c>
      <c r="J53" s="16">
        <v>1E-14</v>
      </c>
      <c r="K53" s="16">
        <v>1E-14</v>
      </c>
      <c r="L53" s="16">
        <v>1E-14</v>
      </c>
      <c r="M53" s="16">
        <v>1E-14</v>
      </c>
      <c r="N53" s="16">
        <v>1E-14</v>
      </c>
      <c r="O53" s="16">
        <v>1E-14</v>
      </c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</row>
    <row r="54" spans="1:27" outlineLevel="1" x14ac:dyDescent="0.25">
      <c r="A54" s="16">
        <f t="shared" si="1"/>
        <v>1.1999999999999997E-13</v>
      </c>
      <c r="B54" s="70" t="s">
        <v>83</v>
      </c>
      <c r="C54" s="13" t="s">
        <v>11</v>
      </c>
      <c r="D54" s="16">
        <v>1E-14</v>
      </c>
      <c r="E54" s="16">
        <v>1E-14</v>
      </c>
      <c r="F54" s="16">
        <v>1E-14</v>
      </c>
      <c r="G54" s="16">
        <v>1E-14</v>
      </c>
      <c r="H54" s="16">
        <v>1E-14</v>
      </c>
      <c r="I54" s="16">
        <v>1E-14</v>
      </c>
      <c r="J54" s="16">
        <v>1E-14</v>
      </c>
      <c r="K54" s="16">
        <v>1E-14</v>
      </c>
      <c r="L54" s="16">
        <v>1E-14</v>
      </c>
      <c r="M54" s="16">
        <v>1E-14</v>
      </c>
      <c r="N54" s="16">
        <v>1E-14</v>
      </c>
      <c r="O54" s="16">
        <v>1E-14</v>
      </c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</row>
    <row r="55" spans="1:27" outlineLevel="1" x14ac:dyDescent="0.25">
      <c r="A55" s="16">
        <f t="shared" si="1"/>
        <v>1.1999999999999997E-13</v>
      </c>
      <c r="B55" s="70" t="s">
        <v>83</v>
      </c>
      <c r="C55" s="13" t="s">
        <v>12</v>
      </c>
      <c r="D55" s="16">
        <v>1E-14</v>
      </c>
      <c r="E55" s="16">
        <v>1E-14</v>
      </c>
      <c r="F55" s="16">
        <v>1E-14</v>
      </c>
      <c r="G55" s="16">
        <v>1E-14</v>
      </c>
      <c r="H55" s="16">
        <v>1E-14</v>
      </c>
      <c r="I55" s="16">
        <v>1E-14</v>
      </c>
      <c r="J55" s="16">
        <v>1E-14</v>
      </c>
      <c r="K55" s="16">
        <v>1E-14</v>
      </c>
      <c r="L55" s="16">
        <v>1E-14</v>
      </c>
      <c r="M55" s="16">
        <v>1E-14</v>
      </c>
      <c r="N55" s="16">
        <v>1E-14</v>
      </c>
      <c r="O55" s="16">
        <v>1E-14</v>
      </c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</row>
    <row r="56" spans="1:27" outlineLevel="1" x14ac:dyDescent="0.25">
      <c r="A56" s="16">
        <f t="shared" si="1"/>
        <v>1.1999999999999997E-13</v>
      </c>
      <c r="B56" s="70" t="s">
        <v>83</v>
      </c>
      <c r="C56" s="13" t="s">
        <v>13</v>
      </c>
      <c r="D56" s="16">
        <v>1E-14</v>
      </c>
      <c r="E56" s="16">
        <v>1E-14</v>
      </c>
      <c r="F56" s="16">
        <v>1E-14</v>
      </c>
      <c r="G56" s="16">
        <v>1E-14</v>
      </c>
      <c r="H56" s="16">
        <v>1E-14</v>
      </c>
      <c r="I56" s="16">
        <v>1E-14</v>
      </c>
      <c r="J56" s="16">
        <v>1E-14</v>
      </c>
      <c r="K56" s="16">
        <v>1E-14</v>
      </c>
      <c r="L56" s="16">
        <v>1E-14</v>
      </c>
      <c r="M56" s="16">
        <v>1E-14</v>
      </c>
      <c r="N56" s="16">
        <v>1E-14</v>
      </c>
      <c r="O56" s="16">
        <v>1E-14</v>
      </c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</row>
    <row r="57" spans="1:27" outlineLevel="1" x14ac:dyDescent="0.25">
      <c r="A57" s="16">
        <f t="shared" si="1"/>
        <v>40000.000000000007</v>
      </c>
      <c r="B57" s="70" t="s">
        <v>83</v>
      </c>
      <c r="C57" s="13" t="s">
        <v>14</v>
      </c>
      <c r="D57" s="16">
        <v>3333.666666666667</v>
      </c>
      <c r="E57" s="16">
        <v>3333.0000000000041</v>
      </c>
      <c r="F57" s="16">
        <v>3333.3333333333335</v>
      </c>
      <c r="G57" s="16">
        <v>3333.3333333333335</v>
      </c>
      <c r="H57" s="16">
        <v>3333.3333333333335</v>
      </c>
      <c r="I57" s="16">
        <v>3333.3333333333335</v>
      </c>
      <c r="J57" s="16">
        <v>3333.3333333333335</v>
      </c>
      <c r="K57" s="16">
        <v>3333.3333333333335</v>
      </c>
      <c r="L57" s="16">
        <v>3333.3333333333335</v>
      </c>
      <c r="M57" s="16">
        <v>3333.3333333333335</v>
      </c>
      <c r="N57" s="16">
        <v>3333.3333333333335</v>
      </c>
      <c r="O57" s="16">
        <v>3333.3333333333335</v>
      </c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</row>
    <row r="58" spans="1:27" outlineLevel="1" x14ac:dyDescent="0.25">
      <c r="A58" s="16">
        <f t="shared" si="1"/>
        <v>1.1999999999999997E-13</v>
      </c>
      <c r="B58" s="70" t="s">
        <v>83</v>
      </c>
      <c r="C58" s="13" t="s">
        <v>15</v>
      </c>
      <c r="D58" s="16">
        <v>1E-14</v>
      </c>
      <c r="E58" s="16">
        <v>1E-14</v>
      </c>
      <c r="F58" s="16">
        <v>1E-14</v>
      </c>
      <c r="G58" s="16">
        <v>1E-14</v>
      </c>
      <c r="H58" s="16">
        <v>1E-14</v>
      </c>
      <c r="I58" s="16">
        <v>1E-14</v>
      </c>
      <c r="J58" s="16">
        <v>1E-14</v>
      </c>
      <c r="K58" s="16">
        <v>1E-14</v>
      </c>
      <c r="L58" s="16">
        <v>1E-14</v>
      </c>
      <c r="M58" s="16">
        <v>1E-14</v>
      </c>
      <c r="N58" s="16">
        <v>1E-14</v>
      </c>
      <c r="O58" s="16">
        <v>1E-14</v>
      </c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</row>
    <row r="59" spans="1:27" outlineLevel="1" x14ac:dyDescent="0.25">
      <c r="A59" s="16">
        <f t="shared" si="1"/>
        <v>1.1999999999999997E-13</v>
      </c>
      <c r="B59" s="70" t="s">
        <v>83</v>
      </c>
      <c r="C59" s="13" t="s">
        <v>16</v>
      </c>
      <c r="D59" s="16">
        <v>1E-14</v>
      </c>
      <c r="E59" s="16">
        <v>1E-14</v>
      </c>
      <c r="F59" s="16">
        <v>1E-14</v>
      </c>
      <c r="G59" s="16">
        <v>1E-14</v>
      </c>
      <c r="H59" s="16">
        <v>1E-14</v>
      </c>
      <c r="I59" s="16">
        <v>1E-14</v>
      </c>
      <c r="J59" s="16">
        <v>1E-14</v>
      </c>
      <c r="K59" s="16">
        <v>1E-14</v>
      </c>
      <c r="L59" s="16">
        <v>1E-14</v>
      </c>
      <c r="M59" s="16">
        <v>1E-14</v>
      </c>
      <c r="N59" s="16">
        <v>1E-14</v>
      </c>
      <c r="O59" s="16">
        <v>1E-14</v>
      </c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</row>
    <row r="60" spans="1:27" outlineLevel="1" x14ac:dyDescent="0.25">
      <c r="A60" s="16">
        <f t="shared" si="1"/>
        <v>1.1999999999999997E-13</v>
      </c>
      <c r="B60" s="70" t="s">
        <v>83</v>
      </c>
      <c r="C60" s="13" t="s">
        <v>18</v>
      </c>
      <c r="D60" s="16">
        <v>1E-14</v>
      </c>
      <c r="E60" s="16">
        <v>1E-14</v>
      </c>
      <c r="F60" s="16">
        <v>1E-14</v>
      </c>
      <c r="G60" s="16">
        <v>1E-14</v>
      </c>
      <c r="H60" s="16">
        <v>1E-14</v>
      </c>
      <c r="I60" s="16">
        <v>1E-14</v>
      </c>
      <c r="J60" s="16">
        <v>1E-14</v>
      </c>
      <c r="K60" s="16">
        <v>1E-14</v>
      </c>
      <c r="L60" s="16">
        <v>1E-14</v>
      </c>
      <c r="M60" s="16">
        <v>1E-14</v>
      </c>
      <c r="N60" s="16">
        <v>1E-14</v>
      </c>
      <c r="O60" s="16">
        <v>1E-14</v>
      </c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</row>
    <row r="61" spans="1:27" outlineLevel="1" x14ac:dyDescent="0.25">
      <c r="A61" s="16">
        <f t="shared" si="1"/>
        <v>1.1999999999999997E-13</v>
      </c>
      <c r="B61" s="70" t="s">
        <v>83</v>
      </c>
      <c r="C61" s="13" t="s">
        <v>19</v>
      </c>
      <c r="D61" s="16">
        <v>1E-14</v>
      </c>
      <c r="E61" s="16">
        <v>1E-14</v>
      </c>
      <c r="F61" s="16">
        <v>1E-14</v>
      </c>
      <c r="G61" s="16">
        <v>1E-14</v>
      </c>
      <c r="H61" s="16">
        <v>1E-14</v>
      </c>
      <c r="I61" s="16">
        <v>1E-14</v>
      </c>
      <c r="J61" s="16">
        <v>1E-14</v>
      </c>
      <c r="K61" s="16">
        <v>1E-14</v>
      </c>
      <c r="L61" s="16">
        <v>1E-14</v>
      </c>
      <c r="M61" s="16">
        <v>1E-14</v>
      </c>
      <c r="N61" s="16">
        <v>1E-14</v>
      </c>
      <c r="O61" s="16">
        <v>1E-14</v>
      </c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</row>
    <row r="62" spans="1:27" outlineLevel="1" x14ac:dyDescent="0.25">
      <c r="A62" s="16">
        <f t="shared" si="1"/>
        <v>1.1999999999999997E-13</v>
      </c>
      <c r="B62" s="70" t="s">
        <v>83</v>
      </c>
      <c r="C62" s="13" t="s">
        <v>20</v>
      </c>
      <c r="D62" s="16">
        <v>1E-14</v>
      </c>
      <c r="E62" s="16">
        <v>1E-14</v>
      </c>
      <c r="F62" s="16">
        <v>1E-14</v>
      </c>
      <c r="G62" s="16">
        <v>1E-14</v>
      </c>
      <c r="H62" s="16">
        <v>1E-14</v>
      </c>
      <c r="I62" s="16">
        <v>1E-14</v>
      </c>
      <c r="J62" s="16">
        <v>1E-14</v>
      </c>
      <c r="K62" s="16">
        <v>1E-14</v>
      </c>
      <c r="L62" s="16">
        <v>1E-14</v>
      </c>
      <c r="M62" s="16">
        <v>1E-14</v>
      </c>
      <c r="N62" s="16">
        <v>1E-14</v>
      </c>
      <c r="O62" s="16">
        <v>1E-14</v>
      </c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</row>
    <row r="63" spans="1:27" outlineLevel="1" x14ac:dyDescent="0.25">
      <c r="A63" s="16">
        <f t="shared" si="1"/>
        <v>1.1999999999999997E-13</v>
      </c>
      <c r="B63" s="70" t="s">
        <v>83</v>
      </c>
      <c r="C63" s="13" t="s">
        <v>17</v>
      </c>
      <c r="D63" s="16">
        <v>1E-14</v>
      </c>
      <c r="E63" s="16">
        <v>1E-14</v>
      </c>
      <c r="F63" s="16">
        <v>1E-14</v>
      </c>
      <c r="G63" s="16">
        <v>1E-14</v>
      </c>
      <c r="H63" s="16">
        <v>1E-14</v>
      </c>
      <c r="I63" s="16">
        <v>1E-14</v>
      </c>
      <c r="J63" s="16">
        <v>1E-14</v>
      </c>
      <c r="K63" s="16">
        <v>1E-14</v>
      </c>
      <c r="L63" s="16">
        <v>1E-14</v>
      </c>
      <c r="M63" s="16">
        <v>1E-14</v>
      </c>
      <c r="N63" s="16">
        <v>1E-14</v>
      </c>
      <c r="O63" s="16">
        <v>1E-14</v>
      </c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</row>
    <row r="64" spans="1:27" outlineLevel="1" x14ac:dyDescent="0.25">
      <c r="A64" s="16">
        <f t="shared" si="1"/>
        <v>14716.467238445746</v>
      </c>
      <c r="B64" s="70" t="s">
        <v>83</v>
      </c>
      <c r="C64" s="13" t="s">
        <v>43</v>
      </c>
      <c r="D64" s="16">
        <v>1226.3722698704792</v>
      </c>
      <c r="E64" s="16">
        <v>1226.3722698704792</v>
      </c>
      <c r="F64" s="16">
        <v>1226.3722698704792</v>
      </c>
      <c r="G64" s="16">
        <v>1226.3722698704792</v>
      </c>
      <c r="H64" s="16">
        <v>1226.3722698704792</v>
      </c>
      <c r="I64" s="16">
        <v>1226.3722698704792</v>
      </c>
      <c r="J64" s="16">
        <v>1226.3722698704792</v>
      </c>
      <c r="K64" s="16">
        <v>1226.3722698704792</v>
      </c>
      <c r="L64" s="16">
        <v>1226.3722698704792</v>
      </c>
      <c r="M64" s="16">
        <v>1226.3722698704792</v>
      </c>
      <c r="N64" s="16">
        <v>1226.3722698704792</v>
      </c>
      <c r="O64" s="16">
        <v>1226.3722698704792</v>
      </c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</row>
    <row r="65" spans="1:27" outlineLevel="1" x14ac:dyDescent="0.25">
      <c r="A65" s="16">
        <f t="shared" si="1"/>
        <v>40000</v>
      </c>
      <c r="B65" s="70" t="s">
        <v>83</v>
      </c>
      <c r="C65" s="13" t="s">
        <v>44</v>
      </c>
      <c r="D65" s="16">
        <v>3333.3333333333335</v>
      </c>
      <c r="E65" s="16">
        <v>3333.3333333333339</v>
      </c>
      <c r="F65" s="16">
        <v>3333.3333333333335</v>
      </c>
      <c r="G65" s="16">
        <v>3333.3333333333335</v>
      </c>
      <c r="H65" s="16">
        <v>3333.3333333333335</v>
      </c>
      <c r="I65" s="16">
        <v>3333.3333333333335</v>
      </c>
      <c r="J65" s="16">
        <v>3333.3333333333335</v>
      </c>
      <c r="K65" s="16">
        <v>3333.3333333333308</v>
      </c>
      <c r="L65" s="16">
        <v>3333.3333333333335</v>
      </c>
      <c r="M65" s="16">
        <v>3333.3333333333335</v>
      </c>
      <c r="N65" s="16">
        <v>3333.3333333333335</v>
      </c>
      <c r="O65" s="16">
        <v>3333.3333333333335</v>
      </c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</row>
    <row r="66" spans="1:27" s="26" customFormat="1" outlineLevel="1" x14ac:dyDescent="0.25">
      <c r="A66" s="16">
        <f t="shared" si="1"/>
        <v>1.1999999999999997E-13</v>
      </c>
      <c r="B66" s="70" t="s">
        <v>83</v>
      </c>
      <c r="C66" s="13" t="s">
        <v>91</v>
      </c>
      <c r="D66" s="16">
        <v>1E-14</v>
      </c>
      <c r="E66" s="16">
        <v>1E-14</v>
      </c>
      <c r="F66" s="16">
        <v>1E-14</v>
      </c>
      <c r="G66" s="16">
        <v>1E-14</v>
      </c>
      <c r="H66" s="16">
        <v>1E-14</v>
      </c>
      <c r="I66" s="16">
        <v>1E-14</v>
      </c>
      <c r="J66" s="16">
        <v>1E-14</v>
      </c>
      <c r="K66" s="16">
        <v>1E-14</v>
      </c>
      <c r="L66" s="16">
        <v>1E-14</v>
      </c>
      <c r="M66" s="16">
        <v>1E-14</v>
      </c>
      <c r="N66" s="16">
        <v>1E-14</v>
      </c>
      <c r="O66" s="16">
        <v>1E-14</v>
      </c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</row>
    <row r="67" spans="1:27" s="26" customFormat="1" outlineLevel="1" x14ac:dyDescent="0.25">
      <c r="A67" s="16">
        <f t="shared" si="1"/>
        <v>1.1999999999999997E-13</v>
      </c>
      <c r="B67" s="70" t="s">
        <v>83</v>
      </c>
      <c r="C67" s="13" t="s">
        <v>92</v>
      </c>
      <c r="D67" s="16">
        <v>1E-14</v>
      </c>
      <c r="E67" s="16">
        <v>1E-14</v>
      </c>
      <c r="F67" s="16">
        <v>1E-14</v>
      </c>
      <c r="G67" s="16">
        <v>1E-14</v>
      </c>
      <c r="H67" s="16">
        <v>1E-14</v>
      </c>
      <c r="I67" s="16">
        <v>1E-14</v>
      </c>
      <c r="J67" s="16">
        <v>1E-14</v>
      </c>
      <c r="K67" s="16">
        <v>1E-14</v>
      </c>
      <c r="L67" s="16">
        <v>1E-14</v>
      </c>
      <c r="M67" s="16">
        <v>1E-14</v>
      </c>
      <c r="N67" s="16">
        <v>1E-14</v>
      </c>
      <c r="O67" s="16">
        <v>1E-14</v>
      </c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</row>
    <row r="68" spans="1:27" s="26" customFormat="1" outlineLevel="1" x14ac:dyDescent="0.25">
      <c r="A68" s="16">
        <f t="shared" si="1"/>
        <v>1.1999999999999997E-13</v>
      </c>
      <c r="B68" s="70" t="s">
        <v>83</v>
      </c>
      <c r="C68" s="13" t="s">
        <v>93</v>
      </c>
      <c r="D68" s="16">
        <v>1E-14</v>
      </c>
      <c r="E68" s="16">
        <v>1E-14</v>
      </c>
      <c r="F68" s="16">
        <v>1E-14</v>
      </c>
      <c r="G68" s="16">
        <v>1E-14</v>
      </c>
      <c r="H68" s="16">
        <v>1E-14</v>
      </c>
      <c r="I68" s="16">
        <v>1E-14</v>
      </c>
      <c r="J68" s="16">
        <v>1E-14</v>
      </c>
      <c r="K68" s="16">
        <v>1E-14</v>
      </c>
      <c r="L68" s="16">
        <v>1E-14</v>
      </c>
      <c r="M68" s="16">
        <v>1E-14</v>
      </c>
      <c r="N68" s="16">
        <v>1E-14</v>
      </c>
      <c r="O68" s="16">
        <v>1E-14</v>
      </c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</row>
    <row r="69" spans="1:27" outlineLevel="1" x14ac:dyDescent="0.25">
      <c r="A69" s="16">
        <f t="shared" si="1"/>
        <v>18553.531304930322</v>
      </c>
      <c r="B69" s="70" t="s">
        <v>83</v>
      </c>
      <c r="C69" s="13" t="s">
        <v>21</v>
      </c>
      <c r="D69" s="16">
        <v>3519.7997496871085</v>
      </c>
      <c r="E69" s="16">
        <v>3179.1739674593241</v>
      </c>
      <c r="F69" s="16">
        <v>3519.7997496871085</v>
      </c>
      <c r="G69" s="16">
        <v>802.9812344426341</v>
      </c>
      <c r="H69" s="16">
        <v>1E-14</v>
      </c>
      <c r="I69" s="16">
        <v>1E-14</v>
      </c>
      <c r="J69" s="16">
        <v>1E-14</v>
      </c>
      <c r="K69" s="16">
        <v>1E-14</v>
      </c>
      <c r="L69" s="16">
        <v>1E-14</v>
      </c>
      <c r="M69" s="16">
        <v>605.71903168919391</v>
      </c>
      <c r="N69" s="16">
        <v>3406.257822277847</v>
      </c>
      <c r="O69" s="16">
        <v>3519.7997496871085</v>
      </c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</row>
    <row r="70" spans="1:27" outlineLevel="1" x14ac:dyDescent="0.25">
      <c r="A70" s="16">
        <f t="shared" si="1"/>
        <v>11100</v>
      </c>
      <c r="B70" s="70" t="s">
        <v>83</v>
      </c>
      <c r="C70" s="13" t="s">
        <v>22</v>
      </c>
      <c r="D70" s="16">
        <v>3999.9999999999995</v>
      </c>
      <c r="E70" s="16">
        <v>1E-14</v>
      </c>
      <c r="F70" s="16">
        <v>1E-14</v>
      </c>
      <c r="G70" s="16">
        <v>1E-14</v>
      </c>
      <c r="H70" s="16">
        <v>1E-14</v>
      </c>
      <c r="I70" s="16">
        <v>1E-14</v>
      </c>
      <c r="J70" s="16">
        <v>1E-14</v>
      </c>
      <c r="K70" s="16">
        <v>1E-14</v>
      </c>
      <c r="L70" s="16">
        <v>1E-14</v>
      </c>
      <c r="M70" s="16">
        <v>1E-14</v>
      </c>
      <c r="N70" s="16">
        <v>1500</v>
      </c>
      <c r="O70" s="16">
        <v>5600</v>
      </c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</row>
    <row r="71" spans="1:27" outlineLevel="1" x14ac:dyDescent="0.25">
      <c r="A71" s="16">
        <f t="shared" si="1"/>
        <v>1300.8856758373208</v>
      </c>
      <c r="B71" s="70" t="s">
        <v>83</v>
      </c>
      <c r="C71" s="13" t="s">
        <v>42</v>
      </c>
      <c r="D71" s="16">
        <v>409.00971889952172</v>
      </c>
      <c r="E71" s="16">
        <v>540.1046052631574</v>
      </c>
      <c r="F71" s="16">
        <v>261.79476674641171</v>
      </c>
      <c r="G71" s="16">
        <v>1E-14</v>
      </c>
      <c r="H71" s="16">
        <v>1E-14</v>
      </c>
      <c r="I71" s="16">
        <v>1E-14</v>
      </c>
      <c r="J71" s="16">
        <v>1E-14</v>
      </c>
      <c r="K71" s="16">
        <v>1E-14</v>
      </c>
      <c r="L71" s="16">
        <v>1E-14</v>
      </c>
      <c r="M71" s="16">
        <v>1E-14</v>
      </c>
      <c r="N71" s="16">
        <v>1E-14</v>
      </c>
      <c r="O71" s="16">
        <v>89.976584928229926</v>
      </c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</row>
    <row r="72" spans="1:27" outlineLevel="1" x14ac:dyDescent="0.25">
      <c r="A72" s="12"/>
      <c r="B72" s="70"/>
      <c r="C72" s="13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</row>
    <row r="73" spans="1:27" outlineLevel="1" x14ac:dyDescent="0.25">
      <c r="A73" s="12"/>
      <c r="B73" s="68"/>
      <c r="C73" s="4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</row>
    <row r="74" spans="1:27" x14ac:dyDescent="0.25">
      <c r="A74" s="24" t="s">
        <v>85</v>
      </c>
      <c r="B74" s="71" t="s">
        <v>99</v>
      </c>
      <c r="C74" s="24"/>
      <c r="D74" s="21" t="s">
        <v>165</v>
      </c>
      <c r="E74" s="21" t="s">
        <v>166</v>
      </c>
      <c r="F74" s="21" t="s">
        <v>167</v>
      </c>
      <c r="G74" s="21" t="s">
        <v>155</v>
      </c>
      <c r="H74" s="21" t="s">
        <v>156</v>
      </c>
      <c r="I74" s="21" t="s">
        <v>157</v>
      </c>
      <c r="J74" s="21" t="s">
        <v>158</v>
      </c>
      <c r="K74" s="21" t="s">
        <v>159</v>
      </c>
      <c r="L74" s="21" t="s">
        <v>160</v>
      </c>
      <c r="M74" s="21" t="s">
        <v>161</v>
      </c>
      <c r="N74" s="21" t="s">
        <v>162</v>
      </c>
      <c r="O74" s="21" t="s">
        <v>163</v>
      </c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</row>
    <row r="75" spans="1:27" outlineLevel="1" x14ac:dyDescent="0.25">
      <c r="A75" s="22">
        <f t="shared" ref="A75:A100" si="2">SUM(D75:O75)</f>
        <v>1.1999999999999997E-13</v>
      </c>
      <c r="B75" s="72" t="s">
        <v>81</v>
      </c>
      <c r="C75" s="13" t="s">
        <v>0</v>
      </c>
      <c r="D75" s="22">
        <v>1E-14</v>
      </c>
      <c r="E75" s="22">
        <v>1E-14</v>
      </c>
      <c r="F75" s="22">
        <v>1E-14</v>
      </c>
      <c r="G75" s="22">
        <v>1E-14</v>
      </c>
      <c r="H75" s="22">
        <v>1E-14</v>
      </c>
      <c r="I75" s="22">
        <v>1E-14</v>
      </c>
      <c r="J75" s="22">
        <v>1E-14</v>
      </c>
      <c r="K75" s="22">
        <v>1E-14</v>
      </c>
      <c r="L75" s="22">
        <v>1E-14</v>
      </c>
      <c r="M75" s="22">
        <v>1E-14</v>
      </c>
      <c r="N75" s="22">
        <v>1E-14</v>
      </c>
      <c r="O75" s="22">
        <v>1E-14</v>
      </c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</row>
    <row r="76" spans="1:27" outlineLevel="1" x14ac:dyDescent="0.25">
      <c r="A76" s="22">
        <f t="shared" si="2"/>
        <v>1.1999999999999997E-13</v>
      </c>
      <c r="B76" s="72" t="s">
        <v>81</v>
      </c>
      <c r="C76" s="13" t="s">
        <v>1</v>
      </c>
      <c r="D76" s="22">
        <v>1E-14</v>
      </c>
      <c r="E76" s="22">
        <v>1E-14</v>
      </c>
      <c r="F76" s="22">
        <v>1E-14</v>
      </c>
      <c r="G76" s="22">
        <v>1E-14</v>
      </c>
      <c r="H76" s="22">
        <v>1E-14</v>
      </c>
      <c r="I76" s="22">
        <v>1E-14</v>
      </c>
      <c r="J76" s="22">
        <v>1E-14</v>
      </c>
      <c r="K76" s="22">
        <v>1E-14</v>
      </c>
      <c r="L76" s="22">
        <v>1E-14</v>
      </c>
      <c r="M76" s="22">
        <v>1E-14</v>
      </c>
      <c r="N76" s="22">
        <v>1E-14</v>
      </c>
      <c r="O76" s="22">
        <v>1E-14</v>
      </c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</row>
    <row r="77" spans="1:27" outlineLevel="1" x14ac:dyDescent="0.25">
      <c r="A77" s="22">
        <f t="shared" si="2"/>
        <v>1.1999999999999997E-13</v>
      </c>
      <c r="B77" s="72" t="s">
        <v>81</v>
      </c>
      <c r="C77" s="13" t="s">
        <v>2</v>
      </c>
      <c r="D77" s="22">
        <v>1E-14</v>
      </c>
      <c r="E77" s="22">
        <v>1E-14</v>
      </c>
      <c r="F77" s="22">
        <v>1E-14</v>
      </c>
      <c r="G77" s="22">
        <v>1E-14</v>
      </c>
      <c r="H77" s="22">
        <v>1E-14</v>
      </c>
      <c r="I77" s="22">
        <v>1E-14</v>
      </c>
      <c r="J77" s="22">
        <v>1E-14</v>
      </c>
      <c r="K77" s="22">
        <v>1E-14</v>
      </c>
      <c r="L77" s="22">
        <v>1E-14</v>
      </c>
      <c r="M77" s="22">
        <v>1E-14</v>
      </c>
      <c r="N77" s="22">
        <v>1E-14</v>
      </c>
      <c r="O77" s="22">
        <v>1E-14</v>
      </c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</row>
    <row r="78" spans="1:27" outlineLevel="1" x14ac:dyDescent="0.25">
      <c r="A78" s="22">
        <f t="shared" si="2"/>
        <v>1.1999999999999997E-13</v>
      </c>
      <c r="B78" s="72" t="s">
        <v>81</v>
      </c>
      <c r="C78" s="13" t="s">
        <v>3</v>
      </c>
      <c r="D78" s="22">
        <v>1E-14</v>
      </c>
      <c r="E78" s="22">
        <v>1E-14</v>
      </c>
      <c r="F78" s="22">
        <v>1E-14</v>
      </c>
      <c r="G78" s="22">
        <v>1E-14</v>
      </c>
      <c r="H78" s="22">
        <v>1E-14</v>
      </c>
      <c r="I78" s="22">
        <v>1E-14</v>
      </c>
      <c r="J78" s="22">
        <v>1E-14</v>
      </c>
      <c r="K78" s="22">
        <v>1E-14</v>
      </c>
      <c r="L78" s="22">
        <v>1E-14</v>
      </c>
      <c r="M78" s="22">
        <v>1E-14</v>
      </c>
      <c r="N78" s="22">
        <v>1E-14</v>
      </c>
      <c r="O78" s="22">
        <v>1E-14</v>
      </c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</row>
    <row r="79" spans="1:27" outlineLevel="1" x14ac:dyDescent="0.25">
      <c r="A79" s="22">
        <f t="shared" si="2"/>
        <v>1.1999999999999997E-13</v>
      </c>
      <c r="B79" s="72" t="s">
        <v>81</v>
      </c>
      <c r="C79" s="13" t="s">
        <v>4</v>
      </c>
      <c r="D79" s="22">
        <v>1E-14</v>
      </c>
      <c r="E79" s="22">
        <v>1E-14</v>
      </c>
      <c r="F79" s="22">
        <v>1E-14</v>
      </c>
      <c r="G79" s="22">
        <v>1E-14</v>
      </c>
      <c r="H79" s="22">
        <v>1E-14</v>
      </c>
      <c r="I79" s="22">
        <v>1E-14</v>
      </c>
      <c r="J79" s="22">
        <v>1E-14</v>
      </c>
      <c r="K79" s="22">
        <v>1E-14</v>
      </c>
      <c r="L79" s="22">
        <v>1E-14</v>
      </c>
      <c r="M79" s="22">
        <v>1E-14</v>
      </c>
      <c r="N79" s="22">
        <v>1E-14</v>
      </c>
      <c r="O79" s="22">
        <v>1E-14</v>
      </c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</row>
    <row r="80" spans="1:27" outlineLevel="1" x14ac:dyDescent="0.25">
      <c r="A80" s="22">
        <f t="shared" si="2"/>
        <v>1.1999999999999997E-13</v>
      </c>
      <c r="B80" s="72" t="s">
        <v>81</v>
      </c>
      <c r="C80" s="13" t="s">
        <v>5</v>
      </c>
      <c r="D80" s="22">
        <v>1E-14</v>
      </c>
      <c r="E80" s="22">
        <v>1E-14</v>
      </c>
      <c r="F80" s="22">
        <v>1E-14</v>
      </c>
      <c r="G80" s="22">
        <v>1E-14</v>
      </c>
      <c r="H80" s="22">
        <v>1E-14</v>
      </c>
      <c r="I80" s="22">
        <v>1E-14</v>
      </c>
      <c r="J80" s="22">
        <v>1E-14</v>
      </c>
      <c r="K80" s="22">
        <v>1E-14</v>
      </c>
      <c r="L80" s="22">
        <v>1E-14</v>
      </c>
      <c r="M80" s="22">
        <v>1E-14</v>
      </c>
      <c r="N80" s="22">
        <v>1E-14</v>
      </c>
      <c r="O80" s="22">
        <v>1E-14</v>
      </c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</row>
    <row r="81" spans="1:27" outlineLevel="1" x14ac:dyDescent="0.25">
      <c r="A81" s="22">
        <f t="shared" si="2"/>
        <v>1.1999999999999997E-13</v>
      </c>
      <c r="B81" s="72" t="s">
        <v>81</v>
      </c>
      <c r="C81" s="13" t="s">
        <v>6</v>
      </c>
      <c r="D81" s="22">
        <v>1E-14</v>
      </c>
      <c r="E81" s="22">
        <v>1E-14</v>
      </c>
      <c r="F81" s="22">
        <v>1E-14</v>
      </c>
      <c r="G81" s="22">
        <v>1E-14</v>
      </c>
      <c r="H81" s="22">
        <v>1E-14</v>
      </c>
      <c r="I81" s="22">
        <v>1E-14</v>
      </c>
      <c r="J81" s="22">
        <v>1E-14</v>
      </c>
      <c r="K81" s="22">
        <v>1E-14</v>
      </c>
      <c r="L81" s="22">
        <v>1E-14</v>
      </c>
      <c r="M81" s="22">
        <v>1E-14</v>
      </c>
      <c r="N81" s="22">
        <v>1E-14</v>
      </c>
      <c r="O81" s="22">
        <v>1E-14</v>
      </c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</row>
    <row r="82" spans="1:27" outlineLevel="1" x14ac:dyDescent="0.25">
      <c r="A82" s="22">
        <f t="shared" si="2"/>
        <v>1.1999999999999997E-13</v>
      </c>
      <c r="B82" s="72" t="s">
        <v>81</v>
      </c>
      <c r="C82" s="13" t="s">
        <v>7</v>
      </c>
      <c r="D82" s="22">
        <v>1E-14</v>
      </c>
      <c r="E82" s="22">
        <v>1E-14</v>
      </c>
      <c r="F82" s="22">
        <v>1E-14</v>
      </c>
      <c r="G82" s="22">
        <v>1E-14</v>
      </c>
      <c r="H82" s="22">
        <v>1E-14</v>
      </c>
      <c r="I82" s="22">
        <v>1E-14</v>
      </c>
      <c r="J82" s="22">
        <v>1E-14</v>
      </c>
      <c r="K82" s="22">
        <v>1E-14</v>
      </c>
      <c r="L82" s="22">
        <v>1E-14</v>
      </c>
      <c r="M82" s="22">
        <v>1E-14</v>
      </c>
      <c r="N82" s="22">
        <v>1E-14</v>
      </c>
      <c r="O82" s="22">
        <v>1E-14</v>
      </c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</row>
    <row r="83" spans="1:27" outlineLevel="1" x14ac:dyDescent="0.25">
      <c r="A83" s="22">
        <f t="shared" si="2"/>
        <v>1.1999999999999997E-13</v>
      </c>
      <c r="B83" s="72" t="s">
        <v>81</v>
      </c>
      <c r="C83" s="13" t="s">
        <v>8</v>
      </c>
      <c r="D83" s="22">
        <v>1E-14</v>
      </c>
      <c r="E83" s="22">
        <v>1E-14</v>
      </c>
      <c r="F83" s="22">
        <v>1E-14</v>
      </c>
      <c r="G83" s="22">
        <v>1E-14</v>
      </c>
      <c r="H83" s="22">
        <v>1E-14</v>
      </c>
      <c r="I83" s="22">
        <v>1E-14</v>
      </c>
      <c r="J83" s="22">
        <v>1E-14</v>
      </c>
      <c r="K83" s="22">
        <v>1E-14</v>
      </c>
      <c r="L83" s="22">
        <v>1E-14</v>
      </c>
      <c r="M83" s="22">
        <v>1E-14</v>
      </c>
      <c r="N83" s="22">
        <v>1E-14</v>
      </c>
      <c r="O83" s="22">
        <v>1E-14</v>
      </c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</row>
    <row r="84" spans="1:27" outlineLevel="1" x14ac:dyDescent="0.25">
      <c r="A84" s="22">
        <f t="shared" si="2"/>
        <v>1.1999999999999997E-13</v>
      </c>
      <c r="B84" s="72" t="s">
        <v>81</v>
      </c>
      <c r="C84" s="13" t="s">
        <v>9</v>
      </c>
      <c r="D84" s="22">
        <v>1E-14</v>
      </c>
      <c r="E84" s="22">
        <v>1E-14</v>
      </c>
      <c r="F84" s="22">
        <v>1E-14</v>
      </c>
      <c r="G84" s="22">
        <v>1E-14</v>
      </c>
      <c r="H84" s="22">
        <v>1E-14</v>
      </c>
      <c r="I84" s="22">
        <v>1E-14</v>
      </c>
      <c r="J84" s="22">
        <v>1E-14</v>
      </c>
      <c r="K84" s="22">
        <v>1E-14</v>
      </c>
      <c r="L84" s="22">
        <v>1E-14</v>
      </c>
      <c r="M84" s="22">
        <v>1E-14</v>
      </c>
      <c r="N84" s="22">
        <v>1E-14</v>
      </c>
      <c r="O84" s="22">
        <v>1E-14</v>
      </c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</row>
    <row r="85" spans="1:27" outlineLevel="1" x14ac:dyDescent="0.25">
      <c r="A85" s="22">
        <f t="shared" si="2"/>
        <v>1.1999999999999997E-13</v>
      </c>
      <c r="B85" s="72" t="s">
        <v>81</v>
      </c>
      <c r="C85" s="13" t="s">
        <v>10</v>
      </c>
      <c r="D85" s="22">
        <v>1E-14</v>
      </c>
      <c r="E85" s="22">
        <v>1E-14</v>
      </c>
      <c r="F85" s="22">
        <v>1E-14</v>
      </c>
      <c r="G85" s="22">
        <v>1E-14</v>
      </c>
      <c r="H85" s="22">
        <v>1E-14</v>
      </c>
      <c r="I85" s="22">
        <v>1E-14</v>
      </c>
      <c r="J85" s="22">
        <v>1E-14</v>
      </c>
      <c r="K85" s="22">
        <v>1E-14</v>
      </c>
      <c r="L85" s="22">
        <v>1E-14</v>
      </c>
      <c r="M85" s="22">
        <v>1E-14</v>
      </c>
      <c r="N85" s="22">
        <v>1E-14</v>
      </c>
      <c r="O85" s="22">
        <v>1E-14</v>
      </c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</row>
    <row r="86" spans="1:27" outlineLevel="1" x14ac:dyDescent="0.25">
      <c r="A86" s="22">
        <f t="shared" si="2"/>
        <v>1.1999999999999997E-13</v>
      </c>
      <c r="B86" s="72" t="s">
        <v>81</v>
      </c>
      <c r="C86" s="13" t="s">
        <v>11</v>
      </c>
      <c r="D86" s="22">
        <v>1E-14</v>
      </c>
      <c r="E86" s="22">
        <v>1E-14</v>
      </c>
      <c r="F86" s="22">
        <v>1E-14</v>
      </c>
      <c r="G86" s="22">
        <v>1E-14</v>
      </c>
      <c r="H86" s="22">
        <v>1E-14</v>
      </c>
      <c r="I86" s="22">
        <v>1E-14</v>
      </c>
      <c r="J86" s="22">
        <v>1E-14</v>
      </c>
      <c r="K86" s="22">
        <v>1E-14</v>
      </c>
      <c r="L86" s="22">
        <v>1E-14</v>
      </c>
      <c r="M86" s="22">
        <v>1E-14</v>
      </c>
      <c r="N86" s="22">
        <v>1E-14</v>
      </c>
      <c r="O86" s="22">
        <v>1E-14</v>
      </c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</row>
    <row r="87" spans="1:27" outlineLevel="1" x14ac:dyDescent="0.25">
      <c r="A87" s="22">
        <f t="shared" si="2"/>
        <v>1.1999999999999997E-13</v>
      </c>
      <c r="B87" s="72" t="s">
        <v>81</v>
      </c>
      <c r="C87" s="13" t="s">
        <v>12</v>
      </c>
      <c r="D87" s="22">
        <v>1E-14</v>
      </c>
      <c r="E87" s="22">
        <v>1E-14</v>
      </c>
      <c r="F87" s="22">
        <v>1E-14</v>
      </c>
      <c r="G87" s="22">
        <v>1E-14</v>
      </c>
      <c r="H87" s="22">
        <v>1E-14</v>
      </c>
      <c r="I87" s="22">
        <v>1E-14</v>
      </c>
      <c r="J87" s="22">
        <v>1E-14</v>
      </c>
      <c r="K87" s="22">
        <v>1E-14</v>
      </c>
      <c r="L87" s="22">
        <v>1E-14</v>
      </c>
      <c r="M87" s="22">
        <v>1E-14</v>
      </c>
      <c r="N87" s="22">
        <v>1E-14</v>
      </c>
      <c r="O87" s="22">
        <v>1E-14</v>
      </c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</row>
    <row r="88" spans="1:27" outlineLevel="1" x14ac:dyDescent="0.25">
      <c r="A88" s="22">
        <f t="shared" si="2"/>
        <v>1.1999999999999997E-13</v>
      </c>
      <c r="B88" s="72" t="s">
        <v>81</v>
      </c>
      <c r="C88" s="13" t="s">
        <v>13</v>
      </c>
      <c r="D88" s="22">
        <v>1E-14</v>
      </c>
      <c r="E88" s="22">
        <v>1E-14</v>
      </c>
      <c r="F88" s="22">
        <v>1E-14</v>
      </c>
      <c r="G88" s="22">
        <v>1E-14</v>
      </c>
      <c r="H88" s="22">
        <v>1E-14</v>
      </c>
      <c r="I88" s="22">
        <v>1E-14</v>
      </c>
      <c r="J88" s="22">
        <v>1E-14</v>
      </c>
      <c r="K88" s="22">
        <v>1E-14</v>
      </c>
      <c r="L88" s="22">
        <v>1E-14</v>
      </c>
      <c r="M88" s="22">
        <v>1E-14</v>
      </c>
      <c r="N88" s="22">
        <v>1E-14</v>
      </c>
      <c r="O88" s="22">
        <v>1E-14</v>
      </c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</row>
    <row r="89" spans="1:27" outlineLevel="1" x14ac:dyDescent="0.25">
      <c r="A89" s="22">
        <f t="shared" si="2"/>
        <v>16000000.000000007</v>
      </c>
      <c r="B89" s="72" t="s">
        <v>81</v>
      </c>
      <c r="C89" s="13" t="s">
        <v>14</v>
      </c>
      <c r="D89" s="22">
        <v>1333466.6666666667</v>
      </c>
      <c r="E89" s="22">
        <v>1333200.0000000016</v>
      </c>
      <c r="F89" s="22">
        <v>1333333.3333333335</v>
      </c>
      <c r="G89" s="22">
        <v>1333333.3333333335</v>
      </c>
      <c r="H89" s="22">
        <v>1333333.3333333335</v>
      </c>
      <c r="I89" s="22">
        <v>1333333.3333333335</v>
      </c>
      <c r="J89" s="22">
        <v>1333333.3333333335</v>
      </c>
      <c r="K89" s="22">
        <v>1333333.3333333335</v>
      </c>
      <c r="L89" s="22">
        <v>1333333.3333333335</v>
      </c>
      <c r="M89" s="22">
        <v>1333333.3333333335</v>
      </c>
      <c r="N89" s="22">
        <v>1333333.3333333335</v>
      </c>
      <c r="O89" s="22">
        <v>1333333.3333333335</v>
      </c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</row>
    <row r="90" spans="1:27" outlineLevel="1" x14ac:dyDescent="0.25">
      <c r="A90" s="22">
        <f t="shared" si="2"/>
        <v>1.1999999999999997E-13</v>
      </c>
      <c r="B90" s="72" t="s">
        <v>81</v>
      </c>
      <c r="C90" s="13" t="s">
        <v>15</v>
      </c>
      <c r="D90" s="22">
        <v>1E-14</v>
      </c>
      <c r="E90" s="22">
        <v>1E-14</v>
      </c>
      <c r="F90" s="22">
        <v>1E-14</v>
      </c>
      <c r="G90" s="22">
        <v>1E-14</v>
      </c>
      <c r="H90" s="22">
        <v>1E-14</v>
      </c>
      <c r="I90" s="22">
        <v>1E-14</v>
      </c>
      <c r="J90" s="22">
        <v>1E-14</v>
      </c>
      <c r="K90" s="22">
        <v>1E-14</v>
      </c>
      <c r="L90" s="22">
        <v>1E-14</v>
      </c>
      <c r="M90" s="22">
        <v>1E-14</v>
      </c>
      <c r="N90" s="22">
        <v>1E-14</v>
      </c>
      <c r="O90" s="22">
        <v>1E-14</v>
      </c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</row>
    <row r="91" spans="1:27" outlineLevel="1" x14ac:dyDescent="0.25">
      <c r="A91" s="22">
        <f t="shared" si="2"/>
        <v>1.1999999999999997E-13</v>
      </c>
      <c r="B91" s="72" t="s">
        <v>81</v>
      </c>
      <c r="C91" s="13" t="s">
        <v>16</v>
      </c>
      <c r="D91" s="22">
        <v>1E-14</v>
      </c>
      <c r="E91" s="22">
        <v>1E-14</v>
      </c>
      <c r="F91" s="22">
        <v>1E-14</v>
      </c>
      <c r="G91" s="22">
        <v>1E-14</v>
      </c>
      <c r="H91" s="22">
        <v>1E-14</v>
      </c>
      <c r="I91" s="22">
        <v>1E-14</v>
      </c>
      <c r="J91" s="22">
        <v>1E-14</v>
      </c>
      <c r="K91" s="22">
        <v>1E-14</v>
      </c>
      <c r="L91" s="22">
        <v>1E-14</v>
      </c>
      <c r="M91" s="22">
        <v>1E-14</v>
      </c>
      <c r="N91" s="22">
        <v>1E-14</v>
      </c>
      <c r="O91" s="22">
        <v>1E-14</v>
      </c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</row>
    <row r="92" spans="1:27" outlineLevel="1" x14ac:dyDescent="0.25">
      <c r="A92" s="22">
        <f t="shared" si="2"/>
        <v>1.1999999999999997E-13</v>
      </c>
      <c r="B92" s="72" t="s">
        <v>81</v>
      </c>
      <c r="C92" s="13" t="s">
        <v>18</v>
      </c>
      <c r="D92" s="22">
        <v>1E-14</v>
      </c>
      <c r="E92" s="22">
        <v>1E-14</v>
      </c>
      <c r="F92" s="22">
        <v>1E-14</v>
      </c>
      <c r="G92" s="22">
        <v>1E-14</v>
      </c>
      <c r="H92" s="22">
        <v>1E-14</v>
      </c>
      <c r="I92" s="22">
        <v>1E-14</v>
      </c>
      <c r="J92" s="22">
        <v>1E-14</v>
      </c>
      <c r="K92" s="22">
        <v>1E-14</v>
      </c>
      <c r="L92" s="22">
        <v>1E-14</v>
      </c>
      <c r="M92" s="22">
        <v>1E-14</v>
      </c>
      <c r="N92" s="22">
        <v>1E-14</v>
      </c>
      <c r="O92" s="22">
        <v>1E-14</v>
      </c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</row>
    <row r="93" spans="1:27" outlineLevel="1" x14ac:dyDescent="0.25">
      <c r="A93" s="22">
        <f t="shared" si="2"/>
        <v>1.1999999999999997E-13</v>
      </c>
      <c r="B93" s="72" t="s">
        <v>81</v>
      </c>
      <c r="C93" s="13" t="s">
        <v>19</v>
      </c>
      <c r="D93" s="22">
        <v>1E-14</v>
      </c>
      <c r="E93" s="22">
        <v>1E-14</v>
      </c>
      <c r="F93" s="22">
        <v>1E-14</v>
      </c>
      <c r="G93" s="22">
        <v>1E-14</v>
      </c>
      <c r="H93" s="22">
        <v>1E-14</v>
      </c>
      <c r="I93" s="22">
        <v>1E-14</v>
      </c>
      <c r="J93" s="22">
        <v>1E-14</v>
      </c>
      <c r="K93" s="22">
        <v>1E-14</v>
      </c>
      <c r="L93" s="22">
        <v>1E-14</v>
      </c>
      <c r="M93" s="22">
        <v>1E-14</v>
      </c>
      <c r="N93" s="22">
        <v>1E-14</v>
      </c>
      <c r="O93" s="22">
        <v>1E-14</v>
      </c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</row>
    <row r="94" spans="1:27" outlineLevel="1" x14ac:dyDescent="0.25">
      <c r="A94" s="22">
        <f t="shared" si="2"/>
        <v>1.1999999999999997E-13</v>
      </c>
      <c r="B94" s="72" t="s">
        <v>81</v>
      </c>
      <c r="C94" s="13" t="s">
        <v>20</v>
      </c>
      <c r="D94" s="22">
        <v>1E-14</v>
      </c>
      <c r="E94" s="22">
        <v>1E-14</v>
      </c>
      <c r="F94" s="22">
        <v>1E-14</v>
      </c>
      <c r="G94" s="22">
        <v>1E-14</v>
      </c>
      <c r="H94" s="22">
        <v>1E-14</v>
      </c>
      <c r="I94" s="22">
        <v>1E-14</v>
      </c>
      <c r="J94" s="22">
        <v>1E-14</v>
      </c>
      <c r="K94" s="22">
        <v>1E-14</v>
      </c>
      <c r="L94" s="22">
        <v>1E-14</v>
      </c>
      <c r="M94" s="22">
        <v>1E-14</v>
      </c>
      <c r="N94" s="22">
        <v>1E-14</v>
      </c>
      <c r="O94" s="22">
        <v>1E-14</v>
      </c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</row>
    <row r="95" spans="1:27" outlineLevel="1" x14ac:dyDescent="0.25">
      <c r="A95" s="22">
        <f t="shared" si="2"/>
        <v>1.1999999999999997E-13</v>
      </c>
      <c r="B95" s="72" t="s">
        <v>81</v>
      </c>
      <c r="C95" s="13" t="s">
        <v>17</v>
      </c>
      <c r="D95" s="22">
        <v>1E-14</v>
      </c>
      <c r="E95" s="22">
        <v>1E-14</v>
      </c>
      <c r="F95" s="22">
        <v>1E-14</v>
      </c>
      <c r="G95" s="22">
        <v>1E-14</v>
      </c>
      <c r="H95" s="22">
        <v>1E-14</v>
      </c>
      <c r="I95" s="22">
        <v>1E-14</v>
      </c>
      <c r="J95" s="22">
        <v>1E-14</v>
      </c>
      <c r="K95" s="22">
        <v>1E-14</v>
      </c>
      <c r="L95" s="22">
        <v>1E-14</v>
      </c>
      <c r="M95" s="22">
        <v>1E-14</v>
      </c>
      <c r="N95" s="22">
        <v>1E-14</v>
      </c>
      <c r="O95" s="22">
        <v>1E-14</v>
      </c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</row>
    <row r="96" spans="1:27" outlineLevel="1" x14ac:dyDescent="0.25">
      <c r="A96" s="22">
        <f t="shared" si="2"/>
        <v>-735823.36192228738</v>
      </c>
      <c r="B96" s="72" t="s">
        <v>81</v>
      </c>
      <c r="C96" s="13" t="s">
        <v>43</v>
      </c>
      <c r="D96" s="22">
        <v>-61318.613493523961</v>
      </c>
      <c r="E96" s="22">
        <v>-61318.613493523961</v>
      </c>
      <c r="F96" s="22">
        <v>-61318.613493523961</v>
      </c>
      <c r="G96" s="22">
        <v>-61318.613493523961</v>
      </c>
      <c r="H96" s="22">
        <v>-61318.613493523961</v>
      </c>
      <c r="I96" s="22">
        <v>-61318.613493523961</v>
      </c>
      <c r="J96" s="22">
        <v>-61318.613493523953</v>
      </c>
      <c r="K96" s="22">
        <v>-61318.613493523953</v>
      </c>
      <c r="L96" s="22">
        <v>-61318.613493523961</v>
      </c>
      <c r="M96" s="22">
        <v>-61318.613493523961</v>
      </c>
      <c r="N96" s="22">
        <v>-61318.613493523961</v>
      </c>
      <c r="O96" s="22">
        <v>-61318.613493523961</v>
      </c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</row>
    <row r="97" spans="1:27" outlineLevel="1" x14ac:dyDescent="0.25">
      <c r="A97" s="22">
        <f t="shared" si="2"/>
        <v>18000000</v>
      </c>
      <c r="B97" s="72" t="s">
        <v>81</v>
      </c>
      <c r="C97" s="13" t="s">
        <v>44</v>
      </c>
      <c r="D97" s="22">
        <v>1500000</v>
      </c>
      <c r="E97" s="22">
        <v>1500000</v>
      </c>
      <c r="F97" s="22">
        <v>1500000</v>
      </c>
      <c r="G97" s="22">
        <v>1500000</v>
      </c>
      <c r="H97" s="22">
        <v>1500000</v>
      </c>
      <c r="I97" s="22">
        <v>1500000</v>
      </c>
      <c r="J97" s="22">
        <v>1500000</v>
      </c>
      <c r="K97" s="22">
        <v>1499999.9999999988</v>
      </c>
      <c r="L97" s="22">
        <v>1500000</v>
      </c>
      <c r="M97" s="22">
        <v>1500000</v>
      </c>
      <c r="N97" s="22">
        <v>1500000</v>
      </c>
      <c r="O97" s="22">
        <v>1500000</v>
      </c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</row>
    <row r="98" spans="1:27" outlineLevel="1" x14ac:dyDescent="0.25">
      <c r="A98" s="22">
        <f t="shared" si="2"/>
        <v>1.1999999999999997E-13</v>
      </c>
      <c r="B98" s="72" t="s">
        <v>81</v>
      </c>
      <c r="C98" s="13" t="s">
        <v>91</v>
      </c>
      <c r="D98" s="22">
        <v>1E-14</v>
      </c>
      <c r="E98" s="22">
        <v>1E-14</v>
      </c>
      <c r="F98" s="22">
        <v>1E-14</v>
      </c>
      <c r="G98" s="22">
        <v>1E-14</v>
      </c>
      <c r="H98" s="22">
        <v>1E-14</v>
      </c>
      <c r="I98" s="22">
        <v>1E-14</v>
      </c>
      <c r="J98" s="22">
        <v>1E-14</v>
      </c>
      <c r="K98" s="22">
        <v>1E-14</v>
      </c>
      <c r="L98" s="22">
        <v>1E-14</v>
      </c>
      <c r="M98" s="22">
        <v>1E-14</v>
      </c>
      <c r="N98" s="22">
        <v>1E-14</v>
      </c>
      <c r="O98" s="22">
        <v>1E-14</v>
      </c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</row>
    <row r="99" spans="1:27" outlineLevel="1" x14ac:dyDescent="0.25">
      <c r="A99" s="22">
        <f t="shared" si="2"/>
        <v>1.1999999999999997E-13</v>
      </c>
      <c r="B99" s="72" t="s">
        <v>81</v>
      </c>
      <c r="C99" s="13" t="s">
        <v>92</v>
      </c>
      <c r="D99" s="22">
        <v>1E-14</v>
      </c>
      <c r="E99" s="22">
        <v>1E-14</v>
      </c>
      <c r="F99" s="22">
        <v>1E-14</v>
      </c>
      <c r="G99" s="22">
        <v>1E-14</v>
      </c>
      <c r="H99" s="22">
        <v>1E-14</v>
      </c>
      <c r="I99" s="22">
        <v>1E-14</v>
      </c>
      <c r="J99" s="22">
        <v>1E-14</v>
      </c>
      <c r="K99" s="22">
        <v>1E-14</v>
      </c>
      <c r="L99" s="22">
        <v>1E-14</v>
      </c>
      <c r="M99" s="22">
        <v>1E-14</v>
      </c>
      <c r="N99" s="22">
        <v>1E-14</v>
      </c>
      <c r="O99" s="22">
        <v>1E-14</v>
      </c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</row>
    <row r="100" spans="1:27" outlineLevel="1" x14ac:dyDescent="0.25">
      <c r="A100" s="22">
        <f t="shared" si="2"/>
        <v>1.1999999999999997E-13</v>
      </c>
      <c r="B100" s="72" t="s">
        <v>81</v>
      </c>
      <c r="C100" s="13" t="s">
        <v>93</v>
      </c>
      <c r="D100" s="22">
        <v>1E-14</v>
      </c>
      <c r="E100" s="22">
        <v>1E-14</v>
      </c>
      <c r="F100" s="22">
        <v>1E-14</v>
      </c>
      <c r="G100" s="22">
        <v>1E-14</v>
      </c>
      <c r="H100" s="22">
        <v>1E-14</v>
      </c>
      <c r="I100" s="22">
        <v>1E-14</v>
      </c>
      <c r="J100" s="22">
        <v>1E-14</v>
      </c>
      <c r="K100" s="22">
        <v>1E-14</v>
      </c>
      <c r="L100" s="22">
        <v>1E-14</v>
      </c>
      <c r="M100" s="22">
        <v>1E-14</v>
      </c>
      <c r="N100" s="22">
        <v>1E-14</v>
      </c>
      <c r="O100" s="22">
        <v>1E-14</v>
      </c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</row>
    <row r="101" spans="1:27" outlineLevel="1" x14ac:dyDescent="0.25">
      <c r="B101" s="72" t="s">
        <v>81</v>
      </c>
      <c r="C101" s="13" t="s">
        <v>21</v>
      </c>
      <c r="D101" s="22">
        <v>-1654305.882352941</v>
      </c>
      <c r="E101" s="22">
        <v>-1494211.7647058822</v>
      </c>
      <c r="F101" s="22">
        <v>-1654305.882352941</v>
      </c>
      <c r="G101" s="22">
        <v>-377401.18018803804</v>
      </c>
      <c r="H101" s="22">
        <v>1E-14</v>
      </c>
      <c r="I101" s="22">
        <v>1E-14</v>
      </c>
      <c r="J101" s="22">
        <v>1E-14</v>
      </c>
      <c r="K101" s="22">
        <v>1E-14</v>
      </c>
      <c r="L101" s="22">
        <v>1E-14</v>
      </c>
      <c r="M101" s="22">
        <v>-284687.94489392114</v>
      </c>
      <c r="N101" s="22">
        <v>-1600941.1764705882</v>
      </c>
      <c r="O101" s="22">
        <v>-1654305.882352941</v>
      </c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</row>
    <row r="102" spans="1:27" s="26" customFormat="1" outlineLevel="1" x14ac:dyDescent="0.25">
      <c r="B102" s="72" t="s">
        <v>81</v>
      </c>
      <c r="C102" s="13" t="s">
        <v>22</v>
      </c>
      <c r="D102" s="22">
        <v>-199999.99999999997</v>
      </c>
      <c r="E102" s="22">
        <v>1E-14</v>
      </c>
      <c r="F102" s="22">
        <v>1E-14</v>
      </c>
      <c r="G102" s="22">
        <v>1E-14</v>
      </c>
      <c r="H102" s="22">
        <v>1E-14</v>
      </c>
      <c r="I102" s="22">
        <v>1E-14</v>
      </c>
      <c r="J102" s="22">
        <v>1E-14</v>
      </c>
      <c r="K102" s="22">
        <v>1E-14</v>
      </c>
      <c r="L102" s="22">
        <v>1E-14</v>
      </c>
      <c r="M102" s="22">
        <v>1E-14</v>
      </c>
      <c r="N102" s="22">
        <v>-75000</v>
      </c>
      <c r="O102" s="22">
        <v>-280000</v>
      </c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</row>
    <row r="103" spans="1:27" s="26" customFormat="1" outlineLevel="1" x14ac:dyDescent="0.25">
      <c r="B103" s="72" t="s">
        <v>81</v>
      </c>
      <c r="C103" s="13" t="s">
        <v>42</v>
      </c>
      <c r="D103" s="22">
        <v>-2045048.5944976085</v>
      </c>
      <c r="E103" s="22">
        <v>-2700523.0263157869</v>
      </c>
      <c r="F103" s="22">
        <v>-1308973.8337320585</v>
      </c>
      <c r="G103" s="22">
        <v>1E-14</v>
      </c>
      <c r="H103" s="22">
        <v>1E-14</v>
      </c>
      <c r="I103" s="22">
        <v>1E-14</v>
      </c>
      <c r="J103" s="22">
        <v>1E-14</v>
      </c>
      <c r="K103" s="22">
        <v>1E-14</v>
      </c>
      <c r="L103" s="22">
        <v>1E-14</v>
      </c>
      <c r="M103" s="22">
        <v>1E-14</v>
      </c>
      <c r="N103" s="22">
        <v>1E-14</v>
      </c>
      <c r="O103" s="22">
        <v>-449882.92464114964</v>
      </c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</row>
    <row r="104" spans="1:27" s="26" customFormat="1" outlineLevel="1" x14ac:dyDescent="0.25">
      <c r="B104" s="69"/>
      <c r="C104" s="11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</row>
    <row r="105" spans="1:27" s="26" customFormat="1" outlineLevel="1" x14ac:dyDescent="0.25">
      <c r="B105" s="69"/>
      <c r="C105" s="11"/>
    </row>
    <row r="106" spans="1:27" x14ac:dyDescent="0.25">
      <c r="A106" s="24" t="s">
        <v>46</v>
      </c>
      <c r="B106" s="24"/>
      <c r="C106" s="64"/>
      <c r="D106" s="21" t="s">
        <v>165</v>
      </c>
      <c r="E106" s="21" t="s">
        <v>166</v>
      </c>
      <c r="F106" s="21" t="s">
        <v>167</v>
      </c>
      <c r="G106" s="21" t="s">
        <v>155</v>
      </c>
      <c r="H106" s="21" t="s">
        <v>156</v>
      </c>
      <c r="I106" s="21" t="s">
        <v>157</v>
      </c>
      <c r="J106" s="21" t="s">
        <v>158</v>
      </c>
      <c r="K106" s="21" t="s">
        <v>159</v>
      </c>
      <c r="L106" s="21" t="s">
        <v>160</v>
      </c>
      <c r="M106" s="21" t="s">
        <v>161</v>
      </c>
      <c r="N106" s="21" t="s">
        <v>162</v>
      </c>
      <c r="O106" s="21" t="s">
        <v>163</v>
      </c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</row>
    <row r="107" spans="1:27" outlineLevel="1" x14ac:dyDescent="0.25">
      <c r="C107" s="10" t="s">
        <v>27</v>
      </c>
      <c r="D107" s="66">
        <v>8.9226297718355885E-2</v>
      </c>
      <c r="E107" s="66">
        <v>0.29843903596595867</v>
      </c>
      <c r="F107" s="66">
        <v>8.9143766120544227E-2</v>
      </c>
      <c r="G107" s="66">
        <v>0.12745388151449347</v>
      </c>
      <c r="H107" s="66">
        <v>0.67443260616079337</v>
      </c>
      <c r="I107" s="66">
        <v>0.67522891042412414</v>
      </c>
      <c r="J107" s="66">
        <v>0.71250000000000002</v>
      </c>
      <c r="K107" s="66">
        <v>0.71250000000000002</v>
      </c>
      <c r="L107" s="66">
        <v>0.67522891042412414</v>
      </c>
      <c r="M107" s="66">
        <v>7.3640502447406109E-2</v>
      </c>
      <c r="N107" s="66">
        <v>0.15428627762280786</v>
      </c>
      <c r="O107" s="66">
        <v>8.9143766120544227E-2</v>
      </c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</row>
    <row r="108" spans="1:27" outlineLevel="1" x14ac:dyDescent="0.25">
      <c r="C108" s="10" t="s">
        <v>28</v>
      </c>
      <c r="D108" s="66">
        <v>0.86635249859643937</v>
      </c>
      <c r="E108" s="66">
        <v>0.86776973058891493</v>
      </c>
      <c r="F108" s="66">
        <v>0.86635249859643915</v>
      </c>
      <c r="G108" s="66">
        <v>0.86679341521632058</v>
      </c>
      <c r="H108" s="66">
        <v>0.43665683368450664</v>
      </c>
      <c r="I108" s="66">
        <v>0.46103592511035385</v>
      </c>
      <c r="J108" s="66">
        <v>0.63807134133379273</v>
      </c>
      <c r="K108" s="66">
        <v>0.63807134133379251</v>
      </c>
      <c r="L108" s="66">
        <v>0.46103592511035385</v>
      </c>
      <c r="M108" s="66">
        <v>0.86635249859643915</v>
      </c>
      <c r="N108" s="66">
        <v>0.86679341521632081</v>
      </c>
      <c r="O108" s="66">
        <v>0.86635249859643915</v>
      </c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</row>
    <row r="109" spans="1:27" outlineLevel="1" x14ac:dyDescent="0.25">
      <c r="C109" s="10" t="s">
        <v>29</v>
      </c>
      <c r="D109" s="66">
        <v>1</v>
      </c>
      <c r="E109" s="66">
        <v>1</v>
      </c>
      <c r="F109" s="66">
        <v>1</v>
      </c>
      <c r="G109" s="66">
        <v>0.2357370687535511</v>
      </c>
      <c r="H109" s="66">
        <v>1E-14</v>
      </c>
      <c r="I109" s="66">
        <v>1E-14</v>
      </c>
      <c r="J109" s="66">
        <v>1E-14</v>
      </c>
      <c r="K109" s="66">
        <v>1E-14</v>
      </c>
      <c r="L109" s="66">
        <v>1E-14</v>
      </c>
      <c r="M109" s="66">
        <v>0.17208906039130184</v>
      </c>
      <c r="N109" s="66">
        <v>1</v>
      </c>
      <c r="O109" s="66">
        <v>1</v>
      </c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</row>
    <row r="110" spans="1:27" outlineLevel="1" x14ac:dyDescent="0.25">
      <c r="C110" s="10" t="s">
        <v>108</v>
      </c>
      <c r="D110" s="66">
        <v>1</v>
      </c>
      <c r="E110" s="66">
        <v>1E-14</v>
      </c>
      <c r="F110" s="66">
        <v>1E-14</v>
      </c>
      <c r="G110" s="66">
        <v>1E-14</v>
      </c>
      <c r="H110" s="66">
        <v>1E-14</v>
      </c>
      <c r="I110" s="66">
        <v>1E-14</v>
      </c>
      <c r="J110" s="66">
        <v>1E-14</v>
      </c>
      <c r="K110" s="66">
        <v>1E-14</v>
      </c>
      <c r="L110" s="66">
        <v>1E-14</v>
      </c>
      <c r="M110" s="66">
        <v>1E-14</v>
      </c>
      <c r="N110" s="66">
        <v>1</v>
      </c>
      <c r="O110" s="66">
        <v>1</v>
      </c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</row>
    <row r="111" spans="1:27" outlineLevel="1" x14ac:dyDescent="0.25">
      <c r="C111" s="10" t="s">
        <v>31</v>
      </c>
      <c r="D111" s="66">
        <v>1E-14</v>
      </c>
      <c r="E111" s="66">
        <v>1E-14</v>
      </c>
      <c r="F111" s="66">
        <v>1E-14</v>
      </c>
      <c r="G111" s="66">
        <v>1E-14</v>
      </c>
      <c r="H111" s="66">
        <v>0.15272797450687753</v>
      </c>
      <c r="I111" s="66">
        <v>0.66846358291636609</v>
      </c>
      <c r="J111" s="66">
        <v>0.67396412577861997</v>
      </c>
      <c r="K111" s="66">
        <v>0.71876699316213211</v>
      </c>
      <c r="L111" s="66">
        <v>0.62216728662006981</v>
      </c>
      <c r="M111" s="66">
        <v>1E-14</v>
      </c>
      <c r="N111" s="66">
        <v>1E-14</v>
      </c>
      <c r="O111" s="66">
        <v>1E-14</v>
      </c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</row>
    <row r="112" spans="1:27" outlineLevel="1" x14ac:dyDescent="0.25">
      <c r="C112" s="10" t="s">
        <v>30</v>
      </c>
      <c r="D112" s="66">
        <v>6.7190963379551064E-2</v>
      </c>
      <c r="E112" s="66">
        <v>9.8233311142439342E-2</v>
      </c>
      <c r="F112" s="66">
        <v>4.300690612620265E-2</v>
      </c>
      <c r="G112" s="66">
        <v>1E-14</v>
      </c>
      <c r="H112" s="66">
        <v>1E-14</v>
      </c>
      <c r="I112" s="66">
        <v>1E-14</v>
      </c>
      <c r="J112" s="66">
        <v>1E-14</v>
      </c>
      <c r="K112" s="66">
        <v>1E-14</v>
      </c>
      <c r="L112" s="66">
        <v>1E-14</v>
      </c>
      <c r="M112" s="66">
        <v>1E-14</v>
      </c>
      <c r="N112" s="66">
        <v>1E-14</v>
      </c>
      <c r="O112" s="66">
        <v>1.4781099674589744E-2</v>
      </c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</row>
  </sheetData>
  <phoneticPr fontId="12" type="noConversion"/>
  <conditionalFormatting sqref="D35:AA40">
    <cfRule type="colorScale" priority="46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75:A100">
    <cfRule type="cellIs" dxfId="38" priority="52" operator="lessThan">
      <formula>0.0000000000012</formula>
    </cfRule>
  </conditionalFormatting>
  <conditionalFormatting sqref="D107:AA112">
    <cfRule type="cellIs" dxfId="37" priority="51" operator="lessThan">
      <formula>0.0000000000001</formula>
    </cfRule>
  </conditionalFormatting>
  <conditionalFormatting sqref="D75:AA104">
    <cfRule type="colorScale" priority="44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43:AA73">
    <cfRule type="colorScale" priority="64">
      <colorScale>
        <cfvo type="min"/>
        <cfvo type="max"/>
        <color rgb="FFFCFCFF"/>
        <color rgb="FF63BE7B"/>
      </colorScale>
    </cfRule>
  </conditionalFormatting>
  <conditionalFormatting sqref="A43:A71 A75:A100 C75:AA100 C43:AA71 C8:O8 C14 A16:A17 D101:AA104 C101:C103 C12:O12 A12 C16:O17 C20:AA22 C7:AA7 A20:A22 A24:A26 C24:AA26 A7:A9">
    <cfRule type="cellIs" dxfId="36" priority="49" operator="between">
      <formula>-0.0000000000001</formula>
      <formula>0.0000000000001</formula>
    </cfRule>
  </conditionalFormatting>
  <conditionalFormatting sqref="A75:A100">
    <cfRule type="colorScale" priority="43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43:A71">
    <cfRule type="colorScale" priority="42">
      <colorScale>
        <cfvo type="min"/>
        <cfvo type="max"/>
        <color rgb="FFFCFCFF"/>
        <color rgb="FF63BE7B"/>
      </colorScale>
    </cfRule>
  </conditionalFormatting>
  <conditionalFormatting sqref="A35:A40">
    <cfRule type="colorScale" priority="41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35" priority="39" operator="between">
      <formula>-0.0000000000001</formula>
      <formula>0.0000000000001</formula>
    </cfRule>
  </conditionalFormatting>
  <conditionalFormatting sqref="P8:AA8 P22:AA22 P16:AA17 P12:AA12 P24:AA25">
    <cfRule type="cellIs" dxfId="34" priority="38" operator="between">
      <formula>-0.0000000000001</formula>
      <formula>0.0000000000001</formula>
    </cfRule>
  </conditionalFormatting>
  <conditionalFormatting sqref="A14 C14:O14">
    <cfRule type="cellIs" dxfId="33" priority="37" operator="between">
      <formula>-0.0000000000001</formula>
      <formula>0.0000000000001</formula>
    </cfRule>
  </conditionalFormatting>
  <conditionalFormatting sqref="P14:AA14">
    <cfRule type="cellIs" dxfId="32" priority="36" operator="between">
      <formula>-0.0000000000001</formula>
      <formula>0.0000000000001</formula>
    </cfRule>
  </conditionalFormatting>
  <conditionalFormatting sqref="C7:O7 A7">
    <cfRule type="cellIs" dxfId="31" priority="35" operator="between">
      <formula>-0.0000000000001</formula>
      <formula>0.0000000000001</formula>
    </cfRule>
  </conditionalFormatting>
  <conditionalFormatting sqref="P7:AA7">
    <cfRule type="cellIs" dxfId="30" priority="34" operator="between">
      <formula>-0.0000000000001</formula>
      <formula>0.0000000000001</formula>
    </cfRule>
  </conditionalFormatting>
  <conditionalFormatting sqref="C12">
    <cfRule type="cellIs" dxfId="29" priority="33" operator="between">
      <formula>-0.0000000000001</formula>
      <formula>0.0000000000001</formula>
    </cfRule>
  </conditionalFormatting>
  <conditionalFormatting sqref="C13">
    <cfRule type="cellIs" dxfId="28" priority="31" operator="between">
      <formula>-0.0000000000001</formula>
      <formula>0.0000000000001</formula>
    </cfRule>
  </conditionalFormatting>
  <conditionalFormatting sqref="A13 C13:O13">
    <cfRule type="cellIs" dxfId="27" priority="30" operator="between">
      <formula>-0.0000000000001</formula>
      <formula>0.0000000000001</formula>
    </cfRule>
  </conditionalFormatting>
  <conditionalFormatting sqref="P13:AA13">
    <cfRule type="cellIs" dxfId="26" priority="29" operator="between">
      <formula>-0.0000000000001</formula>
      <formula>0.0000000000001</formula>
    </cfRule>
  </conditionalFormatting>
  <conditionalFormatting sqref="C18:O19 A18:A19">
    <cfRule type="cellIs" dxfId="25" priority="28" operator="between">
      <formula>-0.0000000000001</formula>
      <formula>0.0000000000001</formula>
    </cfRule>
  </conditionalFormatting>
  <conditionalFormatting sqref="P18:AA19">
    <cfRule type="cellIs" dxfId="24" priority="27" operator="between">
      <formula>-0.0000000000001</formula>
      <formula>0.0000000000001</formula>
    </cfRule>
  </conditionalFormatting>
  <conditionalFormatting sqref="C28:O29 A28:A29 A31 C31:AA31">
    <cfRule type="cellIs" dxfId="23" priority="26" operator="between">
      <formula>-0.0000000000001</formula>
      <formula>0.0000000000001</formula>
    </cfRule>
  </conditionalFormatting>
  <conditionalFormatting sqref="P28:AA29">
    <cfRule type="cellIs" dxfId="22" priority="25" operator="between">
      <formula>-0.0000000000001</formula>
      <formula>0.0000000000001</formula>
    </cfRule>
  </conditionalFormatting>
  <conditionalFormatting sqref="C30:O30 A30">
    <cfRule type="cellIs" dxfId="21" priority="24" operator="between">
      <formula>-0.0000000000001</formula>
      <formula>0.0000000000001</formula>
    </cfRule>
  </conditionalFormatting>
  <conditionalFormatting sqref="P30:AA30">
    <cfRule type="cellIs" dxfId="20" priority="23" operator="between">
      <formula>-0.0000000000001</formula>
      <formula>0.0000000000001</formula>
    </cfRule>
  </conditionalFormatting>
  <conditionalFormatting sqref="C10:O10">
    <cfRule type="cellIs" dxfId="19" priority="22" operator="between">
      <formula>-0.0000000000001</formula>
      <formula>0.0000000000001</formula>
    </cfRule>
  </conditionalFormatting>
  <conditionalFormatting sqref="P10:AA10">
    <cfRule type="cellIs" dxfId="18" priority="21" operator="between">
      <formula>-0.0000000000001</formula>
      <formula>0.0000000000001</formula>
    </cfRule>
  </conditionalFormatting>
  <conditionalFormatting sqref="C10">
    <cfRule type="cellIs" dxfId="17" priority="20" operator="between">
      <formula>-0.0000000000001</formula>
      <formula>0.0000000000001</formula>
    </cfRule>
  </conditionalFormatting>
  <conditionalFormatting sqref="A32 C32:O32">
    <cfRule type="cellIs" dxfId="16" priority="19" operator="between">
      <formula>-0.0000000000001</formula>
      <formula>0.0000000000001</formula>
    </cfRule>
  </conditionalFormatting>
  <conditionalFormatting sqref="P32:AA32">
    <cfRule type="cellIs" dxfId="15" priority="18" operator="between">
      <formula>-0.0000000000001</formula>
      <formula>0.0000000000001</formula>
    </cfRule>
  </conditionalFormatting>
  <conditionalFormatting sqref="C11:O11 A11">
    <cfRule type="cellIs" dxfId="14" priority="17" operator="between">
      <formula>-0.0000000000001</formula>
      <formula>0.0000000000001</formula>
    </cfRule>
  </conditionalFormatting>
  <conditionalFormatting sqref="P11:AA11">
    <cfRule type="cellIs" dxfId="13" priority="16" operator="between">
      <formula>-0.0000000000001</formula>
      <formula>0.0000000000001</formula>
    </cfRule>
  </conditionalFormatting>
  <conditionalFormatting sqref="C11">
    <cfRule type="cellIs" dxfId="12" priority="15" operator="between">
      <formula>-0.0000000000001</formula>
      <formula>0.0000000000001</formula>
    </cfRule>
  </conditionalFormatting>
  <conditionalFormatting sqref="C15:O15 A15">
    <cfRule type="cellIs" dxfId="11" priority="14" operator="between">
      <formula>-0.0000000000001</formula>
      <formula>0.0000000000001</formula>
    </cfRule>
  </conditionalFormatting>
  <conditionalFormatting sqref="P15:AA15">
    <cfRule type="cellIs" dxfId="10" priority="13" operator="between">
      <formula>-0.0000000000001</formula>
      <formula>0.0000000000001</formula>
    </cfRule>
  </conditionalFormatting>
  <conditionalFormatting sqref="C15">
    <cfRule type="cellIs" dxfId="9" priority="12" operator="between">
      <formula>-0.0000000000001</formula>
      <formula>0.0000000000001</formula>
    </cfRule>
  </conditionalFormatting>
  <conditionalFormatting sqref="C27:O27 A27">
    <cfRule type="cellIs" dxfId="8" priority="11" operator="between">
      <formula>-0.0000000000001</formula>
      <formula>0.0000000000001</formula>
    </cfRule>
  </conditionalFormatting>
  <conditionalFormatting sqref="P27:AA27">
    <cfRule type="cellIs" dxfId="7" priority="10" operator="between">
      <formula>-0.0000000000001</formula>
      <formula>0.0000000000001</formula>
    </cfRule>
  </conditionalFormatting>
  <conditionalFormatting sqref="D9:O9">
    <cfRule type="cellIs" dxfId="6" priority="9" operator="between">
      <formula>-0.0000000000001</formula>
      <formula>0.0000000000001</formula>
    </cfRule>
  </conditionalFormatting>
  <conditionalFormatting sqref="P9:AA9">
    <cfRule type="cellIs" dxfId="5" priority="8" operator="between">
      <formula>-0.0000000000001</formula>
      <formula>0.0000000000001</formula>
    </cfRule>
  </conditionalFormatting>
  <conditionalFormatting sqref="C23:AA23 A23">
    <cfRule type="cellIs" dxfId="4" priority="5" operator="between">
      <formula>-0.0000000000001</formula>
      <formula>0.0000000000001</formula>
    </cfRule>
  </conditionalFormatting>
  <conditionalFormatting sqref="P23:AA23">
    <cfRule type="cellIs" dxfId="3" priority="4" operator="between">
      <formula>-0.0000000000001</formula>
      <formula>0.0000000000001</formula>
    </cfRule>
  </conditionalFormatting>
  <conditionalFormatting sqref="B4">
    <cfRule type="cellIs" dxfId="2" priority="3" operator="between">
      <formula>-0.0000000000001</formula>
      <formula>0.0000000000001</formula>
    </cfRule>
  </conditionalFormatting>
  <conditionalFormatting sqref="C9">
    <cfRule type="cellIs" dxfId="1" priority="2" operator="between">
      <formula>-0.0000000000001</formula>
      <formula>0.0000000000001</formula>
    </cfRule>
  </conditionalFormatting>
  <conditionalFormatting sqref="A10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Lister</vt:lpstr>
      <vt:lpstr>Inputs</vt:lpstr>
      <vt:lpstr>Overblik</vt:lpstr>
      <vt:lpstr>cVarme</vt:lpstr>
      <vt:lpstr>cBrændsler</vt:lpstr>
      <vt:lpstr>cKapacUdnyttelse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2021-12-03T07:47:27Z</dcterms:modified>
</cp:coreProperties>
</file>