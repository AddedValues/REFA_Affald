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1B11B595-B28C-4798-9686-46DA48E030C3}" xr6:coauthVersionLast="47" xr6:coauthVersionMax="47" xr10:uidLastSave="{00000000-0000-0000-0000-000000000000}"/>
  <bookViews>
    <workbookView xWindow="3870" yWindow="273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LagerStand" sheetId="11" r:id="rId6"/>
    <sheet name="cKapacUdnyttelse" sheetId="10" r:id="rId7"/>
  </sheets>
  <definedNames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4" l="1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T12" i="6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<sst xmlns="http://schemas.openxmlformats.org/spreadsheetml/2006/main" count="775" uniqueCount="205">
  <si>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</si>
  <si>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</si>
  <si>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</si>
  <si>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</si>
  <si>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</si>
  <si>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</si>
  <si>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</si>
  <si>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</si>
  <si>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</si>
  <si>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</si>
  <si>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</si>
  <si>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</si>
  <si>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</si>
  <si>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</si>
  <si>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</si>
  <si>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</si>
  <si>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</si>
  <si>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</si>
  <si>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</si>
  <si>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</si>
  <si>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</si>
  <si>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</si>
  <si>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</si>
  <si>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</si>
  <si>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DV</t>
  </si>
  <si>
    <t>Prognoser</t>
  </si>
  <si>
    <t>ELprod</t>
  </si>
  <si>
    <t>DataFuel</t>
  </si>
  <si>
    <t>kapTon</t>
  </si>
  <si>
    <t>kapNom</t>
  </si>
  <si>
    <t>DataU</t>
  </si>
  <si>
    <t>PeakFuel</t>
  </si>
  <si>
    <t>NyAff1</t>
  </si>
  <si>
    <t>NyAff2</t>
  </si>
  <si>
    <t>Kapacitetsudnyttelse</t>
  </si>
  <si>
    <t>FJV-behov</t>
  </si>
  <si>
    <t>minLhv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</si>
  <si>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</si>
  <si>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</si>
  <si>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</si>
  <si>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</si>
  <si>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</si>
  <si>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</si>
  <si>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</si>
  <si>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</si>
  <si>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</si>
  <si>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</si>
  <si>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</si>
  <si>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</si>
  <si>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</si>
  <si>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</si>
  <si>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</si>
  <si>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</si>
  <si>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</si>
  <si>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</si>
  <si>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</si>
  <si>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</si>
  <si>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</si>
  <si>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</si>
  <si>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</si>
  <si>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</si>
  <si>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</si>
  <si>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</si>
  <si>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</si>
  <si>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</si>
  <si>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</si>
  <si>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</si>
  <si>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</si>
  <si>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</si>
  <si>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</si>
  <si>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</si>
  <si>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</si>
  <si>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</si>
  <si>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</si>
  <si>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</si>
  <si>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</si>
  <si>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</si>
  <si>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</si>
  <si>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</si>
  <si>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</si>
  <si>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</si>
  <si>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NS</t>
  </si>
  <si>
    <t>kapMax</t>
  </si>
  <si>
    <t>Ndage</t>
  </si>
  <si>
    <t>Varmebehov</t>
  </si>
  <si>
    <t>ETS</t>
  </si>
  <si>
    <t>AFV</t>
  </si>
  <si>
    <t>ATL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</si>
  <si>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</si>
  <si>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</si>
  <si>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</si>
  <si>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</si>
  <si>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</si>
  <si>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</si>
  <si>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</si>
  <si>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</si>
  <si>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</si>
  <si>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</si>
  <si>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</si>
  <si>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</si>
  <si>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</si>
  <si>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</si>
  <si>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</si>
  <si>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</si>
  <si>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</si>
  <si>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</si>
  <si>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</si>
  <si>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</si>
  <si>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</si>
  <si>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</si>
  <si>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</si>
  <si>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</si>
  <si>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</si>
  <si>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</si>
  <si>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</si>
  <si>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</si>
  <si>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</si>
  <si>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</si>
  <si>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</si>
  <si>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</si>
  <si>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EnrPeak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</si>
  <si>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</si>
  <si>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</si>
  <si>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</si>
  <si>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</si>
  <si>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</si>
  <si>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</si>
  <si>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</si>
  <si>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</si>
  <si>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</si>
  <si>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</si>
  <si>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</si>
  <si>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</si>
  <si>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</si>
  <si>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</si>
  <si>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</si>
  <si>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</si>
  <si>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</si>
  <si>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</si>
  <si>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</si>
  <si>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</si>
  <si>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</si>
  <si>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</si>
  <si>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</si>
  <si>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</si>
  <si>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</si>
  <si>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</si>
  <si>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</si>
  <si>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</si>
  <si>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</si>
  <si>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</si>
  <si>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</si>
  <si>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</si>
  <si>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</si>
  <si>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</si>
  <si>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</si>
  <si>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CO2kgGJ</t>
  </si>
  <si>
    <t>Min</t>
  </si>
  <si>
    <t>Max</t>
  </si>
  <si>
    <t>Lhv</t>
  </si>
  <si>
    <t>ModtPris</t>
  </si>
  <si>
    <t>CO2tonton</t>
  </si>
  <si>
    <t>ResetFirst</t>
  </si>
  <si>
    <t>NSprod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</si>
  <si>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</si>
  <si>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</si>
  <si>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</si>
  <si>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</si>
  <si>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</si>
  <si>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</si>
  <si>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</si>
  <si>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</si>
  <si>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</si>
  <si>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</si>
  <si>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</si>
  <si>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</si>
  <si>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</si>
  <si>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</si>
  <si>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</si>
  <si>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</si>
  <si>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</si>
  <si>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</si>
  <si>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</si>
  <si>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</si>
  <si>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</si>
  <si>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</si>
  <si>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</si>
  <si>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</si>
  <si>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</si>
  <si>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ETSaff</t>
  </si>
  <si>
    <t>CO2afgAff</t>
  </si>
  <si>
    <t>mo13</t>
  </si>
  <si>
    <t>CO2peak</t>
  </si>
  <si>
    <t>NOxPeak</t>
  </si>
  <si>
    <t>IncludeGSF</t>
  </si>
  <si>
    <t>Varmemængder</t>
  </si>
  <si>
    <t>Brændselsforbrug</t>
  </si>
  <si>
    <t>Brøndselsindkomst</t>
  </si>
  <si>
    <t>Værdi</t>
  </si>
  <si>
    <t>VirtuelVarme</t>
  </si>
  <si>
    <t>mo14</t>
  </si>
  <si>
    <t>mo15</t>
  </si>
  <si>
    <t>mo16</t>
  </si>
  <si>
    <t>mo17</t>
  </si>
  <si>
    <t>mo18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</si>
</sst>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69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0" fontId="2" fillId="2" borderId="13" xfId="0" applyFont="1" applyFill="1" applyBorder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4" xfId="0" applyFont="1" applyFill="1" applyBorder="1" applyAlignment="1">
      <alignment horizontal="center"/>
    </xf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2586.8265800719787</c:v>
                </c:pt>
                <c:pt idx="1">
                  <c:v>4397.0290092217765</c:v>
                </c:pt>
                <c:pt idx="2">
                  <c:v>856</c:v>
                </c:pt>
                <c:pt idx="3">
                  <c:v>1E-14</c:v>
                </c:pt>
                <c:pt idx="4">
                  <c:v>1E-14</c:v>
                </c:pt>
                <c:pt idx="5">
                  <c:v>7282.1228056551172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12945.379135802472</c:v>
                </c:pt>
                <c:pt idx="4">
                  <c:v>12945.379135802472</c:v>
                </c:pt>
                <c:pt idx="5">
                  <c:v>3724.045802469137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7054.6208641975281</c:v>
                </c:pt>
                <c:pt idx="4">
                  <c:v>54.620864197528135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-3506.1686081242542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69.173419928021758</c:v>
                </c:pt>
                <c:pt idx="1">
                  <c:v>1730.9709907782235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6"/>
                <c:pt idx="0">
                  <c:v>mo13</c:v>
                </c:pt>
                <c:pt idx="1">
                  <c:v>mo14</c:v>
                </c:pt>
                <c:pt idx="2">
                  <c:v>mo15</c:v>
                </c:pt>
                <c:pt idx="3">
                  <c:v>mo16</c:v>
                </c:pt>
                <c:pt idx="4">
                  <c:v>mo17</c:v>
                </c:pt>
                <c:pt idx="5">
                  <c:v>mo18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4485.2591041666665</c:v>
                </c:pt>
                <c:pt idx="1">
                  <c:v>4485.2591041666674</c:v>
                </c:pt>
                <c:pt idx="2">
                  <c:v>4120.6567224080263</c:v>
                </c:pt>
                <c:pt idx="3">
                  <c:v>2448.5971250000002</c:v>
                </c:pt>
                <c:pt idx="4">
                  <c:v>2448.5971250000002</c:v>
                </c:pt>
                <c:pt idx="5">
                  <c:v>2448.5971250000002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3333.3333333333326</c:v>
                </c:pt>
                <c:pt idx="1">
                  <c:v>3333.3333333333335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4167.0833333333339</c:v>
                </c:pt>
                <c:pt idx="1">
                  <c:v>4167.0833333333339</c:v>
                </c:pt>
                <c:pt idx="2">
                  <c:v>3421.0938054384164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3178.5525796134043</c:v>
                </c:pt>
                <c:pt idx="4">
                  <c:v>24.610151578360608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5.6596434486563254</c:v>
                </c:pt>
                <c:pt idx="1">
                  <c:v>141.62489924549101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44986</c:v>
                </c:pt>
                <c:pt idx="13">
                  <c:v>45017</c:v>
                </c:pt>
                <c:pt idx="14">
                  <c:v>45047</c:v>
                </c:pt>
                <c:pt idx="15">
                  <c:v>45078</c:v>
                </c:pt>
                <c:pt idx="16">
                  <c:v>45108</c:v>
                </c:pt>
                <c:pt idx="17">
                  <c:v>45139</c:v>
                </c:pt>
                <c:pt idx="18">
                  <c:v>45170</c:v>
                </c:pt>
                <c:pt idx="19">
                  <c:v>45200</c:v>
                </c:pt>
                <c:pt idx="20">
                  <c:v>45231</c:v>
                </c:pt>
                <c:pt idx="21">
                  <c:v>45261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44986</c:v>
                </c:pt>
                <c:pt idx="13">
                  <c:v>45017</c:v>
                </c:pt>
                <c:pt idx="14">
                  <c:v>45047</c:v>
                </c:pt>
                <c:pt idx="15">
                  <c:v>45078</c:v>
                </c:pt>
                <c:pt idx="16">
                  <c:v>45108</c:v>
                </c:pt>
                <c:pt idx="17">
                  <c:v>45139</c:v>
                </c:pt>
                <c:pt idx="18">
                  <c:v>45170</c:v>
                </c:pt>
                <c:pt idx="19">
                  <c:v>45200</c:v>
                </c:pt>
                <c:pt idx="20">
                  <c:v>45231</c:v>
                </c:pt>
                <c:pt idx="21">
                  <c:v>45261</c:v>
                </c:pt>
              </c:numCache>
            </c:num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0.30234064750724388</c:v>
                </c:pt>
                <c:pt idx="1">
                  <c:v>0.568973733077352</c:v>
                </c:pt>
                <c:pt idx="2">
                  <c:v>0.10004675081813932</c:v>
                </c:pt>
                <c:pt idx="3">
                  <c:v>1E-14</c:v>
                </c:pt>
                <c:pt idx="4">
                  <c:v>1E-14</c:v>
                </c:pt>
                <c:pt idx="5">
                  <c:v>0.87948343063467604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0.64213190157750355</c:v>
                </c:pt>
                <c:pt idx="4">
                  <c:v>0.62141796926855186</c:v>
                </c:pt>
                <c:pt idx="5">
                  <c:v>0.18472449417009609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0.933150907962636</c:v>
                </c:pt>
                <c:pt idx="4">
                  <c:v>6.9919181000420039E-3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0.32464524149298651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9.2975026784975477E-4</c:v>
                </c:pt>
                <c:pt idx="1">
                  <c:v>2.5758496886580707E-2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62</v>
      </c>
    </row>
    <row r="3" spans="2:4" x14ac:dyDescent="0.25">
      <c r="B3" s="21" t="s">
        <v>0</v>
      </c>
      <c r="C3" s="21" t="s">
        <v>38</v>
      </c>
      <c r="D3" s="21" t="s">
        <v>0</v>
      </c>
    </row>
    <row r="4" spans="2:4" x14ac:dyDescent="0.25">
      <c r="B4" s="22" t="s">
        <v>1</v>
      </c>
      <c r="C4" s="21" t="s">
        <v>39</v>
      </c>
      <c r="D4" s="22" t="s">
        <v>1</v>
      </c>
    </row>
    <row r="5" spans="2:4" x14ac:dyDescent="0.25">
      <c r="B5" s="22" t="s">
        <v>2</v>
      </c>
      <c r="C5" s="21" t="s">
        <v>40</v>
      </c>
      <c r="D5" s="22" t="s">
        <v>2</v>
      </c>
    </row>
    <row r="6" spans="2:4" x14ac:dyDescent="0.25">
      <c r="B6" s="23" t="s">
        <v>3</v>
      </c>
      <c r="C6" s="21" t="s">
        <v>41</v>
      </c>
      <c r="D6" s="23" t="s">
        <v>3</v>
      </c>
    </row>
    <row r="7" spans="2:4" x14ac:dyDescent="0.25">
      <c r="B7" s="23" t="s">
        <v>4</v>
      </c>
      <c r="C7" s="21" t="s">
        <v>42</v>
      </c>
      <c r="D7" s="23" t="s">
        <v>4</v>
      </c>
    </row>
    <row r="8" spans="2:4" x14ac:dyDescent="0.25">
      <c r="B8" s="23" t="s">
        <v>5</v>
      </c>
      <c r="C8" s="21" t="s">
        <v>43</v>
      </c>
      <c r="D8" s="23" t="s">
        <v>5</v>
      </c>
    </row>
    <row r="9" spans="2:4" x14ac:dyDescent="0.25">
      <c r="B9" s="23" t="s">
        <v>6</v>
      </c>
      <c r="C9" s="21" t="s">
        <v>44</v>
      </c>
      <c r="D9" s="23" t="s">
        <v>6</v>
      </c>
    </row>
    <row r="10" spans="2:4" x14ac:dyDescent="0.25">
      <c r="B10" s="23" t="s">
        <v>7</v>
      </c>
      <c r="C10" s="21" t="s">
        <v>45</v>
      </c>
      <c r="D10" s="23" t="s">
        <v>7</v>
      </c>
    </row>
    <row r="11" spans="2:4" x14ac:dyDescent="0.25">
      <c r="B11" s="23" t="s">
        <v>8</v>
      </c>
      <c r="C11" s="21" t="s">
        <v>46</v>
      </c>
      <c r="D11" s="23" t="s">
        <v>8</v>
      </c>
    </row>
    <row r="12" spans="2:4" x14ac:dyDescent="0.25">
      <c r="B12" s="23" t="s">
        <v>9</v>
      </c>
      <c r="C12" s="21" t="s">
        <v>47</v>
      </c>
      <c r="D12" s="23" t="s">
        <v>9</v>
      </c>
    </row>
    <row r="13" spans="2:4" x14ac:dyDescent="0.25">
      <c r="B13" s="23" t="s">
        <v>10</v>
      </c>
      <c r="C13" s="21" t="s">
        <v>48</v>
      </c>
      <c r="D13" s="23" t="s">
        <v>10</v>
      </c>
    </row>
    <row r="14" spans="2:4" x14ac:dyDescent="0.25">
      <c r="B14" s="23" t="s">
        <v>11</v>
      </c>
      <c r="C14" s="21" t="s">
        <v>49</v>
      </c>
      <c r="D14" s="23" t="s">
        <v>11</v>
      </c>
    </row>
    <row r="15" spans="2:4" x14ac:dyDescent="0.25">
      <c r="B15" s="22" t="s">
        <v>12</v>
      </c>
      <c r="C15" s="21" t="s">
        <v>50</v>
      </c>
      <c r="D15" s="22" t="s">
        <v>12</v>
      </c>
    </row>
    <row r="16" spans="2:4" x14ac:dyDescent="0.25">
      <c r="B16" s="23" t="s">
        <v>13</v>
      </c>
      <c r="C16" s="21" t="s">
        <v>51</v>
      </c>
      <c r="D16" s="23" t="s">
        <v>13</v>
      </c>
    </row>
    <row r="17" spans="2:4" x14ac:dyDescent="0.25">
      <c r="B17" s="23" t="s">
        <v>14</v>
      </c>
      <c r="C17" s="21" t="s">
        <v>52</v>
      </c>
      <c r="D17" s="23" t="s">
        <v>14</v>
      </c>
    </row>
    <row r="18" spans="2:4" x14ac:dyDescent="0.25">
      <c r="B18" s="23" t="s">
        <v>15</v>
      </c>
      <c r="C18" s="21" t="s">
        <v>53</v>
      </c>
      <c r="D18" s="23" t="s">
        <v>15</v>
      </c>
    </row>
    <row r="19" spans="2:4" x14ac:dyDescent="0.25">
      <c r="B19" s="22" t="s">
        <v>16</v>
      </c>
      <c r="C19" s="21" t="s">
        <v>54</v>
      </c>
      <c r="D19" s="22" t="s">
        <v>16</v>
      </c>
    </row>
    <row r="20" spans="2:4" x14ac:dyDescent="0.25">
      <c r="B20" s="22" t="s">
        <v>18</v>
      </c>
      <c r="C20" s="21" t="s">
        <v>55</v>
      </c>
      <c r="D20" s="22" t="s">
        <v>18</v>
      </c>
    </row>
    <row r="21" spans="2:4" x14ac:dyDescent="0.25">
      <c r="B21" s="23" t="s">
        <v>19</v>
      </c>
      <c r="C21" s="21" t="s">
        <v>56</v>
      </c>
      <c r="D21" s="23" t="s">
        <v>19</v>
      </c>
    </row>
    <row r="22" spans="2:4" x14ac:dyDescent="0.25">
      <c r="B22" s="21" t="s">
        <v>20</v>
      </c>
      <c r="C22" s="21" t="s">
        <v>57</v>
      </c>
      <c r="D22" s="21" t="s">
        <v>20</v>
      </c>
    </row>
    <row r="23" spans="2:4" x14ac:dyDescent="0.25">
      <c r="B23" s="21" t="s">
        <v>17</v>
      </c>
      <c r="C23" s="21" t="s">
        <v>58</v>
      </c>
      <c r="D23" s="21" t="s">
        <v>17</v>
      </c>
    </row>
    <row r="24" spans="2:4" x14ac:dyDescent="0.25">
      <c r="B24" s="21" t="s">
        <v>32</v>
      </c>
      <c r="C24" s="21" t="s">
        <v>59</v>
      </c>
      <c r="D24" s="21" t="s">
        <v>32</v>
      </c>
    </row>
    <row r="25" spans="2:4" x14ac:dyDescent="0.25">
      <c r="B25" s="21" t="s">
        <v>33</v>
      </c>
      <c r="C25" s="21" t="s">
        <v>60</v>
      </c>
      <c r="D25" s="21" t="s">
        <v>33</v>
      </c>
    </row>
    <row r="26" spans="2:4" s="19" customFormat="1" x14ac:dyDescent="0.25">
      <c r="B26" s="21" t="s">
        <v>69</v>
      </c>
      <c r="C26" s="21" t="s">
        <v>73</v>
      </c>
      <c r="D26" s="21" t="s">
        <v>69</v>
      </c>
    </row>
    <row r="27" spans="2:4" s="19" customFormat="1" x14ac:dyDescent="0.25">
      <c r="B27" s="21" t="s">
        <v>70</v>
      </c>
      <c r="C27" s="21" t="s">
        <v>74</v>
      </c>
      <c r="D27" s="21" t="s">
        <v>70</v>
      </c>
    </row>
    <row r="28" spans="2:4" s="19" customFormat="1" x14ac:dyDescent="0.25">
      <c r="B28" s="21" t="s">
        <v>71</v>
      </c>
      <c r="C28" s="21" t="s">
        <v>75</v>
      </c>
      <c r="D28" s="21" t="s">
        <v>71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61</v>
      </c>
      <c r="D30" s="21" t="s">
        <v>22</v>
      </c>
    </row>
    <row r="31" spans="2:4" x14ac:dyDescent="0.25">
      <c r="B31" s="21" t="s">
        <v>31</v>
      </c>
      <c r="C31" s="21" t="s">
        <v>31</v>
      </c>
      <c r="D31" s="21" t="s">
        <v>31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C189"/>
  <sheetViews>
    <sheetView zoomScale="85" zoomScaleNormal="85" workbookViewId="0">
      <selection activeCell="A25" sqref="A25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8.710937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19" customWidth="1" outlineLevel="1"/>
    <col min="14" max="16" width="9.140625" style="19" customWidth="1" outlineLevel="1"/>
    <col min="17" max="17" width="4" style="26" customWidth="1"/>
    <col min="18" max="18" width="16.42578125" style="19" bestFit="1" customWidth="1"/>
    <col min="19" max="19" width="10.42578125" style="19" customWidth="1"/>
    <col min="20" max="20" width="9.7109375" customWidth="1"/>
    <col min="21" max="25" width="9.7109375" customWidth="1" outlineLevel="1"/>
    <col min="26" max="31" width="10.42578125" customWidth="1" outlineLevel="1"/>
    <col min="32" max="32" width="10.42578125" customWidth="1"/>
    <col min="33" max="33" width="10.42578125" customWidth="1" outlineLevel="1"/>
    <col min="34" max="43" width="11.42578125" customWidth="1" outlineLevel="1"/>
    <col min="44" max="44" width="11.42578125" customWidth="1"/>
    <col min="45" max="55" width="11.42578125" customWidth="1" outlineLevel="1"/>
  </cols>
  <sheetData>
    <row r="1" spans="2:55" x14ac:dyDescent="0.25">
      <c r="H1" s="31"/>
      <c r="R1"/>
      <c r="S1"/>
      <c r="T1" s="19"/>
    </row>
    <row r="2" spans="2:55" s="19" customFormat="1" x14ac:dyDescent="0.25">
      <c r="B2" s="161" t="s">
        <v>194</v>
      </c>
      <c r="C2" s="119" t="s">
        <v>198</v>
      </c>
      <c r="D2" s="119" t="s">
        <v>170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Q2" s="26"/>
    </row>
    <row r="3" spans="2:55" s="19" customFormat="1" x14ac:dyDescent="0.25">
      <c r="B3" s="149" t="s">
        <v>179</v>
      </c>
      <c r="C3" s="156">
        <v>1E-14</v>
      </c>
      <c r="D3" s="127" t="s">
        <v>171</v>
      </c>
      <c r="E3" s="44"/>
      <c r="F3" s="44"/>
      <c r="G3" s="44"/>
      <c r="H3" s="121"/>
      <c r="I3" s="44"/>
      <c r="J3" s="44"/>
      <c r="K3" s="44"/>
      <c r="L3" s="44"/>
      <c r="M3" s="44"/>
      <c r="N3" s="44"/>
      <c r="O3" s="122"/>
      <c r="Q3" s="26"/>
    </row>
    <row r="4" spans="2:55" s="19" customFormat="1" x14ac:dyDescent="0.25">
      <c r="B4" s="149" t="s">
        <v>199</v>
      </c>
      <c r="C4" s="156">
        <v>1E-14</v>
      </c>
      <c r="D4" s="127" t="s">
        <v>172</v>
      </c>
      <c r="E4" s="44"/>
      <c r="F4" s="44"/>
      <c r="G4" s="44"/>
      <c r="H4" s="121"/>
      <c r="I4" s="44"/>
      <c r="J4" s="44"/>
      <c r="K4" s="44"/>
      <c r="L4" s="44"/>
      <c r="M4" s="44"/>
      <c r="N4" s="44"/>
      <c r="O4" s="122"/>
      <c r="Q4" s="26"/>
    </row>
    <row r="5" spans="2:55" s="19" customFormat="1" x14ac:dyDescent="0.25">
      <c r="B5" s="149" t="s">
        <v>173</v>
      </c>
      <c r="C5" s="123">
        <v>0.1</v>
      </c>
      <c r="D5" s="127" t="s">
        <v>182</v>
      </c>
      <c r="E5" s="44"/>
      <c r="F5" s="44"/>
      <c r="G5" s="44"/>
      <c r="H5" s="121"/>
      <c r="I5" s="44"/>
      <c r="J5" s="44"/>
      <c r="K5" s="44"/>
      <c r="L5" s="44"/>
      <c r="M5" s="44"/>
      <c r="N5" s="44"/>
      <c r="O5" s="122"/>
      <c r="Q5" s="26"/>
    </row>
    <row r="6" spans="2:55" s="19" customFormat="1" x14ac:dyDescent="0.25">
      <c r="B6" s="149" t="s">
        <v>174</v>
      </c>
      <c r="C6" s="123">
        <v>7.0000000000000007E-2</v>
      </c>
      <c r="D6" s="127" t="s">
        <v>175</v>
      </c>
      <c r="E6" s="44"/>
      <c r="F6" s="44"/>
      <c r="G6" s="44"/>
      <c r="H6" s="121"/>
      <c r="I6" s="44"/>
      <c r="J6" s="44"/>
      <c r="K6" s="44"/>
      <c r="L6" s="44"/>
      <c r="M6" s="44"/>
      <c r="N6" s="44"/>
      <c r="O6" s="122"/>
      <c r="Q6" s="26"/>
    </row>
    <row r="7" spans="2:55" s="19" customFormat="1" x14ac:dyDescent="0.25">
      <c r="B7" s="149" t="s">
        <v>176</v>
      </c>
      <c r="C7" s="157">
        <v>1E-14</v>
      </c>
      <c r="D7" s="127" t="s">
        <v>177</v>
      </c>
      <c r="E7" s="44"/>
      <c r="F7" s="44"/>
      <c r="G7" s="44"/>
      <c r="H7" s="121"/>
      <c r="I7" s="44"/>
      <c r="J7" s="44"/>
      <c r="K7" s="44"/>
      <c r="L7" s="44"/>
      <c r="M7" s="44"/>
      <c r="N7" s="44"/>
      <c r="O7" s="122"/>
      <c r="Q7" s="26"/>
    </row>
    <row r="8" spans="2:55" s="19" customFormat="1" x14ac:dyDescent="0.25">
      <c r="B8" s="149" t="s">
        <v>185</v>
      </c>
      <c r="C8" s="33">
        <v>1E-14</v>
      </c>
      <c r="D8" s="127" t="s">
        <v>178</v>
      </c>
      <c r="E8" s="44"/>
      <c r="F8" s="44"/>
      <c r="G8" s="44"/>
      <c r="H8" s="121"/>
      <c r="I8" s="44"/>
      <c r="J8" s="44"/>
      <c r="K8" s="44"/>
      <c r="L8" s="44"/>
      <c r="M8" s="44"/>
      <c r="N8" s="44"/>
      <c r="O8" s="122"/>
      <c r="Q8" s="26"/>
    </row>
    <row r="9" spans="2:55" s="19" customFormat="1" x14ac:dyDescent="0.25">
      <c r="B9" s="150"/>
      <c r="C9" s="126"/>
      <c r="D9" s="127"/>
      <c r="E9" s="44"/>
      <c r="F9" s="44"/>
      <c r="G9" s="44"/>
      <c r="H9" s="121"/>
      <c r="I9" s="44"/>
      <c r="J9" s="44"/>
      <c r="K9" s="44"/>
      <c r="L9" s="44"/>
      <c r="M9" s="44"/>
      <c r="N9" s="44"/>
      <c r="O9" s="122"/>
      <c r="Q9" s="26"/>
    </row>
    <row r="10" spans="2:55" s="19" customFormat="1" x14ac:dyDescent="0.25">
      <c r="B10" s="151"/>
      <c r="C10" s="45"/>
      <c r="D10" s="128"/>
      <c r="E10" s="46"/>
      <c r="F10" s="46"/>
      <c r="G10" s="46"/>
      <c r="H10" s="124"/>
      <c r="I10" s="46"/>
      <c r="J10" s="46"/>
      <c r="K10" s="46"/>
      <c r="L10" s="46"/>
      <c r="M10" s="46"/>
      <c r="N10" s="46"/>
      <c r="O10" s="125"/>
      <c r="Q10" s="26"/>
    </row>
    <row r="11" spans="2:55" s="19" customFormat="1" x14ac:dyDescent="0.25">
      <c r="H11" s="31"/>
      <c r="Q11" s="26"/>
    </row>
    <row r="12" spans="2:55" x14ac:dyDescent="0.25">
      <c r="R12"/>
      <c r="S12"/>
      <c r="T12" s="24">
        <f>IF(ISBLANK(T$13),"",_xlfn.LET(_xlpm.mo,MID(T$13,3,4),DATE(YEAR(Inputs!$C$16),_xlpm.mo,1)))</f>
        <v>44562</v>
      </c>
      <c r="U12" s="24">
        <f>IF(ISBLANK(U$13),"",_xlfn.LET(_xlpm.mo,MID(U$13,3,4),DATE(YEAR(Inputs!$C$16),_xlpm.mo,1)))</f>
        <v>44593</v>
      </c>
      <c r="V12" s="24">
        <f>IF(ISBLANK(V$13),"",_xlfn.LET(_xlpm.mo,MID(V$13,3,4),DATE(YEAR(Inputs!$C$16),_xlpm.mo,1)))</f>
        <v>44621</v>
      </c>
      <c r="W12" s="24">
        <f>IF(ISBLANK(W$13),"",_xlfn.LET(_xlpm.mo,MID(W$13,3,4),DATE(YEAR(Inputs!$C$16),_xlpm.mo,1)))</f>
        <v>44652</v>
      </c>
      <c r="X12" s="24">
        <f>IF(ISBLANK(X$13),"",_xlfn.LET(_xlpm.mo,MID(X$13,3,4),DATE(YEAR(Inputs!$C$16),_xlpm.mo,1)))</f>
        <v>44682</v>
      </c>
      <c r="Y12" s="24">
        <f>IF(ISBLANK(Y$13),"",_xlfn.LET(_xlpm.mo,MID(Y$13,3,4),DATE(YEAR(Inputs!$C$16),_xlpm.mo,1)))</f>
        <v>44713</v>
      </c>
      <c r="Z12" s="24" t="str">
        <f>IF(ISBLANK(Z$13),"",_xlfn.LET(_xlpm.mo,MID(Z$13,3,4),DATE(YEAR(Inputs!$C$16),_xlpm.mo,1)))</f>
        <v/>
      </c>
      <c r="AA12" s="24" t="str">
        <f>IF(ISBLANK(AA$13),"",_xlfn.LET(_xlpm.mo,MID(AA$13,3,4),DATE(YEAR(Inputs!$C$16),_xlpm.mo,1)))</f>
        <v/>
      </c>
      <c r="AB12" s="24" t="str">
        <f>IF(ISBLANK(AB$13),"",_xlfn.LET(_xlpm.mo,MID(AB$13,3,4),DATE(YEAR(Inputs!$C$16),_xlpm.mo,1)))</f>
        <v/>
      </c>
      <c r="AC12" s="24" t="str">
        <f>IF(ISBLANK(AC$13),"",_xlfn.LET(_xlpm.mo,MID(AC$13,3,4),DATE(YEAR(Inputs!$C$16),_xlpm.mo,1)))</f>
        <v/>
      </c>
      <c r="AD12" s="24" t="str">
        <f>IF(ISBLANK(AD$13),"",_xlfn.LET(_xlpm.mo,MID(AD$13,3,4),DATE(YEAR(Inputs!$C$16),_xlpm.mo,1)))</f>
        <v/>
      </c>
      <c r="AE12" s="24" t="str">
        <f>IF(ISBLANK(AE$13),"",_xlfn.LET(_xlpm.mo,MID(AE$13,3,4),DATE(YEAR(Inputs!$C$16),_xlpm.mo,1)))</f>
        <v/>
      </c>
      <c r="AF12" s="24" t="str">
        <f>IF(ISBLANK(AF$13),"",_xlfn.LET(_xlpm.mo,MID(AF$13,3,4),DATE(YEAR(Inputs!$C$16),_xlpm.mo,1)))</f>
        <v/>
      </c>
      <c r="AG12" s="24" t="str">
        <f>IF(ISBLANK(AG$13),"",_xlfn.LET(_xlpm.mo,MID(AG$13,3,4),DATE(YEAR(Inputs!$C$16),_xlpm.mo,1)))</f>
        <v/>
      </c>
      <c r="AH12" s="24" t="str">
        <f>IF(ISBLANK(AH$13),"",_xlfn.LET(_xlpm.mo,MID(AH$13,3,4),DATE(YEAR(Inputs!$C$16),_xlpm.mo,1)))</f>
        <v/>
      </c>
      <c r="AI12" s="24" t="str">
        <f>IF(ISBLANK(AI$13),"",_xlfn.LET(_xlpm.mo,MID(AI$13,3,4),DATE(YEAR(Inputs!$C$16),_xlpm.mo,1)))</f>
        <v/>
      </c>
      <c r="AJ12" s="24" t="str">
        <f>IF(ISBLANK(AJ$13),"",_xlfn.LET(_xlpm.mo,MID(AJ$13,3,4),DATE(YEAR(Inputs!$C$16),_xlpm.mo,1)))</f>
        <v/>
      </c>
      <c r="AK12" s="24" t="str">
        <f>IF(ISBLANK(AK$13),"",_xlfn.LET(_xlpm.mo,MID(AK$13,3,4),DATE(YEAR(Inputs!$C$16),_xlpm.mo,1)))</f>
        <v/>
      </c>
      <c r="AL12" s="24" t="str">
        <f>IF(ISBLANK(AL$13),"",_xlfn.LET(_xlpm.mo,MID(AL$13,3,4),DATE(YEAR(Inputs!$C$16),_xlpm.mo,1)))</f>
        <v/>
      </c>
      <c r="AM12" s="24" t="str">
        <f>IF(ISBLANK(AM$13),"",_xlfn.LET(_xlpm.mo,MID(AM$13,3,4),DATE(YEAR(Inputs!$C$16),_xlpm.mo,1)))</f>
        <v/>
      </c>
      <c r="AN12" s="24" t="str">
        <f>IF(ISBLANK(AN$13),"",_xlfn.LET(_xlpm.mo,MID(AN$13,3,4),DATE(YEAR(Inputs!$C$16),_xlpm.mo,1)))</f>
        <v/>
      </c>
      <c r="AO12" s="24" t="str">
        <f>IF(ISBLANK(AO$13),"",_xlfn.LET(_xlpm.mo,MID(AO$13,3,4),DATE(YEAR(Inputs!$C$16),_xlpm.mo,1)))</f>
        <v/>
      </c>
      <c r="AP12" s="24" t="str">
        <f>IF(ISBLANK(AP$13),"",_xlfn.LET(_xlpm.mo,MID(AP$13,3,4),DATE(YEAR(Inputs!$C$16),_xlpm.mo,1)))</f>
        <v/>
      </c>
      <c r="AQ12" s="24" t="str">
        <f>IF(ISBLANK(AQ$13),"",_xlfn.LET(_xlpm.mo,MID(AQ$13,3,4),DATE(YEAR(Inputs!$C$16),_xlpm.mo,1)))</f>
        <v/>
      </c>
      <c r="AR12" s="24" t="str">
        <f>IF(ISBLANK(AR$13),"",_xlfn.LET(_xlpm.mo,MID(AR$13,3,4),DATE(YEAR(Inputs!$C$16),_xlpm.mo,1)))</f>
        <v/>
      </c>
      <c r="AS12" s="24" t="str">
        <f>IF(ISBLANK(AS$13),"",_xlfn.LET(_xlpm.mo,MID(AS$13,3,4),DATE(YEAR(Inputs!$C$16),_xlpm.mo,1)))</f>
        <v/>
      </c>
      <c r="AT12" s="24" t="str">
        <f>IF(ISBLANK(AT$13),"",_xlfn.LET(_xlpm.mo,MID(AT$13,3,4),DATE(YEAR(Inputs!$C$16),_xlpm.mo,1)))</f>
        <v/>
      </c>
      <c r="AU12" s="24" t="str">
        <f>IF(ISBLANK(AU$13),"",_xlfn.LET(_xlpm.mo,MID(AU$13,3,4),DATE(YEAR(Inputs!$C$16),_xlpm.mo,1)))</f>
        <v/>
      </c>
      <c r="AV12" s="24" t="str">
        <f>IF(ISBLANK(AV$13),"",_xlfn.LET(_xlpm.mo,MID(AV$13,3,4),DATE(YEAR(Inputs!$C$16),_xlpm.mo,1)))</f>
        <v/>
      </c>
      <c r="AW12" s="24" t="str">
        <f>IF(ISBLANK(AW$13),"",_xlfn.LET(_xlpm.mo,MID(AW$13,3,4),DATE(YEAR(Inputs!$C$16),_xlpm.mo,1)))</f>
        <v/>
      </c>
      <c r="AX12" s="24" t="str">
        <f>IF(ISBLANK(AX$13),"",_xlfn.LET(_xlpm.mo,MID(AX$13,3,4),DATE(YEAR(Inputs!$C$16),_xlpm.mo,1)))</f>
        <v/>
      </c>
      <c r="AY12" s="24" t="str">
        <f>IF(ISBLANK(AY$13),"",_xlfn.LET(_xlpm.mo,MID(AY$13,3,4),DATE(YEAR(Inputs!$C$16),_xlpm.mo,1)))</f>
        <v/>
      </c>
      <c r="AZ12" s="24" t="str">
        <f>IF(ISBLANK(AZ$13),"",_xlfn.LET(_xlpm.mo,MID(AZ$13,3,4),DATE(YEAR(Inputs!$C$16),_xlpm.mo,1)))</f>
        <v/>
      </c>
      <c r="BA12" s="24" t="str">
        <f>IF(ISBLANK(BA$13),"",_xlfn.LET(_xlpm.mo,MID(BA$13,3,4),DATE(YEAR(Inputs!$C$16),_xlpm.mo,1)))</f>
        <v/>
      </c>
      <c r="BB12" s="24" t="str">
        <f>IF(ISBLANK(BB$13),"",_xlfn.LET(_xlpm.mo,MID(BB$13,3,4),DATE(YEAR(Inputs!$C$16),_xlpm.mo,1)))</f>
        <v/>
      </c>
      <c r="BC12" s="24" t="str">
        <f>IF(ISBLANK(BC$13),"",_xlfn.LET(_xlpm.mo,MID(BC$13,3,4),DATE(YEAR(Inputs!$C$16),_xlpm.mo,1)))</f>
        <v/>
      </c>
    </row>
    <row r="13" spans="2:55" x14ac:dyDescent="0.25">
      <c r="B13" s="162" t="s">
        <v>67</v>
      </c>
      <c r="C13" s="158" t="s">
        <v>135</v>
      </c>
      <c r="D13" s="158" t="s">
        <v>136</v>
      </c>
      <c r="E13" s="158" t="s">
        <v>137</v>
      </c>
      <c r="F13" s="159" t="s">
        <v>138</v>
      </c>
      <c r="R13" s="90" t="s">
        <v>25</v>
      </c>
      <c r="S13" s="168" t="s">
        <v>76</v>
      </c>
      <c r="T13" s="97" t="s">
        <v>191</v>
      </c>
      <c r="U13" s="97" t="s">
        <v>200</v>
      </c>
      <c r="V13" s="97" t="s">
        <v>201</v>
      </c>
      <c r="W13" s="97" t="s">
        <v>202</v>
      </c>
      <c r="X13" s="97" t="s">
        <v>203</v>
      </c>
      <c r="Y13" s="97" t="s">
        <v>204</v>
      </c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129"/>
    </row>
    <row r="14" spans="2:55" x14ac:dyDescent="0.25">
      <c r="B14" s="147" t="s">
        <v>78</v>
      </c>
      <c r="C14" s="33">
        <v>2021</v>
      </c>
      <c r="D14" s="33">
        <v>2023</v>
      </c>
      <c r="E14" s="33">
        <v>2022</v>
      </c>
      <c r="F14" s="34">
        <v>2022</v>
      </c>
      <c r="H14" s="32"/>
      <c r="R14" s="167" t="s">
        <v>124</v>
      </c>
      <c r="S14" s="57">
        <v>1E-14</v>
      </c>
      <c r="T14" s="2">
        <v>1</v>
      </c>
      <c r="U14" s="2">
        <v>1</v>
      </c>
      <c r="V14" s="2">
        <v>1</v>
      </c>
      <c r="W14" s="2">
        <v>1</v>
      </c>
      <c r="X14" s="2">
        <v>1</v>
      </c>
      <c r="Y14" s="2">
        <v>1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2:55" x14ac:dyDescent="0.25">
      <c r="B15" s="147" t="s">
        <v>79</v>
      </c>
      <c r="C15" s="33"/>
      <c r="D15" s="33"/>
      <c r="E15" s="35">
        <v>1</v>
      </c>
      <c r="F15" s="36">
        <v>6</v>
      </c>
      <c r="R15" s="27" t="s">
        <v>83</v>
      </c>
      <c r="S15" s="57">
        <v>1E-14</v>
      </c>
      <c r="T15" s="25">
        <v>31</v>
      </c>
      <c r="U15" s="25">
        <v>28</v>
      </c>
      <c r="V15" s="25">
        <v>31</v>
      </c>
      <c r="W15" s="25">
        <v>30</v>
      </c>
      <c r="X15" s="25">
        <v>31</v>
      </c>
      <c r="Y15" s="25">
        <v>30</v>
      </c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</row>
    <row r="16" spans="2:55" x14ac:dyDescent="0.25">
      <c r="B16" s="148" t="s">
        <v>80</v>
      </c>
      <c r="C16" s="37">
        <v>44197</v>
      </c>
      <c r="D16" s="37">
        <v>44927</v>
      </c>
      <c r="E16" s="37">
        <v>44562</v>
      </c>
      <c r="F16" s="38">
        <v>44713</v>
      </c>
      <c r="R16" s="160" t="s">
        <v>139</v>
      </c>
      <c r="S16" s="57">
        <v>1E-14</v>
      </c>
      <c r="T16" s="25">
        <v>31</v>
      </c>
      <c r="U16" s="25">
        <v>28</v>
      </c>
      <c r="V16" s="25">
        <v>31</v>
      </c>
      <c r="W16" s="25">
        <v>30</v>
      </c>
      <c r="X16" s="25">
        <v>31</v>
      </c>
      <c r="Y16" s="25">
        <v>30</v>
      </c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</row>
    <row r="17" spans="1:55" x14ac:dyDescent="0.25">
      <c r="R17" s="160" t="s">
        <v>140</v>
      </c>
      <c r="S17" s="57">
        <v>1E-14</v>
      </c>
      <c r="T17" s="25">
        <v>31</v>
      </c>
      <c r="U17" s="25">
        <v>28</v>
      </c>
      <c r="V17" s="25">
        <v>31</v>
      </c>
      <c r="W17" s="25">
        <v>30</v>
      </c>
      <c r="X17" s="25">
        <v>31</v>
      </c>
      <c r="Y17" s="25">
        <v>30</v>
      </c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</row>
    <row r="18" spans="1:55" x14ac:dyDescent="0.25">
      <c r="R18" s="160" t="s">
        <v>141</v>
      </c>
      <c r="S18" s="57">
        <v>1E-14</v>
      </c>
      <c r="T18" s="25">
        <v>31</v>
      </c>
      <c r="U18" s="25">
        <v>28</v>
      </c>
      <c r="V18" s="25">
        <v>31</v>
      </c>
      <c r="W18" s="25">
        <v>30</v>
      </c>
      <c r="X18" s="25">
        <v>31</v>
      </c>
      <c r="Y18" s="25">
        <v>30</v>
      </c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</row>
    <row r="19" spans="1:55" x14ac:dyDescent="0.25">
      <c r="B19" s="162" t="s">
        <v>30</v>
      </c>
      <c r="C19" s="97" t="s">
        <v>124</v>
      </c>
      <c r="D19" s="97" t="s">
        <v>144</v>
      </c>
      <c r="E19" s="97" t="s">
        <v>145</v>
      </c>
      <c r="F19" s="99" t="s">
        <v>36</v>
      </c>
      <c r="G19" s="99" t="s">
        <v>28</v>
      </c>
      <c r="H19" s="97" t="s">
        <v>29</v>
      </c>
      <c r="I19" s="97" t="s">
        <v>23</v>
      </c>
      <c r="J19" s="97" t="s">
        <v>82</v>
      </c>
      <c r="K19" s="97" t="s">
        <v>186</v>
      </c>
      <c r="L19" s="97" t="s">
        <v>187</v>
      </c>
      <c r="M19" s="97" t="s">
        <v>188</v>
      </c>
      <c r="N19" s="97" t="s">
        <v>146</v>
      </c>
      <c r="O19" s="129" t="s">
        <v>24</v>
      </c>
      <c r="R19" s="160" t="s">
        <v>81</v>
      </c>
      <c r="S19" s="57">
        <v>1E-14</v>
      </c>
      <c r="T19" s="25">
        <v>20.833333333333332</v>
      </c>
      <c r="U19" s="25">
        <v>1E-14</v>
      </c>
      <c r="V19" s="25">
        <v>1E-14</v>
      </c>
      <c r="W19" s="25">
        <v>1E-14</v>
      </c>
      <c r="X19" s="25">
        <v>1E-14</v>
      </c>
      <c r="Y19" s="25">
        <v>1E-14</v>
      </c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</row>
    <row r="20" spans="1:55" x14ac:dyDescent="0.25">
      <c r="B20" s="147" t="s">
        <v>139</v>
      </c>
      <c r="C20" s="39">
        <v>1</v>
      </c>
      <c r="D20" s="39">
        <v>1</v>
      </c>
      <c r="E20" s="39">
        <v>1E-14</v>
      </c>
      <c r="F20" s="40">
        <v>7.5</v>
      </c>
      <c r="G20" s="40">
        <v>7.6</v>
      </c>
      <c r="H20" s="41">
        <v>9.5</v>
      </c>
      <c r="I20" s="41">
        <v>2</v>
      </c>
      <c r="J20" s="41">
        <v>11.5</v>
      </c>
      <c r="K20" s="42">
        <v>1E-14</v>
      </c>
      <c r="L20" s="41">
        <v>1E-14</v>
      </c>
      <c r="M20" s="42">
        <v>0.25</v>
      </c>
      <c r="N20" s="40">
        <v>0.6</v>
      </c>
      <c r="O20" s="43">
        <v>50</v>
      </c>
      <c r="R20" s="160" t="s">
        <v>142</v>
      </c>
      <c r="S20" s="57">
        <v>1E-14</v>
      </c>
      <c r="T20" s="25">
        <v>31</v>
      </c>
      <c r="U20" s="25">
        <v>28</v>
      </c>
      <c r="V20" s="25">
        <v>31</v>
      </c>
      <c r="W20" s="25">
        <v>30</v>
      </c>
      <c r="X20" s="25">
        <v>31</v>
      </c>
      <c r="Y20" s="25">
        <v>30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</row>
    <row r="21" spans="1:55" x14ac:dyDescent="0.25">
      <c r="B21" s="147" t="s">
        <v>140</v>
      </c>
      <c r="C21" s="39">
        <v>1</v>
      </c>
      <c r="D21" s="39">
        <v>1</v>
      </c>
      <c r="E21" s="39">
        <v>10</v>
      </c>
      <c r="F21" s="40">
        <v>7.5</v>
      </c>
      <c r="G21" s="40">
        <v>16.615384615384617</v>
      </c>
      <c r="H21" s="41">
        <v>22.5</v>
      </c>
      <c r="I21" s="41">
        <v>5.5</v>
      </c>
      <c r="J21" s="41">
        <v>28</v>
      </c>
      <c r="K21" s="42">
        <v>1E-14</v>
      </c>
      <c r="L21" s="41">
        <v>1E-14</v>
      </c>
      <c r="M21" s="42">
        <v>1E-14</v>
      </c>
      <c r="N21" s="40">
        <v>0.65</v>
      </c>
      <c r="O21" s="43">
        <v>40</v>
      </c>
      <c r="R21" s="160" t="s">
        <v>143</v>
      </c>
      <c r="S21" s="57">
        <v>1E-14</v>
      </c>
      <c r="T21" s="25">
        <v>31</v>
      </c>
      <c r="U21" s="25">
        <v>28</v>
      </c>
      <c r="V21" s="25">
        <v>31</v>
      </c>
      <c r="W21" s="25">
        <v>30</v>
      </c>
      <c r="X21" s="25">
        <v>31</v>
      </c>
      <c r="Y21" s="25">
        <v>30</v>
      </c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</row>
    <row r="22" spans="1:55" x14ac:dyDescent="0.25">
      <c r="B22" s="147" t="s">
        <v>141</v>
      </c>
      <c r="C22" s="39">
        <v>1</v>
      </c>
      <c r="D22" s="39">
        <v>2</v>
      </c>
      <c r="E22" s="39">
        <v>1E-14</v>
      </c>
      <c r="F22" s="44">
        <v>1E-14</v>
      </c>
      <c r="G22" s="44">
        <v>1E-14</v>
      </c>
      <c r="H22" s="41">
        <v>10.5</v>
      </c>
      <c r="I22" s="41">
        <v>1E-14</v>
      </c>
      <c r="J22" s="41">
        <v>10.5</v>
      </c>
      <c r="K22" s="42">
        <v>1E-14</v>
      </c>
      <c r="L22" s="41">
        <v>1E-14</v>
      </c>
      <c r="M22" s="42">
        <v>1E-14</v>
      </c>
      <c r="N22" s="40">
        <v>0.85</v>
      </c>
      <c r="O22" s="43">
        <v>25</v>
      </c>
      <c r="R22" s="27" t="s">
        <v>84</v>
      </c>
      <c r="S22" s="57">
        <v>1E-14</v>
      </c>
      <c r="T22" s="1">
        <v>35300</v>
      </c>
      <c r="U22" s="1">
        <v>32000</v>
      </c>
      <c r="V22" s="1">
        <v>29500</v>
      </c>
      <c r="W22" s="1">
        <v>20000</v>
      </c>
      <c r="X22" s="1">
        <v>13000</v>
      </c>
      <c r="Y22" s="1">
        <v>7500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x14ac:dyDescent="0.25">
      <c r="B23" s="147" t="s">
        <v>81</v>
      </c>
      <c r="C23" s="39">
        <v>1</v>
      </c>
      <c r="D23" s="39">
        <v>3</v>
      </c>
      <c r="E23" s="39">
        <v>9</v>
      </c>
      <c r="F23" s="44">
        <v>1E-14</v>
      </c>
      <c r="G23" s="44">
        <v>1E-14</v>
      </c>
      <c r="H23" s="41">
        <v>8</v>
      </c>
      <c r="I23" s="41">
        <v>1E-14</v>
      </c>
      <c r="J23" s="41">
        <v>8</v>
      </c>
      <c r="K23" s="42">
        <v>1E-14</v>
      </c>
      <c r="L23" s="41">
        <v>1E-14</v>
      </c>
      <c r="M23" s="42">
        <v>1E-14</v>
      </c>
      <c r="N23" s="40">
        <v>1</v>
      </c>
      <c r="O23" s="43">
        <v>5</v>
      </c>
      <c r="R23" s="27" t="s">
        <v>163</v>
      </c>
      <c r="S23" s="57">
        <v>1E-14</v>
      </c>
      <c r="T23" s="1">
        <v>4000</v>
      </c>
      <c r="U23" s="1">
        <v>1E-14</v>
      </c>
      <c r="V23" s="1">
        <v>1E-14</v>
      </c>
      <c r="W23" s="1">
        <v>1E-14</v>
      </c>
      <c r="X23" s="1">
        <v>1E-14</v>
      </c>
      <c r="Y23" s="1">
        <v>1E-14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x14ac:dyDescent="0.25">
      <c r="B24" s="147" t="s">
        <v>142</v>
      </c>
      <c r="C24" s="39">
        <v>1</v>
      </c>
      <c r="D24" s="39">
        <v>4</v>
      </c>
      <c r="E24" s="39">
        <v>1E-14</v>
      </c>
      <c r="F24" s="44">
        <v>1E-14</v>
      </c>
      <c r="G24" s="44">
        <v>1E-14</v>
      </c>
      <c r="H24" s="41">
        <v>15</v>
      </c>
      <c r="I24" s="41">
        <v>1E-14</v>
      </c>
      <c r="J24" s="41">
        <v>15</v>
      </c>
      <c r="K24" s="42">
        <v>1E-14</v>
      </c>
      <c r="L24" s="41">
        <v>1E-14</v>
      </c>
      <c r="M24" s="42">
        <v>1E-14</v>
      </c>
      <c r="N24" s="40">
        <v>1</v>
      </c>
      <c r="O24" s="43">
        <v>10</v>
      </c>
      <c r="R24" s="27" t="s">
        <v>26</v>
      </c>
      <c r="S24" s="57">
        <v>1E-14</v>
      </c>
      <c r="T24" s="1">
        <v>5952</v>
      </c>
      <c r="U24" s="1">
        <v>5376</v>
      </c>
      <c r="V24" s="1">
        <v>5952</v>
      </c>
      <c r="W24" s="1">
        <v>5760</v>
      </c>
      <c r="X24" s="1">
        <v>5952</v>
      </c>
      <c r="Y24" s="1">
        <v>5760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x14ac:dyDescent="0.25">
      <c r="B25" s="148" t="s">
        <v>143</v>
      </c>
      <c r="C25" s="45">
        <v>1</v>
      </c>
      <c r="D25" s="45">
        <v>5</v>
      </c>
      <c r="E25" s="45">
        <v>1E-14</v>
      </c>
      <c r="F25" s="46">
        <v>1E-14</v>
      </c>
      <c r="G25" s="46">
        <v>1E-14</v>
      </c>
      <c r="H25" s="47">
        <v>100</v>
      </c>
      <c r="I25" s="47">
        <v>1E-14</v>
      </c>
      <c r="J25" s="47">
        <v>100</v>
      </c>
      <c r="K25" s="48">
        <v>1E-14</v>
      </c>
      <c r="L25" s="47">
        <v>1E-14</v>
      </c>
      <c r="M25" s="48">
        <v>1E-14</v>
      </c>
      <c r="N25" s="49">
        <v>1</v>
      </c>
      <c r="O25" s="50">
        <v>10</v>
      </c>
      <c r="R25" s="27" t="s">
        <v>66</v>
      </c>
      <c r="S25" s="57">
        <v>1E-14</v>
      </c>
      <c r="T25" s="1">
        <v>400</v>
      </c>
      <c r="U25" s="1">
        <v>400</v>
      </c>
      <c r="V25" s="1">
        <v>400</v>
      </c>
      <c r="W25" s="1">
        <v>400</v>
      </c>
      <c r="X25" s="1">
        <v>400</v>
      </c>
      <c r="Y25" s="1">
        <v>400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27" t="s">
        <v>85</v>
      </c>
      <c r="S26" s="57">
        <v>1E-14</v>
      </c>
      <c r="T26" s="1">
        <v>692.97037499999988</v>
      </c>
      <c r="U26" s="1">
        <v>725.75137499999983</v>
      </c>
      <c r="V26" s="1">
        <v>762.04462499999977</v>
      </c>
      <c r="W26" s="1">
        <v>797.16712499999971</v>
      </c>
      <c r="X26" s="1">
        <v>833.46037499999966</v>
      </c>
      <c r="Y26" s="1">
        <v>868.5828749999996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x14ac:dyDescent="0.25">
      <c r="A27" s="19"/>
      <c r="B27" s="162" t="s">
        <v>147</v>
      </c>
      <c r="C27" s="97" t="s">
        <v>124</v>
      </c>
      <c r="D27" s="97" t="s">
        <v>134</v>
      </c>
      <c r="E27" s="97" t="s">
        <v>183</v>
      </c>
      <c r="F27" s="97" t="s">
        <v>125</v>
      </c>
      <c r="G27" s="97" t="s">
        <v>126</v>
      </c>
      <c r="H27" s="97" t="s">
        <v>184</v>
      </c>
      <c r="I27" s="97" t="s">
        <v>127</v>
      </c>
      <c r="J27" s="97" t="s">
        <v>128</v>
      </c>
      <c r="K27" s="99" t="s">
        <v>162</v>
      </c>
      <c r="L27" s="97" t="s">
        <v>129</v>
      </c>
      <c r="M27" s="129" t="s">
        <v>164</v>
      </c>
      <c r="R27" s="27" t="s">
        <v>86</v>
      </c>
      <c r="S27" s="57">
        <v>1E-14</v>
      </c>
      <c r="T27" s="3">
        <v>26</v>
      </c>
      <c r="U27" s="3">
        <v>26</v>
      </c>
      <c r="V27" s="3">
        <v>26</v>
      </c>
      <c r="W27" s="3">
        <v>26</v>
      </c>
      <c r="X27" s="3">
        <v>26</v>
      </c>
      <c r="Y27" s="3">
        <v>26</v>
      </c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19"/>
      <c r="B28" s="152" t="s">
        <v>122</v>
      </c>
      <c r="C28" s="130">
        <v>1E-14</v>
      </c>
      <c r="D28" s="131">
        <v>1</v>
      </c>
      <c r="E28" s="131">
        <v>1E-14</v>
      </c>
      <c r="F28" s="91">
        <v>10000</v>
      </c>
      <c r="G28" s="91">
        <v>10000</v>
      </c>
      <c r="H28" s="91">
        <v>1E-14</v>
      </c>
      <c r="I28" s="91">
        <v>10</v>
      </c>
      <c r="J28" s="91">
        <v>30</v>
      </c>
      <c r="K28" s="91">
        <v>1E-14</v>
      </c>
      <c r="L28" s="91">
        <v>12</v>
      </c>
      <c r="M28" s="139">
        <v>1</v>
      </c>
      <c r="R28" s="27" t="s">
        <v>87</v>
      </c>
      <c r="S28" s="57">
        <v>1E-14</v>
      </c>
      <c r="T28" s="3">
        <v>31.8</v>
      </c>
      <c r="U28" s="3">
        <v>31.8</v>
      </c>
      <c r="V28" s="3">
        <v>31.8</v>
      </c>
      <c r="W28" s="3">
        <v>31.8</v>
      </c>
      <c r="X28" s="3">
        <v>31.8</v>
      </c>
      <c r="Y28" s="3">
        <v>31.8</v>
      </c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B29" s="153" t="s">
        <v>123</v>
      </c>
      <c r="C29" s="132">
        <v>1E-14</v>
      </c>
      <c r="D29" s="133">
        <v>1</v>
      </c>
      <c r="E29" s="133">
        <v>1E-14</v>
      </c>
      <c r="F29" s="92">
        <v>5000</v>
      </c>
      <c r="G29" s="92">
        <v>5000</v>
      </c>
      <c r="H29" s="92">
        <v>1E-14</v>
      </c>
      <c r="I29" s="92">
        <v>10</v>
      </c>
      <c r="J29" s="92">
        <v>15</v>
      </c>
      <c r="K29" s="92">
        <v>6</v>
      </c>
      <c r="L29" s="92">
        <v>12</v>
      </c>
      <c r="M29" s="140">
        <v>1</v>
      </c>
      <c r="R29" s="27" t="s">
        <v>117</v>
      </c>
      <c r="S29" s="57">
        <v>1E-14</v>
      </c>
      <c r="T29" s="28">
        <v>37</v>
      </c>
      <c r="U29" s="28">
        <v>37</v>
      </c>
      <c r="V29" s="28">
        <v>37</v>
      </c>
      <c r="W29" s="28">
        <v>37</v>
      </c>
      <c r="X29" s="28">
        <v>37</v>
      </c>
      <c r="Y29" s="28">
        <v>37</v>
      </c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</row>
    <row r="30" spans="1:55" s="19" customFormat="1" x14ac:dyDescent="0.25">
      <c r="B30" s="154"/>
      <c r="C30" s="134"/>
      <c r="D30" s="135"/>
      <c r="E30" s="133"/>
      <c r="F30" s="92"/>
      <c r="G30" s="92"/>
      <c r="H30" s="92"/>
      <c r="I30" s="92"/>
      <c r="J30" s="92"/>
      <c r="K30" s="92"/>
      <c r="L30" s="92"/>
      <c r="M30" s="140"/>
      <c r="Q30" s="26"/>
      <c r="R30" s="27" t="s">
        <v>189</v>
      </c>
      <c r="S30" s="57">
        <v>1E-14</v>
      </c>
      <c r="T30" s="28">
        <v>42.5</v>
      </c>
      <c r="U30" s="28">
        <v>42.5</v>
      </c>
      <c r="V30" s="28">
        <v>42.5</v>
      </c>
      <c r="W30" s="28">
        <v>42.5</v>
      </c>
      <c r="X30" s="28">
        <v>42.5</v>
      </c>
      <c r="Y30" s="28">
        <v>42.5</v>
      </c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</row>
    <row r="31" spans="1:55" s="19" customFormat="1" x14ac:dyDescent="0.25">
      <c r="B31" s="154"/>
      <c r="C31" s="134"/>
      <c r="D31" s="135"/>
      <c r="E31" s="133"/>
      <c r="F31" s="92"/>
      <c r="G31" s="92"/>
      <c r="H31" s="92"/>
      <c r="I31" s="92"/>
      <c r="J31" s="92"/>
      <c r="K31" s="92"/>
      <c r="L31" s="92"/>
      <c r="M31" s="140"/>
      <c r="Q31" s="26"/>
      <c r="R31" s="27" t="s">
        <v>190</v>
      </c>
      <c r="S31" s="57">
        <v>1E-14</v>
      </c>
      <c r="T31" s="28">
        <v>179.2</v>
      </c>
      <c r="U31" s="28">
        <v>179.2</v>
      </c>
      <c r="V31" s="28">
        <v>179.2</v>
      </c>
      <c r="W31" s="28">
        <v>179.2</v>
      </c>
      <c r="X31" s="28">
        <v>179.2</v>
      </c>
      <c r="Y31" s="28">
        <v>179.2</v>
      </c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</row>
    <row r="32" spans="1:55" s="19" customFormat="1" x14ac:dyDescent="0.25">
      <c r="B32" s="154"/>
      <c r="C32" s="134"/>
      <c r="D32" s="135"/>
      <c r="E32" s="133"/>
      <c r="F32" s="92"/>
      <c r="G32" s="92"/>
      <c r="H32" s="92"/>
      <c r="I32" s="92"/>
      <c r="J32" s="92"/>
      <c r="K32" s="92"/>
      <c r="L32" s="92"/>
      <c r="M32" s="140"/>
      <c r="Q32" s="26"/>
      <c r="R32" s="27" t="s">
        <v>118</v>
      </c>
      <c r="S32" s="57">
        <v>1E-14</v>
      </c>
      <c r="T32" s="28">
        <v>5.83</v>
      </c>
      <c r="U32" s="28">
        <v>5.83</v>
      </c>
      <c r="V32" s="28">
        <v>5.83</v>
      </c>
      <c r="W32" s="28">
        <v>5.83</v>
      </c>
      <c r="X32" s="28">
        <v>5.83</v>
      </c>
      <c r="Y32" s="28">
        <v>5.83</v>
      </c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</row>
    <row r="33" spans="2:55" x14ac:dyDescent="0.25">
      <c r="B33" s="155"/>
      <c r="C33" s="136"/>
      <c r="D33" s="137"/>
      <c r="E33" s="138"/>
      <c r="F33" s="93"/>
      <c r="G33" s="93"/>
      <c r="H33" s="93"/>
      <c r="I33" s="93"/>
      <c r="J33" s="93"/>
      <c r="K33" s="93"/>
      <c r="L33" s="93"/>
      <c r="M33" s="141"/>
      <c r="R33" s="27" t="s">
        <v>119</v>
      </c>
      <c r="S33" s="57">
        <v>1E-14</v>
      </c>
      <c r="T33" s="28">
        <v>0.5</v>
      </c>
      <c r="U33" s="28">
        <v>0.5</v>
      </c>
      <c r="V33" s="28">
        <v>0.5</v>
      </c>
      <c r="W33" s="28">
        <v>0.5</v>
      </c>
      <c r="X33" s="28">
        <v>0.5</v>
      </c>
      <c r="Y33" s="28">
        <v>0.5</v>
      </c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</row>
    <row r="34" spans="2:55" s="19" customFormat="1" x14ac:dyDescent="0.25">
      <c r="Q34" s="26"/>
      <c r="R34" s="27" t="s">
        <v>120</v>
      </c>
      <c r="S34" s="57">
        <v>1E-14</v>
      </c>
      <c r="T34" s="28">
        <v>62.37</v>
      </c>
      <c r="U34" s="28">
        <v>62.37</v>
      </c>
      <c r="V34" s="28">
        <v>62.37</v>
      </c>
      <c r="W34" s="28">
        <v>62.37</v>
      </c>
      <c r="X34" s="28">
        <v>62.37</v>
      </c>
      <c r="Y34" s="28">
        <v>62.37</v>
      </c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</row>
    <row r="35" spans="2:55" s="19" customFormat="1" x14ac:dyDescent="0.25">
      <c r="Q35" s="26"/>
      <c r="R35" s="27" t="s">
        <v>192</v>
      </c>
      <c r="S35" s="57">
        <v>1E-14</v>
      </c>
      <c r="T35" s="28">
        <v>680.72289156626493</v>
      </c>
      <c r="U35" s="28">
        <v>680.72289156626493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</row>
    <row r="36" spans="2:55" s="19" customFormat="1" x14ac:dyDescent="0.25">
      <c r="Q36" s="26"/>
      <c r="R36" s="27" t="s">
        <v>193</v>
      </c>
      <c r="S36" s="57">
        <v>1E-14</v>
      </c>
      <c r="T36" s="28">
        <v>10.843373493975903</v>
      </c>
      <c r="U36" s="28">
        <v>10.843373493975903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</row>
    <row r="37" spans="2:55" x14ac:dyDescent="0.25">
      <c r="R37" s="7"/>
      <c r="S37" s="57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</row>
    <row r="38" spans="2:55" x14ac:dyDescent="0.25">
      <c r="B38" s="163" t="s">
        <v>27</v>
      </c>
      <c r="C38" s="58" t="s">
        <v>124</v>
      </c>
      <c r="D38" s="58" t="s">
        <v>148</v>
      </c>
      <c r="E38" s="58" t="s">
        <v>149</v>
      </c>
      <c r="F38" s="58" t="s">
        <v>150</v>
      </c>
      <c r="G38" s="58" t="s">
        <v>151</v>
      </c>
      <c r="H38" s="58" t="s">
        <v>130</v>
      </c>
      <c r="I38" s="58" t="s">
        <v>131</v>
      </c>
      <c r="J38" s="58" t="s">
        <v>152</v>
      </c>
      <c r="K38" s="58" t="s">
        <v>153</v>
      </c>
      <c r="L38" s="58" t="s">
        <v>132</v>
      </c>
      <c r="M38" s="58" t="s">
        <v>133</v>
      </c>
      <c r="N38" s="58" t="s">
        <v>154</v>
      </c>
      <c r="O38" s="58" t="s">
        <v>155</v>
      </c>
      <c r="P38" s="95" t="s">
        <v>156</v>
      </c>
      <c r="Q38" s="7"/>
      <c r="R38" s="164" t="s">
        <v>68</v>
      </c>
      <c r="S38" s="165"/>
      <c r="T38" s="99" t="s">
        <v>191</v>
      </c>
      <c r="U38" s="99" t="s">
        <v>200</v>
      </c>
      <c r="V38" s="99" t="s">
        <v>201</v>
      </c>
      <c r="W38" s="99" t="s">
        <v>202</v>
      </c>
      <c r="X38" s="99" t="s">
        <v>203</v>
      </c>
      <c r="Y38" s="99" t="s">
        <v>204</v>
      </c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166"/>
    </row>
    <row r="39" spans="2:55" x14ac:dyDescent="0.25">
      <c r="B39" s="145" t="s">
        <v>0</v>
      </c>
      <c r="C39" s="142">
        <v>1E-14</v>
      </c>
      <c r="D39" s="142">
        <v>1</v>
      </c>
      <c r="E39" s="142">
        <v>1</v>
      </c>
      <c r="F39" s="142">
        <v>1E-14</v>
      </c>
      <c r="G39" s="142">
        <v>1</v>
      </c>
      <c r="H39" s="142">
        <v>1</v>
      </c>
      <c r="I39" s="142">
        <v>1</v>
      </c>
      <c r="J39" s="94">
        <v>9093</v>
      </c>
      <c r="K39" s="94">
        <v>9093</v>
      </c>
      <c r="L39" s="94">
        <v>1E-14</v>
      </c>
      <c r="M39" s="94">
        <v>1E-14</v>
      </c>
      <c r="N39" s="94">
        <v>525</v>
      </c>
      <c r="O39" s="94">
        <v>10.5</v>
      </c>
      <c r="P39" s="94">
        <v>37</v>
      </c>
      <c r="Q39"/>
      <c r="R39" s="144" t="s">
        <v>0</v>
      </c>
      <c r="S39" s="77" t="s">
        <v>157</v>
      </c>
      <c r="T39" s="78">
        <v>757.75</v>
      </c>
      <c r="U39" s="78">
        <v>757.75</v>
      </c>
      <c r="V39" s="78">
        <v>757.75</v>
      </c>
      <c r="W39" s="78">
        <v>757.75</v>
      </c>
      <c r="X39" s="78">
        <v>757.75</v>
      </c>
      <c r="Y39" s="78">
        <v>757.75</v>
      </c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</row>
    <row r="40" spans="2:55" x14ac:dyDescent="0.25">
      <c r="B40" s="146" t="s">
        <v>1</v>
      </c>
      <c r="C40" s="143">
        <v>1E-14</v>
      </c>
      <c r="D40" s="143">
        <v>1</v>
      </c>
      <c r="E40" s="143">
        <v>1</v>
      </c>
      <c r="F40" s="143">
        <v>1E-14</v>
      </c>
      <c r="G40" s="143">
        <v>1</v>
      </c>
      <c r="H40" s="143">
        <v>1</v>
      </c>
      <c r="I40" s="143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37</v>
      </c>
      <c r="Q40"/>
      <c r="R40" s="144" t="s">
        <v>0</v>
      </c>
      <c r="S40" s="77" t="s">
        <v>158</v>
      </c>
      <c r="T40" s="78">
        <v>757.75</v>
      </c>
      <c r="U40" s="78">
        <v>757.75</v>
      </c>
      <c r="V40" s="78">
        <v>757.75</v>
      </c>
      <c r="W40" s="78">
        <v>757.75</v>
      </c>
      <c r="X40" s="78">
        <v>757.75</v>
      </c>
      <c r="Y40" s="78">
        <v>757.75</v>
      </c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</row>
    <row r="41" spans="2:55" x14ac:dyDescent="0.25">
      <c r="B41" s="146" t="s">
        <v>2</v>
      </c>
      <c r="C41" s="143">
        <v>1E-14</v>
      </c>
      <c r="D41" s="143">
        <v>1</v>
      </c>
      <c r="E41" s="143">
        <v>1</v>
      </c>
      <c r="F41" s="143">
        <v>1E-14</v>
      </c>
      <c r="G41" s="143">
        <v>1</v>
      </c>
      <c r="H41" s="143">
        <v>1</v>
      </c>
      <c r="I41" s="143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37</v>
      </c>
      <c r="Q41"/>
      <c r="R41" s="144" t="s">
        <v>0</v>
      </c>
      <c r="S41" s="77" t="s">
        <v>159</v>
      </c>
      <c r="T41" s="78">
        <v>10.5</v>
      </c>
      <c r="U41" s="78">
        <v>10.5</v>
      </c>
      <c r="V41" s="78">
        <v>10.5</v>
      </c>
      <c r="W41" s="78">
        <v>10.5</v>
      </c>
      <c r="X41" s="78">
        <v>10.5</v>
      </c>
      <c r="Y41" s="78">
        <v>10.5</v>
      </c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</row>
    <row r="42" spans="2:55" x14ac:dyDescent="0.25">
      <c r="B42" s="146" t="s">
        <v>3</v>
      </c>
      <c r="C42" s="143">
        <v>1</v>
      </c>
      <c r="D42" s="143">
        <v>1</v>
      </c>
      <c r="E42" s="143">
        <v>1E-14</v>
      </c>
      <c r="F42" s="143">
        <v>1E-14</v>
      </c>
      <c r="G42" s="143">
        <v>1</v>
      </c>
      <c r="H42" s="143">
        <v>1</v>
      </c>
      <c r="I42" s="143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37</v>
      </c>
      <c r="Q42"/>
      <c r="R42" s="144" t="s">
        <v>0</v>
      </c>
      <c r="S42" s="77" t="s">
        <v>160</v>
      </c>
      <c r="T42" s="78">
        <v>525</v>
      </c>
      <c r="U42" s="78">
        <v>525</v>
      </c>
      <c r="V42" s="78">
        <v>525</v>
      </c>
      <c r="W42" s="78">
        <v>525</v>
      </c>
      <c r="X42" s="78">
        <v>525</v>
      </c>
      <c r="Y42" s="78">
        <v>525</v>
      </c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</row>
    <row r="43" spans="2:55" x14ac:dyDescent="0.25">
      <c r="B43" s="146" t="s">
        <v>4</v>
      </c>
      <c r="C43" s="143">
        <v>1E-14</v>
      </c>
      <c r="D43" s="143">
        <v>1</v>
      </c>
      <c r="E43" s="143">
        <v>1E-14</v>
      </c>
      <c r="F43" s="143">
        <v>1E-14</v>
      </c>
      <c r="G43" s="143">
        <v>1</v>
      </c>
      <c r="H43" s="143">
        <v>1E-14</v>
      </c>
      <c r="I43" s="143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37</v>
      </c>
      <c r="Q43"/>
      <c r="R43" s="144" t="s">
        <v>0</v>
      </c>
      <c r="S43" s="77" t="s">
        <v>161</v>
      </c>
      <c r="T43" s="78">
        <v>37</v>
      </c>
      <c r="U43" s="78">
        <v>37</v>
      </c>
      <c r="V43" s="78">
        <v>37</v>
      </c>
      <c r="W43" s="78">
        <v>37</v>
      </c>
      <c r="X43" s="78">
        <v>37</v>
      </c>
      <c r="Y43" s="78">
        <v>37</v>
      </c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</row>
    <row r="44" spans="2:55" x14ac:dyDescent="0.25">
      <c r="B44" s="146" t="s">
        <v>5</v>
      </c>
      <c r="C44" s="143">
        <v>1E-14</v>
      </c>
      <c r="D44" s="143">
        <v>1</v>
      </c>
      <c r="E44" s="143">
        <v>1E-14</v>
      </c>
      <c r="F44" s="143">
        <v>1E-14</v>
      </c>
      <c r="G44" s="143">
        <v>1</v>
      </c>
      <c r="H44" s="143">
        <v>1</v>
      </c>
      <c r="I44" s="143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37</v>
      </c>
      <c r="Q44"/>
      <c r="R44" s="144" t="s">
        <v>1</v>
      </c>
      <c r="S44" s="77" t="s">
        <v>157</v>
      </c>
      <c r="T44" s="78">
        <v>1E-14</v>
      </c>
      <c r="U44" s="78">
        <v>1E-14</v>
      </c>
      <c r="V44" s="78">
        <v>1E-14</v>
      </c>
      <c r="W44" s="78">
        <v>1E-14</v>
      </c>
      <c r="X44" s="78">
        <v>1E-14</v>
      </c>
      <c r="Y44" s="78">
        <v>1E-14</v>
      </c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</row>
    <row r="45" spans="2:55" x14ac:dyDescent="0.25">
      <c r="B45" s="146" t="s">
        <v>6</v>
      </c>
      <c r="C45" s="143">
        <v>1E-14</v>
      </c>
      <c r="D45" s="143">
        <v>1</v>
      </c>
      <c r="E45" s="143">
        <v>1E-14</v>
      </c>
      <c r="F45" s="143">
        <v>1E-14</v>
      </c>
      <c r="G45" s="143">
        <v>1</v>
      </c>
      <c r="H45" s="143">
        <v>1</v>
      </c>
      <c r="I45" s="143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37</v>
      </c>
      <c r="Q45"/>
      <c r="R45" s="144" t="s">
        <v>1</v>
      </c>
      <c r="S45" s="77" t="s">
        <v>158</v>
      </c>
      <c r="T45" s="78">
        <v>1E-14</v>
      </c>
      <c r="U45" s="78">
        <v>1E-14</v>
      </c>
      <c r="V45" s="78">
        <v>1E-14</v>
      </c>
      <c r="W45" s="78">
        <v>1E-14</v>
      </c>
      <c r="X45" s="78">
        <v>1E-14</v>
      </c>
      <c r="Y45" s="78">
        <v>1E-14</v>
      </c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</row>
    <row r="46" spans="2:55" x14ac:dyDescent="0.25">
      <c r="B46" s="146" t="s">
        <v>7</v>
      </c>
      <c r="C46" s="143">
        <v>1E-14</v>
      </c>
      <c r="D46" s="143">
        <v>1</v>
      </c>
      <c r="E46" s="143">
        <v>1E-14</v>
      </c>
      <c r="F46" s="143">
        <v>1E-14</v>
      </c>
      <c r="G46" s="143">
        <v>1</v>
      </c>
      <c r="H46" s="143">
        <v>1</v>
      </c>
      <c r="I46" s="143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37</v>
      </c>
      <c r="Q46"/>
      <c r="R46" s="144" t="s">
        <v>1</v>
      </c>
      <c r="S46" s="77" t="s">
        <v>159</v>
      </c>
      <c r="T46" s="78">
        <v>10.5</v>
      </c>
      <c r="U46" s="78">
        <v>10.5</v>
      </c>
      <c r="V46" s="78">
        <v>10.5</v>
      </c>
      <c r="W46" s="78">
        <v>10.5</v>
      </c>
      <c r="X46" s="78">
        <v>10.5</v>
      </c>
      <c r="Y46" s="78">
        <v>10.5</v>
      </c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</row>
    <row r="47" spans="2:55" x14ac:dyDescent="0.25">
      <c r="B47" s="146" t="s">
        <v>8</v>
      </c>
      <c r="C47" s="143">
        <v>1E-14</v>
      </c>
      <c r="D47" s="143">
        <v>1</v>
      </c>
      <c r="E47" s="143">
        <v>1E-14</v>
      </c>
      <c r="F47" s="143">
        <v>1E-14</v>
      </c>
      <c r="G47" s="143">
        <v>1</v>
      </c>
      <c r="H47" s="143">
        <v>1</v>
      </c>
      <c r="I47" s="143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37</v>
      </c>
      <c r="Q47"/>
      <c r="R47" s="144" t="s">
        <v>1</v>
      </c>
      <c r="S47" s="77" t="s">
        <v>160</v>
      </c>
      <c r="T47" s="78">
        <v>1E-14</v>
      </c>
      <c r="U47" s="78">
        <v>1E-14</v>
      </c>
      <c r="V47" s="78">
        <v>1E-14</v>
      </c>
      <c r="W47" s="78">
        <v>1E-14</v>
      </c>
      <c r="X47" s="78">
        <v>1E-14</v>
      </c>
      <c r="Y47" s="78">
        <v>1E-14</v>
      </c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</row>
    <row r="48" spans="2:55" x14ac:dyDescent="0.25">
      <c r="B48" s="146" t="s">
        <v>9</v>
      </c>
      <c r="C48" s="143">
        <v>1E-14</v>
      </c>
      <c r="D48" s="143">
        <v>1</v>
      </c>
      <c r="E48" s="143">
        <v>1E-14</v>
      </c>
      <c r="F48" s="143">
        <v>1E-14</v>
      </c>
      <c r="G48" s="143">
        <v>1</v>
      </c>
      <c r="H48" s="143">
        <v>1</v>
      </c>
      <c r="I48" s="143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37</v>
      </c>
      <c r="Q48"/>
      <c r="R48" s="144" t="s">
        <v>1</v>
      </c>
      <c r="S48" s="77" t="s">
        <v>161</v>
      </c>
      <c r="T48" s="78">
        <v>37</v>
      </c>
      <c r="U48" s="78">
        <v>37</v>
      </c>
      <c r="V48" s="78">
        <v>37</v>
      </c>
      <c r="W48" s="78">
        <v>37</v>
      </c>
      <c r="X48" s="78">
        <v>37</v>
      </c>
      <c r="Y48" s="78">
        <v>37</v>
      </c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</row>
    <row r="49" spans="2:55" x14ac:dyDescent="0.25">
      <c r="B49" s="146" t="s">
        <v>10</v>
      </c>
      <c r="C49" s="143">
        <v>1E-14</v>
      </c>
      <c r="D49" s="143">
        <v>1</v>
      </c>
      <c r="E49" s="143">
        <v>1</v>
      </c>
      <c r="F49" s="143">
        <v>1E-14</v>
      </c>
      <c r="G49" s="143">
        <v>1</v>
      </c>
      <c r="H49" s="143">
        <v>1</v>
      </c>
      <c r="I49" s="143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37</v>
      </c>
      <c r="Q49"/>
      <c r="R49" s="144" t="s">
        <v>2</v>
      </c>
      <c r="S49" s="77" t="s">
        <v>157</v>
      </c>
      <c r="T49" s="78">
        <v>1E-14</v>
      </c>
      <c r="U49" s="78">
        <v>1E-14</v>
      </c>
      <c r="V49" s="78">
        <v>1E-14</v>
      </c>
      <c r="W49" s="78">
        <v>1E-14</v>
      </c>
      <c r="X49" s="78">
        <v>1E-14</v>
      </c>
      <c r="Y49" s="78">
        <v>1E-14</v>
      </c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</row>
    <row r="50" spans="2:55" x14ac:dyDescent="0.25">
      <c r="B50" s="146" t="s">
        <v>11</v>
      </c>
      <c r="C50" s="143">
        <v>1E-14</v>
      </c>
      <c r="D50" s="143">
        <v>1</v>
      </c>
      <c r="E50" s="143">
        <v>1E-14</v>
      </c>
      <c r="F50" s="143">
        <v>1E-14</v>
      </c>
      <c r="G50" s="143">
        <v>1</v>
      </c>
      <c r="H50" s="143">
        <v>1</v>
      </c>
      <c r="I50" s="143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37</v>
      </c>
      <c r="Q50"/>
      <c r="R50" s="144" t="s">
        <v>2</v>
      </c>
      <c r="S50" s="77" t="s">
        <v>158</v>
      </c>
      <c r="T50" s="78">
        <v>1E-14</v>
      </c>
      <c r="U50" s="78">
        <v>1E-14</v>
      </c>
      <c r="V50" s="78">
        <v>1E-14</v>
      </c>
      <c r="W50" s="78">
        <v>1E-14</v>
      </c>
      <c r="X50" s="78">
        <v>1E-14</v>
      </c>
      <c r="Y50" s="78">
        <v>1E-14</v>
      </c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</row>
    <row r="51" spans="2:55" x14ac:dyDescent="0.25">
      <c r="B51" s="146" t="s">
        <v>12</v>
      </c>
      <c r="C51" s="143">
        <v>1E-14</v>
      </c>
      <c r="D51" s="143">
        <v>1</v>
      </c>
      <c r="E51" s="143">
        <v>1E-14</v>
      </c>
      <c r="F51" s="143">
        <v>1E-14</v>
      </c>
      <c r="G51" s="143">
        <v>1</v>
      </c>
      <c r="H51" s="143">
        <v>1</v>
      </c>
      <c r="I51" s="143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37</v>
      </c>
      <c r="Q51"/>
      <c r="R51" s="144" t="s">
        <v>2</v>
      </c>
      <c r="S51" s="77" t="s">
        <v>159</v>
      </c>
      <c r="T51" s="78">
        <v>10.5</v>
      </c>
      <c r="U51" s="78">
        <v>10.5</v>
      </c>
      <c r="V51" s="78">
        <v>10.5</v>
      </c>
      <c r="W51" s="78">
        <v>10.5</v>
      </c>
      <c r="X51" s="78">
        <v>10.5</v>
      </c>
      <c r="Y51" s="78">
        <v>10.5</v>
      </c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</row>
    <row r="52" spans="2:55" x14ac:dyDescent="0.25">
      <c r="B52" s="146" t="s">
        <v>13</v>
      </c>
      <c r="C52" s="143">
        <v>1E-14</v>
      </c>
      <c r="D52" s="143">
        <v>1</v>
      </c>
      <c r="E52" s="143">
        <v>1E-14</v>
      </c>
      <c r="F52" s="143">
        <v>1E-14</v>
      </c>
      <c r="G52" s="143">
        <v>1</v>
      </c>
      <c r="H52" s="143">
        <v>1</v>
      </c>
      <c r="I52" s="143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37</v>
      </c>
      <c r="Q52"/>
      <c r="R52" s="144" t="s">
        <v>2</v>
      </c>
      <c r="S52" s="77" t="s">
        <v>160</v>
      </c>
      <c r="T52" s="78">
        <v>1E-14</v>
      </c>
      <c r="U52" s="78">
        <v>1E-14</v>
      </c>
      <c r="V52" s="78">
        <v>1E-14</v>
      </c>
      <c r="W52" s="78">
        <v>1E-14</v>
      </c>
      <c r="X52" s="78">
        <v>1E-14</v>
      </c>
      <c r="Y52" s="78">
        <v>1E-14</v>
      </c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</row>
    <row r="53" spans="2:55" x14ac:dyDescent="0.25">
      <c r="B53" s="146" t="s">
        <v>14</v>
      </c>
      <c r="C53" s="143">
        <v>1</v>
      </c>
      <c r="D53" s="143">
        <v>1</v>
      </c>
      <c r="E53" s="143">
        <v>1E-14</v>
      </c>
      <c r="F53" s="143">
        <v>1E-14</v>
      </c>
      <c r="G53" s="143">
        <v>1</v>
      </c>
      <c r="H53" s="143">
        <v>1</v>
      </c>
      <c r="I53" s="143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37</v>
      </c>
      <c r="Q53"/>
      <c r="R53" s="144" t="s">
        <v>2</v>
      </c>
      <c r="S53" s="77" t="s">
        <v>161</v>
      </c>
      <c r="T53" s="78">
        <v>37</v>
      </c>
      <c r="U53" s="78">
        <v>37</v>
      </c>
      <c r="V53" s="78">
        <v>37</v>
      </c>
      <c r="W53" s="78">
        <v>37</v>
      </c>
      <c r="X53" s="78">
        <v>37</v>
      </c>
      <c r="Y53" s="78">
        <v>37</v>
      </c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</row>
    <row r="54" spans="2:55" x14ac:dyDescent="0.25">
      <c r="B54" s="146" t="s">
        <v>15</v>
      </c>
      <c r="C54" s="143">
        <v>1E-14</v>
      </c>
      <c r="D54" s="143">
        <v>1</v>
      </c>
      <c r="E54" s="143">
        <v>1E-14</v>
      </c>
      <c r="F54" s="143">
        <v>1E-14</v>
      </c>
      <c r="G54" s="143">
        <v>1</v>
      </c>
      <c r="H54" s="143">
        <v>1</v>
      </c>
      <c r="I54" s="143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37</v>
      </c>
      <c r="Q54"/>
      <c r="R54" s="144" t="s">
        <v>3</v>
      </c>
      <c r="S54" s="77" t="s">
        <v>157</v>
      </c>
      <c r="T54" s="78">
        <v>2405.75</v>
      </c>
      <c r="U54" s="78">
        <v>2405.75</v>
      </c>
      <c r="V54" s="78">
        <v>2405.75</v>
      </c>
      <c r="W54" s="78">
        <v>2405.75</v>
      </c>
      <c r="X54" s="78">
        <v>2405.75</v>
      </c>
      <c r="Y54" s="78">
        <v>2405.75</v>
      </c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</row>
    <row r="55" spans="2:55" x14ac:dyDescent="0.25">
      <c r="B55" s="146" t="s">
        <v>16</v>
      </c>
      <c r="C55" s="143">
        <v>1E-14</v>
      </c>
      <c r="D55" s="143">
        <v>1</v>
      </c>
      <c r="E55" s="143">
        <v>1</v>
      </c>
      <c r="F55" s="143">
        <v>1E-14</v>
      </c>
      <c r="G55" s="143">
        <v>1</v>
      </c>
      <c r="H55" s="143">
        <v>1</v>
      </c>
      <c r="I55" s="143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37</v>
      </c>
      <c r="Q55"/>
      <c r="R55" s="144" t="s">
        <v>3</v>
      </c>
      <c r="S55" s="77" t="s">
        <v>158</v>
      </c>
      <c r="T55" s="78">
        <v>2405.75</v>
      </c>
      <c r="U55" s="78">
        <v>2405.75</v>
      </c>
      <c r="V55" s="78">
        <v>2405.75</v>
      </c>
      <c r="W55" s="78">
        <v>2405.75</v>
      </c>
      <c r="X55" s="78">
        <v>2405.75</v>
      </c>
      <c r="Y55" s="78">
        <v>2405.75</v>
      </c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</row>
    <row r="56" spans="2:55" x14ac:dyDescent="0.25">
      <c r="B56" s="146" t="s">
        <v>18</v>
      </c>
      <c r="C56" s="143">
        <v>1E-14</v>
      </c>
      <c r="D56" s="143">
        <v>1</v>
      </c>
      <c r="E56" s="143">
        <v>1</v>
      </c>
      <c r="F56" s="143">
        <v>1E-14</v>
      </c>
      <c r="G56" s="143">
        <v>1</v>
      </c>
      <c r="H56" s="143">
        <v>1</v>
      </c>
      <c r="I56" s="143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37</v>
      </c>
      <c r="Q56"/>
      <c r="R56" s="144" t="s">
        <v>3</v>
      </c>
      <c r="S56" s="77" t="s">
        <v>159</v>
      </c>
      <c r="T56" s="78">
        <v>9.4</v>
      </c>
      <c r="U56" s="78">
        <v>9.4</v>
      </c>
      <c r="V56" s="78">
        <v>9.4</v>
      </c>
      <c r="W56" s="78">
        <v>9.4</v>
      </c>
      <c r="X56" s="78">
        <v>9.4</v>
      </c>
      <c r="Y56" s="78">
        <v>9.4</v>
      </c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</row>
    <row r="57" spans="2:55" x14ac:dyDescent="0.25">
      <c r="B57" s="146" t="s">
        <v>19</v>
      </c>
      <c r="C57" s="143">
        <v>1E-14</v>
      </c>
      <c r="D57" s="143">
        <v>1</v>
      </c>
      <c r="E57" s="143">
        <v>1E-14</v>
      </c>
      <c r="F57" s="143">
        <v>1E-14</v>
      </c>
      <c r="G57" s="143">
        <v>1</v>
      </c>
      <c r="H57" s="143">
        <v>1</v>
      </c>
      <c r="I57" s="143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37</v>
      </c>
      <c r="Q57"/>
      <c r="R57" s="144" t="s">
        <v>3</v>
      </c>
      <c r="S57" s="77" t="s">
        <v>160</v>
      </c>
      <c r="T57" s="78">
        <v>525</v>
      </c>
      <c r="U57" s="78">
        <v>525</v>
      </c>
      <c r="V57" s="78">
        <v>525</v>
      </c>
      <c r="W57" s="78">
        <v>525</v>
      </c>
      <c r="X57" s="78">
        <v>525</v>
      </c>
      <c r="Y57" s="78">
        <v>525</v>
      </c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</row>
    <row r="58" spans="2:55" x14ac:dyDescent="0.25">
      <c r="B58" s="146" t="s">
        <v>20</v>
      </c>
      <c r="C58" s="143">
        <v>1E-14</v>
      </c>
      <c r="D58" s="143">
        <v>1</v>
      </c>
      <c r="E58" s="143">
        <v>1E-14</v>
      </c>
      <c r="F58" s="143">
        <v>1E-14</v>
      </c>
      <c r="G58" s="143">
        <v>1</v>
      </c>
      <c r="H58" s="143">
        <v>1</v>
      </c>
      <c r="I58" s="143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37</v>
      </c>
      <c r="Q58"/>
      <c r="R58" s="144" t="s">
        <v>3</v>
      </c>
      <c r="S58" s="77" t="s">
        <v>161</v>
      </c>
      <c r="T58" s="78">
        <v>37</v>
      </c>
      <c r="U58" s="78">
        <v>37</v>
      </c>
      <c r="V58" s="78">
        <v>37</v>
      </c>
      <c r="W58" s="78">
        <v>37</v>
      </c>
      <c r="X58" s="78">
        <v>37</v>
      </c>
      <c r="Y58" s="78">
        <v>37</v>
      </c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</row>
    <row r="59" spans="2:55" x14ac:dyDescent="0.25">
      <c r="B59" s="146" t="s">
        <v>17</v>
      </c>
      <c r="C59" s="143">
        <v>1E-14</v>
      </c>
      <c r="D59" s="143">
        <v>1</v>
      </c>
      <c r="E59" s="143">
        <v>1</v>
      </c>
      <c r="F59" s="143">
        <v>1E-14</v>
      </c>
      <c r="G59" s="143">
        <v>1</v>
      </c>
      <c r="H59" s="143">
        <v>1</v>
      </c>
      <c r="I59" s="143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-450</v>
      </c>
      <c r="O59" s="18">
        <v>9</v>
      </c>
      <c r="P59" s="18">
        <v>1E-14</v>
      </c>
      <c r="Q59"/>
      <c r="R59" s="144" t="s">
        <v>4</v>
      </c>
      <c r="S59" s="77" t="s">
        <v>157</v>
      </c>
      <c r="T59" s="78">
        <v>291.66666666666669</v>
      </c>
      <c r="U59" s="78">
        <v>291.66666666666669</v>
      </c>
      <c r="V59" s="78">
        <v>291.66666666666669</v>
      </c>
      <c r="W59" s="78">
        <v>291.66666666666669</v>
      </c>
      <c r="X59" s="78">
        <v>291.66666666666669</v>
      </c>
      <c r="Y59" s="78">
        <v>291.66666666666669</v>
      </c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</row>
    <row r="60" spans="2:55" x14ac:dyDescent="0.25">
      <c r="B60" s="146" t="s">
        <v>32</v>
      </c>
      <c r="C60" s="143">
        <v>1</v>
      </c>
      <c r="D60" s="143">
        <v>1</v>
      </c>
      <c r="E60" s="143">
        <v>1</v>
      </c>
      <c r="F60" s="143">
        <v>1</v>
      </c>
      <c r="G60" s="143">
        <v>1</v>
      </c>
      <c r="H60" s="143">
        <v>1</v>
      </c>
      <c r="I60" s="143">
        <v>1</v>
      </c>
      <c r="J60" s="18">
        <v>1E-14</v>
      </c>
      <c r="K60" s="18">
        <v>50000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/>
      <c r="R60" s="144" t="s">
        <v>4</v>
      </c>
      <c r="S60" s="77" t="s">
        <v>158</v>
      </c>
      <c r="T60" s="78">
        <v>291.66666666666669</v>
      </c>
      <c r="U60" s="78">
        <v>291.66666666666669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</row>
    <row r="61" spans="2:55" x14ac:dyDescent="0.25">
      <c r="B61" s="146" t="s">
        <v>33</v>
      </c>
      <c r="C61" s="143">
        <v>1E-14</v>
      </c>
      <c r="D61" s="143">
        <v>1</v>
      </c>
      <c r="E61" s="143">
        <v>1E-14</v>
      </c>
      <c r="F61" s="143">
        <v>1</v>
      </c>
      <c r="G61" s="143">
        <v>1</v>
      </c>
      <c r="H61" s="143">
        <v>1</v>
      </c>
      <c r="I61" s="143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37</v>
      </c>
      <c r="Q61"/>
      <c r="R61" s="144" t="s">
        <v>4</v>
      </c>
      <c r="S61" s="77" t="s">
        <v>159</v>
      </c>
      <c r="T61" s="78">
        <v>10.5</v>
      </c>
      <c r="U61" s="78">
        <v>10.5</v>
      </c>
      <c r="V61" s="78">
        <v>10.5</v>
      </c>
      <c r="W61" s="78">
        <v>10.5</v>
      </c>
      <c r="X61" s="78">
        <v>10.5</v>
      </c>
      <c r="Y61" s="78">
        <v>10.5</v>
      </c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</row>
    <row r="62" spans="2:55" x14ac:dyDescent="0.25">
      <c r="B62" s="146" t="s">
        <v>69</v>
      </c>
      <c r="C62" s="143">
        <v>1E-14</v>
      </c>
      <c r="D62" s="143">
        <v>1</v>
      </c>
      <c r="E62" s="143">
        <v>1E-14</v>
      </c>
      <c r="F62" s="143">
        <v>1</v>
      </c>
      <c r="G62" s="143">
        <v>1</v>
      </c>
      <c r="H62" s="143">
        <v>1E-14</v>
      </c>
      <c r="I62" s="143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37</v>
      </c>
      <c r="Q62"/>
      <c r="R62" s="144" t="s">
        <v>4</v>
      </c>
      <c r="S62" s="77" t="s">
        <v>160</v>
      </c>
      <c r="T62" s="78">
        <v>525</v>
      </c>
      <c r="U62" s="78">
        <v>525</v>
      </c>
      <c r="V62" s="78">
        <v>525</v>
      </c>
      <c r="W62" s="78">
        <v>525</v>
      </c>
      <c r="X62" s="78">
        <v>525</v>
      </c>
      <c r="Y62" s="78">
        <v>525</v>
      </c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</row>
    <row r="63" spans="2:55" x14ac:dyDescent="0.25">
      <c r="B63" s="146" t="s">
        <v>70</v>
      </c>
      <c r="C63" s="143">
        <v>1E-14</v>
      </c>
      <c r="D63" s="143">
        <v>1</v>
      </c>
      <c r="E63" s="143">
        <v>1E-14</v>
      </c>
      <c r="F63" s="143">
        <v>1</v>
      </c>
      <c r="G63" s="143">
        <v>1</v>
      </c>
      <c r="H63" s="143">
        <v>1E-14</v>
      </c>
      <c r="I63" s="143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37</v>
      </c>
      <c r="Q63"/>
      <c r="R63" s="144" t="s">
        <v>4</v>
      </c>
      <c r="S63" s="77" t="s">
        <v>161</v>
      </c>
      <c r="T63" s="78">
        <v>37</v>
      </c>
      <c r="U63" s="78">
        <v>37</v>
      </c>
      <c r="V63" s="78">
        <v>37</v>
      </c>
      <c r="W63" s="78">
        <v>37</v>
      </c>
      <c r="X63" s="78">
        <v>37</v>
      </c>
      <c r="Y63" s="78">
        <v>37</v>
      </c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</row>
    <row r="64" spans="2:55" x14ac:dyDescent="0.25">
      <c r="B64" s="146" t="s">
        <v>71</v>
      </c>
      <c r="C64" s="143">
        <v>1E-14</v>
      </c>
      <c r="D64" s="143">
        <v>1</v>
      </c>
      <c r="E64" s="143">
        <v>1E-14</v>
      </c>
      <c r="F64" s="143">
        <v>1</v>
      </c>
      <c r="G64" s="143">
        <v>1</v>
      </c>
      <c r="H64" s="143">
        <v>1E-14</v>
      </c>
      <c r="I64" s="143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37</v>
      </c>
      <c r="Q64"/>
      <c r="R64" s="144" t="s">
        <v>5</v>
      </c>
      <c r="S64" s="77" t="s">
        <v>157</v>
      </c>
      <c r="T64" s="78">
        <v>1E-14</v>
      </c>
      <c r="U64" s="78">
        <v>1E-14</v>
      </c>
      <c r="V64" s="78">
        <v>1E-14</v>
      </c>
      <c r="W64" s="78">
        <v>1E-14</v>
      </c>
      <c r="X64" s="78">
        <v>1E-14</v>
      </c>
      <c r="Y64" s="78">
        <v>1E-14</v>
      </c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</row>
    <row r="65" spans="2:55" x14ac:dyDescent="0.25">
      <c r="B65" s="146" t="s">
        <v>21</v>
      </c>
      <c r="C65" s="143">
        <v>1</v>
      </c>
      <c r="D65" s="143">
        <v>2</v>
      </c>
      <c r="E65" s="143">
        <v>1E-14</v>
      </c>
      <c r="F65" s="143">
        <v>1</v>
      </c>
      <c r="G65" s="143">
        <v>1E-14</v>
      </c>
      <c r="H65" s="143">
        <v>1E-14</v>
      </c>
      <c r="I65" s="143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/>
      <c r="R65" s="144" t="s">
        <v>5</v>
      </c>
      <c r="S65" s="77" t="s">
        <v>158</v>
      </c>
      <c r="T65" s="78">
        <v>1E-14</v>
      </c>
      <c r="U65" s="78">
        <v>1E-14</v>
      </c>
      <c r="V65" s="78">
        <v>1E-14</v>
      </c>
      <c r="W65" s="78">
        <v>1E-14</v>
      </c>
      <c r="X65" s="78">
        <v>1E-14</v>
      </c>
      <c r="Y65" s="78">
        <v>1E-14</v>
      </c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</row>
    <row r="66" spans="2:55" x14ac:dyDescent="0.25">
      <c r="B66" s="146" t="s">
        <v>22</v>
      </c>
      <c r="C66" s="143">
        <v>1</v>
      </c>
      <c r="D66" s="143">
        <v>3</v>
      </c>
      <c r="E66" s="143">
        <v>1E-14</v>
      </c>
      <c r="F66" s="143">
        <v>1</v>
      </c>
      <c r="G66" s="143">
        <v>1E-14</v>
      </c>
      <c r="H66" s="143">
        <v>1E-14</v>
      </c>
      <c r="I66" s="143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/>
      <c r="R66" s="144" t="s">
        <v>5</v>
      </c>
      <c r="S66" s="77" t="s">
        <v>159</v>
      </c>
      <c r="T66" s="78">
        <v>14.5</v>
      </c>
      <c r="U66" s="78">
        <v>14.5</v>
      </c>
      <c r="V66" s="78">
        <v>14.5</v>
      </c>
      <c r="W66" s="78">
        <v>14.5</v>
      </c>
      <c r="X66" s="78">
        <v>14.5</v>
      </c>
      <c r="Y66" s="78">
        <v>14.5</v>
      </c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</row>
    <row r="67" spans="2:55" x14ac:dyDescent="0.25">
      <c r="B67" s="146" t="s">
        <v>31</v>
      </c>
      <c r="C67" s="143">
        <v>1</v>
      </c>
      <c r="D67" s="143">
        <v>4</v>
      </c>
      <c r="E67" s="143">
        <v>1E-14</v>
      </c>
      <c r="F67" s="143">
        <v>1</v>
      </c>
      <c r="G67" s="143">
        <v>1E-14</v>
      </c>
      <c r="H67" s="143">
        <v>1E-14</v>
      </c>
      <c r="I67" s="143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74</v>
      </c>
      <c r="Q67"/>
      <c r="R67" s="144" t="s">
        <v>5</v>
      </c>
      <c r="S67" s="77" t="s">
        <v>160</v>
      </c>
      <c r="T67" s="78">
        <v>155</v>
      </c>
      <c r="U67" s="78">
        <v>155</v>
      </c>
      <c r="V67" s="78">
        <v>155</v>
      </c>
      <c r="W67" s="78">
        <v>155</v>
      </c>
      <c r="X67" s="78">
        <v>155</v>
      </c>
      <c r="Y67" s="78">
        <v>155</v>
      </c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</row>
    <row r="68" spans="2:55" x14ac:dyDescent="0.25">
      <c r="B68" s="18"/>
      <c r="C68" s="143"/>
      <c r="D68" s="143"/>
      <c r="E68" s="143"/>
      <c r="F68" s="143"/>
      <c r="G68" s="143"/>
      <c r="H68" s="143"/>
      <c r="I68" s="143"/>
      <c r="J68" s="18"/>
      <c r="K68" s="18"/>
      <c r="L68" s="18"/>
      <c r="M68" s="18"/>
      <c r="N68" s="18"/>
      <c r="O68" s="18"/>
      <c r="P68" s="18"/>
      <c r="Q68"/>
      <c r="R68" s="144" t="s">
        <v>5</v>
      </c>
      <c r="S68" s="77" t="s">
        <v>161</v>
      </c>
      <c r="T68" s="78">
        <v>37</v>
      </c>
      <c r="U68" s="78">
        <v>37</v>
      </c>
      <c r="V68" s="78">
        <v>37</v>
      </c>
      <c r="W68" s="78">
        <v>37</v>
      </c>
      <c r="X68" s="78">
        <v>37</v>
      </c>
      <c r="Y68" s="78">
        <v>37</v>
      </c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</row>
    <row r="69" spans="2:55" x14ac:dyDescent="0.25">
      <c r="B69" s="18"/>
      <c r="C69" s="143"/>
      <c r="D69" s="143"/>
      <c r="E69" s="143"/>
      <c r="F69" s="143"/>
      <c r="G69" s="143"/>
      <c r="H69" s="143"/>
      <c r="I69" s="143"/>
      <c r="J69" s="18"/>
      <c r="K69" s="18"/>
      <c r="L69" s="18"/>
      <c r="M69" s="18"/>
      <c r="N69" s="18"/>
      <c r="O69" s="18"/>
      <c r="P69" s="18"/>
      <c r="Q69"/>
      <c r="R69" s="144" t="s">
        <v>6</v>
      </c>
      <c r="S69" s="77" t="s">
        <v>157</v>
      </c>
      <c r="T69" s="78">
        <v>1E-14</v>
      </c>
      <c r="U69" s="78">
        <v>1E-14</v>
      </c>
      <c r="V69" s="78">
        <v>1E-14</v>
      </c>
      <c r="W69" s="78">
        <v>1E-14</v>
      </c>
      <c r="X69" s="78">
        <v>1E-14</v>
      </c>
      <c r="Y69" s="78">
        <v>1E-14</v>
      </c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</row>
    <row r="70" spans="2:55" x14ac:dyDescent="0.25">
      <c r="B70" s="18"/>
      <c r="C70" s="143"/>
      <c r="D70" s="143"/>
      <c r="E70" s="143"/>
      <c r="F70" s="143"/>
      <c r="G70" s="143"/>
      <c r="H70" s="143"/>
      <c r="I70" s="143"/>
      <c r="J70" s="18"/>
      <c r="K70" s="18"/>
      <c r="L70" s="18"/>
      <c r="M70" s="18"/>
      <c r="N70" s="18"/>
      <c r="O70" s="18"/>
      <c r="P70" s="18"/>
      <c r="Q70"/>
      <c r="R70" s="144" t="s">
        <v>6</v>
      </c>
      <c r="S70" s="77" t="s">
        <v>158</v>
      </c>
      <c r="T70" s="78">
        <v>1E-14</v>
      </c>
      <c r="U70" s="78">
        <v>1E-14</v>
      </c>
      <c r="V70" s="78">
        <v>1E-14</v>
      </c>
      <c r="W70" s="78">
        <v>1E-14</v>
      </c>
      <c r="X70" s="78">
        <v>1E-14</v>
      </c>
      <c r="Y70" s="78">
        <v>1E-14</v>
      </c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</row>
    <row r="71" spans="2:55" x14ac:dyDescent="0.25">
      <c r="Q71"/>
      <c r="R71" s="144" t="s">
        <v>6</v>
      </c>
      <c r="S71" s="77" t="s">
        <v>159</v>
      </c>
      <c r="T71" s="78">
        <v>12</v>
      </c>
      <c r="U71" s="78">
        <v>12</v>
      </c>
      <c r="V71" s="78">
        <v>12</v>
      </c>
      <c r="W71" s="78">
        <v>12</v>
      </c>
      <c r="X71" s="78">
        <v>12</v>
      </c>
      <c r="Y71" s="78">
        <v>12</v>
      </c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</row>
    <row r="72" spans="2:55" x14ac:dyDescent="0.25">
      <c r="Q72"/>
      <c r="R72" s="144" t="s">
        <v>6</v>
      </c>
      <c r="S72" s="77" t="s">
        <v>160</v>
      </c>
      <c r="T72" s="78">
        <v>525</v>
      </c>
      <c r="U72" s="78">
        <v>525</v>
      </c>
      <c r="V72" s="78">
        <v>525</v>
      </c>
      <c r="W72" s="78">
        <v>525</v>
      </c>
      <c r="X72" s="78">
        <v>525</v>
      </c>
      <c r="Y72" s="78">
        <v>525</v>
      </c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</row>
    <row r="73" spans="2:55" x14ac:dyDescent="0.25">
      <c r="Q73"/>
      <c r="R73" s="144" t="s">
        <v>6</v>
      </c>
      <c r="S73" s="77" t="s">
        <v>161</v>
      </c>
      <c r="T73" s="78">
        <v>37</v>
      </c>
      <c r="U73" s="78">
        <v>37</v>
      </c>
      <c r="V73" s="78">
        <v>37</v>
      </c>
      <c r="W73" s="78">
        <v>37</v>
      </c>
      <c r="X73" s="78">
        <v>37</v>
      </c>
      <c r="Y73" s="78">
        <v>37</v>
      </c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</row>
    <row r="74" spans="2:55" x14ac:dyDescent="0.25">
      <c r="Q74"/>
      <c r="R74" s="144" t="s">
        <v>7</v>
      </c>
      <c r="S74" s="77" t="s">
        <v>157</v>
      </c>
      <c r="T74" s="78">
        <v>650</v>
      </c>
      <c r="U74" s="78">
        <v>650</v>
      </c>
      <c r="V74" s="78">
        <v>650</v>
      </c>
      <c r="W74" s="78">
        <v>650</v>
      </c>
      <c r="X74" s="78">
        <v>650</v>
      </c>
      <c r="Y74" s="78">
        <v>650</v>
      </c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</row>
    <row r="75" spans="2:55" x14ac:dyDescent="0.25">
      <c r="Q75"/>
      <c r="R75" s="144" t="s">
        <v>7</v>
      </c>
      <c r="S75" s="77" t="s">
        <v>158</v>
      </c>
      <c r="T75" s="78">
        <v>650</v>
      </c>
      <c r="U75" s="78">
        <v>650</v>
      </c>
      <c r="V75" s="78">
        <v>650</v>
      </c>
      <c r="W75" s="78">
        <v>650</v>
      </c>
      <c r="X75" s="78">
        <v>650</v>
      </c>
      <c r="Y75" s="78">
        <v>650</v>
      </c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</row>
    <row r="76" spans="2:55" x14ac:dyDescent="0.25">
      <c r="Q76"/>
      <c r="R76" s="144" t="s">
        <v>7</v>
      </c>
      <c r="S76" s="77" t="s">
        <v>159</v>
      </c>
      <c r="T76" s="78">
        <v>9</v>
      </c>
      <c r="U76" s="78">
        <v>9</v>
      </c>
      <c r="V76" s="78">
        <v>9</v>
      </c>
      <c r="W76" s="78">
        <v>9</v>
      </c>
      <c r="X76" s="78">
        <v>9</v>
      </c>
      <c r="Y76" s="78">
        <v>9</v>
      </c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</row>
    <row r="77" spans="2:55" x14ac:dyDescent="0.25">
      <c r="Q77"/>
      <c r="R77" s="144" t="s">
        <v>7</v>
      </c>
      <c r="S77" s="77" t="s">
        <v>160</v>
      </c>
      <c r="T77" s="78">
        <v>525</v>
      </c>
      <c r="U77" s="78">
        <v>525</v>
      </c>
      <c r="V77" s="78">
        <v>525</v>
      </c>
      <c r="W77" s="78">
        <v>525</v>
      </c>
      <c r="X77" s="78">
        <v>525</v>
      </c>
      <c r="Y77" s="78">
        <v>525</v>
      </c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</row>
    <row r="78" spans="2:55" x14ac:dyDescent="0.25">
      <c r="Q78"/>
      <c r="R78" s="144" t="s">
        <v>7</v>
      </c>
      <c r="S78" s="77" t="s">
        <v>161</v>
      </c>
      <c r="T78" s="78">
        <v>37</v>
      </c>
      <c r="U78" s="78">
        <v>37</v>
      </c>
      <c r="V78" s="78">
        <v>37</v>
      </c>
      <c r="W78" s="78">
        <v>37</v>
      </c>
      <c r="X78" s="78">
        <v>37</v>
      </c>
      <c r="Y78" s="78">
        <v>37</v>
      </c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</row>
    <row r="79" spans="2:55" x14ac:dyDescent="0.25">
      <c r="Q79"/>
      <c r="R79" s="144" t="s">
        <v>8</v>
      </c>
      <c r="S79" s="77" t="s">
        <v>157</v>
      </c>
      <c r="T79" s="78">
        <v>1E-14</v>
      </c>
      <c r="U79" s="78">
        <v>1E-14</v>
      </c>
      <c r="V79" s="78">
        <v>1E-14</v>
      </c>
      <c r="W79" s="78">
        <v>1E-14</v>
      </c>
      <c r="X79" s="78">
        <v>1E-14</v>
      </c>
      <c r="Y79" s="78">
        <v>1E-14</v>
      </c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</row>
    <row r="80" spans="2:55" x14ac:dyDescent="0.25">
      <c r="Q80"/>
      <c r="R80" s="144" t="s">
        <v>8</v>
      </c>
      <c r="S80" s="77" t="s">
        <v>158</v>
      </c>
      <c r="T80" s="78">
        <v>1E-14</v>
      </c>
      <c r="U80" s="78">
        <v>1E-14</v>
      </c>
      <c r="V80" s="78">
        <v>1E-14</v>
      </c>
      <c r="W80" s="78">
        <v>1E-14</v>
      </c>
      <c r="X80" s="78">
        <v>1E-14</v>
      </c>
      <c r="Y80" s="78">
        <v>1E-14</v>
      </c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</row>
    <row r="81" spans="17:55" x14ac:dyDescent="0.25">
      <c r="Q81"/>
      <c r="R81" s="144" t="s">
        <v>8</v>
      </c>
      <c r="S81" s="77" t="s">
        <v>159</v>
      </c>
      <c r="T81" s="78">
        <v>11</v>
      </c>
      <c r="U81" s="78">
        <v>11</v>
      </c>
      <c r="V81" s="78">
        <v>11</v>
      </c>
      <c r="W81" s="78">
        <v>11</v>
      </c>
      <c r="X81" s="78">
        <v>11</v>
      </c>
      <c r="Y81" s="78">
        <v>11</v>
      </c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</row>
    <row r="82" spans="17:55" x14ac:dyDescent="0.25">
      <c r="Q82"/>
      <c r="R82" s="144" t="s">
        <v>8</v>
      </c>
      <c r="S82" s="77" t="s">
        <v>160</v>
      </c>
      <c r="T82" s="78">
        <v>525</v>
      </c>
      <c r="U82" s="78">
        <v>525</v>
      </c>
      <c r="V82" s="78">
        <v>525</v>
      </c>
      <c r="W82" s="78">
        <v>525</v>
      </c>
      <c r="X82" s="78">
        <v>525</v>
      </c>
      <c r="Y82" s="78">
        <v>525</v>
      </c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</row>
    <row r="83" spans="17:55" x14ac:dyDescent="0.25">
      <c r="Q83"/>
      <c r="R83" s="144" t="s">
        <v>8</v>
      </c>
      <c r="S83" s="77" t="s">
        <v>161</v>
      </c>
      <c r="T83" s="78">
        <v>37</v>
      </c>
      <c r="U83" s="78">
        <v>37</v>
      </c>
      <c r="V83" s="78">
        <v>37</v>
      </c>
      <c r="W83" s="78">
        <v>37</v>
      </c>
      <c r="X83" s="78">
        <v>37</v>
      </c>
      <c r="Y83" s="78">
        <v>37</v>
      </c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</row>
    <row r="84" spans="17:55" x14ac:dyDescent="0.25">
      <c r="Q84"/>
      <c r="R84" s="144" t="s">
        <v>9</v>
      </c>
      <c r="S84" s="77" t="s">
        <v>157</v>
      </c>
      <c r="T84" s="78">
        <v>1E-14</v>
      </c>
      <c r="U84" s="78">
        <v>1E-14</v>
      </c>
      <c r="V84" s="78">
        <v>1E-14</v>
      </c>
      <c r="W84" s="78">
        <v>1E-14</v>
      </c>
      <c r="X84" s="78">
        <v>1E-14</v>
      </c>
      <c r="Y84" s="78">
        <v>1E-14</v>
      </c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</row>
    <row r="85" spans="17:55" x14ac:dyDescent="0.25">
      <c r="Q85"/>
      <c r="R85" s="144" t="s">
        <v>9</v>
      </c>
      <c r="S85" s="77" t="s">
        <v>158</v>
      </c>
      <c r="T85" s="78">
        <v>1E-14</v>
      </c>
      <c r="U85" s="78">
        <v>1E-14</v>
      </c>
      <c r="V85" s="78">
        <v>1E-14</v>
      </c>
      <c r="W85" s="78">
        <v>1E-14</v>
      </c>
      <c r="X85" s="78">
        <v>1E-14</v>
      </c>
      <c r="Y85" s="78">
        <v>1E-14</v>
      </c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</row>
    <row r="86" spans="17:55" x14ac:dyDescent="0.25">
      <c r="Q86"/>
      <c r="R86" s="144" t="s">
        <v>9</v>
      </c>
      <c r="S86" s="77" t="s">
        <v>159</v>
      </c>
      <c r="T86" s="78">
        <v>9.5</v>
      </c>
      <c r="U86" s="78">
        <v>9.5</v>
      </c>
      <c r="V86" s="78">
        <v>9.5</v>
      </c>
      <c r="W86" s="78">
        <v>9.5</v>
      </c>
      <c r="X86" s="78">
        <v>9.5</v>
      </c>
      <c r="Y86" s="78">
        <v>9.5</v>
      </c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</row>
    <row r="87" spans="17:55" x14ac:dyDescent="0.25">
      <c r="Q87"/>
      <c r="R87" s="144" t="s">
        <v>9</v>
      </c>
      <c r="S87" s="77" t="s">
        <v>160</v>
      </c>
      <c r="T87" s="78">
        <v>525</v>
      </c>
      <c r="U87" s="78">
        <v>525</v>
      </c>
      <c r="V87" s="78">
        <v>525</v>
      </c>
      <c r="W87" s="78">
        <v>525</v>
      </c>
      <c r="X87" s="78">
        <v>525</v>
      </c>
      <c r="Y87" s="78">
        <v>525</v>
      </c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</row>
    <row r="88" spans="17:55" x14ac:dyDescent="0.25">
      <c r="Q88"/>
      <c r="R88" s="144" t="s">
        <v>9</v>
      </c>
      <c r="S88" s="77" t="s">
        <v>161</v>
      </c>
      <c r="T88" s="78">
        <v>37</v>
      </c>
      <c r="U88" s="78">
        <v>37</v>
      </c>
      <c r="V88" s="78">
        <v>37</v>
      </c>
      <c r="W88" s="78">
        <v>37</v>
      </c>
      <c r="X88" s="78">
        <v>37</v>
      </c>
      <c r="Y88" s="78">
        <v>37</v>
      </c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</row>
    <row r="89" spans="17:55" x14ac:dyDescent="0.25">
      <c r="Q89"/>
      <c r="R89" s="144" t="s">
        <v>10</v>
      </c>
      <c r="S89" s="77" t="s">
        <v>157</v>
      </c>
      <c r="T89" s="78">
        <v>433.33333333333331</v>
      </c>
      <c r="U89" s="78">
        <v>433.33333333333331</v>
      </c>
      <c r="V89" s="78">
        <v>433.33333333333331</v>
      </c>
      <c r="W89" s="78">
        <v>433.33333333333331</v>
      </c>
      <c r="X89" s="78">
        <v>433.33333333333331</v>
      </c>
      <c r="Y89" s="78">
        <v>433.33333333333331</v>
      </c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</row>
    <row r="90" spans="17:55" x14ac:dyDescent="0.25">
      <c r="Q90"/>
      <c r="R90" s="144" t="s">
        <v>10</v>
      </c>
      <c r="S90" s="77" t="s">
        <v>158</v>
      </c>
      <c r="T90" s="78">
        <v>433.33333333333331</v>
      </c>
      <c r="U90" s="78">
        <v>433.33333333333331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</row>
    <row r="91" spans="17:55" x14ac:dyDescent="0.25">
      <c r="Q91"/>
      <c r="R91" s="144" t="s">
        <v>10</v>
      </c>
      <c r="S91" s="77" t="s">
        <v>159</v>
      </c>
      <c r="T91" s="78">
        <v>9</v>
      </c>
      <c r="U91" s="78">
        <v>9</v>
      </c>
      <c r="V91" s="78">
        <v>9</v>
      </c>
      <c r="W91" s="78">
        <v>9</v>
      </c>
      <c r="X91" s="78">
        <v>9</v>
      </c>
      <c r="Y91" s="78">
        <v>9</v>
      </c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</row>
    <row r="92" spans="17:55" x14ac:dyDescent="0.25">
      <c r="Q92"/>
      <c r="R92" s="144" t="s">
        <v>10</v>
      </c>
      <c r="S92" s="77" t="s">
        <v>160</v>
      </c>
      <c r="T92" s="78">
        <v>525</v>
      </c>
      <c r="U92" s="78">
        <v>525</v>
      </c>
      <c r="V92" s="78">
        <v>525</v>
      </c>
      <c r="W92" s="78">
        <v>525</v>
      </c>
      <c r="X92" s="78">
        <v>525</v>
      </c>
      <c r="Y92" s="78">
        <v>525</v>
      </c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</row>
    <row r="93" spans="17:55" x14ac:dyDescent="0.25">
      <c r="Q93"/>
      <c r="R93" s="144" t="s">
        <v>10</v>
      </c>
      <c r="S93" s="77" t="s">
        <v>161</v>
      </c>
      <c r="T93" s="78">
        <v>37</v>
      </c>
      <c r="U93" s="78">
        <v>37</v>
      </c>
      <c r="V93" s="78">
        <v>37</v>
      </c>
      <c r="W93" s="78">
        <v>37</v>
      </c>
      <c r="X93" s="78">
        <v>37</v>
      </c>
      <c r="Y93" s="78">
        <v>37</v>
      </c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</row>
    <row r="94" spans="17:55" x14ac:dyDescent="0.25">
      <c r="Q94"/>
      <c r="R94" s="144" t="s">
        <v>11</v>
      </c>
      <c r="S94" s="77" t="s">
        <v>157</v>
      </c>
      <c r="T94" s="78">
        <v>41.666666666666664</v>
      </c>
      <c r="U94" s="78">
        <v>41.666666666666664</v>
      </c>
      <c r="V94" s="78">
        <v>41.666666666666664</v>
      </c>
      <c r="W94" s="78">
        <v>41.666666666666664</v>
      </c>
      <c r="X94" s="78">
        <v>41.666666666666664</v>
      </c>
      <c r="Y94" s="78">
        <v>41.666666666666664</v>
      </c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</row>
    <row r="95" spans="17:55" x14ac:dyDescent="0.25">
      <c r="Q95"/>
      <c r="R95" s="144" t="s">
        <v>11</v>
      </c>
      <c r="S95" s="77" t="s">
        <v>158</v>
      </c>
      <c r="T95" s="78">
        <v>41.666666666666664</v>
      </c>
      <c r="U95" s="78">
        <v>41.666666666666664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</row>
    <row r="96" spans="17:55" x14ac:dyDescent="0.25">
      <c r="Q96"/>
      <c r="R96" s="144" t="s">
        <v>11</v>
      </c>
      <c r="S96" s="77" t="s">
        <v>159</v>
      </c>
      <c r="T96" s="78">
        <v>12</v>
      </c>
      <c r="U96" s="78">
        <v>12</v>
      </c>
      <c r="V96" s="78">
        <v>12</v>
      </c>
      <c r="W96" s="78">
        <v>12</v>
      </c>
      <c r="X96" s="78">
        <v>12</v>
      </c>
      <c r="Y96" s="78">
        <v>12</v>
      </c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</row>
    <row r="97" spans="17:55" x14ac:dyDescent="0.25">
      <c r="Q97"/>
      <c r="R97" s="144" t="s">
        <v>11</v>
      </c>
      <c r="S97" s="77" t="s">
        <v>160</v>
      </c>
      <c r="T97" s="78">
        <v>785</v>
      </c>
      <c r="U97" s="78">
        <v>785</v>
      </c>
      <c r="V97" s="78">
        <v>785</v>
      </c>
      <c r="W97" s="78">
        <v>785</v>
      </c>
      <c r="X97" s="78">
        <v>785</v>
      </c>
      <c r="Y97" s="78">
        <v>785</v>
      </c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</row>
    <row r="98" spans="17:55" x14ac:dyDescent="0.25">
      <c r="Q98"/>
      <c r="R98" s="144" t="s">
        <v>11</v>
      </c>
      <c r="S98" s="77" t="s">
        <v>161</v>
      </c>
      <c r="T98" s="78">
        <v>37</v>
      </c>
      <c r="U98" s="78">
        <v>37</v>
      </c>
      <c r="V98" s="78">
        <v>37</v>
      </c>
      <c r="W98" s="78">
        <v>37</v>
      </c>
      <c r="X98" s="78">
        <v>37</v>
      </c>
      <c r="Y98" s="78">
        <v>37</v>
      </c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</row>
    <row r="99" spans="17:55" x14ac:dyDescent="0.25">
      <c r="Q99"/>
      <c r="R99" s="144" t="s">
        <v>12</v>
      </c>
      <c r="S99" s="77" t="s">
        <v>157</v>
      </c>
      <c r="T99" s="78">
        <v>1E-14</v>
      </c>
      <c r="U99" s="78">
        <v>1E-14</v>
      </c>
      <c r="V99" s="78">
        <v>1E-14</v>
      </c>
      <c r="W99" s="78">
        <v>1E-14</v>
      </c>
      <c r="X99" s="78">
        <v>1E-14</v>
      </c>
      <c r="Y99" s="78">
        <v>1E-14</v>
      </c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</row>
    <row r="100" spans="17:55" x14ac:dyDescent="0.25">
      <c r="Q100"/>
      <c r="R100" s="144" t="s">
        <v>12</v>
      </c>
      <c r="S100" s="77" t="s">
        <v>158</v>
      </c>
      <c r="T100" s="78">
        <v>1E-14</v>
      </c>
      <c r="U100" s="78">
        <v>1E-14</v>
      </c>
      <c r="V100" s="78">
        <v>1E-14</v>
      </c>
      <c r="W100" s="78">
        <v>1E-14</v>
      </c>
      <c r="X100" s="78">
        <v>1E-14</v>
      </c>
      <c r="Y100" s="78">
        <v>1E-14</v>
      </c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</row>
    <row r="101" spans="17:55" x14ac:dyDescent="0.25">
      <c r="Q101"/>
      <c r="R101" s="144" t="s">
        <v>12</v>
      </c>
      <c r="S101" s="77" t="s">
        <v>159</v>
      </c>
      <c r="T101" s="78">
        <v>10</v>
      </c>
      <c r="U101" s="78">
        <v>10</v>
      </c>
      <c r="V101" s="78">
        <v>10</v>
      </c>
      <c r="W101" s="78">
        <v>10</v>
      </c>
      <c r="X101" s="78">
        <v>10</v>
      </c>
      <c r="Y101" s="78">
        <v>10</v>
      </c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</row>
    <row r="102" spans="17:55" x14ac:dyDescent="0.25">
      <c r="Q102"/>
      <c r="R102" s="144" t="s">
        <v>12</v>
      </c>
      <c r="S102" s="77" t="s">
        <v>160</v>
      </c>
      <c r="T102" s="78">
        <v>1E-14</v>
      </c>
      <c r="U102" s="78">
        <v>1E-14</v>
      </c>
      <c r="V102" s="78">
        <v>1E-14</v>
      </c>
      <c r="W102" s="78">
        <v>1E-14</v>
      </c>
      <c r="X102" s="78">
        <v>1E-14</v>
      </c>
      <c r="Y102" s="78">
        <v>1E-14</v>
      </c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</row>
    <row r="103" spans="17:55" x14ac:dyDescent="0.25">
      <c r="Q103"/>
      <c r="R103" s="144" t="s">
        <v>12</v>
      </c>
      <c r="S103" s="77" t="s">
        <v>161</v>
      </c>
      <c r="T103" s="78">
        <v>37</v>
      </c>
      <c r="U103" s="78">
        <v>37</v>
      </c>
      <c r="V103" s="78">
        <v>37</v>
      </c>
      <c r="W103" s="78">
        <v>37</v>
      </c>
      <c r="X103" s="78">
        <v>37</v>
      </c>
      <c r="Y103" s="78">
        <v>37</v>
      </c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</row>
    <row r="104" spans="17:55" x14ac:dyDescent="0.25">
      <c r="Q104"/>
      <c r="R104" s="144" t="s">
        <v>13</v>
      </c>
      <c r="S104" s="77" t="s">
        <v>157</v>
      </c>
      <c r="T104" s="78">
        <v>1E-14</v>
      </c>
      <c r="U104" s="78">
        <v>1E-14</v>
      </c>
      <c r="V104" s="78">
        <v>1E-14</v>
      </c>
      <c r="W104" s="78">
        <v>1E-14</v>
      </c>
      <c r="X104" s="78">
        <v>1E-14</v>
      </c>
      <c r="Y104" s="78">
        <v>1E-14</v>
      </c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</row>
    <row r="105" spans="17:55" x14ac:dyDescent="0.25">
      <c r="Q105"/>
      <c r="R105" s="144" t="s">
        <v>13</v>
      </c>
      <c r="S105" s="77" t="s">
        <v>158</v>
      </c>
      <c r="T105" s="78">
        <v>1E-14</v>
      </c>
      <c r="U105" s="78">
        <v>1E-14</v>
      </c>
      <c r="V105" s="78">
        <v>1E-14</v>
      </c>
      <c r="W105" s="78">
        <v>1E-14</v>
      </c>
      <c r="X105" s="78">
        <v>1E-14</v>
      </c>
      <c r="Y105" s="78">
        <v>1E-14</v>
      </c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</row>
    <row r="106" spans="17:55" x14ac:dyDescent="0.25">
      <c r="Q106"/>
      <c r="R106" s="144" t="s">
        <v>13</v>
      </c>
      <c r="S106" s="77" t="s">
        <v>159</v>
      </c>
      <c r="T106" s="78">
        <v>11</v>
      </c>
      <c r="U106" s="78">
        <v>11</v>
      </c>
      <c r="V106" s="78">
        <v>11</v>
      </c>
      <c r="W106" s="78">
        <v>11</v>
      </c>
      <c r="X106" s="78">
        <v>11</v>
      </c>
      <c r="Y106" s="78">
        <v>11</v>
      </c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</row>
    <row r="107" spans="17:55" x14ac:dyDescent="0.25">
      <c r="Q107"/>
      <c r="R107" s="144" t="s">
        <v>13</v>
      </c>
      <c r="S107" s="77" t="s">
        <v>160</v>
      </c>
      <c r="T107" s="78">
        <v>525</v>
      </c>
      <c r="U107" s="78">
        <v>525</v>
      </c>
      <c r="V107" s="78">
        <v>525</v>
      </c>
      <c r="W107" s="78">
        <v>525</v>
      </c>
      <c r="X107" s="78">
        <v>525</v>
      </c>
      <c r="Y107" s="78">
        <v>525</v>
      </c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</row>
    <row r="108" spans="17:55" x14ac:dyDescent="0.25">
      <c r="Q108"/>
      <c r="R108" s="144" t="s">
        <v>13</v>
      </c>
      <c r="S108" s="77" t="s">
        <v>161</v>
      </c>
      <c r="T108" s="78">
        <v>37</v>
      </c>
      <c r="U108" s="78">
        <v>37</v>
      </c>
      <c r="V108" s="78">
        <v>37</v>
      </c>
      <c r="W108" s="78">
        <v>37</v>
      </c>
      <c r="X108" s="78">
        <v>37</v>
      </c>
      <c r="Y108" s="78">
        <v>37</v>
      </c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</row>
    <row r="109" spans="17:55" x14ac:dyDescent="0.25">
      <c r="Q109"/>
      <c r="R109" s="144" t="s">
        <v>14</v>
      </c>
      <c r="S109" s="77" t="s">
        <v>157</v>
      </c>
      <c r="T109" s="78">
        <v>3333.3333333333335</v>
      </c>
      <c r="U109" s="78">
        <v>3333.3333333333335</v>
      </c>
      <c r="V109" s="78">
        <v>3333.3333333333335</v>
      </c>
      <c r="W109" s="78">
        <v>3333.3333333333335</v>
      </c>
      <c r="X109" s="78">
        <v>3333.3333333333335</v>
      </c>
      <c r="Y109" s="78">
        <v>3333.3333333333335</v>
      </c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</row>
    <row r="110" spans="17:55" x14ac:dyDescent="0.25">
      <c r="Q110"/>
      <c r="R110" s="144" t="s">
        <v>14</v>
      </c>
      <c r="S110" s="77" t="s">
        <v>158</v>
      </c>
      <c r="T110" s="78">
        <v>3333.3333333333335</v>
      </c>
      <c r="U110" s="78">
        <v>3333.3333333333335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</row>
    <row r="111" spans="17:55" x14ac:dyDescent="0.25">
      <c r="Q111"/>
      <c r="R111" s="144" t="s">
        <v>14</v>
      </c>
      <c r="S111" s="77" t="s">
        <v>159</v>
      </c>
      <c r="T111" s="78">
        <v>10.5</v>
      </c>
      <c r="U111" s="78">
        <v>10.5</v>
      </c>
      <c r="V111" s="78">
        <v>10.5</v>
      </c>
      <c r="W111" s="78">
        <v>10.5</v>
      </c>
      <c r="X111" s="78">
        <v>10.5</v>
      </c>
      <c r="Y111" s="78">
        <v>10.5</v>
      </c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</row>
    <row r="112" spans="17:55" x14ac:dyDescent="0.25">
      <c r="Q112"/>
      <c r="R112" s="144" t="s">
        <v>14</v>
      </c>
      <c r="S112" s="77" t="s">
        <v>160</v>
      </c>
      <c r="T112" s="78">
        <v>400</v>
      </c>
      <c r="U112" s="78">
        <v>400</v>
      </c>
      <c r="V112" s="78">
        <v>400</v>
      </c>
      <c r="W112" s="78">
        <v>400</v>
      </c>
      <c r="X112" s="78">
        <v>400</v>
      </c>
      <c r="Y112" s="78">
        <v>400</v>
      </c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</row>
    <row r="113" spans="17:55" x14ac:dyDescent="0.25">
      <c r="Q113"/>
      <c r="R113" s="144" t="s">
        <v>14</v>
      </c>
      <c r="S113" s="77" t="s">
        <v>161</v>
      </c>
      <c r="T113" s="78">
        <v>37</v>
      </c>
      <c r="U113" s="78">
        <v>37</v>
      </c>
      <c r="V113" s="78">
        <v>37</v>
      </c>
      <c r="W113" s="78">
        <v>37</v>
      </c>
      <c r="X113" s="78">
        <v>37</v>
      </c>
      <c r="Y113" s="78">
        <v>37</v>
      </c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</row>
    <row r="114" spans="17:55" x14ac:dyDescent="0.25">
      <c r="Q114"/>
      <c r="R114" s="144" t="s">
        <v>15</v>
      </c>
      <c r="S114" s="77" t="s">
        <v>157</v>
      </c>
      <c r="T114" s="78">
        <v>166.66666666666666</v>
      </c>
      <c r="U114" s="78">
        <v>166.66666666666666</v>
      </c>
      <c r="V114" s="78">
        <v>166.66666666666666</v>
      </c>
      <c r="W114" s="78">
        <v>166.66666666666666</v>
      </c>
      <c r="X114" s="78">
        <v>166.66666666666666</v>
      </c>
      <c r="Y114" s="78">
        <v>166.66666666666666</v>
      </c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</row>
    <row r="115" spans="17:55" x14ac:dyDescent="0.25">
      <c r="Q115"/>
      <c r="R115" s="144" t="s">
        <v>15</v>
      </c>
      <c r="S115" s="77" t="s">
        <v>158</v>
      </c>
      <c r="T115" s="78">
        <v>166.66666666666666</v>
      </c>
      <c r="U115" s="78">
        <v>166.66666666666666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</row>
    <row r="116" spans="17:55" x14ac:dyDescent="0.25">
      <c r="Q116"/>
      <c r="R116" s="144" t="s">
        <v>15</v>
      </c>
      <c r="S116" s="77" t="s">
        <v>159</v>
      </c>
      <c r="T116" s="78">
        <v>10.5</v>
      </c>
      <c r="U116" s="78">
        <v>10.5</v>
      </c>
      <c r="V116" s="78">
        <v>10.5</v>
      </c>
      <c r="W116" s="78">
        <v>10.5</v>
      </c>
      <c r="X116" s="78">
        <v>10.5</v>
      </c>
      <c r="Y116" s="78">
        <v>10.5</v>
      </c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</row>
    <row r="117" spans="17:55" x14ac:dyDescent="0.25">
      <c r="Q117"/>
      <c r="R117" s="144" t="s">
        <v>15</v>
      </c>
      <c r="S117" s="77" t="s">
        <v>160</v>
      </c>
      <c r="T117" s="78">
        <v>515</v>
      </c>
      <c r="U117" s="78">
        <v>515</v>
      </c>
      <c r="V117" s="78">
        <v>515</v>
      </c>
      <c r="W117" s="78">
        <v>515</v>
      </c>
      <c r="X117" s="78">
        <v>515</v>
      </c>
      <c r="Y117" s="78">
        <v>515</v>
      </c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</row>
    <row r="118" spans="17:55" x14ac:dyDescent="0.25">
      <c r="Q118"/>
      <c r="R118" s="144" t="s">
        <v>15</v>
      </c>
      <c r="S118" s="77" t="s">
        <v>161</v>
      </c>
      <c r="T118" s="78">
        <v>37</v>
      </c>
      <c r="U118" s="78">
        <v>37</v>
      </c>
      <c r="V118" s="78">
        <v>37</v>
      </c>
      <c r="W118" s="78">
        <v>37</v>
      </c>
      <c r="X118" s="78">
        <v>37</v>
      </c>
      <c r="Y118" s="78">
        <v>37</v>
      </c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</row>
    <row r="119" spans="17:55" x14ac:dyDescent="0.25">
      <c r="Q119"/>
      <c r="R119" s="144" t="s">
        <v>16</v>
      </c>
      <c r="S119" s="77" t="s">
        <v>157</v>
      </c>
      <c r="T119" s="78">
        <v>1E-14</v>
      </c>
      <c r="U119" s="78">
        <v>1E-14</v>
      </c>
      <c r="V119" s="78">
        <v>1E-14</v>
      </c>
      <c r="W119" s="78">
        <v>1E-14</v>
      </c>
      <c r="X119" s="78">
        <v>1E-14</v>
      </c>
      <c r="Y119" s="78">
        <v>1E-14</v>
      </c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</row>
    <row r="120" spans="17:55" x14ac:dyDescent="0.25">
      <c r="Q120"/>
      <c r="R120" s="144" t="s">
        <v>16</v>
      </c>
      <c r="S120" s="77" t="s">
        <v>158</v>
      </c>
      <c r="T120" s="78">
        <v>1E-14</v>
      </c>
      <c r="U120" s="78">
        <v>1E-14</v>
      </c>
      <c r="V120" s="78">
        <v>1E-14</v>
      </c>
      <c r="W120" s="78">
        <v>1E-14</v>
      </c>
      <c r="X120" s="78">
        <v>1E-14</v>
      </c>
      <c r="Y120" s="78">
        <v>1E-14</v>
      </c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</row>
    <row r="121" spans="17:55" x14ac:dyDescent="0.25">
      <c r="Q121"/>
      <c r="R121" s="144" t="s">
        <v>16</v>
      </c>
      <c r="S121" s="77" t="s">
        <v>159</v>
      </c>
      <c r="T121" s="78">
        <v>13</v>
      </c>
      <c r="U121" s="78">
        <v>13</v>
      </c>
      <c r="V121" s="78">
        <v>13</v>
      </c>
      <c r="W121" s="78">
        <v>13</v>
      </c>
      <c r="X121" s="78">
        <v>13</v>
      </c>
      <c r="Y121" s="78">
        <v>13</v>
      </c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</row>
    <row r="122" spans="17:55" x14ac:dyDescent="0.25">
      <c r="Q122"/>
      <c r="R122" s="144" t="s">
        <v>16</v>
      </c>
      <c r="S122" s="77" t="s">
        <v>160</v>
      </c>
      <c r="T122" s="78">
        <v>1E-14</v>
      </c>
      <c r="U122" s="78">
        <v>1E-14</v>
      </c>
      <c r="V122" s="78">
        <v>1E-14</v>
      </c>
      <c r="W122" s="78">
        <v>1E-14</v>
      </c>
      <c r="X122" s="78">
        <v>1E-14</v>
      </c>
      <c r="Y122" s="78">
        <v>1E-14</v>
      </c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</row>
    <row r="123" spans="17:55" x14ac:dyDescent="0.25">
      <c r="Q123"/>
      <c r="R123" s="144" t="s">
        <v>16</v>
      </c>
      <c r="S123" s="77" t="s">
        <v>161</v>
      </c>
      <c r="T123" s="78">
        <v>37</v>
      </c>
      <c r="U123" s="78">
        <v>37</v>
      </c>
      <c r="V123" s="78">
        <v>37</v>
      </c>
      <c r="W123" s="78">
        <v>37</v>
      </c>
      <c r="X123" s="78">
        <v>37</v>
      </c>
      <c r="Y123" s="78">
        <v>37</v>
      </c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</row>
    <row r="124" spans="17:55" x14ac:dyDescent="0.25">
      <c r="Q124"/>
      <c r="R124" s="144" t="s">
        <v>18</v>
      </c>
      <c r="S124" s="77" t="s">
        <v>157</v>
      </c>
      <c r="T124" s="78">
        <v>125</v>
      </c>
      <c r="U124" s="78">
        <v>125</v>
      </c>
      <c r="V124" s="78">
        <v>125</v>
      </c>
      <c r="W124" s="78">
        <v>125</v>
      </c>
      <c r="X124" s="78">
        <v>125</v>
      </c>
      <c r="Y124" s="78">
        <v>125</v>
      </c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</row>
    <row r="125" spans="17:55" x14ac:dyDescent="0.25">
      <c r="Q125"/>
      <c r="R125" s="144" t="s">
        <v>18</v>
      </c>
      <c r="S125" s="77" t="s">
        <v>158</v>
      </c>
      <c r="T125" s="78">
        <v>125</v>
      </c>
      <c r="U125" s="78">
        <v>125</v>
      </c>
      <c r="V125" s="78">
        <v>125</v>
      </c>
      <c r="W125" s="78">
        <v>125</v>
      </c>
      <c r="X125" s="78">
        <v>125</v>
      </c>
      <c r="Y125" s="78">
        <v>125</v>
      </c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</row>
    <row r="126" spans="17:55" x14ac:dyDescent="0.25">
      <c r="Q126"/>
      <c r="R126" s="144" t="s">
        <v>18</v>
      </c>
      <c r="S126" s="77" t="s">
        <v>159</v>
      </c>
      <c r="T126" s="78">
        <v>14.5</v>
      </c>
      <c r="U126" s="78">
        <v>14.5</v>
      </c>
      <c r="V126" s="78">
        <v>14.5</v>
      </c>
      <c r="W126" s="78">
        <v>14.5</v>
      </c>
      <c r="X126" s="78">
        <v>14.5</v>
      </c>
      <c r="Y126" s="78">
        <v>14.5</v>
      </c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</row>
    <row r="127" spans="17:55" x14ac:dyDescent="0.25">
      <c r="Q127"/>
      <c r="R127" s="144" t="s">
        <v>18</v>
      </c>
      <c r="S127" s="77" t="s">
        <v>160</v>
      </c>
      <c r="T127" s="78">
        <v>1E-14</v>
      </c>
      <c r="U127" s="78">
        <v>1E-14</v>
      </c>
      <c r="V127" s="78">
        <v>1E-14</v>
      </c>
      <c r="W127" s="78">
        <v>1E-14</v>
      </c>
      <c r="X127" s="78">
        <v>1E-14</v>
      </c>
      <c r="Y127" s="78">
        <v>1E-14</v>
      </c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</row>
    <row r="128" spans="17:55" x14ac:dyDescent="0.25">
      <c r="Q128"/>
      <c r="R128" s="144" t="s">
        <v>18</v>
      </c>
      <c r="S128" s="77" t="s">
        <v>161</v>
      </c>
      <c r="T128" s="78">
        <v>37</v>
      </c>
      <c r="U128" s="78">
        <v>37</v>
      </c>
      <c r="V128" s="78">
        <v>37</v>
      </c>
      <c r="W128" s="78">
        <v>37</v>
      </c>
      <c r="X128" s="78">
        <v>37</v>
      </c>
      <c r="Y128" s="78">
        <v>37</v>
      </c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</row>
    <row r="129" spans="17:55" x14ac:dyDescent="0.25">
      <c r="Q129"/>
      <c r="R129" s="144" t="s">
        <v>19</v>
      </c>
      <c r="S129" s="77" t="s">
        <v>157</v>
      </c>
      <c r="T129" s="78">
        <v>1E-14</v>
      </c>
      <c r="U129" s="78">
        <v>1E-14</v>
      </c>
      <c r="V129" s="78">
        <v>1E-14</v>
      </c>
      <c r="W129" s="78">
        <v>1E-14</v>
      </c>
      <c r="X129" s="78">
        <v>1E-14</v>
      </c>
      <c r="Y129" s="78">
        <v>1E-14</v>
      </c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</row>
    <row r="130" spans="17:55" x14ac:dyDescent="0.25">
      <c r="Q130"/>
      <c r="R130" s="144" t="s">
        <v>19</v>
      </c>
      <c r="S130" s="77" t="s">
        <v>158</v>
      </c>
      <c r="T130" s="78">
        <v>1E-14</v>
      </c>
      <c r="U130" s="78">
        <v>1E-14</v>
      </c>
      <c r="V130" s="78">
        <v>1E-14</v>
      </c>
      <c r="W130" s="78">
        <v>1E-14</v>
      </c>
      <c r="X130" s="78">
        <v>1E-14</v>
      </c>
      <c r="Y130" s="78">
        <v>1E-14</v>
      </c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</row>
    <row r="131" spans="17:55" x14ac:dyDescent="0.25">
      <c r="Q131"/>
      <c r="R131" s="144" t="s">
        <v>19</v>
      </c>
      <c r="S131" s="77" t="s">
        <v>159</v>
      </c>
      <c r="T131" s="78">
        <v>14.7</v>
      </c>
      <c r="U131" s="78">
        <v>14.7</v>
      </c>
      <c r="V131" s="78">
        <v>14.7</v>
      </c>
      <c r="W131" s="78">
        <v>14.7</v>
      </c>
      <c r="X131" s="78">
        <v>14.7</v>
      </c>
      <c r="Y131" s="78">
        <v>14.7</v>
      </c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</row>
    <row r="132" spans="17:55" x14ac:dyDescent="0.25">
      <c r="Q132"/>
      <c r="R132" s="144" t="s">
        <v>19</v>
      </c>
      <c r="S132" s="77" t="s">
        <v>160</v>
      </c>
      <c r="T132" s="78">
        <v>1E-14</v>
      </c>
      <c r="U132" s="78">
        <v>1E-14</v>
      </c>
      <c r="V132" s="78">
        <v>1E-14</v>
      </c>
      <c r="W132" s="78">
        <v>1E-14</v>
      </c>
      <c r="X132" s="78">
        <v>1E-14</v>
      </c>
      <c r="Y132" s="78">
        <v>1E-14</v>
      </c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</row>
    <row r="133" spans="17:55" x14ac:dyDescent="0.25">
      <c r="Q133"/>
      <c r="R133" s="144" t="s">
        <v>19</v>
      </c>
      <c r="S133" s="77" t="s">
        <v>161</v>
      </c>
      <c r="T133" s="78">
        <v>37</v>
      </c>
      <c r="U133" s="78">
        <v>37</v>
      </c>
      <c r="V133" s="78">
        <v>37</v>
      </c>
      <c r="W133" s="78">
        <v>37</v>
      </c>
      <c r="X133" s="78">
        <v>37</v>
      </c>
      <c r="Y133" s="78">
        <v>37</v>
      </c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</row>
    <row r="134" spans="17:55" x14ac:dyDescent="0.25">
      <c r="Q134"/>
      <c r="R134" s="144" t="s">
        <v>20</v>
      </c>
      <c r="S134" s="77" t="s">
        <v>157</v>
      </c>
      <c r="T134" s="78">
        <v>10</v>
      </c>
      <c r="U134" s="78">
        <v>10</v>
      </c>
      <c r="V134" s="78">
        <v>10</v>
      </c>
      <c r="W134" s="78">
        <v>10</v>
      </c>
      <c r="X134" s="78">
        <v>10</v>
      </c>
      <c r="Y134" s="78">
        <v>10</v>
      </c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</row>
    <row r="135" spans="17:55" x14ac:dyDescent="0.25">
      <c r="Q135"/>
      <c r="R135" s="144" t="s">
        <v>20</v>
      </c>
      <c r="S135" s="77" t="s">
        <v>158</v>
      </c>
      <c r="T135" s="78">
        <v>10</v>
      </c>
      <c r="U135" s="78">
        <v>10</v>
      </c>
      <c r="V135" s="78">
        <v>10</v>
      </c>
      <c r="W135" s="78">
        <v>10</v>
      </c>
      <c r="X135" s="78">
        <v>10</v>
      </c>
      <c r="Y135" s="78">
        <v>10</v>
      </c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</row>
    <row r="136" spans="17:55" x14ac:dyDescent="0.25">
      <c r="Q136"/>
      <c r="R136" s="144" t="s">
        <v>20</v>
      </c>
      <c r="S136" s="77" t="s">
        <v>159</v>
      </c>
      <c r="T136" s="78">
        <v>14</v>
      </c>
      <c r="U136" s="78">
        <v>14</v>
      </c>
      <c r="V136" s="78">
        <v>14</v>
      </c>
      <c r="W136" s="78">
        <v>14</v>
      </c>
      <c r="X136" s="78">
        <v>14</v>
      </c>
      <c r="Y136" s="78">
        <v>14</v>
      </c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</row>
    <row r="137" spans="17:55" x14ac:dyDescent="0.25">
      <c r="Q137"/>
      <c r="R137" s="144" t="s">
        <v>20</v>
      </c>
      <c r="S137" s="77" t="s">
        <v>160</v>
      </c>
      <c r="T137" s="78">
        <v>685</v>
      </c>
      <c r="U137" s="78">
        <v>685</v>
      </c>
      <c r="V137" s="78">
        <v>685</v>
      </c>
      <c r="W137" s="78">
        <v>685</v>
      </c>
      <c r="X137" s="78">
        <v>685</v>
      </c>
      <c r="Y137" s="78">
        <v>685</v>
      </c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</row>
    <row r="138" spans="17:55" x14ac:dyDescent="0.25">
      <c r="Q138"/>
      <c r="R138" s="144" t="s">
        <v>20</v>
      </c>
      <c r="S138" s="77" t="s">
        <v>161</v>
      </c>
      <c r="T138" s="78">
        <v>37</v>
      </c>
      <c r="U138" s="78">
        <v>37</v>
      </c>
      <c r="V138" s="78">
        <v>37</v>
      </c>
      <c r="W138" s="78">
        <v>37</v>
      </c>
      <c r="X138" s="78">
        <v>37</v>
      </c>
      <c r="Y138" s="78">
        <v>37</v>
      </c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</row>
    <row r="139" spans="17:55" x14ac:dyDescent="0.25">
      <c r="Q139"/>
      <c r="R139" s="144" t="s">
        <v>17</v>
      </c>
      <c r="S139" s="77" t="s">
        <v>157</v>
      </c>
      <c r="T139" s="78">
        <v>12.5</v>
      </c>
      <c r="U139" s="78">
        <v>12.5</v>
      </c>
      <c r="V139" s="78">
        <v>12.5</v>
      </c>
      <c r="W139" s="78">
        <v>12.5</v>
      </c>
      <c r="X139" s="78">
        <v>12.5</v>
      </c>
      <c r="Y139" s="78">
        <v>12.5</v>
      </c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</row>
    <row r="140" spans="17:55" x14ac:dyDescent="0.25">
      <c r="Q140"/>
      <c r="R140" s="144" t="s">
        <v>17</v>
      </c>
      <c r="S140" s="77" t="s">
        <v>158</v>
      </c>
      <c r="T140" s="78">
        <v>12.5</v>
      </c>
      <c r="U140" s="78">
        <v>12.5</v>
      </c>
      <c r="V140" s="78">
        <v>12.5</v>
      </c>
      <c r="W140" s="78">
        <v>12.5</v>
      </c>
      <c r="X140" s="78">
        <v>12.5</v>
      </c>
      <c r="Y140" s="78">
        <v>12.5</v>
      </c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</row>
    <row r="141" spans="17:55" x14ac:dyDescent="0.25">
      <c r="Q141"/>
      <c r="R141" s="144" t="s">
        <v>17</v>
      </c>
      <c r="S141" s="77" t="s">
        <v>159</v>
      </c>
      <c r="T141" s="78">
        <v>9</v>
      </c>
      <c r="U141" s="78">
        <v>9</v>
      </c>
      <c r="V141" s="78">
        <v>9</v>
      </c>
      <c r="W141" s="78">
        <v>9</v>
      </c>
      <c r="X141" s="78">
        <v>9</v>
      </c>
      <c r="Y141" s="78">
        <v>9</v>
      </c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</row>
    <row r="142" spans="17:55" x14ac:dyDescent="0.25">
      <c r="Q142"/>
      <c r="R142" s="144" t="s">
        <v>17</v>
      </c>
      <c r="S142" s="77" t="s">
        <v>160</v>
      </c>
      <c r="T142" s="78">
        <v>1E-14</v>
      </c>
      <c r="U142" s="78">
        <v>1E-14</v>
      </c>
      <c r="V142" s="78">
        <v>1E-14</v>
      </c>
      <c r="W142" s="78">
        <v>1E-14</v>
      </c>
      <c r="X142" s="78">
        <v>1E-14</v>
      </c>
      <c r="Y142" s="78">
        <v>1E-14</v>
      </c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</row>
    <row r="143" spans="17:55" x14ac:dyDescent="0.25">
      <c r="Q143"/>
      <c r="R143" s="144" t="s">
        <v>17</v>
      </c>
      <c r="S143" s="77" t="s">
        <v>161</v>
      </c>
      <c r="T143" s="78">
        <v>1E-14</v>
      </c>
      <c r="U143" s="78">
        <v>1E-14</v>
      </c>
      <c r="V143" s="78">
        <v>1E-14</v>
      </c>
      <c r="W143" s="78">
        <v>1E-14</v>
      </c>
      <c r="X143" s="78">
        <v>1E-14</v>
      </c>
      <c r="Y143" s="78">
        <v>1E-14</v>
      </c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</row>
    <row r="144" spans="17:55" x14ac:dyDescent="0.25">
      <c r="Q144"/>
      <c r="R144" s="144" t="s">
        <v>32</v>
      </c>
      <c r="S144" s="77" t="s">
        <v>157</v>
      </c>
      <c r="T144" s="78">
        <v>1E-14</v>
      </c>
      <c r="U144" s="78">
        <v>1E-14</v>
      </c>
      <c r="V144" s="78">
        <v>1E-14</v>
      </c>
      <c r="W144" s="78">
        <v>1E-14</v>
      </c>
      <c r="X144" s="78">
        <v>1E-14</v>
      </c>
      <c r="Y144" s="78">
        <v>1E-14</v>
      </c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</row>
    <row r="145" spans="17:55" x14ac:dyDescent="0.25">
      <c r="Q145"/>
      <c r="R145" s="144" t="s">
        <v>32</v>
      </c>
      <c r="S145" s="77" t="s">
        <v>158</v>
      </c>
      <c r="T145" s="78">
        <v>4166.666666666667</v>
      </c>
      <c r="U145" s="78">
        <v>4166.666666666667</v>
      </c>
      <c r="V145" s="78">
        <v>4166.666666666667</v>
      </c>
      <c r="W145" s="78">
        <v>4166.666666666667</v>
      </c>
      <c r="X145" s="78">
        <v>4166.666666666667</v>
      </c>
      <c r="Y145" s="78">
        <v>4166.666666666667</v>
      </c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</row>
    <row r="146" spans="17:55" x14ac:dyDescent="0.25">
      <c r="Q146"/>
      <c r="R146" s="144" t="s">
        <v>32</v>
      </c>
      <c r="S146" s="77" t="s">
        <v>159</v>
      </c>
      <c r="T146" s="78">
        <v>11.5</v>
      </c>
      <c r="U146" s="78">
        <v>11.5</v>
      </c>
      <c r="V146" s="78">
        <v>11.5</v>
      </c>
      <c r="W146" s="78">
        <v>11.5</v>
      </c>
      <c r="X146" s="78">
        <v>11.5</v>
      </c>
      <c r="Y146" s="78">
        <v>11.5</v>
      </c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</row>
    <row r="147" spans="17:55" x14ac:dyDescent="0.25">
      <c r="Q147"/>
      <c r="R147" s="144" t="s">
        <v>32</v>
      </c>
      <c r="S147" s="77" t="s">
        <v>160</v>
      </c>
      <c r="T147" s="78">
        <v>1E-14</v>
      </c>
      <c r="U147" s="78">
        <v>1E-14</v>
      </c>
      <c r="V147" s="78">
        <v>1E-14</v>
      </c>
      <c r="W147" s="78">
        <v>1E-14</v>
      </c>
      <c r="X147" s="78">
        <v>1E-14</v>
      </c>
      <c r="Y147" s="78">
        <v>1E-14</v>
      </c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</row>
    <row r="148" spans="17:55" x14ac:dyDescent="0.25">
      <c r="Q148"/>
      <c r="R148" s="144" t="s">
        <v>32</v>
      </c>
      <c r="S148" s="77" t="s">
        <v>161</v>
      </c>
      <c r="T148" s="78">
        <v>1E-14</v>
      </c>
      <c r="U148" s="78">
        <v>1E-14</v>
      </c>
      <c r="V148" s="78">
        <v>1E-14</v>
      </c>
      <c r="W148" s="78">
        <v>1E-14</v>
      </c>
      <c r="X148" s="78">
        <v>1E-14</v>
      </c>
      <c r="Y148" s="78">
        <v>1E-14</v>
      </c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</row>
    <row r="149" spans="17:55" x14ac:dyDescent="0.25">
      <c r="Q149"/>
      <c r="R149" s="144" t="s">
        <v>33</v>
      </c>
      <c r="S149" s="77" t="s">
        <v>157</v>
      </c>
      <c r="T149" s="78">
        <v>1E-14</v>
      </c>
      <c r="U149" s="78">
        <v>1E-14</v>
      </c>
      <c r="V149" s="78">
        <v>1E-14</v>
      </c>
      <c r="W149" s="78">
        <v>1E-14</v>
      </c>
      <c r="X149" s="78">
        <v>1E-14</v>
      </c>
      <c r="Y149" s="78">
        <v>1E-14</v>
      </c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</row>
    <row r="150" spans="17:55" x14ac:dyDescent="0.25">
      <c r="Q150"/>
      <c r="R150" s="144" t="s">
        <v>33</v>
      </c>
      <c r="S150" s="77" t="s">
        <v>158</v>
      </c>
      <c r="T150" s="78">
        <v>3333.3333333333335</v>
      </c>
      <c r="U150" s="78">
        <v>3333.3333333333335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</row>
    <row r="151" spans="17:55" x14ac:dyDescent="0.25">
      <c r="Q151"/>
      <c r="R151" s="144" t="s">
        <v>33</v>
      </c>
      <c r="S151" s="77" t="s">
        <v>159</v>
      </c>
      <c r="T151" s="78">
        <v>10.5</v>
      </c>
      <c r="U151" s="78">
        <v>10.5</v>
      </c>
      <c r="V151" s="78">
        <v>10.5</v>
      </c>
      <c r="W151" s="78">
        <v>10.5</v>
      </c>
      <c r="X151" s="78">
        <v>10.5</v>
      </c>
      <c r="Y151" s="78">
        <v>10.5</v>
      </c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</row>
    <row r="152" spans="17:55" x14ac:dyDescent="0.25">
      <c r="Q152"/>
      <c r="R152" s="144" t="s">
        <v>33</v>
      </c>
      <c r="S152" s="77" t="s">
        <v>160</v>
      </c>
      <c r="T152" s="78">
        <v>450</v>
      </c>
      <c r="U152" s="78">
        <v>450</v>
      </c>
      <c r="V152" s="78">
        <v>450</v>
      </c>
      <c r="W152" s="78">
        <v>450</v>
      </c>
      <c r="X152" s="78">
        <v>450</v>
      </c>
      <c r="Y152" s="78">
        <v>450</v>
      </c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</row>
    <row r="153" spans="17:55" x14ac:dyDescent="0.25">
      <c r="R153" s="144" t="s">
        <v>33</v>
      </c>
      <c r="S153" s="77" t="s">
        <v>161</v>
      </c>
      <c r="T153" s="78">
        <v>37</v>
      </c>
      <c r="U153" s="78">
        <v>37</v>
      </c>
      <c r="V153" s="78">
        <v>37</v>
      </c>
      <c r="W153" s="78">
        <v>37</v>
      </c>
      <c r="X153" s="78">
        <v>37</v>
      </c>
      <c r="Y153" s="78">
        <v>37</v>
      </c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</row>
    <row r="154" spans="17:55" x14ac:dyDescent="0.25">
      <c r="R154" s="144" t="s">
        <v>69</v>
      </c>
      <c r="S154" s="77" t="s">
        <v>157</v>
      </c>
      <c r="T154" s="78">
        <v>1E-14</v>
      </c>
      <c r="U154" s="78">
        <v>1E-14</v>
      </c>
      <c r="V154" s="78">
        <v>1E-14</v>
      </c>
      <c r="W154" s="78">
        <v>1E-14</v>
      </c>
      <c r="X154" s="78">
        <v>1E-14</v>
      </c>
      <c r="Y154" s="78">
        <v>1E-14</v>
      </c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</row>
    <row r="155" spans="17:55" x14ac:dyDescent="0.25">
      <c r="R155" s="144" t="s">
        <v>69</v>
      </c>
      <c r="S155" s="77" t="s">
        <v>158</v>
      </c>
      <c r="T155" s="78">
        <v>2500</v>
      </c>
      <c r="U155" s="78">
        <v>2500</v>
      </c>
      <c r="V155" s="78">
        <v>2500</v>
      </c>
      <c r="W155" s="78">
        <v>2500</v>
      </c>
      <c r="X155" s="78">
        <v>2500</v>
      </c>
      <c r="Y155" s="78">
        <v>2500</v>
      </c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</row>
    <row r="156" spans="17:55" x14ac:dyDescent="0.25">
      <c r="R156" s="144" t="s">
        <v>69</v>
      </c>
      <c r="S156" s="77" t="s">
        <v>159</v>
      </c>
      <c r="T156" s="78">
        <v>9.5</v>
      </c>
      <c r="U156" s="78">
        <v>9.5</v>
      </c>
      <c r="V156" s="78">
        <v>9.5</v>
      </c>
      <c r="W156" s="78">
        <v>9.5</v>
      </c>
      <c r="X156" s="78">
        <v>9.5</v>
      </c>
      <c r="Y156" s="78">
        <v>9.5</v>
      </c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</row>
    <row r="157" spans="17:55" x14ac:dyDescent="0.25">
      <c r="R157" s="144" t="s">
        <v>69</v>
      </c>
      <c r="S157" s="77" t="s">
        <v>160</v>
      </c>
      <c r="T157" s="78">
        <v>500</v>
      </c>
      <c r="U157" s="78">
        <v>500</v>
      </c>
      <c r="V157" s="78">
        <v>500</v>
      </c>
      <c r="W157" s="78">
        <v>500</v>
      </c>
      <c r="X157" s="78">
        <v>500</v>
      </c>
      <c r="Y157" s="78">
        <v>500</v>
      </c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</row>
    <row r="158" spans="17:55" x14ac:dyDescent="0.25">
      <c r="R158" s="144" t="s">
        <v>69</v>
      </c>
      <c r="S158" s="77" t="s">
        <v>161</v>
      </c>
      <c r="T158" s="78">
        <v>37</v>
      </c>
      <c r="U158" s="78">
        <v>37</v>
      </c>
      <c r="V158" s="78">
        <v>37</v>
      </c>
      <c r="W158" s="78">
        <v>37</v>
      </c>
      <c r="X158" s="78">
        <v>37</v>
      </c>
      <c r="Y158" s="78">
        <v>37</v>
      </c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</row>
    <row r="159" spans="17:55" x14ac:dyDescent="0.25">
      <c r="R159" s="144" t="s">
        <v>70</v>
      </c>
      <c r="S159" s="77" t="s">
        <v>157</v>
      </c>
      <c r="T159" s="78">
        <v>1E-14</v>
      </c>
      <c r="U159" s="78">
        <v>1E-14</v>
      </c>
      <c r="V159" s="78">
        <v>1E-14</v>
      </c>
      <c r="W159" s="78">
        <v>1E-14</v>
      </c>
      <c r="X159" s="78">
        <v>1E-14</v>
      </c>
      <c r="Y159" s="78">
        <v>1E-14</v>
      </c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</row>
    <row r="160" spans="17:55" x14ac:dyDescent="0.25">
      <c r="R160" s="144" t="s">
        <v>70</v>
      </c>
      <c r="S160" s="77" t="s">
        <v>158</v>
      </c>
      <c r="T160" s="78">
        <v>1666.6666666666667</v>
      </c>
      <c r="U160" s="78">
        <v>1666.6666666666667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</row>
    <row r="161" spans="18:55" x14ac:dyDescent="0.25">
      <c r="R161" s="144" t="s">
        <v>70</v>
      </c>
      <c r="S161" s="77" t="s">
        <v>159</v>
      </c>
      <c r="T161" s="78">
        <v>8.5</v>
      </c>
      <c r="U161" s="78">
        <v>8.5</v>
      </c>
      <c r="V161" s="78">
        <v>8.5</v>
      </c>
      <c r="W161" s="78">
        <v>8.5</v>
      </c>
      <c r="X161" s="78">
        <v>8.5</v>
      </c>
      <c r="Y161" s="78">
        <v>8.5</v>
      </c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</row>
    <row r="162" spans="18:55" x14ac:dyDescent="0.25">
      <c r="R162" s="144" t="s">
        <v>70</v>
      </c>
      <c r="S162" s="77" t="s">
        <v>160</v>
      </c>
      <c r="T162" s="78">
        <v>550</v>
      </c>
      <c r="U162" s="78">
        <v>550</v>
      </c>
      <c r="V162" s="78">
        <v>550</v>
      </c>
      <c r="W162" s="78">
        <v>550</v>
      </c>
      <c r="X162" s="78">
        <v>550</v>
      </c>
      <c r="Y162" s="78">
        <v>550</v>
      </c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</row>
    <row r="163" spans="18:55" x14ac:dyDescent="0.25">
      <c r="R163" s="144" t="s">
        <v>70</v>
      </c>
      <c r="S163" s="77" t="s">
        <v>161</v>
      </c>
      <c r="T163" s="78">
        <v>37</v>
      </c>
      <c r="U163" s="78">
        <v>37</v>
      </c>
      <c r="V163" s="78">
        <v>37</v>
      </c>
      <c r="W163" s="78">
        <v>37</v>
      </c>
      <c r="X163" s="78">
        <v>37</v>
      </c>
      <c r="Y163" s="78">
        <v>37</v>
      </c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</row>
    <row r="164" spans="18:55" x14ac:dyDescent="0.25">
      <c r="R164" s="144" t="s">
        <v>71</v>
      </c>
      <c r="S164" s="77" t="s">
        <v>157</v>
      </c>
      <c r="T164" s="78">
        <v>1E-14</v>
      </c>
      <c r="U164" s="78">
        <v>1E-14</v>
      </c>
      <c r="V164" s="78">
        <v>1E-14</v>
      </c>
      <c r="W164" s="78">
        <v>1E-14</v>
      </c>
      <c r="X164" s="78">
        <v>1E-14</v>
      </c>
      <c r="Y164" s="78">
        <v>1E-14</v>
      </c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</row>
    <row r="165" spans="18:55" x14ac:dyDescent="0.25">
      <c r="R165" s="144" t="s">
        <v>71</v>
      </c>
      <c r="S165" s="77" t="s">
        <v>158</v>
      </c>
      <c r="T165" s="78">
        <v>833.33333333333337</v>
      </c>
      <c r="U165" s="78">
        <v>833.33333333333337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</row>
    <row r="166" spans="18:55" x14ac:dyDescent="0.25">
      <c r="R166" s="144" t="s">
        <v>71</v>
      </c>
      <c r="S166" s="77" t="s">
        <v>159</v>
      </c>
      <c r="T166" s="78">
        <v>7.5</v>
      </c>
      <c r="U166" s="78">
        <v>7.5</v>
      </c>
      <c r="V166" s="78">
        <v>7.5</v>
      </c>
      <c r="W166" s="78">
        <v>7.5</v>
      </c>
      <c r="X166" s="78">
        <v>7.5</v>
      </c>
      <c r="Y166" s="78">
        <v>7.5</v>
      </c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</row>
    <row r="167" spans="18:55" x14ac:dyDescent="0.25">
      <c r="R167" s="144" t="s">
        <v>71</v>
      </c>
      <c r="S167" s="77" t="s">
        <v>160</v>
      </c>
      <c r="T167" s="78">
        <v>600</v>
      </c>
      <c r="U167" s="78">
        <v>600</v>
      </c>
      <c r="V167" s="78">
        <v>600</v>
      </c>
      <c r="W167" s="78">
        <v>600</v>
      </c>
      <c r="X167" s="78">
        <v>600</v>
      </c>
      <c r="Y167" s="78">
        <v>600</v>
      </c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</row>
    <row r="168" spans="18:55" x14ac:dyDescent="0.25">
      <c r="R168" s="144" t="s">
        <v>71</v>
      </c>
      <c r="S168" s="77" t="s">
        <v>161</v>
      </c>
      <c r="T168" s="78">
        <v>37</v>
      </c>
      <c r="U168" s="78">
        <v>37</v>
      </c>
      <c r="V168" s="78">
        <v>37</v>
      </c>
      <c r="W168" s="78">
        <v>37</v>
      </c>
      <c r="X168" s="78">
        <v>37</v>
      </c>
      <c r="Y168" s="78">
        <v>37</v>
      </c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</row>
    <row r="169" spans="18:55" x14ac:dyDescent="0.25">
      <c r="R169" s="144" t="s">
        <v>21</v>
      </c>
      <c r="S169" s="77" t="s">
        <v>157</v>
      </c>
      <c r="T169" s="78">
        <v>1E-14</v>
      </c>
      <c r="U169" s="78">
        <v>1E-14</v>
      </c>
      <c r="V169" s="78">
        <v>1E-14</v>
      </c>
      <c r="W169" s="78">
        <v>1E-14</v>
      </c>
      <c r="X169" s="78">
        <v>1E-14</v>
      </c>
      <c r="Y169" s="78">
        <v>1E-14</v>
      </c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</row>
    <row r="170" spans="18:55" x14ac:dyDescent="0.25">
      <c r="R170" s="144" t="s">
        <v>21</v>
      </c>
      <c r="S170" s="77" t="s">
        <v>158</v>
      </c>
      <c r="T170" s="78">
        <v>1E-14</v>
      </c>
      <c r="U170" s="78">
        <v>1E-14</v>
      </c>
      <c r="V170" s="78">
        <v>1E-14</v>
      </c>
      <c r="W170" s="78">
        <v>1E-14</v>
      </c>
      <c r="X170" s="78">
        <v>1E-14</v>
      </c>
      <c r="Y170" s="78">
        <v>1E-14</v>
      </c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</row>
    <row r="171" spans="18:55" x14ac:dyDescent="0.25">
      <c r="R171" s="144" t="s">
        <v>21</v>
      </c>
      <c r="S171" s="77" t="s">
        <v>159</v>
      </c>
      <c r="T171" s="78">
        <v>1E-14</v>
      </c>
      <c r="U171" s="78">
        <v>1E-14</v>
      </c>
      <c r="V171" s="78">
        <v>1E-14</v>
      </c>
      <c r="W171" s="78">
        <v>1E-14</v>
      </c>
      <c r="X171" s="78">
        <v>1E-14</v>
      </c>
      <c r="Y171" s="78">
        <v>1E-14</v>
      </c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</row>
    <row r="172" spans="18:55" x14ac:dyDescent="0.25">
      <c r="R172" s="144" t="s">
        <v>21</v>
      </c>
      <c r="S172" s="77" t="s">
        <v>160</v>
      </c>
      <c r="T172" s="78">
        <v>1E-14</v>
      </c>
      <c r="U172" s="78">
        <v>1E-14</v>
      </c>
      <c r="V172" s="78">
        <v>1E-14</v>
      </c>
      <c r="W172" s="78">
        <v>1E-14</v>
      </c>
      <c r="X172" s="78">
        <v>1E-14</v>
      </c>
      <c r="Y172" s="78">
        <v>1E-14</v>
      </c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</row>
    <row r="173" spans="18:55" x14ac:dyDescent="0.25">
      <c r="R173" s="144" t="s">
        <v>21</v>
      </c>
      <c r="S173" s="77" t="s">
        <v>161</v>
      </c>
      <c r="T173" s="78">
        <v>1E-14</v>
      </c>
      <c r="U173" s="78">
        <v>1E-14</v>
      </c>
      <c r="V173" s="78">
        <v>1E-14</v>
      </c>
      <c r="W173" s="78">
        <v>1E-14</v>
      </c>
      <c r="X173" s="78">
        <v>1E-14</v>
      </c>
      <c r="Y173" s="78">
        <v>1E-14</v>
      </c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</row>
    <row r="174" spans="18:55" x14ac:dyDescent="0.25">
      <c r="R174" s="144" t="s">
        <v>22</v>
      </c>
      <c r="S174" s="77" t="s">
        <v>157</v>
      </c>
      <c r="T174" s="78">
        <v>1E-14</v>
      </c>
      <c r="U174" s="78">
        <v>1E-14</v>
      </c>
      <c r="V174" s="78">
        <v>1E-14</v>
      </c>
      <c r="W174" s="78">
        <v>1E-14</v>
      </c>
      <c r="X174" s="78">
        <v>1E-14</v>
      </c>
      <c r="Y174" s="78">
        <v>1E-14</v>
      </c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</row>
    <row r="175" spans="18:55" x14ac:dyDescent="0.25">
      <c r="R175" s="144" t="s">
        <v>22</v>
      </c>
      <c r="S175" s="77" t="s">
        <v>158</v>
      </c>
      <c r="T175" s="78">
        <v>20.833333333333332</v>
      </c>
      <c r="U175" s="78">
        <v>1E-14</v>
      </c>
      <c r="V175" s="78">
        <v>1E-14</v>
      </c>
      <c r="W175" s="78">
        <v>1E-14</v>
      </c>
      <c r="X175" s="78">
        <v>1E-14</v>
      </c>
      <c r="Y175" s="78">
        <v>1E-14</v>
      </c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</row>
    <row r="176" spans="18:55" x14ac:dyDescent="0.25">
      <c r="R176" s="144" t="s">
        <v>22</v>
      </c>
      <c r="S176" s="77" t="s">
        <v>159</v>
      </c>
      <c r="T176" s="78">
        <v>1E-14</v>
      </c>
      <c r="U176" s="78">
        <v>1E-14</v>
      </c>
      <c r="V176" s="78">
        <v>1E-14</v>
      </c>
      <c r="W176" s="78">
        <v>1E-14</v>
      </c>
      <c r="X176" s="78">
        <v>1E-14</v>
      </c>
      <c r="Y176" s="78">
        <v>1E-14</v>
      </c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</row>
    <row r="177" spans="18:55" x14ac:dyDescent="0.25">
      <c r="R177" s="144" t="s">
        <v>22</v>
      </c>
      <c r="S177" s="77" t="s">
        <v>160</v>
      </c>
      <c r="T177" s="78">
        <v>1E-14</v>
      </c>
      <c r="U177" s="78">
        <v>1E-14</v>
      </c>
      <c r="V177" s="78">
        <v>1E-14</v>
      </c>
      <c r="W177" s="78">
        <v>1E-14</v>
      </c>
      <c r="X177" s="78">
        <v>1E-14</v>
      </c>
      <c r="Y177" s="78">
        <v>1E-14</v>
      </c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</row>
    <row r="178" spans="18:55" x14ac:dyDescent="0.25">
      <c r="R178" s="144" t="s">
        <v>22</v>
      </c>
      <c r="S178" s="77" t="s">
        <v>161</v>
      </c>
      <c r="T178" s="78">
        <v>1E-14</v>
      </c>
      <c r="U178" s="78">
        <v>1E-14</v>
      </c>
      <c r="V178" s="78">
        <v>1E-14</v>
      </c>
      <c r="W178" s="78">
        <v>1E-14</v>
      </c>
      <c r="X178" s="78">
        <v>1E-14</v>
      </c>
      <c r="Y178" s="78">
        <v>1E-14</v>
      </c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</row>
    <row r="179" spans="18:55" x14ac:dyDescent="0.25">
      <c r="R179" s="144" t="s">
        <v>31</v>
      </c>
      <c r="S179" s="77" t="s">
        <v>157</v>
      </c>
      <c r="T179" s="78">
        <v>1E-14</v>
      </c>
      <c r="U179" s="78">
        <v>1E-14</v>
      </c>
      <c r="V179" s="78">
        <v>1E-14</v>
      </c>
      <c r="W179" s="78">
        <v>1E-14</v>
      </c>
      <c r="X179" s="78">
        <v>1E-14</v>
      </c>
      <c r="Y179" s="78">
        <v>1E-14</v>
      </c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</row>
    <row r="180" spans="18:55" x14ac:dyDescent="0.25">
      <c r="R180" s="144" t="s">
        <v>31</v>
      </c>
      <c r="S180" s="77" t="s">
        <v>158</v>
      </c>
      <c r="T180" s="78">
        <v>1E-14</v>
      </c>
      <c r="U180" s="78">
        <v>1E-14</v>
      </c>
      <c r="V180" s="78">
        <v>1E-14</v>
      </c>
      <c r="W180" s="78">
        <v>1E-14</v>
      </c>
      <c r="X180" s="78">
        <v>1E-14</v>
      </c>
      <c r="Y180" s="78">
        <v>1E-14</v>
      </c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</row>
    <row r="181" spans="18:55" x14ac:dyDescent="0.25">
      <c r="R181" s="144" t="s">
        <v>31</v>
      </c>
      <c r="S181" s="77" t="s">
        <v>159</v>
      </c>
      <c r="T181" s="78">
        <v>1E-14</v>
      </c>
      <c r="U181" s="78">
        <v>1E-14</v>
      </c>
      <c r="V181" s="78">
        <v>1E-14</v>
      </c>
      <c r="W181" s="78">
        <v>1E-14</v>
      </c>
      <c r="X181" s="78">
        <v>1E-14</v>
      </c>
      <c r="Y181" s="78">
        <v>1E-14</v>
      </c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</row>
    <row r="182" spans="18:55" x14ac:dyDescent="0.25">
      <c r="R182" s="144" t="s">
        <v>31</v>
      </c>
      <c r="S182" s="77" t="s">
        <v>160</v>
      </c>
      <c r="T182" s="78">
        <v>1E-14</v>
      </c>
      <c r="U182" s="78">
        <v>1E-14</v>
      </c>
      <c r="V182" s="78">
        <v>1E-14</v>
      </c>
      <c r="W182" s="78">
        <v>1E-14</v>
      </c>
      <c r="X182" s="78">
        <v>1E-14</v>
      </c>
      <c r="Y182" s="78">
        <v>1E-14</v>
      </c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</row>
    <row r="183" spans="18:55" x14ac:dyDescent="0.25">
      <c r="R183" s="144" t="s">
        <v>31</v>
      </c>
      <c r="S183" s="77" t="s">
        <v>161</v>
      </c>
      <c r="T183" s="78">
        <v>1E-14</v>
      </c>
      <c r="U183" s="78">
        <v>1E-14</v>
      </c>
      <c r="V183" s="78">
        <v>1E-14</v>
      </c>
      <c r="W183" s="78">
        <v>1E-14</v>
      </c>
      <c r="X183" s="78">
        <v>1E-14</v>
      </c>
      <c r="Y183" s="78">
        <v>1E-14</v>
      </c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</row>
    <row r="184" spans="18:55" x14ac:dyDescent="0.25">
      <c r="R184" s="76"/>
      <c r="S184" s="77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</row>
    <row r="185" spans="18:55" x14ac:dyDescent="0.25">
      <c r="R185" s="76"/>
      <c r="S185" s="77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</row>
    <row r="186" spans="18:55" x14ac:dyDescent="0.25">
      <c r="R186" s="76"/>
      <c r="S186" s="77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</row>
    <row r="187" spans="18:55" x14ac:dyDescent="0.25">
      <c r="R187" s="76"/>
      <c r="S187" s="77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</row>
    <row r="188" spans="18:55" x14ac:dyDescent="0.25">
      <c r="R188" s="76"/>
      <c r="S188" s="77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</row>
    <row r="189" spans="18:55" x14ac:dyDescent="0.25">
      <c r="R189" s="76"/>
      <c r="S189" s="77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T14:BC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P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J10" sqref="J10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109</v>
      </c>
      <c r="B1" s="17"/>
      <c r="C1" s="86">
        <v>44571.555413946757</v>
      </c>
      <c r="D1" s="10"/>
      <c r="E1" s="10"/>
    </row>
    <row r="2" spans="1:27" x14ac:dyDescent="0.25">
      <c r="A2" s="67" t="s">
        <v>106</v>
      </c>
      <c r="B2" s="65">
        <v>44562</v>
      </c>
      <c r="C2" s="68">
        <v>44713</v>
      </c>
      <c r="E2" s="87"/>
    </row>
    <row r="3" spans="1:27" x14ac:dyDescent="0.25">
      <c r="A3" s="67" t="s">
        <v>116</v>
      </c>
      <c r="B3" s="74">
        <v>-14330707.125510387</v>
      </c>
      <c r="C3" s="75" t="s">
        <v>63</v>
      </c>
      <c r="D3" s="19"/>
      <c r="E3" s="87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115</v>
      </c>
      <c r="B4" s="70">
        <v>-13070235.922015797</v>
      </c>
      <c r="C4" s="71" t="s">
        <v>63</v>
      </c>
      <c r="P4" s="59"/>
    </row>
    <row r="5" spans="1:27" x14ac:dyDescent="0.25">
      <c r="D5" s="85">
        <f>_xlfn.LET(_xlpm.mo,COLUMN(D6)-COLUMN($D$6)+MONTH($B$2),DATE(YEAR($B$2),_xlpm.mo,1))</f>
        <v>44562</v>
      </c>
      <c r="E5" s="85">
        <f t="shared" ref="E5:AA5" si="0">_xlfn.LET(_xlpm.mo,COLUMN(E6)-COLUMN($D$6)+MONTH($B$2),DATE(YEAR($B$2),_xlpm.mo,1))</f>
        <v>44593</v>
      </c>
      <c r="F5" s="85">
        <f t="shared" si="0"/>
        <v>44621</v>
      </c>
      <c r="G5" s="85">
        <f t="shared" si="0"/>
        <v>44652</v>
      </c>
      <c r="H5" s="85">
        <f t="shared" si="0"/>
        <v>44682</v>
      </c>
      <c r="I5" s="85">
        <f t="shared" si="0"/>
        <v>44713</v>
      </c>
      <c r="J5" s="85">
        <f t="shared" si="0"/>
        <v>44743</v>
      </c>
      <c r="K5" s="85">
        <f t="shared" si="0"/>
        <v>44774</v>
      </c>
      <c r="L5" s="85">
        <f t="shared" si="0"/>
        <v>44805</v>
      </c>
      <c r="M5" s="85">
        <f t="shared" si="0"/>
        <v>44835</v>
      </c>
      <c r="N5" s="85">
        <f t="shared" si="0"/>
        <v>44866</v>
      </c>
      <c r="O5" s="85">
        <f t="shared" si="0"/>
        <v>44896</v>
      </c>
      <c r="P5" s="85">
        <f t="shared" si="0"/>
        <v>44927</v>
      </c>
      <c r="Q5" s="85">
        <f t="shared" si="0"/>
        <v>44958</v>
      </c>
      <c r="R5" s="85">
        <f t="shared" si="0"/>
        <v>44986</v>
      </c>
      <c r="S5" s="85">
        <f t="shared" si="0"/>
        <v>45017</v>
      </c>
      <c r="T5" s="85">
        <f t="shared" si="0"/>
        <v>45047</v>
      </c>
      <c r="U5" s="85">
        <f t="shared" si="0"/>
        <v>45078</v>
      </c>
      <c r="V5" s="85">
        <f t="shared" si="0"/>
        <v>45108</v>
      </c>
      <c r="W5" s="85">
        <f t="shared" si="0"/>
        <v>45139</v>
      </c>
      <c r="X5" s="85">
        <f t="shared" si="0"/>
        <v>45170</v>
      </c>
      <c r="Y5" s="85">
        <f t="shared" si="0"/>
        <v>45200</v>
      </c>
      <c r="Z5" s="85">
        <f t="shared" si="0"/>
        <v>45231</v>
      </c>
      <c r="AA5" s="85">
        <f t="shared" si="0"/>
        <v>45261</v>
      </c>
    </row>
    <row r="6" spans="1:27" s="80" customFormat="1" ht="18.75" x14ac:dyDescent="0.3">
      <c r="A6" s="79" t="s">
        <v>121</v>
      </c>
      <c r="B6" s="79" t="s">
        <v>77</v>
      </c>
      <c r="C6" s="79" t="s">
        <v>88</v>
      </c>
      <c r="D6" s="84" t="s">
        <v>191</v>
      </c>
      <c r="E6" s="84" t="s">
        <v>200</v>
      </c>
      <c r="F6" s="84" t="s">
        <v>201</v>
      </c>
      <c r="G6" s="84" t="s">
        <v>202</v>
      </c>
      <c r="H6" s="84" t="s">
        <v>203</v>
      </c>
      <c r="I6" s="84" t="s">
        <v>204</v>
      </c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137300</v>
      </c>
      <c r="B7" s="53" t="s">
        <v>64</v>
      </c>
      <c r="C7" s="60" t="s">
        <v>35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190.80805507246075</v>
      </c>
      <c r="B8" s="53" t="s">
        <v>37</v>
      </c>
      <c r="C8" s="60" t="s">
        <v>107</v>
      </c>
      <c r="D8" s="13">
        <v>184.99124836819155</v>
      </c>
      <c r="E8" s="13">
        <v>219.84600805132754</v>
      </c>
      <c r="F8" s="13">
        <v>193.26143329059806</v>
      </c>
      <c r="G8" s="13">
        <v>184.8447795066584</v>
      </c>
      <c r="H8" s="13">
        <v>156.2495345932185</v>
      </c>
      <c r="I8" s="13">
        <v>160.44410859887563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184.0406002611611</v>
      </c>
      <c r="B9" s="53" t="s">
        <v>37</v>
      </c>
      <c r="C9" s="60" t="s">
        <v>108</v>
      </c>
      <c r="D9" s="13">
        <v>207.54351264227802</v>
      </c>
      <c r="E9" s="13">
        <v>192.3760642807882</v>
      </c>
      <c r="F9" s="13">
        <v>193.26143329059806</v>
      </c>
      <c r="G9" s="13">
        <v>184.8447795066584</v>
      </c>
      <c r="H9" s="13">
        <v>156.2495345932185</v>
      </c>
      <c r="I9" s="13">
        <v>160.4441085988756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-24937474.75795427</v>
      </c>
      <c r="B10" s="52" t="s">
        <v>63</v>
      </c>
      <c r="C10" s="62" t="s">
        <v>96</v>
      </c>
      <c r="D10" s="16">
        <v>-6481755.451149961</v>
      </c>
      <c r="E10" s="16">
        <v>-5823036.6703950912</v>
      </c>
      <c r="F10" s="16">
        <v>-5701212.2820726428</v>
      </c>
      <c r="G10" s="16">
        <v>-3696895.5901331678</v>
      </c>
      <c r="H10" s="16">
        <v>-2031243.9497118406</v>
      </c>
      <c r="I10" s="16">
        <v>-1203330.8144915672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1">SUM(D11:AA11)</f>
        <v>30237797.222858034</v>
      </c>
      <c r="B11" s="52" t="s">
        <v>63</v>
      </c>
      <c r="C11" s="72" t="s">
        <v>104</v>
      </c>
      <c r="D11" s="16">
        <v>5110671.2320648674</v>
      </c>
      <c r="E11" s="16">
        <v>4876695.7557286136</v>
      </c>
      <c r="F11" s="16">
        <v>5112419.5136373285</v>
      </c>
      <c r="G11" s="16">
        <v>5027136.8656453341</v>
      </c>
      <c r="H11" s="16">
        <v>5103717.0640453333</v>
      </c>
      <c r="I11" s="16">
        <v>5007156.7917365599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15578112.500000002</v>
      </c>
      <c r="B12" s="52" t="s">
        <v>63</v>
      </c>
      <c r="C12" s="64" t="s">
        <v>97</v>
      </c>
      <c r="D12" s="16">
        <v>2596352.083333333</v>
      </c>
      <c r="E12" s="16">
        <v>2596352.0833333335</v>
      </c>
      <c r="F12" s="16">
        <v>2596352.0833333335</v>
      </c>
      <c r="G12" s="16">
        <v>2596352.0833333335</v>
      </c>
      <c r="H12" s="16">
        <v>2596352.0833333335</v>
      </c>
      <c r="I12" s="16">
        <v>2596352.0833333335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758884.72285803512</v>
      </c>
      <c r="B13" s="52" t="s">
        <v>63</v>
      </c>
      <c r="C13" s="64" t="s">
        <v>98</v>
      </c>
      <c r="D13" s="16">
        <v>133519.1487315344</v>
      </c>
      <c r="E13" s="16">
        <v>129943.6723952795</v>
      </c>
      <c r="F13" s="16">
        <v>135267.43030399524</v>
      </c>
      <c r="G13" s="16">
        <v>126784.78231200004</v>
      </c>
      <c r="H13" s="16">
        <v>126564.98071200003</v>
      </c>
      <c r="I13" s="16">
        <v>106804.70840322583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13900800</v>
      </c>
      <c r="B14" s="52" t="s">
        <v>63</v>
      </c>
      <c r="C14" s="64" t="s">
        <v>99</v>
      </c>
      <c r="D14" s="16">
        <v>2380800</v>
      </c>
      <c r="E14" s="16">
        <v>2150400</v>
      </c>
      <c r="F14" s="16">
        <v>2380800</v>
      </c>
      <c r="G14" s="16">
        <v>2304000</v>
      </c>
      <c r="H14" s="16">
        <v>2380800</v>
      </c>
      <c r="I14" s="16">
        <v>2304000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1"/>
        <v>55175271.980812311</v>
      </c>
      <c r="B15" s="52" t="s">
        <v>63</v>
      </c>
      <c r="C15" s="72" t="s">
        <v>103</v>
      </c>
      <c r="D15" s="16">
        <v>11592426.683214828</v>
      </c>
      <c r="E15" s="16">
        <v>10699732.426123705</v>
      </c>
      <c r="F15" s="16">
        <v>10813631.795709971</v>
      </c>
      <c r="G15" s="16">
        <v>8724032.4557785019</v>
      </c>
      <c r="H15" s="16">
        <v>7134961.0137571739</v>
      </c>
      <c r="I15" s="16">
        <v>6210487.6062281271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5139683.8120015254</v>
      </c>
      <c r="B16" s="52" t="s">
        <v>63</v>
      </c>
      <c r="C16" s="64" t="s">
        <v>89</v>
      </c>
      <c r="D16" s="16">
        <v>1157921.329003599</v>
      </c>
      <c r="E16" s="16">
        <v>1148891.4504610887</v>
      </c>
      <c r="F16" s="16">
        <v>1071380</v>
      </c>
      <c r="G16" s="16">
        <v>694180.6870370371</v>
      </c>
      <c r="H16" s="16">
        <v>519180.6870370371</v>
      </c>
      <c r="I16" s="16">
        <v>548129.65846276388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7652073.0366771482</v>
      </c>
      <c r="B17" s="52" t="s">
        <v>63</v>
      </c>
      <c r="C17" s="64" t="s">
        <v>90</v>
      </c>
      <c r="D17" s="16">
        <v>2618660.0490196077</v>
      </c>
      <c r="E17" s="16">
        <v>1702565.9313725489</v>
      </c>
      <c r="F17" s="16">
        <v>1825360.5726248617</v>
      </c>
      <c r="G17" s="16">
        <v>1493919.7124183001</v>
      </c>
      <c r="H17" s="16">
        <v>11566.771241829485</v>
      </c>
      <c r="I17" s="16">
        <v>1E-14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26760496.840890549</v>
      </c>
      <c r="B18" s="52" t="s">
        <v>63</v>
      </c>
      <c r="C18" s="64" t="s">
        <v>91</v>
      </c>
      <c r="D18" s="16">
        <v>4707693.6218050839</v>
      </c>
      <c r="E18" s="16">
        <v>4593092.0822098423</v>
      </c>
      <c r="F18" s="16">
        <v>4776766.9163039569</v>
      </c>
      <c r="G18" s="16">
        <v>4583990.92590365</v>
      </c>
      <c r="H18" s="16">
        <v>4563404.8774518864</v>
      </c>
      <c r="I18" s="16">
        <v>3535548.4172161296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15623018.291243088</v>
      </c>
      <c r="B19" s="52" t="s">
        <v>63</v>
      </c>
      <c r="C19" s="64" t="s">
        <v>100</v>
      </c>
      <c r="D19" s="16">
        <v>3108151.6833865386</v>
      </c>
      <c r="E19" s="16">
        <v>3255182.9620802263</v>
      </c>
      <c r="F19" s="16">
        <v>3140124.3067811523</v>
      </c>
      <c r="G19" s="16">
        <v>1951941.1304195151</v>
      </c>
      <c r="H19" s="16">
        <v>2040808.678026421</v>
      </c>
      <c r="I19" s="16">
        <v>2126809.5305492338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5.9999999999999997E-14</v>
      </c>
      <c r="B20" s="52" t="s">
        <v>63</v>
      </c>
      <c r="C20" s="64" t="s">
        <v>165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17792.182430880712</v>
      </c>
      <c r="B21" s="53" t="s">
        <v>65</v>
      </c>
      <c r="C21" s="62" t="s">
        <v>180</v>
      </c>
      <c r="D21" s="8">
        <v>3904.8138083333333</v>
      </c>
      <c r="E21" s="8">
        <v>3904.8138083333333</v>
      </c>
      <c r="F21" s="8">
        <v>3587.3952642140466</v>
      </c>
      <c r="G21" s="8">
        <v>2131.71985</v>
      </c>
      <c r="H21" s="8">
        <v>2131.71985</v>
      </c>
      <c r="I21" s="8">
        <v>2131.71985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20436.966305741364</v>
      </c>
      <c r="B22" s="53" t="s">
        <v>65</v>
      </c>
      <c r="C22" s="62" t="s">
        <v>181</v>
      </c>
      <c r="D22" s="8">
        <v>4485.2591041666665</v>
      </c>
      <c r="E22" s="8">
        <v>4485.2591041666674</v>
      </c>
      <c r="F22" s="8">
        <v>4120.6567224080263</v>
      </c>
      <c r="G22" s="8">
        <v>2448.5971250000002</v>
      </c>
      <c r="H22" s="8">
        <v>2448.5971250000002</v>
      </c>
      <c r="I22" s="8">
        <v>2448.5971250000002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34752</v>
      </c>
      <c r="B23" s="53" t="s">
        <v>72</v>
      </c>
      <c r="C23" s="62" t="s">
        <v>110</v>
      </c>
      <c r="D23" s="8">
        <v>5952</v>
      </c>
      <c r="E23" s="8">
        <v>5376</v>
      </c>
      <c r="F23" s="8">
        <v>5952</v>
      </c>
      <c r="G23" s="8">
        <v>5760</v>
      </c>
      <c r="H23" s="8">
        <v>5952</v>
      </c>
      <c r="I23" s="8">
        <v>5760</v>
      </c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1"/>
        <v>135006.02419741801</v>
      </c>
      <c r="B24" s="53" t="s">
        <v>64</v>
      </c>
      <c r="C24" s="72" t="s">
        <v>102</v>
      </c>
      <c r="D24" s="11">
        <v>31230.826580071978</v>
      </c>
      <c r="E24" s="11">
        <v>30269.029009221777</v>
      </c>
      <c r="F24" s="11">
        <v>29500</v>
      </c>
      <c r="G24" s="11">
        <v>20000</v>
      </c>
      <c r="H24" s="11">
        <v>13000</v>
      </c>
      <c r="I24" s="11">
        <v>11006.168608124255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1"/>
        <v>85714.012859996292</v>
      </c>
      <c r="B25" s="53" t="s">
        <v>64</v>
      </c>
      <c r="C25" s="64" t="s">
        <v>111</v>
      </c>
      <c r="D25" s="11">
        <v>18876.943696581198</v>
      </c>
      <c r="E25" s="11">
        <v>18752.328311965815</v>
      </c>
      <c r="F25" s="11">
        <v>17447.130434782608</v>
      </c>
      <c r="G25" s="11">
        <v>10402.536805555557</v>
      </c>
      <c r="H25" s="11">
        <v>10402.536805555557</v>
      </c>
      <c r="I25" s="11">
        <v>9832.5368055555555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1"/>
        <v>19502.769609026662</v>
      </c>
      <c r="B26" s="53" t="s">
        <v>64</v>
      </c>
      <c r="C26" s="64" t="s">
        <v>112</v>
      </c>
      <c r="D26" s="11">
        <v>4541.882883490779</v>
      </c>
      <c r="E26" s="11">
        <v>4460.7006972559611</v>
      </c>
      <c r="F26" s="11">
        <v>4240.869565217391</v>
      </c>
      <c r="G26" s="11">
        <v>2542.8423302469141</v>
      </c>
      <c r="H26" s="11">
        <v>2542.8423302469141</v>
      </c>
      <c r="I26" s="11">
        <v>1173.6318025686978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8"/>
      <c r="B27" s="53"/>
      <c r="C27" s="64" t="s">
        <v>113</v>
      </c>
      <c r="D27" s="51">
        <v>0.19394152255927502</v>
      </c>
      <c r="E27" s="51">
        <v>0.19216366358237311</v>
      </c>
      <c r="F27" s="51">
        <v>0.19553990986800954</v>
      </c>
      <c r="G27" s="51">
        <v>0.19642857142857142</v>
      </c>
      <c r="H27" s="51">
        <v>0.19642857142857142</v>
      </c>
      <c r="I27" s="51">
        <v>0.10663400174538268</v>
      </c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1"/>
        <v>3506.1686081242542</v>
      </c>
      <c r="B28" s="53" t="s">
        <v>64</v>
      </c>
      <c r="C28" s="64" t="s">
        <v>101</v>
      </c>
      <c r="D28" s="8">
        <v>1E-14</v>
      </c>
      <c r="E28" s="8">
        <v>1E-14</v>
      </c>
      <c r="F28" s="8">
        <v>1E-14</v>
      </c>
      <c r="G28" s="8">
        <v>1E-14</v>
      </c>
      <c r="H28" s="8">
        <v>1E-14</v>
      </c>
      <c r="I28" s="8">
        <v>3506.1686081242542</v>
      </c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1"/>
        <v>1260471.2034945909</v>
      </c>
      <c r="B29" s="52" t="s">
        <v>63</v>
      </c>
      <c r="C29" s="73" t="s">
        <v>105</v>
      </c>
      <c r="D29" s="16">
        <v>48435.616247200334</v>
      </c>
      <c r="E29" s="16">
        <v>1212035.5872473905</v>
      </c>
      <c r="F29" s="16">
        <v>1E-14</v>
      </c>
      <c r="G29" s="16">
        <v>1E-14</v>
      </c>
      <c r="H29" s="16">
        <v>1E-14</v>
      </c>
      <c r="I29" s="16">
        <v>1E-14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1"/>
        <v>18001.444107062453</v>
      </c>
      <c r="B30" s="52" t="s">
        <v>63</v>
      </c>
      <c r="C30" s="63" t="s">
        <v>92</v>
      </c>
      <c r="D30" s="16">
        <v>691.73419928021758</v>
      </c>
      <c r="E30" s="16">
        <v>17309.709907782235</v>
      </c>
      <c r="F30" s="16">
        <v>1E-14</v>
      </c>
      <c r="G30" s="16">
        <v>1E-14</v>
      </c>
      <c r="H30" s="16">
        <v>1E-14</v>
      </c>
      <c r="I30" s="16">
        <v>1E-14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1"/>
        <v>736422.71347073675</v>
      </c>
      <c r="B31" s="52" t="s">
        <v>63</v>
      </c>
      <c r="C31" s="63" t="s">
        <v>93</v>
      </c>
      <c r="D31" s="16">
        <v>28298.217243281626</v>
      </c>
      <c r="E31" s="16">
        <v>708124.49622745509</v>
      </c>
      <c r="F31" s="16">
        <v>1E-14</v>
      </c>
      <c r="G31" s="16">
        <v>1E-14</v>
      </c>
      <c r="H31" s="16">
        <v>1E-14</v>
      </c>
      <c r="I31" s="16">
        <v>1E-14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1"/>
        <v>506047.04591679166</v>
      </c>
      <c r="B32" s="52" t="s">
        <v>63</v>
      </c>
      <c r="C32" s="63" t="s">
        <v>94</v>
      </c>
      <c r="D32" s="16">
        <v>19445.664804638494</v>
      </c>
      <c r="E32" s="16">
        <v>486601.38111215318</v>
      </c>
      <c r="F32" s="16">
        <v>1E-14</v>
      </c>
      <c r="G32" s="16">
        <v>1E-14</v>
      </c>
      <c r="H32" s="16">
        <v>1E-14</v>
      </c>
      <c r="I32" s="16">
        <v>1E-14</v>
      </c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1"/>
        <v>479.55847101214368</v>
      </c>
      <c r="B33" s="53" t="s">
        <v>65</v>
      </c>
      <c r="C33" s="61" t="s">
        <v>95</v>
      </c>
      <c r="D33" s="8">
        <v>18.427799068824996</v>
      </c>
      <c r="E33" s="8">
        <v>461.1306719433187</v>
      </c>
      <c r="F33" s="8">
        <v>1E-14</v>
      </c>
      <c r="G33" s="8">
        <v>1E-14</v>
      </c>
      <c r="H33" s="8">
        <v>1E-14</v>
      </c>
      <c r="I33" s="8">
        <v>1E-14</v>
      </c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1"/>
        <v>1800.1444107062453</v>
      </c>
      <c r="B34" s="53" t="s">
        <v>64</v>
      </c>
      <c r="C34" s="61" t="s">
        <v>114</v>
      </c>
      <c r="D34" s="11">
        <v>69.173419928021758</v>
      </c>
      <c r="E34" s="11">
        <v>1730.9709907782235</v>
      </c>
      <c r="F34" s="11">
        <v>1E-14</v>
      </c>
      <c r="G34" s="11">
        <v>1E-14</v>
      </c>
      <c r="H34" s="11">
        <v>1E-14</v>
      </c>
      <c r="I34" s="11">
        <v>1E-14</v>
      </c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195</v>
      </c>
      <c r="B36" s="79" t="s">
        <v>77</v>
      </c>
      <c r="C36" s="79"/>
      <c r="D36" s="84" t="s">
        <v>191</v>
      </c>
      <c r="E36" s="84" t="s">
        <v>200</v>
      </c>
      <c r="F36" s="84" t="s">
        <v>201</v>
      </c>
      <c r="G36" s="84" t="s">
        <v>202</v>
      </c>
      <c r="H36" s="84" t="s">
        <v>203</v>
      </c>
      <c r="I36" s="84" t="s">
        <v>204</v>
      </c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3">SUM(D37:O37)</f>
        <v>15121.978394948872</v>
      </c>
      <c r="B37" s="53" t="s">
        <v>64</v>
      </c>
      <c r="C37" s="6" t="s">
        <v>139</v>
      </c>
      <c r="D37" s="14">
        <v>2586.8265800719787</v>
      </c>
      <c r="E37" s="14">
        <v>4397.0290092217765</v>
      </c>
      <c r="F37" s="14">
        <v>856</v>
      </c>
      <c r="G37" s="14">
        <v>1E-14</v>
      </c>
      <c r="H37" s="14">
        <v>1E-14</v>
      </c>
      <c r="I37" s="14">
        <v>7282.1228056551172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3"/>
        <v>90094.804074074083</v>
      </c>
      <c r="B38" s="53" t="s">
        <v>64</v>
      </c>
      <c r="C38" s="6" t="s">
        <v>140</v>
      </c>
      <c r="D38" s="14">
        <v>20832</v>
      </c>
      <c r="E38" s="14">
        <v>18816</v>
      </c>
      <c r="F38" s="14">
        <v>20832</v>
      </c>
      <c r="G38" s="14">
        <v>12945.379135802472</v>
      </c>
      <c r="H38" s="14">
        <v>12945.379135802472</v>
      </c>
      <c r="I38" s="14">
        <v>3724.045802469137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3"/>
        <v>29789.241728395056</v>
      </c>
      <c r="B39" s="53" t="s">
        <v>64</v>
      </c>
      <c r="C39" s="6" t="s">
        <v>141</v>
      </c>
      <c r="D39" s="14">
        <v>7812</v>
      </c>
      <c r="E39" s="14">
        <v>7056</v>
      </c>
      <c r="F39" s="14">
        <v>7812</v>
      </c>
      <c r="G39" s="14">
        <v>7054.6208641975281</v>
      </c>
      <c r="H39" s="14">
        <v>54.620864197528135</v>
      </c>
      <c r="I39" s="14">
        <v>1E-14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3"/>
        <v>3999.9999999999995</v>
      </c>
      <c r="B40" s="53" t="s">
        <v>64</v>
      </c>
      <c r="C40" s="6" t="s">
        <v>81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3"/>
        <v>-3506.1686081242542</v>
      </c>
      <c r="B41" s="53" t="s">
        <v>64</v>
      </c>
      <c r="C41" s="6" t="s">
        <v>142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-1E-14</v>
      </c>
      <c r="I41" s="14">
        <v>-3506.1686081242542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3"/>
        <v>1800.1444107062453</v>
      </c>
      <c r="B42" s="53" t="s">
        <v>64</v>
      </c>
      <c r="C42" s="6" t="s">
        <v>143</v>
      </c>
      <c r="D42" s="14">
        <v>69.173419928021758</v>
      </c>
      <c r="E42" s="14">
        <v>1730.9709907782235</v>
      </c>
      <c r="F42" s="14">
        <v>1E-14</v>
      </c>
      <c r="G42" s="14">
        <v>1E-14</v>
      </c>
      <c r="H42" s="14">
        <v>1E-14</v>
      </c>
      <c r="I42" s="14">
        <v>1E-14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196</v>
      </c>
      <c r="B44" s="79" t="s">
        <v>77</v>
      </c>
      <c r="C44" s="79"/>
      <c r="D44" s="84" t="s">
        <v>191</v>
      </c>
      <c r="E44" s="84" t="s">
        <v>200</v>
      </c>
      <c r="F44" s="84" t="s">
        <v>201</v>
      </c>
      <c r="G44" s="84" t="s">
        <v>202</v>
      </c>
      <c r="H44" s="84" t="s">
        <v>203</v>
      </c>
      <c r="I44" s="84" t="s">
        <v>204</v>
      </c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3"/>
        <v>5.9999999999999997E-14</v>
      </c>
      <c r="B45" s="55" t="s">
        <v>65</v>
      </c>
      <c r="C45" s="9" t="s">
        <v>0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3"/>
        <v>5.9999999999999997E-14</v>
      </c>
      <c r="B46" s="55" t="s">
        <v>65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3"/>
        <v>5.9999999999999997E-14</v>
      </c>
      <c r="B47" s="55" t="s">
        <v>65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3"/>
        <v>14434.5</v>
      </c>
      <c r="B48" s="55" t="s">
        <v>65</v>
      </c>
      <c r="C48" s="9" t="s">
        <v>3</v>
      </c>
      <c r="D48" s="12">
        <v>2405.75</v>
      </c>
      <c r="E48" s="12">
        <v>2405.75</v>
      </c>
      <c r="F48" s="12">
        <v>2405.75</v>
      </c>
      <c r="G48" s="12">
        <v>2405.75</v>
      </c>
      <c r="H48" s="12">
        <v>2405.75</v>
      </c>
      <c r="I48" s="12">
        <v>2405.75</v>
      </c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3"/>
        <v>5.9999999999999997E-14</v>
      </c>
      <c r="B49" s="55" t="s">
        <v>65</v>
      </c>
      <c r="C49" s="9" t="s">
        <v>4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3"/>
        <v>5.9999999999999997E-14</v>
      </c>
      <c r="B50" s="55" t="s">
        <v>65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3"/>
        <v>5.9999999999999997E-14</v>
      </c>
      <c r="B51" s="55" t="s">
        <v>65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3"/>
        <v>5.9999999999999997E-14</v>
      </c>
      <c r="B52" s="55" t="s">
        <v>65</v>
      </c>
      <c r="C52" s="9" t="s">
        <v>7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3"/>
        <v>5.9999999999999997E-14</v>
      </c>
      <c r="B53" s="55" t="s">
        <v>65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3"/>
        <v>5.9999999999999997E-14</v>
      </c>
      <c r="B54" s="55" t="s">
        <v>65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3"/>
        <v>5.9999999999999997E-14</v>
      </c>
      <c r="B55" s="55" t="s">
        <v>65</v>
      </c>
      <c r="C55" s="9" t="s">
        <v>10</v>
      </c>
      <c r="D55" s="12">
        <v>1E-14</v>
      </c>
      <c r="E55" s="12">
        <v>1E-14</v>
      </c>
      <c r="F55" s="12">
        <v>1E-14</v>
      </c>
      <c r="G55" s="12">
        <v>1E-14</v>
      </c>
      <c r="H55" s="12">
        <v>1E-14</v>
      </c>
      <c r="I55" s="12">
        <v>1E-14</v>
      </c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3"/>
        <v>5.9999999999999997E-14</v>
      </c>
      <c r="B56" s="55" t="s">
        <v>65</v>
      </c>
      <c r="C56" s="9" t="s">
        <v>11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3"/>
        <v>5.9999999999999997E-14</v>
      </c>
      <c r="B57" s="55" t="s">
        <v>65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3"/>
        <v>5.9999999999999997E-14</v>
      </c>
      <c r="B58" s="55" t="s">
        <v>65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3"/>
        <v>20000</v>
      </c>
      <c r="B59" s="55" t="s">
        <v>65</v>
      </c>
      <c r="C59" s="9" t="s">
        <v>14</v>
      </c>
      <c r="D59" s="12">
        <v>3333.3333333333326</v>
      </c>
      <c r="E59" s="12">
        <v>3333.3333333333335</v>
      </c>
      <c r="F59" s="12">
        <v>3333.3333333333335</v>
      </c>
      <c r="G59" s="12">
        <v>3333.3333333333335</v>
      </c>
      <c r="H59" s="12">
        <v>3333.3333333333335</v>
      </c>
      <c r="I59" s="12">
        <v>3333.3333333333335</v>
      </c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3"/>
        <v>5.9999999999999997E-14</v>
      </c>
      <c r="B60" s="55" t="s">
        <v>65</v>
      </c>
      <c r="C60" s="9" t="s">
        <v>15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3"/>
        <v>5.9999999999999997E-14</v>
      </c>
      <c r="B61" s="55" t="s">
        <v>65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3"/>
        <v>5.9999999999999997E-14</v>
      </c>
      <c r="B62" s="55" t="s">
        <v>65</v>
      </c>
      <c r="C62" s="9" t="s">
        <v>18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3"/>
        <v>5.9999999999999997E-14</v>
      </c>
      <c r="B63" s="55" t="s">
        <v>65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3"/>
        <v>5.9999999999999997E-14</v>
      </c>
      <c r="B64" s="55" t="s">
        <v>65</v>
      </c>
      <c r="C64" s="9" t="s">
        <v>20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3"/>
        <v>5.9999999999999997E-14</v>
      </c>
      <c r="B65" s="55" t="s">
        <v>65</v>
      </c>
      <c r="C65" s="9" t="s">
        <v>17</v>
      </c>
      <c r="D65" s="12">
        <v>1E-14</v>
      </c>
      <c r="E65" s="12">
        <v>1E-14</v>
      </c>
      <c r="F65" s="12">
        <v>1E-14</v>
      </c>
      <c r="G65" s="12">
        <v>1E-14</v>
      </c>
      <c r="H65" s="12">
        <v>1E-14</v>
      </c>
      <c r="I65" s="12">
        <v>1E-14</v>
      </c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3"/>
        <v>11755.260472105085</v>
      </c>
      <c r="B66" s="55" t="s">
        <v>65</v>
      </c>
      <c r="C66" s="9" t="s">
        <v>32</v>
      </c>
      <c r="D66" s="12">
        <v>4167.0833333333339</v>
      </c>
      <c r="E66" s="12">
        <v>4167.0833333333339</v>
      </c>
      <c r="F66" s="12">
        <v>3421.0938054384164</v>
      </c>
      <c r="G66" s="12">
        <v>1E-14</v>
      </c>
      <c r="H66" s="12">
        <v>1E-14</v>
      </c>
      <c r="I66" s="12">
        <v>1E-14</v>
      </c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3"/>
        <v>5.9999999999999997E-14</v>
      </c>
      <c r="B67" s="55" t="s">
        <v>65</v>
      </c>
      <c r="C67" s="9" t="s">
        <v>33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3"/>
        <v>5.9999999999999997E-14</v>
      </c>
      <c r="B68" s="55" t="s">
        <v>65</v>
      </c>
      <c r="C68" s="9" t="s">
        <v>69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3"/>
        <v>5.9999999999999997E-14</v>
      </c>
      <c r="B69" s="55" t="s">
        <v>65</v>
      </c>
      <c r="C69" s="9" t="s">
        <v>70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3"/>
        <v>5.9999999999999997E-14</v>
      </c>
      <c r="B70" s="55" t="s">
        <v>65</v>
      </c>
      <c r="C70" s="9" t="s">
        <v>71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3"/>
        <v>13421.936198025305</v>
      </c>
      <c r="B71" s="55" t="s">
        <v>65</v>
      </c>
      <c r="C71" s="9" t="s">
        <v>21</v>
      </c>
      <c r="D71" s="12">
        <v>3519.7997496871085</v>
      </c>
      <c r="E71" s="12">
        <v>3179.1739674593236</v>
      </c>
      <c r="F71" s="12">
        <v>3519.7997496871085</v>
      </c>
      <c r="G71" s="12">
        <v>3178.5525796134043</v>
      </c>
      <c r="H71" s="12">
        <v>24.610151578360608</v>
      </c>
      <c r="I71" s="12">
        <v>1E-14</v>
      </c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3"/>
        <v>3999.9999999999995</v>
      </c>
      <c r="B72" s="55" t="s">
        <v>65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3"/>
        <v>147.28454269414732</v>
      </c>
      <c r="B73" s="55" t="s">
        <v>65</v>
      </c>
      <c r="C73" s="9" t="s">
        <v>31</v>
      </c>
      <c r="D73" s="12">
        <v>5.6596434486563254</v>
      </c>
      <c r="E73" s="12">
        <v>141.62489924549101</v>
      </c>
      <c r="F73" s="12">
        <v>1E-14</v>
      </c>
      <c r="G73" s="12">
        <v>1E-14</v>
      </c>
      <c r="H73" s="12">
        <v>1E-14</v>
      </c>
      <c r="I73" s="12">
        <v>1E-14</v>
      </c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197</v>
      </c>
      <c r="B76" s="81" t="s">
        <v>77</v>
      </c>
      <c r="C76" s="79"/>
      <c r="D76" s="84" t="s">
        <v>191</v>
      </c>
      <c r="E76" s="84" t="s">
        <v>200</v>
      </c>
      <c r="F76" s="84" t="s">
        <v>201</v>
      </c>
      <c r="G76" s="84" t="s">
        <v>202</v>
      </c>
      <c r="H76" s="84" t="s">
        <v>203</v>
      </c>
      <c r="I76" s="84" t="s">
        <v>204</v>
      </c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4">SUM(D77:O77)</f>
        <v>5.9999999999999997E-14</v>
      </c>
      <c r="B77" s="56" t="s">
        <v>63</v>
      </c>
      <c r="C77" s="9" t="s">
        <v>0</v>
      </c>
      <c r="D77" s="15">
        <v>1E-14</v>
      </c>
      <c r="E77" s="15">
        <v>1E-14</v>
      </c>
      <c r="F77" s="15">
        <v>1E-14</v>
      </c>
      <c r="G77" s="15">
        <v>1E-14</v>
      </c>
      <c r="H77" s="15">
        <v>1E-14</v>
      </c>
      <c r="I77" s="15">
        <v>1E-14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4"/>
        <v>5.9999999999999997E-14</v>
      </c>
      <c r="B78" s="56" t="s">
        <v>63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4"/>
        <v>5.9999999999999997E-14</v>
      </c>
      <c r="B79" s="56" t="s">
        <v>63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4"/>
        <v>7578112.5</v>
      </c>
      <c r="B80" s="56" t="s">
        <v>63</v>
      </c>
      <c r="C80" s="9" t="s">
        <v>3</v>
      </c>
      <c r="D80" s="15">
        <v>1263018.75</v>
      </c>
      <c r="E80" s="15">
        <v>1263018.75</v>
      </c>
      <c r="F80" s="15">
        <v>1263018.75</v>
      </c>
      <c r="G80" s="15">
        <v>1263018.75</v>
      </c>
      <c r="H80" s="15">
        <v>1263018.75</v>
      </c>
      <c r="I80" s="15">
        <v>1263018.75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4"/>
        <v>5.9999999999999997E-14</v>
      </c>
      <c r="B81" s="56" t="s">
        <v>63</v>
      </c>
      <c r="C81" s="9" t="s">
        <v>4</v>
      </c>
      <c r="D81" s="15">
        <v>1E-14</v>
      </c>
      <c r="E81" s="15">
        <v>1E-14</v>
      </c>
      <c r="F81" s="15">
        <v>1E-14</v>
      </c>
      <c r="G81" s="15">
        <v>1E-14</v>
      </c>
      <c r="H81" s="15">
        <v>1E-14</v>
      </c>
      <c r="I81" s="15">
        <v>1E-14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4"/>
        <v>5.9999999999999997E-14</v>
      </c>
      <c r="B82" s="56" t="s">
        <v>63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4"/>
        <v>5.9999999999999997E-14</v>
      </c>
      <c r="B83" s="56" t="s">
        <v>63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4"/>
        <v>5.9999999999999997E-14</v>
      </c>
      <c r="B84" s="56" t="s">
        <v>63</v>
      </c>
      <c r="C84" s="9" t="s">
        <v>7</v>
      </c>
      <c r="D84" s="15">
        <v>1E-14</v>
      </c>
      <c r="E84" s="15">
        <v>1E-14</v>
      </c>
      <c r="F84" s="15">
        <v>1E-14</v>
      </c>
      <c r="G84" s="15">
        <v>1E-14</v>
      </c>
      <c r="H84" s="15">
        <v>1E-14</v>
      </c>
      <c r="I84" s="15">
        <v>1E-14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4"/>
        <v>5.9999999999999997E-14</v>
      </c>
      <c r="B85" s="56" t="s">
        <v>63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4"/>
        <v>5.9999999999999997E-14</v>
      </c>
      <c r="B86" s="56" t="s">
        <v>63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4"/>
        <v>5.9999999999999997E-14</v>
      </c>
      <c r="B87" s="56" t="s">
        <v>63</v>
      </c>
      <c r="C87" s="9" t="s">
        <v>10</v>
      </c>
      <c r="D87" s="15">
        <v>1E-14</v>
      </c>
      <c r="E87" s="15">
        <v>1E-14</v>
      </c>
      <c r="F87" s="15">
        <v>1E-14</v>
      </c>
      <c r="G87" s="15">
        <v>1E-14</v>
      </c>
      <c r="H87" s="15">
        <v>1E-14</v>
      </c>
      <c r="I87" s="15">
        <v>1E-14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4"/>
        <v>5.9999999999999997E-14</v>
      </c>
      <c r="B88" s="56" t="s">
        <v>63</v>
      </c>
      <c r="C88" s="9" t="s">
        <v>11</v>
      </c>
      <c r="D88" s="15">
        <v>1E-14</v>
      </c>
      <c r="E88" s="15">
        <v>1E-14</v>
      </c>
      <c r="F88" s="15">
        <v>1E-14</v>
      </c>
      <c r="G88" s="15">
        <v>1E-14</v>
      </c>
      <c r="H88" s="15">
        <v>1E-14</v>
      </c>
      <c r="I88" s="15">
        <v>1E-14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4"/>
        <v>5.9999999999999997E-14</v>
      </c>
      <c r="B89" s="56" t="s">
        <v>63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4"/>
        <v>5.9999999999999997E-14</v>
      </c>
      <c r="B90" s="56" t="s">
        <v>63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4"/>
        <v>8000000.0000000019</v>
      </c>
      <c r="B91" s="56" t="s">
        <v>63</v>
      </c>
      <c r="C91" s="9" t="s">
        <v>14</v>
      </c>
      <c r="D91" s="15">
        <v>1333333.333333333</v>
      </c>
      <c r="E91" s="15">
        <v>1333333.3333333335</v>
      </c>
      <c r="F91" s="15">
        <v>1333333.3333333335</v>
      </c>
      <c r="G91" s="15">
        <v>1333333.3333333335</v>
      </c>
      <c r="H91" s="15">
        <v>1333333.3333333335</v>
      </c>
      <c r="I91" s="15">
        <v>1333333.3333333335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4"/>
        <v>5.9999999999999997E-14</v>
      </c>
      <c r="B92" s="56" t="s">
        <v>63</v>
      </c>
      <c r="C92" s="9" t="s">
        <v>15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4"/>
        <v>5.9999999999999997E-14</v>
      </c>
      <c r="B93" s="56" t="s">
        <v>63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4"/>
        <v>5.9999999999999997E-14</v>
      </c>
      <c r="B94" s="56" t="s">
        <v>63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4"/>
        <v>5.9999999999999997E-14</v>
      </c>
      <c r="B95" s="56" t="s">
        <v>63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4"/>
        <v>5.9999999999999997E-14</v>
      </c>
      <c r="B96" s="56" t="s">
        <v>63</v>
      </c>
      <c r="C96" s="9" t="s">
        <v>20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4"/>
        <v>5.9999999999999997E-14</v>
      </c>
      <c r="B97" s="56" t="s">
        <v>63</v>
      </c>
      <c r="C97" s="9" t="s">
        <v>17</v>
      </c>
      <c r="D97" s="15">
        <v>1E-14</v>
      </c>
      <c r="E97" s="15">
        <v>1E-14</v>
      </c>
      <c r="F97" s="15">
        <v>1E-14</v>
      </c>
      <c r="G97" s="15">
        <v>1E-14</v>
      </c>
      <c r="H97" s="15">
        <v>1E-14</v>
      </c>
      <c r="I97" s="15">
        <v>1E-14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4"/>
        <v>-587763.02360525425</v>
      </c>
      <c r="B98" s="56" t="s">
        <v>63</v>
      </c>
      <c r="C98" s="9" t="s">
        <v>32</v>
      </c>
      <c r="D98" s="15">
        <v>-208354.16666666669</v>
      </c>
      <c r="E98" s="15">
        <v>-208354.16666666669</v>
      </c>
      <c r="F98" s="15">
        <v>-171054.69027192082</v>
      </c>
      <c r="G98" s="15">
        <v>1E-14</v>
      </c>
      <c r="H98" s="15">
        <v>1E-14</v>
      </c>
      <c r="I98" s="15">
        <v>1E-14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4"/>
        <v>5.9999999999999997E-14</v>
      </c>
      <c r="B99" s="56" t="s">
        <v>63</v>
      </c>
      <c r="C99" s="9" t="s">
        <v>33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4"/>
        <v>5.9999999999999997E-14</v>
      </c>
      <c r="B100" s="56" t="s">
        <v>63</v>
      </c>
      <c r="C100" s="9" t="s">
        <v>69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4"/>
        <v>5.9999999999999997E-14</v>
      </c>
      <c r="B101" s="56" t="s">
        <v>63</v>
      </c>
      <c r="C101" s="9" t="s">
        <v>70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4"/>
        <v>5.9999999999999997E-14</v>
      </c>
      <c r="B102" s="56" t="s">
        <v>63</v>
      </c>
      <c r="C102" s="9" t="s">
        <v>71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4"/>
        <v>-6308310.0130718937</v>
      </c>
      <c r="B103" s="56" t="s">
        <v>63</v>
      </c>
      <c r="C103" s="9" t="s">
        <v>21</v>
      </c>
      <c r="D103" s="15">
        <v>-1654305.882352941</v>
      </c>
      <c r="E103" s="15">
        <v>-1494211.7647058822</v>
      </c>
      <c r="F103" s="15">
        <v>-1654305.882352941</v>
      </c>
      <c r="G103" s="15">
        <v>-1493919.7124183001</v>
      </c>
      <c r="H103" s="15">
        <v>-11566.771241829485</v>
      </c>
      <c r="I103" s="15">
        <v>1E-14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4"/>
        <v>-755999.99999999988</v>
      </c>
      <c r="B104" s="56" t="s">
        <v>63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4"/>
        <v>-736422.71347073675</v>
      </c>
      <c r="B105" s="56" t="s">
        <v>63</v>
      </c>
      <c r="C105" s="9" t="s">
        <v>31</v>
      </c>
      <c r="D105" s="15">
        <v>-28298.217243281626</v>
      </c>
      <c r="E105" s="15">
        <v>-708124.49622745509</v>
      </c>
      <c r="F105" s="15">
        <v>1E-14</v>
      </c>
      <c r="G105" s="15">
        <v>1E-14</v>
      </c>
      <c r="H105" s="15">
        <v>1E-14</v>
      </c>
      <c r="I105" s="15">
        <v>1E-14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34</v>
      </c>
      <c r="B108" s="79"/>
      <c r="C108" s="82"/>
      <c r="D108" s="84" t="s">
        <v>191</v>
      </c>
      <c r="E108" s="84" t="s">
        <v>200</v>
      </c>
      <c r="F108" s="84" t="s">
        <v>201</v>
      </c>
      <c r="G108" s="84" t="s">
        <v>202</v>
      </c>
      <c r="H108" s="84" t="s">
        <v>203</v>
      </c>
      <c r="I108" s="84" t="s">
        <v>204</v>
      </c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139</v>
      </c>
      <c r="D109" s="96">
        <v>0.30234064750724388</v>
      </c>
      <c r="E109" s="96">
        <v>0.568973733077352</v>
      </c>
      <c r="F109" s="96">
        <v>0.10004675081813932</v>
      </c>
      <c r="G109" s="96">
        <v>1E-14</v>
      </c>
      <c r="H109" s="96">
        <v>1E-14</v>
      </c>
      <c r="I109" s="96">
        <v>0.87948343063467604</v>
      </c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</row>
    <row r="110" spans="1:27" outlineLevel="1" x14ac:dyDescent="0.25">
      <c r="C110" s="6" t="s">
        <v>140</v>
      </c>
      <c r="D110" s="96">
        <v>1</v>
      </c>
      <c r="E110" s="96">
        <v>1</v>
      </c>
      <c r="F110" s="96">
        <v>1</v>
      </c>
      <c r="G110" s="96">
        <v>0.64213190157750355</v>
      </c>
      <c r="H110" s="96">
        <v>0.62141796926855186</v>
      </c>
      <c r="I110" s="96">
        <v>0.18472449417009609</v>
      </c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</row>
    <row r="111" spans="1:27" outlineLevel="1" x14ac:dyDescent="0.25">
      <c r="C111" s="6" t="s">
        <v>141</v>
      </c>
      <c r="D111" s="96">
        <v>1</v>
      </c>
      <c r="E111" s="96">
        <v>1</v>
      </c>
      <c r="F111" s="96">
        <v>1</v>
      </c>
      <c r="G111" s="96">
        <v>0.933150907962636</v>
      </c>
      <c r="H111" s="96">
        <v>6.9919181000420039E-3</v>
      </c>
      <c r="I111" s="96">
        <v>1E-14</v>
      </c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</row>
    <row r="112" spans="1:27" outlineLevel="1" x14ac:dyDescent="0.25">
      <c r="C112" s="6" t="s">
        <v>81</v>
      </c>
      <c r="D112" s="96">
        <v>1</v>
      </c>
      <c r="E112" s="96">
        <v>1E-14</v>
      </c>
      <c r="F112" s="96">
        <v>1E-14</v>
      </c>
      <c r="G112" s="96">
        <v>1E-14</v>
      </c>
      <c r="H112" s="96">
        <v>1E-14</v>
      </c>
      <c r="I112" s="96">
        <v>1E-14</v>
      </c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</row>
    <row r="113" spans="1:27" outlineLevel="1" x14ac:dyDescent="0.25">
      <c r="C113" s="6" t="s">
        <v>142</v>
      </c>
      <c r="D113" s="96">
        <v>1E-14</v>
      </c>
      <c r="E113" s="96">
        <v>1E-14</v>
      </c>
      <c r="F113" s="96">
        <v>1E-14</v>
      </c>
      <c r="G113" s="96">
        <v>1E-14</v>
      </c>
      <c r="H113" s="96">
        <v>1E-14</v>
      </c>
      <c r="I113" s="96">
        <v>0.32464524149298651</v>
      </c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</row>
    <row r="114" spans="1:27" outlineLevel="1" x14ac:dyDescent="0.25">
      <c r="C114" s="6" t="s">
        <v>143</v>
      </c>
      <c r="D114" s="96">
        <v>9.2975026784975477E-4</v>
      </c>
      <c r="E114" s="96">
        <v>2.5758496886580707E-2</v>
      </c>
      <c r="F114" s="96">
        <v>1E-14</v>
      </c>
      <c r="G114" s="96">
        <v>1E-14</v>
      </c>
      <c r="H114" s="96">
        <v>1E-14</v>
      </c>
      <c r="I114" s="96">
        <v>1E-14</v>
      </c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</row>
    <row r="117" spans="1:27" s="80" customFormat="1" ht="18.75" x14ac:dyDescent="0.3">
      <c r="A117" s="83" t="s">
        <v>167</v>
      </c>
      <c r="B117" s="79"/>
      <c r="C117" s="117" t="s">
        <v>166</v>
      </c>
      <c r="D117" s="84" t="s">
        <v>191</v>
      </c>
      <c r="E117" s="84" t="s">
        <v>200</v>
      </c>
      <c r="F117" s="84" t="s">
        <v>201</v>
      </c>
      <c r="G117" s="84" t="s">
        <v>202</v>
      </c>
      <c r="H117" s="84" t="s">
        <v>203</v>
      </c>
      <c r="I117" s="84" t="s">
        <v>204</v>
      </c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5">
        <f>MAX(D118:AA118)</f>
        <v>1E-14</v>
      </c>
      <c r="B118" s="104"/>
      <c r="C118" s="109" t="s">
        <v>122</v>
      </c>
      <c r="D118" s="102">
        <v>1E-14</v>
      </c>
      <c r="E118" s="100">
        <v>1E-14</v>
      </c>
      <c r="F118" s="100">
        <v>1E-14</v>
      </c>
      <c r="G118" s="100">
        <v>1E-14</v>
      </c>
      <c r="H118" s="100">
        <v>1E-14</v>
      </c>
      <c r="I118" s="100">
        <v>1E-14</v>
      </c>
      <c r="J118" s="100"/>
      <c r="K118" s="100"/>
      <c r="L118" s="100"/>
      <c r="M118" s="100"/>
      <c r="N118" s="100"/>
      <c r="O118" s="100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</row>
    <row r="119" spans="1:27" s="19" customFormat="1" x14ac:dyDescent="0.25">
      <c r="A119" s="115">
        <f t="shared" ref="A119:A124" si="5">MAX(D119:AA119)</f>
        <v>1E-14</v>
      </c>
      <c r="B119" s="105"/>
      <c r="C119" s="110" t="s">
        <v>123</v>
      </c>
      <c r="D119" s="103">
        <v>1E-14</v>
      </c>
      <c r="E119" s="101">
        <v>1E-14</v>
      </c>
      <c r="F119" s="101">
        <v>1E-14</v>
      </c>
      <c r="G119" s="101">
        <v>1E-14</v>
      </c>
      <c r="H119" s="101">
        <v>1E-14</v>
      </c>
      <c r="I119" s="101">
        <v>1E-14</v>
      </c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</row>
    <row r="120" spans="1:27" s="19" customFormat="1" x14ac:dyDescent="0.25">
      <c r="A120" s="115">
        <f t="shared" si="5"/>
        <v>0</v>
      </c>
      <c r="B120" s="105"/>
      <c r="C120" s="110"/>
      <c r="D120" s="103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</row>
    <row r="121" spans="1:27" s="19" customFormat="1" x14ac:dyDescent="0.25">
      <c r="A121" s="115">
        <f t="shared" si="5"/>
        <v>0</v>
      </c>
      <c r="B121" s="105"/>
      <c r="C121" s="110"/>
      <c r="D121" s="103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</row>
    <row r="122" spans="1:27" s="19" customFormat="1" x14ac:dyDescent="0.25">
      <c r="A122" s="115">
        <f t="shared" si="5"/>
        <v>0</v>
      </c>
      <c r="B122" s="105"/>
      <c r="C122" s="110"/>
      <c r="D122" s="103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</row>
    <row r="123" spans="1:27" s="19" customFormat="1" x14ac:dyDescent="0.25">
      <c r="A123" s="115">
        <f t="shared" si="5"/>
        <v>0</v>
      </c>
      <c r="B123" s="105"/>
      <c r="C123" s="110"/>
      <c r="D123" s="103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</row>
    <row r="124" spans="1:27" s="19" customFormat="1" x14ac:dyDescent="0.25">
      <c r="A124" s="115">
        <f t="shared" si="5"/>
        <v>0</v>
      </c>
      <c r="B124" s="106"/>
      <c r="C124" s="118"/>
      <c r="D124" s="103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</row>
    <row r="125" spans="1:27" s="80" customFormat="1" ht="18.75" x14ac:dyDescent="0.3">
      <c r="A125" s="83" t="s">
        <v>168</v>
      </c>
      <c r="B125" s="79" t="s">
        <v>166</v>
      </c>
      <c r="C125" s="116" t="s">
        <v>169</v>
      </c>
      <c r="D125" s="84" t="s">
        <v>191</v>
      </c>
      <c r="E125" s="84" t="s">
        <v>200</v>
      </c>
      <c r="F125" s="84" t="s">
        <v>201</v>
      </c>
      <c r="G125" s="84" t="s">
        <v>202</v>
      </c>
      <c r="H125" s="84" t="s">
        <v>203</v>
      </c>
      <c r="I125" s="84" t="s">
        <v>204</v>
      </c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5">
        <f>MAX(D126:AA126)</f>
        <v>1E-14</v>
      </c>
      <c r="B126" s="104" t="s">
        <v>122</v>
      </c>
      <c r="C126" s="109" t="s">
        <v>32</v>
      </c>
      <c r="D126" s="100">
        <v>1E-14</v>
      </c>
      <c r="E126" s="100">
        <v>1E-14</v>
      </c>
      <c r="F126" s="100">
        <v>1E-14</v>
      </c>
      <c r="G126" s="100">
        <v>1E-14</v>
      </c>
      <c r="H126" s="100">
        <v>1E-14</v>
      </c>
      <c r="I126" s="100">
        <v>1E-14</v>
      </c>
      <c r="J126" s="100"/>
      <c r="K126" s="100"/>
      <c r="L126" s="100"/>
      <c r="M126" s="100"/>
      <c r="N126" s="100"/>
      <c r="O126" s="100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</row>
    <row r="127" spans="1:27" x14ac:dyDescent="0.25">
      <c r="A127" s="115">
        <f t="shared" ref="A127:A183" si="6">MAX(D127:AA127)</f>
        <v>1E-14</v>
      </c>
      <c r="B127" s="105" t="s">
        <v>123</v>
      </c>
      <c r="C127" s="110" t="s">
        <v>32</v>
      </c>
      <c r="D127" s="101">
        <v>1E-14</v>
      </c>
      <c r="E127" s="101">
        <v>1E-14</v>
      </c>
      <c r="F127" s="101">
        <v>1E-14</v>
      </c>
      <c r="G127" s="101">
        <v>1E-14</v>
      </c>
      <c r="H127" s="101">
        <v>1E-14</v>
      </c>
      <c r="I127" s="101">
        <v>1E-14</v>
      </c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</row>
    <row r="128" spans="1:27" x14ac:dyDescent="0.25">
      <c r="A128" s="115">
        <f t="shared" si="6"/>
        <v>0</v>
      </c>
      <c r="B128" s="105"/>
      <c r="C128" s="110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</row>
    <row r="129" spans="1:27" x14ac:dyDescent="0.25">
      <c r="A129" s="115">
        <f t="shared" si="6"/>
        <v>0</v>
      </c>
      <c r="B129" s="105"/>
      <c r="C129" s="110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</row>
    <row r="130" spans="1:27" x14ac:dyDescent="0.25">
      <c r="A130" s="115">
        <f t="shared" si="6"/>
        <v>0</v>
      </c>
      <c r="B130" s="105"/>
      <c r="C130" s="110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</row>
    <row r="131" spans="1:27" x14ac:dyDescent="0.25">
      <c r="A131" s="115">
        <f t="shared" si="6"/>
        <v>0</v>
      </c>
      <c r="B131" s="105"/>
      <c r="C131" s="110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</row>
    <row r="132" spans="1:27" x14ac:dyDescent="0.25">
      <c r="A132" s="115">
        <f t="shared" si="6"/>
        <v>0</v>
      </c>
      <c r="B132" s="107"/>
      <c r="C132" s="11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</row>
    <row r="133" spans="1:27" x14ac:dyDescent="0.25">
      <c r="A133" s="115">
        <f t="shared" si="6"/>
        <v>0</v>
      </c>
      <c r="B133" s="113"/>
      <c r="C133" s="114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</row>
    <row r="134" spans="1:27" x14ac:dyDescent="0.25">
      <c r="A134" s="115">
        <f t="shared" si="6"/>
        <v>0</v>
      </c>
      <c r="B134" s="107"/>
      <c r="C134" s="11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</row>
    <row r="135" spans="1:27" x14ac:dyDescent="0.25">
      <c r="A135" s="115">
        <f t="shared" si="6"/>
        <v>0</v>
      </c>
      <c r="B135" s="107"/>
      <c r="C135" s="11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</row>
    <row r="136" spans="1:27" x14ac:dyDescent="0.25">
      <c r="A136" s="115">
        <f t="shared" si="6"/>
        <v>0</v>
      </c>
      <c r="B136" s="107"/>
      <c r="C136" s="11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</row>
    <row r="137" spans="1:27" x14ac:dyDescent="0.25">
      <c r="A137" s="115">
        <f t="shared" si="6"/>
        <v>0</v>
      </c>
      <c r="B137" s="107"/>
      <c r="C137" s="11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</row>
    <row r="138" spans="1:27" x14ac:dyDescent="0.25">
      <c r="A138" s="115">
        <f t="shared" si="6"/>
        <v>0</v>
      </c>
      <c r="B138" s="107"/>
      <c r="C138" s="11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</row>
    <row r="139" spans="1:27" x14ac:dyDescent="0.25">
      <c r="A139" s="115">
        <f t="shared" si="6"/>
        <v>0</v>
      </c>
      <c r="B139" s="107"/>
      <c r="C139" s="11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</row>
    <row r="140" spans="1:27" x14ac:dyDescent="0.25">
      <c r="A140" s="115">
        <f t="shared" si="6"/>
        <v>0</v>
      </c>
      <c r="B140" s="107"/>
      <c r="C140" s="11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</row>
    <row r="141" spans="1:27" x14ac:dyDescent="0.25">
      <c r="A141" s="115">
        <f t="shared" si="6"/>
        <v>0</v>
      </c>
      <c r="B141" s="107"/>
      <c r="C141" s="11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</row>
    <row r="142" spans="1:27" x14ac:dyDescent="0.25">
      <c r="A142" s="115">
        <f t="shared" si="6"/>
        <v>0</v>
      </c>
      <c r="B142" s="107"/>
      <c r="C142" s="11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</row>
    <row r="143" spans="1:27" x14ac:dyDescent="0.25">
      <c r="A143" s="115">
        <f t="shared" si="6"/>
        <v>0</v>
      </c>
      <c r="B143" s="107"/>
      <c r="C143" s="11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</row>
    <row r="144" spans="1:27" x14ac:dyDescent="0.25">
      <c r="A144" s="115">
        <f t="shared" si="6"/>
        <v>0</v>
      </c>
      <c r="B144" s="107"/>
      <c r="C144" s="11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</row>
    <row r="145" spans="1:27" x14ac:dyDescent="0.25">
      <c r="A145" s="115">
        <f t="shared" si="6"/>
        <v>0</v>
      </c>
      <c r="B145" s="107"/>
      <c r="C145" s="11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</row>
    <row r="146" spans="1:27" x14ac:dyDescent="0.25">
      <c r="A146" s="115">
        <f t="shared" si="6"/>
        <v>0</v>
      </c>
      <c r="B146" s="107"/>
      <c r="C146" s="11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</row>
    <row r="147" spans="1:27" x14ac:dyDescent="0.25">
      <c r="A147" s="115">
        <f t="shared" si="6"/>
        <v>0</v>
      </c>
      <c r="B147" s="107"/>
      <c r="C147" s="11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</row>
    <row r="148" spans="1:27" x14ac:dyDescent="0.25">
      <c r="A148" s="115">
        <f t="shared" si="6"/>
        <v>0</v>
      </c>
      <c r="B148" s="107"/>
      <c r="C148" s="11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</row>
    <row r="149" spans="1:27" x14ac:dyDescent="0.25">
      <c r="A149" s="115">
        <f t="shared" si="6"/>
        <v>0</v>
      </c>
      <c r="B149" s="107"/>
      <c r="C149" s="11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</row>
    <row r="150" spans="1:27" x14ac:dyDescent="0.25">
      <c r="A150" s="115">
        <f t="shared" si="6"/>
        <v>0</v>
      </c>
      <c r="B150" s="107"/>
      <c r="C150" s="11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</row>
    <row r="151" spans="1:27" x14ac:dyDescent="0.25">
      <c r="A151" s="115">
        <f t="shared" si="6"/>
        <v>0</v>
      </c>
      <c r="B151" s="107"/>
      <c r="C151" s="11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</row>
    <row r="152" spans="1:27" x14ac:dyDescent="0.25">
      <c r="A152" s="115">
        <f t="shared" si="6"/>
        <v>0</v>
      </c>
      <c r="B152" s="107"/>
      <c r="C152" s="11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</row>
    <row r="153" spans="1:27" x14ac:dyDescent="0.25">
      <c r="A153" s="115">
        <f t="shared" si="6"/>
        <v>0</v>
      </c>
      <c r="B153" s="107"/>
      <c r="C153" s="11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</row>
    <row r="154" spans="1:27" x14ac:dyDescent="0.25">
      <c r="A154" s="115">
        <f t="shared" si="6"/>
        <v>0</v>
      </c>
      <c r="B154" s="107"/>
      <c r="C154" s="11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</row>
    <row r="155" spans="1:27" x14ac:dyDescent="0.25">
      <c r="A155" s="115">
        <f t="shared" si="6"/>
        <v>0</v>
      </c>
      <c r="B155" s="107"/>
      <c r="C155" s="11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</row>
    <row r="156" spans="1:27" x14ac:dyDescent="0.25">
      <c r="A156" s="115">
        <f t="shared" si="6"/>
        <v>0</v>
      </c>
      <c r="B156" s="107"/>
      <c r="C156" s="11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</row>
    <row r="157" spans="1:27" x14ac:dyDescent="0.25">
      <c r="A157" s="115">
        <f t="shared" si="6"/>
        <v>0</v>
      </c>
      <c r="B157" s="107"/>
      <c r="C157" s="11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</row>
    <row r="158" spans="1:27" x14ac:dyDescent="0.25">
      <c r="A158" s="115">
        <f t="shared" si="6"/>
        <v>0</v>
      </c>
      <c r="B158" s="107"/>
      <c r="C158" s="11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</row>
    <row r="159" spans="1:27" x14ac:dyDescent="0.25">
      <c r="A159" s="115">
        <f t="shared" si="6"/>
        <v>0</v>
      </c>
      <c r="B159" s="107"/>
      <c r="C159" s="11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</row>
    <row r="160" spans="1:27" x14ac:dyDescent="0.25">
      <c r="A160" s="115">
        <f t="shared" si="6"/>
        <v>0</v>
      </c>
      <c r="B160" s="107"/>
      <c r="C160" s="11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</row>
    <row r="161" spans="1:27" x14ac:dyDescent="0.25">
      <c r="A161" s="115">
        <f t="shared" si="6"/>
        <v>0</v>
      </c>
      <c r="B161" s="107"/>
      <c r="C161" s="11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</row>
    <row r="162" spans="1:27" x14ac:dyDescent="0.25">
      <c r="A162" s="115">
        <f t="shared" si="6"/>
        <v>0</v>
      </c>
      <c r="B162" s="107"/>
      <c r="C162" s="11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</row>
    <row r="163" spans="1:27" x14ac:dyDescent="0.25">
      <c r="A163" s="115">
        <f t="shared" si="6"/>
        <v>0</v>
      </c>
      <c r="B163" s="107"/>
      <c r="C163" s="11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</row>
    <row r="164" spans="1:27" x14ac:dyDescent="0.25">
      <c r="A164" s="115">
        <f t="shared" si="6"/>
        <v>0</v>
      </c>
      <c r="B164" s="107"/>
      <c r="C164" s="11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</row>
    <row r="165" spans="1:27" x14ac:dyDescent="0.25">
      <c r="A165" s="115">
        <f t="shared" si="6"/>
        <v>0</v>
      </c>
      <c r="B165" s="107"/>
      <c r="C165" s="11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</row>
    <row r="166" spans="1:27" x14ac:dyDescent="0.25">
      <c r="A166" s="115">
        <f t="shared" si="6"/>
        <v>0</v>
      </c>
      <c r="B166" s="107"/>
      <c r="C166" s="11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</row>
    <row r="167" spans="1:27" x14ac:dyDescent="0.25">
      <c r="A167" s="115">
        <f t="shared" si="6"/>
        <v>0</v>
      </c>
      <c r="B167" s="107"/>
      <c r="C167" s="11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</row>
    <row r="168" spans="1:27" x14ac:dyDescent="0.25">
      <c r="A168" s="115">
        <f t="shared" si="6"/>
        <v>0</v>
      </c>
      <c r="B168" s="107"/>
      <c r="C168" s="11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</row>
    <row r="169" spans="1:27" x14ac:dyDescent="0.25">
      <c r="A169" s="115">
        <f t="shared" si="6"/>
        <v>0</v>
      </c>
      <c r="B169" s="107"/>
      <c r="C169" s="11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</row>
    <row r="170" spans="1:27" x14ac:dyDescent="0.25">
      <c r="A170" s="115">
        <f t="shared" si="6"/>
        <v>0</v>
      </c>
      <c r="B170" s="107"/>
      <c r="C170" s="11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</row>
    <row r="171" spans="1:27" x14ac:dyDescent="0.25">
      <c r="A171" s="115">
        <f t="shared" si="6"/>
        <v>0</v>
      </c>
      <c r="B171" s="107"/>
      <c r="C171" s="11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</row>
    <row r="172" spans="1:27" x14ac:dyDescent="0.25">
      <c r="A172" s="115">
        <f t="shared" si="6"/>
        <v>0</v>
      </c>
      <c r="B172" s="107"/>
      <c r="C172" s="11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</row>
    <row r="173" spans="1:27" x14ac:dyDescent="0.25">
      <c r="A173" s="115">
        <f t="shared" si="6"/>
        <v>0</v>
      </c>
      <c r="B173" s="107"/>
      <c r="C173" s="11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</row>
    <row r="174" spans="1:27" x14ac:dyDescent="0.25">
      <c r="A174" s="115">
        <f t="shared" si="6"/>
        <v>0</v>
      </c>
      <c r="B174" s="107"/>
      <c r="C174" s="11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</row>
    <row r="175" spans="1:27" x14ac:dyDescent="0.25">
      <c r="A175" s="115">
        <f t="shared" si="6"/>
        <v>0</v>
      </c>
      <c r="B175" s="107"/>
      <c r="C175" s="11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</row>
    <row r="176" spans="1:27" x14ac:dyDescent="0.25">
      <c r="A176" s="115">
        <f t="shared" si="6"/>
        <v>0</v>
      </c>
      <c r="B176" s="107"/>
      <c r="C176" s="11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</row>
    <row r="177" spans="1:27" x14ac:dyDescent="0.25">
      <c r="A177" s="115">
        <f t="shared" si="6"/>
        <v>0</v>
      </c>
      <c r="B177" s="107"/>
      <c r="C177" s="11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</row>
    <row r="178" spans="1:27" x14ac:dyDescent="0.25">
      <c r="A178" s="115">
        <f t="shared" si="6"/>
        <v>0</v>
      </c>
      <c r="B178" s="107"/>
      <c r="C178" s="11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</row>
    <row r="179" spans="1:27" x14ac:dyDescent="0.25">
      <c r="A179" s="115">
        <f t="shared" si="6"/>
        <v>0</v>
      </c>
      <c r="B179" s="108"/>
      <c r="C179" s="112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</row>
    <row r="180" spans="1:27" x14ac:dyDescent="0.25">
      <c r="A180" s="115">
        <f t="shared" si="6"/>
        <v>0</v>
      </c>
      <c r="B180" s="108"/>
      <c r="C180" s="112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</row>
    <row r="181" spans="1:27" x14ac:dyDescent="0.25">
      <c r="A181" s="115">
        <f t="shared" si="6"/>
        <v>0</v>
      </c>
      <c r="B181" s="108"/>
      <c r="C181" s="112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</row>
    <row r="182" spans="1:27" x14ac:dyDescent="0.25">
      <c r="A182" s="115">
        <f t="shared" si="6"/>
        <v>0</v>
      </c>
      <c r="B182" s="108"/>
      <c r="C182" s="112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</row>
    <row r="183" spans="1:27" x14ac:dyDescent="0.25">
      <c r="A183" s="115">
        <f t="shared" si="6"/>
        <v>0</v>
      </c>
      <c r="B183" s="108"/>
      <c r="C183" s="112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</row>
    <row r="184" spans="1:27" x14ac:dyDescent="0.25">
      <c r="A184" s="115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cLagerStand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2022-01-11T12:19:49Z</dcterms:modified>
</cp:coreProperties>
</file>