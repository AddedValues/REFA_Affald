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F2BFE0D-14EF-4302-85D0-072B031C77DD}" xr6:coauthVersionLast="47" xr6:coauthVersionMax="47" xr10:uidLastSave="{00000000-0000-0000-0000-000000000000}"/>
  <bookViews>
    <workbookView xWindow="1530" yWindow="39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4" l="1"/>
  <c r="D2" i="4"/>
  <c r="A46" i="4"/>
  <c r="A47" i="4"/>
  <c r="A48" i="4"/>
  <c r="A45" i="4"/>
  <c r="A32" i="4"/>
  <c r="A37" i="4"/>
  <c r="A29" i="4"/>
  <c r="A31" i="4"/>
  <c r="A30" i="4"/>
  <c r="A28" i="4"/>
  <c r="A27" i="4"/>
  <c r="A35" i="4"/>
  <c r="A25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D6" i="4"/>
  <c r="A23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40" i="4"/>
  <c r="A133" i="4"/>
  <c r="A134" i="4"/>
  <c r="A135" i="4"/>
  <c r="A136" i="4"/>
  <c r="A137" i="4"/>
  <c r="A132" i="4"/>
  <c r="A22" i="4"/>
  <c r="A117" i="4"/>
  <c r="A118" i="4"/>
  <c r="A119" i="4"/>
  <c r="A24" i="4"/>
  <c r="A26" i="4"/>
  <c r="A33" i="4"/>
  <c r="A34" i="4"/>
  <c r="A38" i="4"/>
  <c r="A39" i="4"/>
  <c r="A40" i="4"/>
  <c r="A41" i="4"/>
  <c r="A43" i="4"/>
  <c r="A44" i="4"/>
  <c r="A12" i="4"/>
  <c r="A13" i="4"/>
  <c r="A14" i="4"/>
  <c r="A16" i="4"/>
  <c r="A17" i="4"/>
  <c r="A18" i="4"/>
  <c r="A19" i="4"/>
  <c r="A20" i="4"/>
  <c r="A21" i="4"/>
  <c r="A11" i="4"/>
  <c r="A8" i="4"/>
  <c r="A10" i="4" l="1"/>
  <c r="A9" i="4"/>
  <c r="A42" i="4"/>
  <c r="A82" i="4"/>
  <c r="A83" i="4"/>
  <c r="A84" i="4"/>
  <c r="A108" i="4" l="1"/>
  <c r="A109" i="4"/>
  <c r="A110" i="4"/>
  <c r="A74" i="4"/>
  <c r="A75" i="4"/>
  <c r="A76" i="4"/>
  <c r="A77" i="4"/>
  <c r="A78" i="4"/>
  <c r="A79" i="4"/>
  <c r="A116" i="4"/>
  <c r="A115" i="4"/>
  <c r="A114" i="4"/>
  <c r="A113" i="4"/>
  <c r="A112" i="4"/>
  <c r="A111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73" i="4"/>
  <c r="A80" i="4"/>
  <c r="A81" i="4"/>
  <c r="A85" i="4"/>
  <c r="A86" i="4"/>
  <c r="A87" i="4"/>
  <c r="A51" i="4"/>
  <c r="A52" i="4"/>
  <c r="A53" i="4"/>
  <c r="A54" i="4"/>
  <c r="A55" i="4"/>
  <c r="A56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6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<sst xmlns="http://schemas.openxmlformats.org/spreadsheetml/2006/main" count="968" uniqueCount="232">
  <si>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</si>
  <si>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</si>
  <si>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</si>
  <si>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</si>
  <si>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</si>
  <si>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</si>
  <si>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</si>
  <si>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</si>
  <si>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</si>
  <si>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</si>
  <si>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</si>
  <si>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</si>
  <si>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</si>
  <si>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</si>
  <si>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</si>
  <si>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</si>
  <si>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</si>
  <si>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</si>
  <si>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</si>
  <si>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</si>
  <si>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</si>
  <si>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</si>
  <si>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</si>
  <si>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</si>
  <si>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</si>
  <si>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</si>
  <si>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</si>
  <si>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</si>
  <si>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</si>
  <si>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</si>
  <si>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</si>
  <si>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</si>
  <si>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</si>
  <si>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</si>
  <si>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</si>
  <si>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</si>
  <si>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</si>
  <si>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</si>
  <si>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</si>
  <si>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</si>
  <si>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</si>
  <si>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</si>
  <si>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</si>
  <si>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</si>
  <si>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</si>
  <si>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</si>
  <si>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</si>
  <si>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</si>
  <si>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</si>
  <si>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</si>
  <si>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</si>
  <si>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</si>
  <si>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</si>
  <si>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</si>
  <si>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</si>
  <si>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</si>
  <si>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</si>
  <si>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</si>
  <si>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</si>
  <si>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</si>
  <si>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</si>
  <si>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</si>
  <si>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</si>
  <si>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</si>
  <si>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</si>
  <si>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</si>
  <si>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</si>
  <si>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</si>
  <si>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</si>
  <si>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</si>
  <si>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</si>
  <si>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</si>
  <si>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</si>
  <si>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</si>
  <si>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</si>
  <si>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</si>
  <si>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</si>
  <si>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</si>
  <si>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</si>
  <si>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</si>
  <si>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</si>
  <si>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</si>
  <si>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</si>
  <si>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</si>
  <si>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</si>
  <si>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</si>
  <si>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</si>
  <si>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</si>
  <si>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</si>
  <si>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</si>
  <si>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</si>
  <si>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</si>
  <si>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</si>
  <si>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</si>
  <si>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</si>
  <si>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</si>
  <si>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</si>
  <si>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</si>
  <si>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</si>
  <si>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</si>
  <si>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</si>
  <si>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</si>
  <si>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</si>
  <si>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</si>
  <si>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</si>
  <si>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</si>
  <si>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</si>
  <si>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</si>
  <si>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</si>
  <si>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</si>
  <si>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</si>
  <si>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</si>
  <si>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</si>
  <si>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</si>
  <si>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</si>
  <si>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</si>
  <si>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</si>
  <si>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</si>
  <si>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</si>
  <si>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</si>
  <si>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</si>
  <si>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</si>
  <si>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</si>
  <si>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</si>
  <si>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</si>
  <si>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</si>
  <si>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</si>
  <si>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</si>
  <si>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</si>
  <si>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</si>
  <si>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</si>
  <si>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</si>
  <si>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</si>
  <si>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</si>
  <si>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</si>
  <si>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</si>
  <si>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</si>
  <si>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</si>
  <si>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</si>
  <si>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</si>
  <si>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</si>
  <si>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</si>
  <si>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</si>
  <si>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</si>
  <si>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</si>
  <si>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</si>
  <si>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</si>
  <si>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</si>
  <si>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</si>
  <si>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</si>
  <si>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</si>
  <si>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</si>
  <si>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</si>
  <si>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</si>
  <si>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</si>
  <si>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</si>
  <si>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</si>
  <si>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</si>
  <si>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</si>
  <si>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</si>
  <si>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</si>
  <si>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</si>
  <si>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</si>
  <si>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</si>
  <si>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</si>
  <si>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</si>
  <si>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</si>
  <si>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</si>
  <si>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</si>
  <si>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</si>
  <si>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</si>
  <si>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</si>
  <si>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</si>
  <si>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</si>
  <si>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</si>
  <si>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</si>
  <si>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</si>
  <si>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</si>
  <si>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</si>
  <si>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</si>
  <si>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</si>
  <si>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</si>
  <si>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</si>
  <si>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</si>
  <si>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</si>
  <si>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</si>
  <si>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</si>
  <si>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</si>
  <si>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</si>
  <si>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</si>
  <si>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</si>
  <si>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</si>
  <si>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</si>
  <si>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</si>
  <si>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</si>
  <si>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</si>
  <si>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</si>
  <si>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</si>
  <si>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</si>
  <si>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</si>
  <si>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</si>
  <si>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</si>
  <si>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</si>
  <si>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</si>
  <si>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</si>
  <si>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</si>
  <si>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</si>
  <si>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</si>
  <si>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</si>
  <si>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</si>
  <si>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</si>
  <si>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</si>
  <si>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</si>
  <si>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</si>
  <si>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</si>
  <si>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</si>
  <si>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</si>
  <si>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</si>
  <si>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VarmemÃ¦ngder</t>
  </si>
  <si>
    <t>BrÃ¦ndselsforbrug</t>
  </si>
  <si>
    <t>BrÃ¦ndselsindkomst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</si>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</sst>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08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Overblik!$C$51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4877.5204210526326</c:v>
                </c:pt>
                <c:pt idx="1">
                  <c:v>6645.6470588235279</c:v>
                </c:pt>
                <c:pt idx="2">
                  <c:v>4877.5204210526326</c:v>
                </c:pt>
                <c:pt idx="3">
                  <c:v>4346.4907177186169</c:v>
                </c:pt>
                <c:pt idx="4">
                  <c:v>4029.2560000000008</c:v>
                </c:pt>
                <c:pt idx="5">
                  <c:v>4082.8773658536593</c:v>
                </c:pt>
                <c:pt idx="6">
                  <c:v>1299.7600000000002</c:v>
                </c:pt>
                <c:pt idx="7">
                  <c:v>1299.7600000000002</c:v>
                </c:pt>
                <c:pt idx="8">
                  <c:v>3899.2800000000011</c:v>
                </c:pt>
                <c:pt idx="9">
                  <c:v>4029.2560000000008</c:v>
                </c:pt>
                <c:pt idx="10">
                  <c:v>4720.1810526315803</c:v>
                </c:pt>
                <c:pt idx="11">
                  <c:v>4959.958024749958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Overblik!$C$52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19072.727157894737</c:v>
                </c:pt>
                <c:pt idx="1">
                  <c:v>18298.352941176472</c:v>
                </c:pt>
                <c:pt idx="2">
                  <c:v>19072.727157894737</c:v>
                </c:pt>
                <c:pt idx="3">
                  <c:v>15653.509282281382</c:v>
                </c:pt>
                <c:pt idx="4">
                  <c:v>8970.7439999999988</c:v>
                </c:pt>
                <c:pt idx="5">
                  <c:v>3417.1226341463407</c:v>
                </c:pt>
                <c:pt idx="6">
                  <c:v>11394.558000000001</c:v>
                </c:pt>
                <c:pt idx="7">
                  <c:v>11314.075500000001</c:v>
                </c:pt>
                <c:pt idx="8">
                  <c:v>14900.72</c:v>
                </c:pt>
                <c:pt idx="9">
                  <c:v>16740</c:v>
                </c:pt>
                <c:pt idx="10">
                  <c:v>18457.477894736843</c:v>
                </c:pt>
                <c:pt idx="11">
                  <c:v>19112.153837923892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Overblik!$C$53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7349.7524210526317</c:v>
                </c:pt>
                <c:pt idx="1">
                  <c:v>7056</c:v>
                </c:pt>
                <c:pt idx="2">
                  <c:v>5549.7524210526317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4322.3410526315747</c:v>
                </c:pt>
                <c:pt idx="11">
                  <c:v>3327.8881373261502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-5194.3180000000011</c:v>
                </c:pt>
                <c:pt idx="7">
                  <c:v>-5613.835500000001</c:v>
                </c:pt>
                <c:pt idx="8">
                  <c:v>-10800</c:v>
                </c:pt>
                <c:pt idx="9">
                  <c:v>-1069.2560000000012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Overblik!$C$56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Overblik!$C$59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Overblik!$C$60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Overblik!$C$61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Overblik!$C$62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Overblik!$C$63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Overblik!$C$64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Overblik!$C$65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Overblik!$C$66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Overblik!$C$67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Overblik!$C$68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Overblik!$C$69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Overblik!$C$70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Overblik!$C$71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Overblik!$C$72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Overblik!$C$73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10385.928919860628</c:v>
                </c:pt>
                <c:pt idx="1">
                  <c:v>10132.587576702161</c:v>
                </c:pt>
                <c:pt idx="2">
                  <c:v>10385.928919860628</c:v>
                </c:pt>
                <c:pt idx="3">
                  <c:v>9122.5086107431289</c:v>
                </c:pt>
                <c:pt idx="4">
                  <c:v>6325.3421602787448</c:v>
                </c:pt>
                <c:pt idx="5">
                  <c:v>2995.1498257839721</c:v>
                </c:pt>
                <c:pt idx="6">
                  <c:v>5215.2</c:v>
                </c:pt>
                <c:pt idx="7">
                  <c:v>5215.2</c:v>
                </c:pt>
                <c:pt idx="8">
                  <c:v>9371.8327526132398</c:v>
                </c:pt>
                <c:pt idx="9">
                  <c:v>10385.928919860628</c:v>
                </c:pt>
                <c:pt idx="10">
                  <c:v>10050.898954703831</c:v>
                </c:pt>
                <c:pt idx="11">
                  <c:v>10413.593359593031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Overblik!$C$74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Overblik!$C$75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Overblik!$C$79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Overblik!$C$80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Overblik!$C$81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Overblik!$C$82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Overblik!$C$83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Overblik!$C$84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Overblik!$C$85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3311.5279994730254</c:v>
                </c:pt>
                <c:pt idx="1">
                  <c:v>3179.1739674593236</c:v>
                </c:pt>
                <c:pt idx="2">
                  <c:v>2500.514232264014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1947.4878334760535</c:v>
                </c:pt>
                <c:pt idx="11">
                  <c:v>1499.4239417239223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Overblik!$C$86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Overblik!$C$87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Overblik!$C$123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0.6900849492151433</c:v>
                </c:pt>
                <c:pt idx="1">
                  <c:v>1.0409848149786227</c:v>
                </c:pt>
                <c:pt idx="2">
                  <c:v>0.6900849492151433</c:v>
                </c:pt>
                <c:pt idx="3">
                  <c:v>0.63545185931558723</c:v>
                </c:pt>
                <c:pt idx="4">
                  <c:v>0.57007017543859662</c:v>
                </c:pt>
                <c:pt idx="5">
                  <c:v>0.59691189559264024</c:v>
                </c:pt>
                <c:pt idx="6">
                  <c:v>0.57007017543859662</c:v>
                </c:pt>
                <c:pt idx="7">
                  <c:v>0.57007017543859662</c:v>
                </c:pt>
                <c:pt idx="8">
                  <c:v>0.57007017543859662</c:v>
                </c:pt>
                <c:pt idx="9">
                  <c:v>0.57007017543859662</c:v>
                </c:pt>
                <c:pt idx="10">
                  <c:v>0.6900849492151433</c:v>
                </c:pt>
                <c:pt idx="11">
                  <c:v>0.70174844719156171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Overblik!$C$124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1.1393504873294347</c:v>
                </c:pt>
                <c:pt idx="1">
                  <c:v>1.2102085278555867</c:v>
                </c:pt>
                <c:pt idx="2">
                  <c:v>1.1393504873294347</c:v>
                </c:pt>
                <c:pt idx="3">
                  <c:v>0.96626600507909766</c:v>
                </c:pt>
                <c:pt idx="4">
                  <c:v>0.53588673835125444</c:v>
                </c:pt>
                <c:pt idx="5">
                  <c:v>1.2656009756097559</c:v>
                </c:pt>
                <c:pt idx="6">
                  <c:v>0.68067849462365593</c:v>
                </c:pt>
                <c:pt idx="7">
                  <c:v>0.67587069892473128</c:v>
                </c:pt>
                <c:pt idx="8">
                  <c:v>0.91979753086419747</c:v>
                </c:pt>
                <c:pt idx="9">
                  <c:v>1</c:v>
                </c:pt>
                <c:pt idx="10">
                  <c:v>1.1393504873294347</c:v>
                </c:pt>
                <c:pt idx="11">
                  <c:v>1.1417057250850593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Overblik!$C$125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0.9408285229202038</c:v>
                </c:pt>
                <c:pt idx="1">
                  <c:v>1</c:v>
                </c:pt>
                <c:pt idx="2">
                  <c:v>0.710413776376425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0.57173823447507599</c:v>
                </c:pt>
                <c:pt idx="11">
                  <c:v>0.42599694538225169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Overblik!$C$126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Overblik!$C$127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0.46544068100358432</c:v>
                </c:pt>
                <c:pt idx="7">
                  <c:v>0.50303185483870982</c:v>
                </c:pt>
                <c:pt idx="8">
                  <c:v>1</c:v>
                </c:pt>
                <c:pt idx="9">
                  <c:v>9.5811469534050286E-2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Overblik!$C$128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Overblik!$C$132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Overblik!$C$133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246"/>
  <sheetViews>
    <sheetView zoomScale="85" zoomScaleNormal="85" workbookViewId="0">
      <selection activeCell="M23" sqref="M23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1E-14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1E-14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 t="s">
        <v>221</v>
      </c>
      <c r="X15" s="89" t="s">
        <v>222</v>
      </c>
      <c r="Y15" s="89" t="s">
        <v>223</v>
      </c>
      <c r="Z15" s="89" t="s">
        <v>224</v>
      </c>
      <c r="AA15" s="89" t="s">
        <v>225</v>
      </c>
      <c r="AB15" s="89" t="s">
        <v>226</v>
      </c>
      <c r="AC15" s="89" t="s">
        <v>227</v>
      </c>
      <c r="AD15" s="89" t="s">
        <v>228</v>
      </c>
      <c r="AE15" s="89" t="s">
        <v>229</v>
      </c>
      <c r="AF15" s="89" t="s">
        <v>230</v>
      </c>
      <c r="AG15" s="89" t="s">
        <v>231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110</v>
      </c>
      <c r="U16" s="53">
        <v>1E-14</v>
      </c>
      <c r="V16" s="2">
        <v>31</v>
      </c>
      <c r="W16" s="2">
        <v>28</v>
      </c>
      <c r="X16" s="2">
        <v>31</v>
      </c>
      <c r="Y16" s="2">
        <v>30</v>
      </c>
      <c r="Z16" s="2">
        <v>31</v>
      </c>
      <c r="AA16" s="2">
        <v>30</v>
      </c>
      <c r="AB16" s="2">
        <v>10</v>
      </c>
      <c r="AC16" s="2">
        <v>10</v>
      </c>
      <c r="AD16" s="2">
        <v>30</v>
      </c>
      <c r="AE16" s="2">
        <v>31</v>
      </c>
      <c r="AF16" s="2">
        <v>30</v>
      </c>
      <c r="AG16" s="2">
        <v>31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12</v>
      </c>
      <c r="R17" s="152"/>
      <c r="T17" s="24" t="s">
        <v>111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5</v>
      </c>
      <c r="AB17" s="22">
        <v>31</v>
      </c>
      <c r="AC17" s="22">
        <v>31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112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30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71</v>
      </c>
      <c r="U19" s="53">
        <v>1E-14</v>
      </c>
      <c r="V19" s="22">
        <v>20.833333333333332</v>
      </c>
      <c r="W19" s="22">
        <v>1E-14</v>
      </c>
      <c r="X19" s="22">
        <v>1E-14</v>
      </c>
      <c r="Y19" s="22">
        <v>1E-14</v>
      </c>
      <c r="Z19" s="22">
        <v>1E-14</v>
      </c>
      <c r="AA19" s="22">
        <v>1E-14</v>
      </c>
      <c r="AB19" s="22">
        <v>1E-14</v>
      </c>
      <c r="AC19" s="22">
        <v>1E-14</v>
      </c>
      <c r="AD19" s="22">
        <v>1E-14</v>
      </c>
      <c r="AE19" s="22">
        <v>1E-14</v>
      </c>
      <c r="AF19" s="22">
        <v>1E-14</v>
      </c>
      <c r="AG19" s="22">
        <v>29.166666666666668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113</v>
      </c>
      <c r="U20" s="53">
        <v>1E-14</v>
      </c>
      <c r="V20" s="22">
        <v>31</v>
      </c>
      <c r="W20" s="22">
        <v>28</v>
      </c>
      <c r="X20" s="22">
        <v>31</v>
      </c>
      <c r="Y20" s="22">
        <v>30</v>
      </c>
      <c r="Z20" s="22">
        <v>31</v>
      </c>
      <c r="AA20" s="22">
        <v>30</v>
      </c>
      <c r="AB20" s="22">
        <v>31</v>
      </c>
      <c r="AC20" s="22">
        <v>31</v>
      </c>
      <c r="AD20" s="22">
        <v>30</v>
      </c>
      <c r="AE20" s="22">
        <v>31</v>
      </c>
      <c r="AF20" s="22">
        <v>30</v>
      </c>
      <c r="AG20" s="22">
        <v>31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114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99</v>
      </c>
      <c r="U22" s="53">
        <v>1E-14</v>
      </c>
      <c r="V22" s="22">
        <v>1</v>
      </c>
      <c r="W22" s="22">
        <v>1</v>
      </c>
      <c r="X22" s="22">
        <v>1</v>
      </c>
      <c r="Y22" s="22">
        <v>1</v>
      </c>
      <c r="Z22" s="22">
        <v>1</v>
      </c>
      <c r="AA22" s="22">
        <v>1</v>
      </c>
      <c r="AB22" s="22">
        <v>1</v>
      </c>
      <c r="AC22" s="22">
        <v>1</v>
      </c>
      <c r="AD22" s="22">
        <v>1</v>
      </c>
      <c r="AE22" s="22">
        <v>1</v>
      </c>
      <c r="AF22" s="22">
        <v>1</v>
      </c>
      <c r="AG22" s="22">
        <v>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 t="s">
        <v>221</v>
      </c>
      <c r="X43" s="90" t="s">
        <v>222</v>
      </c>
      <c r="Y43" s="90" t="s">
        <v>223</v>
      </c>
      <c r="Z43" s="90" t="s">
        <v>224</v>
      </c>
      <c r="AA43" s="90" t="s">
        <v>225</v>
      </c>
      <c r="AB43" s="90" t="s">
        <v>226</v>
      </c>
      <c r="AC43" s="90" t="s">
        <v>227</v>
      </c>
      <c r="AD43" s="90" t="s">
        <v>228</v>
      </c>
      <c r="AE43" s="90" t="s">
        <v>229</v>
      </c>
      <c r="AF43" s="90" t="s">
        <v>230</v>
      </c>
      <c r="AG43" s="90" t="s">
        <v>231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1E-14</v>
      </c>
      <c r="D44" s="129">
        <v>1</v>
      </c>
      <c r="E44" s="129">
        <v>1E-14</v>
      </c>
      <c r="F44" s="129">
        <v>1E-14</v>
      </c>
      <c r="G44" s="129">
        <v>1E-14</v>
      </c>
      <c r="H44" s="129">
        <v>1</v>
      </c>
      <c r="I44" s="129">
        <v>1</v>
      </c>
      <c r="J44" s="129">
        <v>1</v>
      </c>
      <c r="K44" s="86">
        <v>9093</v>
      </c>
      <c r="L44" s="86">
        <v>9093</v>
      </c>
      <c r="M44" s="86">
        <v>-1</v>
      </c>
      <c r="N44" s="86">
        <v>-1</v>
      </c>
      <c r="O44" s="86">
        <v>525</v>
      </c>
      <c r="P44" s="186">
        <v>10.5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1E-14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1E-14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1E-14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1E-14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757.75</v>
      </c>
      <c r="W46" s="73">
        <v>757.75</v>
      </c>
      <c r="X46" s="73">
        <v>757.75</v>
      </c>
      <c r="Y46" s="73">
        <v>757.75</v>
      </c>
      <c r="Z46" s="73">
        <v>757.75</v>
      </c>
      <c r="AA46" s="73">
        <v>757.75</v>
      </c>
      <c r="AB46" s="73">
        <v>757.75</v>
      </c>
      <c r="AC46" s="73">
        <v>757.75</v>
      </c>
      <c r="AD46" s="73">
        <v>757.75</v>
      </c>
      <c r="AE46" s="73">
        <v>757.75</v>
      </c>
      <c r="AF46" s="73">
        <v>757.75</v>
      </c>
      <c r="AG46" s="73">
        <v>757.75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1E-14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28869</v>
      </c>
      <c r="L47" s="15">
        <v>28869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757.75</v>
      </c>
      <c r="W47" s="73">
        <v>757.75</v>
      </c>
      <c r="X47" s="73">
        <v>757.75</v>
      </c>
      <c r="Y47" s="73">
        <v>757.75</v>
      </c>
      <c r="Z47" s="73">
        <v>757.75</v>
      </c>
      <c r="AA47" s="73">
        <v>757.75</v>
      </c>
      <c r="AB47" s="73">
        <v>757.75</v>
      </c>
      <c r="AC47" s="73">
        <v>757.75</v>
      </c>
      <c r="AD47" s="73">
        <v>757.75</v>
      </c>
      <c r="AE47" s="73">
        <v>757.75</v>
      </c>
      <c r="AF47" s="73">
        <v>757.75</v>
      </c>
      <c r="AG47" s="73">
        <v>757.75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1E-14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3500</v>
      </c>
      <c r="L48" s="15">
        <v>3500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1E-14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1E-14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10.5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1E-14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1E-14</v>
      </c>
      <c r="L50" s="15">
        <v>1E-14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1E-14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7800</v>
      </c>
      <c r="L51" s="15">
        <v>7800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1E-14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1E-14</v>
      </c>
      <c r="L52" s="15">
        <v>1E-14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1E-14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1E-14</v>
      </c>
      <c r="L53" s="15">
        <v>1E-14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1E-14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5200</v>
      </c>
      <c r="L54" s="15">
        <v>5200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1E-14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500</v>
      </c>
      <c r="L55" s="15">
        <v>500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1E-14</v>
      </c>
      <c r="W55" s="73">
        <v>1E-14</v>
      </c>
      <c r="X55" s="73">
        <v>1E-14</v>
      </c>
      <c r="Y55" s="73">
        <v>1E-14</v>
      </c>
      <c r="Z55" s="73">
        <v>1E-14</v>
      </c>
      <c r="AA55" s="73">
        <v>1E-14</v>
      </c>
      <c r="AB55" s="73">
        <v>1E-14</v>
      </c>
      <c r="AC55" s="73">
        <v>1E-14</v>
      </c>
      <c r="AD55" s="73">
        <v>1E-14</v>
      </c>
      <c r="AE55" s="73">
        <v>1E-14</v>
      </c>
      <c r="AF55" s="73">
        <v>1E-14</v>
      </c>
      <c r="AG55" s="73">
        <v>1E-14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1E-14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1E-14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1E-14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1E-14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100000</v>
      </c>
      <c r="L58" s="15">
        <v>100000</v>
      </c>
      <c r="M58" s="15">
        <v>-1</v>
      </c>
      <c r="N58" s="15">
        <v>-1</v>
      </c>
      <c r="O58" s="15">
        <v>400</v>
      </c>
      <c r="P58" s="187">
        <v>10.5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1E-14</v>
      </c>
      <c r="D59" s="130">
        <v>1</v>
      </c>
      <c r="E59" s="130">
        <v>1E-14</v>
      </c>
      <c r="F59" s="130">
        <v>1E-14</v>
      </c>
      <c r="G59" s="130">
        <v>1E-14</v>
      </c>
      <c r="H59" s="130">
        <v>1</v>
      </c>
      <c r="I59" s="130">
        <v>1</v>
      </c>
      <c r="J59" s="130">
        <v>1</v>
      </c>
      <c r="K59" s="15">
        <v>2000</v>
      </c>
      <c r="L59" s="15">
        <v>2000</v>
      </c>
      <c r="M59" s="15">
        <v>-1</v>
      </c>
      <c r="N59" s="15">
        <v>-1</v>
      </c>
      <c r="O59" s="15">
        <v>515</v>
      </c>
      <c r="P59" s="187">
        <v>10.5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1E-14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1500</v>
      </c>
      <c r="L61" s="15">
        <v>1500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1E-14</v>
      </c>
      <c r="W62" s="73">
        <v>1E-14</v>
      </c>
      <c r="X62" s="73">
        <v>1E-14</v>
      </c>
      <c r="Y62" s="73">
        <v>1E-14</v>
      </c>
      <c r="Z62" s="73">
        <v>1E-14</v>
      </c>
      <c r="AA62" s="73">
        <v>1E-14</v>
      </c>
      <c r="AB62" s="73">
        <v>1E-14</v>
      </c>
      <c r="AC62" s="73">
        <v>1E-14</v>
      </c>
      <c r="AD62" s="73">
        <v>1E-14</v>
      </c>
      <c r="AE62" s="73">
        <v>1E-14</v>
      </c>
      <c r="AF62" s="73">
        <v>1E-14</v>
      </c>
      <c r="AG62" s="73">
        <v>1E-14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1E-14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120</v>
      </c>
      <c r="L63" s="15">
        <v>120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1E-14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150</v>
      </c>
      <c r="L64" s="15">
        <v>150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2405.75</v>
      </c>
      <c r="W67" s="73">
        <v>2405.75</v>
      </c>
      <c r="X67" s="73">
        <v>2405.75</v>
      </c>
      <c r="Y67" s="73">
        <v>2405.75</v>
      </c>
      <c r="Z67" s="73">
        <v>2405.75</v>
      </c>
      <c r="AA67" s="73">
        <v>2405.75</v>
      </c>
      <c r="AB67" s="73">
        <v>2405.75</v>
      </c>
      <c r="AC67" s="73">
        <v>2405.75</v>
      </c>
      <c r="AD67" s="73">
        <v>2405.75</v>
      </c>
      <c r="AE67" s="73">
        <v>2405.75</v>
      </c>
      <c r="AF67" s="73">
        <v>2405.75</v>
      </c>
      <c r="AG67" s="73">
        <v>2405.75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2405.75</v>
      </c>
      <c r="W68" s="73">
        <v>2405.75</v>
      </c>
      <c r="X68" s="73">
        <v>2405.75</v>
      </c>
      <c r="Y68" s="73">
        <v>2405.75</v>
      </c>
      <c r="Z68" s="73">
        <v>2405.75</v>
      </c>
      <c r="AA68" s="73">
        <v>2405.75</v>
      </c>
      <c r="AB68" s="73">
        <v>2405.75</v>
      </c>
      <c r="AC68" s="73">
        <v>2405.75</v>
      </c>
      <c r="AD68" s="73">
        <v>2405.75</v>
      </c>
      <c r="AE68" s="73">
        <v>2405.75</v>
      </c>
      <c r="AF68" s="73">
        <v>2405.75</v>
      </c>
      <c r="AG68" s="73">
        <v>2405.75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291.66666666666669</v>
      </c>
      <c r="W74" s="73">
        <v>291.66666666666669</v>
      </c>
      <c r="X74" s="73">
        <v>291.66666666666669</v>
      </c>
      <c r="Y74" s="73">
        <v>291.66666666666669</v>
      </c>
      <c r="Z74" s="73">
        <v>291.66666666666669</v>
      </c>
      <c r="AA74" s="73">
        <v>291.66666666666669</v>
      </c>
      <c r="AB74" s="73">
        <v>291.66666666666669</v>
      </c>
      <c r="AC74" s="73">
        <v>291.66666666666669</v>
      </c>
      <c r="AD74" s="73">
        <v>291.66666666666669</v>
      </c>
      <c r="AE74" s="73">
        <v>291.66666666666669</v>
      </c>
      <c r="AF74" s="73">
        <v>291.66666666666669</v>
      </c>
      <c r="AG74" s="73">
        <v>291.66666666666669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291.66666666666669</v>
      </c>
      <c r="W75" s="73">
        <v>291.66666666666669</v>
      </c>
      <c r="X75" s="73">
        <v>291.66666666666669</v>
      </c>
      <c r="Y75" s="73">
        <v>291.66666666666669</v>
      </c>
      <c r="Z75" s="73">
        <v>291.66666666666669</v>
      </c>
      <c r="AA75" s="73">
        <v>291.66666666666669</v>
      </c>
      <c r="AB75" s="73">
        <v>291.66666666666669</v>
      </c>
      <c r="AC75" s="73">
        <v>291.66666666666669</v>
      </c>
      <c r="AD75" s="73">
        <v>291.66666666666669</v>
      </c>
      <c r="AE75" s="73">
        <v>291.66666666666669</v>
      </c>
      <c r="AF75" s="73">
        <v>291.66666666666669</v>
      </c>
      <c r="AG75" s="73">
        <v>291.66666666666669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1E-14</v>
      </c>
      <c r="W81" s="73">
        <v>1E-14</v>
      </c>
      <c r="X81" s="73">
        <v>1E-14</v>
      </c>
      <c r="Y81" s="73">
        <v>1E-14</v>
      </c>
      <c r="Z81" s="73">
        <v>1E-14</v>
      </c>
      <c r="AA81" s="73">
        <v>1E-14</v>
      </c>
      <c r="AB81" s="73">
        <v>1E-14</v>
      </c>
      <c r="AC81" s="73">
        <v>1E-14</v>
      </c>
      <c r="AD81" s="73">
        <v>1E-14</v>
      </c>
      <c r="AE81" s="73">
        <v>1E-14</v>
      </c>
      <c r="AF81" s="73">
        <v>1E-14</v>
      </c>
      <c r="AG81" s="73">
        <v>1E-14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1E-14</v>
      </c>
      <c r="W82" s="73">
        <v>1E-14</v>
      </c>
      <c r="X82" s="73">
        <v>1E-14</v>
      </c>
      <c r="Y82" s="73">
        <v>1E-14</v>
      </c>
      <c r="Z82" s="73">
        <v>1E-14</v>
      </c>
      <c r="AA82" s="73">
        <v>1E-14</v>
      </c>
      <c r="AB82" s="73">
        <v>1E-14</v>
      </c>
      <c r="AC82" s="73">
        <v>1E-14</v>
      </c>
      <c r="AD82" s="73">
        <v>1E-14</v>
      </c>
      <c r="AE82" s="73">
        <v>1E-14</v>
      </c>
      <c r="AF82" s="73">
        <v>1E-14</v>
      </c>
      <c r="AG82" s="73">
        <v>1E-14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1E-14</v>
      </c>
      <c r="W88" s="73">
        <v>1E-14</v>
      </c>
      <c r="X88" s="73">
        <v>1E-14</v>
      </c>
      <c r="Y88" s="73">
        <v>1E-14</v>
      </c>
      <c r="Z88" s="73">
        <v>1E-14</v>
      </c>
      <c r="AA88" s="73">
        <v>1E-14</v>
      </c>
      <c r="AB88" s="73">
        <v>1E-14</v>
      </c>
      <c r="AC88" s="73">
        <v>1E-14</v>
      </c>
      <c r="AD88" s="73">
        <v>1E-14</v>
      </c>
      <c r="AE88" s="73">
        <v>1E-14</v>
      </c>
      <c r="AF88" s="73">
        <v>1E-14</v>
      </c>
      <c r="AG88" s="73">
        <v>1E-14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1E-14</v>
      </c>
      <c r="W89" s="73">
        <v>1E-14</v>
      </c>
      <c r="X89" s="73">
        <v>1E-14</v>
      </c>
      <c r="Y89" s="73">
        <v>1E-14</v>
      </c>
      <c r="Z89" s="73">
        <v>1E-14</v>
      </c>
      <c r="AA89" s="73">
        <v>1E-14</v>
      </c>
      <c r="AB89" s="73">
        <v>1E-14</v>
      </c>
      <c r="AC89" s="73">
        <v>1E-14</v>
      </c>
      <c r="AD89" s="73">
        <v>1E-14</v>
      </c>
      <c r="AE89" s="73">
        <v>1E-14</v>
      </c>
      <c r="AF89" s="73">
        <v>1E-14</v>
      </c>
      <c r="AG89" s="73">
        <v>1E-14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650</v>
      </c>
      <c r="W95" s="73">
        <v>650</v>
      </c>
      <c r="X95" s="73">
        <v>650</v>
      </c>
      <c r="Y95" s="73">
        <v>650</v>
      </c>
      <c r="Z95" s="73">
        <v>650</v>
      </c>
      <c r="AA95" s="73">
        <v>650</v>
      </c>
      <c r="AB95" s="73">
        <v>650</v>
      </c>
      <c r="AC95" s="73">
        <v>650</v>
      </c>
      <c r="AD95" s="73">
        <v>650</v>
      </c>
      <c r="AE95" s="73">
        <v>650</v>
      </c>
      <c r="AF95" s="73">
        <v>650</v>
      </c>
      <c r="AG95" s="73">
        <v>650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650</v>
      </c>
      <c r="W96" s="73">
        <v>650</v>
      </c>
      <c r="X96" s="73">
        <v>650</v>
      </c>
      <c r="Y96" s="73">
        <v>650</v>
      </c>
      <c r="Z96" s="73">
        <v>650</v>
      </c>
      <c r="AA96" s="73">
        <v>650</v>
      </c>
      <c r="AB96" s="73">
        <v>650</v>
      </c>
      <c r="AC96" s="73">
        <v>650</v>
      </c>
      <c r="AD96" s="73">
        <v>650</v>
      </c>
      <c r="AE96" s="73">
        <v>650</v>
      </c>
      <c r="AF96" s="73">
        <v>650</v>
      </c>
      <c r="AG96" s="73">
        <v>650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1E-14</v>
      </c>
      <c r="W102" s="73">
        <v>1E-14</v>
      </c>
      <c r="X102" s="73">
        <v>1E-14</v>
      </c>
      <c r="Y102" s="73">
        <v>1E-14</v>
      </c>
      <c r="Z102" s="73">
        <v>1E-14</v>
      </c>
      <c r="AA102" s="73">
        <v>1E-14</v>
      </c>
      <c r="AB102" s="73">
        <v>1E-14</v>
      </c>
      <c r="AC102" s="73">
        <v>1E-14</v>
      </c>
      <c r="AD102" s="73">
        <v>1E-14</v>
      </c>
      <c r="AE102" s="73">
        <v>1E-14</v>
      </c>
      <c r="AF102" s="73">
        <v>1E-14</v>
      </c>
      <c r="AG102" s="73">
        <v>1E-14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1E-14</v>
      </c>
      <c r="W103" s="73">
        <v>1E-14</v>
      </c>
      <c r="X103" s="73">
        <v>1E-14</v>
      </c>
      <c r="Y103" s="73">
        <v>1E-14</v>
      </c>
      <c r="Z103" s="73">
        <v>1E-14</v>
      </c>
      <c r="AA103" s="73">
        <v>1E-14</v>
      </c>
      <c r="AB103" s="73">
        <v>1E-14</v>
      </c>
      <c r="AC103" s="73">
        <v>1E-14</v>
      </c>
      <c r="AD103" s="73">
        <v>1E-14</v>
      </c>
      <c r="AE103" s="73">
        <v>1E-14</v>
      </c>
      <c r="AF103" s="73">
        <v>1E-14</v>
      </c>
      <c r="AG103" s="73">
        <v>1E-14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1E-14</v>
      </c>
      <c r="W109" s="73">
        <v>1E-14</v>
      </c>
      <c r="X109" s="73">
        <v>1E-14</v>
      </c>
      <c r="Y109" s="73">
        <v>1E-14</v>
      </c>
      <c r="Z109" s="73">
        <v>1E-14</v>
      </c>
      <c r="AA109" s="73">
        <v>1E-14</v>
      </c>
      <c r="AB109" s="73">
        <v>1E-14</v>
      </c>
      <c r="AC109" s="73">
        <v>1E-14</v>
      </c>
      <c r="AD109" s="73">
        <v>1E-14</v>
      </c>
      <c r="AE109" s="73">
        <v>1E-14</v>
      </c>
      <c r="AF109" s="73">
        <v>1E-14</v>
      </c>
      <c r="AG109" s="73">
        <v>1E-14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1E-14</v>
      </c>
      <c r="W110" s="73">
        <v>1E-14</v>
      </c>
      <c r="X110" s="73">
        <v>1E-14</v>
      </c>
      <c r="Y110" s="73">
        <v>1E-14</v>
      </c>
      <c r="Z110" s="73">
        <v>1E-14</v>
      </c>
      <c r="AA110" s="73">
        <v>1E-14</v>
      </c>
      <c r="AB110" s="73">
        <v>1E-14</v>
      </c>
      <c r="AC110" s="73">
        <v>1E-14</v>
      </c>
      <c r="AD110" s="73">
        <v>1E-14</v>
      </c>
      <c r="AE110" s="73">
        <v>1E-14</v>
      </c>
      <c r="AF110" s="73">
        <v>1E-14</v>
      </c>
      <c r="AG110" s="73">
        <v>1E-14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433.33333333333331</v>
      </c>
      <c r="W116" s="73">
        <v>433.33333333333331</v>
      </c>
      <c r="X116" s="73">
        <v>433.33333333333331</v>
      </c>
      <c r="Y116" s="73">
        <v>433.33333333333331</v>
      </c>
      <c r="Z116" s="73">
        <v>433.33333333333331</v>
      </c>
      <c r="AA116" s="73">
        <v>433.33333333333331</v>
      </c>
      <c r="AB116" s="73">
        <v>433.33333333333331</v>
      </c>
      <c r="AC116" s="73">
        <v>433.33333333333331</v>
      </c>
      <c r="AD116" s="73">
        <v>433.33333333333331</v>
      </c>
      <c r="AE116" s="73">
        <v>433.33333333333331</v>
      </c>
      <c r="AF116" s="73">
        <v>433.33333333333331</v>
      </c>
      <c r="AG116" s="73">
        <v>433.33333333333331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433.33333333333331</v>
      </c>
      <c r="W117" s="73">
        <v>433.33333333333331</v>
      </c>
      <c r="X117" s="73">
        <v>433.33333333333331</v>
      </c>
      <c r="Y117" s="73">
        <v>433.33333333333331</v>
      </c>
      <c r="Z117" s="73">
        <v>433.33333333333331</v>
      </c>
      <c r="AA117" s="73">
        <v>433.33333333333331</v>
      </c>
      <c r="AB117" s="73">
        <v>433.33333333333331</v>
      </c>
      <c r="AC117" s="73">
        <v>433.33333333333331</v>
      </c>
      <c r="AD117" s="73">
        <v>433.33333333333331</v>
      </c>
      <c r="AE117" s="73">
        <v>433.33333333333331</v>
      </c>
      <c r="AF117" s="73">
        <v>433.33333333333331</v>
      </c>
      <c r="AG117" s="73">
        <v>433.33333333333331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41.666666666666664</v>
      </c>
      <c r="W123" s="73">
        <v>41.666666666666664</v>
      </c>
      <c r="X123" s="73">
        <v>41.666666666666664</v>
      </c>
      <c r="Y123" s="73">
        <v>41.666666666666664</v>
      </c>
      <c r="Z123" s="73">
        <v>41.666666666666664</v>
      </c>
      <c r="AA123" s="73">
        <v>41.666666666666664</v>
      </c>
      <c r="AB123" s="73">
        <v>41.666666666666664</v>
      </c>
      <c r="AC123" s="73">
        <v>41.666666666666664</v>
      </c>
      <c r="AD123" s="73">
        <v>41.666666666666664</v>
      </c>
      <c r="AE123" s="73">
        <v>41.666666666666664</v>
      </c>
      <c r="AF123" s="73">
        <v>41.666666666666664</v>
      </c>
      <c r="AG123" s="73">
        <v>41.666666666666664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41.666666666666664</v>
      </c>
      <c r="W124" s="73">
        <v>41.666666666666664</v>
      </c>
      <c r="X124" s="73">
        <v>41.666666666666664</v>
      </c>
      <c r="Y124" s="73">
        <v>41.666666666666664</v>
      </c>
      <c r="Z124" s="73">
        <v>41.666666666666664</v>
      </c>
      <c r="AA124" s="73">
        <v>41.666666666666664</v>
      </c>
      <c r="AB124" s="73">
        <v>41.666666666666664</v>
      </c>
      <c r="AC124" s="73">
        <v>41.666666666666664</v>
      </c>
      <c r="AD124" s="73">
        <v>41.666666666666664</v>
      </c>
      <c r="AE124" s="73">
        <v>41.666666666666664</v>
      </c>
      <c r="AF124" s="73">
        <v>41.666666666666664</v>
      </c>
      <c r="AG124" s="73">
        <v>41.666666666666664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1E-14</v>
      </c>
      <c r="W130" s="73">
        <v>1E-14</v>
      </c>
      <c r="X130" s="73">
        <v>1E-14</v>
      </c>
      <c r="Y130" s="73">
        <v>1E-14</v>
      </c>
      <c r="Z130" s="73">
        <v>1E-14</v>
      </c>
      <c r="AA130" s="73">
        <v>1E-14</v>
      </c>
      <c r="AB130" s="73">
        <v>1E-14</v>
      </c>
      <c r="AC130" s="73">
        <v>1E-14</v>
      </c>
      <c r="AD130" s="73">
        <v>1E-14</v>
      </c>
      <c r="AE130" s="73">
        <v>1E-14</v>
      </c>
      <c r="AF130" s="73">
        <v>1E-14</v>
      </c>
      <c r="AG130" s="73">
        <v>1E-14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1E-14</v>
      </c>
      <c r="W131" s="73">
        <v>1E-14</v>
      </c>
      <c r="X131" s="73">
        <v>1E-14</v>
      </c>
      <c r="Y131" s="73">
        <v>1E-14</v>
      </c>
      <c r="Z131" s="73">
        <v>1E-14</v>
      </c>
      <c r="AA131" s="73">
        <v>1E-14</v>
      </c>
      <c r="AB131" s="73">
        <v>1E-14</v>
      </c>
      <c r="AC131" s="73">
        <v>1E-14</v>
      </c>
      <c r="AD131" s="73">
        <v>1E-14</v>
      </c>
      <c r="AE131" s="73">
        <v>1E-14</v>
      </c>
      <c r="AF131" s="73">
        <v>1E-14</v>
      </c>
      <c r="AG131" s="73">
        <v>1E-14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1E-14</v>
      </c>
      <c r="W137" s="73">
        <v>1E-14</v>
      </c>
      <c r="X137" s="73">
        <v>1E-14</v>
      </c>
      <c r="Y137" s="73">
        <v>1E-14</v>
      </c>
      <c r="Z137" s="73">
        <v>1E-14</v>
      </c>
      <c r="AA137" s="73">
        <v>1E-14</v>
      </c>
      <c r="AB137" s="73">
        <v>1E-14</v>
      </c>
      <c r="AC137" s="73">
        <v>1E-14</v>
      </c>
      <c r="AD137" s="73">
        <v>1E-14</v>
      </c>
      <c r="AE137" s="73">
        <v>1E-14</v>
      </c>
      <c r="AF137" s="73">
        <v>1E-14</v>
      </c>
      <c r="AG137" s="73">
        <v>1E-14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1E-14</v>
      </c>
      <c r="W138" s="73">
        <v>1E-14</v>
      </c>
      <c r="X138" s="73">
        <v>1E-14</v>
      </c>
      <c r="Y138" s="73">
        <v>1E-14</v>
      </c>
      <c r="Z138" s="73">
        <v>1E-14</v>
      </c>
      <c r="AA138" s="73">
        <v>1E-14</v>
      </c>
      <c r="AB138" s="73">
        <v>1E-14</v>
      </c>
      <c r="AC138" s="73">
        <v>1E-14</v>
      </c>
      <c r="AD138" s="73">
        <v>1E-14</v>
      </c>
      <c r="AE138" s="73">
        <v>1E-14</v>
      </c>
      <c r="AF138" s="73">
        <v>1E-14</v>
      </c>
      <c r="AG138" s="73">
        <v>1E-14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1E-14</v>
      </c>
      <c r="W144" s="73">
        <v>1E-14</v>
      </c>
      <c r="X144" s="73">
        <v>1E-14</v>
      </c>
      <c r="Y144" s="73">
        <v>1E-14</v>
      </c>
      <c r="Z144" s="73">
        <v>1E-14</v>
      </c>
      <c r="AA144" s="73">
        <v>1E-14</v>
      </c>
      <c r="AB144" s="73">
        <v>1E-14</v>
      </c>
      <c r="AC144" s="73">
        <v>1E-14</v>
      </c>
      <c r="AD144" s="73">
        <v>1E-14</v>
      </c>
      <c r="AE144" s="73">
        <v>1E-14</v>
      </c>
      <c r="AF144" s="73">
        <v>1E-14</v>
      </c>
      <c r="AG144" s="73">
        <v>1E-14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100000</v>
      </c>
      <c r="W145" s="73">
        <v>100000</v>
      </c>
      <c r="X145" s="73">
        <v>100000</v>
      </c>
      <c r="Y145" s="73">
        <v>100000</v>
      </c>
      <c r="Z145" s="73">
        <v>100000</v>
      </c>
      <c r="AA145" s="73">
        <v>100000</v>
      </c>
      <c r="AB145" s="73">
        <v>100000</v>
      </c>
      <c r="AC145" s="73">
        <v>100000</v>
      </c>
      <c r="AD145" s="73">
        <v>100000</v>
      </c>
      <c r="AE145" s="73">
        <v>100000</v>
      </c>
      <c r="AF145" s="73">
        <v>100000</v>
      </c>
      <c r="AG145" s="73">
        <v>100000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10.5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166.66666666666666</v>
      </c>
      <c r="W151" s="73">
        <v>166.66666666666666</v>
      </c>
      <c r="X151" s="73">
        <v>166.66666666666666</v>
      </c>
      <c r="Y151" s="73">
        <v>166.66666666666666</v>
      </c>
      <c r="Z151" s="73">
        <v>166.66666666666666</v>
      </c>
      <c r="AA151" s="73">
        <v>166.66666666666666</v>
      </c>
      <c r="AB151" s="73">
        <v>166.66666666666666</v>
      </c>
      <c r="AC151" s="73">
        <v>166.66666666666666</v>
      </c>
      <c r="AD151" s="73">
        <v>166.66666666666666</v>
      </c>
      <c r="AE151" s="73">
        <v>166.66666666666666</v>
      </c>
      <c r="AF151" s="73">
        <v>166.66666666666666</v>
      </c>
      <c r="AG151" s="73">
        <v>166.66666666666666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166.66666666666666</v>
      </c>
      <c r="W152" s="73">
        <v>166.66666666666666</v>
      </c>
      <c r="X152" s="73">
        <v>166.66666666666666</v>
      </c>
      <c r="Y152" s="73">
        <v>166.66666666666666</v>
      </c>
      <c r="Z152" s="73">
        <v>166.66666666666666</v>
      </c>
      <c r="AA152" s="73">
        <v>166.66666666666666</v>
      </c>
      <c r="AB152" s="73">
        <v>166.66666666666666</v>
      </c>
      <c r="AC152" s="73">
        <v>166.66666666666666</v>
      </c>
      <c r="AD152" s="73">
        <v>166.66666666666666</v>
      </c>
      <c r="AE152" s="73">
        <v>166.66666666666666</v>
      </c>
      <c r="AF152" s="73">
        <v>166.66666666666666</v>
      </c>
      <c r="AG152" s="73">
        <v>166.66666666666666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10.5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125</v>
      </c>
      <c r="W165" s="73">
        <v>125</v>
      </c>
      <c r="X165" s="73">
        <v>125</v>
      </c>
      <c r="Y165" s="73">
        <v>125</v>
      </c>
      <c r="Z165" s="73">
        <v>125</v>
      </c>
      <c r="AA165" s="73">
        <v>125</v>
      </c>
      <c r="AB165" s="73">
        <v>125</v>
      </c>
      <c r="AC165" s="73">
        <v>125</v>
      </c>
      <c r="AD165" s="73">
        <v>125</v>
      </c>
      <c r="AE165" s="73">
        <v>125</v>
      </c>
      <c r="AF165" s="73">
        <v>125</v>
      </c>
      <c r="AG165" s="73">
        <v>125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125</v>
      </c>
      <c r="W166" s="73">
        <v>125</v>
      </c>
      <c r="X166" s="73">
        <v>125</v>
      </c>
      <c r="Y166" s="73">
        <v>125</v>
      </c>
      <c r="Z166" s="73">
        <v>125</v>
      </c>
      <c r="AA166" s="73">
        <v>125</v>
      </c>
      <c r="AB166" s="73">
        <v>125</v>
      </c>
      <c r="AC166" s="73">
        <v>125</v>
      </c>
      <c r="AD166" s="73">
        <v>125</v>
      </c>
      <c r="AE166" s="73">
        <v>125</v>
      </c>
      <c r="AF166" s="73">
        <v>125</v>
      </c>
      <c r="AG166" s="73">
        <v>125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10</v>
      </c>
      <c r="W179" s="73">
        <v>10</v>
      </c>
      <c r="X179" s="73">
        <v>10</v>
      </c>
      <c r="Y179" s="73">
        <v>10</v>
      </c>
      <c r="Z179" s="73">
        <v>10</v>
      </c>
      <c r="AA179" s="73">
        <v>10</v>
      </c>
      <c r="AB179" s="73">
        <v>10</v>
      </c>
      <c r="AC179" s="73">
        <v>10</v>
      </c>
      <c r="AD179" s="73">
        <v>10</v>
      </c>
      <c r="AE179" s="73">
        <v>10</v>
      </c>
      <c r="AF179" s="73">
        <v>10</v>
      </c>
      <c r="AG179" s="73">
        <v>10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10</v>
      </c>
      <c r="W180" s="73">
        <v>10</v>
      </c>
      <c r="X180" s="73">
        <v>10</v>
      </c>
      <c r="Y180" s="73">
        <v>10</v>
      </c>
      <c r="Z180" s="73">
        <v>10</v>
      </c>
      <c r="AA180" s="73">
        <v>10</v>
      </c>
      <c r="AB180" s="73">
        <v>10</v>
      </c>
      <c r="AC180" s="73">
        <v>10</v>
      </c>
      <c r="AD180" s="73">
        <v>10</v>
      </c>
      <c r="AE180" s="73">
        <v>10</v>
      </c>
      <c r="AF180" s="73">
        <v>10</v>
      </c>
      <c r="AG180" s="73">
        <v>10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12.5</v>
      </c>
      <c r="W186" s="73">
        <v>12.5</v>
      </c>
      <c r="X186" s="73">
        <v>12.5</v>
      </c>
      <c r="Y186" s="73">
        <v>12.5</v>
      </c>
      <c r="Z186" s="73">
        <v>12.5</v>
      </c>
      <c r="AA186" s="73">
        <v>12.5</v>
      </c>
      <c r="AB186" s="73">
        <v>12.5</v>
      </c>
      <c r="AC186" s="73">
        <v>12.5</v>
      </c>
      <c r="AD186" s="73">
        <v>12.5</v>
      </c>
      <c r="AE186" s="73">
        <v>12.5</v>
      </c>
      <c r="AF186" s="73">
        <v>12.5</v>
      </c>
      <c r="AG186" s="73">
        <v>12.5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12.5</v>
      </c>
      <c r="W187" s="73">
        <v>12.5</v>
      </c>
      <c r="X187" s="73">
        <v>12.5</v>
      </c>
      <c r="Y187" s="73">
        <v>12.5</v>
      </c>
      <c r="Z187" s="73">
        <v>12.5</v>
      </c>
      <c r="AA187" s="73">
        <v>12.5</v>
      </c>
      <c r="AB187" s="73">
        <v>12.5</v>
      </c>
      <c r="AC187" s="73">
        <v>12.5</v>
      </c>
      <c r="AD187" s="73">
        <v>12.5</v>
      </c>
      <c r="AE187" s="73">
        <v>12.5</v>
      </c>
      <c r="AF187" s="73">
        <v>12.5</v>
      </c>
      <c r="AG187" s="73">
        <v>12.5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10000</v>
      </c>
      <c r="W194" s="73">
        <v>10000</v>
      </c>
      <c r="X194" s="73">
        <v>10000</v>
      </c>
      <c r="Y194" s="73">
        <v>10000</v>
      </c>
      <c r="Z194" s="73">
        <v>10000</v>
      </c>
      <c r="AA194" s="73">
        <v>10000</v>
      </c>
      <c r="AB194" s="73">
        <v>10000</v>
      </c>
      <c r="AC194" s="73">
        <v>10000</v>
      </c>
      <c r="AD194" s="73">
        <v>10000</v>
      </c>
      <c r="AE194" s="73">
        <v>10000</v>
      </c>
      <c r="AF194" s="73">
        <v>10000</v>
      </c>
      <c r="AG194" s="73">
        <v>10000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1E-14</v>
      </c>
      <c r="W195">
        <v>1E-14</v>
      </c>
      <c r="X195">
        <v>1E-14</v>
      </c>
      <c r="Y195">
        <v>1E-14</v>
      </c>
      <c r="Z195">
        <v>1E-14</v>
      </c>
      <c r="AA195">
        <v>1E-14</v>
      </c>
      <c r="AB195">
        <v>1E-14</v>
      </c>
      <c r="AC195">
        <v>1E-14</v>
      </c>
      <c r="AD195">
        <v>1E-14</v>
      </c>
      <c r="AE195">
        <v>1E-14</v>
      </c>
      <c r="AF195">
        <v>1E-14</v>
      </c>
      <c r="AG195">
        <v>1E-14</v>
      </c>
    </row>
    <row r="196" spans="20:57" x14ac:dyDescent="0.25">
      <c r="T196" s="6" t="s">
        <v>26</v>
      </c>
      <c r="U196" s="6" t="s">
        <v>217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9.8765400000000003</v>
      </c>
      <c r="AB196">
        <v>9.9561896129032252</v>
      </c>
      <c r="AC196">
        <v>10.035839225806452</v>
      </c>
      <c r="AD196">
        <v>10.115488838709677</v>
      </c>
      <c r="AE196">
        <v>10.195138451612904</v>
      </c>
      <c r="AF196">
        <v>10.274788064516128</v>
      </c>
      <c r="AG196">
        <v>10.354437677419355</v>
      </c>
    </row>
    <row r="197" spans="20:57" x14ac:dyDescent="0.25">
      <c r="T197" s="6" t="s">
        <v>26</v>
      </c>
      <c r="U197" s="6" t="s">
        <v>190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182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183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184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217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190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60</v>
      </c>
      <c r="U205" s="6" t="s">
        <v>182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60</v>
      </c>
      <c r="U206" s="6" t="s">
        <v>183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60</v>
      </c>
      <c r="U207" s="6" t="s">
        <v>184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60</v>
      </c>
      <c r="U209" s="6" t="s">
        <v>188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60</v>
      </c>
      <c r="U210" s="6" t="s">
        <v>217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60</v>
      </c>
      <c r="U211" s="6" t="s">
        <v>190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61</v>
      </c>
      <c r="U212" s="6" t="s">
        <v>182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61</v>
      </c>
      <c r="U213" s="6" t="s">
        <v>183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61</v>
      </c>
      <c r="U214" s="6" t="s">
        <v>184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61</v>
      </c>
      <c r="U215" s="6" t="s">
        <v>185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61</v>
      </c>
      <c r="U216" s="6" t="s">
        <v>188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61</v>
      </c>
      <c r="U217" s="6" t="s">
        <v>217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61</v>
      </c>
      <c r="U218" s="6" t="s">
        <v>190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62</v>
      </c>
      <c r="U219" s="6" t="s">
        <v>182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62</v>
      </c>
      <c r="U220" s="6" t="s">
        <v>183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62</v>
      </c>
      <c r="U221" s="6" t="s">
        <v>184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62</v>
      </c>
      <c r="U222" s="6" t="s">
        <v>185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62</v>
      </c>
      <c r="U223" s="6" t="s">
        <v>188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62</v>
      </c>
      <c r="U224" s="6" t="s">
        <v>217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62</v>
      </c>
      <c r="U225" s="6" t="s">
        <v>190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182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183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184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185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188</v>
      </c>
      <c r="V230">
        <v>1E-14</v>
      </c>
      <c r="W230">
        <v>1E-14</v>
      </c>
      <c r="X230">
        <v>1E-14</v>
      </c>
      <c r="Y230">
        <v>1E-14</v>
      </c>
      <c r="Z230">
        <v>1E-14</v>
      </c>
      <c r="AA230">
        <v>1E-14</v>
      </c>
      <c r="AB230">
        <v>1E-14</v>
      </c>
      <c r="AC230">
        <v>1E-14</v>
      </c>
      <c r="AD230">
        <v>1E-14</v>
      </c>
      <c r="AE230">
        <v>1E-14</v>
      </c>
      <c r="AF230">
        <v>1E-14</v>
      </c>
      <c r="AG230">
        <v>1E-14</v>
      </c>
    </row>
    <row r="231" spans="20:33" x14ac:dyDescent="0.25">
      <c r="T231" s="6" t="s">
        <v>21</v>
      </c>
      <c r="U231" s="6" t="s">
        <v>217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190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182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183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184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185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188</v>
      </c>
      <c r="V237">
        <v>1E-14</v>
      </c>
      <c r="W237">
        <v>1E-14</v>
      </c>
      <c r="X237">
        <v>1E-14</v>
      </c>
      <c r="Y237">
        <v>1E-14</v>
      </c>
      <c r="Z237">
        <v>1E-14</v>
      </c>
      <c r="AA237">
        <v>1E-14</v>
      </c>
      <c r="AB237">
        <v>1E-14</v>
      </c>
      <c r="AC237">
        <v>1E-14</v>
      </c>
      <c r="AD237">
        <v>1E-14</v>
      </c>
      <c r="AE237">
        <v>1E-14</v>
      </c>
      <c r="AF237">
        <v>1E-14</v>
      </c>
      <c r="AG237">
        <v>1E-14</v>
      </c>
    </row>
    <row r="238" spans="20:33" x14ac:dyDescent="0.25">
      <c r="T238" s="6" t="s">
        <v>22</v>
      </c>
      <c r="U238" s="6" t="s">
        <v>217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190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182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183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184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185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188</v>
      </c>
      <c r="V244">
        <v>1E-14</v>
      </c>
      <c r="W244">
        <v>1E-14</v>
      </c>
      <c r="X244">
        <v>1E-14</v>
      </c>
      <c r="Y244">
        <v>1E-14</v>
      </c>
      <c r="Z244">
        <v>1E-14</v>
      </c>
      <c r="AA244">
        <v>1E-14</v>
      </c>
      <c r="AB244">
        <v>1E-14</v>
      </c>
      <c r="AC244">
        <v>1E-14</v>
      </c>
      <c r="AD244">
        <v>1E-14</v>
      </c>
      <c r="AE244">
        <v>1E-14</v>
      </c>
      <c r="AF244">
        <v>1E-14</v>
      </c>
      <c r="AG244">
        <v>1E-14</v>
      </c>
    </row>
    <row r="245" spans="20:33" x14ac:dyDescent="0.25">
      <c r="T245" s="6" t="s">
        <v>25</v>
      </c>
      <c r="U245" s="6" t="s">
        <v>217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190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8"/>
  <sheetViews>
    <sheetView tabSelected="1" zoomScale="85" zoomScaleNormal="85" workbookViewId="0">
      <pane xSplit="3" ySplit="6" topLeftCell="D9" activePane="bottomRight" state="frozen"/>
      <selection pane="topRight" activeCell="D1" sqref="D1"/>
      <selection pane="bottomLeft" activeCell="A6" sqref="A6"/>
      <selection pane="bottomRight" activeCell="D29" sqref="D29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0</v>
      </c>
      <c r="C2" s="207">
        <v>44593.440403263892</v>
      </c>
      <c r="D2" s="175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0"/>
    </row>
    <row r="4" spans="1:27" x14ac:dyDescent="0.25">
      <c r="A4" s="63" t="s">
        <v>203</v>
      </c>
      <c r="B4" s="69">
        <v>-11705144.606733019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-9890744.6067330185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 t="s">
        <v>221</v>
      </c>
      <c r="F7" s="78" t="s">
        <v>222</v>
      </c>
      <c r="G7" s="78" t="s">
        <v>223</v>
      </c>
      <c r="H7" s="78" t="s">
        <v>224</v>
      </c>
      <c r="I7" s="78" t="s">
        <v>225</v>
      </c>
      <c r="J7" s="78" t="s">
        <v>226</v>
      </c>
      <c r="K7" s="78" t="s">
        <v>227</v>
      </c>
      <c r="L7" s="78" t="s">
        <v>228</v>
      </c>
      <c r="M7" s="78" t="s">
        <v>229</v>
      </c>
      <c r="N7" s="78" t="s">
        <v>230</v>
      </c>
      <c r="O7" s="78" t="s">
        <v>231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-(A11-A38)/A8</f>
        <v>47.756465999833459</v>
      </c>
      <c r="B9" s="50" t="s">
        <v>30</v>
      </c>
      <c r="C9" s="56" t="s">
        <v>205</v>
      </c>
      <c r="D9" s="12">
        <v>120.45843072104557</v>
      </c>
      <c r="E9" s="12">
        <v>122.10904874546686</v>
      </c>
      <c r="F9" s="12">
        <v>107.97143672496387</v>
      </c>
      <c r="G9" s="12">
        <v>70.269398322800214</v>
      </c>
      <c r="H9" s="12">
        <v>84.83050163694854</v>
      </c>
      <c r="I9" s="12">
        <v>102.79418330369241</v>
      </c>
      <c r="J9" s="12">
        <v>210.68943453742153</v>
      </c>
      <c r="K9" s="12">
        <v>212.81473864398239</v>
      </c>
      <c r="L9" s="12">
        <v>-289.33272203234117</v>
      </c>
      <c r="M9" s="12">
        <v>-59.317541771635348</v>
      </c>
      <c r="N9" s="12">
        <v>-27.553927306103031</v>
      </c>
      <c r="O9" s="12">
        <v>-60.343701506334668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-A11/(A8-A43)</f>
        <v>40.196465999833457</v>
      </c>
      <c r="B10" s="50" t="s">
        <v>30</v>
      </c>
      <c r="C10" s="58" t="s">
        <v>206</v>
      </c>
      <c r="D10" s="12">
        <v>111.69912474290444</v>
      </c>
      <c r="E10" s="12">
        <v>122.10904874546686</v>
      </c>
      <c r="F10" s="12">
        <v>107.97143672496387</v>
      </c>
      <c r="G10" s="12">
        <v>70.269398322800214</v>
      </c>
      <c r="H10" s="12">
        <v>84.83050163694854</v>
      </c>
      <c r="I10" s="12">
        <v>102.79418330369241</v>
      </c>
      <c r="J10" s="12">
        <v>210.68943453742153</v>
      </c>
      <c r="K10" s="12">
        <v>212.81473864398239</v>
      </c>
      <c r="L10" s="12">
        <v>-289.33272203234117</v>
      </c>
      <c r="M10" s="12">
        <v>-59.317541771635348</v>
      </c>
      <c r="N10" s="12">
        <v>-27.553927306103034</v>
      </c>
      <c r="O10" s="12">
        <v>-111.30445801857825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-9647151.8399600293</v>
      </c>
      <c r="B11" s="49" t="s">
        <v>56</v>
      </c>
      <c r="C11" s="58" t="s">
        <v>80</v>
      </c>
      <c r="D11" s="14">
        <v>-3496182.604452909</v>
      </c>
      <c r="E11" s="14">
        <v>-3907489.5598549396</v>
      </c>
      <c r="F11" s="14">
        <v>-3185157.3833864341</v>
      </c>
      <c r="G11" s="14">
        <v>-1405387.9664560044</v>
      </c>
      <c r="H11" s="14">
        <v>-1102796.5212803311</v>
      </c>
      <c r="I11" s="14">
        <v>-770956.37477769307</v>
      </c>
      <c r="J11" s="14">
        <v>-1580170.7590306615</v>
      </c>
      <c r="K11" s="14">
        <v>-1489703.1705078767</v>
      </c>
      <c r="L11" s="14">
        <v>2314661.7762587294</v>
      </c>
      <c r="M11" s="14">
        <v>1168555.5729012163</v>
      </c>
      <c r="N11" s="14">
        <v>757733.0009178333</v>
      </c>
      <c r="O11" s="14">
        <v>3049742.149709044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48" si="1">SUM(D12:AA12)</f>
        <v>67095387.461321048</v>
      </c>
      <c r="B12" s="49" t="s">
        <v>56</v>
      </c>
      <c r="C12" s="68" t="s">
        <v>88</v>
      </c>
      <c r="D12" s="14">
        <v>5784954.938677418</v>
      </c>
      <c r="E12" s="14">
        <v>5477548.6196266636</v>
      </c>
      <c r="F12" s="14">
        <v>5665991.9244497763</v>
      </c>
      <c r="G12" s="14">
        <v>4946372.60442675</v>
      </c>
      <c r="H12" s="14">
        <v>3215628.400656777</v>
      </c>
      <c r="I12" s="14">
        <v>1500747.5365968712</v>
      </c>
      <c r="J12" s="14">
        <v>2100251.1795623386</v>
      </c>
      <c r="K12" s="14">
        <v>2135177.1475713733</v>
      </c>
      <c r="L12" s="14">
        <v>7740249.931950368</v>
      </c>
      <c r="M12" s="14">
        <v>8073624.4393136641</v>
      </c>
      <c r="N12" s="14">
        <v>9062389.2494224906</v>
      </c>
      <c r="O12" s="14">
        <v>11392451.489066558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40000039.999999993</v>
      </c>
      <c r="B13" s="49" t="s">
        <v>56</v>
      </c>
      <c r="C13" s="60" t="s">
        <v>81</v>
      </c>
      <c r="D13" s="14">
        <v>4154371.567944251</v>
      </c>
      <c r="E13" s="14">
        <v>4053035.0306808641</v>
      </c>
      <c r="F13" s="14">
        <v>4154371.567944251</v>
      </c>
      <c r="G13" s="14">
        <v>3649003.4442972518</v>
      </c>
      <c r="H13" s="14">
        <v>2530136.864111498</v>
      </c>
      <c r="I13" s="14">
        <v>1198059.9303135888</v>
      </c>
      <c r="J13" s="14">
        <v>2086080</v>
      </c>
      <c r="K13" s="14">
        <v>2086080</v>
      </c>
      <c r="L13" s="14">
        <v>3748733.1010452961</v>
      </c>
      <c r="M13" s="14">
        <v>4154371.567944251</v>
      </c>
      <c r="N13" s="14">
        <v>4020359.5818815324</v>
      </c>
      <c r="O13" s="14">
        <v>4165437.3438372123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1239478.52108009</v>
      </c>
      <c r="B14" s="49" t="s">
        <v>56</v>
      </c>
      <c r="C14" s="60" t="s">
        <v>82</v>
      </c>
      <c r="D14" s="14">
        <v>201254.82449332997</v>
      </c>
      <c r="E14" s="14">
        <v>210211.24741463421</v>
      </c>
      <c r="F14" s="14">
        <v>201254.82449332997</v>
      </c>
      <c r="G14" s="14">
        <v>167944.33796230934</v>
      </c>
      <c r="H14" s="14">
        <v>1E-14</v>
      </c>
      <c r="I14" s="14">
        <v>63890.692913414634</v>
      </c>
      <c r="J14" s="14">
        <v>1E-14</v>
      </c>
      <c r="K14" s="14">
        <v>1E-14</v>
      </c>
      <c r="L14" s="14">
        <v>1E-14</v>
      </c>
      <c r="M14" s="14">
        <v>1E-14</v>
      </c>
      <c r="N14" s="14">
        <v>193709.63953917846</v>
      </c>
      <c r="O14" s="14">
        <v>201212.95426389331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25855868.940240961</v>
      </c>
      <c r="B15" s="49" t="s">
        <v>56</v>
      </c>
      <c r="C15" s="60" t="s">
        <v>83</v>
      </c>
      <c r="D15" s="14">
        <v>1429328.5462398368</v>
      </c>
      <c r="E15" s="14">
        <v>1214302.3415311645</v>
      </c>
      <c r="F15" s="14">
        <v>1310365.5320121951</v>
      </c>
      <c r="G15" s="14">
        <v>1129424.8221671891</v>
      </c>
      <c r="H15" s="14">
        <v>685491.53654527885</v>
      </c>
      <c r="I15" s="14">
        <v>238796.91336986772</v>
      </c>
      <c r="J15" s="14">
        <v>14171.179562338697</v>
      </c>
      <c r="K15" s="14">
        <v>49097.147571373222</v>
      </c>
      <c r="L15" s="14">
        <v>3991516.8309050724</v>
      </c>
      <c r="M15" s="14">
        <v>3919252.8713694131</v>
      </c>
      <c r="N15" s="14">
        <v>4848320.0280017806</v>
      </c>
      <c r="O15" s="14">
        <v>7025801.1909654522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208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76742539.301281065</v>
      </c>
      <c r="B17" s="49" t="s">
        <v>56</v>
      </c>
      <c r="C17" s="68" t="s">
        <v>87</v>
      </c>
      <c r="D17" s="14">
        <v>9281137.543130327</v>
      </c>
      <c r="E17" s="14">
        <v>9385038.1794816032</v>
      </c>
      <c r="F17" s="14">
        <v>8851149.3078362104</v>
      </c>
      <c r="G17" s="14">
        <v>6351760.5708827544</v>
      </c>
      <c r="H17" s="14">
        <v>4318424.921937108</v>
      </c>
      <c r="I17" s="14">
        <v>2271703.9113745643</v>
      </c>
      <c r="J17" s="14">
        <v>3680421.9385930002</v>
      </c>
      <c r="K17" s="14">
        <v>3624880.3180792499</v>
      </c>
      <c r="L17" s="14">
        <v>5425588.1556916386</v>
      </c>
      <c r="M17" s="14">
        <v>6905068.8664124478</v>
      </c>
      <c r="N17" s="14">
        <v>8304656.2485046573</v>
      </c>
      <c r="O17" s="14">
        <v>8342709.3393575139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11209151.407960774</v>
      </c>
      <c r="B18" s="49" t="s">
        <v>56</v>
      </c>
      <c r="C18" s="60" t="s">
        <v>73</v>
      </c>
      <c r="D18" s="14">
        <v>1283705.8110526316</v>
      </c>
      <c r="E18" s="14">
        <v>1290687.0888235294</v>
      </c>
      <c r="F18" s="14">
        <v>1238705.8110526316</v>
      </c>
      <c r="G18" s="14">
        <v>913070.20564562757</v>
      </c>
      <c r="H18" s="14">
        <v>569414.9</v>
      </c>
      <c r="I18" s="14">
        <v>293342.4726829268</v>
      </c>
      <c r="J18" s="14">
        <v>660663.91000000015</v>
      </c>
      <c r="K18" s="14">
        <v>660834.96000000008</v>
      </c>
      <c r="L18" s="14">
        <v>970014.43</v>
      </c>
      <c r="M18" s="14">
        <v>968570.27000000014</v>
      </c>
      <c r="N18" s="14">
        <v>1172537.8826315789</v>
      </c>
      <c r="O18" s="14">
        <v>1187603.6660718471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5845920.1479662787</v>
      </c>
      <c r="B19" s="49" t="s">
        <v>56</v>
      </c>
      <c r="C19" s="60" t="s">
        <v>74</v>
      </c>
      <c r="D19" s="14">
        <v>1556418.1597523219</v>
      </c>
      <c r="E19" s="14">
        <v>1494211.7647058822</v>
      </c>
      <c r="F19" s="14">
        <v>1175241.6891640865</v>
      </c>
      <c r="G19" s="14">
        <v>1E-14</v>
      </c>
      <c r="H19" s="14">
        <v>1E-14</v>
      </c>
      <c r="I19" s="14">
        <v>1E-14</v>
      </c>
      <c r="J19" s="14">
        <v>1E-14</v>
      </c>
      <c r="K19" s="14">
        <v>1E-14</v>
      </c>
      <c r="L19" s="14">
        <v>1E-14</v>
      </c>
      <c r="M19" s="14">
        <v>1E-14</v>
      </c>
      <c r="N19" s="14">
        <v>915319.28173374513</v>
      </c>
      <c r="O19" s="14">
        <v>704729.25261024351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14">
        <f t="shared" si="1"/>
        <v>43768664.326566517</v>
      </c>
      <c r="B20" s="49" t="s">
        <v>56</v>
      </c>
      <c r="C20" s="60" t="s">
        <v>75</v>
      </c>
      <c r="D20" s="14">
        <v>4787699.617671716</v>
      </c>
      <c r="E20" s="14">
        <v>4987154.2413655752</v>
      </c>
      <c r="F20" s="14">
        <v>4783887.8529658336</v>
      </c>
      <c r="G20" s="14">
        <v>3986497.6048237262</v>
      </c>
      <c r="H20" s="14">
        <v>2742092.2447944251</v>
      </c>
      <c r="I20" s="14">
        <v>1501569.9026184669</v>
      </c>
      <c r="J20" s="14">
        <v>2189561.4228930003</v>
      </c>
      <c r="K20" s="14">
        <v>2133848.7523792502</v>
      </c>
      <c r="L20" s="14">
        <v>2963691.584947736</v>
      </c>
      <c r="M20" s="14">
        <v>4283184.6417587884</v>
      </c>
      <c r="N20" s="14">
        <v>4616817.8377003083</v>
      </c>
      <c r="O20" s="14">
        <v>4792658.622647698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1"/>
        <v>15918803.418787498</v>
      </c>
      <c r="B21" s="49" t="s">
        <v>56</v>
      </c>
      <c r="C21" s="60" t="s">
        <v>84</v>
      </c>
      <c r="D21" s="14">
        <v>1653313.9546536584</v>
      </c>
      <c r="E21" s="14">
        <v>1612985.0845866168</v>
      </c>
      <c r="F21" s="14">
        <v>1653313.9546536584</v>
      </c>
      <c r="G21" s="14">
        <v>1452192.7604134006</v>
      </c>
      <c r="H21" s="14">
        <v>1006917.7771426828</v>
      </c>
      <c r="I21" s="14">
        <v>476791.53607317084</v>
      </c>
      <c r="J21" s="14">
        <v>830196.60569999996</v>
      </c>
      <c r="K21" s="14">
        <v>830196.60569999996</v>
      </c>
      <c r="L21" s="14">
        <v>1491882.1407439022</v>
      </c>
      <c r="M21" s="14">
        <v>1653313.9546536584</v>
      </c>
      <c r="N21" s="14">
        <v>1599981.2464390243</v>
      </c>
      <c r="O21" s="14">
        <v>1657717.7980277257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ref="A22:A23" si="3">SUM(D22:AA22)</f>
        <v>1.1999999999999997E-13</v>
      </c>
      <c r="B22" s="49" t="s">
        <v>56</v>
      </c>
      <c r="C22" s="60" t="s">
        <v>121</v>
      </c>
      <c r="D22" s="14">
        <v>1E-14</v>
      </c>
      <c r="E22" s="14">
        <v>1E-14</v>
      </c>
      <c r="F22" s="14">
        <v>1E-14</v>
      </c>
      <c r="G22" s="14">
        <v>1E-14</v>
      </c>
      <c r="H22" s="14">
        <v>1E-14</v>
      </c>
      <c r="I22" s="14">
        <v>1E-14</v>
      </c>
      <c r="J22" s="14">
        <v>1E-14</v>
      </c>
      <c r="K22" s="14">
        <v>1E-14</v>
      </c>
      <c r="L22" s="14">
        <v>1E-14</v>
      </c>
      <c r="M22" s="14">
        <v>1E-14</v>
      </c>
      <c r="N22" s="14">
        <v>1E-14</v>
      </c>
      <c r="O22" s="14">
        <v>1E-14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7">
        <f t="shared" si="3"/>
        <v>38850.03884999999</v>
      </c>
      <c r="B23" s="50" t="s">
        <v>58</v>
      </c>
      <c r="C23" s="58" t="s">
        <v>135</v>
      </c>
      <c r="D23" s="7">
        <v>4034.9333853658536</v>
      </c>
      <c r="E23" s="7">
        <v>3936.5102735487903</v>
      </c>
      <c r="F23" s="7">
        <v>4034.9333853658536</v>
      </c>
      <c r="G23" s="7">
        <v>3544.0945952737052</v>
      </c>
      <c r="H23" s="7">
        <v>2457.3954292682924</v>
      </c>
      <c r="I23" s="7">
        <v>1163.6157073170734</v>
      </c>
      <c r="J23" s="7">
        <v>2026.1052</v>
      </c>
      <c r="K23" s="7">
        <v>2026.1052</v>
      </c>
      <c r="L23" s="7">
        <v>3640.9570243902435</v>
      </c>
      <c r="M23" s="7">
        <v>4034.9333853658536</v>
      </c>
      <c r="N23" s="7">
        <v>3904.7742439024387</v>
      </c>
      <c r="O23" s="7">
        <v>4045.6810202018928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outlineLevel="1" x14ac:dyDescent="0.25">
      <c r="A24" s="7">
        <f t="shared" si="1"/>
        <v>38850.03884999999</v>
      </c>
      <c r="B24" s="50" t="s">
        <v>58</v>
      </c>
      <c r="C24" s="58" t="s">
        <v>136</v>
      </c>
      <c r="D24" s="7">
        <v>4034.9333853658536</v>
      </c>
      <c r="E24" s="7">
        <v>3936.5102735487903</v>
      </c>
      <c r="F24" s="7">
        <v>4034.9333853658536</v>
      </c>
      <c r="G24" s="7">
        <v>3544.0945952737052</v>
      </c>
      <c r="H24" s="7">
        <v>2457.3954292682924</v>
      </c>
      <c r="I24" s="7">
        <v>1163.6157073170734</v>
      </c>
      <c r="J24" s="7">
        <v>2026.1052</v>
      </c>
      <c r="K24" s="7">
        <v>2026.1052</v>
      </c>
      <c r="L24" s="7">
        <v>3640.9570243902435</v>
      </c>
      <c r="M24" s="7">
        <v>4034.9333853658536</v>
      </c>
      <c r="N24" s="7">
        <v>3904.7742439024387</v>
      </c>
      <c r="O24" s="7">
        <v>4045.6810202018928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7">
        <f t="shared" ref="A25" si="4">SUM(D25:AA25)</f>
        <v>42553.335313323063</v>
      </c>
      <c r="B25" s="50" t="s">
        <v>63</v>
      </c>
      <c r="C25" s="58" t="s">
        <v>170</v>
      </c>
      <c r="D25" s="7">
        <v>4593.292682926829</v>
      </c>
      <c r="E25" s="7">
        <v>4148.7804878048773</v>
      </c>
      <c r="F25" s="7">
        <v>4593.292682926829</v>
      </c>
      <c r="G25" s="7">
        <v>3957.7170206401424</v>
      </c>
      <c r="H25" s="7">
        <v>2461.4846341463408</v>
      </c>
      <c r="I25" s="7">
        <v>528.62378048780477</v>
      </c>
      <c r="J25" s="7">
        <v>34.398000000000003</v>
      </c>
      <c r="K25" s="7">
        <v>114.88050000000001</v>
      </c>
      <c r="L25" s="7">
        <v>5103.950890243902</v>
      </c>
      <c r="M25" s="7">
        <v>5733.9603658536589</v>
      </c>
      <c r="N25" s="7">
        <v>5548.9939024390242</v>
      </c>
      <c r="O25" s="7">
        <v>5733.9603658536589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outlineLevel="1" x14ac:dyDescent="0.25">
      <c r="A26" s="7">
        <f t="shared" si="1"/>
        <v>35592.129757767507</v>
      </c>
      <c r="B26" s="50" t="s">
        <v>63</v>
      </c>
      <c r="C26" s="58" t="s">
        <v>169</v>
      </c>
      <c r="D26" s="7">
        <v>3818.292682926829</v>
      </c>
      <c r="E26" s="7">
        <v>3448.7804878048773</v>
      </c>
      <c r="F26" s="7">
        <v>3818.292682926829</v>
      </c>
      <c r="G26" s="7">
        <v>3207.7170206401424</v>
      </c>
      <c r="H26" s="7">
        <v>1686.4846341463408</v>
      </c>
      <c r="I26" s="7">
        <v>439.4321138211381</v>
      </c>
      <c r="J26" s="7">
        <v>23.564666666666668</v>
      </c>
      <c r="K26" s="7">
        <v>78.699944444444455</v>
      </c>
      <c r="L26" s="7">
        <v>4353.950890243902</v>
      </c>
      <c r="M26" s="7">
        <v>4958.9603658536589</v>
      </c>
      <c r="N26" s="7">
        <v>4798.9939024390242</v>
      </c>
      <c r="O26" s="7">
        <v>4958.9603658536589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s="16" customFormat="1" outlineLevel="1" x14ac:dyDescent="0.25">
      <c r="A27" s="82">
        <f t="shared" ref="A27:A32" si="5">SUM(D27:AA27)</f>
        <v>1200000</v>
      </c>
      <c r="B27" s="50" t="s">
        <v>58</v>
      </c>
      <c r="C27" s="68" t="s">
        <v>173</v>
      </c>
      <c r="D27" s="10">
        <v>100000</v>
      </c>
      <c r="E27" s="10">
        <v>100000</v>
      </c>
      <c r="F27" s="10">
        <v>100000</v>
      </c>
      <c r="G27" s="10">
        <v>100000</v>
      </c>
      <c r="H27" s="10">
        <v>100000</v>
      </c>
      <c r="I27" s="10">
        <v>100000</v>
      </c>
      <c r="J27" s="10">
        <v>100000</v>
      </c>
      <c r="K27" s="10">
        <v>100000</v>
      </c>
      <c r="L27" s="10">
        <v>100000</v>
      </c>
      <c r="M27" s="10">
        <v>100000</v>
      </c>
      <c r="N27" s="10">
        <v>100000</v>
      </c>
      <c r="O27" s="10">
        <v>100000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16" customFormat="1" outlineLevel="1" x14ac:dyDescent="0.25">
      <c r="A28" s="7">
        <f t="shared" si="5"/>
        <v>100000.09999999998</v>
      </c>
      <c r="B28" s="50" t="s">
        <v>58</v>
      </c>
      <c r="C28" s="60" t="s">
        <v>174</v>
      </c>
      <c r="D28" s="10">
        <v>10385.928919860628</v>
      </c>
      <c r="E28" s="10">
        <v>10132.587576702161</v>
      </c>
      <c r="F28" s="10">
        <v>10385.928919860628</v>
      </c>
      <c r="G28" s="10">
        <v>9122.5086107431289</v>
      </c>
      <c r="H28" s="10">
        <v>6325.3421602787448</v>
      </c>
      <c r="I28" s="10">
        <v>2995.1498257839721</v>
      </c>
      <c r="J28" s="10">
        <v>5215.2</v>
      </c>
      <c r="K28" s="10">
        <v>5215.2</v>
      </c>
      <c r="L28" s="10">
        <v>9371.8327526132398</v>
      </c>
      <c r="M28" s="10">
        <v>10385.928919860628</v>
      </c>
      <c r="N28" s="10">
        <v>10050.898954703831</v>
      </c>
      <c r="O28" s="10">
        <v>10413.593359593031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s="16" customFormat="1" outlineLevel="1" x14ac:dyDescent="0.25">
      <c r="A29" s="7">
        <f t="shared" si="5"/>
        <v>1.1999999999999997E-13</v>
      </c>
      <c r="B29" s="50" t="s">
        <v>58</v>
      </c>
      <c r="C29" s="60" t="s">
        <v>175</v>
      </c>
      <c r="D29" s="10">
        <v>1E-14</v>
      </c>
      <c r="E29" s="10">
        <v>1E-14</v>
      </c>
      <c r="F29" s="10">
        <v>1E-14</v>
      </c>
      <c r="G29" s="10">
        <v>1E-14</v>
      </c>
      <c r="H29" s="10">
        <v>1E-14</v>
      </c>
      <c r="I29" s="10">
        <v>1E-14</v>
      </c>
      <c r="J29" s="10">
        <v>1E-14</v>
      </c>
      <c r="K29" s="10">
        <v>1E-14</v>
      </c>
      <c r="L29" s="10">
        <v>1E-14</v>
      </c>
      <c r="M29" s="10">
        <v>1E-14</v>
      </c>
      <c r="N29" s="10">
        <v>1E-14</v>
      </c>
      <c r="O29" s="10">
        <v>1E-14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s="16" customFormat="1" outlineLevel="1" x14ac:dyDescent="0.25">
      <c r="A30" s="7">
        <f t="shared" si="5"/>
        <v>1.1999999999999997E-13</v>
      </c>
      <c r="B30" s="50" t="s">
        <v>58</v>
      </c>
      <c r="C30" s="60" t="s">
        <v>176</v>
      </c>
      <c r="D30" s="10">
        <v>1E-14</v>
      </c>
      <c r="E30" s="10">
        <v>1E-14</v>
      </c>
      <c r="F30" s="10">
        <v>1E-14</v>
      </c>
      <c r="G30" s="10">
        <v>1E-14</v>
      </c>
      <c r="H30" s="10">
        <v>1E-14</v>
      </c>
      <c r="I30" s="10">
        <v>1E-14</v>
      </c>
      <c r="J30" s="10">
        <v>1E-14</v>
      </c>
      <c r="K30" s="10">
        <v>1E-14</v>
      </c>
      <c r="L30" s="10">
        <v>1E-14</v>
      </c>
      <c r="M30" s="10">
        <v>1E-14</v>
      </c>
      <c r="N30" s="10">
        <v>1E-14</v>
      </c>
      <c r="O30" s="10">
        <v>1E-14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s="16" customFormat="1" outlineLevel="1" x14ac:dyDescent="0.25">
      <c r="A31" s="82">
        <f t="shared" si="5"/>
        <v>253077.40950000001</v>
      </c>
      <c r="B31" s="50" t="s">
        <v>57</v>
      </c>
      <c r="C31" s="68" t="s">
        <v>86</v>
      </c>
      <c r="D31" s="10">
        <v>31300</v>
      </c>
      <c r="E31" s="10">
        <v>32000</v>
      </c>
      <c r="F31" s="10">
        <v>29500</v>
      </c>
      <c r="G31" s="10">
        <v>20000</v>
      </c>
      <c r="H31" s="10">
        <v>13000</v>
      </c>
      <c r="I31" s="10">
        <v>7500</v>
      </c>
      <c r="J31" s="10">
        <v>12694.318000000001</v>
      </c>
      <c r="K31" s="10">
        <v>12613.835500000001</v>
      </c>
      <c r="L31" s="10">
        <v>18800</v>
      </c>
      <c r="M31" s="10">
        <v>20769.256000000001</v>
      </c>
      <c r="N31" s="10">
        <v>27499.999999999996</v>
      </c>
      <c r="O31" s="10">
        <v>27400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166">
        <f t="shared" si="5"/>
        <v>230400</v>
      </c>
      <c r="B32" s="50" t="s">
        <v>57</v>
      </c>
      <c r="C32" s="164" t="s">
        <v>195</v>
      </c>
      <c r="D32" s="10">
        <v>31300</v>
      </c>
      <c r="E32" s="10">
        <v>32000</v>
      </c>
      <c r="F32" s="10">
        <v>29500</v>
      </c>
      <c r="G32" s="10">
        <v>20000</v>
      </c>
      <c r="H32" s="10">
        <v>13000</v>
      </c>
      <c r="I32" s="10">
        <v>7500</v>
      </c>
      <c r="J32" s="10">
        <v>7500</v>
      </c>
      <c r="K32" s="10">
        <v>7000</v>
      </c>
      <c r="L32" s="10">
        <v>8000</v>
      </c>
      <c r="M32" s="10">
        <v>19700</v>
      </c>
      <c r="N32" s="10">
        <v>27499.999999999996</v>
      </c>
      <c r="O32" s="10">
        <v>27400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outlineLevel="1" x14ac:dyDescent="0.25">
      <c r="A33" s="166">
        <f t="shared" si="1"/>
        <v>201112.39879063761</v>
      </c>
      <c r="B33" s="50" t="s">
        <v>57</v>
      </c>
      <c r="C33" s="164" t="s">
        <v>92</v>
      </c>
      <c r="D33" s="10">
        <v>20769.256000000001</v>
      </c>
      <c r="E33" s="10">
        <v>20609.882352941175</v>
      </c>
      <c r="F33" s="10">
        <v>20769.256000000001</v>
      </c>
      <c r="G33" s="10">
        <v>18322.959808555188</v>
      </c>
      <c r="H33" s="10">
        <v>13000</v>
      </c>
      <c r="I33" s="10">
        <v>6599.2800000000007</v>
      </c>
      <c r="J33" s="10">
        <v>10267.936000000002</v>
      </c>
      <c r="K33" s="10">
        <v>10267.936000000002</v>
      </c>
      <c r="L33" s="10">
        <v>18800</v>
      </c>
      <c r="M33" s="10">
        <v>20769.256000000001</v>
      </c>
      <c r="N33" s="10">
        <v>20099.280000000002</v>
      </c>
      <c r="O33" s="10">
        <v>20837.356629141272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1"/>
        <v>4984.5113780487809</v>
      </c>
      <c r="B34" s="50" t="s">
        <v>57</v>
      </c>
      <c r="C34" s="60" t="s">
        <v>172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212.22987804878051</v>
      </c>
      <c r="J34" s="10">
        <v>2426.3820000000001</v>
      </c>
      <c r="K34" s="10">
        <v>2345.8995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ref="A35:A37" si="6">SUM(D35:AA35)</f>
        <v>19374.765299250594</v>
      </c>
      <c r="B35" s="50" t="s">
        <v>57</v>
      </c>
      <c r="C35" s="60" t="s">
        <v>93</v>
      </c>
      <c r="D35" s="10">
        <v>3180.9915789473689</v>
      </c>
      <c r="E35" s="10">
        <v>4334.1176470588252</v>
      </c>
      <c r="F35" s="10">
        <v>3180.9915789473689</v>
      </c>
      <c r="G35" s="10">
        <v>1677.0401914448103</v>
      </c>
      <c r="H35" s="10">
        <v>1E-14</v>
      </c>
      <c r="I35" s="10">
        <v>688.49012195121861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3078.3789473684214</v>
      </c>
      <c r="O35" s="10">
        <v>3234.7552335325809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outlineLevel="1" x14ac:dyDescent="0.25">
      <c r="A36" s="7"/>
      <c r="B36" s="50"/>
      <c r="C36" s="60" t="s">
        <v>94</v>
      </c>
      <c r="D36" s="48">
        <v>0.13281664702888119</v>
      </c>
      <c r="E36" s="48">
        <v>0.17375391465117163</v>
      </c>
      <c r="F36" s="48">
        <v>0.13281664702888119</v>
      </c>
      <c r="G36" s="48">
        <v>8.385200957224051E-2</v>
      </c>
      <c r="H36" s="48">
        <v>1E-14</v>
      </c>
      <c r="I36" s="48">
        <v>9.1798682926829148E-2</v>
      </c>
      <c r="J36" s="48">
        <v>1E-14</v>
      </c>
      <c r="K36" s="48">
        <v>1E-14</v>
      </c>
      <c r="L36" s="48">
        <v>1E-14</v>
      </c>
      <c r="M36" s="48">
        <v>1E-14</v>
      </c>
      <c r="N36" s="48">
        <v>0.13281664702888119</v>
      </c>
      <c r="O36" s="48">
        <v>0.13437770861095005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7">
        <f t="shared" si="6"/>
        <v>22677.409500000002</v>
      </c>
      <c r="B37" s="50" t="s">
        <v>57</v>
      </c>
      <c r="C37" s="60" t="s">
        <v>85</v>
      </c>
      <c r="D37" s="7">
        <v>1E-14</v>
      </c>
      <c r="E37" s="7">
        <v>1E-14</v>
      </c>
      <c r="F37" s="7">
        <v>1E-14</v>
      </c>
      <c r="G37" s="7">
        <v>1E-14</v>
      </c>
      <c r="H37" s="7">
        <v>1E-14</v>
      </c>
      <c r="I37" s="7">
        <v>1E-14</v>
      </c>
      <c r="J37" s="7">
        <v>5194.3180000000011</v>
      </c>
      <c r="K37" s="7">
        <v>5613.835500000001</v>
      </c>
      <c r="L37" s="7">
        <v>10800</v>
      </c>
      <c r="M37" s="7">
        <v>1069.2560000000012</v>
      </c>
      <c r="N37" s="7">
        <v>1E-14</v>
      </c>
      <c r="O37" s="7">
        <v>1E-14</v>
      </c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 outlineLevel="1" x14ac:dyDescent="0.25">
      <c r="A38" s="82">
        <f t="shared" si="1"/>
        <v>1814400</v>
      </c>
      <c r="B38" s="49" t="s">
        <v>56</v>
      </c>
      <c r="C38" s="167" t="s">
        <v>89</v>
      </c>
      <c r="D38" s="14">
        <v>756000</v>
      </c>
      <c r="E38" s="14">
        <v>1E-14</v>
      </c>
      <c r="F38" s="14">
        <v>1E-14</v>
      </c>
      <c r="G38" s="14">
        <v>1E-14</v>
      </c>
      <c r="H38" s="14">
        <v>1E-14</v>
      </c>
      <c r="I38" s="14">
        <v>1E-14</v>
      </c>
      <c r="J38" s="14">
        <v>1E-14</v>
      </c>
      <c r="K38" s="14">
        <v>1E-14</v>
      </c>
      <c r="L38" s="14">
        <v>1E-14</v>
      </c>
      <c r="M38" s="14">
        <v>1E-14</v>
      </c>
      <c r="N38" s="14">
        <v>1E-14</v>
      </c>
      <c r="O38" s="14">
        <v>1058400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s="16" customFormat="1" outlineLevel="1" x14ac:dyDescent="0.25">
      <c r="A39" s="81">
        <f t="shared" si="1"/>
        <v>1.1999999999999997E-13</v>
      </c>
      <c r="B39" s="49" t="s">
        <v>56</v>
      </c>
      <c r="C39" s="165" t="s">
        <v>76</v>
      </c>
      <c r="D39" s="14">
        <v>1E-14</v>
      </c>
      <c r="E39" s="14">
        <v>1E-14</v>
      </c>
      <c r="F39" s="14">
        <v>1E-14</v>
      </c>
      <c r="G39" s="14">
        <v>1E-14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1E-14</v>
      </c>
      <c r="N39" s="14">
        <v>1E-14</v>
      </c>
      <c r="O39" s="14">
        <v>1E-14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s="16" customFormat="1" outlineLevel="1" x14ac:dyDescent="0.25">
      <c r="A40" s="14">
        <f t="shared" si="1"/>
        <v>1814400</v>
      </c>
      <c r="B40" s="49" t="s">
        <v>56</v>
      </c>
      <c r="C40" s="59" t="s">
        <v>77</v>
      </c>
      <c r="D40" s="14">
        <v>756000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1058400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s="16" customFormat="1" outlineLevel="1" x14ac:dyDescent="0.25">
      <c r="A41" s="14">
        <f t="shared" si="1"/>
        <v>1.1999999999999997E-13</v>
      </c>
      <c r="B41" s="49" t="s">
        <v>56</v>
      </c>
      <c r="C41" s="59" t="s">
        <v>78</v>
      </c>
      <c r="D41" s="14">
        <v>1E-14</v>
      </c>
      <c r="E41" s="14">
        <v>1E-14</v>
      </c>
      <c r="F41" s="14">
        <v>1E-14</v>
      </c>
      <c r="G41" s="14">
        <v>1E-14</v>
      </c>
      <c r="H41" s="14">
        <v>1E-14</v>
      </c>
      <c r="I41" s="14">
        <v>1E-14</v>
      </c>
      <c r="J41" s="14">
        <v>1E-14</v>
      </c>
      <c r="K41" s="14">
        <v>1E-14</v>
      </c>
      <c r="L41" s="14">
        <v>1E-14</v>
      </c>
      <c r="M41" s="14">
        <v>1E-14</v>
      </c>
      <c r="N41" s="14">
        <v>1E-14</v>
      </c>
      <c r="O41" s="14">
        <v>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s="16" customFormat="1" outlineLevel="1" x14ac:dyDescent="0.25">
      <c r="A42" s="7">
        <f t="shared" si="1"/>
        <v>1.1999999999999997E-13</v>
      </c>
      <c r="B42" s="50" t="s">
        <v>58</v>
      </c>
      <c r="C42" s="57" t="s">
        <v>79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1E-14</v>
      </c>
      <c r="O42" s="7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16" customFormat="1" outlineLevel="1" x14ac:dyDescent="0.25">
      <c r="A43" s="7">
        <f t="shared" si="1"/>
        <v>1.1999999999999997E-13</v>
      </c>
      <c r="B43" s="50" t="s">
        <v>57</v>
      </c>
      <c r="C43" s="57" t="s">
        <v>95</v>
      </c>
      <c r="D43" s="7">
        <v>1E-14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1E-14</v>
      </c>
      <c r="O43" s="7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169">
        <f t="shared" si="1"/>
        <v>9600</v>
      </c>
      <c r="B44" s="50" t="s">
        <v>57</v>
      </c>
      <c r="C44" s="168" t="s">
        <v>194</v>
      </c>
      <c r="D44" s="7">
        <v>4000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1E-14</v>
      </c>
      <c r="O44" s="7">
        <v>5600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s="172" customFormat="1" outlineLevel="1" x14ac:dyDescent="0.25">
      <c r="A45" s="170">
        <f t="shared" si="1"/>
        <v>1.1999999999999997E-13</v>
      </c>
      <c r="B45" s="171" t="s">
        <v>57</v>
      </c>
      <c r="C45" s="173" t="s">
        <v>198</v>
      </c>
      <c r="D45" s="170">
        <v>1E-14</v>
      </c>
      <c r="E45" s="170">
        <v>1E-14</v>
      </c>
      <c r="F45" s="170">
        <v>1E-14</v>
      </c>
      <c r="G45" s="170">
        <v>1E-14</v>
      </c>
      <c r="H45" s="170">
        <v>1E-14</v>
      </c>
      <c r="I45" s="170">
        <v>1E-14</v>
      </c>
      <c r="J45" s="170">
        <v>1E-14</v>
      </c>
      <c r="K45" s="170">
        <v>1E-14</v>
      </c>
      <c r="L45" s="170">
        <v>1E-14</v>
      </c>
      <c r="M45" s="170">
        <v>1E-14</v>
      </c>
      <c r="N45" s="170">
        <v>1E-14</v>
      </c>
      <c r="O45" s="170">
        <v>1E-14</v>
      </c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</row>
    <row r="46" spans="1:27" s="16" customFormat="1" outlineLevel="1" x14ac:dyDescent="0.25">
      <c r="A46" s="7">
        <f t="shared" si="1"/>
        <v>1.1999999999999997E-13</v>
      </c>
      <c r="B46" s="50" t="s">
        <v>57</v>
      </c>
      <c r="C46" s="174" t="s">
        <v>200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s="16" customFormat="1" outlineLevel="1" x14ac:dyDescent="0.25">
      <c r="A47" s="7">
        <f t="shared" si="1"/>
        <v>1.1999999999999997E-13</v>
      </c>
      <c r="B47" s="50" t="s">
        <v>58</v>
      </c>
      <c r="C47" s="174" t="s">
        <v>199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7">
        <f t="shared" si="1"/>
        <v>1.1999999999999997E-13</v>
      </c>
      <c r="B48" s="50" t="s">
        <v>58</v>
      </c>
      <c r="C48" s="174" t="s">
        <v>201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B49" s="51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s="75" customFormat="1" ht="18.75" x14ac:dyDescent="0.3">
      <c r="A50" s="77" t="s">
        <v>218</v>
      </c>
      <c r="B50" s="74" t="s">
        <v>67</v>
      </c>
      <c r="C50" s="76"/>
      <c r="D50" s="78" t="s">
        <v>216</v>
      </c>
      <c r="E50" s="78" t="s">
        <v>221</v>
      </c>
      <c r="F50" s="78" t="s">
        <v>222</v>
      </c>
      <c r="G50" s="78" t="s">
        <v>223</v>
      </c>
      <c r="H50" s="78" t="s">
        <v>224</v>
      </c>
      <c r="I50" s="78" t="s">
        <v>225</v>
      </c>
      <c r="J50" s="78" t="s">
        <v>226</v>
      </c>
      <c r="K50" s="78" t="s">
        <v>227</v>
      </c>
      <c r="L50" s="78" t="s">
        <v>228</v>
      </c>
      <c r="M50" s="78" t="s">
        <v>229</v>
      </c>
      <c r="N50" s="78" t="s">
        <v>230</v>
      </c>
      <c r="O50" s="78" t="s">
        <v>231</v>
      </c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</row>
    <row r="51" spans="1:27" outlineLevel="1" x14ac:dyDescent="0.25">
      <c r="A51" s="13">
        <f t="shared" ref="A51:A87" si="7">SUM(D51:O51)</f>
        <v>49067.507061882614</v>
      </c>
      <c r="B51" s="50" t="s">
        <v>57</v>
      </c>
      <c r="C51" s="5" t="s">
        <v>110</v>
      </c>
      <c r="D51" s="13">
        <v>4877.5204210526326</v>
      </c>
      <c r="E51" s="13">
        <v>6645.6470588235279</v>
      </c>
      <c r="F51" s="13">
        <v>4877.5204210526326</v>
      </c>
      <c r="G51" s="13">
        <v>4346.4907177186169</v>
      </c>
      <c r="H51" s="13">
        <v>4029.2560000000008</v>
      </c>
      <c r="I51" s="13">
        <v>4082.8773658536593</v>
      </c>
      <c r="J51" s="13">
        <v>1299.7600000000002</v>
      </c>
      <c r="K51" s="13">
        <v>1299.7600000000002</v>
      </c>
      <c r="L51" s="13">
        <v>3899.2800000000011</v>
      </c>
      <c r="M51" s="13">
        <v>4029.2560000000008</v>
      </c>
      <c r="N51" s="13">
        <v>4720.1810526315803</v>
      </c>
      <c r="O51" s="13">
        <v>4959.958024749958</v>
      </c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outlineLevel="1" x14ac:dyDescent="0.25">
      <c r="A52" s="13">
        <f t="shared" si="7"/>
        <v>176404.16840605441</v>
      </c>
      <c r="B52" s="50" t="s">
        <v>57</v>
      </c>
      <c r="C52" s="5" t="s">
        <v>111</v>
      </c>
      <c r="D52" s="13">
        <v>19072.727157894737</v>
      </c>
      <c r="E52" s="13">
        <v>18298.352941176472</v>
      </c>
      <c r="F52" s="13">
        <v>19072.727157894737</v>
      </c>
      <c r="G52" s="13">
        <v>15653.509282281382</v>
      </c>
      <c r="H52" s="13">
        <v>8970.7439999999988</v>
      </c>
      <c r="I52" s="13">
        <v>3417.1226341463407</v>
      </c>
      <c r="J52" s="13">
        <v>11394.558000000001</v>
      </c>
      <c r="K52" s="13">
        <v>11314.075500000001</v>
      </c>
      <c r="L52" s="13">
        <v>14900.72</v>
      </c>
      <c r="M52" s="13">
        <v>16740</v>
      </c>
      <c r="N52" s="13">
        <v>18457.477894736843</v>
      </c>
      <c r="O52" s="13">
        <v>19112.153837923892</v>
      </c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outlineLevel="1" x14ac:dyDescent="0.25">
      <c r="A53" s="13">
        <f t="shared" si="7"/>
        <v>27605.734032062988</v>
      </c>
      <c r="B53" s="50" t="s">
        <v>57</v>
      </c>
      <c r="C53" s="5" t="s">
        <v>112</v>
      </c>
      <c r="D53" s="13">
        <v>7349.7524210526317</v>
      </c>
      <c r="E53" s="13">
        <v>7056</v>
      </c>
      <c r="F53" s="13">
        <v>5549.7524210526317</v>
      </c>
      <c r="G53" s="13">
        <v>1E-14</v>
      </c>
      <c r="H53" s="13">
        <v>1E-14</v>
      </c>
      <c r="I53" s="13">
        <v>1E-14</v>
      </c>
      <c r="J53" s="13">
        <v>1E-14</v>
      </c>
      <c r="K53" s="13">
        <v>1E-14</v>
      </c>
      <c r="L53" s="13">
        <v>1E-14</v>
      </c>
      <c r="M53" s="13">
        <v>1E-14</v>
      </c>
      <c r="N53" s="13">
        <v>4322.3410526315747</v>
      </c>
      <c r="O53" s="13">
        <v>3327.8881373261502</v>
      </c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outlineLevel="1" x14ac:dyDescent="0.25">
      <c r="A54" s="13">
        <f t="shared" si="7"/>
        <v>9600</v>
      </c>
      <c r="B54" s="50" t="s">
        <v>57</v>
      </c>
      <c r="C54" s="5" t="s">
        <v>71</v>
      </c>
      <c r="D54" s="198">
        <v>4000</v>
      </c>
      <c r="E54" s="13">
        <v>1E-14</v>
      </c>
      <c r="F54" s="13">
        <v>1E-14</v>
      </c>
      <c r="G54" s="13">
        <v>1E-14</v>
      </c>
      <c r="H54" s="13">
        <v>1E-14</v>
      </c>
      <c r="I54" s="13">
        <v>1E-14</v>
      </c>
      <c r="J54" s="13">
        <v>1E-14</v>
      </c>
      <c r="K54" s="13">
        <v>1E-14</v>
      </c>
      <c r="L54" s="13">
        <v>1E-14</v>
      </c>
      <c r="M54" s="13">
        <v>1E-14</v>
      </c>
      <c r="N54" s="13">
        <v>1E-14</v>
      </c>
      <c r="O54" s="13">
        <v>5600</v>
      </c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outlineLevel="1" x14ac:dyDescent="0.25">
      <c r="A55" s="13">
        <f t="shared" si="7"/>
        <v>-22677.409500000002</v>
      </c>
      <c r="B55" s="50" t="s">
        <v>57</v>
      </c>
      <c r="C55" s="5" t="s">
        <v>113</v>
      </c>
      <c r="D55" s="13">
        <v>-1E-14</v>
      </c>
      <c r="E55" s="13">
        <v>-1E-14</v>
      </c>
      <c r="F55" s="13">
        <v>-1E-14</v>
      </c>
      <c r="G55" s="13">
        <v>-1E-14</v>
      </c>
      <c r="H55" s="13">
        <v>-1E-14</v>
      </c>
      <c r="I55" s="13">
        <v>-1E-14</v>
      </c>
      <c r="J55" s="13">
        <v>-5194.3180000000011</v>
      </c>
      <c r="K55" s="13">
        <v>-5613.835500000001</v>
      </c>
      <c r="L55" s="13">
        <v>-10800</v>
      </c>
      <c r="M55" s="13">
        <v>-1069.2560000000012</v>
      </c>
      <c r="N55" s="13">
        <v>-1E-14</v>
      </c>
      <c r="O55" s="13">
        <v>-1E-14</v>
      </c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outlineLevel="1" x14ac:dyDescent="0.25">
      <c r="A56" s="13">
        <f t="shared" si="7"/>
        <v>1.1999999999999997E-13</v>
      </c>
      <c r="B56" s="50" t="s">
        <v>57</v>
      </c>
      <c r="C56" s="5" t="s">
        <v>114</v>
      </c>
      <c r="D56" s="13">
        <v>1E-14</v>
      </c>
      <c r="E56" s="13">
        <v>1E-14</v>
      </c>
      <c r="F56" s="13">
        <v>1E-14</v>
      </c>
      <c r="G56" s="13">
        <v>1E-14</v>
      </c>
      <c r="H56" s="13">
        <v>1E-14</v>
      </c>
      <c r="I56" s="13">
        <v>1E-14</v>
      </c>
      <c r="J56" s="13">
        <v>1E-14</v>
      </c>
      <c r="K56" s="13">
        <v>1E-14</v>
      </c>
      <c r="L56" s="13">
        <v>1E-14</v>
      </c>
      <c r="M56" s="13">
        <v>1E-14</v>
      </c>
      <c r="N56" s="13">
        <v>1E-14</v>
      </c>
      <c r="O56" s="13">
        <v>1E-14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4"/>
      <c r="B57" s="27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s="75" customFormat="1" ht="18.75" x14ac:dyDescent="0.3">
      <c r="A58" s="77" t="s">
        <v>219</v>
      </c>
      <c r="B58" s="74" t="s">
        <v>67</v>
      </c>
      <c r="C58" s="76"/>
      <c r="D58" s="78" t="s">
        <v>216</v>
      </c>
      <c r="E58" s="78" t="s">
        <v>221</v>
      </c>
      <c r="F58" s="78" t="s">
        <v>222</v>
      </c>
      <c r="G58" s="78" t="s">
        <v>223</v>
      </c>
      <c r="H58" s="78" t="s">
        <v>224</v>
      </c>
      <c r="I58" s="78" t="s">
        <v>225</v>
      </c>
      <c r="J58" s="78" t="s">
        <v>226</v>
      </c>
      <c r="K58" s="78" t="s">
        <v>227</v>
      </c>
      <c r="L58" s="78" t="s">
        <v>228</v>
      </c>
      <c r="M58" s="78" t="s">
        <v>229</v>
      </c>
      <c r="N58" s="78" t="s">
        <v>230</v>
      </c>
      <c r="O58" s="78" t="s">
        <v>231</v>
      </c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</row>
    <row r="59" spans="1:27" outlineLevel="1" x14ac:dyDescent="0.25">
      <c r="A59" s="200">
        <f t="shared" si="7"/>
        <v>-1.1999999999999997E-13</v>
      </c>
      <c r="B59" s="52" t="s">
        <v>58</v>
      </c>
      <c r="C59" s="8" t="s">
        <v>0</v>
      </c>
      <c r="D59" s="200">
        <v>-1E-14</v>
      </c>
      <c r="E59" s="200">
        <v>-1E-14</v>
      </c>
      <c r="F59" s="200">
        <v>-1E-14</v>
      </c>
      <c r="G59" s="200">
        <v>-1E-14</v>
      </c>
      <c r="H59" s="200">
        <v>-1E-14</v>
      </c>
      <c r="I59" s="200">
        <v>-1E-14</v>
      </c>
      <c r="J59" s="200">
        <v>-1E-14</v>
      </c>
      <c r="K59" s="200">
        <v>-1E-14</v>
      </c>
      <c r="L59" s="200">
        <v>-1E-14</v>
      </c>
      <c r="M59" s="200">
        <v>-1E-14</v>
      </c>
      <c r="N59" s="200">
        <v>-1E-14</v>
      </c>
      <c r="O59" s="200">
        <v>-1E-14</v>
      </c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outlineLevel="1" x14ac:dyDescent="0.25">
      <c r="A60" s="200">
        <f t="shared" si="7"/>
        <v>-1.1999999999999997E-13</v>
      </c>
      <c r="B60" s="52" t="s">
        <v>58</v>
      </c>
      <c r="C60" s="8" t="s">
        <v>1</v>
      </c>
      <c r="D60" s="200">
        <v>-1E-14</v>
      </c>
      <c r="E60" s="200">
        <v>-1E-14</v>
      </c>
      <c r="F60" s="200">
        <v>-1E-14</v>
      </c>
      <c r="G60" s="200">
        <v>-1E-14</v>
      </c>
      <c r="H60" s="200">
        <v>-1E-14</v>
      </c>
      <c r="I60" s="200">
        <v>-1E-14</v>
      </c>
      <c r="J60" s="200">
        <v>-1E-14</v>
      </c>
      <c r="K60" s="200">
        <v>-1E-14</v>
      </c>
      <c r="L60" s="200">
        <v>-1E-14</v>
      </c>
      <c r="M60" s="200">
        <v>-1E-14</v>
      </c>
      <c r="N60" s="200">
        <v>-1E-14</v>
      </c>
      <c r="O60" s="200">
        <v>-1E-14</v>
      </c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outlineLevel="1" x14ac:dyDescent="0.25">
      <c r="A61" s="200">
        <f t="shared" si="7"/>
        <v>-1.1999999999999997E-13</v>
      </c>
      <c r="B61" s="52" t="s">
        <v>58</v>
      </c>
      <c r="C61" s="8" t="s">
        <v>2</v>
      </c>
      <c r="D61" s="200">
        <v>-1E-14</v>
      </c>
      <c r="E61" s="200">
        <v>-1E-14</v>
      </c>
      <c r="F61" s="200">
        <v>-1E-14</v>
      </c>
      <c r="G61" s="200">
        <v>-1E-14</v>
      </c>
      <c r="H61" s="200">
        <v>-1E-14</v>
      </c>
      <c r="I61" s="200">
        <v>-1E-14</v>
      </c>
      <c r="J61" s="200">
        <v>-1E-14</v>
      </c>
      <c r="K61" s="200">
        <v>-1E-14</v>
      </c>
      <c r="L61" s="200">
        <v>-1E-14</v>
      </c>
      <c r="M61" s="200">
        <v>-1E-14</v>
      </c>
      <c r="N61" s="200">
        <v>-1E-14</v>
      </c>
      <c r="O61" s="200">
        <v>-1E-14</v>
      </c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outlineLevel="1" x14ac:dyDescent="0.25">
      <c r="A62" s="200">
        <f t="shared" si="7"/>
        <v>-1.1999999999999997E-13</v>
      </c>
      <c r="B62" s="52" t="s">
        <v>58</v>
      </c>
      <c r="C62" s="8" t="s">
        <v>3</v>
      </c>
      <c r="D62" s="200">
        <v>-1E-14</v>
      </c>
      <c r="E62" s="200">
        <v>-1E-14</v>
      </c>
      <c r="F62" s="200">
        <v>-1E-14</v>
      </c>
      <c r="G62" s="200">
        <v>-1E-14</v>
      </c>
      <c r="H62" s="200">
        <v>-1E-14</v>
      </c>
      <c r="I62" s="200">
        <v>-1E-14</v>
      </c>
      <c r="J62" s="200">
        <v>-1E-14</v>
      </c>
      <c r="K62" s="200">
        <v>-1E-14</v>
      </c>
      <c r="L62" s="200">
        <v>-1E-14</v>
      </c>
      <c r="M62" s="200">
        <v>-1E-14</v>
      </c>
      <c r="N62" s="200">
        <v>-1E-14</v>
      </c>
      <c r="O62" s="200">
        <v>-1E-14</v>
      </c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outlineLevel="1" x14ac:dyDescent="0.25">
      <c r="A63" s="200">
        <f t="shared" si="7"/>
        <v>-1.1999999999999997E-13</v>
      </c>
      <c r="B63" s="52" t="s">
        <v>58</v>
      </c>
      <c r="C63" s="8" t="s">
        <v>4</v>
      </c>
      <c r="D63" s="200">
        <v>-1E-14</v>
      </c>
      <c r="E63" s="200">
        <v>-1E-14</v>
      </c>
      <c r="F63" s="200">
        <v>-1E-14</v>
      </c>
      <c r="G63" s="200">
        <v>-1E-14</v>
      </c>
      <c r="H63" s="200">
        <v>-1E-14</v>
      </c>
      <c r="I63" s="200">
        <v>-1E-14</v>
      </c>
      <c r="J63" s="200">
        <v>-1E-14</v>
      </c>
      <c r="K63" s="200">
        <v>-1E-14</v>
      </c>
      <c r="L63" s="200">
        <v>-1E-14</v>
      </c>
      <c r="M63" s="200">
        <v>-1E-14</v>
      </c>
      <c r="N63" s="200">
        <v>-1E-14</v>
      </c>
      <c r="O63" s="200">
        <v>-1E-14</v>
      </c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outlineLevel="1" x14ac:dyDescent="0.25">
      <c r="A64" s="200">
        <f t="shared" si="7"/>
        <v>-1.1999999999999997E-13</v>
      </c>
      <c r="B64" s="52" t="s">
        <v>58</v>
      </c>
      <c r="C64" s="8" t="s">
        <v>5</v>
      </c>
      <c r="D64" s="200">
        <v>-1E-14</v>
      </c>
      <c r="E64" s="200">
        <v>-1E-14</v>
      </c>
      <c r="F64" s="200">
        <v>-1E-14</v>
      </c>
      <c r="G64" s="200">
        <v>-1E-14</v>
      </c>
      <c r="H64" s="200">
        <v>-1E-14</v>
      </c>
      <c r="I64" s="200">
        <v>-1E-14</v>
      </c>
      <c r="J64" s="200">
        <v>-1E-14</v>
      </c>
      <c r="K64" s="200">
        <v>-1E-14</v>
      </c>
      <c r="L64" s="200">
        <v>-1E-14</v>
      </c>
      <c r="M64" s="200">
        <v>-1E-14</v>
      </c>
      <c r="N64" s="200">
        <v>-1E-14</v>
      </c>
      <c r="O64" s="200">
        <v>-1E-14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7"/>
        <v>-1.1999999999999997E-13</v>
      </c>
      <c r="B65" s="52" t="s">
        <v>58</v>
      </c>
      <c r="C65" s="8" t="s">
        <v>6</v>
      </c>
      <c r="D65" s="200">
        <v>-1E-14</v>
      </c>
      <c r="E65" s="200">
        <v>-1E-14</v>
      </c>
      <c r="F65" s="200">
        <v>-1E-14</v>
      </c>
      <c r="G65" s="200">
        <v>-1E-14</v>
      </c>
      <c r="H65" s="200">
        <v>-1E-14</v>
      </c>
      <c r="I65" s="200">
        <v>-1E-14</v>
      </c>
      <c r="J65" s="200">
        <v>-1E-14</v>
      </c>
      <c r="K65" s="200">
        <v>-1E-14</v>
      </c>
      <c r="L65" s="200">
        <v>-1E-14</v>
      </c>
      <c r="M65" s="200">
        <v>-1E-14</v>
      </c>
      <c r="N65" s="200">
        <v>-1E-14</v>
      </c>
      <c r="O65" s="200">
        <v>-1E-14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7"/>
        <v>-1.1999999999999997E-13</v>
      </c>
      <c r="B66" s="52" t="s">
        <v>58</v>
      </c>
      <c r="C66" s="8" t="s">
        <v>7</v>
      </c>
      <c r="D66" s="200">
        <v>-1E-14</v>
      </c>
      <c r="E66" s="200">
        <v>-1E-14</v>
      </c>
      <c r="F66" s="200">
        <v>-1E-14</v>
      </c>
      <c r="G66" s="200">
        <v>-1E-14</v>
      </c>
      <c r="H66" s="200">
        <v>-1E-14</v>
      </c>
      <c r="I66" s="200">
        <v>-1E-14</v>
      </c>
      <c r="J66" s="200">
        <v>-1E-14</v>
      </c>
      <c r="K66" s="200">
        <v>-1E-14</v>
      </c>
      <c r="L66" s="200">
        <v>-1E-14</v>
      </c>
      <c r="M66" s="200">
        <v>-1E-14</v>
      </c>
      <c r="N66" s="200">
        <v>-1E-14</v>
      </c>
      <c r="O66" s="200">
        <v>-1E-14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7"/>
        <v>-1.1999999999999997E-13</v>
      </c>
      <c r="B67" s="52" t="s">
        <v>58</v>
      </c>
      <c r="C67" s="8" t="s">
        <v>8</v>
      </c>
      <c r="D67" s="200">
        <v>-1E-14</v>
      </c>
      <c r="E67" s="200">
        <v>-1E-14</v>
      </c>
      <c r="F67" s="200">
        <v>-1E-14</v>
      </c>
      <c r="G67" s="200">
        <v>-1E-14</v>
      </c>
      <c r="H67" s="200">
        <v>-1E-14</v>
      </c>
      <c r="I67" s="200">
        <v>-1E-14</v>
      </c>
      <c r="J67" s="200">
        <v>-1E-14</v>
      </c>
      <c r="K67" s="200">
        <v>-1E-14</v>
      </c>
      <c r="L67" s="200">
        <v>-1E-14</v>
      </c>
      <c r="M67" s="200">
        <v>-1E-14</v>
      </c>
      <c r="N67" s="200">
        <v>-1E-14</v>
      </c>
      <c r="O67" s="200">
        <v>-1E-14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7"/>
        <v>-1.1999999999999997E-13</v>
      </c>
      <c r="B68" s="52" t="s">
        <v>58</v>
      </c>
      <c r="C68" s="8" t="s">
        <v>9</v>
      </c>
      <c r="D68" s="200">
        <v>-1E-14</v>
      </c>
      <c r="E68" s="200">
        <v>-1E-14</v>
      </c>
      <c r="F68" s="200">
        <v>-1E-14</v>
      </c>
      <c r="G68" s="200">
        <v>-1E-14</v>
      </c>
      <c r="H68" s="200">
        <v>-1E-14</v>
      </c>
      <c r="I68" s="200">
        <v>-1E-14</v>
      </c>
      <c r="J68" s="200">
        <v>-1E-14</v>
      </c>
      <c r="K68" s="200">
        <v>-1E-14</v>
      </c>
      <c r="L68" s="200">
        <v>-1E-14</v>
      </c>
      <c r="M68" s="200">
        <v>-1E-14</v>
      </c>
      <c r="N68" s="200">
        <v>-1E-14</v>
      </c>
      <c r="O68" s="200">
        <v>-1E-14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7"/>
        <v>-1.1999999999999997E-13</v>
      </c>
      <c r="B69" s="52" t="s">
        <v>58</v>
      </c>
      <c r="C69" s="8" t="s">
        <v>10</v>
      </c>
      <c r="D69" s="200">
        <v>-1E-14</v>
      </c>
      <c r="E69" s="200">
        <v>-1E-14</v>
      </c>
      <c r="F69" s="200">
        <v>-1E-14</v>
      </c>
      <c r="G69" s="200">
        <v>-1E-14</v>
      </c>
      <c r="H69" s="200">
        <v>-1E-14</v>
      </c>
      <c r="I69" s="200">
        <v>-1E-14</v>
      </c>
      <c r="J69" s="200">
        <v>-1E-14</v>
      </c>
      <c r="K69" s="200">
        <v>-1E-14</v>
      </c>
      <c r="L69" s="200">
        <v>-1E-14</v>
      </c>
      <c r="M69" s="200">
        <v>-1E-14</v>
      </c>
      <c r="N69" s="200">
        <v>-1E-14</v>
      </c>
      <c r="O69" s="200">
        <v>-1E-14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7"/>
        <v>-1.1999999999999997E-13</v>
      </c>
      <c r="B70" s="52" t="s">
        <v>58</v>
      </c>
      <c r="C70" s="8" t="s">
        <v>11</v>
      </c>
      <c r="D70" s="200">
        <v>-1E-14</v>
      </c>
      <c r="E70" s="200">
        <v>-1E-14</v>
      </c>
      <c r="F70" s="200">
        <v>-1E-14</v>
      </c>
      <c r="G70" s="200">
        <v>-1E-14</v>
      </c>
      <c r="H70" s="200">
        <v>-1E-14</v>
      </c>
      <c r="I70" s="200">
        <v>-1E-14</v>
      </c>
      <c r="J70" s="200">
        <v>-1E-14</v>
      </c>
      <c r="K70" s="200">
        <v>-1E-14</v>
      </c>
      <c r="L70" s="200">
        <v>-1E-14</v>
      </c>
      <c r="M70" s="200">
        <v>-1E-14</v>
      </c>
      <c r="N70" s="200">
        <v>-1E-14</v>
      </c>
      <c r="O70" s="200">
        <v>-1E-14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7"/>
        <v>-1.1999999999999997E-13</v>
      </c>
      <c r="B71" s="52" t="s">
        <v>58</v>
      </c>
      <c r="C71" s="8" t="s">
        <v>12</v>
      </c>
      <c r="D71" s="200">
        <v>-1E-14</v>
      </c>
      <c r="E71" s="200">
        <v>-1E-14</v>
      </c>
      <c r="F71" s="200">
        <v>-1E-14</v>
      </c>
      <c r="G71" s="200">
        <v>-1E-14</v>
      </c>
      <c r="H71" s="200">
        <v>-1E-14</v>
      </c>
      <c r="I71" s="200">
        <v>-1E-14</v>
      </c>
      <c r="J71" s="200">
        <v>-1E-14</v>
      </c>
      <c r="K71" s="200">
        <v>-1E-14</v>
      </c>
      <c r="L71" s="200">
        <v>-1E-14</v>
      </c>
      <c r="M71" s="200">
        <v>-1E-14</v>
      </c>
      <c r="N71" s="200">
        <v>-1E-14</v>
      </c>
      <c r="O71" s="200">
        <v>-1E-14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7"/>
        <v>-1.1999999999999997E-13</v>
      </c>
      <c r="B72" s="52" t="s">
        <v>58</v>
      </c>
      <c r="C72" s="8" t="s">
        <v>13</v>
      </c>
      <c r="D72" s="200">
        <v>-1E-14</v>
      </c>
      <c r="E72" s="200">
        <v>-1E-14</v>
      </c>
      <c r="F72" s="200">
        <v>-1E-14</v>
      </c>
      <c r="G72" s="200">
        <v>-1E-14</v>
      </c>
      <c r="H72" s="200">
        <v>-1E-14</v>
      </c>
      <c r="I72" s="200">
        <v>-1E-14</v>
      </c>
      <c r="J72" s="200">
        <v>-1E-14</v>
      </c>
      <c r="K72" s="200">
        <v>-1E-14</v>
      </c>
      <c r="L72" s="200">
        <v>-1E-14</v>
      </c>
      <c r="M72" s="200">
        <v>-1E-14</v>
      </c>
      <c r="N72" s="200">
        <v>-1E-14</v>
      </c>
      <c r="O72" s="200">
        <v>-1E-14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7"/>
        <v>100000.09999999998</v>
      </c>
      <c r="B73" s="52" t="s">
        <v>58</v>
      </c>
      <c r="C73" s="8" t="s">
        <v>14</v>
      </c>
      <c r="D73" s="200">
        <v>10385.928919860628</v>
      </c>
      <c r="E73" s="200">
        <v>10132.587576702161</v>
      </c>
      <c r="F73" s="200">
        <v>10385.928919860628</v>
      </c>
      <c r="G73" s="200">
        <v>9122.5086107431289</v>
      </c>
      <c r="H73" s="200">
        <v>6325.3421602787448</v>
      </c>
      <c r="I73" s="200">
        <v>2995.1498257839721</v>
      </c>
      <c r="J73" s="200">
        <v>5215.2</v>
      </c>
      <c r="K73" s="200">
        <v>5215.2</v>
      </c>
      <c r="L73" s="200">
        <v>9371.8327526132398</v>
      </c>
      <c r="M73" s="200">
        <v>10385.928919860628</v>
      </c>
      <c r="N73" s="200">
        <v>10050.898954703831</v>
      </c>
      <c r="O73" s="200">
        <v>10413.593359593031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7"/>
        <v>-1.1999999999999997E-13</v>
      </c>
      <c r="B74" s="52" t="s">
        <v>58</v>
      </c>
      <c r="C74" s="8" t="s">
        <v>15</v>
      </c>
      <c r="D74" s="200">
        <v>-1E-14</v>
      </c>
      <c r="E74" s="200">
        <v>-1E-14</v>
      </c>
      <c r="F74" s="200">
        <v>-1E-14</v>
      </c>
      <c r="G74" s="200">
        <v>-1E-14</v>
      </c>
      <c r="H74" s="200">
        <v>-1E-14</v>
      </c>
      <c r="I74" s="200">
        <v>-1E-14</v>
      </c>
      <c r="J74" s="200">
        <v>-1E-14</v>
      </c>
      <c r="K74" s="200">
        <v>-1E-14</v>
      </c>
      <c r="L74" s="200">
        <v>-1E-14</v>
      </c>
      <c r="M74" s="200">
        <v>-1E-14</v>
      </c>
      <c r="N74" s="200">
        <v>-1E-14</v>
      </c>
      <c r="O74" s="200">
        <v>-1E-14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7"/>
        <v>-1.1999999999999997E-13</v>
      </c>
      <c r="B75" s="52" t="s">
        <v>58</v>
      </c>
      <c r="C75" s="8" t="s">
        <v>16</v>
      </c>
      <c r="D75" s="200">
        <v>-1E-14</v>
      </c>
      <c r="E75" s="200">
        <v>-1E-14</v>
      </c>
      <c r="F75" s="200">
        <v>-1E-14</v>
      </c>
      <c r="G75" s="200">
        <v>-1E-14</v>
      </c>
      <c r="H75" s="200">
        <v>-1E-14</v>
      </c>
      <c r="I75" s="200">
        <v>-1E-14</v>
      </c>
      <c r="J75" s="200">
        <v>-1E-14</v>
      </c>
      <c r="K75" s="200">
        <v>-1E-14</v>
      </c>
      <c r="L75" s="200">
        <v>-1E-14</v>
      </c>
      <c r="M75" s="200">
        <v>-1E-14</v>
      </c>
      <c r="N75" s="200">
        <v>-1E-14</v>
      </c>
      <c r="O75" s="200">
        <v>-1E-14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7"/>
        <v>-1.1999999999999997E-13</v>
      </c>
      <c r="B76" s="52" t="s">
        <v>58</v>
      </c>
      <c r="C76" s="8" t="s">
        <v>18</v>
      </c>
      <c r="D76" s="200">
        <v>-1E-14</v>
      </c>
      <c r="E76" s="200">
        <v>-1E-14</v>
      </c>
      <c r="F76" s="200">
        <v>-1E-14</v>
      </c>
      <c r="G76" s="200">
        <v>-1E-14</v>
      </c>
      <c r="H76" s="200">
        <v>-1E-14</v>
      </c>
      <c r="I76" s="200">
        <v>-1E-14</v>
      </c>
      <c r="J76" s="200">
        <v>-1E-14</v>
      </c>
      <c r="K76" s="200">
        <v>-1E-14</v>
      </c>
      <c r="L76" s="200">
        <v>-1E-14</v>
      </c>
      <c r="M76" s="200">
        <v>-1E-14</v>
      </c>
      <c r="N76" s="200">
        <v>-1E-14</v>
      </c>
      <c r="O76" s="200">
        <v>-1E-14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7"/>
        <v>-1.1999999999999997E-13</v>
      </c>
      <c r="B77" s="52" t="s">
        <v>58</v>
      </c>
      <c r="C77" s="8" t="s">
        <v>19</v>
      </c>
      <c r="D77" s="200">
        <v>-1E-14</v>
      </c>
      <c r="E77" s="200">
        <v>-1E-14</v>
      </c>
      <c r="F77" s="200">
        <v>-1E-14</v>
      </c>
      <c r="G77" s="200">
        <v>-1E-14</v>
      </c>
      <c r="H77" s="200">
        <v>-1E-14</v>
      </c>
      <c r="I77" s="200">
        <v>-1E-14</v>
      </c>
      <c r="J77" s="200">
        <v>-1E-14</v>
      </c>
      <c r="K77" s="200">
        <v>-1E-14</v>
      </c>
      <c r="L77" s="200">
        <v>-1E-14</v>
      </c>
      <c r="M77" s="200">
        <v>-1E-14</v>
      </c>
      <c r="N77" s="200">
        <v>-1E-14</v>
      </c>
      <c r="O77" s="200">
        <v>-1E-14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7"/>
        <v>-1.1999999999999997E-13</v>
      </c>
      <c r="B78" s="52" t="s">
        <v>58</v>
      </c>
      <c r="C78" s="8" t="s">
        <v>20</v>
      </c>
      <c r="D78" s="200">
        <v>-1E-14</v>
      </c>
      <c r="E78" s="200">
        <v>-1E-14</v>
      </c>
      <c r="F78" s="200">
        <v>-1E-14</v>
      </c>
      <c r="G78" s="200">
        <v>-1E-14</v>
      </c>
      <c r="H78" s="200">
        <v>-1E-14</v>
      </c>
      <c r="I78" s="200">
        <v>-1E-14</v>
      </c>
      <c r="J78" s="200">
        <v>-1E-14</v>
      </c>
      <c r="K78" s="200">
        <v>-1E-14</v>
      </c>
      <c r="L78" s="200">
        <v>-1E-14</v>
      </c>
      <c r="M78" s="200">
        <v>-1E-14</v>
      </c>
      <c r="N78" s="200">
        <v>-1E-14</v>
      </c>
      <c r="O78" s="200">
        <v>-1E-14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7"/>
        <v>-1.1999999999999997E-13</v>
      </c>
      <c r="B79" s="52" t="s">
        <v>58</v>
      </c>
      <c r="C79" s="8" t="s">
        <v>17</v>
      </c>
      <c r="D79" s="200">
        <v>-1E-14</v>
      </c>
      <c r="E79" s="200">
        <v>-1E-14</v>
      </c>
      <c r="F79" s="200">
        <v>-1E-14</v>
      </c>
      <c r="G79" s="200">
        <v>-1E-14</v>
      </c>
      <c r="H79" s="200">
        <v>-1E-14</v>
      </c>
      <c r="I79" s="200">
        <v>-1E-14</v>
      </c>
      <c r="J79" s="200">
        <v>-1E-14</v>
      </c>
      <c r="K79" s="200">
        <v>-1E-14</v>
      </c>
      <c r="L79" s="200">
        <v>-1E-14</v>
      </c>
      <c r="M79" s="200">
        <v>-1E-14</v>
      </c>
      <c r="N79" s="200">
        <v>-1E-14</v>
      </c>
      <c r="O79" s="200">
        <v>-1E-14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7"/>
        <v>-1.1999999999999997E-13</v>
      </c>
      <c r="B80" s="52" t="s">
        <v>58</v>
      </c>
      <c r="C80" s="8" t="s">
        <v>26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7"/>
        <v>-1.1999999999999997E-13</v>
      </c>
      <c r="B81" s="52" t="s">
        <v>58</v>
      </c>
      <c r="C81" s="8" t="s">
        <v>27</v>
      </c>
      <c r="D81" s="200">
        <v>-1E-14</v>
      </c>
      <c r="E81" s="200">
        <v>-1E-14</v>
      </c>
      <c r="F81" s="200">
        <v>-1E-14</v>
      </c>
      <c r="G81" s="200">
        <v>-1E-14</v>
      </c>
      <c r="H81" s="200">
        <v>-1E-14</v>
      </c>
      <c r="I81" s="200">
        <v>-1E-14</v>
      </c>
      <c r="J81" s="200">
        <v>-1E-14</v>
      </c>
      <c r="K81" s="200">
        <v>-1E-14</v>
      </c>
      <c r="L81" s="200">
        <v>-1E-14</v>
      </c>
      <c r="M81" s="200">
        <v>-1E-14</v>
      </c>
      <c r="N81" s="200">
        <v>-1E-14</v>
      </c>
      <c r="O81" s="200">
        <v>-1E-14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s="16" customFormat="1" outlineLevel="1" x14ac:dyDescent="0.25">
      <c r="A82" s="200">
        <f t="shared" si="7"/>
        <v>-1.1999999999999997E-13</v>
      </c>
      <c r="B82" s="52" t="s">
        <v>58</v>
      </c>
      <c r="C82" s="8" t="s">
        <v>60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s="16" customFormat="1" outlineLevel="1" x14ac:dyDescent="0.25">
      <c r="A83" s="200">
        <f t="shared" si="7"/>
        <v>-1.1999999999999997E-13</v>
      </c>
      <c r="B83" s="52" t="s">
        <v>58</v>
      </c>
      <c r="C83" s="8" t="s">
        <v>61</v>
      </c>
      <c r="D83" s="200">
        <v>-1E-14</v>
      </c>
      <c r="E83" s="200">
        <v>-1E-14</v>
      </c>
      <c r="F83" s="200">
        <v>-1E-14</v>
      </c>
      <c r="G83" s="200">
        <v>-1E-14</v>
      </c>
      <c r="H83" s="200">
        <v>-1E-14</v>
      </c>
      <c r="I83" s="200">
        <v>-1E-14</v>
      </c>
      <c r="J83" s="200">
        <v>-1E-14</v>
      </c>
      <c r="K83" s="200">
        <v>-1E-14</v>
      </c>
      <c r="L83" s="200">
        <v>-1E-14</v>
      </c>
      <c r="M83" s="200">
        <v>-1E-14</v>
      </c>
      <c r="N83" s="200">
        <v>-1E-14</v>
      </c>
      <c r="O83" s="200">
        <v>-1E-14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s="16" customFormat="1" outlineLevel="1" x14ac:dyDescent="0.25">
      <c r="A84" s="200">
        <f t="shared" si="7"/>
        <v>-1.1999999999999997E-13</v>
      </c>
      <c r="B84" s="52" t="s">
        <v>58</v>
      </c>
      <c r="C84" s="8" t="s">
        <v>62</v>
      </c>
      <c r="D84" s="200">
        <v>-1E-14</v>
      </c>
      <c r="E84" s="200">
        <v>-1E-14</v>
      </c>
      <c r="F84" s="200">
        <v>-1E-14</v>
      </c>
      <c r="G84" s="200">
        <v>-1E-14</v>
      </c>
      <c r="H84" s="200">
        <v>-1E-14</v>
      </c>
      <c r="I84" s="200">
        <v>-1E-14</v>
      </c>
      <c r="J84" s="200">
        <v>-1E-14</v>
      </c>
      <c r="K84" s="200">
        <v>-1E-14</v>
      </c>
      <c r="L84" s="200">
        <v>-1E-14</v>
      </c>
      <c r="M84" s="200">
        <v>-1E-14</v>
      </c>
      <c r="N84" s="200">
        <v>-1E-14</v>
      </c>
      <c r="O84" s="200">
        <v>-1E-14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7"/>
        <v>12438.127974396339</v>
      </c>
      <c r="B85" s="52" t="s">
        <v>58</v>
      </c>
      <c r="C85" s="8" t="s">
        <v>21</v>
      </c>
      <c r="D85" s="200">
        <v>3311.5279994730254</v>
      </c>
      <c r="E85" s="200">
        <v>3179.1739674593236</v>
      </c>
      <c r="F85" s="200">
        <v>2500.514232264014</v>
      </c>
      <c r="G85" s="200">
        <v>1E-14</v>
      </c>
      <c r="H85" s="200">
        <v>1E-14</v>
      </c>
      <c r="I85" s="200">
        <v>1E-14</v>
      </c>
      <c r="J85" s="200">
        <v>1E-14</v>
      </c>
      <c r="K85" s="200">
        <v>1E-14</v>
      </c>
      <c r="L85" s="200">
        <v>1E-14</v>
      </c>
      <c r="M85" s="200">
        <v>1E-14</v>
      </c>
      <c r="N85" s="200">
        <v>1947.4878334760535</v>
      </c>
      <c r="O85" s="200">
        <v>1499.4239417239223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7"/>
        <v>9600</v>
      </c>
      <c r="B86" s="52" t="s">
        <v>58</v>
      </c>
      <c r="C86" s="8" t="s">
        <v>22</v>
      </c>
      <c r="D86" s="200">
        <v>4000</v>
      </c>
      <c r="E86" s="200">
        <v>1E-14</v>
      </c>
      <c r="F86" s="200">
        <v>1E-14</v>
      </c>
      <c r="G86" s="200">
        <v>1E-14</v>
      </c>
      <c r="H86" s="200">
        <v>1E-14</v>
      </c>
      <c r="I86" s="200">
        <v>1E-14</v>
      </c>
      <c r="J86" s="200">
        <v>1E-14</v>
      </c>
      <c r="K86" s="200">
        <v>1E-14</v>
      </c>
      <c r="L86" s="200">
        <v>1E-14</v>
      </c>
      <c r="M86" s="200">
        <v>1E-14</v>
      </c>
      <c r="N86" s="200">
        <v>1E-14</v>
      </c>
      <c r="O86" s="200">
        <v>5600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outlineLevel="1" x14ac:dyDescent="0.25">
      <c r="A87" s="200">
        <f t="shared" si="7"/>
        <v>1.1999999999999997E-13</v>
      </c>
      <c r="B87" s="52" t="s">
        <v>58</v>
      </c>
      <c r="C87" s="8" t="s">
        <v>25</v>
      </c>
      <c r="D87" s="200">
        <v>1E-14</v>
      </c>
      <c r="E87" s="200">
        <v>1E-14</v>
      </c>
      <c r="F87" s="200">
        <v>1E-14</v>
      </c>
      <c r="G87" s="200">
        <v>1E-14</v>
      </c>
      <c r="H87" s="200">
        <v>1E-14</v>
      </c>
      <c r="I87" s="200">
        <v>1E-14</v>
      </c>
      <c r="J87" s="200">
        <v>1E-14</v>
      </c>
      <c r="K87" s="200">
        <v>1E-14</v>
      </c>
      <c r="L87" s="200">
        <v>1E-14</v>
      </c>
      <c r="M87" s="200">
        <v>1E-14</v>
      </c>
      <c r="N87" s="200">
        <v>1E-14</v>
      </c>
      <c r="O87" s="200">
        <v>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outlineLevel="1" x14ac:dyDescent="0.25">
      <c r="A88" s="201"/>
      <c r="B88" s="52"/>
      <c r="C88" s="8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outlineLevel="1" x14ac:dyDescent="0.25">
      <c r="A89" s="7"/>
      <c r="B89" s="50"/>
      <c r="C89" s="199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s="75" customFormat="1" ht="18.75" x14ac:dyDescent="0.3">
      <c r="A90" s="77" t="s">
        <v>220</v>
      </c>
      <c r="B90" s="74" t="s">
        <v>67</v>
      </c>
      <c r="C90" s="76"/>
      <c r="D90" s="78" t="s">
        <v>216</v>
      </c>
      <c r="E90" s="78" t="s">
        <v>221</v>
      </c>
      <c r="F90" s="78" t="s">
        <v>222</v>
      </c>
      <c r="G90" s="78" t="s">
        <v>223</v>
      </c>
      <c r="H90" s="78" t="s">
        <v>224</v>
      </c>
      <c r="I90" s="78" t="s">
        <v>225</v>
      </c>
      <c r="J90" s="78" t="s">
        <v>226</v>
      </c>
      <c r="K90" s="78" t="s">
        <v>227</v>
      </c>
      <c r="L90" s="78" t="s">
        <v>228</v>
      </c>
      <c r="M90" s="78" t="s">
        <v>229</v>
      </c>
      <c r="N90" s="78" t="s">
        <v>230</v>
      </c>
      <c r="O90" s="78" t="s">
        <v>231</v>
      </c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</row>
    <row r="91" spans="1:27" outlineLevel="1" x14ac:dyDescent="0.25">
      <c r="A91" s="202">
        <f t="shared" ref="A91:A119" si="8">SUM(D91:O91)</f>
        <v>-1.1999999999999997E-13</v>
      </c>
      <c r="B91" s="206" t="s">
        <v>56</v>
      </c>
      <c r="C91" s="203" t="s">
        <v>0</v>
      </c>
      <c r="D91" s="202">
        <v>-1E-14</v>
      </c>
      <c r="E91" s="202">
        <v>-1E-14</v>
      </c>
      <c r="F91" s="202">
        <v>-1E-14</v>
      </c>
      <c r="G91" s="202">
        <v>-1E-14</v>
      </c>
      <c r="H91" s="202">
        <v>-1E-14</v>
      </c>
      <c r="I91" s="202">
        <v>-1E-14</v>
      </c>
      <c r="J91" s="202">
        <v>-1E-14</v>
      </c>
      <c r="K91" s="202">
        <v>-1E-14</v>
      </c>
      <c r="L91" s="202">
        <v>-1E-14</v>
      </c>
      <c r="M91" s="202">
        <v>-1E-14</v>
      </c>
      <c r="N91" s="202">
        <v>-1E-14</v>
      </c>
      <c r="O91" s="202">
        <v>-1E-14</v>
      </c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</row>
    <row r="92" spans="1:27" outlineLevel="1" x14ac:dyDescent="0.25">
      <c r="A92" s="202">
        <f t="shared" si="8"/>
        <v>-1.1999999999999997E-13</v>
      </c>
      <c r="B92" s="206" t="s">
        <v>56</v>
      </c>
      <c r="C92" s="203" t="s">
        <v>1</v>
      </c>
      <c r="D92" s="202">
        <v>-1E-14</v>
      </c>
      <c r="E92" s="202">
        <v>-1E-14</v>
      </c>
      <c r="F92" s="202">
        <v>-1E-14</v>
      </c>
      <c r="G92" s="202">
        <v>-1E-14</v>
      </c>
      <c r="H92" s="202">
        <v>-1E-14</v>
      </c>
      <c r="I92" s="202">
        <v>-1E-14</v>
      </c>
      <c r="J92" s="202">
        <v>-1E-14</v>
      </c>
      <c r="K92" s="202">
        <v>-1E-14</v>
      </c>
      <c r="L92" s="202">
        <v>-1E-14</v>
      </c>
      <c r="M92" s="202">
        <v>-1E-14</v>
      </c>
      <c r="N92" s="202">
        <v>-1E-14</v>
      </c>
      <c r="O92" s="202">
        <v>-1E-14</v>
      </c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</row>
    <row r="93" spans="1:27" outlineLevel="1" x14ac:dyDescent="0.25">
      <c r="A93" s="202">
        <f t="shared" si="8"/>
        <v>-1.1999999999999997E-13</v>
      </c>
      <c r="B93" s="206" t="s">
        <v>56</v>
      </c>
      <c r="C93" s="203" t="s">
        <v>2</v>
      </c>
      <c r="D93" s="202">
        <v>-1E-14</v>
      </c>
      <c r="E93" s="202">
        <v>-1E-14</v>
      </c>
      <c r="F93" s="202">
        <v>-1E-14</v>
      </c>
      <c r="G93" s="202">
        <v>-1E-14</v>
      </c>
      <c r="H93" s="202">
        <v>-1E-14</v>
      </c>
      <c r="I93" s="202">
        <v>-1E-14</v>
      </c>
      <c r="J93" s="202">
        <v>-1E-14</v>
      </c>
      <c r="K93" s="202">
        <v>-1E-14</v>
      </c>
      <c r="L93" s="202">
        <v>-1E-14</v>
      </c>
      <c r="M93" s="202">
        <v>-1E-14</v>
      </c>
      <c r="N93" s="202">
        <v>-1E-14</v>
      </c>
      <c r="O93" s="202">
        <v>-1E-14</v>
      </c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</row>
    <row r="94" spans="1:27" outlineLevel="1" x14ac:dyDescent="0.25">
      <c r="A94" s="202">
        <f t="shared" si="8"/>
        <v>-1.1999999999999997E-13</v>
      </c>
      <c r="B94" s="206" t="s">
        <v>56</v>
      </c>
      <c r="C94" s="203" t="s">
        <v>3</v>
      </c>
      <c r="D94" s="202">
        <v>-1E-14</v>
      </c>
      <c r="E94" s="202">
        <v>-1E-14</v>
      </c>
      <c r="F94" s="202">
        <v>-1E-14</v>
      </c>
      <c r="G94" s="202">
        <v>-1E-14</v>
      </c>
      <c r="H94" s="202">
        <v>-1E-14</v>
      </c>
      <c r="I94" s="202">
        <v>-1E-14</v>
      </c>
      <c r="J94" s="202">
        <v>-1E-14</v>
      </c>
      <c r="K94" s="202">
        <v>-1E-14</v>
      </c>
      <c r="L94" s="202">
        <v>-1E-14</v>
      </c>
      <c r="M94" s="202">
        <v>-1E-14</v>
      </c>
      <c r="N94" s="202">
        <v>-1E-14</v>
      </c>
      <c r="O94" s="202">
        <v>-1E-14</v>
      </c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</row>
    <row r="95" spans="1:27" outlineLevel="1" x14ac:dyDescent="0.25">
      <c r="A95" s="202">
        <f t="shared" si="8"/>
        <v>-1.1999999999999997E-13</v>
      </c>
      <c r="B95" s="206" t="s">
        <v>56</v>
      </c>
      <c r="C95" s="203" t="s">
        <v>4</v>
      </c>
      <c r="D95" s="202">
        <v>-1E-14</v>
      </c>
      <c r="E95" s="202">
        <v>-1E-14</v>
      </c>
      <c r="F95" s="202">
        <v>-1E-14</v>
      </c>
      <c r="G95" s="202">
        <v>-1E-14</v>
      </c>
      <c r="H95" s="202">
        <v>-1E-14</v>
      </c>
      <c r="I95" s="202">
        <v>-1E-14</v>
      </c>
      <c r="J95" s="202">
        <v>-1E-14</v>
      </c>
      <c r="K95" s="202">
        <v>-1E-14</v>
      </c>
      <c r="L95" s="202">
        <v>-1E-14</v>
      </c>
      <c r="M95" s="202">
        <v>-1E-14</v>
      </c>
      <c r="N95" s="202">
        <v>-1E-14</v>
      </c>
      <c r="O95" s="202">
        <v>-1E-14</v>
      </c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</row>
    <row r="96" spans="1:27" outlineLevel="1" x14ac:dyDescent="0.25">
      <c r="A96" s="202">
        <f t="shared" si="8"/>
        <v>-1.1999999999999997E-13</v>
      </c>
      <c r="B96" s="206" t="s">
        <v>56</v>
      </c>
      <c r="C96" s="203" t="s">
        <v>5</v>
      </c>
      <c r="D96" s="202">
        <v>-1E-14</v>
      </c>
      <c r="E96" s="202">
        <v>-1E-14</v>
      </c>
      <c r="F96" s="202">
        <v>-1E-14</v>
      </c>
      <c r="G96" s="202">
        <v>-1E-14</v>
      </c>
      <c r="H96" s="202">
        <v>-1E-14</v>
      </c>
      <c r="I96" s="202">
        <v>-1E-14</v>
      </c>
      <c r="J96" s="202">
        <v>-1E-14</v>
      </c>
      <c r="K96" s="202">
        <v>-1E-14</v>
      </c>
      <c r="L96" s="202">
        <v>-1E-14</v>
      </c>
      <c r="M96" s="202">
        <v>-1E-14</v>
      </c>
      <c r="N96" s="202">
        <v>-1E-14</v>
      </c>
      <c r="O96" s="202">
        <v>-1E-14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8"/>
        <v>-1.1999999999999997E-13</v>
      </c>
      <c r="B97" s="206" t="s">
        <v>56</v>
      </c>
      <c r="C97" s="203" t="s">
        <v>6</v>
      </c>
      <c r="D97" s="202">
        <v>-1E-14</v>
      </c>
      <c r="E97" s="202">
        <v>-1E-14</v>
      </c>
      <c r="F97" s="202">
        <v>-1E-14</v>
      </c>
      <c r="G97" s="202">
        <v>-1E-14</v>
      </c>
      <c r="H97" s="202">
        <v>-1E-14</v>
      </c>
      <c r="I97" s="202">
        <v>-1E-14</v>
      </c>
      <c r="J97" s="202">
        <v>-1E-14</v>
      </c>
      <c r="K97" s="202">
        <v>-1E-14</v>
      </c>
      <c r="L97" s="202">
        <v>-1E-14</v>
      </c>
      <c r="M97" s="202">
        <v>-1E-14</v>
      </c>
      <c r="N97" s="202">
        <v>-1E-14</v>
      </c>
      <c r="O97" s="202">
        <v>-1E-14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8"/>
        <v>-1.1999999999999997E-13</v>
      </c>
      <c r="B98" s="206" t="s">
        <v>56</v>
      </c>
      <c r="C98" s="203" t="s">
        <v>7</v>
      </c>
      <c r="D98" s="202">
        <v>-1E-14</v>
      </c>
      <c r="E98" s="202">
        <v>-1E-14</v>
      </c>
      <c r="F98" s="202">
        <v>-1E-14</v>
      </c>
      <c r="G98" s="202">
        <v>-1E-14</v>
      </c>
      <c r="H98" s="202">
        <v>-1E-14</v>
      </c>
      <c r="I98" s="202">
        <v>-1E-14</v>
      </c>
      <c r="J98" s="202">
        <v>-1E-14</v>
      </c>
      <c r="K98" s="202">
        <v>-1E-14</v>
      </c>
      <c r="L98" s="202">
        <v>-1E-14</v>
      </c>
      <c r="M98" s="202">
        <v>-1E-14</v>
      </c>
      <c r="N98" s="202">
        <v>-1E-14</v>
      </c>
      <c r="O98" s="202">
        <v>-1E-14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8"/>
        <v>-1.1999999999999997E-13</v>
      </c>
      <c r="B99" s="206" t="s">
        <v>56</v>
      </c>
      <c r="C99" s="203" t="s">
        <v>8</v>
      </c>
      <c r="D99" s="202">
        <v>-1E-14</v>
      </c>
      <c r="E99" s="202">
        <v>-1E-14</v>
      </c>
      <c r="F99" s="202">
        <v>-1E-14</v>
      </c>
      <c r="G99" s="202">
        <v>-1E-14</v>
      </c>
      <c r="H99" s="202">
        <v>-1E-14</v>
      </c>
      <c r="I99" s="202">
        <v>-1E-14</v>
      </c>
      <c r="J99" s="202">
        <v>-1E-14</v>
      </c>
      <c r="K99" s="202">
        <v>-1E-14</v>
      </c>
      <c r="L99" s="202">
        <v>-1E-14</v>
      </c>
      <c r="M99" s="202">
        <v>-1E-14</v>
      </c>
      <c r="N99" s="202">
        <v>-1E-14</v>
      </c>
      <c r="O99" s="202">
        <v>-1E-14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8"/>
        <v>-1.1999999999999997E-13</v>
      </c>
      <c r="B100" s="206" t="s">
        <v>56</v>
      </c>
      <c r="C100" s="203" t="s">
        <v>9</v>
      </c>
      <c r="D100" s="202">
        <v>-1E-14</v>
      </c>
      <c r="E100" s="202">
        <v>-1E-14</v>
      </c>
      <c r="F100" s="202">
        <v>-1E-14</v>
      </c>
      <c r="G100" s="202">
        <v>-1E-14</v>
      </c>
      <c r="H100" s="202">
        <v>-1E-14</v>
      </c>
      <c r="I100" s="202">
        <v>-1E-14</v>
      </c>
      <c r="J100" s="202">
        <v>-1E-14</v>
      </c>
      <c r="K100" s="202">
        <v>-1E-14</v>
      </c>
      <c r="L100" s="202">
        <v>-1E-14</v>
      </c>
      <c r="M100" s="202">
        <v>-1E-14</v>
      </c>
      <c r="N100" s="202">
        <v>-1E-14</v>
      </c>
      <c r="O100" s="202">
        <v>-1E-14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8"/>
        <v>-1.1999999999999997E-13</v>
      </c>
      <c r="B101" s="206" t="s">
        <v>56</v>
      </c>
      <c r="C101" s="203" t="s">
        <v>10</v>
      </c>
      <c r="D101" s="202">
        <v>-1E-14</v>
      </c>
      <c r="E101" s="202">
        <v>-1E-14</v>
      </c>
      <c r="F101" s="202">
        <v>-1E-14</v>
      </c>
      <c r="G101" s="202">
        <v>-1E-14</v>
      </c>
      <c r="H101" s="202">
        <v>-1E-14</v>
      </c>
      <c r="I101" s="202">
        <v>-1E-14</v>
      </c>
      <c r="J101" s="202">
        <v>-1E-14</v>
      </c>
      <c r="K101" s="202">
        <v>-1E-14</v>
      </c>
      <c r="L101" s="202">
        <v>-1E-14</v>
      </c>
      <c r="M101" s="202">
        <v>-1E-14</v>
      </c>
      <c r="N101" s="202">
        <v>-1E-14</v>
      </c>
      <c r="O101" s="202">
        <v>-1E-14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8"/>
        <v>-1.1999999999999997E-13</v>
      </c>
      <c r="B102" s="206" t="s">
        <v>56</v>
      </c>
      <c r="C102" s="203" t="s">
        <v>11</v>
      </c>
      <c r="D102" s="202">
        <v>-1E-14</v>
      </c>
      <c r="E102" s="202">
        <v>-1E-14</v>
      </c>
      <c r="F102" s="202">
        <v>-1E-14</v>
      </c>
      <c r="G102" s="202">
        <v>-1E-14</v>
      </c>
      <c r="H102" s="202">
        <v>-1E-14</v>
      </c>
      <c r="I102" s="202">
        <v>-1E-14</v>
      </c>
      <c r="J102" s="202">
        <v>-1E-14</v>
      </c>
      <c r="K102" s="202">
        <v>-1E-14</v>
      </c>
      <c r="L102" s="202">
        <v>-1E-14</v>
      </c>
      <c r="M102" s="202">
        <v>-1E-14</v>
      </c>
      <c r="N102" s="202">
        <v>-1E-14</v>
      </c>
      <c r="O102" s="202">
        <v>-1E-14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8"/>
        <v>-1.1999999999999997E-13</v>
      </c>
      <c r="B103" s="206" t="s">
        <v>56</v>
      </c>
      <c r="C103" s="203" t="s">
        <v>12</v>
      </c>
      <c r="D103" s="202">
        <v>-1E-14</v>
      </c>
      <c r="E103" s="202">
        <v>-1E-14</v>
      </c>
      <c r="F103" s="202">
        <v>-1E-14</v>
      </c>
      <c r="G103" s="202">
        <v>-1E-14</v>
      </c>
      <c r="H103" s="202">
        <v>-1E-14</v>
      </c>
      <c r="I103" s="202">
        <v>-1E-14</v>
      </c>
      <c r="J103" s="202">
        <v>-1E-14</v>
      </c>
      <c r="K103" s="202">
        <v>-1E-14</v>
      </c>
      <c r="L103" s="202">
        <v>-1E-14</v>
      </c>
      <c r="M103" s="202">
        <v>-1E-14</v>
      </c>
      <c r="N103" s="202">
        <v>-1E-14</v>
      </c>
      <c r="O103" s="202">
        <v>-1E-14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8"/>
        <v>-1.1999999999999997E-13</v>
      </c>
      <c r="B104" s="206" t="s">
        <v>56</v>
      </c>
      <c r="C104" s="203" t="s">
        <v>13</v>
      </c>
      <c r="D104" s="202">
        <v>-1E-14</v>
      </c>
      <c r="E104" s="202">
        <v>-1E-14</v>
      </c>
      <c r="F104" s="202">
        <v>-1E-14</v>
      </c>
      <c r="G104" s="202">
        <v>-1E-14</v>
      </c>
      <c r="H104" s="202">
        <v>-1E-14</v>
      </c>
      <c r="I104" s="202">
        <v>-1E-14</v>
      </c>
      <c r="J104" s="202">
        <v>-1E-14</v>
      </c>
      <c r="K104" s="202">
        <v>-1E-14</v>
      </c>
      <c r="L104" s="202">
        <v>-1E-14</v>
      </c>
      <c r="M104" s="202">
        <v>-1E-14</v>
      </c>
      <c r="N104" s="202">
        <v>-1E-14</v>
      </c>
      <c r="O104" s="202">
        <v>-1E-14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8"/>
        <v>40000039.999999993</v>
      </c>
      <c r="B105" s="206" t="s">
        <v>56</v>
      </c>
      <c r="C105" s="203" t="s">
        <v>14</v>
      </c>
      <c r="D105" s="202">
        <v>4154371.567944251</v>
      </c>
      <c r="E105" s="202">
        <v>4053035.0306808641</v>
      </c>
      <c r="F105" s="202">
        <v>4154371.567944251</v>
      </c>
      <c r="G105" s="202">
        <v>3649003.4442972518</v>
      </c>
      <c r="H105" s="202">
        <v>2530136.864111498</v>
      </c>
      <c r="I105" s="202">
        <v>1198059.9303135888</v>
      </c>
      <c r="J105" s="202">
        <v>2086080</v>
      </c>
      <c r="K105" s="202">
        <v>2086080</v>
      </c>
      <c r="L105" s="202">
        <v>3748733.1010452961</v>
      </c>
      <c r="M105" s="202">
        <v>4154371.567944251</v>
      </c>
      <c r="N105" s="202">
        <v>4020359.5818815324</v>
      </c>
      <c r="O105" s="202">
        <v>4165437.3438372123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8"/>
        <v>-1.1999999999999997E-13</v>
      </c>
      <c r="B106" s="206" t="s">
        <v>56</v>
      </c>
      <c r="C106" s="203" t="s">
        <v>15</v>
      </c>
      <c r="D106" s="202">
        <v>-1E-14</v>
      </c>
      <c r="E106" s="202">
        <v>-1E-14</v>
      </c>
      <c r="F106" s="202">
        <v>-1E-14</v>
      </c>
      <c r="G106" s="202">
        <v>-1E-14</v>
      </c>
      <c r="H106" s="202">
        <v>-1E-14</v>
      </c>
      <c r="I106" s="202">
        <v>-1E-14</v>
      </c>
      <c r="J106" s="202">
        <v>-1E-14</v>
      </c>
      <c r="K106" s="202">
        <v>-1E-14</v>
      </c>
      <c r="L106" s="202">
        <v>-1E-14</v>
      </c>
      <c r="M106" s="202">
        <v>-1E-14</v>
      </c>
      <c r="N106" s="202">
        <v>-1E-14</v>
      </c>
      <c r="O106" s="202">
        <v>-1E-14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8"/>
        <v>-1.1999999999999997E-13</v>
      </c>
      <c r="B107" s="206" t="s">
        <v>56</v>
      </c>
      <c r="C107" s="203" t="s">
        <v>16</v>
      </c>
      <c r="D107" s="202">
        <v>-1E-14</v>
      </c>
      <c r="E107" s="202">
        <v>-1E-14</v>
      </c>
      <c r="F107" s="202">
        <v>-1E-14</v>
      </c>
      <c r="G107" s="202">
        <v>-1E-14</v>
      </c>
      <c r="H107" s="202">
        <v>-1E-14</v>
      </c>
      <c r="I107" s="202">
        <v>-1E-14</v>
      </c>
      <c r="J107" s="202">
        <v>-1E-14</v>
      </c>
      <c r="K107" s="202">
        <v>-1E-14</v>
      </c>
      <c r="L107" s="202">
        <v>-1E-14</v>
      </c>
      <c r="M107" s="202">
        <v>-1E-14</v>
      </c>
      <c r="N107" s="202">
        <v>-1E-14</v>
      </c>
      <c r="O107" s="202">
        <v>-1E-14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8"/>
        <v>-1.1999999999999997E-13</v>
      </c>
      <c r="B108" s="206" t="s">
        <v>56</v>
      </c>
      <c r="C108" s="203" t="s">
        <v>18</v>
      </c>
      <c r="D108" s="202">
        <v>-1E-14</v>
      </c>
      <c r="E108" s="202">
        <v>-1E-14</v>
      </c>
      <c r="F108" s="202">
        <v>-1E-14</v>
      </c>
      <c r="G108" s="202">
        <v>-1E-14</v>
      </c>
      <c r="H108" s="202">
        <v>-1E-14</v>
      </c>
      <c r="I108" s="202">
        <v>-1E-14</v>
      </c>
      <c r="J108" s="202">
        <v>-1E-14</v>
      </c>
      <c r="K108" s="202">
        <v>-1E-14</v>
      </c>
      <c r="L108" s="202">
        <v>-1E-14</v>
      </c>
      <c r="M108" s="202">
        <v>-1E-14</v>
      </c>
      <c r="N108" s="202">
        <v>-1E-14</v>
      </c>
      <c r="O108" s="202">
        <v>-1E-14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8"/>
        <v>-1.1999999999999997E-13</v>
      </c>
      <c r="B109" s="206" t="s">
        <v>56</v>
      </c>
      <c r="C109" s="203" t="s">
        <v>19</v>
      </c>
      <c r="D109" s="202">
        <v>-1E-14</v>
      </c>
      <c r="E109" s="202">
        <v>-1E-14</v>
      </c>
      <c r="F109" s="202">
        <v>-1E-14</v>
      </c>
      <c r="G109" s="202">
        <v>-1E-14</v>
      </c>
      <c r="H109" s="202">
        <v>-1E-14</v>
      </c>
      <c r="I109" s="202">
        <v>-1E-14</v>
      </c>
      <c r="J109" s="202">
        <v>-1E-14</v>
      </c>
      <c r="K109" s="202">
        <v>-1E-14</v>
      </c>
      <c r="L109" s="202">
        <v>-1E-14</v>
      </c>
      <c r="M109" s="202">
        <v>-1E-14</v>
      </c>
      <c r="N109" s="202">
        <v>-1E-14</v>
      </c>
      <c r="O109" s="202">
        <v>-1E-14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8"/>
        <v>-1.1999999999999997E-13</v>
      </c>
      <c r="B110" s="206" t="s">
        <v>56</v>
      </c>
      <c r="C110" s="203" t="s">
        <v>20</v>
      </c>
      <c r="D110" s="202">
        <v>-1E-14</v>
      </c>
      <c r="E110" s="202">
        <v>-1E-14</v>
      </c>
      <c r="F110" s="202">
        <v>-1E-14</v>
      </c>
      <c r="G110" s="202">
        <v>-1E-14</v>
      </c>
      <c r="H110" s="202">
        <v>-1E-14</v>
      </c>
      <c r="I110" s="202">
        <v>-1E-14</v>
      </c>
      <c r="J110" s="202">
        <v>-1E-14</v>
      </c>
      <c r="K110" s="202">
        <v>-1E-14</v>
      </c>
      <c r="L110" s="202">
        <v>-1E-14</v>
      </c>
      <c r="M110" s="202">
        <v>-1E-14</v>
      </c>
      <c r="N110" s="202">
        <v>-1E-14</v>
      </c>
      <c r="O110" s="202">
        <v>-1E-14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8"/>
        <v>-1.1999999999999997E-13</v>
      </c>
      <c r="B111" s="206" t="s">
        <v>56</v>
      </c>
      <c r="C111" s="203" t="s">
        <v>17</v>
      </c>
      <c r="D111" s="202">
        <v>-1E-14</v>
      </c>
      <c r="E111" s="202">
        <v>-1E-14</v>
      </c>
      <c r="F111" s="202">
        <v>-1E-14</v>
      </c>
      <c r="G111" s="202">
        <v>-1E-14</v>
      </c>
      <c r="H111" s="202">
        <v>-1E-14</v>
      </c>
      <c r="I111" s="202">
        <v>-1E-14</v>
      </c>
      <c r="J111" s="202">
        <v>-1E-14</v>
      </c>
      <c r="K111" s="202">
        <v>-1E-14</v>
      </c>
      <c r="L111" s="202">
        <v>-1E-14</v>
      </c>
      <c r="M111" s="202">
        <v>-1E-14</v>
      </c>
      <c r="N111" s="202">
        <v>-1E-14</v>
      </c>
      <c r="O111" s="202">
        <v>-1E-14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8"/>
        <v>-1.1999999999999997E-13</v>
      </c>
      <c r="B112" s="206" t="s">
        <v>56</v>
      </c>
      <c r="C112" s="203" t="s">
        <v>26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8"/>
        <v>-1.1999999999999997E-13</v>
      </c>
      <c r="B113" s="206" t="s">
        <v>56</v>
      </c>
      <c r="C113" s="203" t="s">
        <v>27</v>
      </c>
      <c r="D113" s="202">
        <v>-1E-14</v>
      </c>
      <c r="E113" s="202">
        <v>-1E-14</v>
      </c>
      <c r="F113" s="202">
        <v>-1E-14</v>
      </c>
      <c r="G113" s="202">
        <v>-1E-14</v>
      </c>
      <c r="H113" s="202">
        <v>-1E-14</v>
      </c>
      <c r="I113" s="202">
        <v>-1E-14</v>
      </c>
      <c r="J113" s="202">
        <v>-1E-14</v>
      </c>
      <c r="K113" s="202">
        <v>-1E-14</v>
      </c>
      <c r="L113" s="202">
        <v>-1E-14</v>
      </c>
      <c r="M113" s="202">
        <v>-1E-14</v>
      </c>
      <c r="N113" s="202">
        <v>-1E-14</v>
      </c>
      <c r="O113" s="202">
        <v>-1E-14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8"/>
        <v>-1.1999999999999997E-13</v>
      </c>
      <c r="B114" s="206" t="s">
        <v>56</v>
      </c>
      <c r="C114" s="203" t="s">
        <v>60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8"/>
        <v>-1.1999999999999997E-13</v>
      </c>
      <c r="B115" s="206" t="s">
        <v>56</v>
      </c>
      <c r="C115" s="203" t="s">
        <v>61</v>
      </c>
      <c r="D115" s="202">
        <v>-1E-14</v>
      </c>
      <c r="E115" s="202">
        <v>-1E-14</v>
      </c>
      <c r="F115" s="202">
        <v>-1E-14</v>
      </c>
      <c r="G115" s="202">
        <v>-1E-14</v>
      </c>
      <c r="H115" s="202">
        <v>-1E-14</v>
      </c>
      <c r="I115" s="202">
        <v>-1E-14</v>
      </c>
      <c r="J115" s="202">
        <v>-1E-14</v>
      </c>
      <c r="K115" s="202">
        <v>-1E-14</v>
      </c>
      <c r="L115" s="202">
        <v>-1E-14</v>
      </c>
      <c r="M115" s="202">
        <v>-1E-14</v>
      </c>
      <c r="N115" s="202">
        <v>-1E-14</v>
      </c>
      <c r="O115" s="202">
        <v>-1E-14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8"/>
        <v>-1.1999999999999997E-13</v>
      </c>
      <c r="B116" s="206" t="s">
        <v>56</v>
      </c>
      <c r="C116" s="203" t="s">
        <v>62</v>
      </c>
      <c r="D116" s="202">
        <v>-1E-14</v>
      </c>
      <c r="E116" s="202">
        <v>-1E-14</v>
      </c>
      <c r="F116" s="202">
        <v>-1E-14</v>
      </c>
      <c r="G116" s="202">
        <v>-1E-14</v>
      </c>
      <c r="H116" s="202">
        <v>-1E-14</v>
      </c>
      <c r="I116" s="202">
        <v>-1E-14</v>
      </c>
      <c r="J116" s="202">
        <v>-1E-14</v>
      </c>
      <c r="K116" s="202">
        <v>-1E-14</v>
      </c>
      <c r="L116" s="202">
        <v>-1E-14</v>
      </c>
      <c r="M116" s="202">
        <v>-1E-14</v>
      </c>
      <c r="N116" s="202">
        <v>-1E-14</v>
      </c>
      <c r="O116" s="202">
        <v>-1E-14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8"/>
        <v>-5845920.1479662787</v>
      </c>
      <c r="B117" s="206" t="s">
        <v>56</v>
      </c>
      <c r="C117" s="203" t="s">
        <v>21</v>
      </c>
      <c r="D117" s="202">
        <v>-1556418.1597523219</v>
      </c>
      <c r="E117" s="202">
        <v>-1494211.7647058822</v>
      </c>
      <c r="F117" s="202">
        <v>-1175241.6891640865</v>
      </c>
      <c r="G117" s="202">
        <v>1E-14</v>
      </c>
      <c r="H117" s="202">
        <v>1E-14</v>
      </c>
      <c r="I117" s="202">
        <v>1E-14</v>
      </c>
      <c r="J117" s="202">
        <v>1E-14</v>
      </c>
      <c r="K117" s="202">
        <v>1E-14</v>
      </c>
      <c r="L117" s="202">
        <v>1E-14</v>
      </c>
      <c r="M117" s="202">
        <v>1E-14</v>
      </c>
      <c r="N117" s="202">
        <v>-915319.28173374513</v>
      </c>
      <c r="O117" s="202">
        <v>-704729.25261024351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s="16" customFormat="1" outlineLevel="1" x14ac:dyDescent="0.25">
      <c r="A118" s="202">
        <f t="shared" si="8"/>
        <v>-1814400</v>
      </c>
      <c r="B118" s="206" t="s">
        <v>56</v>
      </c>
      <c r="C118" s="203" t="s">
        <v>22</v>
      </c>
      <c r="D118" s="202">
        <v>-756000</v>
      </c>
      <c r="E118" s="202">
        <v>1E-14</v>
      </c>
      <c r="F118" s="202">
        <v>1E-14</v>
      </c>
      <c r="G118" s="202">
        <v>1E-14</v>
      </c>
      <c r="H118" s="202">
        <v>1E-14</v>
      </c>
      <c r="I118" s="202">
        <v>1E-14</v>
      </c>
      <c r="J118" s="202">
        <v>1E-14</v>
      </c>
      <c r="K118" s="202">
        <v>1E-14</v>
      </c>
      <c r="L118" s="202">
        <v>1E-14</v>
      </c>
      <c r="M118" s="202">
        <v>1E-14</v>
      </c>
      <c r="N118" s="202">
        <v>1E-14</v>
      </c>
      <c r="O118" s="202">
        <v>-1058400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s="16" customFormat="1" outlineLevel="1" x14ac:dyDescent="0.25">
      <c r="A119" s="202">
        <f t="shared" si="8"/>
        <v>1.1999999999999997E-13</v>
      </c>
      <c r="B119" s="206" t="s">
        <v>56</v>
      </c>
      <c r="C119" s="203" t="s">
        <v>25</v>
      </c>
      <c r="D119" s="202">
        <v>1E-14</v>
      </c>
      <c r="E119" s="202">
        <v>1E-14</v>
      </c>
      <c r="F119" s="202">
        <v>1E-14</v>
      </c>
      <c r="G119" s="202">
        <v>1E-14</v>
      </c>
      <c r="H119" s="202">
        <v>1E-14</v>
      </c>
      <c r="I119" s="202">
        <v>1E-14</v>
      </c>
      <c r="J119" s="202">
        <v>1E-14</v>
      </c>
      <c r="K119" s="202">
        <v>1E-14</v>
      </c>
      <c r="L119" s="202">
        <v>1E-14</v>
      </c>
      <c r="M119" s="202">
        <v>1E-14</v>
      </c>
      <c r="N119" s="202">
        <v>1E-14</v>
      </c>
      <c r="O119" s="202">
        <v>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s="16" customFormat="1" outlineLevel="1" x14ac:dyDescent="0.25">
      <c r="A120" s="202"/>
      <c r="B120" s="204"/>
      <c r="C120" s="205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s="16" customFormat="1" outlineLevel="1" x14ac:dyDescent="0.25">
      <c r="B121" s="51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27" s="75" customFormat="1" ht="18.75" x14ac:dyDescent="0.3">
      <c r="A122" s="77" t="s">
        <v>28</v>
      </c>
      <c r="B122" s="74"/>
      <c r="C122" s="76"/>
      <c r="D122" s="78" t="s">
        <v>216</v>
      </c>
      <c r="E122" s="78" t="s">
        <v>221</v>
      </c>
      <c r="F122" s="78" t="s">
        <v>222</v>
      </c>
      <c r="G122" s="78" t="s">
        <v>223</v>
      </c>
      <c r="H122" s="78" t="s">
        <v>224</v>
      </c>
      <c r="I122" s="78" t="s">
        <v>225</v>
      </c>
      <c r="J122" s="78" t="s">
        <v>226</v>
      </c>
      <c r="K122" s="78" t="s">
        <v>227</v>
      </c>
      <c r="L122" s="78" t="s">
        <v>228</v>
      </c>
      <c r="M122" s="78" t="s">
        <v>229</v>
      </c>
      <c r="N122" s="78" t="s">
        <v>230</v>
      </c>
      <c r="O122" s="78" t="s">
        <v>231</v>
      </c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</row>
    <row r="123" spans="1:27" outlineLevel="1" x14ac:dyDescent="0.25">
      <c r="C123" s="5" t="s">
        <v>110</v>
      </c>
      <c r="D123" s="88">
        <v>0.6900849492151433</v>
      </c>
      <c r="E123" s="88">
        <v>1.0409848149786227</v>
      </c>
      <c r="F123" s="88">
        <v>0.6900849492151433</v>
      </c>
      <c r="G123" s="88">
        <v>0.63545185931558723</v>
      </c>
      <c r="H123" s="88">
        <v>0.57007017543859662</v>
      </c>
      <c r="I123" s="88">
        <v>0.59691189559264024</v>
      </c>
      <c r="J123" s="88">
        <v>0.57007017543859662</v>
      </c>
      <c r="K123" s="88">
        <v>0.57007017543859662</v>
      </c>
      <c r="L123" s="88">
        <v>0.57007017543859662</v>
      </c>
      <c r="M123" s="88">
        <v>0.57007017543859662</v>
      </c>
      <c r="N123" s="88">
        <v>0.6900849492151433</v>
      </c>
      <c r="O123" s="88">
        <v>0.70174844719156171</v>
      </c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</row>
    <row r="124" spans="1:27" outlineLevel="1" x14ac:dyDescent="0.25">
      <c r="C124" s="5" t="s">
        <v>111</v>
      </c>
      <c r="D124" s="88">
        <v>1.1393504873294347</v>
      </c>
      <c r="E124" s="88">
        <v>1.2102085278555867</v>
      </c>
      <c r="F124" s="88">
        <v>1.1393504873294347</v>
      </c>
      <c r="G124" s="88">
        <v>0.96626600507909766</v>
      </c>
      <c r="H124" s="88">
        <v>0.53588673835125444</v>
      </c>
      <c r="I124" s="88">
        <v>1.2656009756097559</v>
      </c>
      <c r="J124" s="88">
        <v>0.68067849462365593</v>
      </c>
      <c r="K124" s="88">
        <v>0.67587069892473128</v>
      </c>
      <c r="L124" s="88">
        <v>0.91979753086419747</v>
      </c>
      <c r="M124" s="88">
        <v>1</v>
      </c>
      <c r="N124" s="88">
        <v>1.1393504873294347</v>
      </c>
      <c r="O124" s="88">
        <v>1.1417057250850593</v>
      </c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  <row r="125" spans="1:27" outlineLevel="1" x14ac:dyDescent="0.25">
      <c r="C125" s="5" t="s">
        <v>112</v>
      </c>
      <c r="D125" s="88">
        <v>0.9408285229202038</v>
      </c>
      <c r="E125" s="88">
        <v>1</v>
      </c>
      <c r="F125" s="88">
        <v>0.710413776376425</v>
      </c>
      <c r="G125" s="88">
        <v>1E-14</v>
      </c>
      <c r="H125" s="88">
        <v>1E-14</v>
      </c>
      <c r="I125" s="88">
        <v>1E-14</v>
      </c>
      <c r="J125" s="88">
        <v>1E-14</v>
      </c>
      <c r="K125" s="88">
        <v>1E-14</v>
      </c>
      <c r="L125" s="88">
        <v>1E-14</v>
      </c>
      <c r="M125" s="88">
        <v>1E-14</v>
      </c>
      <c r="N125" s="88">
        <v>0.57173823447507599</v>
      </c>
      <c r="O125" s="88">
        <v>0.42599694538225169</v>
      </c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1:27" outlineLevel="1" x14ac:dyDescent="0.25">
      <c r="C126" s="5" t="s">
        <v>71</v>
      </c>
      <c r="D126" s="88">
        <v>1.0000000000000002</v>
      </c>
      <c r="E126" s="88">
        <v>1E-14</v>
      </c>
      <c r="F126" s="88">
        <v>1E-14</v>
      </c>
      <c r="G126" s="88">
        <v>1E-14</v>
      </c>
      <c r="H126" s="88">
        <v>1E-14</v>
      </c>
      <c r="I126" s="88">
        <v>1E-14</v>
      </c>
      <c r="J126" s="88">
        <v>1E-14</v>
      </c>
      <c r="K126" s="88">
        <v>1E-14</v>
      </c>
      <c r="L126" s="88">
        <v>1E-14</v>
      </c>
      <c r="M126" s="88">
        <v>1E-14</v>
      </c>
      <c r="N126" s="88">
        <v>1E-14</v>
      </c>
      <c r="O126" s="88">
        <v>1</v>
      </c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</row>
    <row r="127" spans="1:27" outlineLevel="1" x14ac:dyDescent="0.25">
      <c r="C127" s="5" t="s">
        <v>113</v>
      </c>
      <c r="D127" s="88">
        <v>1E-14</v>
      </c>
      <c r="E127" s="88">
        <v>1E-14</v>
      </c>
      <c r="F127" s="88">
        <v>1E-14</v>
      </c>
      <c r="G127" s="88">
        <v>1E-14</v>
      </c>
      <c r="H127" s="88">
        <v>1E-14</v>
      </c>
      <c r="I127" s="88">
        <v>1E-14</v>
      </c>
      <c r="J127" s="88">
        <v>0.46544068100358432</v>
      </c>
      <c r="K127" s="88">
        <v>0.50303185483870982</v>
      </c>
      <c r="L127" s="88">
        <v>1</v>
      </c>
      <c r="M127" s="88">
        <v>9.5811469534050286E-2</v>
      </c>
      <c r="N127" s="88">
        <v>1E-14</v>
      </c>
      <c r="O127" s="88">
        <v>1E-14</v>
      </c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</row>
    <row r="128" spans="1:27" outlineLevel="1" x14ac:dyDescent="0.25">
      <c r="C128" s="5" t="s">
        <v>114</v>
      </c>
      <c r="D128" s="88">
        <v>1E-14</v>
      </c>
      <c r="E128" s="88">
        <v>1E-14</v>
      </c>
      <c r="F128" s="88">
        <v>1E-14</v>
      </c>
      <c r="G128" s="88">
        <v>1E-14</v>
      </c>
      <c r="H128" s="88">
        <v>1E-14</v>
      </c>
      <c r="I128" s="88">
        <v>1E-14</v>
      </c>
      <c r="J128" s="88">
        <v>1E-14</v>
      </c>
      <c r="K128" s="88">
        <v>1E-14</v>
      </c>
      <c r="L128" s="88">
        <v>1E-14</v>
      </c>
      <c r="M128" s="88">
        <v>1E-14</v>
      </c>
      <c r="N128" s="88">
        <v>1E-14</v>
      </c>
      <c r="O128" s="88">
        <v>1E-14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30" spans="1:27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27" s="75" customFormat="1" ht="18.75" x14ac:dyDescent="0.3">
      <c r="A131" s="77" t="s">
        <v>123</v>
      </c>
      <c r="B131" s="74"/>
      <c r="C131" s="107" t="s">
        <v>122</v>
      </c>
      <c r="D131" s="78" t="s">
        <v>216</v>
      </c>
      <c r="E131" s="78" t="s">
        <v>221</v>
      </c>
      <c r="F131" s="78" t="s">
        <v>222</v>
      </c>
      <c r="G131" s="78" t="s">
        <v>223</v>
      </c>
      <c r="H131" s="78" t="s">
        <v>224</v>
      </c>
      <c r="I131" s="78" t="s">
        <v>225</v>
      </c>
      <c r="J131" s="78" t="s">
        <v>226</v>
      </c>
      <c r="K131" s="78" t="s">
        <v>227</v>
      </c>
      <c r="L131" s="78" t="s">
        <v>228</v>
      </c>
      <c r="M131" s="78" t="s">
        <v>229</v>
      </c>
      <c r="N131" s="78" t="s">
        <v>230</v>
      </c>
      <c r="O131" s="78" t="s">
        <v>231</v>
      </c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</row>
    <row r="132" spans="1:27" s="16" customFormat="1" x14ac:dyDescent="0.25">
      <c r="A132" s="106">
        <f>MAX(D132:AA132)</f>
        <v>1E-14</v>
      </c>
      <c r="B132" s="95"/>
      <c r="C132" s="100" t="s">
        <v>97</v>
      </c>
      <c r="D132" s="93">
        <v>1E-14</v>
      </c>
      <c r="E132" s="91">
        <v>1E-14</v>
      </c>
      <c r="F132" s="91">
        <v>1E-14</v>
      </c>
      <c r="G132" s="91">
        <v>1E-14</v>
      </c>
      <c r="H132" s="91">
        <v>1E-14</v>
      </c>
      <c r="I132" s="91">
        <v>1E-14</v>
      </c>
      <c r="J132" s="91">
        <v>1E-14</v>
      </c>
      <c r="K132" s="91">
        <v>1E-14</v>
      </c>
      <c r="L132" s="91">
        <v>1E-14</v>
      </c>
      <c r="M132" s="91">
        <v>1E-14</v>
      </c>
      <c r="N132" s="91">
        <v>1E-14</v>
      </c>
      <c r="O132" s="91">
        <v>1E-14</v>
      </c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</row>
    <row r="133" spans="1:27" s="16" customFormat="1" x14ac:dyDescent="0.25">
      <c r="A133" s="106">
        <f t="shared" ref="A133:A137" si="9">MAX(D133:AA133)</f>
        <v>1E-14</v>
      </c>
      <c r="B133" s="96"/>
      <c r="C133" s="101" t="s">
        <v>98</v>
      </c>
      <c r="D133" s="94">
        <v>1E-14</v>
      </c>
      <c r="E133" s="92">
        <v>1E-14</v>
      </c>
      <c r="F133" s="92">
        <v>1E-14</v>
      </c>
      <c r="G133" s="92">
        <v>1E-14</v>
      </c>
      <c r="H133" s="92">
        <v>1E-14</v>
      </c>
      <c r="I133" s="92">
        <v>1E-14</v>
      </c>
      <c r="J133" s="92">
        <v>1E-14</v>
      </c>
      <c r="K133" s="92">
        <v>1E-14</v>
      </c>
      <c r="L133" s="92">
        <v>1E-14</v>
      </c>
      <c r="M133" s="92">
        <v>1E-14</v>
      </c>
      <c r="N133" s="92">
        <v>1E-14</v>
      </c>
      <c r="O133" s="92">
        <v>1E-14</v>
      </c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</row>
    <row r="134" spans="1:27" s="16" customFormat="1" x14ac:dyDescent="0.25">
      <c r="A134" s="106">
        <f t="shared" si="9"/>
        <v>0</v>
      </c>
      <c r="B134" s="96"/>
      <c r="C134" s="101"/>
      <c r="D134" s="94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</row>
    <row r="135" spans="1:27" s="16" customFormat="1" x14ac:dyDescent="0.25">
      <c r="A135" s="106">
        <f t="shared" si="9"/>
        <v>0</v>
      </c>
      <c r="B135" s="96"/>
      <c r="C135" s="101"/>
      <c r="D135" s="94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</row>
    <row r="136" spans="1:27" s="16" customFormat="1" x14ac:dyDescent="0.25">
      <c r="A136" s="106">
        <f t="shared" si="9"/>
        <v>0</v>
      </c>
      <c r="B136" s="96"/>
      <c r="C136" s="101"/>
      <c r="D136" s="94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</row>
    <row r="137" spans="1:27" s="16" customFormat="1" x14ac:dyDescent="0.25">
      <c r="A137" s="106">
        <f t="shared" si="9"/>
        <v>0</v>
      </c>
      <c r="B137" s="96"/>
      <c r="C137" s="101"/>
      <c r="D137" s="94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/>
      <c r="B138" s="97"/>
      <c r="C138" s="108"/>
      <c r="D138" s="93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75" customFormat="1" ht="18.75" x14ac:dyDescent="0.3">
      <c r="A139" s="77" t="s">
        <v>124</v>
      </c>
      <c r="B139" s="76" t="s">
        <v>122</v>
      </c>
      <c r="C139" s="107" t="s">
        <v>125</v>
      </c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</row>
    <row r="140" spans="1:27" x14ac:dyDescent="0.25">
      <c r="A140" s="106">
        <f>MAX(D140:AA140)</f>
        <v>0</v>
      </c>
      <c r="B140" s="95"/>
      <c r="C140" s="100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x14ac:dyDescent="0.25">
      <c r="A141" s="106">
        <f t="shared" ref="A141:A197" si="10">MAX(D141:AA141)</f>
        <v>0</v>
      </c>
      <c r="B141" s="96"/>
      <c r="C141" s="101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x14ac:dyDescent="0.25">
      <c r="A142" s="106">
        <f t="shared" si="10"/>
        <v>0</v>
      </c>
      <c r="B142" s="96"/>
      <c r="C142" s="101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x14ac:dyDescent="0.25">
      <c r="A143" s="106">
        <f t="shared" si="10"/>
        <v>0</v>
      </c>
      <c r="B143" s="96"/>
      <c r="C143" s="101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x14ac:dyDescent="0.25">
      <c r="A144" s="106">
        <f t="shared" si="10"/>
        <v>0</v>
      </c>
      <c r="B144" s="96"/>
      <c r="C144" s="101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</row>
    <row r="145" spans="1:27" x14ac:dyDescent="0.25">
      <c r="A145" s="106">
        <f t="shared" si="10"/>
        <v>0</v>
      </c>
      <c r="B145" s="96"/>
      <c r="C145" s="101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si="10"/>
        <v>0</v>
      </c>
      <c r="B146" s="98"/>
      <c r="C146" s="10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0"/>
        <v>0</v>
      </c>
      <c r="B147" s="104"/>
      <c r="C147" s="105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0"/>
        <v>0</v>
      </c>
      <c r="B148" s="98"/>
      <c r="C148" s="10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0"/>
        <v>0</v>
      </c>
      <c r="B149" s="98"/>
      <c r="C149" s="10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0"/>
        <v>0</v>
      </c>
      <c r="B150" s="98"/>
      <c r="C150" s="10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0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0"/>
        <v>0</v>
      </c>
      <c r="B152" s="98"/>
      <c r="C152" s="10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0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0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0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0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0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0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0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0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0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0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0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0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0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0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0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0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0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0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0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0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0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0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0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0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0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0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0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0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0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0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0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0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0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0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0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0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0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0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0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0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0"/>
        <v>0</v>
      </c>
      <c r="B193" s="99"/>
      <c r="C193" s="103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0"/>
        <v>0</v>
      </c>
      <c r="B194" s="99"/>
      <c r="C194" s="103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0"/>
        <v>0</v>
      </c>
      <c r="B195" s="99"/>
      <c r="C195" s="103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0"/>
        <v>0</v>
      </c>
      <c r="B196" s="99"/>
      <c r="C196" s="103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0"/>
        <v>0</v>
      </c>
      <c r="B197" s="99"/>
      <c r="C197" s="103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/>
    </row>
  </sheetData>
  <phoneticPr fontId="8" type="noConversion"/>
  <conditionalFormatting sqref="D51:AA57">
    <cfRule type="colorScale" priority="133">
      <colorScale>
        <cfvo type="min"/>
        <cfvo type="percentile" val="50"/>
        <cfvo type="max"/>
        <color rgb="FFF8696B"/>
        <color theme="0"/>
        <color rgb="FF63BE7B"/>
      </colorScale>
    </cfRule>
    <cfRule type="cellIs" dxfId="98" priority="3" operator="between">
      <formula>-0.00000000001</formula>
      <formula>0.00000000001</formula>
    </cfRule>
  </conditionalFormatting>
  <conditionalFormatting sqref="D123:AA128">
    <cfRule type="cellIs" dxfId="97" priority="138" operator="lessThan">
      <formula>0.0000000000001</formula>
    </cfRule>
  </conditionalFormatting>
  <conditionalFormatting sqref="D59:AA89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91:A121">
    <cfRule type="colorScale" priority="13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59:A8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51:A56">
    <cfRule type="colorScale" priority="12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96" priority="126" operator="between">
      <formula>-0.0000000000001</formula>
      <formula>0.0000000000001</formula>
    </cfRule>
  </conditionalFormatting>
  <conditionalFormatting sqref="A8:AA48">
    <cfRule type="cellIs" dxfId="95" priority="125" operator="between">
      <formula>-0.0000000000001</formula>
      <formula>0.0000000000001</formula>
    </cfRule>
  </conditionalFormatting>
  <conditionalFormatting sqref="A16 C16:O16">
    <cfRule type="cellIs" dxfId="94" priority="124" operator="between">
      <formula>-0.0000000000001</formula>
      <formula>0.0000000000001</formula>
    </cfRule>
  </conditionalFormatting>
  <conditionalFormatting sqref="P16:AA16">
    <cfRule type="cellIs" dxfId="93" priority="123" operator="between">
      <formula>-0.0000000000001</formula>
      <formula>0.0000000000001</formula>
    </cfRule>
  </conditionalFormatting>
  <conditionalFormatting sqref="C8:O8 A8">
    <cfRule type="cellIs" dxfId="92" priority="122" operator="between">
      <formula>-0.0000000000001</formula>
      <formula>0.0000000000001</formula>
    </cfRule>
  </conditionalFormatting>
  <conditionalFormatting sqref="P8:AA8">
    <cfRule type="cellIs" dxfId="91" priority="121" operator="between">
      <formula>-0.0000000000001</formula>
      <formula>0.0000000000001</formula>
    </cfRule>
  </conditionalFormatting>
  <conditionalFormatting sqref="C13">
    <cfRule type="cellIs" dxfId="90" priority="120" operator="between">
      <formula>-0.0000000000001</formula>
      <formula>0.0000000000001</formula>
    </cfRule>
  </conditionalFormatting>
  <conditionalFormatting sqref="C14">
    <cfRule type="cellIs" dxfId="89" priority="118" operator="between">
      <formula>-0.0000000000001</formula>
      <formula>0.0000000000001</formula>
    </cfRule>
  </conditionalFormatting>
  <conditionalFormatting sqref="A14 C14:O14">
    <cfRule type="cellIs" dxfId="88" priority="117" operator="between">
      <formula>-0.0000000000001</formula>
      <formula>0.0000000000001</formula>
    </cfRule>
  </conditionalFormatting>
  <conditionalFormatting sqref="P14:AA14">
    <cfRule type="cellIs" dxfId="87" priority="116" operator="between">
      <formula>-0.0000000000001</formula>
      <formula>0.0000000000001</formula>
    </cfRule>
  </conditionalFormatting>
  <conditionalFormatting sqref="C20:O21 A20:A21">
    <cfRule type="cellIs" dxfId="86" priority="115" operator="between">
      <formula>-0.0000000000001</formula>
      <formula>0.0000000000001</formula>
    </cfRule>
  </conditionalFormatting>
  <conditionalFormatting sqref="P20:AA21">
    <cfRule type="cellIs" dxfId="85" priority="114" operator="between">
      <formula>-0.0000000000001</formula>
      <formula>0.0000000000001</formula>
    </cfRule>
  </conditionalFormatting>
  <conditionalFormatting sqref="C40:O41 A40:A41 A43 C43:AA43 D39:O40 D42:O42">
    <cfRule type="cellIs" dxfId="84" priority="113" operator="between">
      <formula>-0.0000000000001</formula>
      <formula>0.0000000000001</formula>
    </cfRule>
  </conditionalFormatting>
  <conditionalFormatting sqref="P40:AA41">
    <cfRule type="cellIs" dxfId="83" priority="112" operator="between">
      <formula>-0.0000000000001</formula>
      <formula>0.0000000000001</formula>
    </cfRule>
  </conditionalFormatting>
  <conditionalFormatting sqref="C42:O42">
    <cfRule type="cellIs" dxfId="82" priority="111" operator="between">
      <formula>-0.0000000000001</formula>
      <formula>0.0000000000001</formula>
    </cfRule>
  </conditionalFormatting>
  <conditionalFormatting sqref="P42:AA42">
    <cfRule type="cellIs" dxfId="81" priority="110" operator="between">
      <formula>-0.0000000000001</formula>
      <formula>0.0000000000001</formula>
    </cfRule>
  </conditionalFormatting>
  <conditionalFormatting sqref="C11:O11">
    <cfRule type="cellIs" dxfId="80" priority="109" operator="between">
      <formula>-0.0000000000001</formula>
      <formula>0.0000000000001</formula>
    </cfRule>
  </conditionalFormatting>
  <conditionalFormatting sqref="P11:AA11">
    <cfRule type="cellIs" dxfId="79" priority="108" operator="between">
      <formula>-0.0000000000001</formula>
      <formula>0.0000000000001</formula>
    </cfRule>
  </conditionalFormatting>
  <conditionalFormatting sqref="C11">
    <cfRule type="cellIs" dxfId="78" priority="107" operator="between">
      <formula>-0.0000000000001</formula>
      <formula>0.0000000000001</formula>
    </cfRule>
  </conditionalFormatting>
  <conditionalFormatting sqref="A59:AA89">
    <cfRule type="cellIs" dxfId="77" priority="106" operator="between">
      <formula>-0.00000000001</formula>
      <formula>0.00000000001</formula>
    </cfRule>
  </conditionalFormatting>
  <conditionalFormatting sqref="P12:AA12">
    <cfRule type="cellIs" dxfId="76" priority="103" operator="between">
      <formula>-0.0000000000001</formula>
      <formula>0.0000000000001</formula>
    </cfRule>
  </conditionalFormatting>
  <conditionalFormatting sqref="C12">
    <cfRule type="cellIs" dxfId="75" priority="102" operator="between">
      <formula>-0.0000000000001</formula>
      <formula>0.0000000000001</formula>
    </cfRule>
  </conditionalFormatting>
  <conditionalFormatting sqref="C17:O17 A17">
    <cfRule type="cellIs" dxfId="74" priority="101" operator="between">
      <formula>-0.0000000000001</formula>
      <formula>0.0000000000001</formula>
    </cfRule>
  </conditionalFormatting>
  <conditionalFormatting sqref="P17:AA17">
    <cfRule type="cellIs" dxfId="73" priority="100" operator="between">
      <formula>-0.0000000000001</formula>
      <formula>0.0000000000001</formula>
    </cfRule>
  </conditionalFormatting>
  <conditionalFormatting sqref="C17">
    <cfRule type="cellIs" dxfId="72" priority="99" operator="between">
      <formula>-0.0000000000001</formula>
      <formula>0.0000000000001</formula>
    </cfRule>
  </conditionalFormatting>
  <conditionalFormatting sqref="C39:O39 A39">
    <cfRule type="cellIs" dxfId="71" priority="98" operator="between">
      <formula>-0.0000000000001</formula>
      <formula>0.0000000000001</formula>
    </cfRule>
  </conditionalFormatting>
  <conditionalFormatting sqref="P39:AA39">
    <cfRule type="cellIs" dxfId="70" priority="97" operator="between">
      <formula>-0.0000000000001</formula>
      <formula>0.0000000000001</formula>
    </cfRule>
  </conditionalFormatting>
  <conditionalFormatting sqref="D10:O10">
    <cfRule type="cellIs" dxfId="69" priority="96" operator="between">
      <formula>-0.0000000000001</formula>
      <formula>0.0000000000001</formula>
    </cfRule>
  </conditionalFormatting>
  <conditionalFormatting sqref="P10:AA10">
    <cfRule type="cellIs" dxfId="68" priority="95" operator="between">
      <formula>-0.0000000000001</formula>
      <formula>0.0000000000001</formula>
    </cfRule>
  </conditionalFormatting>
  <conditionalFormatting sqref="C34:AA34 A34">
    <cfRule type="cellIs" dxfId="67" priority="92" operator="between">
      <formula>-0.0000000000001</formula>
      <formula>0.0000000000001</formula>
    </cfRule>
  </conditionalFormatting>
  <conditionalFormatting sqref="P34:AA34">
    <cfRule type="cellIs" dxfId="66" priority="91" operator="between">
      <formula>-0.0000000000001</formula>
      <formula>0.0000000000001</formula>
    </cfRule>
  </conditionalFormatting>
  <conditionalFormatting sqref="B5">
    <cfRule type="cellIs" dxfId="65" priority="90" operator="between">
      <formula>-0.0000000000001</formula>
      <formula>0.0000000000001</formula>
    </cfRule>
  </conditionalFormatting>
  <conditionalFormatting sqref="C10">
    <cfRule type="cellIs" dxfId="64" priority="89" operator="between">
      <formula>-0.0000000000001</formula>
      <formula>0.0000000000001</formula>
    </cfRule>
  </conditionalFormatting>
  <conditionalFormatting sqref="A11">
    <cfRule type="cellIs" dxfId="63" priority="88" operator="between">
      <formula>-0.0000000000001</formula>
      <formula>0.0000000000001</formula>
    </cfRule>
  </conditionalFormatting>
  <conditionalFormatting sqref="B147:B197">
    <cfRule type="containsText" dxfId="62" priority="86" operator="containsText" text="sto2">
      <formula>NOT(ISERROR(SEARCH("sto2",B147)))</formula>
    </cfRule>
    <cfRule type="containsText" dxfId="61" priority="87" operator="containsText" text="sto1">
      <formula>NOT(ISERROR(SEARCH("sto1",B147)))</formula>
    </cfRule>
  </conditionalFormatting>
  <conditionalFormatting sqref="A22 D22:AA22">
    <cfRule type="cellIs" dxfId="60" priority="85" operator="between">
      <formula>-0.0000000000001</formula>
      <formula>0.0000000000001</formula>
    </cfRule>
  </conditionalFormatting>
  <conditionalFormatting sqref="D22:AA22 A22">
    <cfRule type="cellIs" dxfId="59" priority="84" operator="between">
      <formula>-0.0000000000001</formula>
      <formula>0.0000000000001</formula>
    </cfRule>
  </conditionalFormatting>
  <conditionalFormatting sqref="C22:O22 A22">
    <cfRule type="cellIs" dxfId="58" priority="83" operator="between">
      <formula>-0.0000000000001</formula>
      <formula>0.0000000000001</formula>
    </cfRule>
  </conditionalFormatting>
  <conditionalFormatting sqref="P22:AA22">
    <cfRule type="cellIs" dxfId="57" priority="82" operator="between">
      <formula>-0.0000000000001</formula>
      <formula>0.0000000000001</formula>
    </cfRule>
  </conditionalFormatting>
  <conditionalFormatting sqref="D140:AA197">
    <cfRule type="colorScale" priority="79">
      <colorScale>
        <cfvo type="min"/>
        <cfvo type="max"/>
        <color rgb="FFFCFCFF"/>
        <color theme="9" tint="0.39997558519241921"/>
      </colorScale>
    </cfRule>
  </conditionalFormatting>
  <conditionalFormatting sqref="B133:B135 B137:B138">
    <cfRule type="containsText" dxfId="56" priority="77" operator="containsText" text="sto2">
      <formula>NOT(ISERROR(SEARCH("sto2",B133)))</formula>
    </cfRule>
    <cfRule type="containsText" dxfId="55" priority="78" operator="containsText" text="sto1">
      <formula>NOT(ISERROR(SEARCH("sto1",B133)))</formula>
    </cfRule>
  </conditionalFormatting>
  <conditionalFormatting sqref="B132">
    <cfRule type="containsText" dxfId="54" priority="75" operator="containsText" text="sto2">
      <formula>NOT(ISERROR(SEARCH("sto2",B132)))</formula>
    </cfRule>
    <cfRule type="containsText" dxfId="53" priority="76" operator="containsText" text="sto1">
      <formula>NOT(ISERROR(SEARCH("sto1",B132)))</formula>
    </cfRule>
  </conditionalFormatting>
  <conditionalFormatting sqref="D132:AA135 D137:AA138">
    <cfRule type="colorScale" priority="74">
      <colorScale>
        <cfvo type="min"/>
        <cfvo type="max"/>
        <color rgb="FFFCFCFF"/>
        <color rgb="FF63BE7B"/>
      </colorScale>
    </cfRule>
  </conditionalFormatting>
  <conditionalFormatting sqref="B136">
    <cfRule type="containsText" dxfId="52" priority="72" operator="containsText" text="sto2">
      <formula>NOT(ISERROR(SEARCH("sto2",B136)))</formula>
    </cfRule>
    <cfRule type="containsText" dxfId="51" priority="73" operator="containsText" text="sto1">
      <formula>NOT(ISERROR(SEARCH("sto1",B136)))</formula>
    </cfRule>
  </conditionalFormatting>
  <conditionalFormatting sqref="D136:AA13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41:B143 B145:B146">
    <cfRule type="containsText" dxfId="50" priority="66" operator="containsText" text="sto2">
      <formula>NOT(ISERROR(SEARCH("sto2",B141)))</formula>
    </cfRule>
    <cfRule type="containsText" dxfId="49" priority="67" operator="containsText" text="sto1">
      <formula>NOT(ISERROR(SEARCH("sto1",B141)))</formula>
    </cfRule>
  </conditionalFormatting>
  <conditionalFormatting sqref="B140">
    <cfRule type="containsText" dxfId="48" priority="64" operator="containsText" text="sto2">
      <formula>NOT(ISERROR(SEARCH("sto2",B140)))</formula>
    </cfRule>
    <cfRule type="containsText" dxfId="47" priority="65" operator="containsText" text="sto1">
      <formula>NOT(ISERROR(SEARCH("sto1",B140)))</formula>
    </cfRule>
  </conditionalFormatting>
  <conditionalFormatting sqref="B144">
    <cfRule type="containsText" dxfId="46" priority="62" operator="containsText" text="sto2">
      <formula>NOT(ISERROR(SEARCH("sto2",B144)))</formula>
    </cfRule>
    <cfRule type="containsText" dxfId="45" priority="63" operator="containsText" text="sto1">
      <formula>NOT(ISERROR(SEARCH("sto1",B144)))</formula>
    </cfRule>
  </conditionalFormatting>
  <conditionalFormatting sqref="E23:AA23 A23">
    <cfRule type="cellIs" dxfId="44" priority="60" operator="between">
      <formula>-0.0000000000001</formula>
      <formula>0.0000000000001</formula>
    </cfRule>
  </conditionalFormatting>
  <conditionalFormatting sqref="A23 E23:AA23">
    <cfRule type="cellIs" dxfId="43" priority="59" operator="between">
      <formula>-0.0000000000001</formula>
      <formula>0.0000000000001</formula>
    </cfRule>
  </conditionalFormatting>
  <conditionalFormatting sqref="D25:AA25 A25">
    <cfRule type="cellIs" dxfId="42" priority="58" operator="between">
      <formula>-0.0000000000001</formula>
      <formula>0.0000000000001</formula>
    </cfRule>
  </conditionalFormatting>
  <conditionalFormatting sqref="A25 D25:AA25">
    <cfRule type="cellIs" dxfId="41" priority="57" operator="between">
      <formula>-0.0000000000001</formula>
      <formula>0.0000000000001</formula>
    </cfRule>
  </conditionalFormatting>
  <conditionalFormatting sqref="A35 D35:AA35">
    <cfRule type="cellIs" dxfId="40" priority="56" operator="between">
      <formula>-0.0000000000001</formula>
      <formula>0.0000000000001</formula>
    </cfRule>
  </conditionalFormatting>
  <conditionalFormatting sqref="D35:AA35 A35">
    <cfRule type="cellIs" dxfId="39" priority="55" operator="between">
      <formula>-0.0000000000001</formula>
      <formula>0.0000000000001</formula>
    </cfRule>
  </conditionalFormatting>
  <conditionalFormatting sqref="A27:A28 D27:AA29 D31:AA31 A31">
    <cfRule type="cellIs" dxfId="38" priority="52" operator="between">
      <formula>-0.0000000000001</formula>
      <formula>0.0000000000001</formula>
    </cfRule>
  </conditionalFormatting>
  <conditionalFormatting sqref="D27:AA29 A27:A28 A31 D31:AA31">
    <cfRule type="cellIs" dxfId="37" priority="51" operator="between">
      <formula>-0.0000000000001</formula>
      <formula>0.0000000000001</formula>
    </cfRule>
  </conditionalFormatting>
  <conditionalFormatting sqref="C28:AA29 A28">
    <cfRule type="cellIs" dxfId="36" priority="50" operator="between">
      <formula>-0.0000000000001</formula>
      <formula>0.0000000000001</formula>
    </cfRule>
  </conditionalFormatting>
  <conditionalFormatting sqref="P28:AA29">
    <cfRule type="cellIs" dxfId="35" priority="49" operator="between">
      <formula>-0.0000000000001</formula>
      <formula>0.0000000000001</formula>
    </cfRule>
  </conditionalFormatting>
  <conditionalFormatting sqref="A30 D30:AA30">
    <cfRule type="cellIs" dxfId="34" priority="48" operator="between">
      <formula>-0.0000000000001</formula>
      <formula>0.0000000000001</formula>
    </cfRule>
  </conditionalFormatting>
  <conditionalFormatting sqref="D30:AA30 A30">
    <cfRule type="cellIs" dxfId="33" priority="47" operator="between">
      <formula>-0.0000000000001</formula>
      <formula>0.0000000000001</formula>
    </cfRule>
  </conditionalFormatting>
  <conditionalFormatting sqref="D41:O41">
    <cfRule type="cellIs" dxfId="32" priority="46" operator="between">
      <formula>-0.0000000000001</formula>
      <formula>0.0000000000001</formula>
    </cfRule>
  </conditionalFormatting>
  <conditionalFormatting sqref="D38:O38">
    <cfRule type="cellIs" dxfId="31" priority="45" operator="between">
      <formula>-0.0000000000001</formula>
      <formula>0.0000000000001</formula>
    </cfRule>
  </conditionalFormatting>
  <conditionalFormatting sqref="A29">
    <cfRule type="cellIs" dxfId="30" priority="44" operator="between">
      <formula>-0.0000000000001</formula>
      <formula>0.0000000000001</formula>
    </cfRule>
  </conditionalFormatting>
  <conditionalFormatting sqref="A29">
    <cfRule type="cellIs" dxfId="29" priority="43" operator="between">
      <formula>-0.0000000000001</formula>
      <formula>0.0000000000001</formula>
    </cfRule>
  </conditionalFormatting>
  <conditionalFormatting sqref="A37">
    <cfRule type="cellIs" dxfId="28" priority="42" operator="between">
      <formula>-0.0000000000001</formula>
      <formula>0.0000000000001</formula>
    </cfRule>
  </conditionalFormatting>
  <conditionalFormatting sqref="A37">
    <cfRule type="cellIs" dxfId="27" priority="41" operator="between">
      <formula>-0.0000000000001</formula>
      <formula>0.0000000000001</formula>
    </cfRule>
  </conditionalFormatting>
  <conditionalFormatting sqref="A42">
    <cfRule type="cellIs" dxfId="26" priority="40" operator="between">
      <formula>-0.0000000000001</formula>
      <formula>0.0000000000001</formula>
    </cfRule>
  </conditionalFormatting>
  <conditionalFormatting sqref="A42">
    <cfRule type="cellIs" dxfId="25" priority="39" operator="between">
      <formula>-0.0000000000001</formula>
      <formula>0.0000000000001</formula>
    </cfRule>
  </conditionalFormatting>
  <conditionalFormatting sqref="D24">
    <cfRule type="cellIs" dxfId="24" priority="38" operator="between">
      <formula>-0.0000000000001</formula>
      <formula>0.0000000000001</formula>
    </cfRule>
  </conditionalFormatting>
  <conditionalFormatting sqref="D24">
    <cfRule type="cellIs" dxfId="23" priority="37" operator="between">
      <formula>-0.0000000000001</formula>
      <formula>0.0000000000001</formula>
    </cfRule>
  </conditionalFormatting>
  <conditionalFormatting sqref="D23">
    <cfRule type="cellIs" dxfId="22" priority="36" operator="between">
      <formula>-0.0000000000001</formula>
      <formula>0.0000000000001</formula>
    </cfRule>
  </conditionalFormatting>
  <conditionalFormatting sqref="D23">
    <cfRule type="cellIs" dxfId="21" priority="35" operator="between">
      <formula>-0.0000000000001</formula>
      <formula>0.0000000000001</formula>
    </cfRule>
  </conditionalFormatting>
  <conditionalFormatting sqref="D44:AA44">
    <cfRule type="cellIs" dxfId="20" priority="34" operator="between">
      <formula>-0.0000000000001</formula>
      <formula>0.0000000000001</formula>
    </cfRule>
  </conditionalFormatting>
  <conditionalFormatting sqref="D44:AA44">
    <cfRule type="cellIs" dxfId="19" priority="33" operator="between">
      <formula>-0.0000000000001</formula>
      <formula>0.0000000000001</formula>
    </cfRule>
  </conditionalFormatting>
  <conditionalFormatting sqref="C44:AA44">
    <cfRule type="cellIs" dxfId="18" priority="32" operator="between">
      <formula>-0.0000000000001</formula>
      <formula>0.0000000000001</formula>
    </cfRule>
  </conditionalFormatting>
  <conditionalFormatting sqref="D44:AA44">
    <cfRule type="cellIs" dxfId="17" priority="31" operator="between">
      <formula>-0.0000000000001</formula>
      <formula>0.0000000000001</formula>
    </cfRule>
  </conditionalFormatting>
  <conditionalFormatting sqref="P44:AA44">
    <cfRule type="cellIs" dxfId="16" priority="30" operator="between">
      <formula>-0.0000000000001</formula>
      <formula>0.0000000000001</formula>
    </cfRule>
  </conditionalFormatting>
  <conditionalFormatting sqref="D32:AA32 A32">
    <cfRule type="cellIs" dxfId="15" priority="29" operator="between">
      <formula>-0.0000000000001</formula>
      <formula>0.0000000000001</formula>
    </cfRule>
  </conditionalFormatting>
  <conditionalFormatting sqref="A32 D32:AA32">
    <cfRule type="cellIs" dxfId="14" priority="28" operator="between">
      <formula>-0.0000000000001</formula>
      <formula>0.0000000000001</formula>
    </cfRule>
  </conditionalFormatting>
  <conditionalFormatting sqref="A45:A48">
    <cfRule type="cellIs" dxfId="13" priority="14" operator="greaterThan">
      <formula>0.00000000001</formula>
    </cfRule>
    <cfRule type="cellIs" dxfId="12" priority="17" operator="between">
      <formula>-0.0000000000001</formula>
      <formula>0.0000000000001</formula>
    </cfRule>
  </conditionalFormatting>
  <conditionalFormatting sqref="A45:A48">
    <cfRule type="cellIs" dxfId="11" priority="16" operator="between">
      <formula>-0.0000000000001</formula>
      <formula>0.0000000000001</formula>
    </cfRule>
  </conditionalFormatting>
  <conditionalFormatting sqref="A45:A48">
    <cfRule type="cellIs" dxfId="10" priority="15" operator="between">
      <formula>-0.0000000000001</formula>
      <formula>0.0000000000001</formula>
    </cfRule>
  </conditionalFormatting>
  <conditionalFormatting sqref="D45:AA48">
    <cfRule type="cellIs" dxfId="9" priority="10" operator="greaterThan">
      <formula>0.0000000000001</formula>
    </cfRule>
    <cfRule type="cellIs" dxfId="8" priority="13" operator="between">
      <formula>-0.0000000000001</formula>
      <formula>0.0000000000001</formula>
    </cfRule>
  </conditionalFormatting>
  <conditionalFormatting sqref="D45:AA48">
    <cfRule type="cellIs" dxfId="7" priority="12" operator="between">
      <formula>-0.0000000000001</formula>
      <formula>0.0000000000001</formula>
    </cfRule>
  </conditionalFormatting>
  <conditionalFormatting sqref="D45:AA48">
    <cfRule type="cellIs" dxfId="6" priority="11" operator="between">
      <formula>-0.0000000000001</formula>
      <formula>0.0000000000001</formula>
    </cfRule>
  </conditionalFormatting>
  <conditionalFormatting sqref="B2">
    <cfRule type="cellIs" dxfId="5" priority="9" operator="greaterThan">
      <formula>0</formula>
    </cfRule>
  </conditionalFormatting>
  <conditionalFormatting sqref="A15 D15:AA15">
    <cfRule type="cellIs" dxfId="4" priority="8" operator="between">
      <formula>-0.0000000000001</formula>
      <formula>0.0000000000001</formula>
    </cfRule>
  </conditionalFormatting>
  <conditionalFormatting sqref="D15:AA15 A15">
    <cfRule type="cellIs" dxfId="3" priority="7" operator="between">
      <formula>-0.0000000000001</formula>
      <formula>0.0000000000001</formula>
    </cfRule>
  </conditionalFormatting>
  <conditionalFormatting sqref="A15 C15:O15">
    <cfRule type="cellIs" dxfId="2" priority="6" operator="between">
      <formula>-0.0000000000001</formula>
      <formula>0.0000000000001</formula>
    </cfRule>
  </conditionalFormatting>
  <conditionalFormatting sqref="P15:AA15">
    <cfRule type="cellIs" dxfId="1" priority="5" operator="between">
      <formula>-0.0000000000001</formula>
      <formula>0.0000000000001</formula>
    </cfRule>
  </conditionalFormatting>
  <conditionalFormatting sqref="D91:AA120">
    <cfRule type="colorScale" priority="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1:AA120">
    <cfRule type="cellIs" dxfId="0" priority="1" operator="between">
      <formula>-0.00000000001</formula>
      <formula>0.00000000001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2022-02-02T09:34:12Z</dcterms:modified>
</cp:coreProperties>
</file>