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7DE0A57-932C-4254-9973-E5D402F616F0}" xr6:coauthVersionLast="47" xr6:coauthVersionMax="47" xr10:uidLastSave="{00000000-0000-0000-0000-000000000000}"/>
  <bookViews>
    <workbookView xWindow="5040" yWindow="3900" windowWidth="20745" windowHeight="1318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" i="12" l="1" a="1"/>
  <c r="AB9" i="12"/>
  <c r="AB9" i="13" a="1"/>
  <c r="AB9" i="13"/>
  <c r="AB9" i="14" a="1"/>
  <c r="AB9" i="14"/>
  <c r="A15" i="4"/>
  <c r="D2" i="4"/>
  <c r="A46" i="4"/>
  <c r="A47" i="4"/>
  <c r="A48" i="4"/>
  <c r="A45" i="4"/>
  <c r="A32" i="4"/>
  <c r="A37" i="4"/>
  <c r="A29" i="4"/>
  <c r="A31" i="4"/>
  <c r="A30" i="4"/>
  <c r="A28" i="4"/>
  <c r="A27" i="4"/>
  <c r="A35" i="4"/>
  <c r="A25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E9" i="12" s="1" a="1"/>
  <c r="E9" i="12" s="1"/>
  <c r="F6" i="4"/>
  <c r="F9" i="12" s="1" a="1"/>
  <c r="F9" i="12" s="1"/>
  <c r="G6" i="4"/>
  <c r="G9" i="12" s="1" a="1"/>
  <c r="G9" i="12" s="1"/>
  <c r="H6" i="4"/>
  <c r="H9" i="12" s="1" a="1"/>
  <c r="H9" i="12" s="1"/>
  <c r="I6" i="4"/>
  <c r="I9" i="14" s="1" a="1"/>
  <c r="I9" i="14" s="1"/>
  <c r="J6" i="4"/>
  <c r="J9" i="14" s="1" a="1"/>
  <c r="J9" i="14" s="1"/>
  <c r="K6" i="4"/>
  <c r="K9" i="12" s="1" a="1"/>
  <c r="K9" i="12" s="1"/>
  <c r="L6" i="4"/>
  <c r="L9" i="12" s="1" a="1"/>
  <c r="L9" i="12" s="1"/>
  <c r="M6" i="4"/>
  <c r="M9" i="12" s="1" a="1"/>
  <c r="M9" i="12" s="1"/>
  <c r="N6" i="4"/>
  <c r="N9" i="12" s="1" a="1"/>
  <c r="N9" i="12" s="1"/>
  <c r="O6" i="4"/>
  <c r="O9" i="13" s="1" a="1"/>
  <c r="O9" i="13" s="1"/>
  <c r="P6" i="4"/>
  <c r="P9" i="12" s="1" a="1"/>
  <c r="P9" i="12" s="1"/>
  <c r="Q6" i="4"/>
  <c r="Q9" i="12" s="1" a="1"/>
  <c r="Q9" i="12" s="1"/>
  <c r="R6" i="4"/>
  <c r="R9" i="12" s="1" a="1"/>
  <c r="R9" i="12" s="1"/>
  <c r="S6" i="4"/>
  <c r="S9" i="12" s="1" a="1"/>
  <c r="S9" i="12" s="1"/>
  <c r="T6" i="4"/>
  <c r="T9" i="14" s="1" a="1"/>
  <c r="T9" i="14" s="1"/>
  <c r="U6" i="4"/>
  <c r="U9" i="12" s="1" a="1"/>
  <c r="U9" i="12" s="1"/>
  <c r="V6" i="4"/>
  <c r="V9" i="12" s="1" a="1"/>
  <c r="V9" i="12" s="1"/>
  <c r="W6" i="4"/>
  <c r="W9" i="12" s="1" a="1"/>
  <c r="W9" i="12" s="1"/>
  <c r="X6" i="4"/>
  <c r="X9" i="13" s="1" a="1"/>
  <c r="X9" i="13" s="1"/>
  <c r="Y6" i="4"/>
  <c r="Y9" i="14" s="1" a="1"/>
  <c r="Y9" i="14" s="1"/>
  <c r="Z6" i="4"/>
  <c r="Z9" i="14" s="1" a="1"/>
  <c r="Z9" i="14" s="1"/>
  <c r="AA6" i="4"/>
  <c r="AA9" i="12" s="1" a="1"/>
  <c r="AA9" i="12" s="1"/>
  <c r="D6" i="4"/>
  <c r="D9" i="12" s="1" a="1"/>
  <c r="D9" i="12" s="1"/>
  <c r="A23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40" i="4"/>
  <c r="A133" i="4"/>
  <c r="A134" i="4"/>
  <c r="A135" i="4"/>
  <c r="A136" i="4"/>
  <c r="A137" i="4"/>
  <c r="A132" i="4"/>
  <c r="A22" i="4"/>
  <c r="A117" i="4"/>
  <c r="A118" i="4"/>
  <c r="A119" i="4"/>
  <c r="A24" i="4"/>
  <c r="A26" i="4"/>
  <c r="A33" i="4"/>
  <c r="A34" i="4"/>
  <c r="A38" i="4"/>
  <c r="A39" i="4"/>
  <c r="A40" i="4"/>
  <c r="A41" i="4"/>
  <c r="A43" i="4"/>
  <c r="A44" i="4"/>
  <c r="A12" i="4"/>
  <c r="A13" i="4"/>
  <c r="A14" i="4"/>
  <c r="A16" i="4"/>
  <c r="A17" i="4"/>
  <c r="A18" i="4"/>
  <c r="A19" i="4"/>
  <c r="A20" i="4"/>
  <c r="A21" i="4"/>
  <c r="A11" i="4"/>
  <c r="A8" i="4"/>
  <c r="N9" i="14" l="1" a="1"/>
  <c r="N9" i="14" s="1"/>
  <c r="AA9" i="13" a="1"/>
  <c r="AA9" i="13" s="1"/>
  <c r="N9" i="13" a="1"/>
  <c r="N9" i="13" s="1"/>
  <c r="H9" i="13" a="1"/>
  <c r="H9" i="13" s="1"/>
  <c r="Z9" i="12" a="1"/>
  <c r="Z9" i="12" s="1"/>
  <c r="J9" i="12" a="1"/>
  <c r="J9" i="12" s="1"/>
  <c r="X9" i="14" a="1"/>
  <c r="X9" i="14" s="1"/>
  <c r="S9" i="14" a="1"/>
  <c r="S9" i="14" s="1"/>
  <c r="M9" i="14" a="1"/>
  <c r="M9" i="14" s="1"/>
  <c r="H9" i="14" a="1"/>
  <c r="H9" i="14" s="1"/>
  <c r="Z9" i="13" a="1"/>
  <c r="Z9" i="13" s="1"/>
  <c r="T9" i="13" a="1"/>
  <c r="T9" i="13" s="1"/>
  <c r="M9" i="13" a="1"/>
  <c r="M9" i="13" s="1"/>
  <c r="G9" i="13" a="1"/>
  <c r="G9" i="13" s="1"/>
  <c r="Y9" i="12" a="1"/>
  <c r="Y9" i="12" s="1"/>
  <c r="T9" i="12" a="1"/>
  <c r="T9" i="12" s="1"/>
  <c r="O9" i="12" a="1"/>
  <c r="O9" i="12" s="1"/>
  <c r="I9" i="12" a="1"/>
  <c r="I9" i="12" s="1"/>
  <c r="R9" i="14" a="1"/>
  <c r="R9" i="14" s="1"/>
  <c r="Y9" i="13" a="1"/>
  <c r="Y9" i="13" s="1"/>
  <c r="S9" i="13" a="1"/>
  <c r="S9" i="13" s="1"/>
  <c r="F9" i="13" a="1"/>
  <c r="F9" i="13" s="1"/>
  <c r="W9" i="14" a="1"/>
  <c r="W9" i="14" s="1"/>
  <c r="Q9" i="14" a="1"/>
  <c r="Q9" i="14" s="1"/>
  <c r="L9" i="14" a="1"/>
  <c r="L9" i="14" s="1"/>
  <c r="G9" i="14" a="1"/>
  <c r="G9" i="14" s="1"/>
  <c r="R9" i="13" a="1"/>
  <c r="R9" i="13" s="1"/>
  <c r="L9" i="13" a="1"/>
  <c r="L9" i="13" s="1"/>
  <c r="E9" i="13" a="1"/>
  <c r="E9" i="13" s="1"/>
  <c r="X9" i="12" a="1"/>
  <c r="X9" i="12" s="1"/>
  <c r="V9" i="14" a="1"/>
  <c r="V9" i="14" s="1"/>
  <c r="F9" i="14" a="1"/>
  <c r="F9" i="14" s="1"/>
  <c r="Q9" i="13" a="1"/>
  <c r="Q9" i="13" s="1"/>
  <c r="K9" i="13" a="1"/>
  <c r="K9" i="13" s="1"/>
  <c r="AA9" i="14" a="1"/>
  <c r="AA9" i="14" s="1"/>
  <c r="U9" i="14" a="1"/>
  <c r="U9" i="14" s="1"/>
  <c r="P9" i="14" a="1"/>
  <c r="P9" i="14" s="1"/>
  <c r="K9" i="14" a="1"/>
  <c r="K9" i="14" s="1"/>
  <c r="E9" i="14" a="1"/>
  <c r="E9" i="14" s="1"/>
  <c r="W9" i="13" a="1"/>
  <c r="W9" i="13" s="1"/>
  <c r="J9" i="13" a="1"/>
  <c r="J9" i="13" s="1"/>
  <c r="V9" i="13" a="1"/>
  <c r="V9" i="13" s="1"/>
  <c r="P9" i="13" a="1"/>
  <c r="P9" i="13" s="1"/>
  <c r="I9" i="13" a="1"/>
  <c r="I9" i="13" s="1"/>
  <c r="O9" i="14" a="1"/>
  <c r="O9" i="14" s="1"/>
  <c r="U9" i="13" a="1"/>
  <c r="U9" i="13" s="1"/>
  <c r="D9" i="14" a="1"/>
  <c r="D9" i="14" s="1"/>
  <c r="D9" i="13" a="1"/>
  <c r="D9" i="13" s="1"/>
  <c r="A10" i="4"/>
  <c r="A9" i="4"/>
  <c r="A42" i="4"/>
  <c r="A82" i="4"/>
  <c r="A83" i="4"/>
  <c r="A84" i="4"/>
  <c r="A108" i="4" l="1"/>
  <c r="A109" i="4"/>
  <c r="A110" i="4"/>
  <c r="A74" i="4"/>
  <c r="A75" i="4"/>
  <c r="A76" i="4"/>
  <c r="A77" i="4"/>
  <c r="A78" i="4"/>
  <c r="A79" i="4"/>
  <c r="A116" i="4"/>
  <c r="A115" i="4"/>
  <c r="A114" i="4"/>
  <c r="A113" i="4"/>
  <c r="A112" i="4"/>
  <c r="A111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73" i="4"/>
  <c r="A80" i="4"/>
  <c r="A81" i="4"/>
  <c r="A85" i="4"/>
  <c r="A86" i="4"/>
  <c r="A87" i="4"/>
  <c r="A51" i="4"/>
  <c r="A52" i="4"/>
  <c r="A53" i="4"/>
  <c r="A54" i="4"/>
  <c r="A55" i="4"/>
  <c r="A56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6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<sst xmlns="http://schemas.openxmlformats.org/spreadsheetml/2006/main" count="1674" uniqueCount="234">
  <si>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</si>
  <si>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</si>
  <si>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</si>
  <si>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</si>
  <si>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</si>
  <si>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</si>
  <si>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</si>
  <si>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</si>
  <si>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</si>
  <si>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</si>
  <si>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</si>
  <si>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</si>
  <si>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</si>
  <si>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</si>
  <si>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</si>
  <si>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</si>
  <si>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</si>
  <si>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</si>
  <si>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</si>
  <si>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</si>
  <si>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</si>
  <si>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</si>
  <si>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</si>
  <si>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</si>
  <si>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</si>
  <si>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</si>
  <si>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</si>
  <si>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</si>
  <si>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</si>
  <si>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</si>
  <si>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</si>
  <si>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</si>
  <si>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</si>
  <si>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</si>
  <si>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</si>
  <si>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</si>
  <si>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</si>
  <si>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</si>
  <si>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</si>
  <si>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</si>
  <si>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</si>
  <si>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</si>
  <si>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</si>
  <si>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</si>
  <si>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</si>
  <si>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</si>
  <si>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</si>
  <si>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</si>
  <si>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</si>
  <si>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</si>
  <si>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</si>
  <si>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</si>
  <si>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</si>
  <si>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</si>
  <si>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</si>
  <si>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</si>
  <si>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</si>
  <si>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</si>
  <si>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</si>
  <si>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</si>
  <si>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</si>
  <si>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</si>
  <si>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</si>
  <si>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</si>
  <si>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</si>
  <si>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</si>
  <si>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</si>
  <si>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</si>
  <si>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</si>
  <si>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</si>
  <si>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</si>
  <si>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</si>
  <si>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</si>
  <si>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</si>
  <si>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</si>
  <si>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</si>
  <si>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</si>
  <si>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</si>
  <si>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</si>
  <si>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</si>
  <si>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</si>
  <si>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</si>
  <si>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</si>
  <si>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</si>
  <si>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</si>
  <si>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</si>
  <si>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</si>
  <si>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</si>
  <si>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</si>
  <si>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</si>
  <si>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</si>
  <si>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</si>
  <si>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</si>
  <si>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</si>
  <si>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</si>
  <si>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</si>
  <si>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</si>
  <si>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</si>
  <si>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</si>
  <si>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</si>
  <si>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</si>
  <si>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</si>
  <si>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</si>
  <si>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</si>
  <si>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</si>
  <si>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</si>
  <si>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</si>
  <si>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</si>
  <si>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</si>
  <si>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</si>
  <si>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</si>
  <si>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</si>
  <si>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</si>
  <si>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</si>
  <si>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</si>
  <si>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</si>
  <si>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</si>
  <si>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</si>
  <si>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</si>
  <si>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</si>
  <si>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</si>
  <si>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</si>
  <si>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</si>
  <si>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</si>
  <si>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</si>
  <si>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</si>
  <si>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</si>
  <si>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</si>
  <si>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</si>
  <si>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</si>
  <si>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</si>
  <si>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</si>
  <si>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</si>
  <si>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</si>
  <si>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</si>
  <si>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</si>
  <si>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</si>
  <si>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</si>
  <si>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</si>
  <si>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</si>
  <si>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</si>
  <si>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</si>
  <si>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</si>
  <si>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</si>
  <si>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</si>
  <si>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</si>
  <si>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</si>
  <si>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</si>
  <si>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</si>
  <si>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</si>
  <si>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</si>
  <si>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</si>
  <si>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</si>
  <si>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</si>
  <si>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</si>
  <si>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</si>
  <si>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</si>
  <si>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</si>
  <si>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</si>
  <si>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</si>
  <si>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</si>
  <si>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</si>
  <si>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</si>
  <si>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</si>
  <si>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</si>
  <si>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</si>
  <si>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</si>
  <si>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</si>
  <si>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</si>
  <si>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</si>
  <si>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</si>
  <si>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</si>
  <si>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</si>
  <si>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</si>
  <si>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</si>
  <si>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</si>
  <si>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</si>
  <si>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</si>
  <si>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</si>
  <si>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</si>
  <si>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</si>
  <si>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</si>
  <si>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</si>
  <si>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</si>
  <si>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</si>
  <si>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</si>
  <si>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</si>
  <si>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</si>
  <si>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</si>
  <si>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</si>
  <si>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</si>
  <si>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</si>
  <si>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</si>
  <si>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</si>
  <si>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</si>
  <si>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</si>
  <si>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</si>
  <si>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</si>
  <si>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</si>
  <si>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</si>
  <si>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</si>
  <si>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</si>
  <si>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</si>
  <si>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</si>
  <si>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</si>
  <si>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</si>
  <si>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</si>
  <si>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</si>
  <si>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</si>
  <si>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</si>
  <si>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</si>
  <si>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</si>
  <si>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</si>
  <si>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</si>
  <si>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</si>
  <si>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</si>
  <si>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</si>
  <si>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</si>
  <si>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Varmemængder</t>
  </si>
  <si>
    <t>Brændselsforbrug</t>
  </si>
  <si>
    <t>Brændselsindkomst</t>
  </si>
  <si>
    <t>MinLast</t>
  </si>
  <si>
    <t>KapMin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</si>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</sst>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1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Overblik!$C$51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8395.3339380251819</c:v>
                </c:pt>
                <c:pt idx="1">
                  <c:v>6810.6225701294279</c:v>
                </c:pt>
                <c:pt idx="2">
                  <c:v>7366.0608563187343</c:v>
                </c:pt>
                <c:pt idx="3">
                  <c:v>3855.2659285110449</c:v>
                </c:pt>
                <c:pt idx="4">
                  <c:v>3013.1802569486822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1E-14</c:v>
                </c:pt>
                <c:pt idx="9">
                  <c:v>2454.548726613913</c:v>
                </c:pt>
                <c:pt idx="10">
                  <c:v>4922.4495579672512</c:v>
                </c:pt>
                <c:pt idx="11">
                  <c:v>2695.4169462848176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Overblik!$C$52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20440.813066496092</c:v>
                </c:pt>
                <c:pt idx="1">
                  <c:v>16582.385388141214</c:v>
                </c:pt>
                <c:pt idx="2">
                  <c:v>17934.756867558659</c:v>
                </c:pt>
                <c:pt idx="3">
                  <c:v>16144.734071488954</c:v>
                </c:pt>
                <c:pt idx="4">
                  <c:v>9986.8197430513173</c:v>
                </c:pt>
                <c:pt idx="5">
                  <c:v>2912.2298780487804</c:v>
                </c:pt>
                <c:pt idx="6">
                  <c:v>12465.444127630761</c:v>
                </c:pt>
                <c:pt idx="7">
                  <c:v>12380.246013927559</c:v>
                </c:pt>
                <c:pt idx="8">
                  <c:v>13540.344937777782</c:v>
                </c:pt>
                <c:pt idx="9">
                  <c:v>15505.062568743218</c:v>
                </c:pt>
                <c:pt idx="10">
                  <c:v>15017.550442032749</c:v>
                </c:pt>
                <c:pt idx="11">
                  <c:v>17026.59553988582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Overblik!$C$53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2463.8529954787264</c:v>
                </c:pt>
                <c:pt idx="1">
                  <c:v>7056</c:v>
                </c:pt>
                <c:pt idx="2">
                  <c:v>4199.1822761226067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1740.3887046428681</c:v>
                </c:pt>
                <c:pt idx="10">
                  <c:v>7560</c:v>
                </c:pt>
                <c:pt idx="11">
                  <c:v>7677.987513829361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-7245.4441276307607</c:v>
                </c:pt>
                <c:pt idx="7">
                  <c:v>-7660.246013927559</c:v>
                </c:pt>
                <c:pt idx="8">
                  <c:v>-5540.3449377777815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Overblik!$C$56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1550.9920417293579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Overblik!$C$59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537.7625833333268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4387.3525833333324</c:v>
                </c:pt>
                <c:pt idx="10">
                  <c:v>4343.8525833333324</c:v>
                </c:pt>
                <c:pt idx="11">
                  <c:v>3646.3322500000068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Overblik!$C$60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Overblik!$C$61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Overblik!$C$62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#,##0;\-#,##0;0</c:formatCode>
                <c:ptCount val="12"/>
                <c:pt idx="0">
                  <c:v>2397.2316666666666</c:v>
                </c:pt>
                <c:pt idx="1">
                  <c:v>2397.2316666666666</c:v>
                </c:pt>
                <c:pt idx="2">
                  <c:v>2397.2316666666666</c:v>
                </c:pt>
                <c:pt idx="3">
                  <c:v>2397.2316666666666</c:v>
                </c:pt>
                <c:pt idx="4">
                  <c:v>2397.2316666666666</c:v>
                </c:pt>
                <c:pt idx="5">
                  <c:v>2397.2340638983333</c:v>
                </c:pt>
                <c:pt idx="6">
                  <c:v>2397.2316666666666</c:v>
                </c:pt>
                <c:pt idx="7">
                  <c:v>2397.2316666666666</c:v>
                </c:pt>
                <c:pt idx="8">
                  <c:v>2397.2316666666666</c:v>
                </c:pt>
                <c:pt idx="9">
                  <c:v>2397.2316666666666</c:v>
                </c:pt>
                <c:pt idx="10">
                  <c:v>2397.2316666666666</c:v>
                </c:pt>
                <c:pt idx="11">
                  <c:v>2397.2316666666666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Overblik!$C$63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#,##0;\-#,##0;0</c:formatCode>
                <c:ptCount val="12"/>
                <c:pt idx="0">
                  <c:v>352.70075000000003</c:v>
                </c:pt>
                <c:pt idx="1">
                  <c:v>352.70075000000003</c:v>
                </c:pt>
                <c:pt idx="2">
                  <c:v>352.70075000000003</c:v>
                </c:pt>
                <c:pt idx="3">
                  <c:v>352.70075000000082</c:v>
                </c:pt>
                <c:pt idx="4">
                  <c:v>352.70075000000003</c:v>
                </c:pt>
                <c:pt idx="5">
                  <c:v>352.70075000000003</c:v>
                </c:pt>
                <c:pt idx="6">
                  <c:v>352.70075000000003</c:v>
                </c:pt>
                <c:pt idx="7">
                  <c:v>352.70075000000003</c:v>
                </c:pt>
                <c:pt idx="8">
                  <c:v>352.70075000000003</c:v>
                </c:pt>
                <c:pt idx="9">
                  <c:v>352.70075000000003</c:v>
                </c:pt>
                <c:pt idx="10">
                  <c:v>352.70075000000003</c:v>
                </c:pt>
                <c:pt idx="11">
                  <c:v>352.70075000000003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Overblik!$C$64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2.7791666666666668</c:v>
                </c:pt>
                <c:pt idx="1">
                  <c:v>2.7791666666666668</c:v>
                </c:pt>
                <c:pt idx="2">
                  <c:v>2.7791666666666668</c:v>
                </c:pt>
                <c:pt idx="3">
                  <c:v>2.7791666666666668</c:v>
                </c:pt>
                <c:pt idx="4">
                  <c:v>2.7791666666666668</c:v>
                </c:pt>
                <c:pt idx="5">
                  <c:v>1E-14</c:v>
                </c:pt>
                <c:pt idx="6">
                  <c:v>2.7791666666666668</c:v>
                </c:pt>
                <c:pt idx="7">
                  <c:v>2.7791666666666668</c:v>
                </c:pt>
                <c:pt idx="8">
                  <c:v>2.7791666666666668</c:v>
                </c:pt>
                <c:pt idx="9">
                  <c:v>2.7791666666666668</c:v>
                </c:pt>
                <c:pt idx="10">
                  <c:v>2.7791666666666668</c:v>
                </c:pt>
                <c:pt idx="11">
                  <c:v>2.7791666666666668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Overblik!$C$65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357.48166666666663</c:v>
                </c:pt>
                <c:pt idx="1">
                  <c:v>357.48166666666742</c:v>
                </c:pt>
                <c:pt idx="2">
                  <c:v>357.48166666666663</c:v>
                </c:pt>
                <c:pt idx="3">
                  <c:v>357.48166666666663</c:v>
                </c:pt>
                <c:pt idx="4">
                  <c:v>357.48166666666663</c:v>
                </c:pt>
                <c:pt idx="5">
                  <c:v>102.07696456224225</c:v>
                </c:pt>
                <c:pt idx="6">
                  <c:v>357.48166666666663</c:v>
                </c:pt>
                <c:pt idx="7">
                  <c:v>357.48166666666663</c:v>
                </c:pt>
                <c:pt idx="8">
                  <c:v>357.48166666666663</c:v>
                </c:pt>
                <c:pt idx="9">
                  <c:v>357.48166666666663</c:v>
                </c:pt>
                <c:pt idx="10">
                  <c:v>357.48166666666663</c:v>
                </c:pt>
                <c:pt idx="11">
                  <c:v>357.48166666666663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Overblik!$C$66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8.9083333333333314</c:v>
                </c:pt>
                <c:pt idx="1">
                  <c:v>8.9083333333333314</c:v>
                </c:pt>
                <c:pt idx="2">
                  <c:v>8.9083333333333314</c:v>
                </c:pt>
                <c:pt idx="3">
                  <c:v>8.9083333333333314</c:v>
                </c:pt>
                <c:pt idx="4">
                  <c:v>8.9083333333333314</c:v>
                </c:pt>
                <c:pt idx="5">
                  <c:v>8.9083422416666647</c:v>
                </c:pt>
                <c:pt idx="6">
                  <c:v>8.9083333333333314</c:v>
                </c:pt>
                <c:pt idx="7">
                  <c:v>8.9083333333333314</c:v>
                </c:pt>
                <c:pt idx="8">
                  <c:v>8.9083333333333314</c:v>
                </c:pt>
                <c:pt idx="9">
                  <c:v>8.9083333333333314</c:v>
                </c:pt>
                <c:pt idx="10">
                  <c:v>8.9083333333333314</c:v>
                </c:pt>
                <c:pt idx="11">
                  <c:v>8.9083333333333314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Overblik!$C$67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355.50083333333333</c:v>
                </c:pt>
                <c:pt idx="1">
                  <c:v>355.50083333333333</c:v>
                </c:pt>
                <c:pt idx="2">
                  <c:v>355.50083333333333</c:v>
                </c:pt>
                <c:pt idx="3">
                  <c:v>355.50083333333333</c:v>
                </c:pt>
                <c:pt idx="4">
                  <c:v>355.50083333333333</c:v>
                </c:pt>
                <c:pt idx="5">
                  <c:v>355.50083333333333</c:v>
                </c:pt>
                <c:pt idx="6">
                  <c:v>355.50083333333333</c:v>
                </c:pt>
                <c:pt idx="7">
                  <c:v>355.50083333333333</c:v>
                </c:pt>
                <c:pt idx="8">
                  <c:v>355.50083333333333</c:v>
                </c:pt>
                <c:pt idx="9">
                  <c:v>355.50083333333333</c:v>
                </c:pt>
                <c:pt idx="10">
                  <c:v>355.50083333333333</c:v>
                </c:pt>
                <c:pt idx="11">
                  <c:v>355.50083333333333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Overblik!$C$68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33.204999999999998</c:v>
                </c:pt>
                <c:pt idx="1">
                  <c:v>33.204999999999998</c:v>
                </c:pt>
                <c:pt idx="2">
                  <c:v>33.204999999999998</c:v>
                </c:pt>
                <c:pt idx="3">
                  <c:v>33.204999999999998</c:v>
                </c:pt>
                <c:pt idx="4">
                  <c:v>33.204999999999998</c:v>
                </c:pt>
                <c:pt idx="5">
                  <c:v>33.205000000000112</c:v>
                </c:pt>
                <c:pt idx="6">
                  <c:v>33.204999999999998</c:v>
                </c:pt>
                <c:pt idx="7">
                  <c:v>33.204999999999998</c:v>
                </c:pt>
                <c:pt idx="8">
                  <c:v>33.204999999999998</c:v>
                </c:pt>
                <c:pt idx="9">
                  <c:v>33.204999999999998</c:v>
                </c:pt>
                <c:pt idx="10">
                  <c:v>33.204999999999998</c:v>
                </c:pt>
                <c:pt idx="11">
                  <c:v>33.204999999999998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Overblik!$C$69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511.80583333333328</c:v>
                </c:pt>
                <c:pt idx="1">
                  <c:v>511.80583333333328</c:v>
                </c:pt>
                <c:pt idx="2">
                  <c:v>511.80583333333328</c:v>
                </c:pt>
                <c:pt idx="3">
                  <c:v>511.80583333333328</c:v>
                </c:pt>
                <c:pt idx="4">
                  <c:v>511.80583333333328</c:v>
                </c:pt>
                <c:pt idx="5">
                  <c:v>511.80634513916658</c:v>
                </c:pt>
                <c:pt idx="6">
                  <c:v>511.80583333333328</c:v>
                </c:pt>
                <c:pt idx="7">
                  <c:v>511.80583333333328</c:v>
                </c:pt>
                <c:pt idx="8">
                  <c:v>511.80583333333328</c:v>
                </c:pt>
                <c:pt idx="9">
                  <c:v>511.80583333333328</c:v>
                </c:pt>
                <c:pt idx="10">
                  <c:v>511.80583333333328</c:v>
                </c:pt>
                <c:pt idx="11">
                  <c:v>511.80583333333328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Overblik!$C$70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11.182499999999999</c:v>
                </c:pt>
                <c:pt idx="1">
                  <c:v>11.182499999999999</c:v>
                </c:pt>
                <c:pt idx="2">
                  <c:v>11.182499999999999</c:v>
                </c:pt>
                <c:pt idx="3">
                  <c:v>11.182499999999999</c:v>
                </c:pt>
                <c:pt idx="4">
                  <c:v>11.182499999999999</c:v>
                </c:pt>
                <c:pt idx="5">
                  <c:v>11.182499999999999</c:v>
                </c:pt>
                <c:pt idx="6">
                  <c:v>11.182499999999999</c:v>
                </c:pt>
                <c:pt idx="7">
                  <c:v>11.182499999999999</c:v>
                </c:pt>
                <c:pt idx="8">
                  <c:v>11.182499999999999</c:v>
                </c:pt>
                <c:pt idx="9">
                  <c:v>11.182499999999999</c:v>
                </c:pt>
                <c:pt idx="10">
                  <c:v>11.182499999999999</c:v>
                </c:pt>
                <c:pt idx="11">
                  <c:v>11.182499999999999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Overblik!$C$71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4.8150000000000004</c:v>
                </c:pt>
                <c:pt idx="1">
                  <c:v>4.8150000000000004</c:v>
                </c:pt>
                <c:pt idx="2">
                  <c:v>4.8150000000000004</c:v>
                </c:pt>
                <c:pt idx="3">
                  <c:v>4.8150000000000004</c:v>
                </c:pt>
                <c:pt idx="4">
                  <c:v>4.8150000000000004</c:v>
                </c:pt>
                <c:pt idx="5">
                  <c:v>4.8150000000000004</c:v>
                </c:pt>
                <c:pt idx="6">
                  <c:v>4.8150000000000004</c:v>
                </c:pt>
                <c:pt idx="7">
                  <c:v>4.8150000000000004</c:v>
                </c:pt>
                <c:pt idx="8">
                  <c:v>4.8150000000000004</c:v>
                </c:pt>
                <c:pt idx="9">
                  <c:v>4.8150000000000004</c:v>
                </c:pt>
                <c:pt idx="10">
                  <c:v>4.8150000000000004</c:v>
                </c:pt>
                <c:pt idx="11">
                  <c:v>4.8150000000000004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Overblik!$C$72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1.0741666666666667</c:v>
                </c:pt>
                <c:pt idx="1">
                  <c:v>1.0741666666666667</c:v>
                </c:pt>
                <c:pt idx="2">
                  <c:v>1.0741666666666667</c:v>
                </c:pt>
                <c:pt idx="3">
                  <c:v>1.0741666666666667</c:v>
                </c:pt>
                <c:pt idx="4">
                  <c:v>1.0741666666666667</c:v>
                </c:pt>
                <c:pt idx="5">
                  <c:v>1.0741666666666667</c:v>
                </c:pt>
                <c:pt idx="6">
                  <c:v>1.0741666666666667</c:v>
                </c:pt>
                <c:pt idx="7">
                  <c:v>1.0741666666666667</c:v>
                </c:pt>
                <c:pt idx="8">
                  <c:v>1.0741666666666667</c:v>
                </c:pt>
                <c:pt idx="9">
                  <c:v>1.0741666666666667</c:v>
                </c:pt>
                <c:pt idx="10">
                  <c:v>1.0741666666666667</c:v>
                </c:pt>
                <c:pt idx="11">
                  <c:v>1.0741666666666667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Overblik!$C$73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7475.6525833333326</c:v>
                </c:pt>
                <c:pt idx="1">
                  <c:v>5323.3725833333292</c:v>
                </c:pt>
                <c:pt idx="2">
                  <c:v>6077.7425833333327</c:v>
                </c:pt>
                <c:pt idx="3">
                  <c:v>4841.6025833333288</c:v>
                </c:pt>
                <c:pt idx="4">
                  <c:v>1551.0825833333347</c:v>
                </c:pt>
                <c:pt idx="5">
                  <c:v>1E-14</c:v>
                </c:pt>
                <c:pt idx="6">
                  <c:v>2127.4225833333348</c:v>
                </c:pt>
                <c:pt idx="7">
                  <c:v>2128.6025833333351</c:v>
                </c:pt>
                <c:pt idx="8">
                  <c:v>3150.3425833333349</c:v>
                </c:pt>
                <c:pt idx="9">
                  <c:v>1E-14</c:v>
                </c:pt>
                <c:pt idx="10">
                  <c:v>1E-14</c:v>
                </c:pt>
                <c:pt idx="11">
                  <c:v>1556.8693333333367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Overblik!$C$74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154.09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Overblik!$C$75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87.044166666666669</c:v>
                </c:pt>
                <c:pt idx="1">
                  <c:v>87.044166666666669</c:v>
                </c:pt>
                <c:pt idx="2">
                  <c:v>87.044166666666669</c:v>
                </c:pt>
                <c:pt idx="3">
                  <c:v>87.044166666666669</c:v>
                </c:pt>
                <c:pt idx="4">
                  <c:v>87.044166666666669</c:v>
                </c:pt>
                <c:pt idx="5">
                  <c:v>1E-14</c:v>
                </c:pt>
                <c:pt idx="6">
                  <c:v>87.044166666666669</c:v>
                </c:pt>
                <c:pt idx="7">
                  <c:v>87.044166666666669</c:v>
                </c:pt>
                <c:pt idx="8">
                  <c:v>87.044166666666669</c:v>
                </c:pt>
                <c:pt idx="9">
                  <c:v>87.044166666666669</c:v>
                </c:pt>
                <c:pt idx="10">
                  <c:v>87.044166666666669</c:v>
                </c:pt>
                <c:pt idx="11">
                  <c:v>87.044166666666669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9.4949999999999992</c:v>
                </c:pt>
                <c:pt idx="1">
                  <c:v>9.4949999999999992</c:v>
                </c:pt>
                <c:pt idx="2">
                  <c:v>9.4949999999999992</c:v>
                </c:pt>
                <c:pt idx="3">
                  <c:v>9.4949999999999992</c:v>
                </c:pt>
                <c:pt idx="4">
                  <c:v>9.4949999999999992</c:v>
                </c:pt>
                <c:pt idx="5">
                  <c:v>1E-14</c:v>
                </c:pt>
                <c:pt idx="6">
                  <c:v>9.4949999999999992</c:v>
                </c:pt>
                <c:pt idx="7">
                  <c:v>9.4949999999999992</c:v>
                </c:pt>
                <c:pt idx="8">
                  <c:v>9.4949999999999992</c:v>
                </c:pt>
                <c:pt idx="9">
                  <c:v>9.4949999999999992</c:v>
                </c:pt>
                <c:pt idx="10">
                  <c:v>9.4949999999999992</c:v>
                </c:pt>
                <c:pt idx="11">
                  <c:v>9.4949999999999992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Overblik!$C$79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17.683333333333334</c:v>
                </c:pt>
                <c:pt idx="1">
                  <c:v>17.683333333333334</c:v>
                </c:pt>
                <c:pt idx="2">
                  <c:v>17.683333333333334</c:v>
                </c:pt>
                <c:pt idx="3">
                  <c:v>17.683333333333334</c:v>
                </c:pt>
                <c:pt idx="4">
                  <c:v>17.683333333333334</c:v>
                </c:pt>
                <c:pt idx="5">
                  <c:v>17.683351016666666</c:v>
                </c:pt>
                <c:pt idx="6">
                  <c:v>17.683333333333334</c:v>
                </c:pt>
                <c:pt idx="7">
                  <c:v>17.683333333333334</c:v>
                </c:pt>
                <c:pt idx="8">
                  <c:v>17.683333333333334</c:v>
                </c:pt>
                <c:pt idx="9">
                  <c:v>17.683333333333334</c:v>
                </c:pt>
                <c:pt idx="10">
                  <c:v>17.683333333333334</c:v>
                </c:pt>
                <c:pt idx="11">
                  <c:v>17.683333333333334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Overblik!$C$80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Overblik!$C$81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Overblik!$C$82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Overblik!$C$83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Overblik!$C$84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Overblik!$C$85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1110.121499840227</c:v>
                </c:pt>
                <c:pt idx="1">
                  <c:v>3179.1739674593236</c:v>
                </c:pt>
                <c:pt idx="2">
                  <c:v>1891.9970205308364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784.15511097801311</c:v>
                </c:pt>
                <c:pt idx="10">
                  <c:v>3406.257822277847</c:v>
                </c:pt>
                <c:pt idx="11">
                  <c:v>3459.4186545413891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Overblik!$C$86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Overblik!$C$87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  <c:pt idx="1">
                  <c:v>126.89934886876563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Overblik!$C$123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1.1877948412599295</c:v>
                </c:pt>
                <c:pt idx="1">
                  <c:v>1.066826843691953</c:v>
                </c:pt>
                <c:pt idx="2">
                  <c:v>1.0421704663722036</c:v>
                </c:pt>
                <c:pt idx="3">
                  <c:v>0.56363536966535743</c:v>
                </c:pt>
                <c:pt idx="4">
                  <c:v>0.42631299617270546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1E-14</c:v>
                </c:pt>
                <c:pt idx="9">
                  <c:v>0.34727627711006126</c:v>
                </c:pt>
                <c:pt idx="10">
                  <c:v>0.71965636812386713</c:v>
                </c:pt>
                <c:pt idx="11">
                  <c:v>0.38135497259264539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Overblik!$C$124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1.2210760493725263</c:v>
                </c:pt>
                <c:pt idx="1">
                  <c:v>1.0967186103267998</c:v>
                </c:pt>
                <c:pt idx="2">
                  <c:v>1.071371377990362</c:v>
                </c:pt>
                <c:pt idx="3">
                  <c:v>0.99658852293141698</c:v>
                </c:pt>
                <c:pt idx="4">
                  <c:v>0.59658421404129736</c:v>
                </c:pt>
                <c:pt idx="5">
                  <c:v>1.0786036585365852</c:v>
                </c:pt>
                <c:pt idx="6">
                  <c:v>0.74465018683576822</c:v>
                </c:pt>
                <c:pt idx="7">
                  <c:v>0.73956069378300826</c:v>
                </c:pt>
                <c:pt idx="8">
                  <c:v>0.83582376159122107</c:v>
                </c:pt>
                <c:pt idx="9">
                  <c:v>0.92622834938728904</c:v>
                </c:pt>
                <c:pt idx="10">
                  <c:v>0.9270092865452314</c:v>
                </c:pt>
                <c:pt idx="11">
                  <c:v>1.0171204026216141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Overblik!$C$125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0.31539336859686717</c:v>
                </c:pt>
                <c:pt idx="1">
                  <c:v>1</c:v>
                </c:pt>
                <c:pt idx="2">
                  <c:v>0.53752973324662146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0.22278401237107887</c:v>
                </c:pt>
                <c:pt idx="10">
                  <c:v>1</c:v>
                </c:pt>
                <c:pt idx="11">
                  <c:v>0.98284530386960589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Overblik!$C$126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Overblik!$C$127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0.64923334476978145</c:v>
                </c:pt>
                <c:pt idx="7">
                  <c:v>0.68640197257415403</c:v>
                </c:pt>
                <c:pt idx="8">
                  <c:v>0.51299490164609085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Overblik!$C$128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1E-14</c:v>
                </c:pt>
                <c:pt idx="1">
                  <c:v>2.3080238716210684E-2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Overblik!$C$132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Overblik!$C$133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zoomScale="85" zoomScaleNormal="85" workbookViewId="0">
      <selection activeCell="L17" sqref="L17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1E-14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 t="s">
        <v>223</v>
      </c>
      <c r="X15" s="89" t="s">
        <v>224</v>
      </c>
      <c r="Y15" s="89" t="s">
        <v>225</v>
      </c>
      <c r="Z15" s="89" t="s">
        <v>226</v>
      </c>
      <c r="AA15" s="89" t="s">
        <v>227</v>
      </c>
      <c r="AB15" s="89" t="s">
        <v>228</v>
      </c>
      <c r="AC15" s="89" t="s">
        <v>229</v>
      </c>
      <c r="AD15" s="89" t="s">
        <v>230</v>
      </c>
      <c r="AE15" s="89" t="s">
        <v>231</v>
      </c>
      <c r="AF15" s="89" t="s">
        <v>232</v>
      </c>
      <c r="AG15" s="89" t="s">
        <v>233</v>
      </c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99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12</v>
      </c>
      <c r="R17" s="152"/>
      <c r="T17" s="24" t="s">
        <v>110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10</v>
      </c>
      <c r="AC17" s="22">
        <v>10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T18" s="144" t="s">
        <v>111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5</v>
      </c>
      <c r="AB18" s="22">
        <v>31</v>
      </c>
      <c r="AC18" s="22">
        <v>31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112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30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71</v>
      </c>
      <c r="U20" s="53">
        <v>1E-14</v>
      </c>
      <c r="V20" s="22">
        <v>20.833333333333332</v>
      </c>
      <c r="W20" s="22">
        <v>1E-14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29.166666666666668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113</v>
      </c>
      <c r="U21" s="53">
        <v>1E-14</v>
      </c>
      <c r="V21" s="22">
        <v>31</v>
      </c>
      <c r="W21" s="22">
        <v>28</v>
      </c>
      <c r="X21" s="22">
        <v>31</v>
      </c>
      <c r="Y21" s="22">
        <v>30</v>
      </c>
      <c r="Z21" s="22">
        <v>31</v>
      </c>
      <c r="AA21" s="22">
        <v>30</v>
      </c>
      <c r="AB21" s="22">
        <v>31</v>
      </c>
      <c r="AC21" s="22">
        <v>31</v>
      </c>
      <c r="AD21" s="22">
        <v>30</v>
      </c>
      <c r="AE21" s="22">
        <v>31</v>
      </c>
      <c r="AF21" s="22">
        <v>30</v>
      </c>
      <c r="AG21" s="22">
        <v>31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114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>
        <v>28</v>
      </c>
      <c r="X24" s="185">
        <v>31</v>
      </c>
      <c r="Y24" s="185">
        <v>30</v>
      </c>
      <c r="Z24" s="185">
        <v>31</v>
      </c>
      <c r="AA24" s="185">
        <v>3.5676666666666663</v>
      </c>
      <c r="AB24" s="185">
        <v>0.43333333333333335</v>
      </c>
      <c r="AC24" s="185">
        <v>1.4472222222222222</v>
      </c>
      <c r="AD24" s="185">
        <v>30</v>
      </c>
      <c r="AE24" s="185">
        <v>31</v>
      </c>
      <c r="AF24" s="185">
        <v>30</v>
      </c>
      <c r="AG24" s="185">
        <v>31</v>
      </c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>
        <v>4120.58</v>
      </c>
      <c r="X27" s="184">
        <v>4939.28</v>
      </c>
      <c r="Y27" s="184">
        <v>4131.42</v>
      </c>
      <c r="Z27" s="184">
        <v>2587.7199999999998</v>
      </c>
      <c r="AA27" s="184">
        <v>642.17999999999995</v>
      </c>
      <c r="AB27" s="184">
        <v>78</v>
      </c>
      <c r="AC27" s="184">
        <v>260.5</v>
      </c>
      <c r="AD27" s="184">
        <v>4821.5600000000004</v>
      </c>
      <c r="AE27" s="184">
        <v>4868.74</v>
      </c>
      <c r="AF27" s="184">
        <v>5228.4799999999996</v>
      </c>
      <c r="AG27" s="184">
        <v>5402.7626666666665</v>
      </c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 t="s">
        <v>223</v>
      </c>
      <c r="X43" s="90" t="s">
        <v>224</v>
      </c>
      <c r="Y43" s="90" t="s">
        <v>225</v>
      </c>
      <c r="Z43" s="90" t="s">
        <v>226</v>
      </c>
      <c r="AA43" s="90" t="s">
        <v>227</v>
      </c>
      <c r="AB43" s="90" t="s">
        <v>228</v>
      </c>
      <c r="AC43" s="90" t="s">
        <v>229</v>
      </c>
      <c r="AD43" s="90" t="s">
        <v>230</v>
      </c>
      <c r="AE43" s="90" t="s">
        <v>231</v>
      </c>
      <c r="AF43" s="90" t="s">
        <v>232</v>
      </c>
      <c r="AG43" s="90" t="s">
        <v>233</v>
      </c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12915.299999999997</v>
      </c>
      <c r="L44" s="86">
        <v>12915.299999999997</v>
      </c>
      <c r="M44" s="86">
        <v>-1</v>
      </c>
      <c r="N44" s="86">
        <v>-1</v>
      </c>
      <c r="O44" s="86">
        <v>525</v>
      </c>
      <c r="P44" s="186">
        <v>10.5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525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525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1E-14</v>
      </c>
      <c r="W46" s="73">
        <v>1E-14</v>
      </c>
      <c r="X46" s="73">
        <v>1E-14</v>
      </c>
      <c r="Y46" s="73">
        <v>1E-14</v>
      </c>
      <c r="Z46" s="73">
        <v>1E-14</v>
      </c>
      <c r="AA46" s="73">
        <v>1E-14</v>
      </c>
      <c r="AB46" s="73">
        <v>1E-14</v>
      </c>
      <c r="AC46" s="73">
        <v>1E-14</v>
      </c>
      <c r="AD46" s="73">
        <v>1E-14</v>
      </c>
      <c r="AE46" s="73">
        <v>1E-14</v>
      </c>
      <c r="AF46" s="73">
        <v>1E-14</v>
      </c>
      <c r="AG46" s="73">
        <v>1E-14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28766.78</v>
      </c>
      <c r="L47" s="15">
        <v>28766.78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12915.299999999997</v>
      </c>
      <c r="W47" s="73">
        <v>12915.299999999997</v>
      </c>
      <c r="X47" s="73">
        <v>12915.299999999997</v>
      </c>
      <c r="Y47" s="73">
        <v>12915.299999999997</v>
      </c>
      <c r="Z47" s="73">
        <v>12915.299999999997</v>
      </c>
      <c r="AA47" s="73">
        <v>12915.299999999997</v>
      </c>
      <c r="AB47" s="73">
        <v>12915.299999999997</v>
      </c>
      <c r="AC47" s="73">
        <v>12915.299999999997</v>
      </c>
      <c r="AD47" s="73">
        <v>12915.299999999997</v>
      </c>
      <c r="AE47" s="73">
        <v>12915.299999999997</v>
      </c>
      <c r="AF47" s="73">
        <v>12915.299999999997</v>
      </c>
      <c r="AG47" s="73">
        <v>12915.299999999997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4232.4090000000006</v>
      </c>
      <c r="L48" s="15">
        <v>4232.4090000000006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33.35</v>
      </c>
      <c r="L49" s="15">
        <v>33.35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10.5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4289.78</v>
      </c>
      <c r="L50" s="15">
        <v>4289.78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106.89999999999998</v>
      </c>
      <c r="L51" s="15">
        <v>106.89999999999998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4266.01</v>
      </c>
      <c r="L52" s="15">
        <v>4266.01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398.46</v>
      </c>
      <c r="L53" s="15">
        <v>398.46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6141.6699999999992</v>
      </c>
      <c r="L54" s="15">
        <v>6141.6699999999992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134.19</v>
      </c>
      <c r="L55" s="15">
        <v>134.19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525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57.78</v>
      </c>
      <c r="L56" s="15">
        <v>57.78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12.89</v>
      </c>
      <c r="L57" s="15">
        <v>12.89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34232.69</v>
      </c>
      <c r="L58" s="15">
        <v>34232.69</v>
      </c>
      <c r="M58" s="15">
        <v>-1</v>
      </c>
      <c r="N58" s="15">
        <v>-1</v>
      </c>
      <c r="O58" s="15">
        <v>400</v>
      </c>
      <c r="P58" s="187">
        <v>10.5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154.09</v>
      </c>
      <c r="L59" s="15">
        <v>154.09</v>
      </c>
      <c r="M59" s="15">
        <v>-1</v>
      </c>
      <c r="N59" s="15">
        <v>-1</v>
      </c>
      <c r="O59" s="15">
        <v>515</v>
      </c>
      <c r="P59" s="187">
        <v>10.5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1044.53</v>
      </c>
      <c r="L61" s="15">
        <v>1044.53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525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113.93999999999998</v>
      </c>
      <c r="L63" s="15">
        <v>113.93999999999998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212.2</v>
      </c>
      <c r="L64" s="15">
        <v>212.2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2397.2316666666666</v>
      </c>
      <c r="W67" s="73">
        <v>2397.2316666666666</v>
      </c>
      <c r="X67" s="73">
        <v>2397.2316666666666</v>
      </c>
      <c r="Y67" s="73">
        <v>2397.2316666666666</v>
      </c>
      <c r="Z67" s="73">
        <v>2397.2316666666666</v>
      </c>
      <c r="AA67" s="73">
        <v>2397.2316666666666</v>
      </c>
      <c r="AB67" s="73">
        <v>2397.2316666666666</v>
      </c>
      <c r="AC67" s="73">
        <v>2397.2316666666666</v>
      </c>
      <c r="AD67" s="73">
        <v>2397.2316666666666</v>
      </c>
      <c r="AE67" s="73">
        <v>2397.2316666666666</v>
      </c>
      <c r="AF67" s="73">
        <v>2397.2316666666666</v>
      </c>
      <c r="AG67" s="73">
        <v>2397.2316666666666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2397.2316666666666</v>
      </c>
      <c r="W68" s="73">
        <v>2397.2316666666666</v>
      </c>
      <c r="X68" s="73">
        <v>2397.2316666666666</v>
      </c>
      <c r="Y68" s="73">
        <v>2397.2316666666666</v>
      </c>
      <c r="Z68" s="73">
        <v>2397.2316666666666</v>
      </c>
      <c r="AA68" s="73">
        <v>2397.2316666666666</v>
      </c>
      <c r="AB68" s="73">
        <v>2397.2316666666666</v>
      </c>
      <c r="AC68" s="73">
        <v>2397.2316666666666</v>
      </c>
      <c r="AD68" s="73">
        <v>2397.2316666666666</v>
      </c>
      <c r="AE68" s="73">
        <v>2397.2316666666666</v>
      </c>
      <c r="AF68" s="73">
        <v>2397.2316666666666</v>
      </c>
      <c r="AG68" s="73">
        <v>2397.2316666666666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352.70075000000003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352.70075000000003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2.7791666666666668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2.7791666666666668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357.48166666666663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357.48166666666663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8.9083333333333314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8.9083333333333314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355.50083333333333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355.50083333333333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33.204999999999998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33.204999999999998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511.80583333333328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511.80583333333328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11.182499999999999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11.182499999999999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4.8150000000000004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4.8150000000000004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1.0741666666666667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1.0741666666666667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1E-14</v>
      </c>
      <c r="W144" s="73">
        <v>1E-14</v>
      </c>
      <c r="X144" s="73">
        <v>1E-14</v>
      </c>
      <c r="Y144" s="73">
        <v>1E-14</v>
      </c>
      <c r="Z144" s="73">
        <v>1E-14</v>
      </c>
      <c r="AA144" s="73">
        <v>1E-14</v>
      </c>
      <c r="AB144" s="73">
        <v>1E-14</v>
      </c>
      <c r="AC144" s="73">
        <v>1E-14</v>
      </c>
      <c r="AD144" s="73">
        <v>1E-14</v>
      </c>
      <c r="AE144" s="73">
        <v>1E-14</v>
      </c>
      <c r="AF144" s="73">
        <v>1E-14</v>
      </c>
      <c r="AG144" s="73">
        <v>1E-14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34232.69</v>
      </c>
      <c r="W145" s="73">
        <v>34232.69</v>
      </c>
      <c r="X145" s="73">
        <v>34232.69</v>
      </c>
      <c r="Y145" s="73">
        <v>34232.69</v>
      </c>
      <c r="Z145" s="73">
        <v>34232.69</v>
      </c>
      <c r="AA145" s="73">
        <v>34232.69</v>
      </c>
      <c r="AB145" s="73">
        <v>34232.69</v>
      </c>
      <c r="AC145" s="73">
        <v>34232.69</v>
      </c>
      <c r="AD145" s="73">
        <v>34232.69</v>
      </c>
      <c r="AE145" s="73">
        <v>34232.69</v>
      </c>
      <c r="AF145" s="73">
        <v>34232.69</v>
      </c>
      <c r="AG145" s="73">
        <v>34232.69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10.5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1E-14</v>
      </c>
      <c r="W151" s="73">
        <v>1E-14</v>
      </c>
      <c r="X151" s="73">
        <v>1E-14</v>
      </c>
      <c r="Y151" s="73">
        <v>1E-14</v>
      </c>
      <c r="Z151" s="73">
        <v>1E-14</v>
      </c>
      <c r="AA151" s="73">
        <v>1E-14</v>
      </c>
      <c r="AB151" s="73">
        <v>1E-14</v>
      </c>
      <c r="AC151" s="73">
        <v>1E-14</v>
      </c>
      <c r="AD151" s="73">
        <v>1E-14</v>
      </c>
      <c r="AE151" s="73">
        <v>1E-14</v>
      </c>
      <c r="AF151" s="73">
        <v>1E-14</v>
      </c>
      <c r="AG151" s="73">
        <v>1E-14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154.09</v>
      </c>
      <c r="W152" s="73">
        <v>154.09</v>
      </c>
      <c r="X152" s="73">
        <v>154.09</v>
      </c>
      <c r="Y152" s="73">
        <v>154.09</v>
      </c>
      <c r="Z152" s="73">
        <v>154.09</v>
      </c>
      <c r="AA152" s="73">
        <v>154.09</v>
      </c>
      <c r="AB152" s="73">
        <v>154.09</v>
      </c>
      <c r="AC152" s="73">
        <v>154.09</v>
      </c>
      <c r="AD152" s="73">
        <v>154.09</v>
      </c>
      <c r="AE152" s="73">
        <v>154.09</v>
      </c>
      <c r="AF152" s="73">
        <v>154.09</v>
      </c>
      <c r="AG152" s="73">
        <v>154.09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10.5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87.044166666666669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87.044166666666669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9.4949999999999992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9.4949999999999992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17.683333333333334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17.683333333333334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10000</v>
      </c>
      <c r="W194" s="73">
        <v>10000</v>
      </c>
      <c r="X194" s="73">
        <v>10000</v>
      </c>
      <c r="Y194" s="73">
        <v>10000</v>
      </c>
      <c r="Z194" s="73">
        <v>10000</v>
      </c>
      <c r="AA194" s="73">
        <v>10000</v>
      </c>
      <c r="AB194" s="73">
        <v>10000</v>
      </c>
      <c r="AC194" s="73">
        <v>10000</v>
      </c>
      <c r="AD194" s="73">
        <v>10000</v>
      </c>
      <c r="AE194" s="73">
        <v>10000</v>
      </c>
      <c r="AF194" s="73">
        <v>10000</v>
      </c>
      <c r="AG194" s="73">
        <v>10000</v>
      </c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-402.5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</row>
    <row r="196" spans="20:57" x14ac:dyDescent="0.25">
      <c r="T196" s="6" t="s">
        <v>26</v>
      </c>
      <c r="U196" s="6" t="s">
        <v>217</v>
      </c>
      <c r="V196">
        <v>11.5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</row>
    <row r="197" spans="20:57" x14ac:dyDescent="0.25">
      <c r="T197" s="6" t="s">
        <v>26</v>
      </c>
      <c r="U197" s="6" t="s">
        <v>190</v>
      </c>
      <c r="V197">
        <v>1E-14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</row>
    <row r="198" spans="20:57" x14ac:dyDescent="0.25">
      <c r="T198" s="6" t="s">
        <v>27</v>
      </c>
      <c r="U198" s="6" t="s">
        <v>182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</row>
    <row r="199" spans="20:57" x14ac:dyDescent="0.25">
      <c r="T199" s="6" t="s">
        <v>27</v>
      </c>
      <c r="U199" s="6" t="s">
        <v>183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</row>
    <row r="200" spans="20:57" x14ac:dyDescent="0.25">
      <c r="T200" s="6" t="s">
        <v>27</v>
      </c>
      <c r="U200" s="6" t="s">
        <v>184</v>
      </c>
      <c r="V200">
        <v>1E-14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</row>
    <row r="203" spans="20:57" x14ac:dyDescent="0.25">
      <c r="T203" s="6" t="s">
        <v>27</v>
      </c>
      <c r="U203" s="6" t="s">
        <v>217</v>
      </c>
      <c r="V203">
        <v>10.5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</row>
    <row r="204" spans="20:57" x14ac:dyDescent="0.25">
      <c r="T204" s="6" t="s">
        <v>27</v>
      </c>
      <c r="U204" s="6" t="s">
        <v>190</v>
      </c>
      <c r="V204">
        <v>37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</row>
    <row r="205" spans="20:57" x14ac:dyDescent="0.25">
      <c r="T205" s="6" t="s">
        <v>60</v>
      </c>
      <c r="U205" s="6" t="s">
        <v>182</v>
      </c>
      <c r="V205">
        <v>1E-14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</row>
    <row r="206" spans="20:57" x14ac:dyDescent="0.25">
      <c r="T206" s="6" t="s">
        <v>60</v>
      </c>
      <c r="U206" s="6" t="s">
        <v>183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</row>
    <row r="207" spans="20:57" x14ac:dyDescent="0.25">
      <c r="T207" s="6" t="s">
        <v>60</v>
      </c>
      <c r="U207" s="6" t="s">
        <v>184</v>
      </c>
      <c r="V207">
        <v>1E-14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</row>
    <row r="209" spans="20:33" x14ac:dyDescent="0.25">
      <c r="T209" s="6" t="s">
        <v>60</v>
      </c>
      <c r="U209" s="6" t="s">
        <v>188</v>
      </c>
      <c r="V209">
        <v>500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</row>
    <row r="210" spans="20:33" x14ac:dyDescent="0.25">
      <c r="T210" s="6" t="s">
        <v>60</v>
      </c>
      <c r="U210" s="6" t="s">
        <v>217</v>
      </c>
      <c r="V210">
        <v>9.5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</row>
    <row r="211" spans="20:33" x14ac:dyDescent="0.25">
      <c r="T211" s="6" t="s">
        <v>60</v>
      </c>
      <c r="U211" s="6" t="s">
        <v>190</v>
      </c>
      <c r="V211">
        <v>37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</row>
    <row r="212" spans="20:33" x14ac:dyDescent="0.25">
      <c r="T212" s="6" t="s">
        <v>61</v>
      </c>
      <c r="U212" s="6" t="s">
        <v>182</v>
      </c>
      <c r="V212">
        <v>1E-14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</row>
    <row r="213" spans="20:33" x14ac:dyDescent="0.25">
      <c r="T213" s="6" t="s">
        <v>61</v>
      </c>
      <c r="U213" s="6" t="s">
        <v>183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</row>
    <row r="214" spans="20:33" x14ac:dyDescent="0.25">
      <c r="T214" s="6" t="s">
        <v>61</v>
      </c>
      <c r="U214" s="6" t="s">
        <v>184</v>
      </c>
      <c r="V214">
        <v>1E-14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</row>
    <row r="215" spans="20:33" x14ac:dyDescent="0.25">
      <c r="T215" s="6" t="s">
        <v>61</v>
      </c>
      <c r="U215" s="6" t="s">
        <v>185</v>
      </c>
      <c r="V215">
        <v>833.33333333333337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</row>
    <row r="216" spans="20:33" x14ac:dyDescent="0.25">
      <c r="T216" s="6" t="s">
        <v>61</v>
      </c>
      <c r="U216" s="6" t="s">
        <v>188</v>
      </c>
      <c r="V216">
        <v>550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</row>
    <row r="217" spans="20:33" x14ac:dyDescent="0.25">
      <c r="T217" s="6" t="s">
        <v>61</v>
      </c>
      <c r="U217" s="6" t="s">
        <v>217</v>
      </c>
      <c r="V217">
        <v>8.5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</row>
    <row r="218" spans="20:33" x14ac:dyDescent="0.25">
      <c r="T218" s="6" t="s">
        <v>61</v>
      </c>
      <c r="U218" s="6" t="s">
        <v>190</v>
      </c>
      <c r="V218">
        <v>37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</row>
    <row r="219" spans="20:33" x14ac:dyDescent="0.25">
      <c r="T219" s="6" t="s">
        <v>62</v>
      </c>
      <c r="U219" s="6" t="s">
        <v>182</v>
      </c>
      <c r="V219">
        <v>1E-14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</row>
    <row r="220" spans="20:33" x14ac:dyDescent="0.25">
      <c r="T220" s="6" t="s">
        <v>62</v>
      </c>
      <c r="U220" s="6" t="s">
        <v>183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</row>
    <row r="221" spans="20:33" x14ac:dyDescent="0.25">
      <c r="T221" s="6" t="s">
        <v>62</v>
      </c>
      <c r="U221" s="6" t="s">
        <v>184</v>
      </c>
      <c r="V221">
        <v>1E-14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</row>
    <row r="222" spans="20:33" x14ac:dyDescent="0.25">
      <c r="T222" s="6" t="s">
        <v>62</v>
      </c>
      <c r="U222" s="6" t="s">
        <v>185</v>
      </c>
      <c r="V222">
        <v>833.33333333333337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</row>
    <row r="223" spans="20:33" x14ac:dyDescent="0.25">
      <c r="T223" s="6" t="s">
        <v>62</v>
      </c>
      <c r="U223" s="6" t="s">
        <v>188</v>
      </c>
      <c r="V223">
        <v>600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</row>
    <row r="224" spans="20:33" x14ac:dyDescent="0.25">
      <c r="T224" s="6" t="s">
        <v>62</v>
      </c>
      <c r="U224" s="6" t="s">
        <v>217</v>
      </c>
      <c r="V224">
        <v>7.5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</row>
    <row r="225" spans="20:33" x14ac:dyDescent="0.25">
      <c r="T225" s="6" t="s">
        <v>62</v>
      </c>
      <c r="U225" s="6" t="s">
        <v>190</v>
      </c>
      <c r="V225">
        <v>37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</row>
    <row r="226" spans="20:33" x14ac:dyDescent="0.25">
      <c r="T226" s="6" t="s">
        <v>21</v>
      </c>
      <c r="U226" s="6" t="s">
        <v>182</v>
      </c>
      <c r="V226">
        <v>1E-14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</row>
    <row r="227" spans="20:33" x14ac:dyDescent="0.25">
      <c r="T227" s="6" t="s">
        <v>21</v>
      </c>
      <c r="U227" s="6" t="s">
        <v>183</v>
      </c>
      <c r="V227">
        <v>1E-14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</row>
    <row r="228" spans="20:33" x14ac:dyDescent="0.25">
      <c r="T228" s="6" t="s">
        <v>21</v>
      </c>
      <c r="U228" s="6" t="s">
        <v>184</v>
      </c>
      <c r="V228">
        <v>1E-14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</row>
    <row r="229" spans="20:33" x14ac:dyDescent="0.25">
      <c r="T229" s="6" t="s">
        <v>21</v>
      </c>
      <c r="U229" s="6" t="s">
        <v>185</v>
      </c>
      <c r="V229">
        <v>1E-14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</row>
    <row r="230" spans="20:33" x14ac:dyDescent="0.25">
      <c r="T230" s="6" t="s">
        <v>21</v>
      </c>
      <c r="U230" s="6" t="s">
        <v>188</v>
      </c>
      <c r="V230">
        <v>-470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</row>
    <row r="231" spans="20:33" x14ac:dyDescent="0.25">
      <c r="T231" s="6" t="s">
        <v>21</v>
      </c>
      <c r="U231" s="6" t="s">
        <v>217</v>
      </c>
      <c r="V231">
        <v>9.4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</row>
    <row r="232" spans="20:33" x14ac:dyDescent="0.25">
      <c r="T232" s="6" t="s">
        <v>21</v>
      </c>
      <c r="U232" s="6" t="s">
        <v>190</v>
      </c>
      <c r="V232">
        <v>1E-14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</row>
    <row r="233" spans="20:33" x14ac:dyDescent="0.25">
      <c r="T233" s="6" t="s">
        <v>22</v>
      </c>
      <c r="U233" s="6" t="s">
        <v>182</v>
      </c>
      <c r="V233">
        <v>1E-14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</row>
    <row r="234" spans="20:33" x14ac:dyDescent="0.25">
      <c r="T234" s="6" t="s">
        <v>22</v>
      </c>
      <c r="U234" s="6" t="s">
        <v>183</v>
      </c>
      <c r="V234">
        <v>1E-14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</row>
    <row r="235" spans="20:33" x14ac:dyDescent="0.25">
      <c r="T235" s="6" t="s">
        <v>22</v>
      </c>
      <c r="U235" s="6" t="s">
        <v>184</v>
      </c>
      <c r="V235">
        <v>1E-14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</row>
    <row r="236" spans="20:33" x14ac:dyDescent="0.25">
      <c r="T236" s="6" t="s">
        <v>22</v>
      </c>
      <c r="U236" s="6" t="s">
        <v>185</v>
      </c>
      <c r="V236">
        <v>20.833333333333332</v>
      </c>
      <c r="W236">
        <v>1E-14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29.166666666666668</v>
      </c>
    </row>
    <row r="237" spans="20:33" x14ac:dyDescent="0.25">
      <c r="T237" s="6" t="s">
        <v>22</v>
      </c>
      <c r="U237" s="6" t="s">
        <v>188</v>
      </c>
      <c r="V237">
        <v>-189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</row>
    <row r="238" spans="20:33" x14ac:dyDescent="0.25">
      <c r="T238" s="6" t="s">
        <v>22</v>
      </c>
      <c r="U238" s="6" t="s">
        <v>217</v>
      </c>
      <c r="V238">
        <v>3.6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</row>
    <row r="239" spans="20:33" x14ac:dyDescent="0.25">
      <c r="T239" s="6" t="s">
        <v>22</v>
      </c>
      <c r="U239" s="6" t="s">
        <v>190</v>
      </c>
      <c r="V239">
        <v>1E-14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</row>
    <row r="240" spans="20:33" x14ac:dyDescent="0.25">
      <c r="T240" s="6" t="s">
        <v>25</v>
      </c>
      <c r="U240" s="6" t="s">
        <v>182</v>
      </c>
      <c r="V240">
        <v>1E-14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</row>
    <row r="241" spans="20:33" x14ac:dyDescent="0.25">
      <c r="T241" s="6" t="s">
        <v>25</v>
      </c>
      <c r="U241" s="6" t="s">
        <v>183</v>
      </c>
      <c r="V241">
        <v>1E-14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</row>
    <row r="242" spans="20:33" x14ac:dyDescent="0.25">
      <c r="T242" s="6" t="s">
        <v>25</v>
      </c>
      <c r="U242" s="6" t="s">
        <v>184</v>
      </c>
      <c r="V242">
        <v>1E-14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</row>
    <row r="243" spans="20:33" x14ac:dyDescent="0.25">
      <c r="T243" s="6" t="s">
        <v>25</v>
      </c>
      <c r="U243" s="6" t="s">
        <v>185</v>
      </c>
      <c r="V243">
        <v>20000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</row>
    <row r="244" spans="20:33" x14ac:dyDescent="0.25">
      <c r="T244" s="6" t="s">
        <v>25</v>
      </c>
      <c r="U244" s="6" t="s">
        <v>188</v>
      </c>
      <c r="V244">
        <v>-5000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</row>
    <row r="245" spans="20:33" x14ac:dyDescent="0.25">
      <c r="T245" s="6" t="s">
        <v>25</v>
      </c>
      <c r="U245" s="6" t="s">
        <v>217</v>
      </c>
      <c r="V245">
        <v>44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</row>
    <row r="246" spans="20:33" x14ac:dyDescent="0.25">
      <c r="T246" s="6" t="s">
        <v>25</v>
      </c>
      <c r="U246" s="6" t="s">
        <v>190</v>
      </c>
      <c r="V246">
        <v>72.727272727272734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110</v>
      </c>
      <c r="C11" s="6" t="s">
        <v>99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110</v>
      </c>
      <c r="C12" s="6" t="s">
        <v>115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110</v>
      </c>
      <c r="C13" s="6" t="s">
        <v>116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110</v>
      </c>
      <c r="C14" s="6" t="s">
        <v>165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110</v>
      </c>
      <c r="C15" s="6" t="s">
        <v>166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110</v>
      </c>
      <c r="C16" s="6" t="s">
        <v>167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110</v>
      </c>
      <c r="C17" s="6" t="s">
        <v>168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110</v>
      </c>
      <c r="C18" s="6" t="s">
        <v>192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110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110</v>
      </c>
      <c r="C20" s="6" t="s">
        <v>193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110</v>
      </c>
      <c r="C21" s="6" t="s">
        <v>221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110</v>
      </c>
      <c r="C22" s="6" t="s">
        <v>222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110</v>
      </c>
      <c r="C23" s="6" t="s">
        <v>141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110</v>
      </c>
      <c r="C24" s="6" t="s">
        <v>117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110</v>
      </c>
      <c r="C25" s="6" t="s">
        <v>145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110</v>
      </c>
      <c r="C26" s="6" t="s">
        <v>146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111</v>
      </c>
      <c r="C27" s="6" t="s">
        <v>99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111</v>
      </c>
      <c r="C28" s="6" t="s">
        <v>115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111</v>
      </c>
      <c r="C29" s="6" t="s">
        <v>116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111</v>
      </c>
      <c r="C30" s="6" t="s">
        <v>165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111</v>
      </c>
      <c r="C31" s="6" t="s">
        <v>166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111</v>
      </c>
      <c r="C32" s="6" t="s">
        <v>167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111</v>
      </c>
      <c r="C33" s="6" t="s">
        <v>168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111</v>
      </c>
      <c r="C34" s="6" t="s">
        <v>192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111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111</v>
      </c>
      <c r="C36" s="6" t="s">
        <v>193</v>
      </c>
      <c r="D36">
        <v>8</v>
      </c>
      <c r="E36">
        <v>8</v>
      </c>
      <c r="F36">
        <v>8</v>
      </c>
      <c r="G36">
        <v>8</v>
      </c>
      <c r="H36">
        <v>8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111</v>
      </c>
      <c r="C37" s="6" t="s">
        <v>221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111</v>
      </c>
      <c r="C38" s="6" t="s">
        <v>222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111</v>
      </c>
      <c r="C39" s="6" t="s">
        <v>141</v>
      </c>
      <c r="D39">
        <v>0.22470000000000001</v>
      </c>
      <c r="E39">
        <v>0.22470000000000001</v>
      </c>
      <c r="F39">
        <v>0.22470000000000001</v>
      </c>
      <c r="G39">
        <v>0.22470000000000001</v>
      </c>
      <c r="H39">
        <v>0.22470000000000001</v>
      </c>
      <c r="I39">
        <v>0.22470000000000001</v>
      </c>
      <c r="J39">
        <v>0.22470000000000001</v>
      </c>
      <c r="K39">
        <v>0.22470000000000001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111</v>
      </c>
      <c r="C40" s="6" t="s">
        <v>117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111</v>
      </c>
      <c r="C41" s="6" t="s">
        <v>145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111</v>
      </c>
      <c r="C42" s="6" t="s">
        <v>146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112</v>
      </c>
      <c r="C43" s="6" t="s">
        <v>99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112</v>
      </c>
      <c r="C44" s="6" t="s">
        <v>115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112</v>
      </c>
      <c r="C45" s="6" t="s">
        <v>116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112</v>
      </c>
      <c r="C46" s="6" t="s">
        <v>165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112</v>
      </c>
      <c r="C47" s="6" t="s">
        <v>166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112</v>
      </c>
      <c r="C48" s="6" t="s">
        <v>167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112</v>
      </c>
      <c r="C49" s="6" t="s">
        <v>168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112</v>
      </c>
      <c r="C50" s="6" t="s">
        <v>192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112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112</v>
      </c>
      <c r="C52" s="6" t="s">
        <v>193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112</v>
      </c>
      <c r="C53" s="6" t="s">
        <v>221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112</v>
      </c>
      <c r="C54" s="6" t="s">
        <v>222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112</v>
      </c>
      <c r="C55" s="6" t="s">
        <v>141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112</v>
      </c>
      <c r="C56" s="6" t="s">
        <v>117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112</v>
      </c>
      <c r="C57" s="6" t="s">
        <v>145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112</v>
      </c>
      <c r="C58" s="6" t="s">
        <v>146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71</v>
      </c>
      <c r="C59" s="6" t="s">
        <v>99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71</v>
      </c>
      <c r="C60" s="6" t="s">
        <v>115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71</v>
      </c>
      <c r="C61" s="6" t="s">
        <v>116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71</v>
      </c>
      <c r="C62" s="6" t="s">
        <v>165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71</v>
      </c>
      <c r="C63" s="6" t="s">
        <v>166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71</v>
      </c>
      <c r="C64" s="6" t="s">
        <v>167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71</v>
      </c>
      <c r="C65" s="6" t="s">
        <v>168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71</v>
      </c>
      <c r="C66" s="6" t="s">
        <v>192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71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71</v>
      </c>
      <c r="C68" s="6" t="s">
        <v>193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71</v>
      </c>
      <c r="C69" s="6" t="s">
        <v>221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71</v>
      </c>
      <c r="C70" s="6" t="s">
        <v>222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71</v>
      </c>
      <c r="C71" s="6" t="s">
        <v>141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71</v>
      </c>
      <c r="C72" s="6" t="s">
        <v>117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71</v>
      </c>
      <c r="C73" s="6" t="s">
        <v>145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71</v>
      </c>
      <c r="C74" s="6" t="s">
        <v>146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113</v>
      </c>
      <c r="C75" s="6" t="s">
        <v>99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113</v>
      </c>
      <c r="C76" s="6" t="s">
        <v>115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113</v>
      </c>
      <c r="C77" s="6" t="s">
        <v>116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113</v>
      </c>
      <c r="C78" s="6" t="s">
        <v>165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113</v>
      </c>
      <c r="C79" s="6" t="s">
        <v>166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113</v>
      </c>
      <c r="C80" s="6" t="s">
        <v>167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113</v>
      </c>
      <c r="C81" s="6" t="s">
        <v>168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113</v>
      </c>
      <c r="C82" s="6" t="s">
        <v>192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113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113</v>
      </c>
      <c r="C84" s="6" t="s">
        <v>193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113</v>
      </c>
      <c r="C85" s="6" t="s">
        <v>221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113</v>
      </c>
      <c r="C86" s="6" t="s">
        <v>222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113</v>
      </c>
      <c r="C87" s="6" t="s">
        <v>141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113</v>
      </c>
      <c r="C88" s="6" t="s">
        <v>117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113</v>
      </c>
      <c r="C89" s="6" t="s">
        <v>145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113</v>
      </c>
      <c r="C90" s="6" t="s">
        <v>146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114</v>
      </c>
      <c r="C91" s="6" t="s">
        <v>99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114</v>
      </c>
      <c r="C92" s="6" t="s">
        <v>115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114</v>
      </c>
      <c r="C93" s="6" t="s">
        <v>116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114</v>
      </c>
      <c r="C94" s="6" t="s">
        <v>165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114</v>
      </c>
      <c r="C95" s="6" t="s">
        <v>166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114</v>
      </c>
      <c r="C96" s="6" t="s">
        <v>167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114</v>
      </c>
      <c r="C97" s="6" t="s">
        <v>168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114</v>
      </c>
      <c r="C98" s="6" t="s">
        <v>192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114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114</v>
      </c>
      <c r="C100" s="6" t="s">
        <v>193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114</v>
      </c>
      <c r="C101" s="6" t="s">
        <v>221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114</v>
      </c>
      <c r="C102" s="6" t="s">
        <v>222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114</v>
      </c>
      <c r="C103" s="6" t="s">
        <v>141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114</v>
      </c>
      <c r="C104" s="6" t="s">
        <v>117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114</v>
      </c>
      <c r="C105" s="6" t="s">
        <v>145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114</v>
      </c>
      <c r="C106" s="6" t="s">
        <v>146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97</v>
      </c>
      <c r="C11" s="6" t="s">
        <v>99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97</v>
      </c>
      <c r="C12" s="6" t="s">
        <v>105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97</v>
      </c>
      <c r="C13" s="6" t="s">
        <v>207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97</v>
      </c>
      <c r="C14" s="6" t="s">
        <v>138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97</v>
      </c>
      <c r="C15" s="6" t="s">
        <v>100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97</v>
      </c>
      <c r="C16" s="6" t="s">
        <v>101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97</v>
      </c>
      <c r="C17" s="6" t="s">
        <v>139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97</v>
      </c>
      <c r="C18" s="6" t="s">
        <v>102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97</v>
      </c>
      <c r="C19" s="6" t="s">
        <v>103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97</v>
      </c>
      <c r="C20" s="6" t="s">
        <v>119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97</v>
      </c>
      <c r="C21" s="6" t="s">
        <v>104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97</v>
      </c>
      <c r="C22" s="6" t="s">
        <v>120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98</v>
      </c>
      <c r="C23" s="6" t="s">
        <v>99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98</v>
      </c>
      <c r="C24" s="6" t="s">
        <v>105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98</v>
      </c>
      <c r="C25" s="6" t="s">
        <v>207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98</v>
      </c>
      <c r="C26" s="6" t="s">
        <v>138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98</v>
      </c>
      <c r="C27" s="6" t="s">
        <v>100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98</v>
      </c>
      <c r="C28" s="6" t="s">
        <v>101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98</v>
      </c>
      <c r="C29" s="6" t="s">
        <v>139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98</v>
      </c>
      <c r="C30" s="6" t="s">
        <v>102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98</v>
      </c>
      <c r="C31" s="6" t="s">
        <v>103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98</v>
      </c>
      <c r="C32" s="6" t="s">
        <v>119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98</v>
      </c>
      <c r="C33" s="6" t="s">
        <v>104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98</v>
      </c>
      <c r="C34" s="6" t="s">
        <v>120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8" customFormat="1" x14ac:dyDescent="0.25">
      <c r="B10" s="209"/>
      <c r="C10" s="210"/>
      <c r="D10" s="210" t="s">
        <v>216</v>
      </c>
      <c r="E10" s="210" t="s">
        <v>223</v>
      </c>
      <c r="F10" s="210" t="s">
        <v>224</v>
      </c>
      <c r="G10" s="210" t="s">
        <v>225</v>
      </c>
      <c r="H10" s="210" t="s">
        <v>226</v>
      </c>
      <c r="I10" s="210" t="s">
        <v>227</v>
      </c>
      <c r="J10" s="210" t="s">
        <v>228</v>
      </c>
      <c r="K10" s="210" t="s">
        <v>229</v>
      </c>
      <c r="L10" s="210" t="s">
        <v>230</v>
      </c>
      <c r="M10" s="210" t="s">
        <v>231</v>
      </c>
      <c r="N10" s="210" t="s">
        <v>232</v>
      </c>
      <c r="O10" s="210" t="s">
        <v>233</v>
      </c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</row>
    <row r="11" spans="2:28" x14ac:dyDescent="0.25">
      <c r="B11" s="6" t="s">
        <v>0</v>
      </c>
      <c r="C11" s="6" t="s">
        <v>182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183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184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0</v>
      </c>
      <c r="C14" s="6" t="s">
        <v>185</v>
      </c>
      <c r="D14">
        <v>12915.299999999997</v>
      </c>
      <c r="E14">
        <v>12915.299999999997</v>
      </c>
      <c r="F14">
        <v>12915.299999999997</v>
      </c>
      <c r="G14">
        <v>12915.299999999997</v>
      </c>
      <c r="H14">
        <v>12915.299999999997</v>
      </c>
      <c r="I14">
        <v>12915.299999999997</v>
      </c>
      <c r="J14">
        <v>12915.299999999997</v>
      </c>
      <c r="K14">
        <v>12915.299999999997</v>
      </c>
      <c r="L14">
        <v>12915.299999999997</v>
      </c>
      <c r="M14">
        <v>12915.299999999997</v>
      </c>
      <c r="N14">
        <v>12915.299999999997</v>
      </c>
      <c r="O14">
        <v>12915.299999999997</v>
      </c>
    </row>
    <row r="15" spans="2:28" x14ac:dyDescent="0.25">
      <c r="B15" s="6" t="s">
        <v>0</v>
      </c>
      <c r="C15" s="6" t="s">
        <v>188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217</v>
      </c>
      <c r="D16">
        <v>10.5</v>
      </c>
      <c r="E16">
        <v>10.5</v>
      </c>
      <c r="F16">
        <v>10.5</v>
      </c>
      <c r="G16">
        <v>10.5</v>
      </c>
      <c r="H16">
        <v>10.5</v>
      </c>
      <c r="I16">
        <v>10.5</v>
      </c>
      <c r="J16">
        <v>10.5</v>
      </c>
      <c r="K16">
        <v>10.5</v>
      </c>
      <c r="L16">
        <v>10.5</v>
      </c>
      <c r="M16">
        <v>10.5</v>
      </c>
      <c r="N16">
        <v>10.5</v>
      </c>
      <c r="O16">
        <v>10.5</v>
      </c>
    </row>
    <row r="17" spans="2:15" x14ac:dyDescent="0.25">
      <c r="B17" s="6" t="s">
        <v>0</v>
      </c>
      <c r="C17" s="6" t="s">
        <v>190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182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183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184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185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188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217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190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182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183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184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185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188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217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190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182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183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184</v>
      </c>
      <c r="D34">
        <v>2397.2316666666666</v>
      </c>
      <c r="E34">
        <v>2397.2316666666666</v>
      </c>
      <c r="F34">
        <v>2397.2316666666666</v>
      </c>
      <c r="G34">
        <v>2397.2316666666666</v>
      </c>
      <c r="H34">
        <v>2397.2316666666666</v>
      </c>
      <c r="I34">
        <v>2397.2316666666666</v>
      </c>
      <c r="J34">
        <v>2397.2316666666666</v>
      </c>
      <c r="K34">
        <v>2397.2316666666666</v>
      </c>
      <c r="L34">
        <v>2397.2316666666666</v>
      </c>
      <c r="M34">
        <v>2397.2316666666666</v>
      </c>
      <c r="N34">
        <v>2397.2316666666666</v>
      </c>
      <c r="O34">
        <v>2397.2316666666666</v>
      </c>
    </row>
    <row r="35" spans="2:15" x14ac:dyDescent="0.25">
      <c r="B35" s="6" t="s">
        <v>3</v>
      </c>
      <c r="C35" s="6" t="s">
        <v>185</v>
      </c>
      <c r="D35">
        <v>2397.2316666666666</v>
      </c>
      <c r="E35">
        <v>2397.2316666666666</v>
      </c>
      <c r="F35">
        <v>2397.2316666666666</v>
      </c>
      <c r="G35">
        <v>2397.2316666666666</v>
      </c>
      <c r="H35">
        <v>2397.2316666666666</v>
      </c>
      <c r="I35">
        <v>2397.2316666666666</v>
      </c>
      <c r="J35">
        <v>2397.2316666666666</v>
      </c>
      <c r="K35">
        <v>2397.2316666666666</v>
      </c>
      <c r="L35">
        <v>2397.2316666666666</v>
      </c>
      <c r="M35">
        <v>2397.2316666666666</v>
      </c>
      <c r="N35">
        <v>2397.2316666666666</v>
      </c>
      <c r="O35">
        <v>2397.2316666666666</v>
      </c>
    </row>
    <row r="36" spans="2:15" x14ac:dyDescent="0.25">
      <c r="B36" s="6" t="s">
        <v>3</v>
      </c>
      <c r="C36" s="6" t="s">
        <v>188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217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190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182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183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184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185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188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217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190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182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183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184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185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188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217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190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182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183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184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185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188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217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190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182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183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184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185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188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217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190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182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183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184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185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188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217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190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182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183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184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185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188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217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190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182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183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184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185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188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217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190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182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183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184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185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188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217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190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182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183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184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185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188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217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190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182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183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184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185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188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217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190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182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183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184</v>
      </c>
      <c r="D111">
        <v>1E-14</v>
      </c>
      <c r="E111">
        <v>1E-14</v>
      </c>
      <c r="F111">
        <v>1E-14</v>
      </c>
      <c r="G111">
        <v>1E-14</v>
      </c>
      <c r="H111">
        <v>1E-14</v>
      </c>
      <c r="I111">
        <v>1E-14</v>
      </c>
      <c r="J111">
        <v>1E-14</v>
      </c>
      <c r="K111">
        <v>1E-14</v>
      </c>
      <c r="L111">
        <v>1E-14</v>
      </c>
      <c r="M111">
        <v>1E-14</v>
      </c>
      <c r="N111">
        <v>1E-14</v>
      </c>
      <c r="O111">
        <v>1E-14</v>
      </c>
    </row>
    <row r="112" spans="2:15" x14ac:dyDescent="0.25">
      <c r="B112" s="6" t="s">
        <v>14</v>
      </c>
      <c r="C112" s="6" t="s">
        <v>185</v>
      </c>
      <c r="D112">
        <v>34232.69</v>
      </c>
      <c r="E112">
        <v>34232.69</v>
      </c>
      <c r="F112">
        <v>34232.69</v>
      </c>
      <c r="G112">
        <v>34232.69</v>
      </c>
      <c r="H112">
        <v>34232.69</v>
      </c>
      <c r="I112">
        <v>34232.69</v>
      </c>
      <c r="J112">
        <v>34232.69</v>
      </c>
      <c r="K112">
        <v>34232.69</v>
      </c>
      <c r="L112">
        <v>34232.69</v>
      </c>
      <c r="M112">
        <v>34232.69</v>
      </c>
      <c r="N112">
        <v>34232.69</v>
      </c>
      <c r="O112">
        <v>34232.69</v>
      </c>
    </row>
    <row r="113" spans="2:15" x14ac:dyDescent="0.25">
      <c r="B113" s="6" t="s">
        <v>14</v>
      </c>
      <c r="C113" s="6" t="s">
        <v>188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217</v>
      </c>
      <c r="D114">
        <v>10.5</v>
      </c>
      <c r="E114">
        <v>10.5</v>
      </c>
      <c r="F114">
        <v>10.5</v>
      </c>
      <c r="G114">
        <v>10.5</v>
      </c>
      <c r="H114">
        <v>10.5</v>
      </c>
      <c r="I114">
        <v>10.5</v>
      </c>
      <c r="J114">
        <v>10.5</v>
      </c>
      <c r="K114">
        <v>10.5</v>
      </c>
      <c r="L114">
        <v>10.5</v>
      </c>
      <c r="M114">
        <v>10.5</v>
      </c>
      <c r="N114">
        <v>10.5</v>
      </c>
      <c r="O114">
        <v>10.5</v>
      </c>
    </row>
    <row r="115" spans="2:15" x14ac:dyDescent="0.25">
      <c r="B115" s="6" t="s">
        <v>14</v>
      </c>
      <c r="C115" s="6" t="s">
        <v>190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182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183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184</v>
      </c>
      <c r="D118">
        <v>1E-14</v>
      </c>
      <c r="E118">
        <v>1E-14</v>
      </c>
      <c r="F118">
        <v>1E-14</v>
      </c>
      <c r="G118">
        <v>1E-14</v>
      </c>
      <c r="H118">
        <v>1E-14</v>
      </c>
      <c r="I118">
        <v>1E-14</v>
      </c>
      <c r="J118">
        <v>1E-14</v>
      </c>
      <c r="K118">
        <v>1E-14</v>
      </c>
      <c r="L118">
        <v>1E-14</v>
      </c>
      <c r="M118">
        <v>1E-14</v>
      </c>
      <c r="N118">
        <v>1E-14</v>
      </c>
      <c r="O118">
        <v>1E-14</v>
      </c>
    </row>
    <row r="119" spans="2:15" x14ac:dyDescent="0.25">
      <c r="B119" s="6" t="s">
        <v>15</v>
      </c>
      <c r="C119" s="6" t="s">
        <v>185</v>
      </c>
      <c r="D119">
        <v>154.09</v>
      </c>
      <c r="E119">
        <v>154.09</v>
      </c>
      <c r="F119">
        <v>154.09</v>
      </c>
      <c r="G119">
        <v>154.09</v>
      </c>
      <c r="H119">
        <v>154.09</v>
      </c>
      <c r="I119">
        <v>154.09</v>
      </c>
      <c r="J119">
        <v>154.09</v>
      </c>
      <c r="K119">
        <v>154.09</v>
      </c>
      <c r="L119">
        <v>154.09</v>
      </c>
      <c r="M119">
        <v>154.09</v>
      </c>
      <c r="N119">
        <v>154.09</v>
      </c>
      <c r="O119">
        <v>154.09</v>
      </c>
    </row>
    <row r="120" spans="2:15" x14ac:dyDescent="0.25">
      <c r="B120" s="6" t="s">
        <v>15</v>
      </c>
      <c r="C120" s="6" t="s">
        <v>188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217</v>
      </c>
      <c r="D121">
        <v>10.5</v>
      </c>
      <c r="E121">
        <v>10.5</v>
      </c>
      <c r="F121">
        <v>10.5</v>
      </c>
      <c r="G121">
        <v>10.5</v>
      </c>
      <c r="H121">
        <v>10.5</v>
      </c>
      <c r="I121">
        <v>10.5</v>
      </c>
      <c r="J121">
        <v>10.5</v>
      </c>
      <c r="K121">
        <v>10.5</v>
      </c>
      <c r="L121">
        <v>10.5</v>
      </c>
      <c r="M121">
        <v>10.5</v>
      </c>
      <c r="N121">
        <v>10.5</v>
      </c>
      <c r="O121">
        <v>10.5</v>
      </c>
    </row>
    <row r="122" spans="2:15" x14ac:dyDescent="0.25">
      <c r="B122" s="6" t="s">
        <v>15</v>
      </c>
      <c r="C122" s="6" t="s">
        <v>190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182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183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184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185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188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217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190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182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183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184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185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188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217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190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182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183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184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185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188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217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190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182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183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184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185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188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217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190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182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183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184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185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188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217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190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182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183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184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185</v>
      </c>
      <c r="D161">
        <v>10000</v>
      </c>
      <c r="E161">
        <v>10000</v>
      </c>
      <c r="F161">
        <v>10000</v>
      </c>
      <c r="G161">
        <v>10000</v>
      </c>
      <c r="H161">
        <v>10000</v>
      </c>
      <c r="I161">
        <v>10000</v>
      </c>
      <c r="J161">
        <v>10000</v>
      </c>
      <c r="K161">
        <v>10000</v>
      </c>
      <c r="L161">
        <v>10000</v>
      </c>
      <c r="M161">
        <v>10000</v>
      </c>
      <c r="N161">
        <v>10000</v>
      </c>
      <c r="O161">
        <v>10000</v>
      </c>
    </row>
    <row r="162" spans="2:15" x14ac:dyDescent="0.25">
      <c r="B162" s="6" t="s">
        <v>26</v>
      </c>
      <c r="C162" s="6" t="s">
        <v>188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217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190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182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183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184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185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188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217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190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60</v>
      </c>
      <c r="C172" s="6" t="s">
        <v>182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60</v>
      </c>
      <c r="C173" s="6" t="s">
        <v>183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60</v>
      </c>
      <c r="C174" s="6" t="s">
        <v>184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60</v>
      </c>
      <c r="C175" s="6" t="s">
        <v>185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60</v>
      </c>
      <c r="C176" s="6" t="s">
        <v>188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60</v>
      </c>
      <c r="C177" s="6" t="s">
        <v>217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60</v>
      </c>
      <c r="C178" s="6" t="s">
        <v>190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61</v>
      </c>
      <c r="C179" s="6" t="s">
        <v>182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61</v>
      </c>
      <c r="C180" s="6" t="s">
        <v>183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61</v>
      </c>
      <c r="C181" s="6" t="s">
        <v>184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61</v>
      </c>
      <c r="C182" s="6" t="s">
        <v>185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61</v>
      </c>
      <c r="C183" s="6" t="s">
        <v>188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61</v>
      </c>
      <c r="C184" s="6" t="s">
        <v>217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61</v>
      </c>
      <c r="C185" s="6" t="s">
        <v>190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62</v>
      </c>
      <c r="C186" s="6" t="s">
        <v>182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62</v>
      </c>
      <c r="C187" s="6" t="s">
        <v>183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62</v>
      </c>
      <c r="C188" s="6" t="s">
        <v>184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62</v>
      </c>
      <c r="C189" s="6" t="s">
        <v>185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62</v>
      </c>
      <c r="C190" s="6" t="s">
        <v>188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62</v>
      </c>
      <c r="C191" s="6" t="s">
        <v>217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62</v>
      </c>
      <c r="C192" s="6" t="s">
        <v>190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182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183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184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185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188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217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190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182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183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184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185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188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217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190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182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183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184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185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188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217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190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8"/>
  <sheetViews>
    <sheetView tabSelected="1" zoomScale="85" zoomScaleNormal="85" workbookViewId="0">
      <pane xSplit="3" ySplit="6" topLeftCell="D30" activePane="bottomRight" state="frozen"/>
      <selection pane="topRight" activeCell="D1" sqref="D1"/>
      <selection pane="bottomLeft" activeCell="A6" sqref="A6"/>
      <selection pane="bottomRight" activeCell="C7" sqref="C7:AA7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1</v>
      </c>
      <c r="C2" s="207">
        <v>44596.558949351849</v>
      </c>
      <c r="D2" s="175" t="str">
        <f>IF($B$2&gt;0,"Virtuelle ressourcer er blevet brugt","")</f>
        <v>Virtuelle ressourcer er blevet brugt</v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0"/>
    </row>
    <row r="4" spans="1:27" x14ac:dyDescent="0.25">
      <c r="A4" s="63" t="s">
        <v>203</v>
      </c>
      <c r="B4" s="69">
        <v>-8191041.0348975603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-5290627.7062871139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 t="s">
        <v>223</v>
      </c>
      <c r="F7" s="78" t="s">
        <v>224</v>
      </c>
      <c r="G7" s="78" t="s">
        <v>225</v>
      </c>
      <c r="H7" s="78" t="s">
        <v>226</v>
      </c>
      <c r="I7" s="78" t="s">
        <v>227</v>
      </c>
      <c r="J7" s="78" t="s">
        <v>228</v>
      </c>
      <c r="K7" s="78" t="s">
        <v>229</v>
      </c>
      <c r="L7" s="78" t="s">
        <v>230</v>
      </c>
      <c r="M7" s="78" t="s">
        <v>231</v>
      </c>
      <c r="N7" s="78" t="s">
        <v>232</v>
      </c>
      <c r="O7" s="78" t="s">
        <v>233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-(A11-A38)/A8</f>
        <v>33.189148008725937</v>
      </c>
      <c r="B9" s="50" t="s">
        <v>30</v>
      </c>
      <c r="C9" s="56" t="s">
        <v>205</v>
      </c>
      <c r="D9" s="12">
        <v>96.773621314193889</v>
      </c>
      <c r="E9" s="12">
        <v>141.38130227971502</v>
      </c>
      <c r="F9" s="12">
        <v>97.830632433166059</v>
      </c>
      <c r="G9" s="12">
        <v>47.275681040401665</v>
      </c>
      <c r="H9" s="12">
        <v>42.213816212367085</v>
      </c>
      <c r="I9" s="12">
        <v>38.57631305980378</v>
      </c>
      <c r="J9" s="12">
        <v>153.9669219149194</v>
      </c>
      <c r="K9" s="12">
        <v>151.1995872633656</v>
      </c>
      <c r="L9" s="12">
        <v>-344.6065258518143</v>
      </c>
      <c r="M9" s="12">
        <v>-86.286391658219245</v>
      </c>
      <c r="N9" s="12">
        <v>-8.0244700304211545</v>
      </c>
      <c r="O9" s="12">
        <v>-66.070187770632486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-A11/(A8-A43)</f>
        <v>20.87909253392754</v>
      </c>
      <c r="B10" s="50" t="s">
        <v>30</v>
      </c>
      <c r="C10" s="58" t="s">
        <v>206</v>
      </c>
      <c r="D10" s="12">
        <v>84.987502632301727</v>
      </c>
      <c r="E10" s="12">
        <v>110.07928590757864</v>
      </c>
      <c r="F10" s="12">
        <v>97.830632433166059</v>
      </c>
      <c r="G10" s="12">
        <v>47.275681040401665</v>
      </c>
      <c r="H10" s="12">
        <v>42.213816212367085</v>
      </c>
      <c r="I10" s="12">
        <v>38.57631305980378</v>
      </c>
      <c r="J10" s="12">
        <v>153.9669219149194</v>
      </c>
      <c r="K10" s="12">
        <v>151.1995872633656</v>
      </c>
      <c r="L10" s="12">
        <v>-344.6065258518143</v>
      </c>
      <c r="M10" s="12">
        <v>-86.286391658219245</v>
      </c>
      <c r="N10" s="12">
        <v>-8.0244700304211545</v>
      </c>
      <c r="O10" s="12">
        <v>-118.20132103762307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-4978598.9017839571</v>
      </c>
      <c r="B11" s="49" t="s">
        <v>56</v>
      </c>
      <c r="C11" s="58" t="s">
        <v>80</v>
      </c>
      <c r="D11" s="14">
        <v>-2660108.8323910441</v>
      </c>
      <c r="E11" s="14">
        <v>-3351805.0526406113</v>
      </c>
      <c r="F11" s="14">
        <v>-2886003.6567783989</v>
      </c>
      <c r="G11" s="14">
        <v>-945513.62080803327</v>
      </c>
      <c r="H11" s="14">
        <v>-548779.61076077214</v>
      </c>
      <c r="I11" s="14">
        <v>-289322.34794852836</v>
      </c>
      <c r="J11" s="14">
        <v>-1154751.9143618955</v>
      </c>
      <c r="K11" s="14">
        <v>-1058397.1108435593</v>
      </c>
      <c r="L11" s="14">
        <v>2756852.2068145145</v>
      </c>
      <c r="M11" s="14">
        <v>1699841.9156669192</v>
      </c>
      <c r="N11" s="14">
        <v>220672.92583658174</v>
      </c>
      <c r="O11" s="14">
        <v>3238716.1964308722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48" si="1">SUM(D12:AA12)</f>
        <v>69946813.358365476</v>
      </c>
      <c r="B12" s="49" t="s">
        <v>56</v>
      </c>
      <c r="C12" s="68" t="s">
        <v>88</v>
      </c>
      <c r="D12" s="14">
        <v>6758138.5018407628</v>
      </c>
      <c r="E12" s="14">
        <v>5495159.641639594</v>
      </c>
      <c r="F12" s="14">
        <v>5863241.5539857969</v>
      </c>
      <c r="G12" s="14">
        <v>5349742.4224434942</v>
      </c>
      <c r="H12" s="14">
        <v>3495461.0011259485</v>
      </c>
      <c r="I12" s="14">
        <v>2587313.6960941879</v>
      </c>
      <c r="J12" s="14">
        <v>2994940.1919819522</v>
      </c>
      <c r="K12" s="14">
        <v>3035147.643574906</v>
      </c>
      <c r="L12" s="14">
        <v>6952328.3213896025</v>
      </c>
      <c r="M12" s="14">
        <v>7847600.6982441135</v>
      </c>
      <c r="N12" s="14">
        <v>8199609.3831377961</v>
      </c>
      <c r="O12" s="14">
        <v>11368130.30290731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45946214.345224328</v>
      </c>
      <c r="B13" s="49" t="s">
        <v>56</v>
      </c>
      <c r="C13" s="60" t="s">
        <v>81</v>
      </c>
      <c r="D13" s="14">
        <v>5118116.8895833343</v>
      </c>
      <c r="E13" s="14">
        <v>4257204.8895833325</v>
      </c>
      <c r="F13" s="14">
        <v>4558952.8895833343</v>
      </c>
      <c r="G13" s="14">
        <v>4064496.889583332</v>
      </c>
      <c r="H13" s="14">
        <v>2748288.8895833339</v>
      </c>
      <c r="I13" s="14">
        <v>2348516.78272432</v>
      </c>
      <c r="J13" s="14">
        <v>2978824.8895833339</v>
      </c>
      <c r="K13" s="14">
        <v>2979296.8895833343</v>
      </c>
      <c r="L13" s="14">
        <v>3387992.8895833339</v>
      </c>
      <c r="M13" s="14">
        <v>4431215.9625000004</v>
      </c>
      <c r="N13" s="14">
        <v>4408378.4625000004</v>
      </c>
      <c r="O13" s="14">
        <v>4664928.0208333386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1409893.2558774608</v>
      </c>
      <c r="B14" s="49" t="s">
        <v>56</v>
      </c>
      <c r="C14" s="60" t="s">
        <v>82</v>
      </c>
      <c r="D14" s="14">
        <v>242981.00654950409</v>
      </c>
      <c r="E14" s="14">
        <v>197057.83311198826</v>
      </c>
      <c r="F14" s="14">
        <v>213153.81706670555</v>
      </c>
      <c r="G14" s="14">
        <v>167681.59722793454</v>
      </c>
      <c r="H14" s="14">
        <v>109081.62912703588</v>
      </c>
      <c r="I14" s="14">
        <v>1E-14</v>
      </c>
      <c r="J14" s="14">
        <v>1E-14</v>
      </c>
      <c r="K14" s="14">
        <v>1E-14</v>
      </c>
      <c r="L14" s="14">
        <v>1E-14</v>
      </c>
      <c r="M14" s="14">
        <v>149243.58482989811</v>
      </c>
      <c r="N14" s="14">
        <v>166777.78038499912</v>
      </c>
      <c r="O14" s="14">
        <v>163916.0075793952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22590705.757263675</v>
      </c>
      <c r="B15" s="49" t="s">
        <v>56</v>
      </c>
      <c r="C15" s="60" t="s">
        <v>83</v>
      </c>
      <c r="D15" s="14">
        <v>1397040.6057079253</v>
      </c>
      <c r="E15" s="14">
        <v>1040896.9189442735</v>
      </c>
      <c r="F15" s="14">
        <v>1091134.8473357563</v>
      </c>
      <c r="G15" s="14">
        <v>1117563.9356322284</v>
      </c>
      <c r="H15" s="14">
        <v>638090.48241557856</v>
      </c>
      <c r="I15" s="14">
        <v>238796.91336986772</v>
      </c>
      <c r="J15" s="14">
        <v>16115.302398618096</v>
      </c>
      <c r="K15" s="14">
        <v>55850.75399157159</v>
      </c>
      <c r="L15" s="14">
        <v>3564335.4318062682</v>
      </c>
      <c r="M15" s="14">
        <v>3267141.150914215</v>
      </c>
      <c r="N15" s="14">
        <v>3624453.1402527974</v>
      </c>
      <c r="O15" s="14">
        <v>6539286.2744945772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208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74925412.260149419</v>
      </c>
      <c r="B17" s="49" t="s">
        <v>56</v>
      </c>
      <c r="C17" s="68" t="s">
        <v>87</v>
      </c>
      <c r="D17" s="14">
        <v>9418247.3342318069</v>
      </c>
      <c r="E17" s="14">
        <v>8846964.6942802053</v>
      </c>
      <c r="F17" s="14">
        <v>8749245.2107641958</v>
      </c>
      <c r="G17" s="14">
        <v>6295256.0432515275</v>
      </c>
      <c r="H17" s="14">
        <v>4044240.6118867206</v>
      </c>
      <c r="I17" s="14">
        <v>2876636.0440427163</v>
      </c>
      <c r="J17" s="14">
        <v>4149692.1063438477</v>
      </c>
      <c r="K17" s="14">
        <v>4093544.7544184653</v>
      </c>
      <c r="L17" s="14">
        <v>4195476.114575088</v>
      </c>
      <c r="M17" s="14">
        <v>6147758.7825771943</v>
      </c>
      <c r="N17" s="14">
        <v>7978936.4573012143</v>
      </c>
      <c r="O17" s="14">
        <v>8129414.1064764382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11018653.592488807</v>
      </c>
      <c r="B18" s="49" t="s">
        <v>56</v>
      </c>
      <c r="C18" s="60" t="s">
        <v>73</v>
      </c>
      <c r="D18" s="14">
        <v>1335497.0163525282</v>
      </c>
      <c r="E18" s="14">
        <v>1209837.9665109436</v>
      </c>
      <c r="F18" s="14">
        <v>1222699.24597056</v>
      </c>
      <c r="G18" s="14">
        <v>922894.68142977904</v>
      </c>
      <c r="H18" s="14">
        <v>589736.39486102632</v>
      </c>
      <c r="I18" s="14">
        <v>373333.80268292682</v>
      </c>
      <c r="J18" s="14">
        <v>764126.65765784564</v>
      </c>
      <c r="K18" s="14">
        <v>764014.77083565353</v>
      </c>
      <c r="L18" s="14">
        <v>732420.70626666688</v>
      </c>
      <c r="M18" s="14">
        <v>892399.32785165007</v>
      </c>
      <c r="N18" s="14">
        <v>1087551.028840655</v>
      </c>
      <c r="O18" s="14">
        <v>1124141.9932285696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6500628.315544989</v>
      </c>
      <c r="B19" s="49" t="s">
        <v>56</v>
      </c>
      <c r="C19" s="60" t="s">
        <v>74</v>
      </c>
      <c r="D19" s="14">
        <v>521757.10492490669</v>
      </c>
      <c r="E19" s="14">
        <v>1494211.7647058822</v>
      </c>
      <c r="F19" s="14">
        <v>889238.59964949312</v>
      </c>
      <c r="G19" s="14">
        <v>1E-14</v>
      </c>
      <c r="H19" s="14">
        <v>1E-14</v>
      </c>
      <c r="I19" s="14">
        <v>1E-14</v>
      </c>
      <c r="J19" s="14">
        <v>1E-14</v>
      </c>
      <c r="K19" s="14">
        <v>1E-14</v>
      </c>
      <c r="L19" s="14">
        <v>1E-14</v>
      </c>
      <c r="M19" s="14">
        <v>368552.90215966618</v>
      </c>
      <c r="N19" s="14">
        <v>1600941.1764705882</v>
      </c>
      <c r="O19" s="14">
        <v>1625926.7676344528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14">
        <f t="shared" si="1"/>
        <v>42472792.679107733</v>
      </c>
      <c r="B20" s="49" t="s">
        <v>56</v>
      </c>
      <c r="C20" s="60" t="s">
        <v>75</v>
      </c>
      <c r="D20" s="14">
        <v>5748322.7602623729</v>
      </c>
      <c r="E20" s="14">
        <v>4672861.3899763795</v>
      </c>
      <c r="F20" s="14">
        <v>5047167.2347933929</v>
      </c>
      <c r="G20" s="14">
        <v>3978999.7312734984</v>
      </c>
      <c r="H20" s="14">
        <v>2584953.4729224443</v>
      </c>
      <c r="I20" s="14">
        <v>1838756.8649197719</v>
      </c>
      <c r="J20" s="14">
        <v>2424268.364705252</v>
      </c>
      <c r="K20" s="14">
        <v>2368045.0579095618</v>
      </c>
      <c r="L20" s="14">
        <v>2338921.8632326713</v>
      </c>
      <c r="M20" s="14">
        <v>3565756.014236378</v>
      </c>
      <c r="N20" s="14">
        <v>3976318.3862229707</v>
      </c>
      <c r="O20" s="14">
        <v>3928421.5386530384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1"/>
        <v>14933337.673007894</v>
      </c>
      <c r="B21" s="49" t="s">
        <v>56</v>
      </c>
      <c r="C21" s="60" t="s">
        <v>84</v>
      </c>
      <c r="D21" s="14">
        <v>1812670.452692</v>
      </c>
      <c r="E21" s="14">
        <v>1470053.5730869996</v>
      </c>
      <c r="F21" s="14">
        <v>1590140.1303507499</v>
      </c>
      <c r="G21" s="14">
        <v>1393361.6305482495</v>
      </c>
      <c r="H21" s="14">
        <v>869550.74410325009</v>
      </c>
      <c r="I21" s="14">
        <v>664545.37644001748</v>
      </c>
      <c r="J21" s="14">
        <v>961297.08398075029</v>
      </c>
      <c r="K21" s="14">
        <v>961484.92567325023</v>
      </c>
      <c r="L21" s="14">
        <v>1124133.5450757502</v>
      </c>
      <c r="M21" s="14">
        <v>1321050.5383294998</v>
      </c>
      <c r="N21" s="14">
        <v>1314125.8657669998</v>
      </c>
      <c r="O21" s="14">
        <v>1450923.8069603767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ref="A22:A23" si="3">SUM(D22:AA22)</f>
        <v>1.1999999999999997E-13</v>
      </c>
      <c r="B22" s="49" t="s">
        <v>56</v>
      </c>
      <c r="C22" s="60" t="s">
        <v>121</v>
      </c>
      <c r="D22" s="14">
        <v>1E-14</v>
      </c>
      <c r="E22" s="14">
        <v>1E-14</v>
      </c>
      <c r="F22" s="14">
        <v>1E-14</v>
      </c>
      <c r="G22" s="14">
        <v>1E-14</v>
      </c>
      <c r="H22" s="14">
        <v>1E-14</v>
      </c>
      <c r="I22" s="14">
        <v>1E-14</v>
      </c>
      <c r="J22" s="14">
        <v>1E-14</v>
      </c>
      <c r="K22" s="14">
        <v>1E-14</v>
      </c>
      <c r="L22" s="14">
        <v>1E-14</v>
      </c>
      <c r="M22" s="14">
        <v>1E-14</v>
      </c>
      <c r="N22" s="14">
        <v>1E-14</v>
      </c>
      <c r="O22" s="14">
        <v>1E-14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7">
        <f t="shared" si="3"/>
        <v>36444.997371587298</v>
      </c>
      <c r="B23" s="50" t="s">
        <v>58</v>
      </c>
      <c r="C23" s="58" t="s">
        <v>135</v>
      </c>
      <c r="D23" s="7">
        <v>4423.8449120000005</v>
      </c>
      <c r="E23" s="7">
        <v>3587.684131999999</v>
      </c>
      <c r="F23" s="7">
        <v>3880.7568769999998</v>
      </c>
      <c r="G23" s="7">
        <v>3400.5164869999985</v>
      </c>
      <c r="H23" s="7">
        <v>2122.1494670000006</v>
      </c>
      <c r="I23" s="7">
        <v>1621.831303087291</v>
      </c>
      <c r="J23" s="7">
        <v>2346.057557000001</v>
      </c>
      <c r="K23" s="7">
        <v>2346.5159870000011</v>
      </c>
      <c r="L23" s="7">
        <v>2743.4619770000008</v>
      </c>
      <c r="M23" s="7">
        <v>3224.0403620000002</v>
      </c>
      <c r="N23" s="7">
        <v>3207.1406120000001</v>
      </c>
      <c r="O23" s="7">
        <v>3540.9976985000044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outlineLevel="1" x14ac:dyDescent="0.25">
      <c r="A24" s="7">
        <f t="shared" si="1"/>
        <v>36444.997371587298</v>
      </c>
      <c r="B24" s="50" t="s">
        <v>58</v>
      </c>
      <c r="C24" s="58" t="s">
        <v>136</v>
      </c>
      <c r="D24" s="7">
        <v>4423.8449120000005</v>
      </c>
      <c r="E24" s="7">
        <v>3587.684131999999</v>
      </c>
      <c r="F24" s="7">
        <v>3880.7568769999998</v>
      </c>
      <c r="G24" s="7">
        <v>3400.5164869999985</v>
      </c>
      <c r="H24" s="7">
        <v>2122.1494670000006</v>
      </c>
      <c r="I24" s="7">
        <v>1621.831303087291</v>
      </c>
      <c r="J24" s="7">
        <v>2346.057557000001</v>
      </c>
      <c r="K24" s="7">
        <v>2346.5159870000011</v>
      </c>
      <c r="L24" s="7">
        <v>2743.4619770000008</v>
      </c>
      <c r="M24" s="7">
        <v>3224.0403620000002</v>
      </c>
      <c r="N24" s="7">
        <v>3207.1406120000001</v>
      </c>
      <c r="O24" s="7">
        <v>3540.9976985000044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7">
        <f t="shared" ref="A25" si="4">SUM(D25:AA25)</f>
        <v>38353.637735182521</v>
      </c>
      <c r="B25" s="50" t="s">
        <v>63</v>
      </c>
      <c r="C25" s="58" t="s">
        <v>170</v>
      </c>
      <c r="D25" s="7">
        <v>4507.0390308857341</v>
      </c>
      <c r="E25" s="7">
        <v>3656.285976805962</v>
      </c>
      <c r="F25" s="7">
        <v>3954.473285802077</v>
      </c>
      <c r="G25" s="7">
        <v>3924.0305221044805</v>
      </c>
      <c r="H25" s="7">
        <v>2344.8659085017271</v>
      </c>
      <c r="I25" s="7">
        <v>528.62378048780477</v>
      </c>
      <c r="J25" s="7">
        <v>37.630801221270964</v>
      </c>
      <c r="K25" s="7">
        <v>125.70614825780549</v>
      </c>
      <c r="L25" s="7">
        <v>4637.9809565833348</v>
      </c>
      <c r="M25" s="7">
        <v>4908.8551016669016</v>
      </c>
      <c r="N25" s="7">
        <v>4337.5784641464597</v>
      </c>
      <c r="O25" s="7">
        <v>5390.5677587189639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outlineLevel="1" x14ac:dyDescent="0.25">
      <c r="A26" s="7">
        <f t="shared" si="1"/>
        <v>31392.432179626965</v>
      </c>
      <c r="B26" s="50" t="s">
        <v>63</v>
      </c>
      <c r="C26" s="58" t="s">
        <v>169</v>
      </c>
      <c r="D26" s="7">
        <v>3732.0390308857341</v>
      </c>
      <c r="E26" s="7">
        <v>2956.285976805962</v>
      </c>
      <c r="F26" s="7">
        <v>3179.473285802077</v>
      </c>
      <c r="G26" s="7">
        <v>3174.0305221044805</v>
      </c>
      <c r="H26" s="7">
        <v>1569.8659085017271</v>
      </c>
      <c r="I26" s="7">
        <v>439.4321138211381</v>
      </c>
      <c r="J26" s="7">
        <v>26.797467887937628</v>
      </c>
      <c r="K26" s="7">
        <v>89.525592702249938</v>
      </c>
      <c r="L26" s="7">
        <v>3887.9809565833348</v>
      </c>
      <c r="M26" s="7">
        <v>4133.8551016669016</v>
      </c>
      <c r="N26" s="7">
        <v>3587.5784641464597</v>
      </c>
      <c r="O26" s="7">
        <v>4615.5677587189639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s="16" customFormat="1" outlineLevel="1" x14ac:dyDescent="0.25">
      <c r="A27" s="82">
        <f t="shared" ref="A27:A32" si="5">SUM(D27:AA27)</f>
        <v>617435.84899999993</v>
      </c>
      <c r="B27" s="50" t="s">
        <v>58</v>
      </c>
      <c r="C27" s="68" t="s">
        <v>173</v>
      </c>
      <c r="D27" s="10">
        <v>51452.987416666663</v>
      </c>
      <c r="E27" s="10">
        <v>51452.987416666663</v>
      </c>
      <c r="F27" s="10">
        <v>51452.987416666663</v>
      </c>
      <c r="G27" s="10">
        <v>51452.987416666663</v>
      </c>
      <c r="H27" s="10">
        <v>51452.987416666663</v>
      </c>
      <c r="I27" s="10">
        <v>51452.987416666663</v>
      </c>
      <c r="J27" s="10">
        <v>51452.987416666663</v>
      </c>
      <c r="K27" s="10">
        <v>51452.987416666663</v>
      </c>
      <c r="L27" s="10">
        <v>51452.987416666663</v>
      </c>
      <c r="M27" s="10">
        <v>51452.987416666663</v>
      </c>
      <c r="N27" s="10">
        <v>51452.987416666663</v>
      </c>
      <c r="O27" s="10">
        <v>51452.987416666663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16" customFormat="1" outlineLevel="1" x14ac:dyDescent="0.25">
      <c r="A28" s="7">
        <f t="shared" si="5"/>
        <v>96758.248900191407</v>
      </c>
      <c r="B28" s="50" t="s">
        <v>58</v>
      </c>
      <c r="C28" s="60" t="s">
        <v>174</v>
      </c>
      <c r="D28" s="10">
        <v>11626.56</v>
      </c>
      <c r="E28" s="10">
        <v>9474.279999999997</v>
      </c>
      <c r="F28" s="10">
        <v>10228.65</v>
      </c>
      <c r="G28" s="10">
        <v>8992.5099999999966</v>
      </c>
      <c r="H28" s="10">
        <v>5701.9900000000016</v>
      </c>
      <c r="I28" s="10">
        <v>4488.039900191402</v>
      </c>
      <c r="J28" s="10">
        <v>6278.3300000000017</v>
      </c>
      <c r="K28" s="10">
        <v>6279.510000000002</v>
      </c>
      <c r="L28" s="10">
        <v>7301.2500000000018</v>
      </c>
      <c r="M28" s="10">
        <v>8538.26</v>
      </c>
      <c r="N28" s="10">
        <v>8494.76</v>
      </c>
      <c r="O28" s="10">
        <v>9354.1090000000077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s="16" customFormat="1" outlineLevel="1" x14ac:dyDescent="0.25">
      <c r="A29" s="7">
        <f t="shared" si="5"/>
        <v>354.72303543775774</v>
      </c>
      <c r="B29" s="50" t="s">
        <v>58</v>
      </c>
      <c r="C29" s="60" t="s">
        <v>175</v>
      </c>
      <c r="D29" s="10">
        <v>1E-14</v>
      </c>
      <c r="E29" s="10">
        <v>1E-14</v>
      </c>
      <c r="F29" s="10">
        <v>1E-14</v>
      </c>
      <c r="G29" s="10">
        <v>1E-14</v>
      </c>
      <c r="H29" s="10">
        <v>1E-14</v>
      </c>
      <c r="I29" s="10">
        <v>354.72303543775769</v>
      </c>
      <c r="J29" s="10">
        <v>1E-14</v>
      </c>
      <c r="K29" s="10">
        <v>1E-14</v>
      </c>
      <c r="L29" s="10">
        <v>1E-14</v>
      </c>
      <c r="M29" s="10">
        <v>1E-14</v>
      </c>
      <c r="N29" s="10">
        <v>1E-14</v>
      </c>
      <c r="O29" s="10">
        <v>1E-14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s="16" customFormat="1" outlineLevel="1" x14ac:dyDescent="0.25">
      <c r="A30" s="7">
        <f t="shared" si="5"/>
        <v>1.1999999999999997E-13</v>
      </c>
      <c r="B30" s="50" t="s">
        <v>58</v>
      </c>
      <c r="C30" s="60" t="s">
        <v>176</v>
      </c>
      <c r="D30" s="10">
        <v>1E-14</v>
      </c>
      <c r="E30" s="10">
        <v>1E-14</v>
      </c>
      <c r="F30" s="10">
        <v>1E-14</v>
      </c>
      <c r="G30" s="10">
        <v>1E-14</v>
      </c>
      <c r="H30" s="10">
        <v>1E-14</v>
      </c>
      <c r="I30" s="10">
        <v>1E-14</v>
      </c>
      <c r="J30" s="10">
        <v>1E-14</v>
      </c>
      <c r="K30" s="10">
        <v>1E-14</v>
      </c>
      <c r="L30" s="10">
        <v>1E-14</v>
      </c>
      <c r="M30" s="10">
        <v>1E-14</v>
      </c>
      <c r="N30" s="10">
        <v>1E-14</v>
      </c>
      <c r="O30" s="10">
        <v>1E-14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s="16" customFormat="1" outlineLevel="1" x14ac:dyDescent="0.25">
      <c r="A31" s="82">
        <f t="shared" si="5"/>
        <v>251547.27291565554</v>
      </c>
      <c r="B31" s="50" t="s">
        <v>57</v>
      </c>
      <c r="C31" s="68" t="s">
        <v>86</v>
      </c>
      <c r="D31" s="10">
        <v>31300</v>
      </c>
      <c r="E31" s="10">
        <v>30449.007958270642</v>
      </c>
      <c r="F31" s="10">
        <v>29500</v>
      </c>
      <c r="G31" s="10">
        <v>20000</v>
      </c>
      <c r="H31" s="10">
        <v>13000</v>
      </c>
      <c r="I31" s="10">
        <v>9752.2298780487799</v>
      </c>
      <c r="J31" s="10">
        <v>14745.444127630761</v>
      </c>
      <c r="K31" s="10">
        <v>14660.246013927559</v>
      </c>
      <c r="L31" s="10">
        <v>13540.344937777782</v>
      </c>
      <c r="M31" s="10">
        <v>19700</v>
      </c>
      <c r="N31" s="10">
        <v>27500</v>
      </c>
      <c r="O31" s="10">
        <v>27400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166">
        <f t="shared" si="5"/>
        <v>228849.00795827064</v>
      </c>
      <c r="B32" s="50" t="s">
        <v>57</v>
      </c>
      <c r="C32" s="164" t="s">
        <v>195</v>
      </c>
      <c r="D32" s="10">
        <v>31300</v>
      </c>
      <c r="E32" s="10">
        <v>30449.007958270642</v>
      </c>
      <c r="F32" s="10">
        <v>29500</v>
      </c>
      <c r="G32" s="10">
        <v>20000</v>
      </c>
      <c r="H32" s="10">
        <v>13000</v>
      </c>
      <c r="I32" s="10">
        <v>7500</v>
      </c>
      <c r="J32" s="10">
        <v>7500</v>
      </c>
      <c r="K32" s="10">
        <v>7000</v>
      </c>
      <c r="L32" s="10">
        <v>8000</v>
      </c>
      <c r="M32" s="10">
        <v>19700</v>
      </c>
      <c r="N32" s="10">
        <v>27500</v>
      </c>
      <c r="O32" s="10">
        <v>27400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outlineLevel="1" x14ac:dyDescent="0.25">
      <c r="A33" s="166">
        <f t="shared" si="1"/>
        <v>189646.98097526713</v>
      </c>
      <c r="B33" s="50" t="s">
        <v>57</v>
      </c>
      <c r="C33" s="164" t="s">
        <v>92</v>
      </c>
      <c r="D33" s="10">
        <v>23360.929218852674</v>
      </c>
      <c r="E33" s="10">
        <v>18951.297586447101</v>
      </c>
      <c r="F33" s="10">
        <v>20496.864991495608</v>
      </c>
      <c r="G33" s="10">
        <v>17485.696133579753</v>
      </c>
      <c r="H33" s="10">
        <v>11034.882441120424</v>
      </c>
      <c r="I33" s="10">
        <v>9540</v>
      </c>
      <c r="J33" s="10">
        <v>12091.025303022647</v>
      </c>
      <c r="K33" s="10">
        <v>12093.283036355981</v>
      </c>
      <c r="L33" s="10">
        <v>13540.344937777782</v>
      </c>
      <c r="M33" s="10">
        <v>16358.818647565447</v>
      </c>
      <c r="N33" s="10">
        <v>16729.706810021358</v>
      </c>
      <c r="O33" s="10">
        <v>17964.131869028366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1"/>
        <v>5433.6116802284723</v>
      </c>
      <c r="B34" s="50" t="s">
        <v>57</v>
      </c>
      <c r="C34" s="60" t="s">
        <v>172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212.22987804878051</v>
      </c>
      <c r="J34" s="10">
        <v>2654.4188246081135</v>
      </c>
      <c r="K34" s="10">
        <v>2566.9629775715789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ref="A35:A37" si="6">SUM(D35:AA35)</f>
        <v>25769.268770086335</v>
      </c>
      <c r="B35" s="50" t="s">
        <v>57</v>
      </c>
      <c r="C35" s="60" t="s">
        <v>93</v>
      </c>
      <c r="D35" s="10">
        <v>5475.2177856685958</v>
      </c>
      <c r="E35" s="10">
        <v>4441.7103718235394</v>
      </c>
      <c r="F35" s="10">
        <v>4803.9527323817829</v>
      </c>
      <c r="G35" s="10">
        <v>2514.3038664202445</v>
      </c>
      <c r="H35" s="10">
        <v>1965.117558879575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1600.7926477916826</v>
      </c>
      <c r="N35" s="10">
        <v>3210.2931899786436</v>
      </c>
      <c r="O35" s="10">
        <v>1757.8806171422721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outlineLevel="1" x14ac:dyDescent="0.25">
      <c r="A36" s="7"/>
      <c r="B36" s="50"/>
      <c r="C36" s="60" t="s">
        <v>94</v>
      </c>
      <c r="D36" s="48">
        <v>0.18987341772151897</v>
      </c>
      <c r="E36" s="48">
        <v>0.18987341772151897</v>
      </c>
      <c r="F36" s="48">
        <v>0.18987341772151897</v>
      </c>
      <c r="G36" s="48">
        <v>0.12571519332101222</v>
      </c>
      <c r="H36" s="48">
        <v>0.1511628891445827</v>
      </c>
      <c r="I36" s="48">
        <v>1E-14</v>
      </c>
      <c r="J36" s="48">
        <v>1E-14</v>
      </c>
      <c r="K36" s="48">
        <v>1E-14</v>
      </c>
      <c r="L36" s="48">
        <v>1E-14</v>
      </c>
      <c r="M36" s="48">
        <v>8.9132922838119272E-2</v>
      </c>
      <c r="N36" s="48">
        <v>0.16099765245630107</v>
      </c>
      <c r="O36" s="48">
        <v>8.9132922838119258E-2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7">
        <f t="shared" si="6"/>
        <v>22698.264957384883</v>
      </c>
      <c r="B37" s="50" t="s">
        <v>57</v>
      </c>
      <c r="C37" s="60" t="s">
        <v>85</v>
      </c>
      <c r="D37" s="7">
        <v>1E-14</v>
      </c>
      <c r="E37" s="7">
        <v>1E-14</v>
      </c>
      <c r="F37" s="7">
        <v>1E-14</v>
      </c>
      <c r="G37" s="7">
        <v>1E-14</v>
      </c>
      <c r="H37" s="7">
        <v>1E-14</v>
      </c>
      <c r="I37" s="7">
        <v>2252.2298780487799</v>
      </c>
      <c r="J37" s="7">
        <v>7245.4441276307607</v>
      </c>
      <c r="K37" s="7">
        <v>7660.246013927559</v>
      </c>
      <c r="L37" s="7">
        <v>5540.3449377777815</v>
      </c>
      <c r="M37" s="7">
        <v>1E-14</v>
      </c>
      <c r="N37" s="7">
        <v>1E-14</v>
      </c>
      <c r="O37" s="7">
        <v>1E-14</v>
      </c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 outlineLevel="1" x14ac:dyDescent="0.25">
      <c r="A38" s="82">
        <f t="shared" si="1"/>
        <v>2986796.6203102688</v>
      </c>
      <c r="B38" s="49" t="s">
        <v>56</v>
      </c>
      <c r="C38" s="167" t="s">
        <v>89</v>
      </c>
      <c r="D38" s="14">
        <v>756000</v>
      </c>
      <c r="E38" s="14">
        <v>1172396.6203102688</v>
      </c>
      <c r="F38" s="14">
        <v>1E-14</v>
      </c>
      <c r="G38" s="14">
        <v>1E-14</v>
      </c>
      <c r="H38" s="14">
        <v>1E-14</v>
      </c>
      <c r="I38" s="14">
        <v>1E-14</v>
      </c>
      <c r="J38" s="14">
        <v>1E-14</v>
      </c>
      <c r="K38" s="14">
        <v>1E-14</v>
      </c>
      <c r="L38" s="14">
        <v>1E-14</v>
      </c>
      <c r="M38" s="14">
        <v>1E-14</v>
      </c>
      <c r="N38" s="14">
        <v>1E-14</v>
      </c>
      <c r="O38" s="14">
        <v>1058400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s="16" customFormat="1" outlineLevel="1" x14ac:dyDescent="0.25">
      <c r="A39" s="81">
        <f t="shared" si="1"/>
        <v>15509.930417293579</v>
      </c>
      <c r="B39" s="49" t="s">
        <v>56</v>
      </c>
      <c r="C39" s="165" t="s">
        <v>76</v>
      </c>
      <c r="D39" s="14">
        <v>1E-14</v>
      </c>
      <c r="E39" s="14">
        <v>15509.930417293579</v>
      </c>
      <c r="F39" s="14">
        <v>1E-14</v>
      </c>
      <c r="G39" s="14">
        <v>1E-14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1E-14</v>
      </c>
      <c r="N39" s="14">
        <v>1E-14</v>
      </c>
      <c r="O39" s="14">
        <v>1E-14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s="16" customFormat="1" outlineLevel="1" x14ac:dyDescent="0.25">
      <c r="A40" s="14">
        <f t="shared" si="1"/>
        <v>2448896.7443438284</v>
      </c>
      <c r="B40" s="49" t="s">
        <v>56</v>
      </c>
      <c r="C40" s="59" t="s">
        <v>77</v>
      </c>
      <c r="D40" s="14">
        <v>756000</v>
      </c>
      <c r="E40" s="14">
        <v>634496.74434382818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1058400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s="16" customFormat="1" outlineLevel="1" x14ac:dyDescent="0.25">
      <c r="A41" s="14">
        <f t="shared" si="1"/>
        <v>522389.9455491472</v>
      </c>
      <c r="B41" s="49" t="s">
        <v>56</v>
      </c>
      <c r="C41" s="59" t="s">
        <v>78</v>
      </c>
      <c r="D41" s="14">
        <v>1E-14</v>
      </c>
      <c r="E41" s="14">
        <v>522389.9455491472</v>
      </c>
      <c r="F41" s="14">
        <v>1E-14</v>
      </c>
      <c r="G41" s="14">
        <v>1E-14</v>
      </c>
      <c r="H41" s="14">
        <v>1E-14</v>
      </c>
      <c r="I41" s="14">
        <v>1E-14</v>
      </c>
      <c r="J41" s="14">
        <v>1E-14</v>
      </c>
      <c r="K41" s="14">
        <v>1E-14</v>
      </c>
      <c r="L41" s="14">
        <v>1E-14</v>
      </c>
      <c r="M41" s="14">
        <v>1E-14</v>
      </c>
      <c r="N41" s="14">
        <v>1E-14</v>
      </c>
      <c r="O41" s="14">
        <v>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s="16" customFormat="1" outlineLevel="1" x14ac:dyDescent="0.25">
      <c r="A42" s="7">
        <f t="shared" si="1"/>
        <v>406.07791638005011</v>
      </c>
      <c r="B42" s="50" t="s">
        <v>58</v>
      </c>
      <c r="C42" s="57" t="s">
        <v>79</v>
      </c>
      <c r="D42" s="7">
        <v>1E-14</v>
      </c>
      <c r="E42" s="7">
        <v>406.07791638005011</v>
      </c>
      <c r="F42" s="7">
        <v>1E-14</v>
      </c>
      <c r="G42" s="7">
        <v>1E-14</v>
      </c>
      <c r="H42" s="7">
        <v>1E-14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1E-14</v>
      </c>
      <c r="O42" s="7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16" customFormat="1" outlineLevel="1" x14ac:dyDescent="0.25">
      <c r="A43" s="7">
        <f t="shared" si="1"/>
        <v>1550.9920417293579</v>
      </c>
      <c r="B43" s="50" t="s">
        <v>57</v>
      </c>
      <c r="C43" s="57" t="s">
        <v>95</v>
      </c>
      <c r="D43" s="7">
        <v>1E-14</v>
      </c>
      <c r="E43" s="7">
        <v>1550.9920417293579</v>
      </c>
      <c r="F43" s="7">
        <v>1E-14</v>
      </c>
      <c r="G43" s="7">
        <v>1E-14</v>
      </c>
      <c r="H43" s="7">
        <v>1E-14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1E-14</v>
      </c>
      <c r="O43" s="7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169">
        <f t="shared" si="1"/>
        <v>9600</v>
      </c>
      <c r="B44" s="50" t="s">
        <v>57</v>
      </c>
      <c r="C44" s="168" t="s">
        <v>194</v>
      </c>
      <c r="D44" s="7">
        <v>4000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1E-14</v>
      </c>
      <c r="O44" s="7">
        <v>5600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s="172" customFormat="1" outlineLevel="1" x14ac:dyDescent="0.25">
      <c r="A45" s="170">
        <f t="shared" si="1"/>
        <v>1.1999999999999997E-13</v>
      </c>
      <c r="B45" s="171" t="s">
        <v>57</v>
      </c>
      <c r="C45" s="173" t="s">
        <v>198</v>
      </c>
      <c r="D45" s="170">
        <v>1E-14</v>
      </c>
      <c r="E45" s="170">
        <v>1E-14</v>
      </c>
      <c r="F45" s="170">
        <v>1E-14</v>
      </c>
      <c r="G45" s="170">
        <v>1E-14</v>
      </c>
      <c r="H45" s="170">
        <v>1E-14</v>
      </c>
      <c r="I45" s="170">
        <v>1E-14</v>
      </c>
      <c r="J45" s="170">
        <v>1E-14</v>
      </c>
      <c r="K45" s="170">
        <v>1E-14</v>
      </c>
      <c r="L45" s="170">
        <v>1E-14</v>
      </c>
      <c r="M45" s="170">
        <v>1E-14</v>
      </c>
      <c r="N45" s="170">
        <v>1E-14</v>
      </c>
      <c r="O45" s="170">
        <v>1E-14</v>
      </c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</row>
    <row r="46" spans="1:27" s="16" customFormat="1" outlineLevel="1" x14ac:dyDescent="0.25">
      <c r="A46" s="7">
        <f t="shared" si="1"/>
        <v>1.1999999999999997E-13</v>
      </c>
      <c r="B46" s="50" t="s">
        <v>57</v>
      </c>
      <c r="C46" s="174" t="s">
        <v>200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s="16" customFormat="1" outlineLevel="1" x14ac:dyDescent="0.25">
      <c r="A47" s="7">
        <f t="shared" si="1"/>
        <v>1.1999999999999997E-13</v>
      </c>
      <c r="B47" s="50" t="s">
        <v>58</v>
      </c>
      <c r="C47" s="174" t="s">
        <v>199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7">
        <f t="shared" si="1"/>
        <v>354.72009980859735</v>
      </c>
      <c r="B48" s="50" t="s">
        <v>58</v>
      </c>
      <c r="C48" s="174" t="s">
        <v>201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354.7200998085973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B49" s="51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s="75" customFormat="1" ht="18.75" x14ac:dyDescent="0.3">
      <c r="A50" s="77" t="s">
        <v>218</v>
      </c>
      <c r="B50" s="74" t="s">
        <v>67</v>
      </c>
      <c r="C50" s="76"/>
      <c r="D50" s="78" t="s">
        <v>216</v>
      </c>
      <c r="E50" s="78" t="s">
        <v>223</v>
      </c>
      <c r="F50" s="78" t="s">
        <v>224</v>
      </c>
      <c r="G50" s="78" t="s">
        <v>225</v>
      </c>
      <c r="H50" s="78" t="s">
        <v>226</v>
      </c>
      <c r="I50" s="78" t="s">
        <v>227</v>
      </c>
      <c r="J50" s="78" t="s">
        <v>228</v>
      </c>
      <c r="K50" s="78" t="s">
        <v>229</v>
      </c>
      <c r="L50" s="78" t="s">
        <v>230</v>
      </c>
      <c r="M50" s="78" t="s">
        <v>231</v>
      </c>
      <c r="N50" s="78" t="s">
        <v>232</v>
      </c>
      <c r="O50" s="78" t="s">
        <v>233</v>
      </c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</row>
    <row r="51" spans="1:27" outlineLevel="1" x14ac:dyDescent="0.25">
      <c r="A51" s="13">
        <f t="shared" ref="A51:A87" si="7">SUM(D51:O51)</f>
        <v>50912.878780799052</v>
      </c>
      <c r="B51" s="50" t="s">
        <v>57</v>
      </c>
      <c r="C51" s="5" t="s">
        <v>110</v>
      </c>
      <c r="D51" s="13">
        <v>8395.3339380251819</v>
      </c>
      <c r="E51" s="13">
        <v>6810.6225701294279</v>
      </c>
      <c r="F51" s="13">
        <v>7366.0608563187343</v>
      </c>
      <c r="G51" s="13">
        <v>3855.2659285110449</v>
      </c>
      <c r="H51" s="13">
        <v>3013.1802569486822</v>
      </c>
      <c r="I51" s="13">
        <v>6840</v>
      </c>
      <c r="J51" s="13">
        <v>2280</v>
      </c>
      <c r="K51" s="13">
        <v>2280</v>
      </c>
      <c r="L51" s="13">
        <v>1E-14</v>
      </c>
      <c r="M51" s="13">
        <v>2454.548726613913</v>
      </c>
      <c r="N51" s="13">
        <v>4922.4495579672512</v>
      </c>
      <c r="O51" s="13">
        <v>2695.4169462848176</v>
      </c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outlineLevel="1" x14ac:dyDescent="0.25">
      <c r="A52" s="13">
        <f t="shared" si="7"/>
        <v>169936.98264478293</v>
      </c>
      <c r="B52" s="50" t="s">
        <v>57</v>
      </c>
      <c r="C52" s="5" t="s">
        <v>111</v>
      </c>
      <c r="D52" s="13">
        <v>20440.813066496092</v>
      </c>
      <c r="E52" s="13">
        <v>16582.385388141214</v>
      </c>
      <c r="F52" s="13">
        <v>17934.756867558659</v>
      </c>
      <c r="G52" s="13">
        <v>16144.734071488954</v>
      </c>
      <c r="H52" s="13">
        <v>9986.8197430513173</v>
      </c>
      <c r="I52" s="13">
        <v>2912.2298780487804</v>
      </c>
      <c r="J52" s="13">
        <v>12465.444127630761</v>
      </c>
      <c r="K52" s="13">
        <v>12380.246013927559</v>
      </c>
      <c r="L52" s="13">
        <v>13540.344937777782</v>
      </c>
      <c r="M52" s="13">
        <v>15505.062568743218</v>
      </c>
      <c r="N52" s="13">
        <v>15017.550442032749</v>
      </c>
      <c r="O52" s="13">
        <v>17026.59553988582</v>
      </c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outlineLevel="1" x14ac:dyDescent="0.25">
      <c r="A53" s="13">
        <f t="shared" si="7"/>
        <v>30697.411490073562</v>
      </c>
      <c r="B53" s="50" t="s">
        <v>57</v>
      </c>
      <c r="C53" s="5" t="s">
        <v>112</v>
      </c>
      <c r="D53" s="13">
        <v>2463.8529954787264</v>
      </c>
      <c r="E53" s="13">
        <v>7056</v>
      </c>
      <c r="F53" s="13">
        <v>4199.1822761226067</v>
      </c>
      <c r="G53" s="13">
        <v>1E-14</v>
      </c>
      <c r="H53" s="13">
        <v>1E-14</v>
      </c>
      <c r="I53" s="13">
        <v>1E-14</v>
      </c>
      <c r="J53" s="13">
        <v>1E-14</v>
      </c>
      <c r="K53" s="13">
        <v>1E-14</v>
      </c>
      <c r="L53" s="13">
        <v>1E-14</v>
      </c>
      <c r="M53" s="13">
        <v>1740.3887046428681</v>
      </c>
      <c r="N53" s="13">
        <v>7560</v>
      </c>
      <c r="O53" s="13">
        <v>7677.987513829361</v>
      </c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outlineLevel="1" x14ac:dyDescent="0.25">
      <c r="A54" s="13">
        <f t="shared" si="7"/>
        <v>9600</v>
      </c>
      <c r="B54" s="50" t="s">
        <v>57</v>
      </c>
      <c r="C54" s="5" t="s">
        <v>71</v>
      </c>
      <c r="D54" s="198">
        <v>4000</v>
      </c>
      <c r="E54" s="13">
        <v>1E-14</v>
      </c>
      <c r="F54" s="13">
        <v>1E-14</v>
      </c>
      <c r="G54" s="13">
        <v>1E-14</v>
      </c>
      <c r="H54" s="13">
        <v>1E-14</v>
      </c>
      <c r="I54" s="13">
        <v>1E-14</v>
      </c>
      <c r="J54" s="13">
        <v>1E-14</v>
      </c>
      <c r="K54" s="13">
        <v>1E-14</v>
      </c>
      <c r="L54" s="13">
        <v>1E-14</v>
      </c>
      <c r="M54" s="13">
        <v>1E-14</v>
      </c>
      <c r="N54" s="13">
        <v>1E-14</v>
      </c>
      <c r="O54" s="13">
        <v>5600</v>
      </c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outlineLevel="1" x14ac:dyDescent="0.25">
      <c r="A55" s="13">
        <f t="shared" si="7"/>
        <v>-22698.264957384883</v>
      </c>
      <c r="B55" s="50" t="s">
        <v>57</v>
      </c>
      <c r="C55" s="5" t="s">
        <v>113</v>
      </c>
      <c r="D55" s="13">
        <v>-1E-14</v>
      </c>
      <c r="E55" s="13">
        <v>-1E-14</v>
      </c>
      <c r="F55" s="13">
        <v>-1E-14</v>
      </c>
      <c r="G55" s="13">
        <v>-1E-14</v>
      </c>
      <c r="H55" s="13">
        <v>-1E-14</v>
      </c>
      <c r="I55" s="13">
        <v>-2252.2298780487799</v>
      </c>
      <c r="J55" s="13">
        <v>-7245.4441276307607</v>
      </c>
      <c r="K55" s="13">
        <v>-7660.246013927559</v>
      </c>
      <c r="L55" s="13">
        <v>-5540.3449377777815</v>
      </c>
      <c r="M55" s="13">
        <v>-1E-14</v>
      </c>
      <c r="N55" s="13">
        <v>-1E-14</v>
      </c>
      <c r="O55" s="13">
        <v>-1E-14</v>
      </c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outlineLevel="1" x14ac:dyDescent="0.25">
      <c r="A56" s="13">
        <f t="shared" si="7"/>
        <v>1550.9920417293579</v>
      </c>
      <c r="B56" s="50" t="s">
        <v>57</v>
      </c>
      <c r="C56" s="5" t="s">
        <v>114</v>
      </c>
      <c r="D56" s="13">
        <v>1E-14</v>
      </c>
      <c r="E56" s="13">
        <v>1550.9920417293579</v>
      </c>
      <c r="F56" s="13">
        <v>1E-14</v>
      </c>
      <c r="G56" s="13">
        <v>1E-14</v>
      </c>
      <c r="H56" s="13">
        <v>1E-14</v>
      </c>
      <c r="I56" s="13">
        <v>1E-14</v>
      </c>
      <c r="J56" s="13">
        <v>1E-14</v>
      </c>
      <c r="K56" s="13">
        <v>1E-14</v>
      </c>
      <c r="L56" s="13">
        <v>1E-14</v>
      </c>
      <c r="M56" s="13">
        <v>1E-14</v>
      </c>
      <c r="N56" s="13">
        <v>1E-14</v>
      </c>
      <c r="O56" s="13">
        <v>1E-14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4"/>
      <c r="B57" s="27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s="75" customFormat="1" ht="18.75" x14ac:dyDescent="0.3">
      <c r="A58" s="77" t="s">
        <v>219</v>
      </c>
      <c r="B58" s="74" t="s">
        <v>67</v>
      </c>
      <c r="C58" s="76"/>
      <c r="D58" s="78" t="s">
        <v>216</v>
      </c>
      <c r="E58" s="78" t="s">
        <v>223</v>
      </c>
      <c r="F58" s="78" t="s">
        <v>224</v>
      </c>
      <c r="G58" s="78" t="s">
        <v>225</v>
      </c>
      <c r="H58" s="78" t="s">
        <v>226</v>
      </c>
      <c r="I58" s="78" t="s">
        <v>227</v>
      </c>
      <c r="J58" s="78" t="s">
        <v>228</v>
      </c>
      <c r="K58" s="78" t="s">
        <v>229</v>
      </c>
      <c r="L58" s="78" t="s">
        <v>230</v>
      </c>
      <c r="M58" s="78" t="s">
        <v>231</v>
      </c>
      <c r="N58" s="78" t="s">
        <v>232</v>
      </c>
      <c r="O58" s="78" t="s">
        <v>233</v>
      </c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</row>
    <row r="59" spans="1:27" outlineLevel="1" x14ac:dyDescent="0.25">
      <c r="A59" s="200">
        <f t="shared" si="7"/>
        <v>12915.3</v>
      </c>
      <c r="B59" s="52" t="s">
        <v>58</v>
      </c>
      <c r="C59" s="8" t="s">
        <v>0</v>
      </c>
      <c r="D59" s="200">
        <v>1E-14</v>
      </c>
      <c r="E59" s="200">
        <v>1E-14</v>
      </c>
      <c r="F59" s="200">
        <v>1E-14</v>
      </c>
      <c r="G59" s="200">
        <v>1E-14</v>
      </c>
      <c r="H59" s="200">
        <v>1E-14</v>
      </c>
      <c r="I59" s="200">
        <v>537.7625833333268</v>
      </c>
      <c r="J59" s="200">
        <v>1E-14</v>
      </c>
      <c r="K59" s="200">
        <v>1E-14</v>
      </c>
      <c r="L59" s="200">
        <v>1E-14</v>
      </c>
      <c r="M59" s="200">
        <v>4387.3525833333324</v>
      </c>
      <c r="N59" s="200">
        <v>4343.8525833333324</v>
      </c>
      <c r="O59" s="200">
        <v>3646.3322500000068</v>
      </c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outlineLevel="1" x14ac:dyDescent="0.25">
      <c r="A60" s="200">
        <f t="shared" si="7"/>
        <v>-1.1999999999999997E-13</v>
      </c>
      <c r="B60" s="52" t="s">
        <v>58</v>
      </c>
      <c r="C60" s="8" t="s">
        <v>1</v>
      </c>
      <c r="D60" s="200">
        <v>-1E-14</v>
      </c>
      <c r="E60" s="200">
        <v>-1E-14</v>
      </c>
      <c r="F60" s="200">
        <v>-1E-14</v>
      </c>
      <c r="G60" s="200">
        <v>-1E-14</v>
      </c>
      <c r="H60" s="200">
        <v>-1E-14</v>
      </c>
      <c r="I60" s="200">
        <v>-1E-14</v>
      </c>
      <c r="J60" s="200">
        <v>-1E-14</v>
      </c>
      <c r="K60" s="200">
        <v>-1E-14</v>
      </c>
      <c r="L60" s="200">
        <v>-1E-14</v>
      </c>
      <c r="M60" s="200">
        <v>-1E-14</v>
      </c>
      <c r="N60" s="200">
        <v>-1E-14</v>
      </c>
      <c r="O60" s="200">
        <v>-1E-14</v>
      </c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outlineLevel="1" x14ac:dyDescent="0.25">
      <c r="A61" s="200">
        <f t="shared" si="7"/>
        <v>-1.1999999999999997E-13</v>
      </c>
      <c r="B61" s="52" t="s">
        <v>58</v>
      </c>
      <c r="C61" s="8" t="s">
        <v>2</v>
      </c>
      <c r="D61" s="200">
        <v>-1E-14</v>
      </c>
      <c r="E61" s="200">
        <v>-1E-14</v>
      </c>
      <c r="F61" s="200">
        <v>-1E-14</v>
      </c>
      <c r="G61" s="200">
        <v>-1E-14</v>
      </c>
      <c r="H61" s="200">
        <v>-1E-14</v>
      </c>
      <c r="I61" s="200">
        <v>-1E-14</v>
      </c>
      <c r="J61" s="200">
        <v>-1E-14</v>
      </c>
      <c r="K61" s="200">
        <v>-1E-14</v>
      </c>
      <c r="L61" s="200">
        <v>-1E-14</v>
      </c>
      <c r="M61" s="200">
        <v>-1E-14</v>
      </c>
      <c r="N61" s="200">
        <v>-1E-14</v>
      </c>
      <c r="O61" s="200">
        <v>-1E-14</v>
      </c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outlineLevel="1" x14ac:dyDescent="0.25">
      <c r="A62" s="200">
        <f t="shared" si="7"/>
        <v>28766.782397231666</v>
      </c>
      <c r="B62" s="52" t="s">
        <v>58</v>
      </c>
      <c r="C62" s="8" t="s">
        <v>3</v>
      </c>
      <c r="D62" s="200">
        <v>2397.2316666666666</v>
      </c>
      <c r="E62" s="200">
        <v>2397.2316666666666</v>
      </c>
      <c r="F62" s="200">
        <v>2397.2316666666666</v>
      </c>
      <c r="G62" s="200">
        <v>2397.2316666666666</v>
      </c>
      <c r="H62" s="200">
        <v>2397.2316666666666</v>
      </c>
      <c r="I62" s="200">
        <v>2397.2340638983333</v>
      </c>
      <c r="J62" s="200">
        <v>2397.2316666666666</v>
      </c>
      <c r="K62" s="200">
        <v>2397.2316666666666</v>
      </c>
      <c r="L62" s="200">
        <v>2397.2316666666666</v>
      </c>
      <c r="M62" s="200">
        <v>2397.2316666666666</v>
      </c>
      <c r="N62" s="200">
        <v>2397.2316666666666</v>
      </c>
      <c r="O62" s="200">
        <v>2397.2316666666666</v>
      </c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outlineLevel="1" x14ac:dyDescent="0.25">
      <c r="A63" s="200">
        <f t="shared" si="7"/>
        <v>4232.4090000000015</v>
      </c>
      <c r="B63" s="52" t="s">
        <v>58</v>
      </c>
      <c r="C63" s="8" t="s">
        <v>4</v>
      </c>
      <c r="D63" s="200">
        <v>352.70075000000003</v>
      </c>
      <c r="E63" s="200">
        <v>352.70075000000003</v>
      </c>
      <c r="F63" s="200">
        <v>352.70075000000003</v>
      </c>
      <c r="G63" s="200">
        <v>352.70075000000082</v>
      </c>
      <c r="H63" s="200">
        <v>352.70075000000003</v>
      </c>
      <c r="I63" s="200">
        <v>352.70075000000003</v>
      </c>
      <c r="J63" s="200">
        <v>352.70075000000003</v>
      </c>
      <c r="K63" s="200">
        <v>352.70075000000003</v>
      </c>
      <c r="L63" s="200">
        <v>352.70075000000003</v>
      </c>
      <c r="M63" s="200">
        <v>352.70075000000003</v>
      </c>
      <c r="N63" s="200">
        <v>352.70075000000003</v>
      </c>
      <c r="O63" s="200">
        <v>352.70075000000003</v>
      </c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outlineLevel="1" x14ac:dyDescent="0.25">
      <c r="A64" s="200">
        <f t="shared" si="7"/>
        <v>30.570833333333354</v>
      </c>
      <c r="B64" s="52" t="s">
        <v>58</v>
      </c>
      <c r="C64" s="8" t="s">
        <v>5</v>
      </c>
      <c r="D64" s="200">
        <v>2.7791666666666668</v>
      </c>
      <c r="E64" s="200">
        <v>2.7791666666666668</v>
      </c>
      <c r="F64" s="200">
        <v>2.7791666666666668</v>
      </c>
      <c r="G64" s="200">
        <v>2.7791666666666668</v>
      </c>
      <c r="H64" s="200">
        <v>2.7791666666666668</v>
      </c>
      <c r="I64" s="200">
        <v>1E-14</v>
      </c>
      <c r="J64" s="200">
        <v>2.7791666666666668</v>
      </c>
      <c r="K64" s="200">
        <v>2.7791666666666668</v>
      </c>
      <c r="L64" s="200">
        <v>2.7791666666666668</v>
      </c>
      <c r="M64" s="200">
        <v>2.7791666666666668</v>
      </c>
      <c r="N64" s="200">
        <v>2.7791666666666668</v>
      </c>
      <c r="O64" s="200">
        <v>2.7791666666666668</v>
      </c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7"/>
        <v>4034.3752978955754</v>
      </c>
      <c r="B65" s="52" t="s">
        <v>58</v>
      </c>
      <c r="C65" s="8" t="s">
        <v>6</v>
      </c>
      <c r="D65" s="200">
        <v>357.48166666666663</v>
      </c>
      <c r="E65" s="200">
        <v>357.48166666666742</v>
      </c>
      <c r="F65" s="200">
        <v>357.48166666666663</v>
      </c>
      <c r="G65" s="200">
        <v>357.48166666666663</v>
      </c>
      <c r="H65" s="200">
        <v>357.48166666666663</v>
      </c>
      <c r="I65" s="200">
        <v>102.07696456224225</v>
      </c>
      <c r="J65" s="200">
        <v>357.48166666666663</v>
      </c>
      <c r="K65" s="200">
        <v>357.48166666666663</v>
      </c>
      <c r="L65" s="200">
        <v>357.48166666666663</v>
      </c>
      <c r="M65" s="200">
        <v>357.48166666666663</v>
      </c>
      <c r="N65" s="200">
        <v>357.48166666666663</v>
      </c>
      <c r="O65" s="200">
        <v>357.48166666666663</v>
      </c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7"/>
        <v>106.90000890833332</v>
      </c>
      <c r="B66" s="52" t="s">
        <v>58</v>
      </c>
      <c r="C66" s="8" t="s">
        <v>7</v>
      </c>
      <c r="D66" s="200">
        <v>8.9083333333333314</v>
      </c>
      <c r="E66" s="200">
        <v>8.9083333333333314</v>
      </c>
      <c r="F66" s="200">
        <v>8.9083333333333314</v>
      </c>
      <c r="G66" s="200">
        <v>8.9083333333333314</v>
      </c>
      <c r="H66" s="200">
        <v>8.9083333333333314</v>
      </c>
      <c r="I66" s="200">
        <v>8.9083422416666647</v>
      </c>
      <c r="J66" s="200">
        <v>8.9083333333333314</v>
      </c>
      <c r="K66" s="200">
        <v>8.9083333333333314</v>
      </c>
      <c r="L66" s="200">
        <v>8.9083333333333314</v>
      </c>
      <c r="M66" s="200">
        <v>8.9083333333333314</v>
      </c>
      <c r="N66" s="200">
        <v>8.9083333333333314</v>
      </c>
      <c r="O66" s="200">
        <v>8.9083333333333314</v>
      </c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7"/>
        <v>4266.0100000000011</v>
      </c>
      <c r="B67" s="52" t="s">
        <v>58</v>
      </c>
      <c r="C67" s="8" t="s">
        <v>8</v>
      </c>
      <c r="D67" s="200">
        <v>355.50083333333333</v>
      </c>
      <c r="E67" s="200">
        <v>355.50083333333333</v>
      </c>
      <c r="F67" s="200">
        <v>355.50083333333333</v>
      </c>
      <c r="G67" s="200">
        <v>355.50083333333333</v>
      </c>
      <c r="H67" s="200">
        <v>355.50083333333333</v>
      </c>
      <c r="I67" s="200">
        <v>355.50083333333333</v>
      </c>
      <c r="J67" s="200">
        <v>355.50083333333333</v>
      </c>
      <c r="K67" s="200">
        <v>355.50083333333333</v>
      </c>
      <c r="L67" s="200">
        <v>355.50083333333333</v>
      </c>
      <c r="M67" s="200">
        <v>355.50083333333333</v>
      </c>
      <c r="N67" s="200">
        <v>355.50083333333333</v>
      </c>
      <c r="O67" s="200">
        <v>355.50083333333333</v>
      </c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7"/>
        <v>398.46</v>
      </c>
      <c r="B68" s="52" t="s">
        <v>58</v>
      </c>
      <c r="C68" s="8" t="s">
        <v>9</v>
      </c>
      <c r="D68" s="200">
        <v>33.204999999999998</v>
      </c>
      <c r="E68" s="200">
        <v>33.204999999999998</v>
      </c>
      <c r="F68" s="200">
        <v>33.204999999999998</v>
      </c>
      <c r="G68" s="200">
        <v>33.204999999999998</v>
      </c>
      <c r="H68" s="200">
        <v>33.204999999999998</v>
      </c>
      <c r="I68" s="200">
        <v>33.205000000000112</v>
      </c>
      <c r="J68" s="200">
        <v>33.204999999999998</v>
      </c>
      <c r="K68" s="200">
        <v>33.204999999999998</v>
      </c>
      <c r="L68" s="200">
        <v>33.204999999999998</v>
      </c>
      <c r="M68" s="200">
        <v>33.204999999999998</v>
      </c>
      <c r="N68" s="200">
        <v>33.204999999999998</v>
      </c>
      <c r="O68" s="200">
        <v>33.204999999999998</v>
      </c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7"/>
        <v>6141.6705118058317</v>
      </c>
      <c r="B69" s="52" t="s">
        <v>58</v>
      </c>
      <c r="C69" s="8" t="s">
        <v>10</v>
      </c>
      <c r="D69" s="200">
        <v>511.80583333333328</v>
      </c>
      <c r="E69" s="200">
        <v>511.80583333333328</v>
      </c>
      <c r="F69" s="200">
        <v>511.80583333333328</v>
      </c>
      <c r="G69" s="200">
        <v>511.80583333333328</v>
      </c>
      <c r="H69" s="200">
        <v>511.80583333333328</v>
      </c>
      <c r="I69" s="200">
        <v>511.80634513916658</v>
      </c>
      <c r="J69" s="200">
        <v>511.80583333333328</v>
      </c>
      <c r="K69" s="200">
        <v>511.80583333333328</v>
      </c>
      <c r="L69" s="200">
        <v>511.80583333333328</v>
      </c>
      <c r="M69" s="200">
        <v>511.80583333333328</v>
      </c>
      <c r="N69" s="200">
        <v>511.80583333333328</v>
      </c>
      <c r="O69" s="200">
        <v>511.80583333333328</v>
      </c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7"/>
        <v>134.19000000000003</v>
      </c>
      <c r="B70" s="52" t="s">
        <v>58</v>
      </c>
      <c r="C70" s="8" t="s">
        <v>11</v>
      </c>
      <c r="D70" s="200">
        <v>11.182499999999999</v>
      </c>
      <c r="E70" s="200">
        <v>11.182499999999999</v>
      </c>
      <c r="F70" s="200">
        <v>11.182499999999999</v>
      </c>
      <c r="G70" s="200">
        <v>11.182499999999999</v>
      </c>
      <c r="H70" s="200">
        <v>11.182499999999999</v>
      </c>
      <c r="I70" s="200">
        <v>11.182499999999999</v>
      </c>
      <c r="J70" s="200">
        <v>11.182499999999999</v>
      </c>
      <c r="K70" s="200">
        <v>11.182499999999999</v>
      </c>
      <c r="L70" s="200">
        <v>11.182499999999999</v>
      </c>
      <c r="M70" s="200">
        <v>11.182499999999999</v>
      </c>
      <c r="N70" s="200">
        <v>11.182499999999999</v>
      </c>
      <c r="O70" s="200">
        <v>11.182499999999999</v>
      </c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7"/>
        <v>57.779999999999994</v>
      </c>
      <c r="B71" s="52" t="s">
        <v>58</v>
      </c>
      <c r="C71" s="8" t="s">
        <v>12</v>
      </c>
      <c r="D71" s="200">
        <v>4.8150000000000004</v>
      </c>
      <c r="E71" s="200">
        <v>4.8150000000000004</v>
      </c>
      <c r="F71" s="200">
        <v>4.8150000000000004</v>
      </c>
      <c r="G71" s="200">
        <v>4.8150000000000004</v>
      </c>
      <c r="H71" s="200">
        <v>4.8150000000000004</v>
      </c>
      <c r="I71" s="200">
        <v>4.8150000000000004</v>
      </c>
      <c r="J71" s="200">
        <v>4.8150000000000004</v>
      </c>
      <c r="K71" s="200">
        <v>4.8150000000000004</v>
      </c>
      <c r="L71" s="200">
        <v>4.8150000000000004</v>
      </c>
      <c r="M71" s="200">
        <v>4.8150000000000004</v>
      </c>
      <c r="N71" s="200">
        <v>4.8150000000000004</v>
      </c>
      <c r="O71" s="200">
        <v>4.8150000000000004</v>
      </c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7"/>
        <v>12.89</v>
      </c>
      <c r="B72" s="52" t="s">
        <v>58</v>
      </c>
      <c r="C72" s="8" t="s">
        <v>13</v>
      </c>
      <c r="D72" s="200">
        <v>1.0741666666666667</v>
      </c>
      <c r="E72" s="200">
        <v>1.0741666666666667</v>
      </c>
      <c r="F72" s="200">
        <v>1.0741666666666667</v>
      </c>
      <c r="G72" s="200">
        <v>1.0741666666666667</v>
      </c>
      <c r="H72" s="200">
        <v>1.0741666666666667</v>
      </c>
      <c r="I72" s="200">
        <v>1.0741666666666667</v>
      </c>
      <c r="J72" s="200">
        <v>1.0741666666666667</v>
      </c>
      <c r="K72" s="200">
        <v>1.0741666666666667</v>
      </c>
      <c r="L72" s="200">
        <v>1.0741666666666667</v>
      </c>
      <c r="M72" s="200">
        <v>1.0741666666666667</v>
      </c>
      <c r="N72" s="200">
        <v>1.0741666666666667</v>
      </c>
      <c r="O72" s="200">
        <v>1.0741666666666667</v>
      </c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7"/>
        <v>34232.69</v>
      </c>
      <c r="B73" s="52" t="s">
        <v>58</v>
      </c>
      <c r="C73" s="8" t="s">
        <v>14</v>
      </c>
      <c r="D73" s="200">
        <v>7475.6525833333326</v>
      </c>
      <c r="E73" s="200">
        <v>5323.3725833333292</v>
      </c>
      <c r="F73" s="200">
        <v>6077.7425833333327</v>
      </c>
      <c r="G73" s="200">
        <v>4841.6025833333288</v>
      </c>
      <c r="H73" s="200">
        <v>1551.0825833333347</v>
      </c>
      <c r="I73" s="200">
        <v>1E-14</v>
      </c>
      <c r="J73" s="200">
        <v>2127.4225833333348</v>
      </c>
      <c r="K73" s="200">
        <v>2128.6025833333351</v>
      </c>
      <c r="L73" s="200">
        <v>3150.3425833333349</v>
      </c>
      <c r="M73" s="200">
        <v>1E-14</v>
      </c>
      <c r="N73" s="200">
        <v>1E-14</v>
      </c>
      <c r="O73" s="200">
        <v>1556.8693333333367</v>
      </c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7"/>
        <v>154.09000000000006</v>
      </c>
      <c r="B74" s="52" t="s">
        <v>58</v>
      </c>
      <c r="C74" s="8" t="s">
        <v>15</v>
      </c>
      <c r="D74" s="200">
        <v>1E-14</v>
      </c>
      <c r="E74" s="200">
        <v>1E-14</v>
      </c>
      <c r="F74" s="200">
        <v>1E-14</v>
      </c>
      <c r="G74" s="200">
        <v>1E-14</v>
      </c>
      <c r="H74" s="200">
        <v>1E-14</v>
      </c>
      <c r="I74" s="200">
        <v>154.09</v>
      </c>
      <c r="J74" s="200">
        <v>1E-14</v>
      </c>
      <c r="K74" s="200">
        <v>1E-14</v>
      </c>
      <c r="L74" s="200">
        <v>1E-14</v>
      </c>
      <c r="M74" s="200">
        <v>1E-14</v>
      </c>
      <c r="N74" s="200">
        <v>1E-14</v>
      </c>
      <c r="O74" s="200">
        <v>1E-14</v>
      </c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7"/>
        <v>-1.1999999999999997E-13</v>
      </c>
      <c r="B75" s="52" t="s">
        <v>58</v>
      </c>
      <c r="C75" s="8" t="s">
        <v>16</v>
      </c>
      <c r="D75" s="200">
        <v>-1E-14</v>
      </c>
      <c r="E75" s="200">
        <v>-1E-14</v>
      </c>
      <c r="F75" s="200">
        <v>-1E-14</v>
      </c>
      <c r="G75" s="200">
        <v>-1E-14</v>
      </c>
      <c r="H75" s="200">
        <v>-1E-14</v>
      </c>
      <c r="I75" s="200">
        <v>-1E-14</v>
      </c>
      <c r="J75" s="200">
        <v>-1E-14</v>
      </c>
      <c r="K75" s="200">
        <v>-1E-14</v>
      </c>
      <c r="L75" s="200">
        <v>-1E-14</v>
      </c>
      <c r="M75" s="200">
        <v>-1E-14</v>
      </c>
      <c r="N75" s="200">
        <v>-1E-14</v>
      </c>
      <c r="O75" s="200">
        <v>-1E-14</v>
      </c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7"/>
        <v>957.4858333333334</v>
      </c>
      <c r="B76" s="52" t="s">
        <v>58</v>
      </c>
      <c r="C76" s="8" t="s">
        <v>18</v>
      </c>
      <c r="D76" s="200">
        <v>87.044166666666669</v>
      </c>
      <c r="E76" s="200">
        <v>87.044166666666669</v>
      </c>
      <c r="F76" s="200">
        <v>87.044166666666669</v>
      </c>
      <c r="G76" s="200">
        <v>87.044166666666669</v>
      </c>
      <c r="H76" s="200">
        <v>87.044166666666669</v>
      </c>
      <c r="I76" s="200">
        <v>1E-14</v>
      </c>
      <c r="J76" s="200">
        <v>87.044166666666669</v>
      </c>
      <c r="K76" s="200">
        <v>87.044166666666669</v>
      </c>
      <c r="L76" s="200">
        <v>87.044166666666669</v>
      </c>
      <c r="M76" s="200">
        <v>87.044166666666669</v>
      </c>
      <c r="N76" s="200">
        <v>87.044166666666669</v>
      </c>
      <c r="O76" s="200">
        <v>87.044166666666669</v>
      </c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7"/>
        <v>-1.1999999999999997E-13</v>
      </c>
      <c r="B77" s="52" t="s">
        <v>58</v>
      </c>
      <c r="C77" s="8" t="s">
        <v>19</v>
      </c>
      <c r="D77" s="200">
        <v>-1E-14</v>
      </c>
      <c r="E77" s="200">
        <v>-1E-14</v>
      </c>
      <c r="F77" s="200">
        <v>-1E-14</v>
      </c>
      <c r="G77" s="200">
        <v>-1E-14</v>
      </c>
      <c r="H77" s="200">
        <v>-1E-14</v>
      </c>
      <c r="I77" s="200">
        <v>-1E-14</v>
      </c>
      <c r="J77" s="200">
        <v>-1E-14</v>
      </c>
      <c r="K77" s="200">
        <v>-1E-14</v>
      </c>
      <c r="L77" s="200">
        <v>-1E-14</v>
      </c>
      <c r="M77" s="200">
        <v>-1E-14</v>
      </c>
      <c r="N77" s="200">
        <v>-1E-14</v>
      </c>
      <c r="O77" s="200">
        <v>-1E-14</v>
      </c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7"/>
        <v>104.44500000000002</v>
      </c>
      <c r="B78" s="52" t="s">
        <v>58</v>
      </c>
      <c r="C78" s="8" t="s">
        <v>20</v>
      </c>
      <c r="D78" s="200">
        <v>9.4949999999999992</v>
      </c>
      <c r="E78" s="200">
        <v>9.4949999999999992</v>
      </c>
      <c r="F78" s="200">
        <v>9.4949999999999992</v>
      </c>
      <c r="G78" s="200">
        <v>9.4949999999999992</v>
      </c>
      <c r="H78" s="200">
        <v>9.4949999999999992</v>
      </c>
      <c r="I78" s="200">
        <v>1E-14</v>
      </c>
      <c r="J78" s="200">
        <v>9.4949999999999992</v>
      </c>
      <c r="K78" s="200">
        <v>9.4949999999999992</v>
      </c>
      <c r="L78" s="200">
        <v>9.4949999999999992</v>
      </c>
      <c r="M78" s="200">
        <v>9.4949999999999992</v>
      </c>
      <c r="N78" s="200">
        <v>9.4949999999999992</v>
      </c>
      <c r="O78" s="200">
        <v>9.4949999999999992</v>
      </c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7"/>
        <v>212.20001768333336</v>
      </c>
      <c r="B79" s="52" t="s">
        <v>58</v>
      </c>
      <c r="C79" s="8" t="s">
        <v>17</v>
      </c>
      <c r="D79" s="200">
        <v>17.683333333333334</v>
      </c>
      <c r="E79" s="200">
        <v>17.683333333333334</v>
      </c>
      <c r="F79" s="200">
        <v>17.683333333333334</v>
      </c>
      <c r="G79" s="200">
        <v>17.683333333333334</v>
      </c>
      <c r="H79" s="200">
        <v>17.683333333333334</v>
      </c>
      <c r="I79" s="200">
        <v>17.683351016666666</v>
      </c>
      <c r="J79" s="200">
        <v>17.683333333333334</v>
      </c>
      <c r="K79" s="200">
        <v>17.683333333333334</v>
      </c>
      <c r="L79" s="200">
        <v>17.683333333333334</v>
      </c>
      <c r="M79" s="200">
        <v>17.683333333333334</v>
      </c>
      <c r="N79" s="200">
        <v>17.683333333333334</v>
      </c>
      <c r="O79" s="200">
        <v>17.683333333333334</v>
      </c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7"/>
        <v>-1.1999999999999997E-13</v>
      </c>
      <c r="B80" s="52" t="s">
        <v>58</v>
      </c>
      <c r="C80" s="8" t="s">
        <v>26</v>
      </c>
      <c r="D80" s="200">
        <v>-1E-14</v>
      </c>
      <c r="E80" s="200">
        <v>-1E-14</v>
      </c>
      <c r="F80" s="200">
        <v>-1E-14</v>
      </c>
      <c r="G80" s="200">
        <v>-1E-14</v>
      </c>
      <c r="H80" s="200">
        <v>-1E-14</v>
      </c>
      <c r="I80" s="200">
        <v>-1E-14</v>
      </c>
      <c r="J80" s="200">
        <v>-1E-14</v>
      </c>
      <c r="K80" s="200">
        <v>-1E-14</v>
      </c>
      <c r="L80" s="200">
        <v>-1E-14</v>
      </c>
      <c r="M80" s="200">
        <v>-1E-14</v>
      </c>
      <c r="N80" s="200">
        <v>-1E-14</v>
      </c>
      <c r="O80" s="200">
        <v>-1E-14</v>
      </c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7"/>
        <v>-1.1999999999999997E-13</v>
      </c>
      <c r="B81" s="52" t="s">
        <v>58</v>
      </c>
      <c r="C81" s="8" t="s">
        <v>27</v>
      </c>
      <c r="D81" s="200">
        <v>-1E-14</v>
      </c>
      <c r="E81" s="200">
        <v>-1E-14</v>
      </c>
      <c r="F81" s="200">
        <v>-1E-14</v>
      </c>
      <c r="G81" s="200">
        <v>-1E-14</v>
      </c>
      <c r="H81" s="200">
        <v>-1E-14</v>
      </c>
      <c r="I81" s="200">
        <v>-1E-14</v>
      </c>
      <c r="J81" s="200">
        <v>-1E-14</v>
      </c>
      <c r="K81" s="200">
        <v>-1E-14</v>
      </c>
      <c r="L81" s="200">
        <v>-1E-14</v>
      </c>
      <c r="M81" s="200">
        <v>-1E-14</v>
      </c>
      <c r="N81" s="200">
        <v>-1E-14</v>
      </c>
      <c r="O81" s="200">
        <v>-1E-14</v>
      </c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s="16" customFormat="1" outlineLevel="1" x14ac:dyDescent="0.25">
      <c r="A82" s="200">
        <f t="shared" si="7"/>
        <v>-1.1999999999999997E-13</v>
      </c>
      <c r="B82" s="52" t="s">
        <v>58</v>
      </c>
      <c r="C82" s="8" t="s">
        <v>60</v>
      </c>
      <c r="D82" s="200">
        <v>-1E-14</v>
      </c>
      <c r="E82" s="200">
        <v>-1E-14</v>
      </c>
      <c r="F82" s="200">
        <v>-1E-14</v>
      </c>
      <c r="G82" s="200">
        <v>-1E-14</v>
      </c>
      <c r="H82" s="200">
        <v>-1E-14</v>
      </c>
      <c r="I82" s="200">
        <v>-1E-14</v>
      </c>
      <c r="J82" s="200">
        <v>-1E-14</v>
      </c>
      <c r="K82" s="200">
        <v>-1E-14</v>
      </c>
      <c r="L82" s="200">
        <v>-1E-14</v>
      </c>
      <c r="M82" s="200">
        <v>-1E-14</v>
      </c>
      <c r="N82" s="200">
        <v>-1E-14</v>
      </c>
      <c r="O82" s="200">
        <v>-1E-14</v>
      </c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s="16" customFormat="1" outlineLevel="1" x14ac:dyDescent="0.25">
      <c r="A83" s="200">
        <f t="shared" si="7"/>
        <v>-1.1999999999999997E-13</v>
      </c>
      <c r="B83" s="52" t="s">
        <v>58</v>
      </c>
      <c r="C83" s="8" t="s">
        <v>61</v>
      </c>
      <c r="D83" s="200">
        <v>-1E-14</v>
      </c>
      <c r="E83" s="200">
        <v>-1E-14</v>
      </c>
      <c r="F83" s="200">
        <v>-1E-14</v>
      </c>
      <c r="G83" s="200">
        <v>-1E-14</v>
      </c>
      <c r="H83" s="200">
        <v>-1E-14</v>
      </c>
      <c r="I83" s="200">
        <v>-1E-14</v>
      </c>
      <c r="J83" s="200">
        <v>-1E-14</v>
      </c>
      <c r="K83" s="200">
        <v>-1E-14</v>
      </c>
      <c r="L83" s="200">
        <v>-1E-14</v>
      </c>
      <c r="M83" s="200">
        <v>-1E-14</v>
      </c>
      <c r="N83" s="200">
        <v>-1E-14</v>
      </c>
      <c r="O83" s="200">
        <v>-1E-14</v>
      </c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s="16" customFormat="1" outlineLevel="1" x14ac:dyDescent="0.25">
      <c r="A84" s="200">
        <f t="shared" si="7"/>
        <v>-1.1999999999999997E-13</v>
      </c>
      <c r="B84" s="52" t="s">
        <v>58</v>
      </c>
      <c r="C84" s="8" t="s">
        <v>62</v>
      </c>
      <c r="D84" s="200">
        <v>-1E-14</v>
      </c>
      <c r="E84" s="200">
        <v>-1E-14</v>
      </c>
      <c r="F84" s="200">
        <v>-1E-14</v>
      </c>
      <c r="G84" s="200">
        <v>-1E-14</v>
      </c>
      <c r="H84" s="200">
        <v>-1E-14</v>
      </c>
      <c r="I84" s="200">
        <v>-1E-14</v>
      </c>
      <c r="J84" s="200">
        <v>-1E-14</v>
      </c>
      <c r="K84" s="200">
        <v>-1E-14</v>
      </c>
      <c r="L84" s="200">
        <v>-1E-14</v>
      </c>
      <c r="M84" s="200">
        <v>-1E-14</v>
      </c>
      <c r="N84" s="200">
        <v>-1E-14</v>
      </c>
      <c r="O84" s="200">
        <v>-1E-14</v>
      </c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7"/>
        <v>13831.124075627637</v>
      </c>
      <c r="B85" s="52" t="s">
        <v>58</v>
      </c>
      <c r="C85" s="8" t="s">
        <v>21</v>
      </c>
      <c r="D85" s="200">
        <v>1110.121499840227</v>
      </c>
      <c r="E85" s="200">
        <v>3179.1739674593236</v>
      </c>
      <c r="F85" s="200">
        <v>1891.9970205308364</v>
      </c>
      <c r="G85" s="200">
        <v>1E-14</v>
      </c>
      <c r="H85" s="200">
        <v>1E-14</v>
      </c>
      <c r="I85" s="200">
        <v>1E-14</v>
      </c>
      <c r="J85" s="200">
        <v>1E-14</v>
      </c>
      <c r="K85" s="200">
        <v>1E-14</v>
      </c>
      <c r="L85" s="200">
        <v>1E-14</v>
      </c>
      <c r="M85" s="200">
        <v>784.15511097801311</v>
      </c>
      <c r="N85" s="200">
        <v>3406.257822277847</v>
      </c>
      <c r="O85" s="200">
        <v>3459.4186545413891</v>
      </c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7"/>
        <v>9600</v>
      </c>
      <c r="B86" s="52" t="s">
        <v>58</v>
      </c>
      <c r="C86" s="8" t="s">
        <v>22</v>
      </c>
      <c r="D86" s="200">
        <v>4000</v>
      </c>
      <c r="E86" s="200">
        <v>1E-14</v>
      </c>
      <c r="F86" s="200">
        <v>1E-14</v>
      </c>
      <c r="G86" s="200">
        <v>1E-14</v>
      </c>
      <c r="H86" s="200">
        <v>1E-14</v>
      </c>
      <c r="I86" s="200">
        <v>1E-14</v>
      </c>
      <c r="J86" s="200">
        <v>1E-14</v>
      </c>
      <c r="K86" s="200">
        <v>1E-14</v>
      </c>
      <c r="L86" s="200">
        <v>1E-14</v>
      </c>
      <c r="M86" s="200">
        <v>1E-14</v>
      </c>
      <c r="N86" s="200">
        <v>1E-14</v>
      </c>
      <c r="O86" s="200">
        <v>5600</v>
      </c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outlineLevel="1" x14ac:dyDescent="0.25">
      <c r="A87" s="200">
        <f t="shared" si="7"/>
        <v>126.89934886876578</v>
      </c>
      <c r="B87" s="52" t="s">
        <v>58</v>
      </c>
      <c r="C87" s="8" t="s">
        <v>25</v>
      </c>
      <c r="D87" s="200">
        <v>1E-14</v>
      </c>
      <c r="E87" s="200">
        <v>126.89934886876563</v>
      </c>
      <c r="F87" s="200">
        <v>1E-14</v>
      </c>
      <c r="G87" s="200">
        <v>1E-14</v>
      </c>
      <c r="H87" s="200">
        <v>1E-14</v>
      </c>
      <c r="I87" s="200">
        <v>1E-14</v>
      </c>
      <c r="J87" s="200">
        <v>1E-14</v>
      </c>
      <c r="K87" s="200">
        <v>1E-14</v>
      </c>
      <c r="L87" s="200">
        <v>1E-14</v>
      </c>
      <c r="M87" s="200">
        <v>1E-14</v>
      </c>
      <c r="N87" s="200">
        <v>1E-14</v>
      </c>
      <c r="O87" s="200">
        <v>1E-14</v>
      </c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outlineLevel="1" x14ac:dyDescent="0.25">
      <c r="A88" s="201"/>
      <c r="B88" s="52"/>
      <c r="C88" s="8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outlineLevel="1" x14ac:dyDescent="0.25">
      <c r="A89" s="7"/>
      <c r="B89" s="50"/>
      <c r="C89" s="199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s="75" customFormat="1" ht="18.75" x14ac:dyDescent="0.3">
      <c r="A90" s="77" t="s">
        <v>220</v>
      </c>
      <c r="B90" s="74" t="s">
        <v>67</v>
      </c>
      <c r="C90" s="76"/>
      <c r="D90" s="78" t="s">
        <v>216</v>
      </c>
      <c r="E90" s="78" t="s">
        <v>223</v>
      </c>
      <c r="F90" s="78" t="s">
        <v>224</v>
      </c>
      <c r="G90" s="78" t="s">
        <v>225</v>
      </c>
      <c r="H90" s="78" t="s">
        <v>226</v>
      </c>
      <c r="I90" s="78" t="s">
        <v>227</v>
      </c>
      <c r="J90" s="78" t="s">
        <v>228</v>
      </c>
      <c r="K90" s="78" t="s">
        <v>229</v>
      </c>
      <c r="L90" s="78" t="s">
        <v>230</v>
      </c>
      <c r="M90" s="78" t="s">
        <v>231</v>
      </c>
      <c r="N90" s="78" t="s">
        <v>232</v>
      </c>
      <c r="O90" s="78" t="s">
        <v>233</v>
      </c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</row>
    <row r="91" spans="1:27" outlineLevel="1" x14ac:dyDescent="0.25">
      <c r="A91" s="202">
        <f t="shared" ref="A91:A119" si="8">SUM(D91:O91)</f>
        <v>6780532.5</v>
      </c>
      <c r="B91" s="206" t="s">
        <v>56</v>
      </c>
      <c r="C91" s="203" t="s">
        <v>0</v>
      </c>
      <c r="D91" s="202">
        <v>1E-14</v>
      </c>
      <c r="E91" s="202">
        <v>1E-14</v>
      </c>
      <c r="F91" s="202">
        <v>1E-14</v>
      </c>
      <c r="G91" s="202">
        <v>1E-14</v>
      </c>
      <c r="H91" s="202">
        <v>1E-14</v>
      </c>
      <c r="I91" s="202">
        <v>282325.35624999658</v>
      </c>
      <c r="J91" s="202">
        <v>1E-14</v>
      </c>
      <c r="K91" s="202">
        <v>1E-14</v>
      </c>
      <c r="L91" s="202">
        <v>1E-14</v>
      </c>
      <c r="M91" s="202">
        <v>2303360.1062499997</v>
      </c>
      <c r="N91" s="202">
        <v>2280522.6062499997</v>
      </c>
      <c r="O91" s="202">
        <v>1914324.4312500036</v>
      </c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</row>
    <row r="92" spans="1:27" outlineLevel="1" x14ac:dyDescent="0.25">
      <c r="A92" s="202">
        <f t="shared" si="8"/>
        <v>-1.1999999999999997E-13</v>
      </c>
      <c r="B92" s="206" t="s">
        <v>56</v>
      </c>
      <c r="C92" s="203" t="s">
        <v>1</v>
      </c>
      <c r="D92" s="202">
        <v>-1E-14</v>
      </c>
      <c r="E92" s="202">
        <v>-1E-14</v>
      </c>
      <c r="F92" s="202">
        <v>-1E-14</v>
      </c>
      <c r="G92" s="202">
        <v>-1E-14</v>
      </c>
      <c r="H92" s="202">
        <v>-1E-14</v>
      </c>
      <c r="I92" s="202">
        <v>-1E-14</v>
      </c>
      <c r="J92" s="202">
        <v>-1E-14</v>
      </c>
      <c r="K92" s="202">
        <v>-1E-14</v>
      </c>
      <c r="L92" s="202">
        <v>-1E-14</v>
      </c>
      <c r="M92" s="202">
        <v>-1E-14</v>
      </c>
      <c r="N92" s="202">
        <v>-1E-14</v>
      </c>
      <c r="O92" s="202">
        <v>-1E-14</v>
      </c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</row>
    <row r="93" spans="1:27" outlineLevel="1" x14ac:dyDescent="0.25">
      <c r="A93" s="202">
        <f t="shared" si="8"/>
        <v>-1.1999999999999997E-13</v>
      </c>
      <c r="B93" s="206" t="s">
        <v>56</v>
      </c>
      <c r="C93" s="203" t="s">
        <v>2</v>
      </c>
      <c r="D93" s="202">
        <v>-1E-14</v>
      </c>
      <c r="E93" s="202">
        <v>-1E-14</v>
      </c>
      <c r="F93" s="202">
        <v>-1E-14</v>
      </c>
      <c r="G93" s="202">
        <v>-1E-14</v>
      </c>
      <c r="H93" s="202">
        <v>-1E-14</v>
      </c>
      <c r="I93" s="202">
        <v>-1E-14</v>
      </c>
      <c r="J93" s="202">
        <v>-1E-14</v>
      </c>
      <c r="K93" s="202">
        <v>-1E-14</v>
      </c>
      <c r="L93" s="202">
        <v>-1E-14</v>
      </c>
      <c r="M93" s="202">
        <v>-1E-14</v>
      </c>
      <c r="N93" s="202">
        <v>-1E-14</v>
      </c>
      <c r="O93" s="202">
        <v>-1E-14</v>
      </c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</row>
    <row r="94" spans="1:27" outlineLevel="1" x14ac:dyDescent="0.25">
      <c r="A94" s="202">
        <f t="shared" si="8"/>
        <v>15102560.758546624</v>
      </c>
      <c r="B94" s="206" t="s">
        <v>56</v>
      </c>
      <c r="C94" s="203" t="s">
        <v>3</v>
      </c>
      <c r="D94" s="202">
        <v>1258546.625</v>
      </c>
      <c r="E94" s="202">
        <v>1258546.625</v>
      </c>
      <c r="F94" s="202">
        <v>1258546.625</v>
      </c>
      <c r="G94" s="202">
        <v>1258546.625</v>
      </c>
      <c r="H94" s="202">
        <v>1258546.625</v>
      </c>
      <c r="I94" s="202">
        <v>1258547.883546625</v>
      </c>
      <c r="J94" s="202">
        <v>1258546.625</v>
      </c>
      <c r="K94" s="202">
        <v>1258546.625</v>
      </c>
      <c r="L94" s="202">
        <v>1258546.625</v>
      </c>
      <c r="M94" s="202">
        <v>1258546.625</v>
      </c>
      <c r="N94" s="202">
        <v>1258546.625</v>
      </c>
      <c r="O94" s="202">
        <v>1258546.625</v>
      </c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</row>
    <row r="95" spans="1:27" outlineLevel="1" x14ac:dyDescent="0.25">
      <c r="A95" s="202">
        <f t="shared" si="8"/>
        <v>2222014.7250000006</v>
      </c>
      <c r="B95" s="206" t="s">
        <v>56</v>
      </c>
      <c r="C95" s="203" t="s">
        <v>4</v>
      </c>
      <c r="D95" s="202">
        <v>185167.89375000002</v>
      </c>
      <c r="E95" s="202">
        <v>185167.89375000002</v>
      </c>
      <c r="F95" s="202">
        <v>185167.89375000002</v>
      </c>
      <c r="G95" s="202">
        <v>185167.89375000042</v>
      </c>
      <c r="H95" s="202">
        <v>185167.89375000002</v>
      </c>
      <c r="I95" s="202">
        <v>185167.89375000002</v>
      </c>
      <c r="J95" s="202">
        <v>185167.89375000002</v>
      </c>
      <c r="K95" s="202">
        <v>185167.89375000002</v>
      </c>
      <c r="L95" s="202">
        <v>185167.89375000002</v>
      </c>
      <c r="M95" s="202">
        <v>185167.89375000002</v>
      </c>
      <c r="N95" s="202">
        <v>185167.89375000002</v>
      </c>
      <c r="O95" s="202">
        <v>185167.89375000002</v>
      </c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</row>
    <row r="96" spans="1:27" outlineLevel="1" x14ac:dyDescent="0.25">
      <c r="A96" s="202">
        <f t="shared" si="8"/>
        <v>4738.479166666667</v>
      </c>
      <c r="B96" s="206" t="s">
        <v>56</v>
      </c>
      <c r="C96" s="203" t="s">
        <v>5</v>
      </c>
      <c r="D96" s="202">
        <v>430.77083333333337</v>
      </c>
      <c r="E96" s="202">
        <v>430.77083333333337</v>
      </c>
      <c r="F96" s="202">
        <v>430.77083333333337</v>
      </c>
      <c r="G96" s="202">
        <v>430.77083333333337</v>
      </c>
      <c r="H96" s="202">
        <v>430.77083333333337</v>
      </c>
      <c r="I96" s="202">
        <v>1E-14</v>
      </c>
      <c r="J96" s="202">
        <v>430.77083333333337</v>
      </c>
      <c r="K96" s="202">
        <v>430.77083333333337</v>
      </c>
      <c r="L96" s="202">
        <v>430.77083333333337</v>
      </c>
      <c r="M96" s="202">
        <v>430.77083333333337</v>
      </c>
      <c r="N96" s="202">
        <v>430.77083333333337</v>
      </c>
      <c r="O96" s="202">
        <v>430.77083333333337</v>
      </c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8"/>
        <v>2118047.0313951774</v>
      </c>
      <c r="B97" s="206" t="s">
        <v>56</v>
      </c>
      <c r="C97" s="203" t="s">
        <v>6</v>
      </c>
      <c r="D97" s="202">
        <v>187677.87499999997</v>
      </c>
      <c r="E97" s="202">
        <v>187677.87500000041</v>
      </c>
      <c r="F97" s="202">
        <v>187677.87499999997</v>
      </c>
      <c r="G97" s="202">
        <v>187677.87499999997</v>
      </c>
      <c r="H97" s="202">
        <v>187677.87499999997</v>
      </c>
      <c r="I97" s="202">
        <v>53590.406395177182</v>
      </c>
      <c r="J97" s="202">
        <v>187677.87499999997</v>
      </c>
      <c r="K97" s="202">
        <v>187677.87499999997</v>
      </c>
      <c r="L97" s="202">
        <v>187677.87499999997</v>
      </c>
      <c r="M97" s="202">
        <v>187677.87499999997</v>
      </c>
      <c r="N97" s="202">
        <v>187677.87499999997</v>
      </c>
      <c r="O97" s="202">
        <v>187677.87499999997</v>
      </c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8"/>
        <v>56122.504676874996</v>
      </c>
      <c r="B98" s="206" t="s">
        <v>56</v>
      </c>
      <c r="C98" s="203" t="s">
        <v>7</v>
      </c>
      <c r="D98" s="202">
        <v>4676.8749999999991</v>
      </c>
      <c r="E98" s="202">
        <v>4676.8749999999991</v>
      </c>
      <c r="F98" s="202">
        <v>4676.8749999999991</v>
      </c>
      <c r="G98" s="202">
        <v>4676.8749999999991</v>
      </c>
      <c r="H98" s="202">
        <v>4676.8749999999991</v>
      </c>
      <c r="I98" s="202">
        <v>4676.8796768749989</v>
      </c>
      <c r="J98" s="202">
        <v>4676.8749999999991</v>
      </c>
      <c r="K98" s="202">
        <v>4676.8749999999991</v>
      </c>
      <c r="L98" s="202">
        <v>4676.8749999999991</v>
      </c>
      <c r="M98" s="202">
        <v>4676.8749999999991</v>
      </c>
      <c r="N98" s="202">
        <v>4676.8749999999991</v>
      </c>
      <c r="O98" s="202">
        <v>4676.8749999999991</v>
      </c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8"/>
        <v>2239655.25</v>
      </c>
      <c r="B99" s="206" t="s">
        <v>56</v>
      </c>
      <c r="C99" s="203" t="s">
        <v>8</v>
      </c>
      <c r="D99" s="202">
        <v>186637.9375</v>
      </c>
      <c r="E99" s="202">
        <v>186637.9375</v>
      </c>
      <c r="F99" s="202">
        <v>186637.9375</v>
      </c>
      <c r="G99" s="202">
        <v>186637.9375</v>
      </c>
      <c r="H99" s="202">
        <v>186637.9375</v>
      </c>
      <c r="I99" s="202">
        <v>186637.9375</v>
      </c>
      <c r="J99" s="202">
        <v>186637.9375</v>
      </c>
      <c r="K99" s="202">
        <v>186637.9375</v>
      </c>
      <c r="L99" s="202">
        <v>186637.9375</v>
      </c>
      <c r="M99" s="202">
        <v>186637.9375</v>
      </c>
      <c r="N99" s="202">
        <v>186637.9375</v>
      </c>
      <c r="O99" s="202">
        <v>186637.9375</v>
      </c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8"/>
        <v>209191.50000000006</v>
      </c>
      <c r="B100" s="206" t="s">
        <v>56</v>
      </c>
      <c r="C100" s="203" t="s">
        <v>9</v>
      </c>
      <c r="D100" s="202">
        <v>17432.625</v>
      </c>
      <c r="E100" s="202">
        <v>17432.625</v>
      </c>
      <c r="F100" s="202">
        <v>17432.625</v>
      </c>
      <c r="G100" s="202">
        <v>17432.625</v>
      </c>
      <c r="H100" s="202">
        <v>17432.625</v>
      </c>
      <c r="I100" s="202">
        <v>17432.625000000058</v>
      </c>
      <c r="J100" s="202">
        <v>17432.625</v>
      </c>
      <c r="K100" s="202">
        <v>17432.625</v>
      </c>
      <c r="L100" s="202">
        <v>17432.625</v>
      </c>
      <c r="M100" s="202">
        <v>17432.625</v>
      </c>
      <c r="N100" s="202">
        <v>17432.625</v>
      </c>
      <c r="O100" s="202">
        <v>17432.625</v>
      </c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8"/>
        <v>3224377.0186980627</v>
      </c>
      <c r="B101" s="206" t="s">
        <v>56</v>
      </c>
      <c r="C101" s="203" t="s">
        <v>10</v>
      </c>
      <c r="D101" s="202">
        <v>268698.0625</v>
      </c>
      <c r="E101" s="202">
        <v>268698.0625</v>
      </c>
      <c r="F101" s="202">
        <v>268698.0625</v>
      </c>
      <c r="G101" s="202">
        <v>268698.0625</v>
      </c>
      <c r="H101" s="202">
        <v>268698.0625</v>
      </c>
      <c r="I101" s="202">
        <v>268698.33119806246</v>
      </c>
      <c r="J101" s="202">
        <v>268698.0625</v>
      </c>
      <c r="K101" s="202">
        <v>268698.0625</v>
      </c>
      <c r="L101" s="202">
        <v>268698.0625</v>
      </c>
      <c r="M101" s="202">
        <v>268698.0625</v>
      </c>
      <c r="N101" s="202">
        <v>268698.0625</v>
      </c>
      <c r="O101" s="202">
        <v>268698.0625</v>
      </c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8"/>
        <v>105339.14999999998</v>
      </c>
      <c r="B102" s="206" t="s">
        <v>56</v>
      </c>
      <c r="C102" s="203" t="s">
        <v>11</v>
      </c>
      <c r="D102" s="202">
        <v>8778.2624999999989</v>
      </c>
      <c r="E102" s="202">
        <v>8778.2624999999989</v>
      </c>
      <c r="F102" s="202">
        <v>8778.2624999999989</v>
      </c>
      <c r="G102" s="202">
        <v>8778.2624999999989</v>
      </c>
      <c r="H102" s="202">
        <v>8778.2624999999989</v>
      </c>
      <c r="I102" s="202">
        <v>8778.2624999999989</v>
      </c>
      <c r="J102" s="202">
        <v>8778.2624999999989</v>
      </c>
      <c r="K102" s="202">
        <v>8778.2624999999989</v>
      </c>
      <c r="L102" s="202">
        <v>8778.2624999999989</v>
      </c>
      <c r="M102" s="202">
        <v>8778.2624999999989</v>
      </c>
      <c r="N102" s="202">
        <v>8778.2624999999989</v>
      </c>
      <c r="O102" s="202">
        <v>8778.2624999999989</v>
      </c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8"/>
        <v>1.1999999999999997E-13</v>
      </c>
      <c r="B103" s="206" t="s">
        <v>56</v>
      </c>
      <c r="C103" s="203" t="s">
        <v>12</v>
      </c>
      <c r="D103" s="202">
        <v>1E-14</v>
      </c>
      <c r="E103" s="202">
        <v>1E-14</v>
      </c>
      <c r="F103" s="202">
        <v>1E-14</v>
      </c>
      <c r="G103" s="202">
        <v>1E-14</v>
      </c>
      <c r="H103" s="202">
        <v>1E-14</v>
      </c>
      <c r="I103" s="202">
        <v>1E-14</v>
      </c>
      <c r="J103" s="202">
        <v>1E-14</v>
      </c>
      <c r="K103" s="202">
        <v>1E-14</v>
      </c>
      <c r="L103" s="202">
        <v>1E-14</v>
      </c>
      <c r="M103" s="202">
        <v>1E-14</v>
      </c>
      <c r="N103" s="202">
        <v>1E-14</v>
      </c>
      <c r="O103" s="202">
        <v>1E-14</v>
      </c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8"/>
        <v>6767.25</v>
      </c>
      <c r="B104" s="206" t="s">
        <v>56</v>
      </c>
      <c r="C104" s="203" t="s">
        <v>13</v>
      </c>
      <c r="D104" s="202">
        <v>563.9375</v>
      </c>
      <c r="E104" s="202">
        <v>563.9375</v>
      </c>
      <c r="F104" s="202">
        <v>563.9375</v>
      </c>
      <c r="G104" s="202">
        <v>563.9375</v>
      </c>
      <c r="H104" s="202">
        <v>563.9375</v>
      </c>
      <c r="I104" s="202">
        <v>563.9375</v>
      </c>
      <c r="J104" s="202">
        <v>563.9375</v>
      </c>
      <c r="K104" s="202">
        <v>563.9375</v>
      </c>
      <c r="L104" s="202">
        <v>563.9375</v>
      </c>
      <c r="M104" s="202">
        <v>563.9375</v>
      </c>
      <c r="N104" s="202">
        <v>563.9375</v>
      </c>
      <c r="O104" s="202">
        <v>563.9375</v>
      </c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8"/>
        <v>13693075.999999996</v>
      </c>
      <c r="B105" s="206" t="s">
        <v>56</v>
      </c>
      <c r="C105" s="203" t="s">
        <v>14</v>
      </c>
      <c r="D105" s="202">
        <v>2990261.0333333332</v>
      </c>
      <c r="E105" s="202">
        <v>2129349.0333333318</v>
      </c>
      <c r="F105" s="202">
        <v>2431097.0333333332</v>
      </c>
      <c r="G105" s="202">
        <v>1936641.0333333316</v>
      </c>
      <c r="H105" s="202">
        <v>620433.03333333391</v>
      </c>
      <c r="I105" s="202">
        <v>1E-14</v>
      </c>
      <c r="J105" s="202">
        <v>850969.03333333391</v>
      </c>
      <c r="K105" s="202">
        <v>851441.03333333402</v>
      </c>
      <c r="L105" s="202">
        <v>1260137.0333333339</v>
      </c>
      <c r="M105" s="202">
        <v>1E-14</v>
      </c>
      <c r="N105" s="202">
        <v>1E-14</v>
      </c>
      <c r="O105" s="202">
        <v>622747.73333333468</v>
      </c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8"/>
        <v>79356.350000000006</v>
      </c>
      <c r="B106" s="206" t="s">
        <v>56</v>
      </c>
      <c r="C106" s="203" t="s">
        <v>15</v>
      </c>
      <c r="D106" s="202">
        <v>1E-14</v>
      </c>
      <c r="E106" s="202">
        <v>1E-14</v>
      </c>
      <c r="F106" s="202">
        <v>1E-14</v>
      </c>
      <c r="G106" s="202">
        <v>1E-14</v>
      </c>
      <c r="H106" s="202">
        <v>1E-14</v>
      </c>
      <c r="I106" s="202">
        <v>79356.350000000006</v>
      </c>
      <c r="J106" s="202">
        <v>1E-14</v>
      </c>
      <c r="K106" s="202">
        <v>1E-14</v>
      </c>
      <c r="L106" s="202">
        <v>1E-14</v>
      </c>
      <c r="M106" s="202">
        <v>1E-14</v>
      </c>
      <c r="N106" s="202">
        <v>1E-14</v>
      </c>
      <c r="O106" s="202">
        <v>1E-14</v>
      </c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8"/>
        <v>-1.1999999999999997E-13</v>
      </c>
      <c r="B107" s="206" t="s">
        <v>56</v>
      </c>
      <c r="C107" s="203" t="s">
        <v>16</v>
      </c>
      <c r="D107" s="202">
        <v>-1E-14</v>
      </c>
      <c r="E107" s="202">
        <v>-1E-14</v>
      </c>
      <c r="F107" s="202">
        <v>-1E-14</v>
      </c>
      <c r="G107" s="202">
        <v>-1E-14</v>
      </c>
      <c r="H107" s="202">
        <v>-1E-14</v>
      </c>
      <c r="I107" s="202">
        <v>-1E-14</v>
      </c>
      <c r="J107" s="202">
        <v>-1E-14</v>
      </c>
      <c r="K107" s="202">
        <v>-1E-14</v>
      </c>
      <c r="L107" s="202">
        <v>-1E-14</v>
      </c>
      <c r="M107" s="202">
        <v>-1E-14</v>
      </c>
      <c r="N107" s="202">
        <v>-1E-14</v>
      </c>
      <c r="O107" s="202">
        <v>-1E-14</v>
      </c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8"/>
        <v>1.1999999999999997E-13</v>
      </c>
      <c r="B108" s="206" t="s">
        <v>56</v>
      </c>
      <c r="C108" s="203" t="s">
        <v>18</v>
      </c>
      <c r="D108" s="202">
        <v>1E-14</v>
      </c>
      <c r="E108" s="202">
        <v>1E-14</v>
      </c>
      <c r="F108" s="202">
        <v>1E-14</v>
      </c>
      <c r="G108" s="202">
        <v>1E-14</v>
      </c>
      <c r="H108" s="202">
        <v>1E-14</v>
      </c>
      <c r="I108" s="202">
        <v>1E-14</v>
      </c>
      <c r="J108" s="202">
        <v>1E-14</v>
      </c>
      <c r="K108" s="202">
        <v>1E-14</v>
      </c>
      <c r="L108" s="202">
        <v>1E-14</v>
      </c>
      <c r="M108" s="202">
        <v>1E-14</v>
      </c>
      <c r="N108" s="202">
        <v>1E-14</v>
      </c>
      <c r="O108" s="202">
        <v>1E-14</v>
      </c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8"/>
        <v>-1.1999999999999997E-13</v>
      </c>
      <c r="B109" s="206" t="s">
        <v>56</v>
      </c>
      <c r="C109" s="203" t="s">
        <v>19</v>
      </c>
      <c r="D109" s="202">
        <v>-1E-14</v>
      </c>
      <c r="E109" s="202">
        <v>-1E-14</v>
      </c>
      <c r="F109" s="202">
        <v>-1E-14</v>
      </c>
      <c r="G109" s="202">
        <v>-1E-14</v>
      </c>
      <c r="H109" s="202">
        <v>-1E-14</v>
      </c>
      <c r="I109" s="202">
        <v>-1E-14</v>
      </c>
      <c r="J109" s="202">
        <v>-1E-14</v>
      </c>
      <c r="K109" s="202">
        <v>-1E-14</v>
      </c>
      <c r="L109" s="202">
        <v>-1E-14</v>
      </c>
      <c r="M109" s="202">
        <v>-1E-14</v>
      </c>
      <c r="N109" s="202">
        <v>-1E-14</v>
      </c>
      <c r="O109" s="202">
        <v>-1E-14</v>
      </c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8"/>
        <v>71544.824999999983</v>
      </c>
      <c r="B110" s="206" t="s">
        <v>56</v>
      </c>
      <c r="C110" s="203" t="s">
        <v>20</v>
      </c>
      <c r="D110" s="202">
        <v>6504.0749999999998</v>
      </c>
      <c r="E110" s="202">
        <v>6504.0749999999998</v>
      </c>
      <c r="F110" s="202">
        <v>6504.0749999999998</v>
      </c>
      <c r="G110" s="202">
        <v>6504.0749999999998</v>
      </c>
      <c r="H110" s="202">
        <v>6504.0749999999998</v>
      </c>
      <c r="I110" s="202">
        <v>1E-14</v>
      </c>
      <c r="J110" s="202">
        <v>6504.0749999999998</v>
      </c>
      <c r="K110" s="202">
        <v>6504.0749999999998</v>
      </c>
      <c r="L110" s="202">
        <v>6504.0749999999998</v>
      </c>
      <c r="M110" s="202">
        <v>6504.0749999999998</v>
      </c>
      <c r="N110" s="202">
        <v>6504.0749999999998</v>
      </c>
      <c r="O110" s="202">
        <v>6504.0749999999998</v>
      </c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8"/>
        <v>32891.002740916672</v>
      </c>
      <c r="B111" s="206" t="s">
        <v>56</v>
      </c>
      <c r="C111" s="203" t="s">
        <v>17</v>
      </c>
      <c r="D111" s="202">
        <v>2740.9166666666665</v>
      </c>
      <c r="E111" s="202">
        <v>2740.9166666666665</v>
      </c>
      <c r="F111" s="202">
        <v>2740.9166666666665</v>
      </c>
      <c r="G111" s="202">
        <v>2740.9166666666665</v>
      </c>
      <c r="H111" s="202">
        <v>2740.9166666666665</v>
      </c>
      <c r="I111" s="202">
        <v>2740.9194075833334</v>
      </c>
      <c r="J111" s="202">
        <v>2740.9166666666665</v>
      </c>
      <c r="K111" s="202">
        <v>2740.9166666666665</v>
      </c>
      <c r="L111" s="202">
        <v>2740.9166666666665</v>
      </c>
      <c r="M111" s="202">
        <v>2740.9166666666665</v>
      </c>
      <c r="N111" s="202">
        <v>2740.9166666666665</v>
      </c>
      <c r="O111" s="202">
        <v>2740.9166666666665</v>
      </c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8"/>
        <v>-1.1999999999999997E-13</v>
      </c>
      <c r="B112" s="206" t="s">
        <v>56</v>
      </c>
      <c r="C112" s="203" t="s">
        <v>26</v>
      </c>
      <c r="D112" s="202">
        <v>-1E-14</v>
      </c>
      <c r="E112" s="202">
        <v>-1E-14</v>
      </c>
      <c r="F112" s="202">
        <v>-1E-14</v>
      </c>
      <c r="G112" s="202">
        <v>-1E-14</v>
      </c>
      <c r="H112" s="202">
        <v>-1E-14</v>
      </c>
      <c r="I112" s="202">
        <v>-1E-14</v>
      </c>
      <c r="J112" s="202">
        <v>-1E-14</v>
      </c>
      <c r="K112" s="202">
        <v>-1E-14</v>
      </c>
      <c r="L112" s="202">
        <v>-1E-14</v>
      </c>
      <c r="M112" s="202">
        <v>-1E-14</v>
      </c>
      <c r="N112" s="202">
        <v>-1E-14</v>
      </c>
      <c r="O112" s="202">
        <v>-1E-14</v>
      </c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8"/>
        <v>-1.1999999999999997E-13</v>
      </c>
      <c r="B113" s="206" t="s">
        <v>56</v>
      </c>
      <c r="C113" s="203" t="s">
        <v>27</v>
      </c>
      <c r="D113" s="202">
        <v>-1E-14</v>
      </c>
      <c r="E113" s="202">
        <v>-1E-14</v>
      </c>
      <c r="F113" s="202">
        <v>-1E-14</v>
      </c>
      <c r="G113" s="202">
        <v>-1E-14</v>
      </c>
      <c r="H113" s="202">
        <v>-1E-14</v>
      </c>
      <c r="I113" s="202">
        <v>-1E-14</v>
      </c>
      <c r="J113" s="202">
        <v>-1E-14</v>
      </c>
      <c r="K113" s="202">
        <v>-1E-14</v>
      </c>
      <c r="L113" s="202">
        <v>-1E-14</v>
      </c>
      <c r="M113" s="202">
        <v>-1E-14</v>
      </c>
      <c r="N113" s="202">
        <v>-1E-14</v>
      </c>
      <c r="O113" s="202">
        <v>-1E-14</v>
      </c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8"/>
        <v>-1.1999999999999997E-13</v>
      </c>
      <c r="B114" s="206" t="s">
        <v>56</v>
      </c>
      <c r="C114" s="203" t="s">
        <v>60</v>
      </c>
      <c r="D114" s="202">
        <v>-1E-14</v>
      </c>
      <c r="E114" s="202">
        <v>-1E-14</v>
      </c>
      <c r="F114" s="202">
        <v>-1E-14</v>
      </c>
      <c r="G114" s="202">
        <v>-1E-14</v>
      </c>
      <c r="H114" s="202">
        <v>-1E-14</v>
      </c>
      <c r="I114" s="202">
        <v>-1E-14</v>
      </c>
      <c r="J114" s="202">
        <v>-1E-14</v>
      </c>
      <c r="K114" s="202">
        <v>-1E-14</v>
      </c>
      <c r="L114" s="202">
        <v>-1E-14</v>
      </c>
      <c r="M114" s="202">
        <v>-1E-14</v>
      </c>
      <c r="N114" s="202">
        <v>-1E-14</v>
      </c>
      <c r="O114" s="202">
        <v>-1E-14</v>
      </c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8"/>
        <v>-1.1999999999999997E-13</v>
      </c>
      <c r="B115" s="206" t="s">
        <v>56</v>
      </c>
      <c r="C115" s="203" t="s">
        <v>61</v>
      </c>
      <c r="D115" s="202">
        <v>-1E-14</v>
      </c>
      <c r="E115" s="202">
        <v>-1E-14</v>
      </c>
      <c r="F115" s="202">
        <v>-1E-14</v>
      </c>
      <c r="G115" s="202">
        <v>-1E-14</v>
      </c>
      <c r="H115" s="202">
        <v>-1E-14</v>
      </c>
      <c r="I115" s="202">
        <v>-1E-14</v>
      </c>
      <c r="J115" s="202">
        <v>-1E-14</v>
      </c>
      <c r="K115" s="202">
        <v>-1E-14</v>
      </c>
      <c r="L115" s="202">
        <v>-1E-14</v>
      </c>
      <c r="M115" s="202">
        <v>-1E-14</v>
      </c>
      <c r="N115" s="202">
        <v>-1E-14</v>
      </c>
      <c r="O115" s="202">
        <v>-1E-14</v>
      </c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8"/>
        <v>-1.1999999999999997E-13</v>
      </c>
      <c r="B116" s="206" t="s">
        <v>56</v>
      </c>
      <c r="C116" s="203" t="s">
        <v>62</v>
      </c>
      <c r="D116" s="202">
        <v>-1E-14</v>
      </c>
      <c r="E116" s="202">
        <v>-1E-14</v>
      </c>
      <c r="F116" s="202">
        <v>-1E-14</v>
      </c>
      <c r="G116" s="202">
        <v>-1E-14</v>
      </c>
      <c r="H116" s="202">
        <v>-1E-14</v>
      </c>
      <c r="I116" s="202">
        <v>-1E-14</v>
      </c>
      <c r="J116" s="202">
        <v>-1E-14</v>
      </c>
      <c r="K116" s="202">
        <v>-1E-14</v>
      </c>
      <c r="L116" s="202">
        <v>-1E-14</v>
      </c>
      <c r="M116" s="202">
        <v>-1E-14</v>
      </c>
      <c r="N116" s="202">
        <v>-1E-14</v>
      </c>
      <c r="O116" s="202">
        <v>-1E-14</v>
      </c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8"/>
        <v>-6500628.315544989</v>
      </c>
      <c r="B117" s="206" t="s">
        <v>56</v>
      </c>
      <c r="C117" s="203" t="s">
        <v>21</v>
      </c>
      <c r="D117" s="202">
        <v>-521757.10492490669</v>
      </c>
      <c r="E117" s="202">
        <v>-1494211.7647058822</v>
      </c>
      <c r="F117" s="202">
        <v>-889238.59964949312</v>
      </c>
      <c r="G117" s="202">
        <v>1E-14</v>
      </c>
      <c r="H117" s="202">
        <v>1E-14</v>
      </c>
      <c r="I117" s="202">
        <v>1E-14</v>
      </c>
      <c r="J117" s="202">
        <v>1E-14</v>
      </c>
      <c r="K117" s="202">
        <v>1E-14</v>
      </c>
      <c r="L117" s="202">
        <v>1E-14</v>
      </c>
      <c r="M117" s="202">
        <v>-368552.90215966618</v>
      </c>
      <c r="N117" s="202">
        <v>-1600941.1764705882</v>
      </c>
      <c r="O117" s="202">
        <v>-1625926.7676344528</v>
      </c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s="16" customFormat="1" outlineLevel="1" x14ac:dyDescent="0.25">
      <c r="A118" s="202">
        <f t="shared" si="8"/>
        <v>-1814400</v>
      </c>
      <c r="B118" s="206" t="s">
        <v>56</v>
      </c>
      <c r="C118" s="203" t="s">
        <v>22</v>
      </c>
      <c r="D118" s="202">
        <v>-756000</v>
      </c>
      <c r="E118" s="202">
        <v>1E-14</v>
      </c>
      <c r="F118" s="202">
        <v>1E-14</v>
      </c>
      <c r="G118" s="202">
        <v>1E-14</v>
      </c>
      <c r="H118" s="202">
        <v>1E-14</v>
      </c>
      <c r="I118" s="202">
        <v>1E-14</v>
      </c>
      <c r="J118" s="202">
        <v>1E-14</v>
      </c>
      <c r="K118" s="202">
        <v>1E-14</v>
      </c>
      <c r="L118" s="202">
        <v>1E-14</v>
      </c>
      <c r="M118" s="202">
        <v>1E-14</v>
      </c>
      <c r="N118" s="202">
        <v>1E-14</v>
      </c>
      <c r="O118" s="202">
        <v>-1058400</v>
      </c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s="16" customFormat="1" outlineLevel="1" x14ac:dyDescent="0.25">
      <c r="A119" s="202">
        <f t="shared" si="8"/>
        <v>-634496.74434382818</v>
      </c>
      <c r="B119" s="206" t="s">
        <v>56</v>
      </c>
      <c r="C119" s="203" t="s">
        <v>25</v>
      </c>
      <c r="D119" s="202">
        <v>1E-14</v>
      </c>
      <c r="E119" s="202">
        <v>-634496.74434382818</v>
      </c>
      <c r="F119" s="202">
        <v>1E-14</v>
      </c>
      <c r="G119" s="202">
        <v>1E-14</v>
      </c>
      <c r="H119" s="202">
        <v>1E-14</v>
      </c>
      <c r="I119" s="202">
        <v>1E-14</v>
      </c>
      <c r="J119" s="202">
        <v>1E-14</v>
      </c>
      <c r="K119" s="202">
        <v>1E-14</v>
      </c>
      <c r="L119" s="202">
        <v>1E-14</v>
      </c>
      <c r="M119" s="202">
        <v>1E-14</v>
      </c>
      <c r="N119" s="202">
        <v>1E-14</v>
      </c>
      <c r="O119" s="202">
        <v>1E-14</v>
      </c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s="16" customFormat="1" outlineLevel="1" x14ac:dyDescent="0.25">
      <c r="A120" s="202"/>
      <c r="B120" s="204"/>
      <c r="C120" s="205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s="16" customFormat="1" outlineLevel="1" x14ac:dyDescent="0.25">
      <c r="B121" s="51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27" s="75" customFormat="1" ht="18.75" x14ac:dyDescent="0.3">
      <c r="A122" s="77" t="s">
        <v>28</v>
      </c>
      <c r="B122" s="74"/>
      <c r="C122" s="76"/>
      <c r="D122" s="78" t="s">
        <v>216</v>
      </c>
      <c r="E122" s="78" t="s">
        <v>223</v>
      </c>
      <c r="F122" s="78" t="s">
        <v>224</v>
      </c>
      <c r="G122" s="78" t="s">
        <v>225</v>
      </c>
      <c r="H122" s="78" t="s">
        <v>226</v>
      </c>
      <c r="I122" s="78" t="s">
        <v>227</v>
      </c>
      <c r="J122" s="78" t="s">
        <v>228</v>
      </c>
      <c r="K122" s="78" t="s">
        <v>229</v>
      </c>
      <c r="L122" s="78" t="s">
        <v>230</v>
      </c>
      <c r="M122" s="78" t="s">
        <v>231</v>
      </c>
      <c r="N122" s="78" t="s">
        <v>232</v>
      </c>
      <c r="O122" s="78" t="s">
        <v>233</v>
      </c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</row>
    <row r="123" spans="1:27" outlineLevel="1" x14ac:dyDescent="0.25">
      <c r="C123" s="5" t="s">
        <v>110</v>
      </c>
      <c r="D123" s="88">
        <v>1.1877948412599295</v>
      </c>
      <c r="E123" s="88">
        <v>1.066826843691953</v>
      </c>
      <c r="F123" s="88">
        <v>1.0421704663722036</v>
      </c>
      <c r="G123" s="88">
        <v>0.56363536966535743</v>
      </c>
      <c r="H123" s="88">
        <v>0.42631299617270546</v>
      </c>
      <c r="I123" s="88">
        <v>1</v>
      </c>
      <c r="J123" s="88">
        <v>1</v>
      </c>
      <c r="K123" s="88">
        <v>1</v>
      </c>
      <c r="L123" s="88">
        <v>1E-14</v>
      </c>
      <c r="M123" s="88">
        <v>0.34727627711006126</v>
      </c>
      <c r="N123" s="88">
        <v>0.71965636812386713</v>
      </c>
      <c r="O123" s="88">
        <v>0.38135497259264539</v>
      </c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</row>
    <row r="124" spans="1:27" outlineLevel="1" x14ac:dyDescent="0.25">
      <c r="C124" s="5" t="s">
        <v>111</v>
      </c>
      <c r="D124" s="88">
        <v>1.2210760493725263</v>
      </c>
      <c r="E124" s="88">
        <v>1.0967186103267998</v>
      </c>
      <c r="F124" s="88">
        <v>1.071371377990362</v>
      </c>
      <c r="G124" s="88">
        <v>0.99658852293141698</v>
      </c>
      <c r="H124" s="88">
        <v>0.59658421404129736</v>
      </c>
      <c r="I124" s="88">
        <v>1.0786036585365852</v>
      </c>
      <c r="J124" s="88">
        <v>0.74465018683576822</v>
      </c>
      <c r="K124" s="88">
        <v>0.73956069378300826</v>
      </c>
      <c r="L124" s="88">
        <v>0.83582376159122107</v>
      </c>
      <c r="M124" s="88">
        <v>0.92622834938728904</v>
      </c>
      <c r="N124" s="88">
        <v>0.9270092865452314</v>
      </c>
      <c r="O124" s="88">
        <v>1.0171204026216141</v>
      </c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  <row r="125" spans="1:27" outlineLevel="1" x14ac:dyDescent="0.25">
      <c r="C125" s="5" t="s">
        <v>112</v>
      </c>
      <c r="D125" s="88">
        <v>0.31539336859686717</v>
      </c>
      <c r="E125" s="88">
        <v>1</v>
      </c>
      <c r="F125" s="88">
        <v>0.53752973324662146</v>
      </c>
      <c r="G125" s="88">
        <v>1E-14</v>
      </c>
      <c r="H125" s="88">
        <v>1E-14</v>
      </c>
      <c r="I125" s="88">
        <v>1E-14</v>
      </c>
      <c r="J125" s="88">
        <v>1E-14</v>
      </c>
      <c r="K125" s="88">
        <v>1E-14</v>
      </c>
      <c r="L125" s="88">
        <v>1E-14</v>
      </c>
      <c r="M125" s="88">
        <v>0.22278401237107887</v>
      </c>
      <c r="N125" s="88">
        <v>1</v>
      </c>
      <c r="O125" s="88">
        <v>0.98284530386960589</v>
      </c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1:27" outlineLevel="1" x14ac:dyDescent="0.25">
      <c r="C126" s="5" t="s">
        <v>71</v>
      </c>
      <c r="D126" s="88">
        <v>1.0000000000000002</v>
      </c>
      <c r="E126" s="88">
        <v>1E-14</v>
      </c>
      <c r="F126" s="88">
        <v>1E-14</v>
      </c>
      <c r="G126" s="88">
        <v>1E-14</v>
      </c>
      <c r="H126" s="88">
        <v>1E-14</v>
      </c>
      <c r="I126" s="88">
        <v>1E-14</v>
      </c>
      <c r="J126" s="88">
        <v>1E-14</v>
      </c>
      <c r="K126" s="88">
        <v>1E-14</v>
      </c>
      <c r="L126" s="88">
        <v>1E-14</v>
      </c>
      <c r="M126" s="88">
        <v>1E-14</v>
      </c>
      <c r="N126" s="88">
        <v>1E-14</v>
      </c>
      <c r="O126" s="88">
        <v>1</v>
      </c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</row>
    <row r="127" spans="1:27" outlineLevel="1" x14ac:dyDescent="0.25">
      <c r="C127" s="5" t="s">
        <v>113</v>
      </c>
      <c r="D127" s="88">
        <v>1E-14</v>
      </c>
      <c r="E127" s="88">
        <v>1E-14</v>
      </c>
      <c r="F127" s="88">
        <v>1E-14</v>
      </c>
      <c r="G127" s="88">
        <v>1E-14</v>
      </c>
      <c r="H127" s="88">
        <v>1E-14</v>
      </c>
      <c r="I127" s="88">
        <v>0.20853980352303517</v>
      </c>
      <c r="J127" s="88">
        <v>0.64923334476978145</v>
      </c>
      <c r="K127" s="88">
        <v>0.68640197257415403</v>
      </c>
      <c r="L127" s="88">
        <v>0.51299490164609085</v>
      </c>
      <c r="M127" s="88">
        <v>1E-14</v>
      </c>
      <c r="N127" s="88">
        <v>1E-14</v>
      </c>
      <c r="O127" s="88">
        <v>1E-14</v>
      </c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</row>
    <row r="128" spans="1:27" outlineLevel="1" x14ac:dyDescent="0.25">
      <c r="C128" s="5" t="s">
        <v>114</v>
      </c>
      <c r="D128" s="88">
        <v>1E-14</v>
      </c>
      <c r="E128" s="88">
        <v>2.3080238716210684E-2</v>
      </c>
      <c r="F128" s="88">
        <v>1E-14</v>
      </c>
      <c r="G128" s="88">
        <v>1E-14</v>
      </c>
      <c r="H128" s="88">
        <v>1E-14</v>
      </c>
      <c r="I128" s="88">
        <v>1E-14</v>
      </c>
      <c r="J128" s="88">
        <v>1E-14</v>
      </c>
      <c r="K128" s="88">
        <v>1E-14</v>
      </c>
      <c r="L128" s="88">
        <v>1E-14</v>
      </c>
      <c r="M128" s="88">
        <v>1E-14</v>
      </c>
      <c r="N128" s="88">
        <v>1E-14</v>
      </c>
      <c r="O128" s="88">
        <v>1E-14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30" spans="1:27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27" s="75" customFormat="1" ht="18.75" x14ac:dyDescent="0.3">
      <c r="A131" s="77" t="s">
        <v>123</v>
      </c>
      <c r="B131" s="74"/>
      <c r="C131" s="107" t="s">
        <v>122</v>
      </c>
      <c r="D131" s="78" t="s">
        <v>216</v>
      </c>
      <c r="E131" s="78" t="s">
        <v>223</v>
      </c>
      <c r="F131" s="78" t="s">
        <v>224</v>
      </c>
      <c r="G131" s="78" t="s">
        <v>225</v>
      </c>
      <c r="H131" s="78" t="s">
        <v>226</v>
      </c>
      <c r="I131" s="78" t="s">
        <v>227</v>
      </c>
      <c r="J131" s="78" t="s">
        <v>228</v>
      </c>
      <c r="K131" s="78" t="s">
        <v>229</v>
      </c>
      <c r="L131" s="78" t="s">
        <v>230</v>
      </c>
      <c r="M131" s="78" t="s">
        <v>231</v>
      </c>
      <c r="N131" s="78" t="s">
        <v>232</v>
      </c>
      <c r="O131" s="78" t="s">
        <v>233</v>
      </c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</row>
    <row r="132" spans="1:27" s="16" customFormat="1" x14ac:dyDescent="0.25">
      <c r="A132" s="106">
        <f>MAX(D132:AA132)</f>
        <v>1E-14</v>
      </c>
      <c r="B132" s="95"/>
      <c r="C132" s="100" t="s">
        <v>97</v>
      </c>
      <c r="D132" s="93">
        <v>1E-14</v>
      </c>
      <c r="E132" s="91">
        <v>1E-14</v>
      </c>
      <c r="F132" s="91">
        <v>1E-14</v>
      </c>
      <c r="G132" s="91">
        <v>1E-14</v>
      </c>
      <c r="H132" s="91">
        <v>1E-14</v>
      </c>
      <c r="I132" s="91">
        <v>1E-14</v>
      </c>
      <c r="J132" s="91">
        <v>1E-14</v>
      </c>
      <c r="K132" s="91">
        <v>1E-14</v>
      </c>
      <c r="L132" s="91">
        <v>1E-14</v>
      </c>
      <c r="M132" s="91">
        <v>1E-14</v>
      </c>
      <c r="N132" s="91">
        <v>1E-14</v>
      </c>
      <c r="O132" s="91">
        <v>1E-14</v>
      </c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</row>
    <row r="133" spans="1:27" s="16" customFormat="1" x14ac:dyDescent="0.25">
      <c r="A133" s="106">
        <f t="shared" ref="A133:A137" si="9">MAX(D133:AA133)</f>
        <v>1E-14</v>
      </c>
      <c r="B133" s="96"/>
      <c r="C133" s="101" t="s">
        <v>98</v>
      </c>
      <c r="D133" s="94">
        <v>1E-14</v>
      </c>
      <c r="E133" s="92">
        <v>1E-14</v>
      </c>
      <c r="F133" s="92">
        <v>1E-14</v>
      </c>
      <c r="G133" s="92">
        <v>1E-14</v>
      </c>
      <c r="H133" s="92">
        <v>1E-14</v>
      </c>
      <c r="I133" s="92">
        <v>1E-14</v>
      </c>
      <c r="J133" s="92">
        <v>1E-14</v>
      </c>
      <c r="K133" s="92">
        <v>1E-14</v>
      </c>
      <c r="L133" s="92">
        <v>1E-14</v>
      </c>
      <c r="M133" s="92">
        <v>1E-14</v>
      </c>
      <c r="N133" s="92">
        <v>1E-14</v>
      </c>
      <c r="O133" s="92">
        <v>1E-14</v>
      </c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</row>
    <row r="134" spans="1:27" s="16" customFormat="1" x14ac:dyDescent="0.25">
      <c r="A134" s="106">
        <f t="shared" si="9"/>
        <v>0</v>
      </c>
      <c r="B134" s="96"/>
      <c r="C134" s="101"/>
      <c r="D134" s="94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</row>
    <row r="135" spans="1:27" s="16" customFormat="1" x14ac:dyDescent="0.25">
      <c r="A135" s="106">
        <f t="shared" si="9"/>
        <v>0</v>
      </c>
      <c r="B135" s="96"/>
      <c r="C135" s="101"/>
      <c r="D135" s="94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</row>
    <row r="136" spans="1:27" s="16" customFormat="1" x14ac:dyDescent="0.25">
      <c r="A136" s="106">
        <f t="shared" si="9"/>
        <v>0</v>
      </c>
      <c r="B136" s="96"/>
      <c r="C136" s="101"/>
      <c r="D136" s="94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</row>
    <row r="137" spans="1:27" s="16" customFormat="1" x14ac:dyDescent="0.25">
      <c r="A137" s="106">
        <f t="shared" si="9"/>
        <v>0</v>
      </c>
      <c r="B137" s="96"/>
      <c r="C137" s="101"/>
      <c r="D137" s="94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/>
      <c r="B138" s="97"/>
      <c r="C138" s="108"/>
      <c r="D138" s="93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75" customFormat="1" ht="18.75" x14ac:dyDescent="0.3">
      <c r="A139" s="77" t="s">
        <v>124</v>
      </c>
      <c r="B139" s="76" t="s">
        <v>122</v>
      </c>
      <c r="C139" s="107" t="s">
        <v>125</v>
      </c>
      <c r="D139" s="78" t="s">
        <v>216</v>
      </c>
      <c r="E139" s="78" t="s">
        <v>223</v>
      </c>
      <c r="F139" s="78" t="s">
        <v>224</v>
      </c>
      <c r="G139" s="78" t="s">
        <v>225</v>
      </c>
      <c r="H139" s="78" t="s">
        <v>226</v>
      </c>
      <c r="I139" s="78" t="s">
        <v>227</v>
      </c>
      <c r="J139" s="78" t="s">
        <v>228</v>
      </c>
      <c r="K139" s="78" t="s">
        <v>229</v>
      </c>
      <c r="L139" s="78" t="s">
        <v>230</v>
      </c>
      <c r="M139" s="78" t="s">
        <v>231</v>
      </c>
      <c r="N139" s="78" t="s">
        <v>232</v>
      </c>
      <c r="O139" s="78" t="s">
        <v>233</v>
      </c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</row>
    <row r="140" spans="1:27" x14ac:dyDescent="0.25">
      <c r="A140" s="106">
        <f>MAX(D140:AA140)</f>
        <v>1E-14</v>
      </c>
      <c r="B140" s="95" t="s">
        <v>97</v>
      </c>
      <c r="C140" s="100" t="s">
        <v>10</v>
      </c>
      <c r="D140" s="91">
        <v>1E-14</v>
      </c>
      <c r="E140" s="91">
        <v>1E-14</v>
      </c>
      <c r="F140" s="91">
        <v>1E-14</v>
      </c>
      <c r="G140" s="91">
        <v>1E-14</v>
      </c>
      <c r="H140" s="91">
        <v>1E-14</v>
      </c>
      <c r="I140" s="91">
        <v>1E-14</v>
      </c>
      <c r="J140" s="91">
        <v>1E-14</v>
      </c>
      <c r="K140" s="91">
        <v>1E-14</v>
      </c>
      <c r="L140" s="91">
        <v>1E-14</v>
      </c>
      <c r="M140" s="91">
        <v>1E-14</v>
      </c>
      <c r="N140" s="91">
        <v>1E-14</v>
      </c>
      <c r="O140" s="91">
        <v>1E-14</v>
      </c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x14ac:dyDescent="0.25">
      <c r="A141" s="106">
        <f t="shared" ref="A141:A197" si="10">MAX(D141:AA141)</f>
        <v>1E-14</v>
      </c>
      <c r="B141" s="96" t="s">
        <v>97</v>
      </c>
      <c r="C141" s="101" t="s">
        <v>18</v>
      </c>
      <c r="D141" s="92">
        <v>1E-14</v>
      </c>
      <c r="E141" s="92">
        <v>1E-14</v>
      </c>
      <c r="F141" s="92">
        <v>1E-14</v>
      </c>
      <c r="G141" s="92">
        <v>1E-14</v>
      </c>
      <c r="H141" s="92">
        <v>1E-14</v>
      </c>
      <c r="I141" s="92">
        <v>1E-14</v>
      </c>
      <c r="J141" s="92">
        <v>1E-14</v>
      </c>
      <c r="K141" s="92">
        <v>1E-14</v>
      </c>
      <c r="L141" s="92">
        <v>1E-14</v>
      </c>
      <c r="M141" s="92">
        <v>1E-14</v>
      </c>
      <c r="N141" s="92">
        <v>1E-14</v>
      </c>
      <c r="O141" s="92">
        <v>1E-14</v>
      </c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x14ac:dyDescent="0.25">
      <c r="A142" s="106">
        <f t="shared" si="10"/>
        <v>1E-14</v>
      </c>
      <c r="B142" s="96" t="s">
        <v>97</v>
      </c>
      <c r="C142" s="101" t="s">
        <v>17</v>
      </c>
      <c r="D142" s="92">
        <v>1E-14</v>
      </c>
      <c r="E142" s="92">
        <v>1E-14</v>
      </c>
      <c r="F142" s="92">
        <v>1E-14</v>
      </c>
      <c r="G142" s="92">
        <v>1E-14</v>
      </c>
      <c r="H142" s="92">
        <v>1E-14</v>
      </c>
      <c r="I142" s="92">
        <v>1E-14</v>
      </c>
      <c r="J142" s="92">
        <v>1E-14</v>
      </c>
      <c r="K142" s="92">
        <v>1E-14</v>
      </c>
      <c r="L142" s="92">
        <v>1E-14</v>
      </c>
      <c r="M142" s="92">
        <v>1E-14</v>
      </c>
      <c r="N142" s="92">
        <v>1E-14</v>
      </c>
      <c r="O142" s="92">
        <v>1E-14</v>
      </c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x14ac:dyDescent="0.25">
      <c r="A143" s="106">
        <f t="shared" si="10"/>
        <v>1E-14</v>
      </c>
      <c r="B143" s="96" t="s">
        <v>98</v>
      </c>
      <c r="C143" s="101" t="s">
        <v>10</v>
      </c>
      <c r="D143" s="92">
        <v>1E-14</v>
      </c>
      <c r="E143" s="92">
        <v>1E-14</v>
      </c>
      <c r="F143" s="92">
        <v>1E-14</v>
      </c>
      <c r="G143" s="92">
        <v>1E-14</v>
      </c>
      <c r="H143" s="92">
        <v>1E-14</v>
      </c>
      <c r="I143" s="92">
        <v>1E-14</v>
      </c>
      <c r="J143" s="92">
        <v>1E-14</v>
      </c>
      <c r="K143" s="92">
        <v>1E-14</v>
      </c>
      <c r="L143" s="92">
        <v>1E-14</v>
      </c>
      <c r="M143" s="92">
        <v>1E-14</v>
      </c>
      <c r="N143" s="92">
        <v>1E-14</v>
      </c>
      <c r="O143" s="92">
        <v>1E-14</v>
      </c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x14ac:dyDescent="0.25">
      <c r="A144" s="106">
        <f t="shared" si="10"/>
        <v>1E-14</v>
      </c>
      <c r="B144" s="96" t="s">
        <v>98</v>
      </c>
      <c r="C144" s="101" t="s">
        <v>18</v>
      </c>
      <c r="D144" s="92">
        <v>1E-14</v>
      </c>
      <c r="E144" s="92">
        <v>1E-14</v>
      </c>
      <c r="F144" s="92">
        <v>1E-14</v>
      </c>
      <c r="G144" s="92">
        <v>1E-14</v>
      </c>
      <c r="H144" s="92">
        <v>1E-14</v>
      </c>
      <c r="I144" s="92">
        <v>1E-14</v>
      </c>
      <c r="J144" s="92">
        <v>1E-14</v>
      </c>
      <c r="K144" s="92">
        <v>1E-14</v>
      </c>
      <c r="L144" s="92">
        <v>1E-14</v>
      </c>
      <c r="M144" s="92">
        <v>1E-14</v>
      </c>
      <c r="N144" s="92">
        <v>1E-14</v>
      </c>
      <c r="O144" s="92">
        <v>1E-14</v>
      </c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</row>
    <row r="145" spans="1:27" x14ac:dyDescent="0.25">
      <c r="A145" s="106">
        <f t="shared" si="10"/>
        <v>1E-14</v>
      </c>
      <c r="B145" s="96" t="s">
        <v>98</v>
      </c>
      <c r="C145" s="101" t="s">
        <v>17</v>
      </c>
      <c r="D145" s="92">
        <v>1E-14</v>
      </c>
      <c r="E145" s="92">
        <v>1E-14</v>
      </c>
      <c r="F145" s="92">
        <v>1E-14</v>
      </c>
      <c r="G145" s="92">
        <v>1E-14</v>
      </c>
      <c r="H145" s="92">
        <v>1E-14</v>
      </c>
      <c r="I145" s="92">
        <v>1E-14</v>
      </c>
      <c r="J145" s="92">
        <v>1E-14</v>
      </c>
      <c r="K145" s="92">
        <v>1E-14</v>
      </c>
      <c r="L145" s="92">
        <v>1E-14</v>
      </c>
      <c r="M145" s="92">
        <v>1E-14</v>
      </c>
      <c r="N145" s="92">
        <v>1E-14</v>
      </c>
      <c r="O145" s="92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si="10"/>
        <v>0</v>
      </c>
      <c r="B146" s="98"/>
      <c r="C146" s="10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0"/>
        <v>0</v>
      </c>
      <c r="B147" s="104"/>
      <c r="C147" s="105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0"/>
        <v>0</v>
      </c>
      <c r="B148" s="98"/>
      <c r="C148" s="10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0"/>
        <v>0</v>
      </c>
      <c r="B149" s="98"/>
      <c r="C149" s="10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0"/>
        <v>0</v>
      </c>
      <c r="B150" s="98"/>
      <c r="C150" s="10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0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0"/>
        <v>0</v>
      </c>
      <c r="B152" s="98"/>
      <c r="C152" s="10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0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0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0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0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0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0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0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0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0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0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0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0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0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0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0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0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0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0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0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0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0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0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0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0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0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0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0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0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0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0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0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0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0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0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0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0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0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0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0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0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0"/>
        <v>0</v>
      </c>
      <c r="B193" s="99"/>
      <c r="C193" s="103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0"/>
        <v>0</v>
      </c>
      <c r="B194" s="99"/>
      <c r="C194" s="103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0"/>
        <v>0</v>
      </c>
      <c r="B195" s="99"/>
      <c r="C195" s="103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0"/>
        <v>0</v>
      </c>
      <c r="B196" s="99"/>
      <c r="C196" s="103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0"/>
        <v>0</v>
      </c>
      <c r="B197" s="99"/>
      <c r="C197" s="103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/>
    </row>
  </sheetData>
  <phoneticPr fontId="8" type="noConversion"/>
  <conditionalFormatting sqref="D51:AA57">
    <cfRule type="cellIs" dxfId="98" priority="3" operator="between">
      <formula>-0.00000000001</formula>
      <formula>0.00000000001</formula>
    </cfRule>
    <cfRule type="colorScale" priority="13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3:AA128">
    <cfRule type="cellIs" dxfId="97" priority="138" operator="lessThan">
      <formula>0.0000000000001</formula>
    </cfRule>
  </conditionalFormatting>
  <conditionalFormatting sqref="D59:AA89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91:A121">
    <cfRule type="colorScale" priority="13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59:A8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51:A56">
    <cfRule type="colorScale" priority="12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96" priority="126" operator="between">
      <formula>-0.0000000000001</formula>
      <formula>0.0000000000001</formula>
    </cfRule>
  </conditionalFormatting>
  <conditionalFormatting sqref="A8:AA48">
    <cfRule type="cellIs" dxfId="95" priority="125" operator="between">
      <formula>-0.0000000000001</formula>
      <formula>0.0000000000001</formula>
    </cfRule>
  </conditionalFormatting>
  <conditionalFormatting sqref="A16 C16:O16">
    <cfRule type="cellIs" dxfId="94" priority="124" operator="between">
      <formula>-0.0000000000001</formula>
      <formula>0.0000000000001</formula>
    </cfRule>
  </conditionalFormatting>
  <conditionalFormatting sqref="P16:AA16">
    <cfRule type="cellIs" dxfId="93" priority="123" operator="between">
      <formula>-0.0000000000001</formula>
      <formula>0.0000000000001</formula>
    </cfRule>
  </conditionalFormatting>
  <conditionalFormatting sqref="C8:O8 A8">
    <cfRule type="cellIs" dxfId="92" priority="122" operator="between">
      <formula>-0.0000000000001</formula>
      <formula>0.0000000000001</formula>
    </cfRule>
  </conditionalFormatting>
  <conditionalFormatting sqref="P8:AA8">
    <cfRule type="cellIs" dxfId="91" priority="121" operator="between">
      <formula>-0.0000000000001</formula>
      <formula>0.0000000000001</formula>
    </cfRule>
  </conditionalFormatting>
  <conditionalFormatting sqref="C13">
    <cfRule type="cellIs" dxfId="90" priority="120" operator="between">
      <formula>-0.0000000000001</formula>
      <formula>0.0000000000001</formula>
    </cfRule>
  </conditionalFormatting>
  <conditionalFormatting sqref="C14">
    <cfRule type="cellIs" dxfId="89" priority="118" operator="between">
      <formula>-0.0000000000001</formula>
      <formula>0.0000000000001</formula>
    </cfRule>
  </conditionalFormatting>
  <conditionalFormatting sqref="A14 C14:O14">
    <cfRule type="cellIs" dxfId="88" priority="117" operator="between">
      <formula>-0.0000000000001</formula>
      <formula>0.0000000000001</formula>
    </cfRule>
  </conditionalFormatting>
  <conditionalFormatting sqref="P14:AA14">
    <cfRule type="cellIs" dxfId="87" priority="116" operator="between">
      <formula>-0.0000000000001</formula>
      <formula>0.0000000000001</formula>
    </cfRule>
  </conditionalFormatting>
  <conditionalFormatting sqref="C20:O21 A20:A21">
    <cfRule type="cellIs" dxfId="86" priority="115" operator="between">
      <formula>-0.0000000000001</formula>
      <formula>0.0000000000001</formula>
    </cfRule>
  </conditionalFormatting>
  <conditionalFormatting sqref="P20:AA21">
    <cfRule type="cellIs" dxfId="85" priority="114" operator="between">
      <formula>-0.0000000000001</formula>
      <formula>0.0000000000001</formula>
    </cfRule>
  </conditionalFormatting>
  <conditionalFormatting sqref="C40:O41 A40:A41 A43 C43:AA43 D39:O40 D42:O42">
    <cfRule type="cellIs" dxfId="84" priority="113" operator="between">
      <formula>-0.0000000000001</formula>
      <formula>0.0000000000001</formula>
    </cfRule>
  </conditionalFormatting>
  <conditionalFormatting sqref="P40:AA41">
    <cfRule type="cellIs" dxfId="83" priority="112" operator="between">
      <formula>-0.0000000000001</formula>
      <formula>0.0000000000001</formula>
    </cfRule>
  </conditionalFormatting>
  <conditionalFormatting sqref="C42:O42">
    <cfRule type="cellIs" dxfId="82" priority="111" operator="between">
      <formula>-0.0000000000001</formula>
      <formula>0.0000000000001</formula>
    </cfRule>
  </conditionalFormatting>
  <conditionalFormatting sqref="P42:AA42">
    <cfRule type="cellIs" dxfId="81" priority="110" operator="between">
      <formula>-0.0000000000001</formula>
      <formula>0.0000000000001</formula>
    </cfRule>
  </conditionalFormatting>
  <conditionalFormatting sqref="C11:O11">
    <cfRule type="cellIs" dxfId="80" priority="109" operator="between">
      <formula>-0.0000000000001</formula>
      <formula>0.0000000000001</formula>
    </cfRule>
  </conditionalFormatting>
  <conditionalFormatting sqref="P11:AA11">
    <cfRule type="cellIs" dxfId="79" priority="108" operator="between">
      <formula>-0.0000000000001</formula>
      <formula>0.0000000000001</formula>
    </cfRule>
  </conditionalFormatting>
  <conditionalFormatting sqref="C11">
    <cfRule type="cellIs" dxfId="78" priority="107" operator="between">
      <formula>-0.0000000000001</formula>
      <formula>0.0000000000001</formula>
    </cfRule>
  </conditionalFormatting>
  <conditionalFormatting sqref="A59:AA89">
    <cfRule type="cellIs" dxfId="77" priority="106" operator="between">
      <formula>-0.00000000001</formula>
      <formula>0.00000000001</formula>
    </cfRule>
  </conditionalFormatting>
  <conditionalFormatting sqref="P12:AA12">
    <cfRule type="cellIs" dxfId="76" priority="103" operator="between">
      <formula>-0.0000000000001</formula>
      <formula>0.0000000000001</formula>
    </cfRule>
  </conditionalFormatting>
  <conditionalFormatting sqref="C12">
    <cfRule type="cellIs" dxfId="75" priority="102" operator="between">
      <formula>-0.0000000000001</formula>
      <formula>0.0000000000001</formula>
    </cfRule>
  </conditionalFormatting>
  <conditionalFormatting sqref="C17:O17 A17">
    <cfRule type="cellIs" dxfId="74" priority="101" operator="between">
      <formula>-0.0000000000001</formula>
      <formula>0.0000000000001</formula>
    </cfRule>
  </conditionalFormatting>
  <conditionalFormatting sqref="P17:AA17">
    <cfRule type="cellIs" dxfId="73" priority="100" operator="between">
      <formula>-0.0000000000001</formula>
      <formula>0.0000000000001</formula>
    </cfRule>
  </conditionalFormatting>
  <conditionalFormatting sqref="C17">
    <cfRule type="cellIs" dxfId="72" priority="99" operator="between">
      <formula>-0.0000000000001</formula>
      <formula>0.0000000000001</formula>
    </cfRule>
  </conditionalFormatting>
  <conditionalFormatting sqref="C39:O39 A39">
    <cfRule type="cellIs" dxfId="71" priority="98" operator="between">
      <formula>-0.0000000000001</formula>
      <formula>0.0000000000001</formula>
    </cfRule>
  </conditionalFormatting>
  <conditionalFormatting sqref="P39:AA39">
    <cfRule type="cellIs" dxfId="70" priority="97" operator="between">
      <formula>-0.0000000000001</formula>
      <formula>0.0000000000001</formula>
    </cfRule>
  </conditionalFormatting>
  <conditionalFormatting sqref="D10:O10">
    <cfRule type="cellIs" dxfId="69" priority="96" operator="between">
      <formula>-0.0000000000001</formula>
      <formula>0.0000000000001</formula>
    </cfRule>
  </conditionalFormatting>
  <conditionalFormatting sqref="P10:AA10">
    <cfRule type="cellIs" dxfId="68" priority="95" operator="between">
      <formula>-0.0000000000001</formula>
      <formula>0.0000000000001</formula>
    </cfRule>
  </conditionalFormatting>
  <conditionalFormatting sqref="C34:AA34 A34">
    <cfRule type="cellIs" dxfId="67" priority="92" operator="between">
      <formula>-0.0000000000001</formula>
      <formula>0.0000000000001</formula>
    </cfRule>
  </conditionalFormatting>
  <conditionalFormatting sqref="P34:AA34">
    <cfRule type="cellIs" dxfId="66" priority="91" operator="between">
      <formula>-0.0000000000001</formula>
      <formula>0.0000000000001</formula>
    </cfRule>
  </conditionalFormatting>
  <conditionalFormatting sqref="B5">
    <cfRule type="cellIs" dxfId="65" priority="90" operator="between">
      <formula>-0.0000000000001</formula>
      <formula>0.0000000000001</formula>
    </cfRule>
  </conditionalFormatting>
  <conditionalFormatting sqref="C10">
    <cfRule type="cellIs" dxfId="64" priority="89" operator="between">
      <formula>-0.0000000000001</formula>
      <formula>0.0000000000001</formula>
    </cfRule>
  </conditionalFormatting>
  <conditionalFormatting sqref="A11">
    <cfRule type="cellIs" dxfId="63" priority="88" operator="between">
      <formula>-0.0000000000001</formula>
      <formula>0.0000000000001</formula>
    </cfRule>
  </conditionalFormatting>
  <conditionalFormatting sqref="B147:B197">
    <cfRule type="containsText" dxfId="62" priority="86" operator="containsText" text="sto2">
      <formula>NOT(ISERROR(SEARCH("sto2",B147)))</formula>
    </cfRule>
    <cfRule type="containsText" dxfId="61" priority="87" operator="containsText" text="sto1">
      <formula>NOT(ISERROR(SEARCH("sto1",B147)))</formula>
    </cfRule>
  </conditionalFormatting>
  <conditionalFormatting sqref="A22 D22:AA22">
    <cfRule type="cellIs" dxfId="60" priority="85" operator="between">
      <formula>-0.0000000000001</formula>
      <formula>0.0000000000001</formula>
    </cfRule>
  </conditionalFormatting>
  <conditionalFormatting sqref="D22:AA22 A22">
    <cfRule type="cellIs" dxfId="59" priority="84" operator="between">
      <formula>-0.0000000000001</formula>
      <formula>0.0000000000001</formula>
    </cfRule>
  </conditionalFormatting>
  <conditionalFormatting sqref="C22:O22 A22">
    <cfRule type="cellIs" dxfId="58" priority="83" operator="between">
      <formula>-0.0000000000001</formula>
      <formula>0.0000000000001</formula>
    </cfRule>
  </conditionalFormatting>
  <conditionalFormatting sqref="P22:AA22">
    <cfRule type="cellIs" dxfId="57" priority="82" operator="between">
      <formula>-0.0000000000001</formula>
      <formula>0.0000000000001</formula>
    </cfRule>
  </conditionalFormatting>
  <conditionalFormatting sqref="D140:AA197">
    <cfRule type="colorScale" priority="79">
      <colorScale>
        <cfvo type="min"/>
        <cfvo type="max"/>
        <color rgb="FFFCFCFF"/>
        <color theme="9" tint="0.39997558519241921"/>
      </colorScale>
    </cfRule>
  </conditionalFormatting>
  <conditionalFormatting sqref="B133:B135 B137:B138">
    <cfRule type="containsText" dxfId="56" priority="77" operator="containsText" text="sto2">
      <formula>NOT(ISERROR(SEARCH("sto2",B133)))</formula>
    </cfRule>
    <cfRule type="containsText" dxfId="55" priority="78" operator="containsText" text="sto1">
      <formula>NOT(ISERROR(SEARCH("sto1",B133)))</formula>
    </cfRule>
  </conditionalFormatting>
  <conditionalFormatting sqref="B132">
    <cfRule type="containsText" dxfId="54" priority="75" operator="containsText" text="sto2">
      <formula>NOT(ISERROR(SEARCH("sto2",B132)))</formula>
    </cfRule>
    <cfRule type="containsText" dxfId="53" priority="76" operator="containsText" text="sto1">
      <formula>NOT(ISERROR(SEARCH("sto1",B132)))</formula>
    </cfRule>
  </conditionalFormatting>
  <conditionalFormatting sqref="D132:AA135 D137:AA138">
    <cfRule type="colorScale" priority="74">
      <colorScale>
        <cfvo type="min"/>
        <cfvo type="max"/>
        <color rgb="FFFCFCFF"/>
        <color rgb="FF63BE7B"/>
      </colorScale>
    </cfRule>
  </conditionalFormatting>
  <conditionalFormatting sqref="B136">
    <cfRule type="containsText" dxfId="52" priority="72" operator="containsText" text="sto2">
      <formula>NOT(ISERROR(SEARCH("sto2",B136)))</formula>
    </cfRule>
    <cfRule type="containsText" dxfId="51" priority="73" operator="containsText" text="sto1">
      <formula>NOT(ISERROR(SEARCH("sto1",B136)))</formula>
    </cfRule>
  </conditionalFormatting>
  <conditionalFormatting sqref="D136:AA13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41:B143 B145:B146">
    <cfRule type="containsText" dxfId="50" priority="66" operator="containsText" text="sto2">
      <formula>NOT(ISERROR(SEARCH("sto2",B141)))</formula>
    </cfRule>
    <cfRule type="containsText" dxfId="49" priority="67" operator="containsText" text="sto1">
      <formula>NOT(ISERROR(SEARCH("sto1",B141)))</formula>
    </cfRule>
  </conditionalFormatting>
  <conditionalFormatting sqref="B140">
    <cfRule type="containsText" dxfId="48" priority="64" operator="containsText" text="sto2">
      <formula>NOT(ISERROR(SEARCH("sto2",B140)))</formula>
    </cfRule>
    <cfRule type="containsText" dxfId="47" priority="65" operator="containsText" text="sto1">
      <formula>NOT(ISERROR(SEARCH("sto1",B140)))</formula>
    </cfRule>
  </conditionalFormatting>
  <conditionalFormatting sqref="B144">
    <cfRule type="containsText" dxfId="46" priority="62" operator="containsText" text="sto2">
      <formula>NOT(ISERROR(SEARCH("sto2",B144)))</formula>
    </cfRule>
    <cfRule type="containsText" dxfId="45" priority="63" operator="containsText" text="sto1">
      <formula>NOT(ISERROR(SEARCH("sto1",B144)))</formula>
    </cfRule>
  </conditionalFormatting>
  <conditionalFormatting sqref="E23:AA23 A23">
    <cfRule type="cellIs" dxfId="44" priority="60" operator="between">
      <formula>-0.0000000000001</formula>
      <formula>0.0000000000001</formula>
    </cfRule>
  </conditionalFormatting>
  <conditionalFormatting sqref="A23 E23:AA23">
    <cfRule type="cellIs" dxfId="43" priority="59" operator="between">
      <formula>-0.0000000000001</formula>
      <formula>0.0000000000001</formula>
    </cfRule>
  </conditionalFormatting>
  <conditionalFormatting sqref="D25:AA25 A25">
    <cfRule type="cellIs" dxfId="42" priority="58" operator="between">
      <formula>-0.0000000000001</formula>
      <formula>0.0000000000001</formula>
    </cfRule>
  </conditionalFormatting>
  <conditionalFormatting sqref="A25 D25:AA25">
    <cfRule type="cellIs" dxfId="41" priority="57" operator="between">
      <formula>-0.0000000000001</formula>
      <formula>0.0000000000001</formula>
    </cfRule>
  </conditionalFormatting>
  <conditionalFormatting sqref="A35 D35:AA35">
    <cfRule type="cellIs" dxfId="40" priority="56" operator="between">
      <formula>-0.0000000000001</formula>
      <formula>0.0000000000001</formula>
    </cfRule>
  </conditionalFormatting>
  <conditionalFormatting sqref="D35:AA35 A35">
    <cfRule type="cellIs" dxfId="39" priority="55" operator="between">
      <formula>-0.0000000000001</formula>
      <formula>0.0000000000001</formula>
    </cfRule>
  </conditionalFormatting>
  <conditionalFormatting sqref="A27:A28 D27:AA29 D31:AA31 A31">
    <cfRule type="cellIs" dxfId="38" priority="52" operator="between">
      <formula>-0.0000000000001</formula>
      <formula>0.0000000000001</formula>
    </cfRule>
  </conditionalFormatting>
  <conditionalFormatting sqref="D27:AA29 A27:A28 A31 D31:AA31">
    <cfRule type="cellIs" dxfId="37" priority="51" operator="between">
      <formula>-0.0000000000001</formula>
      <formula>0.0000000000001</formula>
    </cfRule>
  </conditionalFormatting>
  <conditionalFormatting sqref="C28:AA29 A28">
    <cfRule type="cellIs" dxfId="36" priority="50" operator="between">
      <formula>-0.0000000000001</formula>
      <formula>0.0000000000001</formula>
    </cfRule>
  </conditionalFormatting>
  <conditionalFormatting sqref="P28:AA29">
    <cfRule type="cellIs" dxfId="35" priority="49" operator="between">
      <formula>-0.0000000000001</formula>
      <formula>0.0000000000001</formula>
    </cfRule>
  </conditionalFormatting>
  <conditionalFormatting sqref="A30 D30:AA30">
    <cfRule type="cellIs" dxfId="34" priority="48" operator="between">
      <formula>-0.0000000000001</formula>
      <formula>0.0000000000001</formula>
    </cfRule>
  </conditionalFormatting>
  <conditionalFormatting sqref="D30:AA30 A30">
    <cfRule type="cellIs" dxfId="33" priority="47" operator="between">
      <formula>-0.0000000000001</formula>
      <formula>0.0000000000001</formula>
    </cfRule>
  </conditionalFormatting>
  <conditionalFormatting sqref="D41:O41">
    <cfRule type="cellIs" dxfId="32" priority="46" operator="between">
      <formula>-0.0000000000001</formula>
      <formula>0.0000000000001</formula>
    </cfRule>
  </conditionalFormatting>
  <conditionalFormatting sqref="D38:O38">
    <cfRule type="cellIs" dxfId="31" priority="45" operator="between">
      <formula>-0.0000000000001</formula>
      <formula>0.0000000000001</formula>
    </cfRule>
  </conditionalFormatting>
  <conditionalFormatting sqref="A29">
    <cfRule type="cellIs" dxfId="30" priority="44" operator="between">
      <formula>-0.0000000000001</formula>
      <formula>0.0000000000001</formula>
    </cfRule>
  </conditionalFormatting>
  <conditionalFormatting sqref="A29">
    <cfRule type="cellIs" dxfId="29" priority="43" operator="between">
      <formula>-0.0000000000001</formula>
      <formula>0.0000000000001</formula>
    </cfRule>
  </conditionalFormatting>
  <conditionalFormatting sqref="A37">
    <cfRule type="cellIs" dxfId="28" priority="42" operator="between">
      <formula>-0.0000000000001</formula>
      <formula>0.0000000000001</formula>
    </cfRule>
  </conditionalFormatting>
  <conditionalFormatting sqref="A37">
    <cfRule type="cellIs" dxfId="27" priority="41" operator="between">
      <formula>-0.0000000000001</formula>
      <formula>0.0000000000001</formula>
    </cfRule>
  </conditionalFormatting>
  <conditionalFormatting sqref="A42">
    <cfRule type="cellIs" dxfId="26" priority="40" operator="between">
      <formula>-0.0000000000001</formula>
      <formula>0.0000000000001</formula>
    </cfRule>
  </conditionalFormatting>
  <conditionalFormatting sqref="A42">
    <cfRule type="cellIs" dxfId="25" priority="39" operator="between">
      <formula>-0.0000000000001</formula>
      <formula>0.0000000000001</formula>
    </cfRule>
  </conditionalFormatting>
  <conditionalFormatting sqref="D24">
    <cfRule type="cellIs" dxfId="24" priority="38" operator="between">
      <formula>-0.0000000000001</formula>
      <formula>0.0000000000001</formula>
    </cfRule>
  </conditionalFormatting>
  <conditionalFormatting sqref="D24">
    <cfRule type="cellIs" dxfId="23" priority="37" operator="between">
      <formula>-0.0000000000001</formula>
      <formula>0.0000000000001</formula>
    </cfRule>
  </conditionalFormatting>
  <conditionalFormatting sqref="D23">
    <cfRule type="cellIs" dxfId="22" priority="36" operator="between">
      <formula>-0.0000000000001</formula>
      <formula>0.0000000000001</formula>
    </cfRule>
  </conditionalFormatting>
  <conditionalFormatting sqref="D23">
    <cfRule type="cellIs" dxfId="21" priority="35" operator="between">
      <formula>-0.0000000000001</formula>
      <formula>0.0000000000001</formula>
    </cfRule>
  </conditionalFormatting>
  <conditionalFormatting sqref="D44:AA44">
    <cfRule type="cellIs" dxfId="20" priority="34" operator="between">
      <formula>-0.0000000000001</formula>
      <formula>0.0000000000001</formula>
    </cfRule>
  </conditionalFormatting>
  <conditionalFormatting sqref="D44:AA44">
    <cfRule type="cellIs" dxfId="19" priority="33" operator="between">
      <formula>-0.0000000000001</formula>
      <formula>0.0000000000001</formula>
    </cfRule>
  </conditionalFormatting>
  <conditionalFormatting sqref="C44:AA44">
    <cfRule type="cellIs" dxfId="18" priority="32" operator="between">
      <formula>-0.0000000000001</formula>
      <formula>0.0000000000001</formula>
    </cfRule>
  </conditionalFormatting>
  <conditionalFormatting sqref="D44:AA44">
    <cfRule type="cellIs" dxfId="17" priority="31" operator="between">
      <formula>-0.0000000000001</formula>
      <formula>0.0000000000001</formula>
    </cfRule>
  </conditionalFormatting>
  <conditionalFormatting sqref="P44:AA44">
    <cfRule type="cellIs" dxfId="16" priority="30" operator="between">
      <formula>-0.0000000000001</formula>
      <formula>0.0000000000001</formula>
    </cfRule>
  </conditionalFormatting>
  <conditionalFormatting sqref="D32:AA32 A32">
    <cfRule type="cellIs" dxfId="15" priority="29" operator="between">
      <formula>-0.0000000000001</formula>
      <formula>0.0000000000001</formula>
    </cfRule>
  </conditionalFormatting>
  <conditionalFormatting sqref="A32 D32:AA32">
    <cfRule type="cellIs" dxfId="14" priority="28" operator="between">
      <formula>-0.0000000000001</formula>
      <formula>0.0000000000001</formula>
    </cfRule>
  </conditionalFormatting>
  <conditionalFormatting sqref="A45:A48">
    <cfRule type="cellIs" dxfId="13" priority="14" operator="greaterThan">
      <formula>0.00000000001</formula>
    </cfRule>
    <cfRule type="cellIs" dxfId="12" priority="17" operator="between">
      <formula>-0.0000000000001</formula>
      <formula>0.0000000000001</formula>
    </cfRule>
  </conditionalFormatting>
  <conditionalFormatting sqref="A45:A48">
    <cfRule type="cellIs" dxfId="11" priority="16" operator="between">
      <formula>-0.0000000000001</formula>
      <formula>0.0000000000001</formula>
    </cfRule>
  </conditionalFormatting>
  <conditionalFormatting sqref="A45:A48">
    <cfRule type="cellIs" dxfId="10" priority="15" operator="between">
      <formula>-0.0000000000001</formula>
      <formula>0.0000000000001</formula>
    </cfRule>
  </conditionalFormatting>
  <conditionalFormatting sqref="D45:AA48">
    <cfRule type="cellIs" dxfId="9" priority="10" operator="greaterThan">
      <formula>0.0000000000001</formula>
    </cfRule>
    <cfRule type="cellIs" dxfId="8" priority="13" operator="between">
      <formula>-0.0000000000001</formula>
      <formula>0.0000000000001</formula>
    </cfRule>
  </conditionalFormatting>
  <conditionalFormatting sqref="D45:AA48">
    <cfRule type="cellIs" dxfId="7" priority="12" operator="between">
      <formula>-0.0000000000001</formula>
      <formula>0.0000000000001</formula>
    </cfRule>
  </conditionalFormatting>
  <conditionalFormatting sqref="D45:AA48">
    <cfRule type="cellIs" dxfId="6" priority="11" operator="between">
      <formula>-0.0000000000001</formula>
      <formula>0.0000000000001</formula>
    </cfRule>
  </conditionalFormatting>
  <conditionalFormatting sqref="B2">
    <cfRule type="cellIs" dxfId="5" priority="9" operator="greaterThan">
      <formula>0</formula>
    </cfRule>
  </conditionalFormatting>
  <conditionalFormatting sqref="A15 D15:AA15">
    <cfRule type="cellIs" dxfId="4" priority="8" operator="between">
      <formula>-0.0000000000001</formula>
      <formula>0.0000000000001</formula>
    </cfRule>
  </conditionalFormatting>
  <conditionalFormatting sqref="D15:AA15 A15">
    <cfRule type="cellIs" dxfId="3" priority="7" operator="between">
      <formula>-0.0000000000001</formula>
      <formula>0.0000000000001</formula>
    </cfRule>
  </conditionalFormatting>
  <conditionalFormatting sqref="A15 C15:O15">
    <cfRule type="cellIs" dxfId="2" priority="6" operator="between">
      <formula>-0.0000000000001</formula>
      <formula>0.0000000000001</formula>
    </cfRule>
  </conditionalFormatting>
  <conditionalFormatting sqref="P15:AA15">
    <cfRule type="cellIs" dxfId="1" priority="5" operator="between">
      <formula>-0.0000000000001</formula>
      <formula>0.0000000000001</formula>
    </cfRule>
  </conditionalFormatting>
  <conditionalFormatting sqref="D91:AA120">
    <cfRule type="colorScale" priority="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1:AA120">
    <cfRule type="cellIs" dxfId="0" priority="1" operator="between">
      <formula>-0.00000000001</formula>
      <formula>0.00000000001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2022-02-05T12:24:55Z</dcterms:modified>
</cp:coreProperties>
</file>