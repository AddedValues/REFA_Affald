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13F01F1-D8BA-4184-8E73-70FDA5A1FC6A}" xr6:coauthVersionLast="47" xr6:coauthVersionMax="47" xr10:uidLastSave="{00000000-0000-0000-0000-000000000000}"/>
  <bookViews>
    <workbookView xWindow="3900" yWindow="3900" windowWidth="21600" windowHeight="1264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" l="1"/>
  <c r="A22" i="4"/>
  <c r="A21" i="4"/>
  <c r="A20" i="4"/>
  <c r="AB9" i="12" a="1"/>
  <c r="AB9" i="12" s="1"/>
  <c r="AB9" i="13" a="1"/>
  <c r="AB9" i="13" s="1"/>
  <c r="AB9" i="14" a="1"/>
  <c r="AB9" i="14" s="1"/>
  <c r="A15" i="4"/>
  <c r="D2" i="4"/>
  <c r="A50" i="4"/>
  <c r="A51" i="4"/>
  <c r="A52" i="4"/>
  <c r="A49" i="4"/>
  <c r="A36" i="4"/>
  <c r="A41" i="4"/>
  <c r="A33" i="4"/>
  <c r="A35" i="4"/>
  <c r="A34" i="4"/>
  <c r="A32" i="4"/>
  <c r="A31" i="4"/>
  <c r="A39" i="4"/>
  <c r="A29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E9" i="12" s="1" a="1"/>
  <c r="E9" i="12" s="1"/>
  <c r="F6" i="4"/>
  <c r="F9" i="12" s="1" a="1"/>
  <c r="F9" i="12" s="1"/>
  <c r="G6" i="4"/>
  <c r="G9" i="12" s="1" a="1"/>
  <c r="G9" i="12" s="1"/>
  <c r="H6" i="4"/>
  <c r="H9" i="12" s="1" a="1"/>
  <c r="H9" i="12" s="1"/>
  <c r="I6" i="4"/>
  <c r="I9" i="14" s="1" a="1"/>
  <c r="I9" i="14" s="1"/>
  <c r="J6" i="4"/>
  <c r="J9" i="14" s="1" a="1"/>
  <c r="J9" i="14" s="1"/>
  <c r="K6" i="4"/>
  <c r="K9" i="12" s="1" a="1"/>
  <c r="K9" i="12" s="1"/>
  <c r="L6" i="4"/>
  <c r="L9" i="12" s="1" a="1"/>
  <c r="L9" i="12" s="1"/>
  <c r="M6" i="4"/>
  <c r="M9" i="12" s="1" a="1"/>
  <c r="M9" i="12" s="1"/>
  <c r="N6" i="4"/>
  <c r="N9" i="12" s="1" a="1"/>
  <c r="N9" i="12" s="1"/>
  <c r="O6" i="4"/>
  <c r="O9" i="13" s="1" a="1"/>
  <c r="O9" i="13" s="1"/>
  <c r="P6" i="4"/>
  <c r="P9" i="12" s="1" a="1"/>
  <c r="P9" i="12" s="1"/>
  <c r="Q6" i="4"/>
  <c r="Q9" i="12" s="1" a="1"/>
  <c r="Q9" i="12" s="1"/>
  <c r="R6" i="4"/>
  <c r="R9" i="12" s="1" a="1"/>
  <c r="R9" i="12" s="1"/>
  <c r="S6" i="4"/>
  <c r="S9" i="12" s="1" a="1"/>
  <c r="S9" i="12" s="1"/>
  <c r="T6" i="4"/>
  <c r="T9" i="14" s="1" a="1"/>
  <c r="T9" i="14" s="1"/>
  <c r="U6" i="4"/>
  <c r="U9" i="12" s="1" a="1"/>
  <c r="U9" i="12" s="1"/>
  <c r="V6" i="4"/>
  <c r="V9" i="12" s="1" a="1"/>
  <c r="V9" i="12" s="1"/>
  <c r="W6" i="4"/>
  <c r="W9" i="12" s="1" a="1"/>
  <c r="W9" i="12" s="1"/>
  <c r="X6" i="4"/>
  <c r="X9" i="13" s="1" a="1"/>
  <c r="X9" i="13" s="1"/>
  <c r="Y6" i="4"/>
  <c r="Y9" i="14" s="1" a="1"/>
  <c r="Y9" i="14" s="1"/>
  <c r="Z6" i="4"/>
  <c r="Z9" i="14" s="1" a="1"/>
  <c r="Z9" i="14" s="1"/>
  <c r="AA6" i="4"/>
  <c r="AA9" i="12" s="1" a="1"/>
  <c r="AA9" i="12" s="1"/>
  <c r="D6" i="4"/>
  <c r="D9" i="12" s="1" a="1"/>
  <c r="D9" i="12" s="1"/>
  <c r="A27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145" i="4"/>
  <c r="A138" i="4"/>
  <c r="A139" i="4"/>
  <c r="A140" i="4"/>
  <c r="A141" i="4"/>
  <c r="A142" i="4"/>
  <c r="A137" i="4"/>
  <c r="A26" i="4"/>
  <c r="A122" i="4"/>
  <c r="A123" i="4"/>
  <c r="A124" i="4"/>
  <c r="A28" i="4"/>
  <c r="A30" i="4"/>
  <c r="A37" i="4"/>
  <c r="A38" i="4"/>
  <c r="A42" i="4"/>
  <c r="A43" i="4"/>
  <c r="A44" i="4"/>
  <c r="A45" i="4"/>
  <c r="A47" i="4"/>
  <c r="A48" i="4"/>
  <c r="A12" i="4"/>
  <c r="A13" i="4"/>
  <c r="A14" i="4"/>
  <c r="A16" i="4"/>
  <c r="A17" i="4"/>
  <c r="A18" i="4"/>
  <c r="A19" i="4"/>
  <c r="A24" i="4"/>
  <c r="A25" i="4"/>
  <c r="A11" i="4"/>
  <c r="A8" i="4"/>
  <c r="N9" i="14" l="1" a="1"/>
  <c r="N9" i="14" s="1"/>
  <c r="AA9" i="13" a="1"/>
  <c r="AA9" i="13" s="1"/>
  <c r="N9" i="13" a="1"/>
  <c r="N9" i="13" s="1"/>
  <c r="H9" i="13" a="1"/>
  <c r="H9" i="13" s="1"/>
  <c r="Z9" i="12" a="1"/>
  <c r="Z9" i="12" s="1"/>
  <c r="J9" i="12" a="1"/>
  <c r="J9" i="12" s="1"/>
  <c r="X9" i="14" a="1"/>
  <c r="X9" i="14" s="1"/>
  <c r="S9" i="14" a="1"/>
  <c r="S9" i="14" s="1"/>
  <c r="M9" i="14" a="1"/>
  <c r="M9" i="14" s="1"/>
  <c r="H9" i="14" a="1"/>
  <c r="H9" i="14" s="1"/>
  <c r="Z9" i="13" a="1"/>
  <c r="Z9" i="13" s="1"/>
  <c r="T9" i="13" a="1"/>
  <c r="T9" i="13" s="1"/>
  <c r="M9" i="13" a="1"/>
  <c r="M9" i="13" s="1"/>
  <c r="G9" i="13" a="1"/>
  <c r="G9" i="13" s="1"/>
  <c r="Y9" i="12" a="1"/>
  <c r="Y9" i="12" s="1"/>
  <c r="T9" i="12" a="1"/>
  <c r="T9" i="12" s="1"/>
  <c r="O9" i="12" a="1"/>
  <c r="O9" i="12" s="1"/>
  <c r="I9" i="12" a="1"/>
  <c r="I9" i="12" s="1"/>
  <c r="R9" i="14" a="1"/>
  <c r="R9" i="14" s="1"/>
  <c r="Y9" i="13" a="1"/>
  <c r="Y9" i="13" s="1"/>
  <c r="S9" i="13" a="1"/>
  <c r="S9" i="13" s="1"/>
  <c r="F9" i="13" a="1"/>
  <c r="F9" i="13" s="1"/>
  <c r="W9" i="14" a="1"/>
  <c r="W9" i="14" s="1"/>
  <c r="Q9" i="14" a="1"/>
  <c r="Q9" i="14" s="1"/>
  <c r="L9" i="14" a="1"/>
  <c r="L9" i="14" s="1"/>
  <c r="G9" i="14" a="1"/>
  <c r="G9" i="14" s="1"/>
  <c r="R9" i="13" a="1"/>
  <c r="R9" i="13" s="1"/>
  <c r="L9" i="13" a="1"/>
  <c r="L9" i="13" s="1"/>
  <c r="E9" i="13" a="1"/>
  <c r="E9" i="13" s="1"/>
  <c r="X9" i="12" a="1"/>
  <c r="X9" i="12" s="1"/>
  <c r="V9" i="14" a="1"/>
  <c r="V9" i="14" s="1"/>
  <c r="F9" i="14" a="1"/>
  <c r="F9" i="14" s="1"/>
  <c r="Q9" i="13" a="1"/>
  <c r="Q9" i="13" s="1"/>
  <c r="K9" i="13" a="1"/>
  <c r="K9" i="13" s="1"/>
  <c r="AA9" i="14" a="1"/>
  <c r="AA9" i="14" s="1"/>
  <c r="U9" i="14" a="1"/>
  <c r="U9" i="14" s="1"/>
  <c r="P9" i="14" a="1"/>
  <c r="P9" i="14" s="1"/>
  <c r="K9" i="14" a="1"/>
  <c r="K9" i="14" s="1"/>
  <c r="E9" i="14" a="1"/>
  <c r="E9" i="14" s="1"/>
  <c r="W9" i="13" a="1"/>
  <c r="W9" i="13" s="1"/>
  <c r="J9" i="13" a="1"/>
  <c r="J9" i="13" s="1"/>
  <c r="V9" i="13" a="1"/>
  <c r="V9" i="13" s="1"/>
  <c r="P9" i="13" a="1"/>
  <c r="P9" i="13" s="1"/>
  <c r="I9" i="13" a="1"/>
  <c r="I9" i="13" s="1"/>
  <c r="O9" i="14" a="1"/>
  <c r="O9" i="14" s="1"/>
  <c r="U9" i="13" a="1"/>
  <c r="U9" i="13" s="1"/>
  <c r="D9" i="14" a="1"/>
  <c r="D9" i="14" s="1"/>
  <c r="D9" i="13" a="1"/>
  <c r="D9" i="13" s="1"/>
  <c r="A10" i="4"/>
  <c r="A9" i="4"/>
  <c r="A46" i="4"/>
  <c r="A87" i="4"/>
  <c r="A88" i="4"/>
  <c r="A89" i="4"/>
  <c r="A113" i="4" l="1"/>
  <c r="A114" i="4"/>
  <c r="A115" i="4"/>
  <c r="A79" i="4"/>
  <c r="A80" i="4"/>
  <c r="A81" i="4"/>
  <c r="A82" i="4"/>
  <c r="A83" i="4"/>
  <c r="A84" i="4"/>
  <c r="A121" i="4"/>
  <c r="A120" i="4"/>
  <c r="A119" i="4"/>
  <c r="A118" i="4"/>
  <c r="A117" i="4"/>
  <c r="A116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8" i="4"/>
  <c r="A85" i="4"/>
  <c r="A86" i="4"/>
  <c r="A90" i="4"/>
  <c r="A91" i="4"/>
  <c r="A92" i="4"/>
  <c r="A56" i="4"/>
  <c r="A57" i="4"/>
  <c r="A58" i="4"/>
  <c r="A59" i="4"/>
  <c r="A60" i="4"/>
  <c r="A61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<sst xmlns="http://schemas.openxmlformats.org/spreadsheetml/2006/main" count="1686" uniqueCount="239">
  <si>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</si>
  <si>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</si>
  <si>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</si>
  <si>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</si>
  <si>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</si>
  <si>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</si>
  <si>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</si>
  <si>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</si>
  <si>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</si>
  <si>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</si>
  <si>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</si>
  <si>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</si>
  <si>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</si>
  <si>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</si>
  <si>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</si>
  <si>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</si>
  <si>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</si>
  <si>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</si>
  <si>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</si>
  <si>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</si>
  <si>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</si>
  <si>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</si>
  <si>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</si>
  <si>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</si>
  <si>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</si>
  <si>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</si>
  <si>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</si>
  <si>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</si>
  <si>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</si>
  <si>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</si>
  <si>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</si>
  <si>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</si>
  <si>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</si>
  <si>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</si>
  <si>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</si>
  <si>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</si>
  <si>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</si>
  <si>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</si>
  <si>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</si>
  <si>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</si>
  <si>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</si>
  <si>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</si>
  <si>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</si>
  <si>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</si>
  <si>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</si>
  <si>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</si>
  <si>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</si>
  <si>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</si>
  <si>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</si>
  <si>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</si>
  <si>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</si>
  <si>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</si>
  <si>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</si>
  <si>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</si>
  <si>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</si>
  <si>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</si>
  <si>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</si>
  <si>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</si>
  <si>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</si>
  <si>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</si>
  <si>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</si>
  <si>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</si>
  <si>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</si>
  <si>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</si>
  <si>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</si>
  <si>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</si>
  <si>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</si>
  <si>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</si>
  <si>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</si>
  <si>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</si>
  <si>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</si>
  <si>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</si>
  <si>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</si>
  <si>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</si>
  <si>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</si>
  <si>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</si>
  <si>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</si>
  <si>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</si>
  <si>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</si>
  <si>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</si>
  <si>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</si>
  <si>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</si>
  <si>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</si>
  <si>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</si>
  <si>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</si>
  <si>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</si>
  <si>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</si>
  <si>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</si>
  <si>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</si>
  <si>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</si>
  <si>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</si>
  <si>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</si>
  <si>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</si>
  <si>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</si>
  <si>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</si>
  <si>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</si>
  <si>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</si>
  <si>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</si>
  <si>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</si>
  <si>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</si>
  <si>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</si>
  <si>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</si>
  <si>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</si>
  <si>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</si>
  <si>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</si>
  <si>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</si>
  <si>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</si>
  <si>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</si>
  <si>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</si>
  <si>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</si>
  <si>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</si>
  <si>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</si>
  <si>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</si>
  <si>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</si>
  <si>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</si>
  <si>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</si>
  <si>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</si>
  <si>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</si>
  <si>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</si>
  <si>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</si>
  <si>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</si>
  <si>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</si>
  <si>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</si>
  <si>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</si>
  <si>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</si>
  <si>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</si>
  <si>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</si>
  <si>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</si>
  <si>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</si>
  <si>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</si>
  <si>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</si>
  <si>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</si>
  <si>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</si>
  <si>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</si>
  <si>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</si>
  <si>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</si>
  <si>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</si>
  <si>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</si>
  <si>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</si>
  <si>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</si>
  <si>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</si>
  <si>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</si>
  <si>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</si>
  <si>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</si>
  <si>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</si>
  <si>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</si>
  <si>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</si>
  <si>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</si>
  <si>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</si>
  <si>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</si>
  <si>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</si>
  <si>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</si>
  <si>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</si>
  <si>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</si>
  <si>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</si>
  <si>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</si>
  <si>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</si>
  <si>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</si>
  <si>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</si>
  <si>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</si>
  <si>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</si>
  <si>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</si>
  <si>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</si>
  <si>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</si>
  <si>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</si>
  <si>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</si>
  <si>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</si>
  <si>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</si>
  <si>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</si>
  <si>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</si>
  <si>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</si>
  <si>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</si>
  <si>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</si>
  <si>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</si>
  <si>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</si>
  <si>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</si>
  <si>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</si>
  <si>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</si>
  <si>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</si>
  <si>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</si>
  <si>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</si>
  <si>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</si>
  <si>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</si>
  <si>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</si>
  <si>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</si>
  <si>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</si>
  <si>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</si>
  <si>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</si>
  <si>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</si>
  <si>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</si>
  <si>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</si>
  <si>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</si>
  <si>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</si>
  <si>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</si>
  <si>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</si>
  <si>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</si>
  <si>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</si>
  <si>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</si>
  <si>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</si>
  <si>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</si>
  <si>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</si>
  <si>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</si>
  <si>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</si>
  <si>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</si>
  <si>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</si>
  <si>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</si>
  <si>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</si>
  <si>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</si>
  <si>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</si>
  <si>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</si>
  <si>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</si>
  <si>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</si>
  <si>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</si>
  <si>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</si>
  <si>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</si>
  <si>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</si>
  <si>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</si>
  <si>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</si>
  <si>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Varmemængder</t>
  </si>
  <si>
    <t>Brændselsforbrug</t>
  </si>
  <si>
    <t>Brændselsindkomst</t>
  </si>
  <si>
    <t>MinLast</t>
  </si>
  <si>
    <t>KapMin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</si>
  <si>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</si>
  <si>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</si>
  <si>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</si>
  <si>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</si>
  <si>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</si>
  <si>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</si>
  <si>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</si>
  <si>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</si>
  <si>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</si>
  <si>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</si>
  <si>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</si>
  <si>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REFA-CO2-Afgift</t>
  </si>
  <si>
    <t>REFA-NOx-Afgift</t>
  </si>
  <si>
    <t>ton CO2</t>
  </si>
  <si>
    <t>REFA-Affaldvarme-afgift</t>
  </si>
  <si>
    <t>REFA-Tillaegs-Afgift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</si>
</sst>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3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1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8203.9647058823521</c:v>
                </c:pt>
                <c:pt idx="3">
                  <c:v>3889.811545269114</c:v>
                </c:pt>
                <c:pt idx="4">
                  <c:v>3556.6536950658356</c:v>
                </c:pt>
                <c:pt idx="5">
                  <c:v>6060.7115170926754</c:v>
                </c:pt>
                <c:pt idx="6">
                  <c:v>1535.5032177622395</c:v>
                </c:pt>
                <c:pt idx="7">
                  <c:v>1535.5032177622395</c:v>
                </c:pt>
                <c:pt idx="8">
                  <c:v>3440.2942283991688</c:v>
                </c:pt>
                <c:pt idx="9">
                  <c:v>3556.6536950658356</c:v>
                </c:pt>
                <c:pt idx="10">
                  <c:v>7230.1176470588234</c:v>
                </c:pt>
                <c:pt idx="11">
                  <c:v>6783.376470588235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Overblik!$D$57:$O$57</c:f>
              <c:numCache>
                <c:formatCode>_-* #,##0_-;\-#,##0_-;_-* "-"??_-;_-@_-</c:formatCode>
                <c:ptCount val="12"/>
                <c:pt idx="0">
                  <c:v>21464.400000000001</c:v>
                </c:pt>
                <c:pt idx="1">
                  <c:v>19387.2</c:v>
                </c:pt>
                <c:pt idx="2">
                  <c:v>21296.035294117646</c:v>
                </c:pt>
                <c:pt idx="3">
                  <c:v>16110.188454730885</c:v>
                </c:pt>
                <c:pt idx="4">
                  <c:v>9443.3463049341644</c:v>
                </c:pt>
                <c:pt idx="5">
                  <c:v>3022.2474512195122</c:v>
                </c:pt>
                <c:pt idx="6">
                  <c:v>10862.608223017131</c:v>
                </c:pt>
                <c:pt idx="7">
                  <c:v>10785.883012060376</c:v>
                </c:pt>
                <c:pt idx="8">
                  <c:v>15359.705771600831</c:v>
                </c:pt>
                <c:pt idx="9">
                  <c:v>17372.400000000001</c:v>
                </c:pt>
                <c:pt idx="10">
                  <c:v>20269.882352941175</c:v>
                </c:pt>
                <c:pt idx="11">
                  <c:v>20616.623529411765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#,##0_-;\-#,##0_-;_-* "-"??_-;_-@_-</c:formatCode>
                <c:ptCount val="12"/>
                <c:pt idx="0">
                  <c:v>1279.5999999999985</c:v>
                </c:pt>
                <c:pt idx="1">
                  <c:v>4884.7999999999993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-1582.9589683121876</c:v>
                </c:pt>
                <c:pt idx="6">
                  <c:v>-4898.1114407793702</c:v>
                </c:pt>
                <c:pt idx="7">
                  <c:v>-5321.3862298226159</c:v>
                </c:pt>
                <c:pt idx="8">
                  <c:v>-10800</c:v>
                </c:pt>
                <c:pt idx="9">
                  <c:v>-1229.053695065837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4589.3103031772953</c:v>
                </c:pt>
                <c:pt idx="4">
                  <c:v>1396.051759601427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429.11835660557699</c:v>
                </c:pt>
                <c:pt idx="9">
                  <c:v>1E-14</c:v>
                </c:pt>
                <c:pt idx="10">
                  <c:v>1E-14</c:v>
                </c:pt>
                <c:pt idx="11">
                  <c:v>6500.832495915698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2397.2340638983333</c:v>
                </c:pt>
                <c:pt idx="1">
                  <c:v>2397.2340638983333</c:v>
                </c:pt>
                <c:pt idx="2">
                  <c:v>2397.2340638983333</c:v>
                </c:pt>
                <c:pt idx="3">
                  <c:v>2397.2340638983333</c:v>
                </c:pt>
                <c:pt idx="4">
                  <c:v>2397.2340638983333</c:v>
                </c:pt>
                <c:pt idx="5">
                  <c:v>2397.2340638983333</c:v>
                </c:pt>
                <c:pt idx="6">
                  <c:v>2397.2340638983333</c:v>
                </c:pt>
                <c:pt idx="7">
                  <c:v>2397.2340638983333</c:v>
                </c:pt>
                <c:pt idx="8">
                  <c:v>2397.2340638983333</c:v>
                </c:pt>
                <c:pt idx="9">
                  <c:v>2397.2340638983333</c:v>
                </c:pt>
                <c:pt idx="10">
                  <c:v>2397.2340638983333</c:v>
                </c:pt>
                <c:pt idx="11">
                  <c:v>2397.2340638983333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352.70110270074997</c:v>
                </c:pt>
                <c:pt idx="1">
                  <c:v>352.70110270074997</c:v>
                </c:pt>
                <c:pt idx="2">
                  <c:v>352.70110270074997</c:v>
                </c:pt>
                <c:pt idx="3">
                  <c:v>352.70110270074997</c:v>
                </c:pt>
                <c:pt idx="4">
                  <c:v>352.70110270074997</c:v>
                </c:pt>
                <c:pt idx="5">
                  <c:v>352.70110270074997</c:v>
                </c:pt>
                <c:pt idx="6">
                  <c:v>352.70110270074997</c:v>
                </c:pt>
                <c:pt idx="7">
                  <c:v>352.70110270074997</c:v>
                </c:pt>
                <c:pt idx="8">
                  <c:v>352.70110270074997</c:v>
                </c:pt>
                <c:pt idx="9">
                  <c:v>352.70110270074997</c:v>
                </c:pt>
                <c:pt idx="10">
                  <c:v>352.70110270074997</c:v>
                </c:pt>
                <c:pt idx="11">
                  <c:v>352.70110270074997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2.7791694458333334</c:v>
                </c:pt>
                <c:pt idx="1">
                  <c:v>2.7791694458333334</c:v>
                </c:pt>
                <c:pt idx="2">
                  <c:v>2.7791694458333334</c:v>
                </c:pt>
                <c:pt idx="3">
                  <c:v>2.7791694458333334</c:v>
                </c:pt>
                <c:pt idx="4">
                  <c:v>2.7791694458333334</c:v>
                </c:pt>
                <c:pt idx="5">
                  <c:v>2.7791666666666668</c:v>
                </c:pt>
                <c:pt idx="6">
                  <c:v>2.7791666666666668</c:v>
                </c:pt>
                <c:pt idx="7">
                  <c:v>2.7791666666666668</c:v>
                </c:pt>
                <c:pt idx="8">
                  <c:v>2.7791694458333334</c:v>
                </c:pt>
                <c:pt idx="9">
                  <c:v>2.7791694458333334</c:v>
                </c:pt>
                <c:pt idx="10">
                  <c:v>2.7791694458333334</c:v>
                </c:pt>
                <c:pt idx="11">
                  <c:v>2.7791694458333334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357.48202414833327</c:v>
                </c:pt>
                <c:pt idx="1">
                  <c:v>357.48202414833327</c:v>
                </c:pt>
                <c:pt idx="2">
                  <c:v>357.48202414833327</c:v>
                </c:pt>
                <c:pt idx="3">
                  <c:v>357.48202414833327</c:v>
                </c:pt>
                <c:pt idx="4">
                  <c:v>357.48202414833327</c:v>
                </c:pt>
                <c:pt idx="5">
                  <c:v>357.48166666666663</c:v>
                </c:pt>
                <c:pt idx="6">
                  <c:v>357.48202414833327</c:v>
                </c:pt>
                <c:pt idx="7">
                  <c:v>357.48202414833327</c:v>
                </c:pt>
                <c:pt idx="8">
                  <c:v>357.48202414833327</c:v>
                </c:pt>
                <c:pt idx="9">
                  <c:v>357.48202414833327</c:v>
                </c:pt>
                <c:pt idx="10">
                  <c:v>357.48202414833327</c:v>
                </c:pt>
                <c:pt idx="11">
                  <c:v>357.48202414833327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8.9083422416666647</c:v>
                </c:pt>
                <c:pt idx="1">
                  <c:v>8.9083422416666647</c:v>
                </c:pt>
                <c:pt idx="2">
                  <c:v>8.9083422416666647</c:v>
                </c:pt>
                <c:pt idx="3">
                  <c:v>8.9083422416666647</c:v>
                </c:pt>
                <c:pt idx="4">
                  <c:v>8.9083422416666647</c:v>
                </c:pt>
                <c:pt idx="5">
                  <c:v>8.9083422416666647</c:v>
                </c:pt>
                <c:pt idx="6">
                  <c:v>8.9083422416666647</c:v>
                </c:pt>
                <c:pt idx="7">
                  <c:v>8.9083422416666647</c:v>
                </c:pt>
                <c:pt idx="8">
                  <c:v>8.9083422416666647</c:v>
                </c:pt>
                <c:pt idx="9">
                  <c:v>8.9083422416666647</c:v>
                </c:pt>
                <c:pt idx="10">
                  <c:v>8.9083422416666647</c:v>
                </c:pt>
                <c:pt idx="11">
                  <c:v>8.9083422416666647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355.50118883416661</c:v>
                </c:pt>
                <c:pt idx="1">
                  <c:v>355.50118883416661</c:v>
                </c:pt>
                <c:pt idx="2">
                  <c:v>355.50118883416661</c:v>
                </c:pt>
                <c:pt idx="3">
                  <c:v>355.50118883416661</c:v>
                </c:pt>
                <c:pt idx="4">
                  <c:v>355.50118883416661</c:v>
                </c:pt>
                <c:pt idx="5">
                  <c:v>355.50083333333333</c:v>
                </c:pt>
                <c:pt idx="6">
                  <c:v>355.50118883416661</c:v>
                </c:pt>
                <c:pt idx="7">
                  <c:v>355.50118883416661</c:v>
                </c:pt>
                <c:pt idx="8">
                  <c:v>355.50118883416661</c:v>
                </c:pt>
                <c:pt idx="9">
                  <c:v>355.50118883416661</c:v>
                </c:pt>
                <c:pt idx="10">
                  <c:v>355.50118883416661</c:v>
                </c:pt>
                <c:pt idx="11">
                  <c:v>355.50118883416661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33.205033204999992</c:v>
                </c:pt>
                <c:pt idx="1">
                  <c:v>33.205033204999992</c:v>
                </c:pt>
                <c:pt idx="2">
                  <c:v>33.205033204999992</c:v>
                </c:pt>
                <c:pt idx="3">
                  <c:v>33.205033204999992</c:v>
                </c:pt>
                <c:pt idx="4">
                  <c:v>33.205033204999992</c:v>
                </c:pt>
                <c:pt idx="5">
                  <c:v>33.205033204999992</c:v>
                </c:pt>
                <c:pt idx="6">
                  <c:v>33.205033204999992</c:v>
                </c:pt>
                <c:pt idx="7">
                  <c:v>33.205033204999992</c:v>
                </c:pt>
                <c:pt idx="8">
                  <c:v>33.205033204999992</c:v>
                </c:pt>
                <c:pt idx="9">
                  <c:v>33.205033204999992</c:v>
                </c:pt>
                <c:pt idx="10">
                  <c:v>33.205033204999992</c:v>
                </c:pt>
                <c:pt idx="11">
                  <c:v>33.205033204999992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Overblik!$C$74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511.80634513916658</c:v>
                </c:pt>
                <c:pt idx="1">
                  <c:v>511.80634513916658</c:v>
                </c:pt>
                <c:pt idx="2">
                  <c:v>511.80634513916658</c:v>
                </c:pt>
                <c:pt idx="3">
                  <c:v>511.80634513916658</c:v>
                </c:pt>
                <c:pt idx="4">
                  <c:v>511.80634513916658</c:v>
                </c:pt>
                <c:pt idx="5">
                  <c:v>511.80634513916658</c:v>
                </c:pt>
                <c:pt idx="6">
                  <c:v>511.80634513916658</c:v>
                </c:pt>
                <c:pt idx="7">
                  <c:v>511.80634513916658</c:v>
                </c:pt>
                <c:pt idx="8">
                  <c:v>511.80634513916658</c:v>
                </c:pt>
                <c:pt idx="9">
                  <c:v>511.80634513916658</c:v>
                </c:pt>
                <c:pt idx="10">
                  <c:v>511.80634513916658</c:v>
                </c:pt>
                <c:pt idx="11">
                  <c:v>511.80634513916658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11.182511182499999</c:v>
                </c:pt>
                <c:pt idx="1">
                  <c:v>11.182511182499999</c:v>
                </c:pt>
                <c:pt idx="2">
                  <c:v>11.182511182499999</c:v>
                </c:pt>
                <c:pt idx="3">
                  <c:v>11.182511182499999</c:v>
                </c:pt>
                <c:pt idx="4">
                  <c:v>11.182511182499999</c:v>
                </c:pt>
                <c:pt idx="5">
                  <c:v>11.182511182499999</c:v>
                </c:pt>
                <c:pt idx="6">
                  <c:v>11.182511182499999</c:v>
                </c:pt>
                <c:pt idx="7">
                  <c:v>11.182511182499999</c:v>
                </c:pt>
                <c:pt idx="8">
                  <c:v>11.182511182499999</c:v>
                </c:pt>
                <c:pt idx="9">
                  <c:v>11.182511182499999</c:v>
                </c:pt>
                <c:pt idx="10">
                  <c:v>11.182511182499999</c:v>
                </c:pt>
                <c:pt idx="11">
                  <c:v>11.182511182499999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4.8150000000000004</c:v>
                </c:pt>
                <c:pt idx="1">
                  <c:v>4.8150000000000004</c:v>
                </c:pt>
                <c:pt idx="2">
                  <c:v>4.8150000000000004</c:v>
                </c:pt>
                <c:pt idx="3">
                  <c:v>4.8150000000000004</c:v>
                </c:pt>
                <c:pt idx="4">
                  <c:v>4.8150000000000004</c:v>
                </c:pt>
                <c:pt idx="5">
                  <c:v>4.8150000000000004</c:v>
                </c:pt>
                <c:pt idx="6">
                  <c:v>4.815004815</c:v>
                </c:pt>
                <c:pt idx="7">
                  <c:v>4.815004815</c:v>
                </c:pt>
                <c:pt idx="8">
                  <c:v>4.8150000000000004</c:v>
                </c:pt>
                <c:pt idx="9">
                  <c:v>4.8150000000000004</c:v>
                </c:pt>
                <c:pt idx="10">
                  <c:v>4.8150000000000004</c:v>
                </c:pt>
                <c:pt idx="11">
                  <c:v>4.8150000000000004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1.0741677408333332</c:v>
                </c:pt>
                <c:pt idx="1">
                  <c:v>1.0741677408333332</c:v>
                </c:pt>
                <c:pt idx="2">
                  <c:v>1.0741677408333332</c:v>
                </c:pt>
                <c:pt idx="3">
                  <c:v>1.0741677408333332</c:v>
                </c:pt>
                <c:pt idx="4">
                  <c:v>1.0741677408333332</c:v>
                </c:pt>
                <c:pt idx="5">
                  <c:v>1.0741666666666667</c:v>
                </c:pt>
                <c:pt idx="6">
                  <c:v>1.0741677408333332</c:v>
                </c:pt>
                <c:pt idx="7">
                  <c:v>1.0741677408333332</c:v>
                </c:pt>
                <c:pt idx="8">
                  <c:v>1.0741677408333332</c:v>
                </c:pt>
                <c:pt idx="9">
                  <c:v>1.0741677408333332</c:v>
                </c:pt>
                <c:pt idx="10">
                  <c:v>1.0741677408333332</c:v>
                </c:pt>
                <c:pt idx="11">
                  <c:v>1.0741677408333332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7021.3329140924488</c:v>
                </c:pt>
                <c:pt idx="1">
                  <c:v>6009.3634885925057</c:v>
                </c:pt>
                <c:pt idx="2">
                  <c:v>6917.9638034150012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4382.3062476063051</c:v>
                </c:pt>
                <c:pt idx="9">
                  <c:v>3526.0280604521886</c:v>
                </c:pt>
                <c:pt idx="10">
                  <c:v>6375.7297185315529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154.09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1.5408999999522166E-4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87.044166666666669</c:v>
                </c:pt>
                <c:pt idx="1">
                  <c:v>87.044166666666669</c:v>
                </c:pt>
                <c:pt idx="2">
                  <c:v>87.044166666666669</c:v>
                </c:pt>
                <c:pt idx="3">
                  <c:v>87.044166666666669</c:v>
                </c:pt>
                <c:pt idx="4">
                  <c:v>87.044166666666669</c:v>
                </c:pt>
                <c:pt idx="5">
                  <c:v>87.044166666666669</c:v>
                </c:pt>
                <c:pt idx="6">
                  <c:v>87.044166666666669</c:v>
                </c:pt>
                <c:pt idx="7">
                  <c:v>87.044166666666669</c:v>
                </c:pt>
                <c:pt idx="8">
                  <c:v>87.044166666666669</c:v>
                </c:pt>
                <c:pt idx="9">
                  <c:v>87.044166666666669</c:v>
                </c:pt>
                <c:pt idx="10">
                  <c:v>87.044166666666669</c:v>
                </c:pt>
                <c:pt idx="11">
                  <c:v>87.044166666666669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9.4950094949999979</c:v>
                </c:pt>
                <c:pt idx="1">
                  <c:v>9.4950094949999979</c:v>
                </c:pt>
                <c:pt idx="2">
                  <c:v>9.4950094949999979</c:v>
                </c:pt>
                <c:pt idx="3">
                  <c:v>9.4950094949999979</c:v>
                </c:pt>
                <c:pt idx="4">
                  <c:v>9.4950094949999979</c:v>
                </c:pt>
                <c:pt idx="5">
                  <c:v>9.4949999999999992</c:v>
                </c:pt>
                <c:pt idx="6">
                  <c:v>9.4950094949999979</c:v>
                </c:pt>
                <c:pt idx="7">
                  <c:v>9.4950094949999979</c:v>
                </c:pt>
                <c:pt idx="8">
                  <c:v>9.4950094949999979</c:v>
                </c:pt>
                <c:pt idx="9">
                  <c:v>9.4950094949999979</c:v>
                </c:pt>
                <c:pt idx="10">
                  <c:v>9.4950094949999979</c:v>
                </c:pt>
                <c:pt idx="11">
                  <c:v>9.4950094949999979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Overblik!$C$84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17.683351016666666</c:v>
                </c:pt>
                <c:pt idx="1">
                  <c:v>17.683351016666666</c:v>
                </c:pt>
                <c:pt idx="2">
                  <c:v>17.683351016666666</c:v>
                </c:pt>
                <c:pt idx="3">
                  <c:v>17.683351016666666</c:v>
                </c:pt>
                <c:pt idx="4">
                  <c:v>17.683351016666666</c:v>
                </c:pt>
                <c:pt idx="5">
                  <c:v>17.683351016666666</c:v>
                </c:pt>
                <c:pt idx="6">
                  <c:v>17.683351016666666</c:v>
                </c:pt>
                <c:pt idx="7">
                  <c:v>17.683351016666666</c:v>
                </c:pt>
                <c:pt idx="8">
                  <c:v>17.683351016666666</c:v>
                </c:pt>
                <c:pt idx="9">
                  <c:v>17.683351016666666</c:v>
                </c:pt>
                <c:pt idx="10">
                  <c:v>17.683351016666666</c:v>
                </c:pt>
                <c:pt idx="11">
                  <c:v>17.683351016666666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Overblik!$C$85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622.94676468365697</c:v>
                </c:pt>
                <c:pt idx="5">
                  <c:v>1E-14</c:v>
                </c:pt>
                <c:pt idx="6">
                  <c:v>1064.2885222492498</c:v>
                </c:pt>
                <c:pt idx="7">
                  <c:v>1064.2885222492498</c:v>
                </c:pt>
                <c:pt idx="8">
                  <c:v>1E-14</c:v>
                </c:pt>
                <c:pt idx="9">
                  <c:v>2344.9001504126882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576.54067584480526</c:v>
                </c:pt>
                <c:pt idx="1">
                  <c:v>2200.9111389236541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Overblik!$C$91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Overblik!$C$92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Overblik!$C$128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1.2105263157894737</c:v>
                </c:pt>
                <c:pt idx="1">
                  <c:v>1.2105263157894737</c:v>
                </c:pt>
                <c:pt idx="2">
                  <c:v>1.1607193981157826</c:v>
                </c:pt>
                <c:pt idx="3">
                  <c:v>0.56868589843115702</c:v>
                </c:pt>
                <c:pt idx="4">
                  <c:v>0.50320510682878261</c:v>
                </c:pt>
                <c:pt idx="5">
                  <c:v>0.88606893524746722</c:v>
                </c:pt>
                <c:pt idx="6">
                  <c:v>0.67346632357992964</c:v>
                </c:pt>
                <c:pt idx="7">
                  <c:v>0.67346632357992964</c:v>
                </c:pt>
                <c:pt idx="8">
                  <c:v>0.50296699245601884</c:v>
                </c:pt>
                <c:pt idx="9">
                  <c:v>0.50320510682878261</c:v>
                </c:pt>
                <c:pt idx="10">
                  <c:v>1.0570347437220502</c:v>
                </c:pt>
                <c:pt idx="11">
                  <c:v>0.95973068344485502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Overblik!$C$129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Overblik!$D$129:$O$129</c:f>
              <c:numCache>
                <c:formatCode>0\ %\ </c:formatCode>
                <c:ptCount val="12"/>
                <c:pt idx="0">
                  <c:v>1.2355460385438972</c:v>
                </c:pt>
                <c:pt idx="1">
                  <c:v>1.2355460385438972</c:v>
                </c:pt>
                <c:pt idx="2">
                  <c:v>1.2258545332894502</c:v>
                </c:pt>
                <c:pt idx="3">
                  <c:v>0.95825532088572962</c:v>
                </c:pt>
                <c:pt idx="4">
                  <c:v>0.54358328756730001</c:v>
                </c:pt>
                <c:pt idx="5">
                  <c:v>1.0786036585365855</c:v>
                </c:pt>
                <c:pt idx="6">
                  <c:v>0.62527965180499701</c:v>
                </c:pt>
                <c:pt idx="7">
                  <c:v>0.62086315143908588</c:v>
                </c:pt>
                <c:pt idx="8">
                  <c:v>0.9136156181061641</c:v>
                </c:pt>
                <c:pt idx="9">
                  <c:v>1</c:v>
                </c:pt>
                <c:pt idx="10">
                  <c:v>1.2056794166631677</c:v>
                </c:pt>
                <c:pt idx="11">
                  <c:v>1.1867458456754256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Overblik!$C$130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Overblik!$D$130:$O$130</c:f>
              <c:numCache>
                <c:formatCode>0\ %\ </c:formatCode>
                <c:ptCount val="12"/>
                <c:pt idx="0">
                  <c:v>0.16379928315412168</c:v>
                </c:pt>
                <c:pt idx="1">
                  <c:v>0.69229024943310646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Overblik!$C$131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Overblik!$C$132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0.14657027484372107</c:v>
                </c:pt>
                <c:pt idx="6">
                  <c:v>0.43889887462180738</c:v>
                </c:pt>
                <c:pt idx="7">
                  <c:v>0.47682672310238494</c:v>
                </c:pt>
                <c:pt idx="8">
                  <c:v>1</c:v>
                </c:pt>
                <c:pt idx="9">
                  <c:v>0.11013025941450152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zoomScale="85" zoomScaleNormal="85" workbookViewId="0">
      <selection activeCell="L17" sqref="L17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1E-14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1E-14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 t="s">
        <v>223</v>
      </c>
      <c r="X15" s="89" t="s">
        <v>224</v>
      </c>
      <c r="Y15" s="89" t="s">
        <v>225</v>
      </c>
      <c r="Z15" s="89" t="s">
        <v>226</v>
      </c>
      <c r="AA15" s="89" t="s">
        <v>227</v>
      </c>
      <c r="AB15" s="89" t="s">
        <v>228</v>
      </c>
      <c r="AC15" s="89" t="s">
        <v>229</v>
      </c>
      <c r="AD15" s="89" t="s">
        <v>230</v>
      </c>
      <c r="AE15" s="89" t="s">
        <v>231</v>
      </c>
      <c r="AF15" s="89" t="s">
        <v>232</v>
      </c>
      <c r="AG15" s="89" t="s">
        <v>233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99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12</v>
      </c>
      <c r="R17" s="152"/>
      <c r="T17" s="24" t="s">
        <v>110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10</v>
      </c>
      <c r="AC17" s="22">
        <v>10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111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5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112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30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71</v>
      </c>
      <c r="U20" s="53">
        <v>1E-14</v>
      </c>
      <c r="V20" s="22">
        <v>20.833333333333332</v>
      </c>
      <c r="W20" s="22">
        <v>1E-14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29.166666666666668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113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114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23.35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 t="s">
        <v>223</v>
      </c>
      <c r="X43" s="90" t="s">
        <v>224</v>
      </c>
      <c r="Y43" s="90" t="s">
        <v>225</v>
      </c>
      <c r="Z43" s="90" t="s">
        <v>226</v>
      </c>
      <c r="AA43" s="90" t="s">
        <v>227</v>
      </c>
      <c r="AB43" s="90" t="s">
        <v>228</v>
      </c>
      <c r="AC43" s="90" t="s">
        <v>229</v>
      </c>
      <c r="AD43" s="90" t="s">
        <v>230</v>
      </c>
      <c r="AE43" s="90" t="s">
        <v>231</v>
      </c>
      <c r="AF43" s="90" t="s">
        <v>232</v>
      </c>
      <c r="AG43" s="90" t="s">
        <v>233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12915.299999999997</v>
      </c>
      <c r="L44" s="86">
        <v>12915.299999999997</v>
      </c>
      <c r="M44" s="86">
        <v>-1</v>
      </c>
      <c r="N44" s="86">
        <v>-1</v>
      </c>
      <c r="O44" s="86">
        <v>525</v>
      </c>
      <c r="P44" s="186">
        <v>12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525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525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1E-14</v>
      </c>
      <c r="W46" s="73">
        <v>1E-14</v>
      </c>
      <c r="X46" s="73">
        <v>1E-14</v>
      </c>
      <c r="Y46" s="73">
        <v>1E-14</v>
      </c>
      <c r="Z46" s="73">
        <v>1E-14</v>
      </c>
      <c r="AA46" s="73">
        <v>1E-14</v>
      </c>
      <c r="AB46" s="73">
        <v>1E-14</v>
      </c>
      <c r="AC46" s="73">
        <v>1E-14</v>
      </c>
      <c r="AD46" s="73">
        <v>1E-14</v>
      </c>
      <c r="AE46" s="73">
        <v>1E-14</v>
      </c>
      <c r="AF46" s="73">
        <v>1E-14</v>
      </c>
      <c r="AG46" s="73">
        <v>1E-14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28766.78</v>
      </c>
      <c r="L47" s="15">
        <v>28766.78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12915.299999999997</v>
      </c>
      <c r="W47" s="73">
        <v>12915.299999999997</v>
      </c>
      <c r="X47" s="73">
        <v>12915.299999999997</v>
      </c>
      <c r="Y47" s="73">
        <v>12915.299999999997</v>
      </c>
      <c r="Z47" s="73">
        <v>12915.299999999997</v>
      </c>
      <c r="AA47" s="73">
        <v>12915.299999999997</v>
      </c>
      <c r="AB47" s="73">
        <v>12915.299999999997</v>
      </c>
      <c r="AC47" s="73">
        <v>12915.299999999997</v>
      </c>
      <c r="AD47" s="73">
        <v>12915.299999999997</v>
      </c>
      <c r="AE47" s="73">
        <v>12915.299999999997</v>
      </c>
      <c r="AF47" s="73">
        <v>12915.299999999997</v>
      </c>
      <c r="AG47" s="73">
        <v>12915.299999999997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4232.4090000000006</v>
      </c>
      <c r="L48" s="15">
        <v>4232.4090000000006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33.35</v>
      </c>
      <c r="L49" s="15">
        <v>33.35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12</v>
      </c>
      <c r="W49" s="73">
        <v>12</v>
      </c>
      <c r="X49" s="73">
        <v>12</v>
      </c>
      <c r="Y49" s="73">
        <v>12</v>
      </c>
      <c r="Z49" s="73">
        <v>12</v>
      </c>
      <c r="AA49" s="73">
        <v>12</v>
      </c>
      <c r="AB49" s="73">
        <v>12</v>
      </c>
      <c r="AC49" s="73">
        <v>12</v>
      </c>
      <c r="AD49" s="73">
        <v>12</v>
      </c>
      <c r="AE49" s="73">
        <v>12</v>
      </c>
      <c r="AF49" s="73">
        <v>12</v>
      </c>
      <c r="AG49" s="73">
        <v>12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4289.78</v>
      </c>
      <c r="L50" s="15">
        <v>4289.78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106.89999999999998</v>
      </c>
      <c r="L51" s="15">
        <v>106.89999999999998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4266.01</v>
      </c>
      <c r="L52" s="15">
        <v>4266.01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398.46</v>
      </c>
      <c r="L53" s="15">
        <v>398.46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6141.6699999999992</v>
      </c>
      <c r="L54" s="15">
        <v>6141.6699999999992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134.19</v>
      </c>
      <c r="L55" s="15">
        <v>134.19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525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57.78</v>
      </c>
      <c r="L56" s="15">
        <v>57.78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12.89</v>
      </c>
      <c r="L57" s="15">
        <v>12.89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24233</v>
      </c>
      <c r="L58" s="15">
        <v>34232.69</v>
      </c>
      <c r="M58" s="15">
        <v>-1</v>
      </c>
      <c r="N58" s="15">
        <v>-1</v>
      </c>
      <c r="O58" s="15">
        <v>400</v>
      </c>
      <c r="P58" s="187">
        <v>12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154.09</v>
      </c>
      <c r="L59" s="15">
        <v>154.09</v>
      </c>
      <c r="M59" s="15">
        <v>-1</v>
      </c>
      <c r="N59" s="15">
        <v>-1</v>
      </c>
      <c r="O59" s="15">
        <v>515</v>
      </c>
      <c r="P59" s="187">
        <v>12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1044.53</v>
      </c>
      <c r="L61" s="15">
        <v>1044.53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525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113.93999999999998</v>
      </c>
      <c r="L63" s="15">
        <v>113.93999999999998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212.2</v>
      </c>
      <c r="L64" s="15">
        <v>212.2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20000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2397.2316666666666</v>
      </c>
      <c r="W67" s="73">
        <v>2397.2316666666666</v>
      </c>
      <c r="X67" s="73">
        <v>2397.2316666666666</v>
      </c>
      <c r="Y67" s="73">
        <v>2397.2316666666666</v>
      </c>
      <c r="Z67" s="73">
        <v>2397.2316666666666</v>
      </c>
      <c r="AA67" s="73">
        <v>2397.2316666666666</v>
      </c>
      <c r="AB67" s="73">
        <v>2397.2316666666666</v>
      </c>
      <c r="AC67" s="73">
        <v>2397.2316666666666</v>
      </c>
      <c r="AD67" s="73">
        <v>2397.2316666666666</v>
      </c>
      <c r="AE67" s="73">
        <v>2397.2316666666666</v>
      </c>
      <c r="AF67" s="73">
        <v>2397.2316666666666</v>
      </c>
      <c r="AG67" s="73">
        <v>2397.2316666666666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2397.2316666666666</v>
      </c>
      <c r="W68" s="73">
        <v>2397.2316666666666</v>
      </c>
      <c r="X68" s="73">
        <v>2397.2316666666666</v>
      </c>
      <c r="Y68" s="73">
        <v>2397.2316666666666</v>
      </c>
      <c r="Z68" s="73">
        <v>2397.2316666666666</v>
      </c>
      <c r="AA68" s="73">
        <v>2397.2316666666666</v>
      </c>
      <c r="AB68" s="73">
        <v>2397.2316666666666</v>
      </c>
      <c r="AC68" s="73">
        <v>2397.2316666666666</v>
      </c>
      <c r="AD68" s="73">
        <v>2397.2316666666666</v>
      </c>
      <c r="AE68" s="73">
        <v>2397.2316666666666</v>
      </c>
      <c r="AF68" s="73">
        <v>2397.2316666666666</v>
      </c>
      <c r="AG68" s="73">
        <v>2397.2316666666666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352.70075000000003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352.70075000000003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2.7791666666666668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2.7791666666666668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357.48166666666663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357.48166666666663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8.9083333333333314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8.9083333333333314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355.50083333333333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355.50083333333333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33.204999999999998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33.204999999999998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511.80583333333328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511.80583333333328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11.182499999999999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11.182499999999999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4.8150000000000004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4.8150000000000004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1.0741666666666667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1.0741666666666667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1E-14</v>
      </c>
      <c r="W144" s="73">
        <v>1E-14</v>
      </c>
      <c r="X144" s="73">
        <v>1E-14</v>
      </c>
      <c r="Y144" s="73">
        <v>1E-14</v>
      </c>
      <c r="Z144" s="73">
        <v>1E-14</v>
      </c>
      <c r="AA144" s="73">
        <v>1E-14</v>
      </c>
      <c r="AB144" s="73">
        <v>1E-14</v>
      </c>
      <c r="AC144" s="73">
        <v>1E-14</v>
      </c>
      <c r="AD144" s="73">
        <v>1E-14</v>
      </c>
      <c r="AE144" s="73">
        <v>1E-14</v>
      </c>
      <c r="AF144" s="73">
        <v>1E-14</v>
      </c>
      <c r="AG144" s="73">
        <v>1E-14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34232.69</v>
      </c>
      <c r="W145" s="73">
        <v>34232.69</v>
      </c>
      <c r="X145" s="73">
        <v>34232.69</v>
      </c>
      <c r="Y145" s="73">
        <v>34232.69</v>
      </c>
      <c r="Z145" s="73">
        <v>34232.69</v>
      </c>
      <c r="AA145" s="73">
        <v>34232.69</v>
      </c>
      <c r="AB145" s="73">
        <v>34232.69</v>
      </c>
      <c r="AC145" s="73">
        <v>34232.69</v>
      </c>
      <c r="AD145" s="73">
        <v>34232.69</v>
      </c>
      <c r="AE145" s="73">
        <v>34232.69</v>
      </c>
      <c r="AF145" s="73">
        <v>34232.69</v>
      </c>
      <c r="AG145" s="73">
        <v>34232.69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12</v>
      </c>
      <c r="W147" s="73">
        <v>12</v>
      </c>
      <c r="X147" s="73">
        <v>12</v>
      </c>
      <c r="Y147" s="73">
        <v>12</v>
      </c>
      <c r="Z147" s="73">
        <v>12</v>
      </c>
      <c r="AA147" s="73">
        <v>12</v>
      </c>
      <c r="AB147" s="73">
        <v>12</v>
      </c>
      <c r="AC147" s="73">
        <v>12</v>
      </c>
      <c r="AD147" s="73">
        <v>12</v>
      </c>
      <c r="AE147" s="73">
        <v>12</v>
      </c>
      <c r="AF147" s="73">
        <v>12</v>
      </c>
      <c r="AG147" s="73">
        <v>12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1E-14</v>
      </c>
      <c r="W151" s="73">
        <v>1E-14</v>
      </c>
      <c r="X151" s="73">
        <v>1E-14</v>
      </c>
      <c r="Y151" s="73">
        <v>1E-14</v>
      </c>
      <c r="Z151" s="73">
        <v>1E-14</v>
      </c>
      <c r="AA151" s="73">
        <v>1E-14</v>
      </c>
      <c r="AB151" s="73">
        <v>1E-14</v>
      </c>
      <c r="AC151" s="73">
        <v>1E-14</v>
      </c>
      <c r="AD151" s="73">
        <v>1E-14</v>
      </c>
      <c r="AE151" s="73">
        <v>1E-14</v>
      </c>
      <c r="AF151" s="73">
        <v>1E-14</v>
      </c>
      <c r="AG151" s="73">
        <v>1E-14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154.09</v>
      </c>
      <c r="W152" s="73">
        <v>154.09</v>
      </c>
      <c r="X152" s="73">
        <v>154.09</v>
      </c>
      <c r="Y152" s="73">
        <v>154.09</v>
      </c>
      <c r="Z152" s="73">
        <v>154.09</v>
      </c>
      <c r="AA152" s="73">
        <v>154.09</v>
      </c>
      <c r="AB152" s="73">
        <v>154.09</v>
      </c>
      <c r="AC152" s="73">
        <v>154.09</v>
      </c>
      <c r="AD152" s="73">
        <v>154.09</v>
      </c>
      <c r="AE152" s="73">
        <v>154.09</v>
      </c>
      <c r="AF152" s="73">
        <v>154.09</v>
      </c>
      <c r="AG152" s="73">
        <v>154.09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12</v>
      </c>
      <c r="W154" s="73">
        <v>12</v>
      </c>
      <c r="X154" s="73">
        <v>12</v>
      </c>
      <c r="Y154" s="73">
        <v>12</v>
      </c>
      <c r="Z154" s="73">
        <v>12</v>
      </c>
      <c r="AA154" s="73">
        <v>12</v>
      </c>
      <c r="AB154" s="73">
        <v>12</v>
      </c>
      <c r="AC154" s="73">
        <v>12</v>
      </c>
      <c r="AD154" s="73">
        <v>12</v>
      </c>
      <c r="AE154" s="73">
        <v>12</v>
      </c>
      <c r="AF154" s="73">
        <v>12</v>
      </c>
      <c r="AG154" s="73">
        <v>12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87.044166666666669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87.044166666666669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9.4949999999999992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9.4949999999999992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17.683333333333334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17.683333333333334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20000</v>
      </c>
      <c r="W194" s="73">
        <v>20000</v>
      </c>
      <c r="X194" s="73">
        <v>20000</v>
      </c>
      <c r="Y194" s="73">
        <v>20000</v>
      </c>
      <c r="Z194" s="73">
        <v>20000</v>
      </c>
      <c r="AA194" s="73">
        <v>20000</v>
      </c>
      <c r="AB194" s="73">
        <v>20000</v>
      </c>
      <c r="AC194" s="73">
        <v>20000</v>
      </c>
      <c r="AD194" s="73">
        <v>20000</v>
      </c>
      <c r="AE194" s="73">
        <v>20000</v>
      </c>
      <c r="AF194" s="73">
        <v>20000</v>
      </c>
      <c r="AG194" s="73">
        <v>20000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-402.5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</row>
    <row r="196" spans="20:57" x14ac:dyDescent="0.25">
      <c r="T196" s="6" t="s">
        <v>26</v>
      </c>
      <c r="U196" s="6" t="s">
        <v>217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</row>
    <row r="197" spans="20:57" x14ac:dyDescent="0.25">
      <c r="T197" s="6" t="s">
        <v>26</v>
      </c>
      <c r="U197" s="6" t="s">
        <v>190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182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183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184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217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190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60</v>
      </c>
      <c r="U205" s="6" t="s">
        <v>182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60</v>
      </c>
      <c r="U206" s="6" t="s">
        <v>183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60</v>
      </c>
      <c r="U207" s="6" t="s">
        <v>184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60</v>
      </c>
      <c r="U209" s="6" t="s">
        <v>188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60</v>
      </c>
      <c r="U210" s="6" t="s">
        <v>217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60</v>
      </c>
      <c r="U211" s="6" t="s">
        <v>190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61</v>
      </c>
      <c r="U212" s="6" t="s">
        <v>182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61</v>
      </c>
      <c r="U213" s="6" t="s">
        <v>183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61</v>
      </c>
      <c r="U214" s="6" t="s">
        <v>184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61</v>
      </c>
      <c r="U215" s="6" t="s">
        <v>185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61</v>
      </c>
      <c r="U216" s="6" t="s">
        <v>188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61</v>
      </c>
      <c r="U217" s="6" t="s">
        <v>217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61</v>
      </c>
      <c r="U218" s="6" t="s">
        <v>190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62</v>
      </c>
      <c r="U219" s="6" t="s">
        <v>182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62</v>
      </c>
      <c r="U220" s="6" t="s">
        <v>183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62</v>
      </c>
      <c r="U221" s="6" t="s">
        <v>184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62</v>
      </c>
      <c r="U222" s="6" t="s">
        <v>185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62</v>
      </c>
      <c r="U223" s="6" t="s">
        <v>188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62</v>
      </c>
      <c r="U224" s="6" t="s">
        <v>217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62</v>
      </c>
      <c r="U225" s="6" t="s">
        <v>190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182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183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184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185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188</v>
      </c>
      <c r="V230">
        <v>-470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</row>
    <row r="231" spans="20:33" x14ac:dyDescent="0.25">
      <c r="T231" s="6" t="s">
        <v>21</v>
      </c>
      <c r="U231" s="6" t="s">
        <v>217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190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182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183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184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185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188</v>
      </c>
      <c r="V237">
        <v>-189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</row>
    <row r="238" spans="20:33" x14ac:dyDescent="0.25">
      <c r="T238" s="6" t="s">
        <v>22</v>
      </c>
      <c r="U238" s="6" t="s">
        <v>217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190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182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183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184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185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188</v>
      </c>
      <c r="V244">
        <v>-5000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</row>
    <row r="245" spans="20:33" x14ac:dyDescent="0.25">
      <c r="T245" s="6" t="s">
        <v>25</v>
      </c>
      <c r="U245" s="6" t="s">
        <v>217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190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16" priority="13" operator="lessThanOrEqual">
      <formula>0</formula>
    </cfRule>
  </conditionalFormatting>
  <conditionalFormatting sqref="V16:BE16">
    <cfRule type="cellIs" dxfId="115" priority="8" operator="greaterThan">
      <formula>0</formula>
    </cfRule>
  </conditionalFormatting>
  <conditionalFormatting sqref="C30:C35">
    <cfRule type="cellIs" dxfId="114" priority="6" operator="greaterThan">
      <formula>0.0000000000001</formula>
    </cfRule>
  </conditionalFormatting>
  <conditionalFormatting sqref="B44:Q75">
    <cfRule type="expression" dxfId="113" priority="5">
      <formula>$C44&gt;0.0000000000001</formula>
    </cfRule>
  </conditionalFormatting>
  <conditionalFormatting sqref="C3:C8">
    <cfRule type="cellIs" dxfId="112" priority="4" operator="greaterThan">
      <formula>0.0000000000001</formula>
    </cfRule>
  </conditionalFormatting>
  <conditionalFormatting sqref="C4:C7">
    <cfRule type="cellIs" dxfId="111" priority="3" operator="greaterThan">
      <formula>0.000000000001</formula>
    </cfRule>
  </conditionalFormatting>
  <conditionalFormatting sqref="R44:R72">
    <cfRule type="expression" dxfId="110" priority="2">
      <formula>$C44&gt;0.0000000000001</formula>
    </cfRule>
  </conditionalFormatting>
  <conditionalFormatting sqref="C44:J75">
    <cfRule type="cellIs" dxfId="10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110</v>
      </c>
      <c r="C11" s="6" t="s">
        <v>99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110</v>
      </c>
      <c r="C12" s="6" t="s">
        <v>115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110</v>
      </c>
      <c r="C13" s="6" t="s">
        <v>116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110</v>
      </c>
      <c r="C14" s="6" t="s">
        <v>165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110</v>
      </c>
      <c r="C15" s="6" t="s">
        <v>166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110</v>
      </c>
      <c r="C16" s="6" t="s">
        <v>167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110</v>
      </c>
      <c r="C17" s="6" t="s">
        <v>168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110</v>
      </c>
      <c r="C18" s="6" t="s">
        <v>192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110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110</v>
      </c>
      <c r="C20" s="6" t="s">
        <v>193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110</v>
      </c>
      <c r="C21" s="6" t="s">
        <v>221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110</v>
      </c>
      <c r="C22" s="6" t="s">
        <v>222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110</v>
      </c>
      <c r="C23" s="6" t="s">
        <v>141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110</v>
      </c>
      <c r="C24" s="6" t="s">
        <v>117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110</v>
      </c>
      <c r="C25" s="6" t="s">
        <v>145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110</v>
      </c>
      <c r="C26" s="6" t="s">
        <v>146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111</v>
      </c>
      <c r="C27" s="6" t="s">
        <v>99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111</v>
      </c>
      <c r="C28" s="6" t="s">
        <v>115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111</v>
      </c>
      <c r="C29" s="6" t="s">
        <v>116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111</v>
      </c>
      <c r="C30" s="6" t="s">
        <v>165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111</v>
      </c>
      <c r="C31" s="6" t="s">
        <v>166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111</v>
      </c>
      <c r="C32" s="6" t="s">
        <v>167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111</v>
      </c>
      <c r="C33" s="6" t="s">
        <v>168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111</v>
      </c>
      <c r="C34" s="6" t="s">
        <v>192</v>
      </c>
      <c r="D34">
        <v>23.35</v>
      </c>
      <c r="E34">
        <v>23.35</v>
      </c>
      <c r="F34">
        <v>23.35</v>
      </c>
      <c r="G34">
        <v>23.35</v>
      </c>
      <c r="H34">
        <v>23.35</v>
      </c>
      <c r="I34">
        <v>23.35</v>
      </c>
      <c r="J34">
        <v>23.35</v>
      </c>
      <c r="K34">
        <v>23.35</v>
      </c>
      <c r="L34">
        <v>23.35</v>
      </c>
      <c r="M34">
        <v>23.35</v>
      </c>
      <c r="N34">
        <v>23.35</v>
      </c>
      <c r="O34">
        <v>23.35</v>
      </c>
    </row>
    <row r="35" spans="2:15" x14ac:dyDescent="0.25">
      <c r="B35" s="6" t="s">
        <v>111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111</v>
      </c>
      <c r="C36" s="6" t="s">
        <v>193</v>
      </c>
      <c r="D36">
        <v>7.5</v>
      </c>
      <c r="E36">
        <v>7.5</v>
      </c>
      <c r="F36">
        <v>7.5</v>
      </c>
      <c r="G36">
        <v>7.5</v>
      </c>
      <c r="H36">
        <v>7.5</v>
      </c>
      <c r="I36">
        <v>7.5</v>
      </c>
      <c r="J36">
        <v>7.5</v>
      </c>
      <c r="K36">
        <v>7.5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111</v>
      </c>
      <c r="C37" s="6" t="s">
        <v>221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111</v>
      </c>
      <c r="C38" s="6" t="s">
        <v>222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111</v>
      </c>
      <c r="C39" s="6" t="s">
        <v>141</v>
      </c>
      <c r="D39">
        <v>0.18</v>
      </c>
      <c r="E39">
        <v>0.18</v>
      </c>
      <c r="F39">
        <v>0.18</v>
      </c>
      <c r="G39">
        <v>0.18</v>
      </c>
      <c r="H39">
        <v>0.18</v>
      </c>
      <c r="I39">
        <v>0.18</v>
      </c>
      <c r="J39">
        <v>0.18</v>
      </c>
      <c r="K39">
        <v>0.18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111</v>
      </c>
      <c r="C40" s="6" t="s">
        <v>117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111</v>
      </c>
      <c r="C41" s="6" t="s">
        <v>145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111</v>
      </c>
      <c r="C42" s="6" t="s">
        <v>146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112</v>
      </c>
      <c r="C43" s="6" t="s">
        <v>99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112</v>
      </c>
      <c r="C44" s="6" t="s">
        <v>115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112</v>
      </c>
      <c r="C45" s="6" t="s">
        <v>116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112</v>
      </c>
      <c r="C46" s="6" t="s">
        <v>165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112</v>
      </c>
      <c r="C47" s="6" t="s">
        <v>166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112</v>
      </c>
      <c r="C48" s="6" t="s">
        <v>167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112</v>
      </c>
      <c r="C49" s="6" t="s">
        <v>168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112</v>
      </c>
      <c r="C50" s="6" t="s">
        <v>192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112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112</v>
      </c>
      <c r="C52" s="6" t="s">
        <v>193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112</v>
      </c>
      <c r="C53" s="6" t="s">
        <v>221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112</v>
      </c>
      <c r="C54" s="6" t="s">
        <v>222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112</v>
      </c>
      <c r="C55" s="6" t="s">
        <v>141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112</v>
      </c>
      <c r="C56" s="6" t="s">
        <v>117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112</v>
      </c>
      <c r="C57" s="6" t="s">
        <v>145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112</v>
      </c>
      <c r="C58" s="6" t="s">
        <v>146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71</v>
      </c>
      <c r="C59" s="6" t="s">
        <v>99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71</v>
      </c>
      <c r="C60" s="6" t="s">
        <v>115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71</v>
      </c>
      <c r="C61" s="6" t="s">
        <v>116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71</v>
      </c>
      <c r="C62" s="6" t="s">
        <v>165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71</v>
      </c>
      <c r="C63" s="6" t="s">
        <v>166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71</v>
      </c>
      <c r="C64" s="6" t="s">
        <v>167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71</v>
      </c>
      <c r="C65" s="6" t="s">
        <v>168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71</v>
      </c>
      <c r="C66" s="6" t="s">
        <v>192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71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71</v>
      </c>
      <c r="C68" s="6" t="s">
        <v>193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71</v>
      </c>
      <c r="C69" s="6" t="s">
        <v>221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71</v>
      </c>
      <c r="C70" s="6" t="s">
        <v>222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71</v>
      </c>
      <c r="C71" s="6" t="s">
        <v>141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71</v>
      </c>
      <c r="C72" s="6" t="s">
        <v>117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71</v>
      </c>
      <c r="C73" s="6" t="s">
        <v>145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71</v>
      </c>
      <c r="C74" s="6" t="s">
        <v>146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113</v>
      </c>
      <c r="C75" s="6" t="s">
        <v>99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113</v>
      </c>
      <c r="C76" s="6" t="s">
        <v>115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113</v>
      </c>
      <c r="C77" s="6" t="s">
        <v>116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113</v>
      </c>
      <c r="C78" s="6" t="s">
        <v>165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113</v>
      </c>
      <c r="C79" s="6" t="s">
        <v>166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113</v>
      </c>
      <c r="C80" s="6" t="s">
        <v>167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113</v>
      </c>
      <c r="C81" s="6" t="s">
        <v>168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113</v>
      </c>
      <c r="C82" s="6" t="s">
        <v>192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113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113</v>
      </c>
      <c r="C84" s="6" t="s">
        <v>193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113</v>
      </c>
      <c r="C85" s="6" t="s">
        <v>221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113</v>
      </c>
      <c r="C86" s="6" t="s">
        <v>222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113</v>
      </c>
      <c r="C87" s="6" t="s">
        <v>141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113</v>
      </c>
      <c r="C88" s="6" t="s">
        <v>117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113</v>
      </c>
      <c r="C89" s="6" t="s">
        <v>145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113</v>
      </c>
      <c r="C90" s="6" t="s">
        <v>146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114</v>
      </c>
      <c r="C91" s="6" t="s">
        <v>99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114</v>
      </c>
      <c r="C92" s="6" t="s">
        <v>115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114</v>
      </c>
      <c r="C93" s="6" t="s">
        <v>116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114</v>
      </c>
      <c r="C94" s="6" t="s">
        <v>165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114</v>
      </c>
      <c r="C95" s="6" t="s">
        <v>166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114</v>
      </c>
      <c r="C96" s="6" t="s">
        <v>167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114</v>
      </c>
      <c r="C97" s="6" t="s">
        <v>168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114</v>
      </c>
      <c r="C98" s="6" t="s">
        <v>192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114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114</v>
      </c>
      <c r="C100" s="6" t="s">
        <v>193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114</v>
      </c>
      <c r="C101" s="6" t="s">
        <v>221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114</v>
      </c>
      <c r="C102" s="6" t="s">
        <v>222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114</v>
      </c>
      <c r="C103" s="6" t="s">
        <v>141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114</v>
      </c>
      <c r="C104" s="6" t="s">
        <v>117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114</v>
      </c>
      <c r="C105" s="6" t="s">
        <v>145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114</v>
      </c>
      <c r="C106" s="6" t="s">
        <v>146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97</v>
      </c>
      <c r="C11" s="6" t="s">
        <v>99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97</v>
      </c>
      <c r="C12" s="6" t="s">
        <v>105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97</v>
      </c>
      <c r="C13" s="6" t="s">
        <v>207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97</v>
      </c>
      <c r="C14" s="6" t="s">
        <v>138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97</v>
      </c>
      <c r="C15" s="6" t="s">
        <v>100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97</v>
      </c>
      <c r="C16" s="6" t="s">
        <v>101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97</v>
      </c>
      <c r="C17" s="6" t="s">
        <v>139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97</v>
      </c>
      <c r="C18" s="6" t="s">
        <v>102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97</v>
      </c>
      <c r="C19" s="6" t="s">
        <v>103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97</v>
      </c>
      <c r="C20" s="6" t="s">
        <v>119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97</v>
      </c>
      <c r="C21" s="6" t="s">
        <v>104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97</v>
      </c>
      <c r="C22" s="6" t="s">
        <v>120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98</v>
      </c>
      <c r="C23" s="6" t="s">
        <v>99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98</v>
      </c>
      <c r="C24" s="6" t="s">
        <v>105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98</v>
      </c>
      <c r="C25" s="6" t="s">
        <v>207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98</v>
      </c>
      <c r="C26" s="6" t="s">
        <v>138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98</v>
      </c>
      <c r="C27" s="6" t="s">
        <v>100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98</v>
      </c>
      <c r="C28" s="6" t="s">
        <v>101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98</v>
      </c>
      <c r="C29" s="6" t="s">
        <v>139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98</v>
      </c>
      <c r="C30" s="6" t="s">
        <v>102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98</v>
      </c>
      <c r="C31" s="6" t="s">
        <v>103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98</v>
      </c>
      <c r="C32" s="6" t="s">
        <v>119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98</v>
      </c>
      <c r="C33" s="6" t="s">
        <v>104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98</v>
      </c>
      <c r="C34" s="6" t="s">
        <v>120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0</v>
      </c>
      <c r="C11" s="6" t="s">
        <v>182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183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184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0</v>
      </c>
      <c r="C14" s="6" t="s">
        <v>185</v>
      </c>
      <c r="D14">
        <v>12915.299999999997</v>
      </c>
      <c r="E14">
        <v>12915.299999999997</v>
      </c>
      <c r="F14">
        <v>12915.299999999997</v>
      </c>
      <c r="G14">
        <v>12915.299999999997</v>
      </c>
      <c r="H14">
        <v>12915.299999999997</v>
      </c>
      <c r="I14">
        <v>12915.299999999997</v>
      </c>
      <c r="J14">
        <v>12915.299999999997</v>
      </c>
      <c r="K14">
        <v>12915.299999999997</v>
      </c>
      <c r="L14">
        <v>12915.299999999997</v>
      </c>
      <c r="M14">
        <v>12915.299999999997</v>
      </c>
      <c r="N14">
        <v>12915.299999999997</v>
      </c>
      <c r="O14">
        <v>12915.299999999997</v>
      </c>
    </row>
    <row r="15" spans="2:28" x14ac:dyDescent="0.25">
      <c r="B15" s="6" t="s">
        <v>0</v>
      </c>
      <c r="C15" s="6" t="s">
        <v>188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217</v>
      </c>
      <c r="D16">
        <v>12</v>
      </c>
      <c r="E16">
        <v>12</v>
      </c>
      <c r="F16">
        <v>12</v>
      </c>
      <c r="G16">
        <v>12</v>
      </c>
      <c r="H16">
        <v>12</v>
      </c>
      <c r="I16">
        <v>12</v>
      </c>
      <c r="J16">
        <v>12</v>
      </c>
      <c r="K16">
        <v>12</v>
      </c>
      <c r="L16">
        <v>12</v>
      </c>
      <c r="M16">
        <v>12</v>
      </c>
      <c r="N16">
        <v>12</v>
      </c>
      <c r="O16">
        <v>12</v>
      </c>
    </row>
    <row r="17" spans="2:15" x14ac:dyDescent="0.25">
      <c r="B17" s="6" t="s">
        <v>0</v>
      </c>
      <c r="C17" s="6" t="s">
        <v>190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184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185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188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217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190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182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183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184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185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188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217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190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182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183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184</v>
      </c>
      <c r="D34">
        <v>2397.2316666666666</v>
      </c>
      <c r="E34">
        <v>2397.2316666666666</v>
      </c>
      <c r="F34">
        <v>2397.2316666666666</v>
      </c>
      <c r="G34">
        <v>2397.2316666666666</v>
      </c>
      <c r="H34">
        <v>2397.2316666666666</v>
      </c>
      <c r="I34">
        <v>2397.2316666666666</v>
      </c>
      <c r="J34">
        <v>2397.2316666666666</v>
      </c>
      <c r="K34">
        <v>2397.2316666666666</v>
      </c>
      <c r="L34">
        <v>2397.2316666666666</v>
      </c>
      <c r="M34">
        <v>2397.2316666666666</v>
      </c>
      <c r="N34">
        <v>2397.2316666666666</v>
      </c>
      <c r="O34">
        <v>2397.2316666666666</v>
      </c>
    </row>
    <row r="35" spans="2:15" x14ac:dyDescent="0.25">
      <c r="B35" s="6" t="s">
        <v>3</v>
      </c>
      <c r="C35" s="6" t="s">
        <v>185</v>
      </c>
      <c r="D35">
        <v>2397.2316666666666</v>
      </c>
      <c r="E35">
        <v>2397.2316666666666</v>
      </c>
      <c r="F35">
        <v>2397.2316666666666</v>
      </c>
      <c r="G35">
        <v>2397.2316666666666</v>
      </c>
      <c r="H35">
        <v>2397.2316666666666</v>
      </c>
      <c r="I35">
        <v>2397.2316666666666</v>
      </c>
      <c r="J35">
        <v>2397.2316666666666</v>
      </c>
      <c r="K35">
        <v>2397.2316666666666</v>
      </c>
      <c r="L35">
        <v>2397.2316666666666</v>
      </c>
      <c r="M35">
        <v>2397.2316666666666</v>
      </c>
      <c r="N35">
        <v>2397.2316666666666</v>
      </c>
      <c r="O35">
        <v>2397.2316666666666</v>
      </c>
    </row>
    <row r="36" spans="2:15" x14ac:dyDescent="0.25">
      <c r="B36" s="6" t="s">
        <v>3</v>
      </c>
      <c r="C36" s="6" t="s">
        <v>188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217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190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182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183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184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185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188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217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190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182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183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184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185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188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217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190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182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183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184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185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188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217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190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182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183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184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185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188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217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190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182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183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184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185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188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217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190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182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183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184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185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188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217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190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182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183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184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185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188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217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190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182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183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184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185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188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217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190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182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183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184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185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188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217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190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182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183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184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185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188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217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190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182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183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184</v>
      </c>
      <c r="D111">
        <v>1E-14</v>
      </c>
      <c r="E111">
        <v>1E-14</v>
      </c>
      <c r="F111">
        <v>1E-14</v>
      </c>
      <c r="G111">
        <v>1E-14</v>
      </c>
      <c r="H111">
        <v>1E-14</v>
      </c>
      <c r="I111">
        <v>1E-14</v>
      </c>
      <c r="J111">
        <v>1E-14</v>
      </c>
      <c r="K111">
        <v>1E-14</v>
      </c>
      <c r="L111">
        <v>1E-14</v>
      </c>
      <c r="M111">
        <v>1E-14</v>
      </c>
      <c r="N111">
        <v>1E-14</v>
      </c>
      <c r="O111">
        <v>1E-14</v>
      </c>
    </row>
    <row r="112" spans="2:15" x14ac:dyDescent="0.25">
      <c r="B112" s="6" t="s">
        <v>14</v>
      </c>
      <c r="C112" s="6" t="s">
        <v>185</v>
      </c>
      <c r="D112">
        <v>34232.69</v>
      </c>
      <c r="E112">
        <v>34232.69</v>
      </c>
      <c r="F112">
        <v>34232.69</v>
      </c>
      <c r="G112">
        <v>34232.69</v>
      </c>
      <c r="H112">
        <v>34232.69</v>
      </c>
      <c r="I112">
        <v>34232.69</v>
      </c>
      <c r="J112">
        <v>34232.69</v>
      </c>
      <c r="K112">
        <v>34232.69</v>
      </c>
      <c r="L112">
        <v>34232.69</v>
      </c>
      <c r="M112">
        <v>34232.69</v>
      </c>
      <c r="N112">
        <v>34232.69</v>
      </c>
      <c r="O112">
        <v>34232.69</v>
      </c>
    </row>
    <row r="113" spans="2:15" x14ac:dyDescent="0.25">
      <c r="B113" s="6" t="s">
        <v>14</v>
      </c>
      <c r="C113" s="6" t="s">
        <v>188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217</v>
      </c>
      <c r="D114">
        <v>12</v>
      </c>
      <c r="E114">
        <v>12</v>
      </c>
      <c r="F114">
        <v>12</v>
      </c>
      <c r="G114">
        <v>12</v>
      </c>
      <c r="H114">
        <v>12</v>
      </c>
      <c r="I114">
        <v>12</v>
      </c>
      <c r="J114">
        <v>12</v>
      </c>
      <c r="K114">
        <v>12</v>
      </c>
      <c r="L114">
        <v>12</v>
      </c>
      <c r="M114">
        <v>12</v>
      </c>
      <c r="N114">
        <v>12</v>
      </c>
      <c r="O114">
        <v>12</v>
      </c>
    </row>
    <row r="115" spans="2:15" x14ac:dyDescent="0.25">
      <c r="B115" s="6" t="s">
        <v>14</v>
      </c>
      <c r="C115" s="6" t="s">
        <v>190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182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183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184</v>
      </c>
      <c r="D118">
        <v>1E-14</v>
      </c>
      <c r="E118">
        <v>1E-14</v>
      </c>
      <c r="F118">
        <v>1E-14</v>
      </c>
      <c r="G118">
        <v>1E-14</v>
      </c>
      <c r="H118">
        <v>1E-14</v>
      </c>
      <c r="I118">
        <v>1E-14</v>
      </c>
      <c r="J118">
        <v>1E-14</v>
      </c>
      <c r="K118">
        <v>1E-14</v>
      </c>
      <c r="L118">
        <v>1E-14</v>
      </c>
      <c r="M118">
        <v>1E-14</v>
      </c>
      <c r="N118">
        <v>1E-14</v>
      </c>
      <c r="O118">
        <v>1E-14</v>
      </c>
    </row>
    <row r="119" spans="2:15" x14ac:dyDescent="0.25">
      <c r="B119" s="6" t="s">
        <v>15</v>
      </c>
      <c r="C119" s="6" t="s">
        <v>185</v>
      </c>
      <c r="D119">
        <v>154.09</v>
      </c>
      <c r="E119">
        <v>154.09</v>
      </c>
      <c r="F119">
        <v>154.09</v>
      </c>
      <c r="G119">
        <v>154.09</v>
      </c>
      <c r="H119">
        <v>154.09</v>
      </c>
      <c r="I119">
        <v>154.09</v>
      </c>
      <c r="J119">
        <v>154.09</v>
      </c>
      <c r="K119">
        <v>154.09</v>
      </c>
      <c r="L119">
        <v>154.09</v>
      </c>
      <c r="M119">
        <v>154.09</v>
      </c>
      <c r="N119">
        <v>154.09</v>
      </c>
      <c r="O119">
        <v>154.09</v>
      </c>
    </row>
    <row r="120" spans="2:15" x14ac:dyDescent="0.25">
      <c r="B120" s="6" t="s">
        <v>15</v>
      </c>
      <c r="C120" s="6" t="s">
        <v>188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217</v>
      </c>
      <c r="D121">
        <v>12</v>
      </c>
      <c r="E121">
        <v>12</v>
      </c>
      <c r="F121">
        <v>12</v>
      </c>
      <c r="G121">
        <v>12</v>
      </c>
      <c r="H121">
        <v>12</v>
      </c>
      <c r="I121">
        <v>12</v>
      </c>
      <c r="J121">
        <v>12</v>
      </c>
      <c r="K121">
        <v>12</v>
      </c>
      <c r="L121">
        <v>12</v>
      </c>
      <c r="M121">
        <v>12</v>
      </c>
      <c r="N121">
        <v>12</v>
      </c>
      <c r="O121">
        <v>12</v>
      </c>
    </row>
    <row r="122" spans="2:15" x14ac:dyDescent="0.25">
      <c r="B122" s="6" t="s">
        <v>15</v>
      </c>
      <c r="C122" s="6" t="s">
        <v>190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182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183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184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185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188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217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190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182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183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184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185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188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217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190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182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184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185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188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217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190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182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183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184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185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188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217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190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182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183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184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185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188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217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190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182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183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184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185</v>
      </c>
      <c r="D161">
        <v>20000</v>
      </c>
      <c r="E161">
        <v>20000</v>
      </c>
      <c r="F161">
        <v>20000</v>
      </c>
      <c r="G161">
        <v>20000</v>
      </c>
      <c r="H161">
        <v>20000</v>
      </c>
      <c r="I161">
        <v>20000</v>
      </c>
      <c r="J161">
        <v>20000</v>
      </c>
      <c r="K161">
        <v>20000</v>
      </c>
      <c r="L161">
        <v>20000</v>
      </c>
      <c r="M161">
        <v>20000</v>
      </c>
      <c r="N161">
        <v>20000</v>
      </c>
      <c r="O161">
        <v>20000</v>
      </c>
    </row>
    <row r="162" spans="2:15" x14ac:dyDescent="0.25">
      <c r="B162" s="6" t="s">
        <v>26</v>
      </c>
      <c r="C162" s="6" t="s">
        <v>188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217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190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182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183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184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185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188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217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190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60</v>
      </c>
      <c r="C172" s="6" t="s">
        <v>182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60</v>
      </c>
      <c r="C173" s="6" t="s">
        <v>183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60</v>
      </c>
      <c r="C174" s="6" t="s">
        <v>184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60</v>
      </c>
      <c r="C175" s="6" t="s">
        <v>185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60</v>
      </c>
      <c r="C176" s="6" t="s">
        <v>188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60</v>
      </c>
      <c r="C177" s="6" t="s">
        <v>217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60</v>
      </c>
      <c r="C178" s="6" t="s">
        <v>190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61</v>
      </c>
      <c r="C179" s="6" t="s">
        <v>182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61</v>
      </c>
      <c r="C180" s="6" t="s">
        <v>183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61</v>
      </c>
      <c r="C181" s="6" t="s">
        <v>184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61</v>
      </c>
      <c r="C182" s="6" t="s">
        <v>185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61</v>
      </c>
      <c r="C183" s="6" t="s">
        <v>188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61</v>
      </c>
      <c r="C184" s="6" t="s">
        <v>217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61</v>
      </c>
      <c r="C185" s="6" t="s">
        <v>190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62</v>
      </c>
      <c r="C186" s="6" t="s">
        <v>182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62</v>
      </c>
      <c r="C187" s="6" t="s">
        <v>183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62</v>
      </c>
      <c r="C188" s="6" t="s">
        <v>184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62</v>
      </c>
      <c r="C189" s="6" t="s">
        <v>185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62</v>
      </c>
      <c r="C190" s="6" t="s">
        <v>188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62</v>
      </c>
      <c r="C191" s="6" t="s">
        <v>217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62</v>
      </c>
      <c r="C192" s="6" t="s">
        <v>190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182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183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184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185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188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217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190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182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183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184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185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188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217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190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182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183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184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185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188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217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190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03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W9" sqref="W9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0</v>
      </c>
      <c r="C2" s="207">
        <v>44599.610791967592</v>
      </c>
      <c r="D2" s="175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0"/>
    </row>
    <row r="4" spans="1:27" x14ac:dyDescent="0.25">
      <c r="A4" s="63" t="s">
        <v>203</v>
      </c>
      <c r="B4" s="69">
        <v>-4097338.601338265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-2282938.601338265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 t="s">
        <v>223</v>
      </c>
      <c r="F7" s="78" t="s">
        <v>224</v>
      </c>
      <c r="G7" s="78" t="s">
        <v>225</v>
      </c>
      <c r="H7" s="78" t="s">
        <v>226</v>
      </c>
      <c r="I7" s="78" t="s">
        <v>227</v>
      </c>
      <c r="J7" s="78" t="s">
        <v>228</v>
      </c>
      <c r="K7" s="78" t="s">
        <v>229</v>
      </c>
      <c r="L7" s="78" t="s">
        <v>230</v>
      </c>
      <c r="M7" s="78" t="s">
        <v>231</v>
      </c>
      <c r="N7" s="78" t="s">
        <v>232</v>
      </c>
      <c r="O7" s="78" t="s">
        <v>233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-(A11-A42)/A8</f>
        <v>15.757032749369694</v>
      </c>
      <c r="B9" s="50" t="s">
        <v>30</v>
      </c>
      <c r="C9" s="56" t="s">
        <v>205</v>
      </c>
      <c r="D9" s="12">
        <v>101.44878698347772</v>
      </c>
      <c r="E9" s="12">
        <v>107.79086289174654</v>
      </c>
      <c r="F9" s="12">
        <v>86.371101713145123</v>
      </c>
      <c r="G9" s="12">
        <v>23.905630709606875</v>
      </c>
      <c r="H9" s="12">
        <v>35.974661040384177</v>
      </c>
      <c r="I9" s="12">
        <v>47.146744978275834</v>
      </c>
      <c r="J9" s="12">
        <v>145.20936451490212</v>
      </c>
      <c r="K9" s="12">
        <v>143.388969721292</v>
      </c>
      <c r="L9" s="12">
        <v>-351.26412704568742</v>
      </c>
      <c r="M9" s="12">
        <v>-66.841114845501664</v>
      </c>
      <c r="N9" s="12">
        <v>-54.399323561466758</v>
      </c>
      <c r="O9" s="12">
        <v>-108.0612689074091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-A11/(A8-A47)</f>
        <v>8.1970327493696935</v>
      </c>
      <c r="B10" s="50" t="s">
        <v>30</v>
      </c>
      <c r="C10" s="58" t="s">
        <v>206</v>
      </c>
      <c r="D10" s="12">
        <v>90.260133562835904</v>
      </c>
      <c r="E10" s="12">
        <v>107.79086289174654</v>
      </c>
      <c r="F10" s="12">
        <v>86.371101713145123</v>
      </c>
      <c r="G10" s="12">
        <v>23.905630709606875</v>
      </c>
      <c r="H10" s="12">
        <v>35.974661040384177</v>
      </c>
      <c r="I10" s="12">
        <v>47.146744978275827</v>
      </c>
      <c r="J10" s="12">
        <v>145.20936451490212</v>
      </c>
      <c r="K10" s="12">
        <v>143.388969721292</v>
      </c>
      <c r="L10" s="12">
        <v>-351.26412704568742</v>
      </c>
      <c r="M10" s="12">
        <v>-66.841114845501664</v>
      </c>
      <c r="N10" s="12">
        <v>-54.399323561466758</v>
      </c>
      <c r="O10" s="12">
        <v>-168.77452094687959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-1967287.8598487265</v>
      </c>
      <c r="B11" s="49" t="s">
        <v>56</v>
      </c>
      <c r="C11" s="58" t="s">
        <v>80</v>
      </c>
      <c r="D11" s="14">
        <v>-2825142.1805167636</v>
      </c>
      <c r="E11" s="14">
        <v>-3449307.6125358893</v>
      </c>
      <c r="F11" s="14">
        <v>-2547947.500537781</v>
      </c>
      <c r="G11" s="14">
        <v>-478112.61419213749</v>
      </c>
      <c r="H11" s="14">
        <v>-467670.59352499433</v>
      </c>
      <c r="I11" s="14">
        <v>-353600.58733706875</v>
      </c>
      <c r="J11" s="14">
        <v>-1089070.2338617658</v>
      </c>
      <c r="K11" s="14">
        <v>-1003722.7880490441</v>
      </c>
      <c r="L11" s="14">
        <v>2810113.0163654992</v>
      </c>
      <c r="M11" s="14">
        <v>1316769.9624563828</v>
      </c>
      <c r="N11" s="14">
        <v>1495981.3979403358</v>
      </c>
      <c r="O11" s="14">
        <v>4624421.8739445005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52" si="1">SUM(D12:AA12)</f>
        <v>74416499.832803488</v>
      </c>
      <c r="B12" s="49" t="s">
        <v>56</v>
      </c>
      <c r="C12" s="68" t="s">
        <v>88</v>
      </c>
      <c r="D12" s="14">
        <v>6683578.2281976407</v>
      </c>
      <c r="E12" s="14">
        <v>6029488.3079761872</v>
      </c>
      <c r="F12" s="14">
        <v>6513393.9101106208</v>
      </c>
      <c r="G12" s="14">
        <v>5877712.2300946489</v>
      </c>
      <c r="H12" s="14">
        <v>3678341.9756054068</v>
      </c>
      <c r="I12" s="14">
        <v>2377506.7714271448</v>
      </c>
      <c r="J12" s="14">
        <v>2141063.4436501567</v>
      </c>
      <c r="K12" s="14">
        <v>2173609.3210490742</v>
      </c>
      <c r="L12" s="14">
        <v>8241713.9560850002</v>
      </c>
      <c r="M12" s="14">
        <v>7628722.0725282487</v>
      </c>
      <c r="N12" s="14">
        <v>9968583.3436958902</v>
      </c>
      <c r="O12" s="14">
        <v>13102786.272383466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46087280.829558991</v>
      </c>
      <c r="B13" s="49" t="s">
        <v>56</v>
      </c>
      <c r="C13" s="60" t="s">
        <v>81</v>
      </c>
      <c r="D13" s="14">
        <v>4936391.1497428361</v>
      </c>
      <c r="E13" s="14">
        <v>4531603.3795428593</v>
      </c>
      <c r="F13" s="14">
        <v>4895043.5054718573</v>
      </c>
      <c r="G13" s="14">
        <v>4537245.8932739366</v>
      </c>
      <c r="H13" s="14">
        <v>2940141.5078966059</v>
      </c>
      <c r="I13" s="14">
        <v>2127857.6022912604</v>
      </c>
      <c r="J13" s="14">
        <v>2127857.9836750855</v>
      </c>
      <c r="K13" s="14">
        <v>2127857.9836750855</v>
      </c>
      <c r="L13" s="14">
        <v>4106067.6203663065</v>
      </c>
      <c r="M13" s="14">
        <v>3538269.2082867315</v>
      </c>
      <c r="N13" s="14">
        <v>4678149.9508748278</v>
      </c>
      <c r="O13" s="14">
        <v>5540795.0444615977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1356888.7307688503</v>
      </c>
      <c r="B14" s="49" t="s">
        <v>56</v>
      </c>
      <c r="C14" s="60" t="s">
        <v>82</v>
      </c>
      <c r="D14" s="14">
        <v>252901.91808387029</v>
      </c>
      <c r="E14" s="14">
        <v>228397.95573752886</v>
      </c>
      <c r="F14" s="14">
        <v>248434.59745888587</v>
      </c>
      <c r="G14" s="14">
        <v>167533.76355440493</v>
      </c>
      <c r="H14" s="14">
        <v>1E-14</v>
      </c>
      <c r="I14" s="14">
        <v>1E-14</v>
      </c>
      <c r="J14" s="14">
        <v>1E-14</v>
      </c>
      <c r="K14" s="14">
        <v>1E-14</v>
      </c>
      <c r="L14" s="14">
        <v>1E-14</v>
      </c>
      <c r="M14" s="14">
        <v>1E-14</v>
      </c>
      <c r="N14" s="14">
        <v>230330.05267347462</v>
      </c>
      <c r="O14" s="14">
        <v>229290.44326068577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26972330.272475649</v>
      </c>
      <c r="B15" s="49" t="s">
        <v>56</v>
      </c>
      <c r="C15" s="60" t="s">
        <v>83</v>
      </c>
      <c r="D15" s="14">
        <v>1494285.1603709345</v>
      </c>
      <c r="E15" s="14">
        <v>1269486.9726957986</v>
      </c>
      <c r="F15" s="14">
        <v>1369915.807179878</v>
      </c>
      <c r="G15" s="14">
        <v>1172932.5732663078</v>
      </c>
      <c r="H15" s="14">
        <v>738200.46770880069</v>
      </c>
      <c r="I15" s="14">
        <v>249649.1691358845</v>
      </c>
      <c r="J15" s="14">
        <v>13205.459975071135</v>
      </c>
      <c r="K15" s="14">
        <v>45751.337373988616</v>
      </c>
      <c r="L15" s="14">
        <v>4135646.3357186941</v>
      </c>
      <c r="M15" s="14">
        <v>4090452.8642415167</v>
      </c>
      <c r="N15" s="14">
        <v>5060103.3401475884</v>
      </c>
      <c r="O15" s="14">
        <v>7332700.7846611841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208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76383787.692652211</v>
      </c>
      <c r="B17" s="49" t="s">
        <v>56</v>
      </c>
      <c r="C17" s="68" t="s">
        <v>87</v>
      </c>
      <c r="D17" s="14">
        <v>9508720.4087144043</v>
      </c>
      <c r="E17" s="14">
        <v>9478795.9205120765</v>
      </c>
      <c r="F17" s="14">
        <v>9061341.4106484018</v>
      </c>
      <c r="G17" s="14">
        <v>6355824.8442867864</v>
      </c>
      <c r="H17" s="14">
        <v>4146012.5691304011</v>
      </c>
      <c r="I17" s="14">
        <v>2731107.3587642135</v>
      </c>
      <c r="J17" s="14">
        <v>3230133.6775119225</v>
      </c>
      <c r="K17" s="14">
        <v>3177332.1090981183</v>
      </c>
      <c r="L17" s="14">
        <v>5431600.939719501</v>
      </c>
      <c r="M17" s="14">
        <v>6311952.1100718658</v>
      </c>
      <c r="N17" s="14">
        <v>8472601.9457555544</v>
      </c>
      <c r="O17" s="14">
        <v>8478364.3984389659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11554249.131239869</v>
      </c>
      <c r="B18" s="49" t="s">
        <v>56</v>
      </c>
      <c r="C18" s="60" t="s">
        <v>73</v>
      </c>
      <c r="D18" s="14">
        <v>1361890.03</v>
      </c>
      <c r="E18" s="14">
        <v>1323320.03</v>
      </c>
      <c r="F18" s="14">
        <v>1310920.725882353</v>
      </c>
      <c r="G18" s="14">
        <v>922203.78909461771</v>
      </c>
      <c r="H18" s="14">
        <v>578866.94609868329</v>
      </c>
      <c r="I18" s="14">
        <v>348763.33775687777</v>
      </c>
      <c r="J18" s="14">
        <v>638176.65209151746</v>
      </c>
      <c r="K18" s="14">
        <v>638573.13943411212</v>
      </c>
      <c r="L18" s="14">
        <v>979194.1454320167</v>
      </c>
      <c r="M18" s="14">
        <v>987610.17780263349</v>
      </c>
      <c r="N18" s="14">
        <v>1230397.6670588236</v>
      </c>
      <c r="O18" s="14">
        <v>1234332.4905882352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3356712.9966781009</v>
      </c>
      <c r="B19" s="49" t="s">
        <v>56</v>
      </c>
      <c r="C19" s="60" t="s">
        <v>74</v>
      </c>
      <c r="D19" s="14">
        <v>270974.11764705845</v>
      </c>
      <c r="E19" s="14">
        <v>1034428.2352941175</v>
      </c>
      <c r="F19" s="14">
        <v>1E-14</v>
      </c>
      <c r="G19" s="14">
        <v>1E-14</v>
      </c>
      <c r="H19" s="14">
        <v>250736.07278517194</v>
      </c>
      <c r="I19" s="14">
        <v>1E-14</v>
      </c>
      <c r="J19" s="14">
        <v>428376.13020532305</v>
      </c>
      <c r="K19" s="14">
        <v>428376.13020532305</v>
      </c>
      <c r="L19" s="14">
        <v>1E-14</v>
      </c>
      <c r="M19" s="14">
        <v>943822.31054110697</v>
      </c>
      <c r="N19" s="14">
        <v>1E-14</v>
      </c>
      <c r="O19" s="14">
        <v>1E-14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81">
        <f t="shared" ref="A20:A23" si="3">SUM(D20:AA20)</f>
        <v>45395543.295862488</v>
      </c>
      <c r="B20" s="49" t="s">
        <v>56</v>
      </c>
      <c r="C20" s="211" t="s">
        <v>75</v>
      </c>
      <c r="D20" s="14">
        <v>5975834.3788542962</v>
      </c>
      <c r="E20" s="14">
        <v>5405132.3586166874</v>
      </c>
      <c r="F20" s="14">
        <v>5869204.6414894368</v>
      </c>
      <c r="G20" s="14">
        <v>3976054.6145603019</v>
      </c>
      <c r="H20" s="14">
        <v>2411756.0035788934</v>
      </c>
      <c r="I20" s="14">
        <v>1759706.3416501472</v>
      </c>
      <c r="J20" s="14">
        <v>1540943.0886109143</v>
      </c>
      <c r="K20" s="14">
        <v>1487745.0328545154</v>
      </c>
      <c r="L20" s="14">
        <v>2954431.320982696</v>
      </c>
      <c r="M20" s="14">
        <v>3116395.0562329949</v>
      </c>
      <c r="N20" s="14">
        <v>5459636.31221544</v>
      </c>
      <c r="O20" s="14">
        <v>5438704.1462161597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3"/>
        <v>19499827.931628067</v>
      </c>
      <c r="B21" s="49" t="s">
        <v>56</v>
      </c>
      <c r="C21" s="212" t="s">
        <v>237</v>
      </c>
      <c r="D21" s="14">
        <v>2784804.589009841</v>
      </c>
      <c r="E21" s="14">
        <v>2514969.6130098407</v>
      </c>
      <c r="F21" s="14">
        <v>2736469.8370098406</v>
      </c>
      <c r="G21" s="14">
        <v>1854109.8370098406</v>
      </c>
      <c r="H21" s="14">
        <v>1046845.7776904458</v>
      </c>
      <c r="I21" s="14">
        <v>693109.83700984064</v>
      </c>
      <c r="J21" s="14">
        <v>424701.59314119094</v>
      </c>
      <c r="K21" s="14">
        <v>378261.59314119088</v>
      </c>
      <c r="L21" s="14">
        <v>739549.83700984053</v>
      </c>
      <c r="M21" s="14">
        <v>1234873.7435765129</v>
      </c>
      <c r="N21" s="14">
        <v>2550709.8370098402</v>
      </c>
      <c r="O21" s="14">
        <v>2541421.8370098406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20649181.306123223</v>
      </c>
      <c r="B22" s="49" t="s">
        <v>56</v>
      </c>
      <c r="C22" s="212" t="s">
        <v>238</v>
      </c>
      <c r="D22" s="14">
        <v>2529019.1808387027</v>
      </c>
      <c r="E22" s="14">
        <v>2283979.5573752886</v>
      </c>
      <c r="F22" s="14">
        <v>2484345.9745888584</v>
      </c>
      <c r="G22" s="14">
        <v>1675337.6355440491</v>
      </c>
      <c r="H22" s="14">
        <v>1102662.5556834328</v>
      </c>
      <c r="I22" s="14">
        <v>863133.61455273291</v>
      </c>
      <c r="J22" s="14">
        <v>904241.05178901111</v>
      </c>
      <c r="K22" s="14">
        <v>898645.19263048854</v>
      </c>
      <c r="L22" s="14">
        <v>1790719.0005112647</v>
      </c>
      <c r="M22" s="14">
        <v>1520892.5832677931</v>
      </c>
      <c r="N22" s="14">
        <v>2303300.5267347461</v>
      </c>
      <c r="O22" s="14">
        <v>2292904.4326068577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4667310.8697804073</v>
      </c>
      <c r="B23" s="49" t="s">
        <v>56</v>
      </c>
      <c r="C23" s="212" t="s">
        <v>234</v>
      </c>
      <c r="D23" s="14">
        <v>594166.6830367042</v>
      </c>
      <c r="E23" s="14">
        <v>536604.50283670414</v>
      </c>
      <c r="F23" s="14">
        <v>583857.28701340943</v>
      </c>
      <c r="G23" s="14">
        <v>395651.64903547068</v>
      </c>
      <c r="H23" s="14">
        <v>229010.52984312054</v>
      </c>
      <c r="I23" s="14">
        <v>179263.08041866429</v>
      </c>
      <c r="J23" s="14">
        <v>187800.62976542528</v>
      </c>
      <c r="K23" s="14">
        <v>186638.43316754911</v>
      </c>
      <c r="L23" s="14">
        <v>371912.06411561789</v>
      </c>
      <c r="M23" s="14">
        <v>315872.17189283459</v>
      </c>
      <c r="N23" s="14">
        <v>544255.62941005174</v>
      </c>
      <c r="O23" s="14">
        <v>542278.2092448544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s="16" customFormat="1" outlineLevel="1" x14ac:dyDescent="0.25">
      <c r="A24" s="14">
        <f t="shared" si="1"/>
        <v>579223.18833078269</v>
      </c>
      <c r="B24" s="49" t="s">
        <v>56</v>
      </c>
      <c r="C24" s="212" t="s">
        <v>235</v>
      </c>
      <c r="D24" s="14">
        <v>67843.92596904753</v>
      </c>
      <c r="E24" s="14">
        <v>69578.685394853441</v>
      </c>
      <c r="F24" s="14">
        <v>64531.542877327418</v>
      </c>
      <c r="G24" s="14">
        <v>50955.492970941603</v>
      </c>
      <c r="H24" s="14">
        <v>33237.140361894286</v>
      </c>
      <c r="I24" s="14">
        <v>24199.809668909202</v>
      </c>
      <c r="J24" s="14">
        <v>24199.813915286872</v>
      </c>
      <c r="K24" s="14">
        <v>24199.813915286872</v>
      </c>
      <c r="L24" s="14">
        <v>52250.419345973241</v>
      </c>
      <c r="M24" s="14">
        <v>44756.557495854227</v>
      </c>
      <c r="N24" s="14">
        <v>61370.319060801623</v>
      </c>
      <c r="O24" s="14">
        <v>62099.667354606492</v>
      </c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</row>
    <row r="25" spans="1:27" s="16" customFormat="1" outlineLevel="1" x14ac:dyDescent="0.25">
      <c r="A25" s="14">
        <f t="shared" si="1"/>
        <v>16077282.268871753</v>
      </c>
      <c r="B25" s="49" t="s">
        <v>56</v>
      </c>
      <c r="C25" s="60" t="s">
        <v>84</v>
      </c>
      <c r="D25" s="14">
        <v>1900021.8822130496</v>
      </c>
      <c r="E25" s="14">
        <v>1715915.2966012703</v>
      </c>
      <c r="F25" s="14">
        <v>1881216.0432766122</v>
      </c>
      <c r="G25" s="14">
        <v>1457566.4406318667</v>
      </c>
      <c r="H25" s="14">
        <v>904653.54666765255</v>
      </c>
      <c r="I25" s="14">
        <v>622637.67935718852</v>
      </c>
      <c r="J25" s="14">
        <v>622637.80660416803</v>
      </c>
      <c r="K25" s="14">
        <v>622637.80660416803</v>
      </c>
      <c r="L25" s="14">
        <v>1497975.4733047879</v>
      </c>
      <c r="M25" s="14">
        <v>1264124.5654951306</v>
      </c>
      <c r="N25" s="14">
        <v>1782567.9664812908</v>
      </c>
      <c r="O25" s="14">
        <v>1805327.7616345715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ref="A26:A27" si="4">SUM(D26:AA26)</f>
        <v>1.1999999999999997E-13</v>
      </c>
      <c r="B26" s="49" t="s">
        <v>56</v>
      </c>
      <c r="C26" s="60" t="s">
        <v>121</v>
      </c>
      <c r="D26" s="14">
        <v>1E-14</v>
      </c>
      <c r="E26" s="14">
        <v>1E-14</v>
      </c>
      <c r="F26" s="14">
        <v>1E-14</v>
      </c>
      <c r="G26" s="14">
        <v>1E-14</v>
      </c>
      <c r="H26" s="14">
        <v>1E-14</v>
      </c>
      <c r="I26" s="14">
        <v>1E-14</v>
      </c>
      <c r="J26" s="14">
        <v>1E-14</v>
      </c>
      <c r="K26" s="14">
        <v>1E-14</v>
      </c>
      <c r="L26" s="14">
        <v>1E-14</v>
      </c>
      <c r="M26" s="14">
        <v>1E-14</v>
      </c>
      <c r="N26" s="14">
        <v>1E-14</v>
      </c>
      <c r="O26" s="14">
        <v>1E-14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7">
        <f t="shared" si="4"/>
        <v>39236.808465824914</v>
      </c>
      <c r="B27" s="50" t="s">
        <v>236</v>
      </c>
      <c r="C27" s="58" t="s">
        <v>135</v>
      </c>
      <c r="D27" s="7">
        <v>4637.0271683051851</v>
      </c>
      <c r="E27" s="7">
        <v>4187.7127433832102</v>
      </c>
      <c r="F27" s="7">
        <v>4591.1312831643991</v>
      </c>
      <c r="G27" s="7">
        <v>3557.2091290588573</v>
      </c>
      <c r="H27" s="7">
        <v>2207.8182957111712</v>
      </c>
      <c r="I27" s="7">
        <v>1519.5550441908201</v>
      </c>
      <c r="J27" s="7">
        <v>1519.5553547386648</v>
      </c>
      <c r="K27" s="7">
        <v>1519.5553547386648</v>
      </c>
      <c r="L27" s="7">
        <v>3655.8278787182126</v>
      </c>
      <c r="M27" s="7">
        <v>3085.1118132889087</v>
      </c>
      <c r="N27" s="7">
        <v>4350.379417892108</v>
      </c>
      <c r="O27" s="7">
        <v>4405.9249826347086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outlineLevel="1" x14ac:dyDescent="0.25">
      <c r="A28" s="7">
        <f t="shared" si="1"/>
        <v>39236.808465824914</v>
      </c>
      <c r="B28" s="50" t="s">
        <v>236</v>
      </c>
      <c r="C28" s="58" t="s">
        <v>136</v>
      </c>
      <c r="D28" s="7">
        <v>4637.0271683051851</v>
      </c>
      <c r="E28" s="7">
        <v>4187.7127433832102</v>
      </c>
      <c r="F28" s="7">
        <v>4591.1312831643991</v>
      </c>
      <c r="G28" s="7">
        <v>3557.2091290588573</v>
      </c>
      <c r="H28" s="7">
        <v>2207.8182957111712</v>
      </c>
      <c r="I28" s="7">
        <v>1519.5550441908201</v>
      </c>
      <c r="J28" s="7">
        <v>1519.5553547386648</v>
      </c>
      <c r="K28" s="7">
        <v>1519.5553547386648</v>
      </c>
      <c r="L28" s="7">
        <v>3655.8278787182126</v>
      </c>
      <c r="M28" s="7">
        <v>3085.1118132889087</v>
      </c>
      <c r="N28" s="7">
        <v>4350.379417892108</v>
      </c>
      <c r="O28" s="7">
        <v>4405.9249826347086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s="16" customFormat="1" outlineLevel="1" x14ac:dyDescent="0.25">
      <c r="A29" s="7">
        <f t="shared" ref="A29" si="5">SUM(D29:AA29)</f>
        <v>44123.440146857953</v>
      </c>
      <c r="B29" s="50" t="s">
        <v>63</v>
      </c>
      <c r="C29" s="58" t="s">
        <v>170</v>
      </c>
      <c r="D29" s="7">
        <v>4766.8170731707314</v>
      </c>
      <c r="E29" s="7">
        <v>4305.5121951219508</v>
      </c>
      <c r="F29" s="7">
        <v>4766.8170731707314</v>
      </c>
      <c r="G29" s="7">
        <v>4081.2848323184999</v>
      </c>
      <c r="H29" s="7">
        <v>2591.1620958660815</v>
      </c>
      <c r="I29" s="7">
        <v>548.59401219512188</v>
      </c>
      <c r="J29" s="7">
        <v>32.792144956859516</v>
      </c>
      <c r="K29" s="7">
        <v>109.51735591361415</v>
      </c>
      <c r="L29" s="7">
        <v>5261.1675104858332</v>
      </c>
      <c r="M29" s="7">
        <v>5950.5766463414639</v>
      </c>
      <c r="N29" s="7">
        <v>5758.6225609756093</v>
      </c>
      <c r="O29" s="7">
        <v>5950.5766463414639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outlineLevel="1" x14ac:dyDescent="0.25">
      <c r="A30" s="7">
        <f t="shared" si="1"/>
        <v>37162.234591302396</v>
      </c>
      <c r="B30" s="50" t="s">
        <v>63</v>
      </c>
      <c r="C30" s="58" t="s">
        <v>169</v>
      </c>
      <c r="D30" s="7">
        <v>3991.8170731707314</v>
      </c>
      <c r="E30" s="7">
        <v>3605.5121951219508</v>
      </c>
      <c r="F30" s="7">
        <v>3991.8170731707314</v>
      </c>
      <c r="G30" s="7">
        <v>3331.2848323184999</v>
      </c>
      <c r="H30" s="7">
        <v>1816.1620958660815</v>
      </c>
      <c r="I30" s="7">
        <v>459.40234552845521</v>
      </c>
      <c r="J30" s="7">
        <v>21.958811623526181</v>
      </c>
      <c r="K30" s="7">
        <v>73.336800358058596</v>
      </c>
      <c r="L30" s="7">
        <v>4511.1675104858332</v>
      </c>
      <c r="M30" s="7">
        <v>5175.5766463414639</v>
      </c>
      <c r="N30" s="7">
        <v>5008.6225609756093</v>
      </c>
      <c r="O30" s="7">
        <v>5175.5766463414639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s="16" customFormat="1" outlineLevel="1" x14ac:dyDescent="0.25">
      <c r="A31" s="82">
        <f t="shared" ref="A31:A36" si="6">SUM(D31:AA31)</f>
        <v>857435.84900000028</v>
      </c>
      <c r="B31" s="50" t="s">
        <v>58</v>
      </c>
      <c r="C31" s="68" t="s">
        <v>173</v>
      </c>
      <c r="D31" s="10">
        <v>71452.98741666667</v>
      </c>
      <c r="E31" s="10">
        <v>71452.98741666667</v>
      </c>
      <c r="F31" s="10">
        <v>71452.98741666667</v>
      </c>
      <c r="G31" s="10">
        <v>71452.98741666667</v>
      </c>
      <c r="H31" s="10">
        <v>71452.98741666667</v>
      </c>
      <c r="I31" s="10">
        <v>71452.98741666667</v>
      </c>
      <c r="J31" s="10">
        <v>71452.98741666667</v>
      </c>
      <c r="K31" s="10">
        <v>71452.98741666667</v>
      </c>
      <c r="L31" s="10">
        <v>71452.98741666667</v>
      </c>
      <c r="M31" s="10">
        <v>71452.98741666667</v>
      </c>
      <c r="N31" s="10">
        <v>71452.98741666667</v>
      </c>
      <c r="O31" s="10">
        <v>71452.98741666667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7">
        <f t="shared" si="6"/>
        <v>102209.48824799468</v>
      </c>
      <c r="B32" s="50" t="s">
        <v>58</v>
      </c>
      <c r="C32" s="60" t="s">
        <v>174</v>
      </c>
      <c r="D32" s="10">
        <v>11172.244389807365</v>
      </c>
      <c r="E32" s="10">
        <v>10160.274964307422</v>
      </c>
      <c r="F32" s="10">
        <v>11068.875279129918</v>
      </c>
      <c r="G32" s="10">
        <v>8740.2217788922135</v>
      </c>
      <c r="H32" s="10">
        <v>6324.0000000000018</v>
      </c>
      <c r="I32" s="10">
        <v>4150.9107493840838</v>
      </c>
      <c r="J32" s="10">
        <v>5215.2</v>
      </c>
      <c r="K32" s="10">
        <v>5215.2</v>
      </c>
      <c r="L32" s="10">
        <v>8962.3360799267994</v>
      </c>
      <c r="M32" s="10">
        <v>10021.839686579793</v>
      </c>
      <c r="N32" s="10">
        <v>10526.641348336469</v>
      </c>
      <c r="O32" s="10">
        <v>10651.743971630616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1.1999999999999997E-13</v>
      </c>
      <c r="B33" s="50" t="s">
        <v>58</v>
      </c>
      <c r="C33" s="60" t="s">
        <v>175</v>
      </c>
      <c r="D33" s="10">
        <v>1E-14</v>
      </c>
      <c r="E33" s="10">
        <v>1E-14</v>
      </c>
      <c r="F33" s="10">
        <v>1E-14</v>
      </c>
      <c r="G33" s="10">
        <v>1E-14</v>
      </c>
      <c r="H33" s="10">
        <v>1E-14</v>
      </c>
      <c r="I33" s="10">
        <v>1E-14</v>
      </c>
      <c r="J33" s="10">
        <v>1E-14</v>
      </c>
      <c r="K33" s="10">
        <v>1E-14</v>
      </c>
      <c r="L33" s="10">
        <v>1E-14</v>
      </c>
      <c r="M33" s="10">
        <v>1E-14</v>
      </c>
      <c r="N33" s="10">
        <v>1E-14</v>
      </c>
      <c r="O33" s="10">
        <v>1E-14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1.1999999999999997E-13</v>
      </c>
      <c r="B34" s="50" t="s">
        <v>58</v>
      </c>
      <c r="C34" s="60" t="s">
        <v>176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82">
        <f t="shared" si="6"/>
        <v>254231.51033398003</v>
      </c>
      <c r="B35" s="50" t="s">
        <v>57</v>
      </c>
      <c r="C35" s="68" t="s">
        <v>86</v>
      </c>
      <c r="D35" s="10">
        <v>31300</v>
      </c>
      <c r="E35" s="10">
        <v>32000</v>
      </c>
      <c r="F35" s="10">
        <v>29500</v>
      </c>
      <c r="G35" s="10">
        <v>20000</v>
      </c>
      <c r="H35" s="10">
        <v>13000</v>
      </c>
      <c r="I35" s="10">
        <v>9082.9589683121885</v>
      </c>
      <c r="J35" s="10">
        <v>12398.11144077937</v>
      </c>
      <c r="K35" s="10">
        <v>12321.386229822616</v>
      </c>
      <c r="L35" s="10">
        <v>18800</v>
      </c>
      <c r="M35" s="10">
        <v>20929.053695065835</v>
      </c>
      <c r="N35" s="10">
        <v>27500</v>
      </c>
      <c r="O35" s="10">
        <v>27400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166">
        <f t="shared" si="6"/>
        <v>230400</v>
      </c>
      <c r="B36" s="50" t="s">
        <v>57</v>
      </c>
      <c r="C36" s="164" t="s">
        <v>195</v>
      </c>
      <c r="D36" s="10">
        <v>31300</v>
      </c>
      <c r="E36" s="10">
        <v>32000</v>
      </c>
      <c r="F36" s="10">
        <v>29500</v>
      </c>
      <c r="G36" s="10">
        <v>20000</v>
      </c>
      <c r="H36" s="10">
        <v>13000</v>
      </c>
      <c r="I36" s="10">
        <v>7500.0000000000009</v>
      </c>
      <c r="J36" s="10">
        <v>7500</v>
      </c>
      <c r="K36" s="10">
        <v>7000</v>
      </c>
      <c r="L36" s="10">
        <v>8000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166">
        <f t="shared" si="1"/>
        <v>216502.0361850253</v>
      </c>
      <c r="B37" s="50" t="s">
        <v>57</v>
      </c>
      <c r="C37" s="164" t="s">
        <v>92</v>
      </c>
      <c r="D37" s="10">
        <v>24440.400000000001</v>
      </c>
      <c r="E37" s="10">
        <v>22075.200000000001</v>
      </c>
      <c r="F37" s="10">
        <v>24149.588235294119</v>
      </c>
      <c r="G37" s="10">
        <v>18314.310061737706</v>
      </c>
      <c r="H37" s="10">
        <v>13000</v>
      </c>
      <c r="I37" s="10">
        <v>8862.7115170926754</v>
      </c>
      <c r="J37" s="10">
        <v>10085.00398497628</v>
      </c>
      <c r="K37" s="10">
        <v>10085.00398497628</v>
      </c>
      <c r="L37" s="10">
        <v>18800</v>
      </c>
      <c r="M37" s="10">
        <v>20929.053695065835</v>
      </c>
      <c r="N37" s="10">
        <v>22784.705882352941</v>
      </c>
      <c r="O37" s="10">
        <v>22976.058823529413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s="16" customFormat="1" outlineLevel="1" x14ac:dyDescent="0.25">
      <c r="A38" s="7">
        <f t="shared" si="1"/>
        <v>4769.7371518689379</v>
      </c>
      <c r="B38" s="50" t="s">
        <v>57</v>
      </c>
      <c r="C38" s="60" t="s">
        <v>172</v>
      </c>
      <c r="D38" s="10">
        <v>1E-14</v>
      </c>
      <c r="E38" s="10">
        <v>1E-14</v>
      </c>
      <c r="F38" s="10">
        <v>1E-14</v>
      </c>
      <c r="G38" s="10">
        <v>1E-14</v>
      </c>
      <c r="H38" s="10">
        <v>1E-14</v>
      </c>
      <c r="I38" s="10">
        <v>220.24745121951219</v>
      </c>
      <c r="J38" s="10">
        <v>2313.1074558030905</v>
      </c>
      <c r="K38" s="10">
        <v>2236.3822448463357</v>
      </c>
      <c r="L38" s="10">
        <v>1E-14</v>
      </c>
      <c r="M38" s="10">
        <v>1E-14</v>
      </c>
      <c r="N38" s="10">
        <v>1E-14</v>
      </c>
      <c r="O38" s="10">
        <v>1E-14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ref="A39:A41" si="7">SUM(D39:AA39)</f>
        <v>26795.336997085818</v>
      </c>
      <c r="B39" s="50" t="s">
        <v>57</v>
      </c>
      <c r="C39" s="60" t="s">
        <v>93</v>
      </c>
      <c r="D39" s="10">
        <v>5580</v>
      </c>
      <c r="E39" s="10">
        <v>5040</v>
      </c>
      <c r="F39" s="10">
        <v>5350.4117647058802</v>
      </c>
      <c r="G39" s="10">
        <v>1685.6899382622951</v>
      </c>
      <c r="H39" s="10">
        <v>1E-14</v>
      </c>
      <c r="I39" s="10">
        <v>1E-14</v>
      </c>
      <c r="J39" s="10">
        <v>1E-14</v>
      </c>
      <c r="K39" s="10">
        <v>1E-14</v>
      </c>
      <c r="L39" s="10">
        <v>1E-14</v>
      </c>
      <c r="M39" s="10">
        <v>1E-14</v>
      </c>
      <c r="N39" s="10">
        <v>4715.2941176470567</v>
      </c>
      <c r="O39" s="10">
        <v>4423.9411764705874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outlineLevel="1" x14ac:dyDescent="0.25">
      <c r="A40" s="7"/>
      <c r="B40" s="50"/>
      <c r="C40" s="60" t="s">
        <v>94</v>
      </c>
      <c r="D40" s="48">
        <v>0.18587360594795538</v>
      </c>
      <c r="E40" s="48">
        <v>0.18587360594795538</v>
      </c>
      <c r="F40" s="48">
        <v>0.18136989032901288</v>
      </c>
      <c r="G40" s="48">
        <v>8.4284496913114751E-2</v>
      </c>
      <c r="H40" s="48">
        <v>1E-14</v>
      </c>
      <c r="I40" s="48">
        <v>1E-14</v>
      </c>
      <c r="J40" s="48">
        <v>1E-14</v>
      </c>
      <c r="K40" s="48">
        <v>1E-14</v>
      </c>
      <c r="L40" s="48">
        <v>1E-14</v>
      </c>
      <c r="M40" s="48">
        <v>1E-14</v>
      </c>
      <c r="N40" s="48">
        <v>0.17146524064171115</v>
      </c>
      <c r="O40" s="48">
        <v>0.1614577071704594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>
        <f t="shared" si="7"/>
        <v>23831.510333980012</v>
      </c>
      <c r="B41" s="50" t="s">
        <v>57</v>
      </c>
      <c r="C41" s="60" t="s">
        <v>85</v>
      </c>
      <c r="D41" s="7">
        <v>1E-14</v>
      </c>
      <c r="E41" s="7">
        <v>1E-14</v>
      </c>
      <c r="F41" s="7">
        <v>1E-14</v>
      </c>
      <c r="G41" s="7">
        <v>1E-14</v>
      </c>
      <c r="H41" s="7">
        <v>1E-14</v>
      </c>
      <c r="I41" s="7">
        <v>1582.9589683121876</v>
      </c>
      <c r="J41" s="7">
        <v>4898.1114407793702</v>
      </c>
      <c r="K41" s="7">
        <v>5321.3862298226159</v>
      </c>
      <c r="L41" s="7">
        <v>10800</v>
      </c>
      <c r="M41" s="7">
        <v>1229.053695065837</v>
      </c>
      <c r="N41" s="7">
        <v>1E-14</v>
      </c>
      <c r="O41" s="7">
        <v>1E-14</v>
      </c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</row>
    <row r="42" spans="1:27" outlineLevel="1" x14ac:dyDescent="0.25">
      <c r="A42" s="82">
        <f t="shared" si="1"/>
        <v>1814400</v>
      </c>
      <c r="B42" s="49" t="s">
        <v>56</v>
      </c>
      <c r="C42" s="167" t="s">
        <v>89</v>
      </c>
      <c r="D42" s="14">
        <v>756000</v>
      </c>
      <c r="E42" s="14">
        <v>1E-14</v>
      </c>
      <c r="F42" s="14">
        <v>1E-14</v>
      </c>
      <c r="G42" s="14">
        <v>1E-14</v>
      </c>
      <c r="H42" s="14">
        <v>1E-14</v>
      </c>
      <c r="I42" s="14">
        <v>1E-14</v>
      </c>
      <c r="J42" s="14">
        <v>1E-14</v>
      </c>
      <c r="K42" s="14">
        <v>1E-14</v>
      </c>
      <c r="L42" s="14">
        <v>1E-14</v>
      </c>
      <c r="M42" s="14">
        <v>1E-14</v>
      </c>
      <c r="N42" s="14">
        <v>1E-14</v>
      </c>
      <c r="O42" s="14">
        <v>1058400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s="16" customFormat="1" outlineLevel="1" x14ac:dyDescent="0.25">
      <c r="A43" s="81">
        <f t="shared" si="1"/>
        <v>1.1999999999999997E-13</v>
      </c>
      <c r="B43" s="49" t="s">
        <v>56</v>
      </c>
      <c r="C43" s="165" t="s">
        <v>76</v>
      </c>
      <c r="D43" s="14">
        <v>1E-14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1E-14</v>
      </c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</row>
    <row r="44" spans="1:27" s="16" customFormat="1" outlineLevel="1" x14ac:dyDescent="0.25">
      <c r="A44" s="14">
        <f t="shared" si="1"/>
        <v>1814400</v>
      </c>
      <c r="B44" s="49" t="s">
        <v>56</v>
      </c>
      <c r="C44" s="59" t="s">
        <v>77</v>
      </c>
      <c r="D44" s="14">
        <v>756000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1058400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1"/>
        <v>1.1999999999999997E-13</v>
      </c>
      <c r="B45" s="49" t="s">
        <v>56</v>
      </c>
      <c r="C45" s="59" t="s">
        <v>78</v>
      </c>
      <c r="D45" s="14">
        <v>1E-14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1E-14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7">
        <f t="shared" si="1"/>
        <v>1.1999999999999997E-13</v>
      </c>
      <c r="B46" s="50" t="s">
        <v>58</v>
      </c>
      <c r="C46" s="57" t="s">
        <v>79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1"/>
        <v>1.1999999999999997E-13</v>
      </c>
      <c r="B47" s="50" t="s">
        <v>57</v>
      </c>
      <c r="C47" s="57" t="s">
        <v>95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169">
        <f t="shared" si="1"/>
        <v>9600</v>
      </c>
      <c r="B48" s="50" t="s">
        <v>57</v>
      </c>
      <c r="C48" s="168" t="s">
        <v>194</v>
      </c>
      <c r="D48" s="7">
        <v>4000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5600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s="172" customFormat="1" outlineLevel="1" x14ac:dyDescent="0.25">
      <c r="A49" s="170">
        <f t="shared" si="1"/>
        <v>1.1999999999999997E-13</v>
      </c>
      <c r="B49" s="171" t="s">
        <v>57</v>
      </c>
      <c r="C49" s="173" t="s">
        <v>198</v>
      </c>
      <c r="D49" s="170">
        <v>1E-14</v>
      </c>
      <c r="E49" s="170">
        <v>1E-14</v>
      </c>
      <c r="F49" s="170">
        <v>1E-14</v>
      </c>
      <c r="G49" s="170">
        <v>1E-14</v>
      </c>
      <c r="H49" s="170">
        <v>1E-14</v>
      </c>
      <c r="I49" s="170">
        <v>1E-14</v>
      </c>
      <c r="J49" s="170">
        <v>1E-14</v>
      </c>
      <c r="K49" s="170">
        <v>1E-14</v>
      </c>
      <c r="L49" s="170">
        <v>1E-14</v>
      </c>
      <c r="M49" s="170">
        <v>1E-14</v>
      </c>
      <c r="N49" s="170">
        <v>1E-14</v>
      </c>
      <c r="O49" s="170">
        <v>1E-14</v>
      </c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Z49" s="170"/>
      <c r="AA49" s="170"/>
    </row>
    <row r="50" spans="1:27" s="16" customFormat="1" outlineLevel="1" x14ac:dyDescent="0.25">
      <c r="A50" s="7">
        <f t="shared" si="1"/>
        <v>1.1999999999999997E-13</v>
      </c>
      <c r="B50" s="50" t="s">
        <v>57</v>
      </c>
      <c r="C50" s="174" t="s">
        <v>200</v>
      </c>
      <c r="D50" s="7">
        <v>1E-14</v>
      </c>
      <c r="E50" s="7">
        <v>1E-14</v>
      </c>
      <c r="F50" s="7">
        <v>1E-14</v>
      </c>
      <c r="G50" s="7">
        <v>1E-14</v>
      </c>
      <c r="H50" s="7">
        <v>1E-14</v>
      </c>
      <c r="I50" s="7">
        <v>1E-14</v>
      </c>
      <c r="J50" s="7">
        <v>1E-14</v>
      </c>
      <c r="K50" s="7">
        <v>1E-14</v>
      </c>
      <c r="L50" s="7">
        <v>1E-14</v>
      </c>
      <c r="M50" s="7">
        <v>1E-14</v>
      </c>
      <c r="N50" s="7">
        <v>1E-14</v>
      </c>
      <c r="O50" s="7">
        <v>1E-14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s="16" customFormat="1" outlineLevel="1" x14ac:dyDescent="0.25">
      <c r="A51" s="7">
        <f t="shared" si="1"/>
        <v>1.1999999999999997E-13</v>
      </c>
      <c r="B51" s="50" t="s">
        <v>58</v>
      </c>
      <c r="C51" s="174" t="s">
        <v>199</v>
      </c>
      <c r="D51" s="7">
        <v>1E-14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1E-14</v>
      </c>
      <c r="O51" s="7">
        <v>1E-14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s="16" customFormat="1" outlineLevel="1" x14ac:dyDescent="0.25">
      <c r="A52" s="7">
        <f t="shared" si="1"/>
        <v>1.1999999999999997E-13</v>
      </c>
      <c r="B52" s="50" t="s">
        <v>58</v>
      </c>
      <c r="C52" s="174" t="s">
        <v>201</v>
      </c>
      <c r="D52" s="7">
        <v>1E-14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1E-14</v>
      </c>
      <c r="O52" s="7">
        <v>1E-14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s="16" customFormat="1" outlineLevel="1" x14ac:dyDescent="0.25">
      <c r="B53" s="51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</row>
    <row r="54" spans="1:27" outlineLevel="1" x14ac:dyDescent="0.25">
      <c r="B54" s="51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s="75" customFormat="1" ht="18.75" x14ac:dyDescent="0.3">
      <c r="A55" s="77" t="s">
        <v>218</v>
      </c>
      <c r="B55" s="74" t="s">
        <v>67</v>
      </c>
      <c r="C55" s="76"/>
      <c r="D55" s="78" t="s">
        <v>216</v>
      </c>
      <c r="E55" s="78" t="s">
        <v>223</v>
      </c>
      <c r="F55" s="78" t="s">
        <v>224</v>
      </c>
      <c r="G55" s="78" t="s">
        <v>225</v>
      </c>
      <c r="H55" s="78" t="s">
        <v>226</v>
      </c>
      <c r="I55" s="78" t="s">
        <v>227</v>
      </c>
      <c r="J55" s="78" t="s">
        <v>228</v>
      </c>
      <c r="K55" s="78" t="s">
        <v>229</v>
      </c>
      <c r="L55" s="78" t="s">
        <v>230</v>
      </c>
      <c r="M55" s="78" t="s">
        <v>231</v>
      </c>
      <c r="N55" s="78" t="s">
        <v>232</v>
      </c>
      <c r="O55" s="78" t="s">
        <v>233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</row>
    <row r="56" spans="1:27" outlineLevel="1" x14ac:dyDescent="0.25">
      <c r="A56" s="13">
        <f t="shared" ref="A56:A92" si="8">SUM(D56:O56)</f>
        <v>62076.589939946527</v>
      </c>
      <c r="B56" s="50" t="s">
        <v>57</v>
      </c>
      <c r="C56" s="5" t="s">
        <v>110</v>
      </c>
      <c r="D56" s="13">
        <v>8556</v>
      </c>
      <c r="E56" s="13">
        <v>7728</v>
      </c>
      <c r="F56" s="13">
        <v>8203.9647058823521</v>
      </c>
      <c r="G56" s="13">
        <v>3889.811545269114</v>
      </c>
      <c r="H56" s="13">
        <v>3556.6536950658356</v>
      </c>
      <c r="I56" s="13">
        <v>6060.7115170926754</v>
      </c>
      <c r="J56" s="13">
        <v>1535.5032177622395</v>
      </c>
      <c r="K56" s="13">
        <v>1535.5032177622395</v>
      </c>
      <c r="L56" s="13">
        <v>3440.2942283991688</v>
      </c>
      <c r="M56" s="13">
        <v>3556.6536950658356</v>
      </c>
      <c r="N56" s="13">
        <v>7230.1176470588234</v>
      </c>
      <c r="O56" s="13">
        <v>6783.376470588235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13">
        <f t="shared" si="8"/>
        <v>185990.52039403349</v>
      </c>
      <c r="B57" s="50" t="s">
        <v>57</v>
      </c>
      <c r="C57" s="5" t="s">
        <v>111</v>
      </c>
      <c r="D57" s="13">
        <v>21464.400000000001</v>
      </c>
      <c r="E57" s="13">
        <v>19387.2</v>
      </c>
      <c r="F57" s="13">
        <v>21296.035294117646</v>
      </c>
      <c r="G57" s="13">
        <v>16110.188454730885</v>
      </c>
      <c r="H57" s="13">
        <v>9443.3463049341644</v>
      </c>
      <c r="I57" s="13">
        <v>3022.2474512195122</v>
      </c>
      <c r="J57" s="13">
        <v>10862.608223017131</v>
      </c>
      <c r="K57" s="13">
        <v>10785.883012060376</v>
      </c>
      <c r="L57" s="13">
        <v>15359.705771600831</v>
      </c>
      <c r="M57" s="13">
        <v>17372.400000000001</v>
      </c>
      <c r="N57" s="13">
        <v>20269.882352941175</v>
      </c>
      <c r="O57" s="13">
        <v>20616.623529411765</v>
      </c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outlineLevel="1" x14ac:dyDescent="0.25">
      <c r="A58" s="13">
        <f t="shared" si="8"/>
        <v>6164.3999999999978</v>
      </c>
      <c r="B58" s="50" t="s">
        <v>57</v>
      </c>
      <c r="C58" s="5" t="s">
        <v>112</v>
      </c>
      <c r="D58" s="13">
        <v>1279.5999999999985</v>
      </c>
      <c r="E58" s="13">
        <v>4884.7999999999993</v>
      </c>
      <c r="F58" s="13">
        <v>1E-14</v>
      </c>
      <c r="G58" s="13">
        <v>1E-14</v>
      </c>
      <c r="H58" s="13">
        <v>1E-14</v>
      </c>
      <c r="I58" s="13">
        <v>1E-14</v>
      </c>
      <c r="J58" s="13">
        <v>1E-14</v>
      </c>
      <c r="K58" s="13">
        <v>1E-14</v>
      </c>
      <c r="L58" s="13">
        <v>1E-14</v>
      </c>
      <c r="M58" s="13">
        <v>1E-14</v>
      </c>
      <c r="N58" s="13">
        <v>1E-14</v>
      </c>
      <c r="O58" s="13">
        <v>1E-14</v>
      </c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outlineLevel="1" x14ac:dyDescent="0.25">
      <c r="A59" s="13">
        <f t="shared" si="8"/>
        <v>9600</v>
      </c>
      <c r="B59" s="50" t="s">
        <v>57</v>
      </c>
      <c r="C59" s="5" t="s">
        <v>71</v>
      </c>
      <c r="D59" s="198">
        <v>4000</v>
      </c>
      <c r="E59" s="13">
        <v>1E-14</v>
      </c>
      <c r="F59" s="13">
        <v>1E-14</v>
      </c>
      <c r="G59" s="13">
        <v>1E-14</v>
      </c>
      <c r="H59" s="13">
        <v>1E-14</v>
      </c>
      <c r="I59" s="13">
        <v>1E-14</v>
      </c>
      <c r="J59" s="13">
        <v>1E-14</v>
      </c>
      <c r="K59" s="13">
        <v>1E-14</v>
      </c>
      <c r="L59" s="13">
        <v>1E-14</v>
      </c>
      <c r="M59" s="13">
        <v>1E-14</v>
      </c>
      <c r="N59" s="13">
        <v>1E-14</v>
      </c>
      <c r="O59" s="13">
        <v>5600</v>
      </c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outlineLevel="1" x14ac:dyDescent="0.25">
      <c r="A60" s="13">
        <f t="shared" si="8"/>
        <v>-23831.510333980012</v>
      </c>
      <c r="B60" s="50" t="s">
        <v>57</v>
      </c>
      <c r="C60" s="5" t="s">
        <v>113</v>
      </c>
      <c r="D60" s="13">
        <v>-1E-14</v>
      </c>
      <c r="E60" s="13">
        <v>-1E-14</v>
      </c>
      <c r="F60" s="13">
        <v>-1E-14</v>
      </c>
      <c r="G60" s="13">
        <v>-1E-14</v>
      </c>
      <c r="H60" s="13">
        <v>-1E-14</v>
      </c>
      <c r="I60" s="13">
        <v>-1582.9589683121876</v>
      </c>
      <c r="J60" s="13">
        <v>-4898.1114407793702</v>
      </c>
      <c r="K60" s="13">
        <v>-5321.3862298226159</v>
      </c>
      <c r="L60" s="13">
        <v>-10800</v>
      </c>
      <c r="M60" s="13">
        <v>-1229.053695065837</v>
      </c>
      <c r="N60" s="13">
        <v>-1E-14</v>
      </c>
      <c r="O60" s="13">
        <v>-1E-14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outlineLevel="1" x14ac:dyDescent="0.25">
      <c r="A61" s="13">
        <f t="shared" si="8"/>
        <v>1.1999999999999997E-13</v>
      </c>
      <c r="B61" s="50" t="s">
        <v>57</v>
      </c>
      <c r="C61" s="5" t="s">
        <v>114</v>
      </c>
      <c r="D61" s="13">
        <v>1E-14</v>
      </c>
      <c r="E61" s="13">
        <v>1E-14</v>
      </c>
      <c r="F61" s="13">
        <v>1E-14</v>
      </c>
      <c r="G61" s="13">
        <v>1E-14</v>
      </c>
      <c r="H61" s="13">
        <v>1E-14</v>
      </c>
      <c r="I61" s="13">
        <v>1E-14</v>
      </c>
      <c r="J61" s="13">
        <v>1E-14</v>
      </c>
      <c r="K61" s="13">
        <v>1E-14</v>
      </c>
      <c r="L61" s="13">
        <v>1E-14</v>
      </c>
      <c r="M61" s="13">
        <v>1E-14</v>
      </c>
      <c r="N61" s="13">
        <v>1E-14</v>
      </c>
      <c r="O61" s="13">
        <v>1E-14</v>
      </c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outlineLevel="1" x14ac:dyDescent="0.25">
      <c r="A62" s="4"/>
      <c r="B62" s="27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s="75" customFormat="1" ht="18.75" x14ac:dyDescent="0.3">
      <c r="A63" s="77" t="s">
        <v>219</v>
      </c>
      <c r="B63" s="74" t="s">
        <v>67</v>
      </c>
      <c r="C63" s="76"/>
      <c r="D63" s="78" t="s">
        <v>216</v>
      </c>
      <c r="E63" s="78" t="s">
        <v>223</v>
      </c>
      <c r="F63" s="78" t="s">
        <v>224</v>
      </c>
      <c r="G63" s="78" t="s">
        <v>225</v>
      </c>
      <c r="H63" s="78" t="s">
        <v>226</v>
      </c>
      <c r="I63" s="78" t="s">
        <v>227</v>
      </c>
      <c r="J63" s="78" t="s">
        <v>228</v>
      </c>
      <c r="K63" s="78" t="s">
        <v>229</v>
      </c>
      <c r="L63" s="78" t="s">
        <v>230</v>
      </c>
      <c r="M63" s="78" t="s">
        <v>231</v>
      </c>
      <c r="N63" s="78" t="s">
        <v>232</v>
      </c>
      <c r="O63" s="78" t="s">
        <v>233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  <row r="64" spans="1:27" outlineLevel="1" x14ac:dyDescent="0.25">
      <c r="A64" s="200">
        <f t="shared" si="8"/>
        <v>12915.312915299997</v>
      </c>
      <c r="B64" s="52" t="s">
        <v>58</v>
      </c>
      <c r="C64" s="8" t="s">
        <v>0</v>
      </c>
      <c r="D64" s="200">
        <v>1E-14</v>
      </c>
      <c r="E64" s="200">
        <v>1E-14</v>
      </c>
      <c r="F64" s="200">
        <v>1E-14</v>
      </c>
      <c r="G64" s="200">
        <v>4589.3103031772953</v>
      </c>
      <c r="H64" s="200">
        <v>1396.051759601427</v>
      </c>
      <c r="I64" s="200">
        <v>1E-14</v>
      </c>
      <c r="J64" s="200">
        <v>1E-14</v>
      </c>
      <c r="K64" s="200">
        <v>1E-14</v>
      </c>
      <c r="L64" s="200">
        <v>429.11835660557699</v>
      </c>
      <c r="M64" s="200">
        <v>1E-14</v>
      </c>
      <c r="N64" s="200">
        <v>1E-14</v>
      </c>
      <c r="O64" s="200">
        <v>6500.832495915698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8"/>
        <v>-1.1999999999999997E-13</v>
      </c>
      <c r="B65" s="52" t="s">
        <v>58</v>
      </c>
      <c r="C65" s="8" t="s">
        <v>1</v>
      </c>
      <c r="D65" s="200">
        <v>-1E-14</v>
      </c>
      <c r="E65" s="200">
        <v>-1E-14</v>
      </c>
      <c r="F65" s="200">
        <v>-1E-14</v>
      </c>
      <c r="G65" s="200">
        <v>-1E-14</v>
      </c>
      <c r="H65" s="200">
        <v>-1E-14</v>
      </c>
      <c r="I65" s="200">
        <v>-1E-14</v>
      </c>
      <c r="J65" s="200">
        <v>-1E-14</v>
      </c>
      <c r="K65" s="200">
        <v>-1E-14</v>
      </c>
      <c r="L65" s="200">
        <v>-1E-14</v>
      </c>
      <c r="M65" s="200">
        <v>-1E-14</v>
      </c>
      <c r="N65" s="200">
        <v>-1E-14</v>
      </c>
      <c r="O65" s="200">
        <v>-1E-14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8"/>
        <v>-1.1999999999999997E-13</v>
      </c>
      <c r="B66" s="52" t="s">
        <v>58</v>
      </c>
      <c r="C66" s="8" t="s">
        <v>2</v>
      </c>
      <c r="D66" s="200">
        <v>-1E-14</v>
      </c>
      <c r="E66" s="200">
        <v>-1E-14</v>
      </c>
      <c r="F66" s="200">
        <v>-1E-14</v>
      </c>
      <c r="G66" s="200">
        <v>-1E-14</v>
      </c>
      <c r="H66" s="200">
        <v>-1E-14</v>
      </c>
      <c r="I66" s="200">
        <v>-1E-14</v>
      </c>
      <c r="J66" s="200">
        <v>-1E-14</v>
      </c>
      <c r="K66" s="200">
        <v>-1E-14</v>
      </c>
      <c r="L66" s="200">
        <v>-1E-14</v>
      </c>
      <c r="M66" s="200">
        <v>-1E-14</v>
      </c>
      <c r="N66" s="200">
        <v>-1E-14</v>
      </c>
      <c r="O66" s="200">
        <v>-1E-14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8"/>
        <v>28766.808766779999</v>
      </c>
      <c r="B67" s="52" t="s">
        <v>58</v>
      </c>
      <c r="C67" s="8" t="s">
        <v>3</v>
      </c>
      <c r="D67" s="200">
        <v>2397.2340638983333</v>
      </c>
      <c r="E67" s="200">
        <v>2397.2340638983333</v>
      </c>
      <c r="F67" s="200">
        <v>2397.2340638983333</v>
      </c>
      <c r="G67" s="200">
        <v>2397.2340638983333</v>
      </c>
      <c r="H67" s="200">
        <v>2397.2340638983333</v>
      </c>
      <c r="I67" s="200">
        <v>2397.2340638983333</v>
      </c>
      <c r="J67" s="200">
        <v>2397.2340638983333</v>
      </c>
      <c r="K67" s="200">
        <v>2397.2340638983333</v>
      </c>
      <c r="L67" s="200">
        <v>2397.2340638983333</v>
      </c>
      <c r="M67" s="200">
        <v>2397.2340638983333</v>
      </c>
      <c r="N67" s="200">
        <v>2397.2340638983333</v>
      </c>
      <c r="O67" s="200">
        <v>2397.2340638983333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8"/>
        <v>4232.4132324090006</v>
      </c>
      <c r="B68" s="52" t="s">
        <v>58</v>
      </c>
      <c r="C68" s="8" t="s">
        <v>4</v>
      </c>
      <c r="D68" s="200">
        <v>352.70110270074997</v>
      </c>
      <c r="E68" s="200">
        <v>352.70110270074997</v>
      </c>
      <c r="F68" s="200">
        <v>352.70110270074997</v>
      </c>
      <c r="G68" s="200">
        <v>352.70110270074997</v>
      </c>
      <c r="H68" s="200">
        <v>352.70110270074997</v>
      </c>
      <c r="I68" s="200">
        <v>352.70110270074997</v>
      </c>
      <c r="J68" s="200">
        <v>352.70110270074997</v>
      </c>
      <c r="K68" s="200">
        <v>352.70110270074997</v>
      </c>
      <c r="L68" s="200">
        <v>352.70110270074997</v>
      </c>
      <c r="M68" s="200">
        <v>352.70110270074997</v>
      </c>
      <c r="N68" s="200">
        <v>352.70110270074997</v>
      </c>
      <c r="O68" s="200">
        <v>352.70110270074997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8"/>
        <v>33.350025012499998</v>
      </c>
      <c r="B69" s="52" t="s">
        <v>58</v>
      </c>
      <c r="C69" s="8" t="s">
        <v>5</v>
      </c>
      <c r="D69" s="200">
        <v>2.7791694458333334</v>
      </c>
      <c r="E69" s="200">
        <v>2.7791694458333334</v>
      </c>
      <c r="F69" s="200">
        <v>2.7791694458333334</v>
      </c>
      <c r="G69" s="200">
        <v>2.7791694458333334</v>
      </c>
      <c r="H69" s="200">
        <v>2.7791694458333334</v>
      </c>
      <c r="I69" s="200">
        <v>2.7791666666666668</v>
      </c>
      <c r="J69" s="200">
        <v>2.7791666666666668</v>
      </c>
      <c r="K69" s="200">
        <v>2.7791666666666668</v>
      </c>
      <c r="L69" s="200">
        <v>2.7791694458333334</v>
      </c>
      <c r="M69" s="200">
        <v>2.7791694458333334</v>
      </c>
      <c r="N69" s="200">
        <v>2.7791694458333334</v>
      </c>
      <c r="O69" s="200">
        <v>2.7791694458333334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8"/>
        <v>4289.7839322983318</v>
      </c>
      <c r="B70" s="52" t="s">
        <v>58</v>
      </c>
      <c r="C70" s="8" t="s">
        <v>6</v>
      </c>
      <c r="D70" s="200">
        <v>357.48202414833327</v>
      </c>
      <c r="E70" s="200">
        <v>357.48202414833327</v>
      </c>
      <c r="F70" s="200">
        <v>357.48202414833327</v>
      </c>
      <c r="G70" s="200">
        <v>357.48202414833327</v>
      </c>
      <c r="H70" s="200">
        <v>357.48202414833327</v>
      </c>
      <c r="I70" s="200">
        <v>357.48166666666663</v>
      </c>
      <c r="J70" s="200">
        <v>357.48202414833327</v>
      </c>
      <c r="K70" s="200">
        <v>357.48202414833327</v>
      </c>
      <c r="L70" s="200">
        <v>357.48202414833327</v>
      </c>
      <c r="M70" s="200">
        <v>357.48202414833327</v>
      </c>
      <c r="N70" s="200">
        <v>357.48202414833327</v>
      </c>
      <c r="O70" s="200">
        <v>357.48202414833327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8"/>
        <v>106.90010689999995</v>
      </c>
      <c r="B71" s="52" t="s">
        <v>58</v>
      </c>
      <c r="C71" s="8" t="s">
        <v>7</v>
      </c>
      <c r="D71" s="200">
        <v>8.9083422416666647</v>
      </c>
      <c r="E71" s="200">
        <v>8.9083422416666647</v>
      </c>
      <c r="F71" s="200">
        <v>8.9083422416666647</v>
      </c>
      <c r="G71" s="200">
        <v>8.9083422416666647</v>
      </c>
      <c r="H71" s="200">
        <v>8.9083422416666647</v>
      </c>
      <c r="I71" s="200">
        <v>8.9083422416666647</v>
      </c>
      <c r="J71" s="200">
        <v>8.9083422416666647</v>
      </c>
      <c r="K71" s="200">
        <v>8.9083422416666647</v>
      </c>
      <c r="L71" s="200">
        <v>8.9083422416666647</v>
      </c>
      <c r="M71" s="200">
        <v>8.9083422416666647</v>
      </c>
      <c r="N71" s="200">
        <v>8.9083422416666647</v>
      </c>
      <c r="O71" s="200">
        <v>8.9083422416666647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8"/>
        <v>4266.0139105091657</v>
      </c>
      <c r="B72" s="52" t="s">
        <v>58</v>
      </c>
      <c r="C72" s="8" t="s">
        <v>8</v>
      </c>
      <c r="D72" s="200">
        <v>355.50118883416661</v>
      </c>
      <c r="E72" s="200">
        <v>355.50118883416661</v>
      </c>
      <c r="F72" s="200">
        <v>355.50118883416661</v>
      </c>
      <c r="G72" s="200">
        <v>355.50118883416661</v>
      </c>
      <c r="H72" s="200">
        <v>355.50118883416661</v>
      </c>
      <c r="I72" s="200">
        <v>355.50083333333333</v>
      </c>
      <c r="J72" s="200">
        <v>355.50118883416661</v>
      </c>
      <c r="K72" s="200">
        <v>355.50118883416661</v>
      </c>
      <c r="L72" s="200">
        <v>355.50118883416661</v>
      </c>
      <c r="M72" s="200">
        <v>355.50118883416661</v>
      </c>
      <c r="N72" s="200">
        <v>355.50118883416661</v>
      </c>
      <c r="O72" s="200">
        <v>355.50118883416661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8"/>
        <v>398.46039846000002</v>
      </c>
      <c r="B73" s="52" t="s">
        <v>58</v>
      </c>
      <c r="C73" s="8" t="s">
        <v>9</v>
      </c>
      <c r="D73" s="200">
        <v>33.205033204999992</v>
      </c>
      <c r="E73" s="200">
        <v>33.205033204999992</v>
      </c>
      <c r="F73" s="200">
        <v>33.205033204999992</v>
      </c>
      <c r="G73" s="200">
        <v>33.205033204999992</v>
      </c>
      <c r="H73" s="200">
        <v>33.205033204999992</v>
      </c>
      <c r="I73" s="200">
        <v>33.205033204999992</v>
      </c>
      <c r="J73" s="200">
        <v>33.205033204999992</v>
      </c>
      <c r="K73" s="200">
        <v>33.205033204999992</v>
      </c>
      <c r="L73" s="200">
        <v>33.205033204999992</v>
      </c>
      <c r="M73" s="200">
        <v>33.205033204999992</v>
      </c>
      <c r="N73" s="200">
        <v>33.205033204999992</v>
      </c>
      <c r="O73" s="200">
        <v>33.205033204999992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8"/>
        <v>6141.6761416699983</v>
      </c>
      <c r="B74" s="52" t="s">
        <v>58</v>
      </c>
      <c r="C74" s="8" t="s">
        <v>10</v>
      </c>
      <c r="D74" s="200">
        <v>511.80634513916658</v>
      </c>
      <c r="E74" s="200">
        <v>511.80634513916658</v>
      </c>
      <c r="F74" s="200">
        <v>511.80634513916658</v>
      </c>
      <c r="G74" s="200">
        <v>511.80634513916658</v>
      </c>
      <c r="H74" s="200">
        <v>511.80634513916658</v>
      </c>
      <c r="I74" s="200">
        <v>511.80634513916658</v>
      </c>
      <c r="J74" s="200">
        <v>511.80634513916658</v>
      </c>
      <c r="K74" s="200">
        <v>511.80634513916658</v>
      </c>
      <c r="L74" s="200">
        <v>511.80634513916658</v>
      </c>
      <c r="M74" s="200">
        <v>511.80634513916658</v>
      </c>
      <c r="N74" s="200">
        <v>511.80634513916658</v>
      </c>
      <c r="O74" s="200">
        <v>511.80634513916658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8"/>
        <v>134.19013418999995</v>
      </c>
      <c r="B75" s="52" t="s">
        <v>58</v>
      </c>
      <c r="C75" s="8" t="s">
        <v>11</v>
      </c>
      <c r="D75" s="200">
        <v>11.182511182499999</v>
      </c>
      <c r="E75" s="200">
        <v>11.182511182499999</v>
      </c>
      <c r="F75" s="200">
        <v>11.182511182499999</v>
      </c>
      <c r="G75" s="200">
        <v>11.182511182499999</v>
      </c>
      <c r="H75" s="200">
        <v>11.182511182499999</v>
      </c>
      <c r="I75" s="200">
        <v>11.182511182499999</v>
      </c>
      <c r="J75" s="200">
        <v>11.182511182499999</v>
      </c>
      <c r="K75" s="200">
        <v>11.182511182499999</v>
      </c>
      <c r="L75" s="200">
        <v>11.182511182499999</v>
      </c>
      <c r="M75" s="200">
        <v>11.182511182499999</v>
      </c>
      <c r="N75" s="200">
        <v>11.182511182499999</v>
      </c>
      <c r="O75" s="200">
        <v>11.182511182499999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8"/>
        <v>57.780009629999995</v>
      </c>
      <c r="B76" s="52" t="s">
        <v>58</v>
      </c>
      <c r="C76" s="8" t="s">
        <v>12</v>
      </c>
      <c r="D76" s="200">
        <v>4.8150000000000004</v>
      </c>
      <c r="E76" s="200">
        <v>4.8150000000000004</v>
      </c>
      <c r="F76" s="200">
        <v>4.8150000000000004</v>
      </c>
      <c r="G76" s="200">
        <v>4.8150000000000004</v>
      </c>
      <c r="H76" s="200">
        <v>4.8150000000000004</v>
      </c>
      <c r="I76" s="200">
        <v>4.8150000000000004</v>
      </c>
      <c r="J76" s="200">
        <v>4.815004815</v>
      </c>
      <c r="K76" s="200">
        <v>4.815004815</v>
      </c>
      <c r="L76" s="200">
        <v>4.8150000000000004</v>
      </c>
      <c r="M76" s="200">
        <v>4.8150000000000004</v>
      </c>
      <c r="N76" s="200">
        <v>4.8150000000000004</v>
      </c>
      <c r="O76" s="200">
        <v>4.8150000000000004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8"/>
        <v>12.890011815833333</v>
      </c>
      <c r="B77" s="52" t="s">
        <v>58</v>
      </c>
      <c r="C77" s="8" t="s">
        <v>13</v>
      </c>
      <c r="D77" s="200">
        <v>1.0741677408333332</v>
      </c>
      <c r="E77" s="200">
        <v>1.0741677408333332</v>
      </c>
      <c r="F77" s="200">
        <v>1.0741677408333332</v>
      </c>
      <c r="G77" s="200">
        <v>1.0741677408333332</v>
      </c>
      <c r="H77" s="200">
        <v>1.0741677408333332</v>
      </c>
      <c r="I77" s="200">
        <v>1.0741666666666667</v>
      </c>
      <c r="J77" s="200">
        <v>1.0741677408333332</v>
      </c>
      <c r="K77" s="200">
        <v>1.0741677408333332</v>
      </c>
      <c r="L77" s="200">
        <v>1.0741677408333332</v>
      </c>
      <c r="M77" s="200">
        <v>1.0741677408333332</v>
      </c>
      <c r="N77" s="200">
        <v>1.0741677408333332</v>
      </c>
      <c r="O77" s="200">
        <v>1.0741677408333332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8"/>
        <v>34232.724232690009</v>
      </c>
      <c r="B78" s="52" t="s">
        <v>58</v>
      </c>
      <c r="C78" s="8" t="s">
        <v>14</v>
      </c>
      <c r="D78" s="200">
        <v>7021.3329140924488</v>
      </c>
      <c r="E78" s="200">
        <v>6009.3634885925057</v>
      </c>
      <c r="F78" s="200">
        <v>6917.9638034150012</v>
      </c>
      <c r="G78" s="200">
        <v>1E-14</v>
      </c>
      <c r="H78" s="200">
        <v>1E-14</v>
      </c>
      <c r="I78" s="200">
        <v>1E-14</v>
      </c>
      <c r="J78" s="200">
        <v>1E-14</v>
      </c>
      <c r="K78" s="200">
        <v>1E-14</v>
      </c>
      <c r="L78" s="200">
        <v>4382.3062476063051</v>
      </c>
      <c r="M78" s="200">
        <v>3526.0280604521886</v>
      </c>
      <c r="N78" s="200">
        <v>6375.7297185315529</v>
      </c>
      <c r="O78" s="200">
        <v>1E-14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8"/>
        <v>154.09015409000003</v>
      </c>
      <c r="B79" s="52" t="s">
        <v>58</v>
      </c>
      <c r="C79" s="8" t="s">
        <v>15</v>
      </c>
      <c r="D79" s="200">
        <v>1E-14</v>
      </c>
      <c r="E79" s="200">
        <v>1E-14</v>
      </c>
      <c r="F79" s="200">
        <v>1E-14</v>
      </c>
      <c r="G79" s="200">
        <v>1E-14</v>
      </c>
      <c r="H79" s="200">
        <v>154.09</v>
      </c>
      <c r="I79" s="200">
        <v>1E-14</v>
      </c>
      <c r="J79" s="200">
        <v>1E-14</v>
      </c>
      <c r="K79" s="200">
        <v>1E-14</v>
      </c>
      <c r="L79" s="200">
        <v>1E-14</v>
      </c>
      <c r="M79" s="200">
        <v>1E-14</v>
      </c>
      <c r="N79" s="200">
        <v>1.5408999999522166E-4</v>
      </c>
      <c r="O79" s="200">
        <v>1E-14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8"/>
        <v>-1.1999999999999997E-13</v>
      </c>
      <c r="B80" s="52" t="s">
        <v>58</v>
      </c>
      <c r="C80" s="8" t="s">
        <v>16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8"/>
        <v>1044.53</v>
      </c>
      <c r="B81" s="52" t="s">
        <v>58</v>
      </c>
      <c r="C81" s="8" t="s">
        <v>18</v>
      </c>
      <c r="D81" s="200">
        <v>87.044166666666669</v>
      </c>
      <c r="E81" s="200">
        <v>87.044166666666669</v>
      </c>
      <c r="F81" s="200">
        <v>87.044166666666669</v>
      </c>
      <c r="G81" s="200">
        <v>87.044166666666669</v>
      </c>
      <c r="H81" s="200">
        <v>87.044166666666669</v>
      </c>
      <c r="I81" s="200">
        <v>87.044166666666669</v>
      </c>
      <c r="J81" s="200">
        <v>87.044166666666669</v>
      </c>
      <c r="K81" s="200">
        <v>87.044166666666669</v>
      </c>
      <c r="L81" s="200">
        <v>87.044166666666669</v>
      </c>
      <c r="M81" s="200">
        <v>87.044166666666669</v>
      </c>
      <c r="N81" s="200">
        <v>87.044166666666669</v>
      </c>
      <c r="O81" s="200">
        <v>87.044166666666669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outlineLevel="1" x14ac:dyDescent="0.25">
      <c r="A82" s="200">
        <f t="shared" si="8"/>
        <v>-1.1999999999999997E-13</v>
      </c>
      <c r="B82" s="52" t="s">
        <v>58</v>
      </c>
      <c r="C82" s="8" t="s">
        <v>19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outlineLevel="1" x14ac:dyDescent="0.25">
      <c r="A83" s="200">
        <f t="shared" si="8"/>
        <v>113.940104445</v>
      </c>
      <c r="B83" s="52" t="s">
        <v>58</v>
      </c>
      <c r="C83" s="8" t="s">
        <v>20</v>
      </c>
      <c r="D83" s="200">
        <v>9.4950094949999979</v>
      </c>
      <c r="E83" s="200">
        <v>9.4950094949999979</v>
      </c>
      <c r="F83" s="200">
        <v>9.4950094949999979</v>
      </c>
      <c r="G83" s="200">
        <v>9.4950094949999979</v>
      </c>
      <c r="H83" s="200">
        <v>9.4950094949999979</v>
      </c>
      <c r="I83" s="200">
        <v>9.4949999999999992</v>
      </c>
      <c r="J83" s="200">
        <v>9.4950094949999979</v>
      </c>
      <c r="K83" s="200">
        <v>9.4950094949999979</v>
      </c>
      <c r="L83" s="200">
        <v>9.4950094949999979</v>
      </c>
      <c r="M83" s="200">
        <v>9.4950094949999979</v>
      </c>
      <c r="N83" s="200">
        <v>9.4950094949999979</v>
      </c>
      <c r="O83" s="200">
        <v>9.4950094949999979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outlineLevel="1" x14ac:dyDescent="0.25">
      <c r="A84" s="200">
        <f t="shared" si="8"/>
        <v>212.20021220000004</v>
      </c>
      <c r="B84" s="52" t="s">
        <v>58</v>
      </c>
      <c r="C84" s="8" t="s">
        <v>17</v>
      </c>
      <c r="D84" s="200">
        <v>17.683351016666666</v>
      </c>
      <c r="E84" s="200">
        <v>17.683351016666666</v>
      </c>
      <c r="F84" s="200">
        <v>17.683351016666666</v>
      </c>
      <c r="G84" s="200">
        <v>17.683351016666666</v>
      </c>
      <c r="H84" s="200">
        <v>17.683351016666666</v>
      </c>
      <c r="I84" s="200">
        <v>17.683351016666666</v>
      </c>
      <c r="J84" s="200">
        <v>17.683351016666666</v>
      </c>
      <c r="K84" s="200">
        <v>17.683351016666666</v>
      </c>
      <c r="L84" s="200">
        <v>17.683351016666666</v>
      </c>
      <c r="M84" s="200">
        <v>17.683351016666666</v>
      </c>
      <c r="N84" s="200">
        <v>17.683351016666666</v>
      </c>
      <c r="O84" s="200">
        <v>17.683351016666666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8"/>
        <v>5096.4239595948447</v>
      </c>
      <c r="B85" s="52" t="s">
        <v>58</v>
      </c>
      <c r="C85" s="8" t="s">
        <v>26</v>
      </c>
      <c r="D85" s="200">
        <v>1E-14</v>
      </c>
      <c r="E85" s="200">
        <v>1E-14</v>
      </c>
      <c r="F85" s="200">
        <v>1E-14</v>
      </c>
      <c r="G85" s="200">
        <v>1E-14</v>
      </c>
      <c r="H85" s="200">
        <v>622.94676468365697</v>
      </c>
      <c r="I85" s="200">
        <v>1E-14</v>
      </c>
      <c r="J85" s="200">
        <v>1064.2885222492498</v>
      </c>
      <c r="K85" s="200">
        <v>1064.2885222492498</v>
      </c>
      <c r="L85" s="200">
        <v>1E-14</v>
      </c>
      <c r="M85" s="200">
        <v>2344.9001504126882</v>
      </c>
      <c r="N85" s="200">
        <v>1E-14</v>
      </c>
      <c r="O85" s="200">
        <v>1E-14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8"/>
        <v>-1.1999999999999997E-13</v>
      </c>
      <c r="B86" s="52" t="s">
        <v>58</v>
      </c>
      <c r="C86" s="8" t="s">
        <v>27</v>
      </c>
      <c r="D86" s="200">
        <v>-1E-14</v>
      </c>
      <c r="E86" s="200">
        <v>-1E-14</v>
      </c>
      <c r="F86" s="200">
        <v>-1E-14</v>
      </c>
      <c r="G86" s="200">
        <v>-1E-14</v>
      </c>
      <c r="H86" s="200">
        <v>-1E-14</v>
      </c>
      <c r="I86" s="200">
        <v>-1E-14</v>
      </c>
      <c r="J86" s="200">
        <v>-1E-14</v>
      </c>
      <c r="K86" s="200">
        <v>-1E-14</v>
      </c>
      <c r="L86" s="200">
        <v>-1E-14</v>
      </c>
      <c r="M86" s="200">
        <v>-1E-14</v>
      </c>
      <c r="N86" s="200">
        <v>-1E-14</v>
      </c>
      <c r="O86" s="200">
        <v>-1E-14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s="16" customFormat="1" outlineLevel="1" x14ac:dyDescent="0.25">
      <c r="A87" s="200">
        <f t="shared" si="8"/>
        <v>-1.1999999999999997E-13</v>
      </c>
      <c r="B87" s="52" t="s">
        <v>58</v>
      </c>
      <c r="C87" s="8" t="s">
        <v>60</v>
      </c>
      <c r="D87" s="200">
        <v>-1E-14</v>
      </c>
      <c r="E87" s="200">
        <v>-1E-14</v>
      </c>
      <c r="F87" s="200">
        <v>-1E-14</v>
      </c>
      <c r="G87" s="200">
        <v>-1E-14</v>
      </c>
      <c r="H87" s="200">
        <v>-1E-14</v>
      </c>
      <c r="I87" s="200">
        <v>-1E-14</v>
      </c>
      <c r="J87" s="200">
        <v>-1E-14</v>
      </c>
      <c r="K87" s="200">
        <v>-1E-14</v>
      </c>
      <c r="L87" s="200">
        <v>-1E-14</v>
      </c>
      <c r="M87" s="200">
        <v>-1E-14</v>
      </c>
      <c r="N87" s="200">
        <v>-1E-14</v>
      </c>
      <c r="O87" s="200">
        <v>-1E-14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s="16" customFormat="1" outlineLevel="1" x14ac:dyDescent="0.25">
      <c r="A88" s="200">
        <f t="shared" si="8"/>
        <v>-1.1999999999999997E-13</v>
      </c>
      <c r="B88" s="52" t="s">
        <v>58</v>
      </c>
      <c r="C88" s="8" t="s">
        <v>61</v>
      </c>
      <c r="D88" s="200">
        <v>-1E-14</v>
      </c>
      <c r="E88" s="200">
        <v>-1E-14</v>
      </c>
      <c r="F88" s="200">
        <v>-1E-14</v>
      </c>
      <c r="G88" s="200">
        <v>-1E-14</v>
      </c>
      <c r="H88" s="200">
        <v>-1E-14</v>
      </c>
      <c r="I88" s="200">
        <v>-1E-14</v>
      </c>
      <c r="J88" s="200">
        <v>-1E-14</v>
      </c>
      <c r="K88" s="200">
        <v>-1E-14</v>
      </c>
      <c r="L88" s="200">
        <v>-1E-14</v>
      </c>
      <c r="M88" s="200">
        <v>-1E-14</v>
      </c>
      <c r="N88" s="200">
        <v>-1E-14</v>
      </c>
      <c r="O88" s="200">
        <v>-1E-14</v>
      </c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s="16" customFormat="1" outlineLevel="1" x14ac:dyDescent="0.25">
      <c r="A89" s="200">
        <f t="shared" si="8"/>
        <v>-1.1999999999999997E-13</v>
      </c>
      <c r="B89" s="52" t="s">
        <v>58</v>
      </c>
      <c r="C89" s="8" t="s">
        <v>62</v>
      </c>
      <c r="D89" s="200">
        <v>-1E-14</v>
      </c>
      <c r="E89" s="200">
        <v>-1E-14</v>
      </c>
      <c r="F89" s="200">
        <v>-1E-14</v>
      </c>
      <c r="G89" s="200">
        <v>-1E-14</v>
      </c>
      <c r="H89" s="200">
        <v>-1E-14</v>
      </c>
      <c r="I89" s="200">
        <v>-1E-14</v>
      </c>
      <c r="J89" s="200">
        <v>-1E-14</v>
      </c>
      <c r="K89" s="200">
        <v>-1E-14</v>
      </c>
      <c r="L89" s="200">
        <v>-1E-14</v>
      </c>
      <c r="M89" s="200">
        <v>-1E-14</v>
      </c>
      <c r="N89" s="200">
        <v>-1E-14</v>
      </c>
      <c r="O89" s="200">
        <v>-1E-14</v>
      </c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outlineLevel="1" x14ac:dyDescent="0.25">
      <c r="A90" s="200">
        <f t="shared" si="8"/>
        <v>2777.4518147684594</v>
      </c>
      <c r="B90" s="52" t="s">
        <v>58</v>
      </c>
      <c r="C90" s="8" t="s">
        <v>21</v>
      </c>
      <c r="D90" s="200">
        <v>576.54067584480526</v>
      </c>
      <c r="E90" s="200">
        <v>2200.9111389236541</v>
      </c>
      <c r="F90" s="200">
        <v>1E-14</v>
      </c>
      <c r="G90" s="200">
        <v>1E-14</v>
      </c>
      <c r="H90" s="200">
        <v>1E-14</v>
      </c>
      <c r="I90" s="200">
        <v>1E-14</v>
      </c>
      <c r="J90" s="200">
        <v>1E-14</v>
      </c>
      <c r="K90" s="200">
        <v>1E-14</v>
      </c>
      <c r="L90" s="200">
        <v>1E-14</v>
      </c>
      <c r="M90" s="200">
        <v>1E-14</v>
      </c>
      <c r="N90" s="200">
        <v>1E-14</v>
      </c>
      <c r="O90" s="200">
        <v>1E-14</v>
      </c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outlineLevel="1" x14ac:dyDescent="0.25">
      <c r="A91" s="200">
        <f t="shared" si="8"/>
        <v>9600</v>
      </c>
      <c r="B91" s="52" t="s">
        <v>58</v>
      </c>
      <c r="C91" s="8" t="s">
        <v>22</v>
      </c>
      <c r="D91" s="200">
        <v>4000</v>
      </c>
      <c r="E91" s="200">
        <v>1E-14</v>
      </c>
      <c r="F91" s="200">
        <v>1E-14</v>
      </c>
      <c r="G91" s="200">
        <v>1E-14</v>
      </c>
      <c r="H91" s="200">
        <v>1E-14</v>
      </c>
      <c r="I91" s="200">
        <v>1E-14</v>
      </c>
      <c r="J91" s="200">
        <v>1E-14</v>
      </c>
      <c r="K91" s="200">
        <v>1E-14</v>
      </c>
      <c r="L91" s="200">
        <v>1E-14</v>
      </c>
      <c r="M91" s="200">
        <v>1E-14</v>
      </c>
      <c r="N91" s="200">
        <v>1E-14</v>
      </c>
      <c r="O91" s="200">
        <v>5600</v>
      </c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outlineLevel="1" x14ac:dyDescent="0.25">
      <c r="A92" s="200">
        <f t="shared" si="8"/>
        <v>1.1999999999999997E-13</v>
      </c>
      <c r="B92" s="52" t="s">
        <v>58</v>
      </c>
      <c r="C92" s="8" t="s">
        <v>25</v>
      </c>
      <c r="D92" s="200">
        <v>1E-14</v>
      </c>
      <c r="E92" s="200">
        <v>1E-14</v>
      </c>
      <c r="F92" s="200">
        <v>1E-14</v>
      </c>
      <c r="G92" s="200">
        <v>1E-14</v>
      </c>
      <c r="H92" s="200">
        <v>1E-14</v>
      </c>
      <c r="I92" s="200">
        <v>1E-14</v>
      </c>
      <c r="J92" s="200">
        <v>1E-14</v>
      </c>
      <c r="K92" s="200">
        <v>1E-14</v>
      </c>
      <c r="L92" s="200">
        <v>1E-14</v>
      </c>
      <c r="M92" s="200">
        <v>1E-14</v>
      </c>
      <c r="N92" s="200">
        <v>1E-14</v>
      </c>
      <c r="O92" s="200">
        <v>1E-14</v>
      </c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outlineLevel="1" x14ac:dyDescent="0.25">
      <c r="A93" s="201"/>
      <c r="B93" s="52"/>
      <c r="C93" s="8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outlineLevel="1" x14ac:dyDescent="0.25">
      <c r="A94" s="7"/>
      <c r="B94" s="50"/>
      <c r="C94" s="199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s="75" customFormat="1" ht="18.75" x14ac:dyDescent="0.3">
      <c r="A95" s="77" t="s">
        <v>220</v>
      </c>
      <c r="B95" s="74" t="s">
        <v>67</v>
      </c>
      <c r="C95" s="76"/>
      <c r="D95" s="78" t="s">
        <v>216</v>
      </c>
      <c r="E95" s="78" t="s">
        <v>223</v>
      </c>
      <c r="F95" s="78" t="s">
        <v>224</v>
      </c>
      <c r="G95" s="78" t="s">
        <v>225</v>
      </c>
      <c r="H95" s="78" t="s">
        <v>226</v>
      </c>
      <c r="I95" s="78" t="s">
        <v>227</v>
      </c>
      <c r="J95" s="78" t="s">
        <v>228</v>
      </c>
      <c r="K95" s="78" t="s">
        <v>229</v>
      </c>
      <c r="L95" s="78" t="s">
        <v>230</v>
      </c>
      <c r="M95" s="78" t="s">
        <v>231</v>
      </c>
      <c r="N95" s="78" t="s">
        <v>232</v>
      </c>
      <c r="O95" s="78" t="s">
        <v>233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outlineLevel="1" x14ac:dyDescent="0.25">
      <c r="A96" s="202">
        <f t="shared" ref="A96:A124" si="9">SUM(D96:O96)</f>
        <v>6780539.2805324979</v>
      </c>
      <c r="B96" s="206" t="s">
        <v>56</v>
      </c>
      <c r="C96" s="203" t="s">
        <v>0</v>
      </c>
      <c r="D96" s="202">
        <v>1E-14</v>
      </c>
      <c r="E96" s="202">
        <v>1E-14</v>
      </c>
      <c r="F96" s="202">
        <v>1E-14</v>
      </c>
      <c r="G96" s="202">
        <v>2409387.90916808</v>
      </c>
      <c r="H96" s="202">
        <v>732927.17379074916</v>
      </c>
      <c r="I96" s="202">
        <v>1E-14</v>
      </c>
      <c r="J96" s="202">
        <v>1E-14</v>
      </c>
      <c r="K96" s="202">
        <v>1E-14</v>
      </c>
      <c r="L96" s="202">
        <v>225287.13721792793</v>
      </c>
      <c r="M96" s="202">
        <v>1E-14</v>
      </c>
      <c r="N96" s="202">
        <v>1E-14</v>
      </c>
      <c r="O96" s="202">
        <v>3412937.0603557415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9"/>
        <v>-1.1999999999999997E-13</v>
      </c>
      <c r="B97" s="206" t="s">
        <v>56</v>
      </c>
      <c r="C97" s="203" t="s">
        <v>1</v>
      </c>
      <c r="D97" s="202">
        <v>-1E-14</v>
      </c>
      <c r="E97" s="202">
        <v>-1E-14</v>
      </c>
      <c r="F97" s="202">
        <v>-1E-14</v>
      </c>
      <c r="G97" s="202">
        <v>-1E-14</v>
      </c>
      <c r="H97" s="202">
        <v>-1E-14</v>
      </c>
      <c r="I97" s="202">
        <v>-1E-14</v>
      </c>
      <c r="J97" s="202">
        <v>-1E-14</v>
      </c>
      <c r="K97" s="202">
        <v>-1E-14</v>
      </c>
      <c r="L97" s="202">
        <v>-1E-14</v>
      </c>
      <c r="M97" s="202">
        <v>-1E-14</v>
      </c>
      <c r="N97" s="202">
        <v>-1E-14</v>
      </c>
      <c r="O97" s="202">
        <v>-1E-14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9"/>
        <v>-1.1999999999999997E-13</v>
      </c>
      <c r="B98" s="206" t="s">
        <v>56</v>
      </c>
      <c r="C98" s="203" t="s">
        <v>2</v>
      </c>
      <c r="D98" s="202">
        <v>-1E-14</v>
      </c>
      <c r="E98" s="202">
        <v>-1E-14</v>
      </c>
      <c r="F98" s="202">
        <v>-1E-14</v>
      </c>
      <c r="G98" s="202">
        <v>-1E-14</v>
      </c>
      <c r="H98" s="202">
        <v>-1E-14</v>
      </c>
      <c r="I98" s="202">
        <v>-1E-14</v>
      </c>
      <c r="J98" s="202">
        <v>-1E-14</v>
      </c>
      <c r="K98" s="202">
        <v>-1E-14</v>
      </c>
      <c r="L98" s="202">
        <v>-1E-14</v>
      </c>
      <c r="M98" s="202">
        <v>-1E-14</v>
      </c>
      <c r="N98" s="202">
        <v>-1E-14</v>
      </c>
      <c r="O98" s="202">
        <v>-1E-14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9"/>
        <v>15102574.602559498</v>
      </c>
      <c r="B99" s="206" t="s">
        <v>56</v>
      </c>
      <c r="C99" s="203" t="s">
        <v>3</v>
      </c>
      <c r="D99" s="202">
        <v>1258547.883546625</v>
      </c>
      <c r="E99" s="202">
        <v>1258547.883546625</v>
      </c>
      <c r="F99" s="202">
        <v>1258547.883546625</v>
      </c>
      <c r="G99" s="202">
        <v>1258547.883546625</v>
      </c>
      <c r="H99" s="202">
        <v>1258547.883546625</v>
      </c>
      <c r="I99" s="202">
        <v>1258547.883546625</v>
      </c>
      <c r="J99" s="202">
        <v>1258547.883546625</v>
      </c>
      <c r="K99" s="202">
        <v>1258547.883546625</v>
      </c>
      <c r="L99" s="202">
        <v>1258547.883546625</v>
      </c>
      <c r="M99" s="202">
        <v>1258547.883546625</v>
      </c>
      <c r="N99" s="202">
        <v>1258547.883546625</v>
      </c>
      <c r="O99" s="202">
        <v>1258547.883546625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9"/>
        <v>2222016.9470147253</v>
      </c>
      <c r="B100" s="206" t="s">
        <v>56</v>
      </c>
      <c r="C100" s="203" t="s">
        <v>4</v>
      </c>
      <c r="D100" s="202">
        <v>185168.07891789373</v>
      </c>
      <c r="E100" s="202">
        <v>185168.07891789373</v>
      </c>
      <c r="F100" s="202">
        <v>185168.07891789373</v>
      </c>
      <c r="G100" s="202">
        <v>185168.07891789373</v>
      </c>
      <c r="H100" s="202">
        <v>185168.07891789373</v>
      </c>
      <c r="I100" s="202">
        <v>185168.07891789373</v>
      </c>
      <c r="J100" s="202">
        <v>185168.07891789373</v>
      </c>
      <c r="K100" s="202">
        <v>185168.07891789373</v>
      </c>
      <c r="L100" s="202">
        <v>185168.07891789373</v>
      </c>
      <c r="M100" s="202">
        <v>185168.07891789373</v>
      </c>
      <c r="N100" s="202">
        <v>185168.07891789373</v>
      </c>
      <c r="O100" s="202">
        <v>185168.07891789373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9"/>
        <v>5169.2538769375005</v>
      </c>
      <c r="B101" s="206" t="s">
        <v>56</v>
      </c>
      <c r="C101" s="203" t="s">
        <v>5</v>
      </c>
      <c r="D101" s="202">
        <v>430.77126410416668</v>
      </c>
      <c r="E101" s="202">
        <v>430.77126410416668</v>
      </c>
      <c r="F101" s="202">
        <v>430.77126410416668</v>
      </c>
      <c r="G101" s="202">
        <v>430.77126410416668</v>
      </c>
      <c r="H101" s="202">
        <v>430.77126410416668</v>
      </c>
      <c r="I101" s="202">
        <v>430.77083333333337</v>
      </c>
      <c r="J101" s="202">
        <v>430.77083333333337</v>
      </c>
      <c r="K101" s="202">
        <v>430.77083333333337</v>
      </c>
      <c r="L101" s="202">
        <v>430.77126410416668</v>
      </c>
      <c r="M101" s="202">
        <v>430.77126410416668</v>
      </c>
      <c r="N101" s="202">
        <v>430.77126410416668</v>
      </c>
      <c r="O101" s="202">
        <v>430.77126410416668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9"/>
        <v>2252136.5644566244</v>
      </c>
      <c r="B102" s="206" t="s">
        <v>56</v>
      </c>
      <c r="C102" s="203" t="s">
        <v>6</v>
      </c>
      <c r="D102" s="202">
        <v>187678.06267787496</v>
      </c>
      <c r="E102" s="202">
        <v>187678.06267787496</v>
      </c>
      <c r="F102" s="202">
        <v>187678.06267787496</v>
      </c>
      <c r="G102" s="202">
        <v>187678.06267787496</v>
      </c>
      <c r="H102" s="202">
        <v>187678.06267787496</v>
      </c>
      <c r="I102" s="202">
        <v>187677.87499999997</v>
      </c>
      <c r="J102" s="202">
        <v>187678.06267787496</v>
      </c>
      <c r="K102" s="202">
        <v>187678.06267787496</v>
      </c>
      <c r="L102" s="202">
        <v>187678.06267787496</v>
      </c>
      <c r="M102" s="202">
        <v>187678.06267787496</v>
      </c>
      <c r="N102" s="202">
        <v>187678.06267787496</v>
      </c>
      <c r="O102" s="202">
        <v>187678.06267787496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9"/>
        <v>56122.556122499976</v>
      </c>
      <c r="B103" s="206" t="s">
        <v>56</v>
      </c>
      <c r="C103" s="203" t="s">
        <v>7</v>
      </c>
      <c r="D103" s="202">
        <v>4676.8796768749989</v>
      </c>
      <c r="E103" s="202">
        <v>4676.8796768749989</v>
      </c>
      <c r="F103" s="202">
        <v>4676.8796768749989</v>
      </c>
      <c r="G103" s="202">
        <v>4676.8796768749989</v>
      </c>
      <c r="H103" s="202">
        <v>4676.8796768749989</v>
      </c>
      <c r="I103" s="202">
        <v>4676.8796768749989</v>
      </c>
      <c r="J103" s="202">
        <v>4676.8796768749989</v>
      </c>
      <c r="K103" s="202">
        <v>4676.8796768749989</v>
      </c>
      <c r="L103" s="202">
        <v>4676.8796768749989</v>
      </c>
      <c r="M103" s="202">
        <v>4676.8796768749989</v>
      </c>
      <c r="N103" s="202">
        <v>4676.8796768749989</v>
      </c>
      <c r="O103" s="202">
        <v>4676.8796768749989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9"/>
        <v>2239657.3030173127</v>
      </c>
      <c r="B104" s="206" t="s">
        <v>56</v>
      </c>
      <c r="C104" s="203" t="s">
        <v>8</v>
      </c>
      <c r="D104" s="202">
        <v>186638.12413793747</v>
      </c>
      <c r="E104" s="202">
        <v>186638.12413793747</v>
      </c>
      <c r="F104" s="202">
        <v>186638.12413793747</v>
      </c>
      <c r="G104" s="202">
        <v>186638.12413793747</v>
      </c>
      <c r="H104" s="202">
        <v>186638.12413793747</v>
      </c>
      <c r="I104" s="202">
        <v>186637.9375</v>
      </c>
      <c r="J104" s="202">
        <v>186638.12413793747</v>
      </c>
      <c r="K104" s="202">
        <v>186638.12413793747</v>
      </c>
      <c r="L104" s="202">
        <v>186638.12413793747</v>
      </c>
      <c r="M104" s="202">
        <v>186638.12413793747</v>
      </c>
      <c r="N104" s="202">
        <v>186638.12413793747</v>
      </c>
      <c r="O104" s="202">
        <v>186638.12413793747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9"/>
        <v>209191.70919149995</v>
      </c>
      <c r="B105" s="206" t="s">
        <v>56</v>
      </c>
      <c r="C105" s="203" t="s">
        <v>9</v>
      </c>
      <c r="D105" s="202">
        <v>17432.642432624994</v>
      </c>
      <c r="E105" s="202">
        <v>17432.642432624994</v>
      </c>
      <c r="F105" s="202">
        <v>17432.642432624994</v>
      </c>
      <c r="G105" s="202">
        <v>17432.642432624994</v>
      </c>
      <c r="H105" s="202">
        <v>17432.642432624994</v>
      </c>
      <c r="I105" s="202">
        <v>17432.642432624994</v>
      </c>
      <c r="J105" s="202">
        <v>17432.642432624994</v>
      </c>
      <c r="K105" s="202">
        <v>17432.642432624994</v>
      </c>
      <c r="L105" s="202">
        <v>17432.642432624994</v>
      </c>
      <c r="M105" s="202">
        <v>17432.642432624994</v>
      </c>
      <c r="N105" s="202">
        <v>17432.642432624994</v>
      </c>
      <c r="O105" s="202">
        <v>17432.642432624994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9"/>
        <v>3224379.9743767488</v>
      </c>
      <c r="B106" s="206" t="s">
        <v>56</v>
      </c>
      <c r="C106" s="203" t="s">
        <v>10</v>
      </c>
      <c r="D106" s="202">
        <v>268698.33119806246</v>
      </c>
      <c r="E106" s="202">
        <v>268698.33119806246</v>
      </c>
      <c r="F106" s="202">
        <v>268698.33119806246</v>
      </c>
      <c r="G106" s="202">
        <v>268698.33119806246</v>
      </c>
      <c r="H106" s="202">
        <v>268698.33119806246</v>
      </c>
      <c r="I106" s="202">
        <v>268698.33119806246</v>
      </c>
      <c r="J106" s="202">
        <v>268698.33119806246</v>
      </c>
      <c r="K106" s="202">
        <v>268698.33119806246</v>
      </c>
      <c r="L106" s="202">
        <v>268698.33119806246</v>
      </c>
      <c r="M106" s="202">
        <v>268698.33119806246</v>
      </c>
      <c r="N106" s="202">
        <v>268698.33119806246</v>
      </c>
      <c r="O106" s="202">
        <v>268698.33119806246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9"/>
        <v>105339.25533915001</v>
      </c>
      <c r="B107" s="206" t="s">
        <v>56</v>
      </c>
      <c r="C107" s="203" t="s">
        <v>11</v>
      </c>
      <c r="D107" s="202">
        <v>8778.2712782624985</v>
      </c>
      <c r="E107" s="202">
        <v>8778.2712782624985</v>
      </c>
      <c r="F107" s="202">
        <v>8778.2712782624985</v>
      </c>
      <c r="G107" s="202">
        <v>8778.2712782624985</v>
      </c>
      <c r="H107" s="202">
        <v>8778.2712782624985</v>
      </c>
      <c r="I107" s="202">
        <v>8778.2712782624985</v>
      </c>
      <c r="J107" s="202">
        <v>8778.2712782624985</v>
      </c>
      <c r="K107" s="202">
        <v>8778.2712782624985</v>
      </c>
      <c r="L107" s="202">
        <v>8778.2712782624985</v>
      </c>
      <c r="M107" s="202">
        <v>8778.2712782624985</v>
      </c>
      <c r="N107" s="202">
        <v>8778.2712782624985</v>
      </c>
      <c r="O107" s="202">
        <v>8778.2712782624985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9"/>
        <v>1.1999999999999997E-13</v>
      </c>
      <c r="B108" s="206" t="s">
        <v>56</v>
      </c>
      <c r="C108" s="203" t="s">
        <v>12</v>
      </c>
      <c r="D108" s="202">
        <v>1E-14</v>
      </c>
      <c r="E108" s="202">
        <v>1E-14</v>
      </c>
      <c r="F108" s="202">
        <v>1E-14</v>
      </c>
      <c r="G108" s="202">
        <v>1E-14</v>
      </c>
      <c r="H108" s="202">
        <v>1E-14</v>
      </c>
      <c r="I108" s="202">
        <v>1E-14</v>
      </c>
      <c r="J108" s="202">
        <v>1E-14</v>
      </c>
      <c r="K108" s="202">
        <v>1E-14</v>
      </c>
      <c r="L108" s="202">
        <v>1E-14</v>
      </c>
      <c r="M108" s="202">
        <v>1E-14</v>
      </c>
      <c r="N108" s="202">
        <v>1E-14</v>
      </c>
      <c r="O108" s="202">
        <v>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9"/>
        <v>6767.2562033124977</v>
      </c>
      <c r="B109" s="206" t="s">
        <v>56</v>
      </c>
      <c r="C109" s="203" t="s">
        <v>13</v>
      </c>
      <c r="D109" s="202">
        <v>563.93806393749992</v>
      </c>
      <c r="E109" s="202">
        <v>563.93806393749992</v>
      </c>
      <c r="F109" s="202">
        <v>563.93806393749992</v>
      </c>
      <c r="G109" s="202">
        <v>563.93806393749992</v>
      </c>
      <c r="H109" s="202">
        <v>563.93806393749992</v>
      </c>
      <c r="I109" s="202">
        <v>563.9375</v>
      </c>
      <c r="J109" s="202">
        <v>563.93806393749992</v>
      </c>
      <c r="K109" s="202">
        <v>563.93806393749992</v>
      </c>
      <c r="L109" s="202">
        <v>563.93806393749992</v>
      </c>
      <c r="M109" s="202">
        <v>563.93806393749992</v>
      </c>
      <c r="N109" s="202">
        <v>563.93806393749992</v>
      </c>
      <c r="O109" s="202">
        <v>563.93806393749992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9"/>
        <v>13693089.693076</v>
      </c>
      <c r="B110" s="206" t="s">
        <v>56</v>
      </c>
      <c r="C110" s="203" t="s">
        <v>14</v>
      </c>
      <c r="D110" s="202">
        <v>2808533.1656369795</v>
      </c>
      <c r="E110" s="202">
        <v>2403745.3954370022</v>
      </c>
      <c r="F110" s="202">
        <v>2767185.5213660006</v>
      </c>
      <c r="G110" s="202">
        <v>1E-14</v>
      </c>
      <c r="H110" s="202">
        <v>1E-14</v>
      </c>
      <c r="I110" s="202">
        <v>1E-14</v>
      </c>
      <c r="J110" s="202">
        <v>1E-14</v>
      </c>
      <c r="K110" s="202">
        <v>1E-14</v>
      </c>
      <c r="L110" s="202">
        <v>1752922.4990425219</v>
      </c>
      <c r="M110" s="202">
        <v>1410411.2241808753</v>
      </c>
      <c r="N110" s="202">
        <v>2550291.8874126212</v>
      </c>
      <c r="O110" s="202">
        <v>1E-14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9"/>
        <v>79356.42935635001</v>
      </c>
      <c r="B111" s="206" t="s">
        <v>56</v>
      </c>
      <c r="C111" s="203" t="s">
        <v>15</v>
      </c>
      <c r="D111" s="202">
        <v>1E-14</v>
      </c>
      <c r="E111" s="202">
        <v>1E-14</v>
      </c>
      <c r="F111" s="202">
        <v>1E-14</v>
      </c>
      <c r="G111" s="202">
        <v>1E-14</v>
      </c>
      <c r="H111" s="202">
        <v>79356.350000000006</v>
      </c>
      <c r="I111" s="202">
        <v>1E-14</v>
      </c>
      <c r="J111" s="202">
        <v>1E-14</v>
      </c>
      <c r="K111" s="202">
        <v>1E-14</v>
      </c>
      <c r="L111" s="202">
        <v>1E-14</v>
      </c>
      <c r="M111" s="202">
        <v>1E-14</v>
      </c>
      <c r="N111" s="202">
        <v>7.9356349997539155E-2</v>
      </c>
      <c r="O111" s="202">
        <v>1E-14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9"/>
        <v>-1.1999999999999997E-13</v>
      </c>
      <c r="B112" s="206" t="s">
        <v>56</v>
      </c>
      <c r="C112" s="203" t="s">
        <v>16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9"/>
        <v>1.1999999999999997E-13</v>
      </c>
      <c r="B113" s="206" t="s">
        <v>56</v>
      </c>
      <c r="C113" s="203" t="s">
        <v>18</v>
      </c>
      <c r="D113" s="202">
        <v>1E-14</v>
      </c>
      <c r="E113" s="202">
        <v>1E-14</v>
      </c>
      <c r="F113" s="202">
        <v>1E-14</v>
      </c>
      <c r="G113" s="202">
        <v>1E-14</v>
      </c>
      <c r="H113" s="202">
        <v>1E-14</v>
      </c>
      <c r="I113" s="202">
        <v>1E-14</v>
      </c>
      <c r="J113" s="202">
        <v>1E-14</v>
      </c>
      <c r="K113" s="202">
        <v>1E-14</v>
      </c>
      <c r="L113" s="202">
        <v>1E-14</v>
      </c>
      <c r="M113" s="202">
        <v>1E-14</v>
      </c>
      <c r="N113" s="202">
        <v>1E-14</v>
      </c>
      <c r="O113" s="202">
        <v>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9"/>
        <v>-1.1999999999999997E-13</v>
      </c>
      <c r="B114" s="206" t="s">
        <v>56</v>
      </c>
      <c r="C114" s="203" t="s">
        <v>19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9"/>
        <v>78048.971544825006</v>
      </c>
      <c r="B115" s="206" t="s">
        <v>56</v>
      </c>
      <c r="C115" s="203" t="s">
        <v>20</v>
      </c>
      <c r="D115" s="202">
        <v>6504.0815040749985</v>
      </c>
      <c r="E115" s="202">
        <v>6504.0815040749985</v>
      </c>
      <c r="F115" s="202">
        <v>6504.0815040749985</v>
      </c>
      <c r="G115" s="202">
        <v>6504.0815040749985</v>
      </c>
      <c r="H115" s="202">
        <v>6504.0815040749985</v>
      </c>
      <c r="I115" s="202">
        <v>6504.0749999999998</v>
      </c>
      <c r="J115" s="202">
        <v>6504.0815040749985</v>
      </c>
      <c r="K115" s="202">
        <v>6504.0815040749985</v>
      </c>
      <c r="L115" s="202">
        <v>6504.0815040749985</v>
      </c>
      <c r="M115" s="202">
        <v>6504.0815040749985</v>
      </c>
      <c r="N115" s="202">
        <v>6504.0815040749985</v>
      </c>
      <c r="O115" s="202">
        <v>6504.0815040749985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9"/>
        <v>32891.032891000003</v>
      </c>
      <c r="B116" s="206" t="s">
        <v>56</v>
      </c>
      <c r="C116" s="203" t="s">
        <v>17</v>
      </c>
      <c r="D116" s="202">
        <v>2740.9194075833334</v>
      </c>
      <c r="E116" s="202">
        <v>2740.9194075833334</v>
      </c>
      <c r="F116" s="202">
        <v>2740.9194075833334</v>
      </c>
      <c r="G116" s="202">
        <v>2740.9194075833334</v>
      </c>
      <c r="H116" s="202">
        <v>2740.9194075833334</v>
      </c>
      <c r="I116" s="202">
        <v>2740.9194075833334</v>
      </c>
      <c r="J116" s="202">
        <v>2740.9194075833334</v>
      </c>
      <c r="K116" s="202">
        <v>2740.9194075833334</v>
      </c>
      <c r="L116" s="202">
        <v>2740.9194075833334</v>
      </c>
      <c r="M116" s="202">
        <v>2740.9194075833334</v>
      </c>
      <c r="N116" s="202">
        <v>2740.9194075833334</v>
      </c>
      <c r="O116" s="202">
        <v>2740.9194075833334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9"/>
        <v>-2051310.643736925</v>
      </c>
      <c r="B117" s="206" t="s">
        <v>56</v>
      </c>
      <c r="C117" s="203" t="s">
        <v>26</v>
      </c>
      <c r="D117" s="202">
        <v>1E-14</v>
      </c>
      <c r="E117" s="202">
        <v>1E-14</v>
      </c>
      <c r="F117" s="202">
        <v>1E-14</v>
      </c>
      <c r="G117" s="202">
        <v>1E-14</v>
      </c>
      <c r="H117" s="202">
        <v>-250736.07278517194</v>
      </c>
      <c r="I117" s="202">
        <v>1E-14</v>
      </c>
      <c r="J117" s="202">
        <v>-428376.13020532305</v>
      </c>
      <c r="K117" s="202">
        <v>-428376.13020532305</v>
      </c>
      <c r="L117" s="202">
        <v>1E-14</v>
      </c>
      <c r="M117" s="202">
        <v>-943822.31054110697</v>
      </c>
      <c r="N117" s="202">
        <v>1E-14</v>
      </c>
      <c r="O117" s="202">
        <v>1E-14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outlineLevel="1" x14ac:dyDescent="0.25">
      <c r="A118" s="202">
        <f t="shared" si="9"/>
        <v>-1.1999999999999997E-13</v>
      </c>
      <c r="B118" s="206" t="s">
        <v>56</v>
      </c>
      <c r="C118" s="203" t="s">
        <v>27</v>
      </c>
      <c r="D118" s="202">
        <v>-1E-14</v>
      </c>
      <c r="E118" s="202">
        <v>-1E-14</v>
      </c>
      <c r="F118" s="202">
        <v>-1E-14</v>
      </c>
      <c r="G118" s="202">
        <v>-1E-14</v>
      </c>
      <c r="H118" s="202">
        <v>-1E-14</v>
      </c>
      <c r="I118" s="202">
        <v>-1E-14</v>
      </c>
      <c r="J118" s="202">
        <v>-1E-14</v>
      </c>
      <c r="K118" s="202">
        <v>-1E-14</v>
      </c>
      <c r="L118" s="202">
        <v>-1E-14</v>
      </c>
      <c r="M118" s="202">
        <v>-1E-14</v>
      </c>
      <c r="N118" s="202">
        <v>-1E-14</v>
      </c>
      <c r="O118" s="202">
        <v>-1E-14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outlineLevel="1" x14ac:dyDescent="0.25">
      <c r="A119" s="202">
        <f t="shared" si="9"/>
        <v>-1.1999999999999997E-13</v>
      </c>
      <c r="B119" s="206" t="s">
        <v>56</v>
      </c>
      <c r="C119" s="203" t="s">
        <v>60</v>
      </c>
      <c r="D119" s="202">
        <v>-1E-14</v>
      </c>
      <c r="E119" s="202">
        <v>-1E-14</v>
      </c>
      <c r="F119" s="202">
        <v>-1E-14</v>
      </c>
      <c r="G119" s="202">
        <v>-1E-14</v>
      </c>
      <c r="H119" s="202">
        <v>-1E-14</v>
      </c>
      <c r="I119" s="202">
        <v>-1E-14</v>
      </c>
      <c r="J119" s="202">
        <v>-1E-14</v>
      </c>
      <c r="K119" s="202">
        <v>-1E-14</v>
      </c>
      <c r="L119" s="202">
        <v>-1E-14</v>
      </c>
      <c r="M119" s="202">
        <v>-1E-14</v>
      </c>
      <c r="N119" s="202">
        <v>-1E-14</v>
      </c>
      <c r="O119" s="202">
        <v>-1E-14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outlineLevel="1" x14ac:dyDescent="0.25">
      <c r="A120" s="202">
        <f t="shared" si="9"/>
        <v>-1.1999999999999997E-13</v>
      </c>
      <c r="B120" s="206" t="s">
        <v>56</v>
      </c>
      <c r="C120" s="203" t="s">
        <v>61</v>
      </c>
      <c r="D120" s="202">
        <v>-1E-14</v>
      </c>
      <c r="E120" s="202">
        <v>-1E-14</v>
      </c>
      <c r="F120" s="202">
        <v>-1E-14</v>
      </c>
      <c r="G120" s="202">
        <v>-1E-14</v>
      </c>
      <c r="H120" s="202">
        <v>-1E-14</v>
      </c>
      <c r="I120" s="202">
        <v>-1E-14</v>
      </c>
      <c r="J120" s="202">
        <v>-1E-14</v>
      </c>
      <c r="K120" s="202">
        <v>-1E-14</v>
      </c>
      <c r="L120" s="202">
        <v>-1E-14</v>
      </c>
      <c r="M120" s="202">
        <v>-1E-14</v>
      </c>
      <c r="N120" s="202">
        <v>-1E-14</v>
      </c>
      <c r="O120" s="202">
        <v>-1E-14</v>
      </c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outlineLevel="1" x14ac:dyDescent="0.25">
      <c r="A121" s="202">
        <f t="shared" si="9"/>
        <v>-1.1999999999999997E-13</v>
      </c>
      <c r="B121" s="206" t="s">
        <v>56</v>
      </c>
      <c r="C121" s="203" t="s">
        <v>62</v>
      </c>
      <c r="D121" s="202">
        <v>-1E-14</v>
      </c>
      <c r="E121" s="202">
        <v>-1E-14</v>
      </c>
      <c r="F121" s="202">
        <v>-1E-14</v>
      </c>
      <c r="G121" s="202">
        <v>-1E-14</v>
      </c>
      <c r="H121" s="202">
        <v>-1E-14</v>
      </c>
      <c r="I121" s="202">
        <v>-1E-14</v>
      </c>
      <c r="J121" s="202">
        <v>-1E-14</v>
      </c>
      <c r="K121" s="202">
        <v>-1E-14</v>
      </c>
      <c r="L121" s="202">
        <v>-1E-14</v>
      </c>
      <c r="M121" s="202">
        <v>-1E-14</v>
      </c>
      <c r="N121" s="202">
        <v>-1E-14</v>
      </c>
      <c r="O121" s="202">
        <v>-1E-14</v>
      </c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</row>
    <row r="122" spans="1:27" outlineLevel="1" x14ac:dyDescent="0.25">
      <c r="A122" s="202">
        <f t="shared" si="9"/>
        <v>-1305402.3529411759</v>
      </c>
      <c r="B122" s="206" t="s">
        <v>56</v>
      </c>
      <c r="C122" s="203" t="s">
        <v>21</v>
      </c>
      <c r="D122" s="202">
        <v>-270974.11764705845</v>
      </c>
      <c r="E122" s="202">
        <v>-1034428.2352941175</v>
      </c>
      <c r="F122" s="202">
        <v>1E-14</v>
      </c>
      <c r="G122" s="202">
        <v>1E-14</v>
      </c>
      <c r="H122" s="202">
        <v>1E-14</v>
      </c>
      <c r="I122" s="202">
        <v>1E-14</v>
      </c>
      <c r="J122" s="202">
        <v>1E-14</v>
      </c>
      <c r="K122" s="202">
        <v>1E-14</v>
      </c>
      <c r="L122" s="202">
        <v>1E-14</v>
      </c>
      <c r="M122" s="202">
        <v>1E-14</v>
      </c>
      <c r="N122" s="202">
        <v>1E-14</v>
      </c>
      <c r="O122" s="202">
        <v>1E-14</v>
      </c>
      <c r="P122" s="202"/>
      <c r="Q122" s="202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</row>
    <row r="123" spans="1:27" s="16" customFormat="1" outlineLevel="1" x14ac:dyDescent="0.25">
      <c r="A123" s="202">
        <f t="shared" si="9"/>
        <v>-1814400</v>
      </c>
      <c r="B123" s="206" t="s">
        <v>56</v>
      </c>
      <c r="C123" s="203" t="s">
        <v>22</v>
      </c>
      <c r="D123" s="202">
        <v>-756000</v>
      </c>
      <c r="E123" s="202">
        <v>1E-14</v>
      </c>
      <c r="F123" s="202">
        <v>1E-14</v>
      </c>
      <c r="G123" s="202">
        <v>1E-14</v>
      </c>
      <c r="H123" s="202">
        <v>1E-14</v>
      </c>
      <c r="I123" s="202">
        <v>1E-14</v>
      </c>
      <c r="J123" s="202">
        <v>1E-14</v>
      </c>
      <c r="K123" s="202">
        <v>1E-14</v>
      </c>
      <c r="L123" s="202">
        <v>1E-14</v>
      </c>
      <c r="M123" s="202">
        <v>1E-14</v>
      </c>
      <c r="N123" s="202">
        <v>1E-14</v>
      </c>
      <c r="O123" s="202">
        <v>-1058400</v>
      </c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</row>
    <row r="124" spans="1:27" s="16" customFormat="1" outlineLevel="1" x14ac:dyDescent="0.25">
      <c r="A124" s="202">
        <f t="shared" si="9"/>
        <v>1.1999999999999997E-13</v>
      </c>
      <c r="B124" s="206" t="s">
        <v>56</v>
      </c>
      <c r="C124" s="203" t="s">
        <v>25</v>
      </c>
      <c r="D124" s="202">
        <v>1E-14</v>
      </c>
      <c r="E124" s="202">
        <v>1E-14</v>
      </c>
      <c r="F124" s="202">
        <v>1E-14</v>
      </c>
      <c r="G124" s="202">
        <v>1E-14</v>
      </c>
      <c r="H124" s="202">
        <v>1E-14</v>
      </c>
      <c r="I124" s="202">
        <v>1E-14</v>
      </c>
      <c r="J124" s="202">
        <v>1E-14</v>
      </c>
      <c r="K124" s="202">
        <v>1E-14</v>
      </c>
      <c r="L124" s="202">
        <v>1E-14</v>
      </c>
      <c r="M124" s="202">
        <v>1E-14</v>
      </c>
      <c r="N124" s="202">
        <v>1E-14</v>
      </c>
      <c r="O124" s="202">
        <v>1E-14</v>
      </c>
      <c r="P124" s="202"/>
      <c r="Q124" s="202"/>
      <c r="R124" s="202"/>
      <c r="S124" s="202"/>
      <c r="T124" s="202"/>
      <c r="U124" s="202"/>
      <c r="V124" s="202"/>
      <c r="W124" s="202"/>
      <c r="X124" s="202"/>
      <c r="Y124" s="202"/>
      <c r="Z124" s="202"/>
      <c r="AA124" s="202"/>
    </row>
    <row r="125" spans="1:27" s="16" customFormat="1" outlineLevel="1" x14ac:dyDescent="0.25">
      <c r="A125" s="202"/>
      <c r="B125" s="204"/>
      <c r="C125" s="205"/>
      <c r="D125" s="202"/>
      <c r="E125" s="202"/>
      <c r="F125" s="202"/>
      <c r="G125" s="202"/>
      <c r="H125" s="202"/>
      <c r="I125" s="202"/>
      <c r="J125" s="202"/>
      <c r="K125" s="202"/>
      <c r="L125" s="202"/>
      <c r="M125" s="202"/>
      <c r="N125" s="202"/>
      <c r="O125" s="202"/>
      <c r="P125" s="202"/>
      <c r="Q125" s="202"/>
      <c r="R125" s="202"/>
      <c r="S125" s="202"/>
      <c r="T125" s="202"/>
      <c r="U125" s="202"/>
      <c r="V125" s="202"/>
      <c r="W125" s="202"/>
      <c r="X125" s="202"/>
      <c r="Y125" s="202"/>
      <c r="Z125" s="202"/>
      <c r="AA125" s="202"/>
    </row>
    <row r="126" spans="1:27" s="16" customFormat="1" outlineLevel="1" x14ac:dyDescent="0.25">
      <c r="B126" s="51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27" s="75" customFormat="1" ht="18.75" x14ac:dyDescent="0.3">
      <c r="A127" s="77" t="s">
        <v>28</v>
      </c>
      <c r="B127" s="74"/>
      <c r="C127" s="76"/>
      <c r="D127" s="78" t="s">
        <v>216</v>
      </c>
      <c r="E127" s="78" t="s">
        <v>223</v>
      </c>
      <c r="F127" s="78" t="s">
        <v>224</v>
      </c>
      <c r="G127" s="78" t="s">
        <v>225</v>
      </c>
      <c r="H127" s="78" t="s">
        <v>226</v>
      </c>
      <c r="I127" s="78" t="s">
        <v>227</v>
      </c>
      <c r="J127" s="78" t="s">
        <v>228</v>
      </c>
      <c r="K127" s="78" t="s">
        <v>229</v>
      </c>
      <c r="L127" s="78" t="s">
        <v>230</v>
      </c>
      <c r="M127" s="78" t="s">
        <v>231</v>
      </c>
      <c r="N127" s="78" t="s">
        <v>232</v>
      </c>
      <c r="O127" s="78" t="s">
        <v>233</v>
      </c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1:27" outlineLevel="1" x14ac:dyDescent="0.25">
      <c r="C128" s="5" t="s">
        <v>110</v>
      </c>
      <c r="D128" s="88">
        <v>1.2105263157894737</v>
      </c>
      <c r="E128" s="88">
        <v>1.2105263157894737</v>
      </c>
      <c r="F128" s="88">
        <v>1.1607193981157826</v>
      </c>
      <c r="G128" s="88">
        <v>0.56868589843115702</v>
      </c>
      <c r="H128" s="88">
        <v>0.50320510682878261</v>
      </c>
      <c r="I128" s="88">
        <v>0.88606893524746722</v>
      </c>
      <c r="J128" s="88">
        <v>0.67346632357992964</v>
      </c>
      <c r="K128" s="88">
        <v>0.67346632357992964</v>
      </c>
      <c r="L128" s="88">
        <v>0.50296699245601884</v>
      </c>
      <c r="M128" s="88">
        <v>0.50320510682878261</v>
      </c>
      <c r="N128" s="88">
        <v>1.0570347437220502</v>
      </c>
      <c r="O128" s="88">
        <v>0.95973068344485502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 outlineLevel="1" x14ac:dyDescent="0.25">
      <c r="C129" s="5" t="s">
        <v>111</v>
      </c>
      <c r="D129" s="88">
        <v>1.2355460385438972</v>
      </c>
      <c r="E129" s="88">
        <v>1.2355460385438972</v>
      </c>
      <c r="F129" s="88">
        <v>1.2258545332894502</v>
      </c>
      <c r="G129" s="88">
        <v>0.95825532088572962</v>
      </c>
      <c r="H129" s="88">
        <v>0.54358328756730001</v>
      </c>
      <c r="I129" s="88">
        <v>1.0786036585365855</v>
      </c>
      <c r="J129" s="88">
        <v>0.62527965180499701</v>
      </c>
      <c r="K129" s="88">
        <v>0.62086315143908588</v>
      </c>
      <c r="L129" s="88">
        <v>0.9136156181061641</v>
      </c>
      <c r="M129" s="88">
        <v>1</v>
      </c>
      <c r="N129" s="88">
        <v>1.2056794166631677</v>
      </c>
      <c r="O129" s="88">
        <v>1.1867458456754256</v>
      </c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 outlineLevel="1" x14ac:dyDescent="0.25">
      <c r="C130" s="5" t="s">
        <v>112</v>
      </c>
      <c r="D130" s="88">
        <v>0.16379928315412168</v>
      </c>
      <c r="E130" s="88">
        <v>0.69229024943310646</v>
      </c>
      <c r="F130" s="88">
        <v>1E-14</v>
      </c>
      <c r="G130" s="88">
        <v>1E-14</v>
      </c>
      <c r="H130" s="88">
        <v>1E-14</v>
      </c>
      <c r="I130" s="88">
        <v>1E-14</v>
      </c>
      <c r="J130" s="88">
        <v>1E-14</v>
      </c>
      <c r="K130" s="88">
        <v>1E-14</v>
      </c>
      <c r="L130" s="88">
        <v>1E-14</v>
      </c>
      <c r="M130" s="88">
        <v>1E-14</v>
      </c>
      <c r="N130" s="88">
        <v>1E-14</v>
      </c>
      <c r="O130" s="88">
        <v>1E-14</v>
      </c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 outlineLevel="1" x14ac:dyDescent="0.25">
      <c r="C131" s="5" t="s">
        <v>71</v>
      </c>
      <c r="D131" s="88">
        <v>1.0000000000000002</v>
      </c>
      <c r="E131" s="88">
        <v>1E-14</v>
      </c>
      <c r="F131" s="88">
        <v>1E-14</v>
      </c>
      <c r="G131" s="88">
        <v>1E-14</v>
      </c>
      <c r="H131" s="88">
        <v>1E-14</v>
      </c>
      <c r="I131" s="88">
        <v>1E-14</v>
      </c>
      <c r="J131" s="88">
        <v>1E-14</v>
      </c>
      <c r="K131" s="88">
        <v>1E-14</v>
      </c>
      <c r="L131" s="88">
        <v>1E-14</v>
      </c>
      <c r="M131" s="88">
        <v>1E-14</v>
      </c>
      <c r="N131" s="88">
        <v>1E-14</v>
      </c>
      <c r="O131" s="88">
        <v>1</v>
      </c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 outlineLevel="1" x14ac:dyDescent="0.25">
      <c r="C132" s="5" t="s">
        <v>113</v>
      </c>
      <c r="D132" s="88">
        <v>1E-14</v>
      </c>
      <c r="E132" s="88">
        <v>1E-14</v>
      </c>
      <c r="F132" s="88">
        <v>1E-14</v>
      </c>
      <c r="G132" s="88">
        <v>1E-14</v>
      </c>
      <c r="H132" s="88">
        <v>1E-14</v>
      </c>
      <c r="I132" s="88">
        <v>0.14657027484372107</v>
      </c>
      <c r="J132" s="88">
        <v>0.43889887462180738</v>
      </c>
      <c r="K132" s="88">
        <v>0.47682672310238494</v>
      </c>
      <c r="L132" s="88">
        <v>1</v>
      </c>
      <c r="M132" s="88">
        <v>0.11013025941450152</v>
      </c>
      <c r="N132" s="88">
        <v>1E-14</v>
      </c>
      <c r="O132" s="88">
        <v>1E-14</v>
      </c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 outlineLevel="1" x14ac:dyDescent="0.25">
      <c r="C133" s="5" t="s">
        <v>114</v>
      </c>
      <c r="D133" s="88">
        <v>1E-14</v>
      </c>
      <c r="E133" s="88">
        <v>1E-14</v>
      </c>
      <c r="F133" s="88">
        <v>1E-14</v>
      </c>
      <c r="G133" s="88">
        <v>1E-14</v>
      </c>
      <c r="H133" s="88">
        <v>1E-14</v>
      </c>
      <c r="I133" s="88">
        <v>1E-14</v>
      </c>
      <c r="J133" s="88">
        <v>1E-14</v>
      </c>
      <c r="K133" s="88">
        <v>1E-14</v>
      </c>
      <c r="L133" s="88">
        <v>1E-14</v>
      </c>
      <c r="M133" s="88">
        <v>1E-14</v>
      </c>
      <c r="N133" s="88">
        <v>1E-14</v>
      </c>
      <c r="O133" s="88">
        <v>1E-14</v>
      </c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5" spans="1:27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27" s="75" customFormat="1" ht="18.75" x14ac:dyDescent="0.3">
      <c r="A136" s="77" t="s">
        <v>123</v>
      </c>
      <c r="B136" s="74"/>
      <c r="C136" s="107" t="s">
        <v>122</v>
      </c>
      <c r="D136" s="78" t="s">
        <v>216</v>
      </c>
      <c r="E136" s="78" t="s">
        <v>223</v>
      </c>
      <c r="F136" s="78" t="s">
        <v>224</v>
      </c>
      <c r="G136" s="78" t="s">
        <v>225</v>
      </c>
      <c r="H136" s="78" t="s">
        <v>226</v>
      </c>
      <c r="I136" s="78" t="s">
        <v>227</v>
      </c>
      <c r="J136" s="78" t="s">
        <v>228</v>
      </c>
      <c r="K136" s="78" t="s">
        <v>229</v>
      </c>
      <c r="L136" s="78" t="s">
        <v>230</v>
      </c>
      <c r="M136" s="78" t="s">
        <v>231</v>
      </c>
      <c r="N136" s="78" t="s">
        <v>232</v>
      </c>
      <c r="O136" s="78" t="s">
        <v>233</v>
      </c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1:27" s="16" customFormat="1" x14ac:dyDescent="0.25">
      <c r="A137" s="106">
        <f>MAX(D137:AA137)</f>
        <v>1E-14</v>
      </c>
      <c r="B137" s="95"/>
      <c r="C137" s="100" t="s">
        <v>97</v>
      </c>
      <c r="D137" s="93">
        <v>1E-14</v>
      </c>
      <c r="E137" s="91">
        <v>1E-14</v>
      </c>
      <c r="F137" s="91">
        <v>1E-14</v>
      </c>
      <c r="G137" s="91">
        <v>1E-14</v>
      </c>
      <c r="H137" s="91">
        <v>1E-14</v>
      </c>
      <c r="I137" s="91">
        <v>1E-14</v>
      </c>
      <c r="J137" s="91">
        <v>1E-14</v>
      </c>
      <c r="K137" s="91">
        <v>1E-14</v>
      </c>
      <c r="L137" s="91">
        <v>1E-14</v>
      </c>
      <c r="M137" s="91">
        <v>1E-14</v>
      </c>
      <c r="N137" s="91">
        <v>1E-14</v>
      </c>
      <c r="O137" s="91">
        <v>1E-14</v>
      </c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>
        <f t="shared" ref="A138:A142" si="10">MAX(D138:AA138)</f>
        <v>1E-14</v>
      </c>
      <c r="B138" s="96"/>
      <c r="C138" s="101" t="s">
        <v>98</v>
      </c>
      <c r="D138" s="94">
        <v>1E-14</v>
      </c>
      <c r="E138" s="92">
        <v>1E-14</v>
      </c>
      <c r="F138" s="92">
        <v>1E-14</v>
      </c>
      <c r="G138" s="92">
        <v>1E-14</v>
      </c>
      <c r="H138" s="92">
        <v>1E-14</v>
      </c>
      <c r="I138" s="92">
        <v>1E-14</v>
      </c>
      <c r="J138" s="92">
        <v>1E-14</v>
      </c>
      <c r="K138" s="92">
        <v>1E-14</v>
      </c>
      <c r="L138" s="92">
        <v>1E-14</v>
      </c>
      <c r="M138" s="92">
        <v>1E-14</v>
      </c>
      <c r="N138" s="92">
        <v>1E-14</v>
      </c>
      <c r="O138" s="92">
        <v>1E-14</v>
      </c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16" customFormat="1" x14ac:dyDescent="0.25">
      <c r="A139" s="106">
        <f t="shared" si="10"/>
        <v>0</v>
      </c>
      <c r="B139" s="96"/>
      <c r="C139" s="101"/>
      <c r="D139" s="94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</row>
    <row r="140" spans="1:27" s="16" customFormat="1" x14ac:dyDescent="0.25">
      <c r="A140" s="106">
        <f t="shared" si="10"/>
        <v>0</v>
      </c>
      <c r="B140" s="96"/>
      <c r="C140" s="101"/>
      <c r="D140" s="94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s="16" customFormat="1" x14ac:dyDescent="0.25">
      <c r="A141" s="106">
        <f t="shared" si="10"/>
        <v>0</v>
      </c>
      <c r="B141" s="96"/>
      <c r="C141" s="101"/>
      <c r="D141" s="94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s="16" customFormat="1" x14ac:dyDescent="0.25">
      <c r="A142" s="106">
        <f t="shared" si="10"/>
        <v>0</v>
      </c>
      <c r="B142" s="96"/>
      <c r="C142" s="101"/>
      <c r="D142" s="94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s="16" customFormat="1" x14ac:dyDescent="0.25">
      <c r="A143" s="106"/>
      <c r="B143" s="97"/>
      <c r="C143" s="108"/>
      <c r="D143" s="93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s="75" customFormat="1" ht="18.75" x14ac:dyDescent="0.3">
      <c r="A144" s="77" t="s">
        <v>124</v>
      </c>
      <c r="B144" s="76" t="s">
        <v>122</v>
      </c>
      <c r="C144" s="107" t="s">
        <v>125</v>
      </c>
      <c r="D144" s="78" t="s">
        <v>216</v>
      </c>
      <c r="E144" s="78" t="s">
        <v>223</v>
      </c>
      <c r="F144" s="78" t="s">
        <v>224</v>
      </c>
      <c r="G144" s="78" t="s">
        <v>225</v>
      </c>
      <c r="H144" s="78" t="s">
        <v>226</v>
      </c>
      <c r="I144" s="78" t="s">
        <v>227</v>
      </c>
      <c r="J144" s="78" t="s">
        <v>228</v>
      </c>
      <c r="K144" s="78" t="s">
        <v>229</v>
      </c>
      <c r="L144" s="78" t="s">
        <v>230</v>
      </c>
      <c r="M144" s="78" t="s">
        <v>231</v>
      </c>
      <c r="N144" s="78" t="s">
        <v>232</v>
      </c>
      <c r="O144" s="78" t="s">
        <v>233</v>
      </c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1:27" x14ac:dyDescent="0.25">
      <c r="A145" s="106">
        <f>MAX(D145:AA145)</f>
        <v>1E-14</v>
      </c>
      <c r="B145" s="95" t="s">
        <v>97</v>
      </c>
      <c r="C145" s="100" t="s">
        <v>10</v>
      </c>
      <c r="D145" s="91">
        <v>1E-14</v>
      </c>
      <c r="E145" s="91">
        <v>1E-14</v>
      </c>
      <c r="F145" s="91">
        <v>1E-14</v>
      </c>
      <c r="G145" s="91">
        <v>1E-14</v>
      </c>
      <c r="H145" s="91">
        <v>1E-14</v>
      </c>
      <c r="I145" s="91">
        <v>1E-14</v>
      </c>
      <c r="J145" s="91">
        <v>1E-14</v>
      </c>
      <c r="K145" s="91">
        <v>1E-14</v>
      </c>
      <c r="L145" s="91">
        <v>1E-14</v>
      </c>
      <c r="M145" s="91">
        <v>1E-14</v>
      </c>
      <c r="N145" s="91">
        <v>1E-14</v>
      </c>
      <c r="O145" s="91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ref="A146:A202" si="11">MAX(D146:AA146)</f>
        <v>1E-14</v>
      </c>
      <c r="B146" s="96" t="s">
        <v>97</v>
      </c>
      <c r="C146" s="101" t="s">
        <v>18</v>
      </c>
      <c r="D146" s="92">
        <v>1E-14</v>
      </c>
      <c r="E146" s="92">
        <v>1E-14</v>
      </c>
      <c r="F146" s="92">
        <v>1E-14</v>
      </c>
      <c r="G146" s="92">
        <v>1E-14</v>
      </c>
      <c r="H146" s="92">
        <v>1E-14</v>
      </c>
      <c r="I146" s="92">
        <v>1E-14</v>
      </c>
      <c r="J146" s="92">
        <v>1E-14</v>
      </c>
      <c r="K146" s="92">
        <v>1E-14</v>
      </c>
      <c r="L146" s="92">
        <v>1E-14</v>
      </c>
      <c r="M146" s="92">
        <v>1E-14</v>
      </c>
      <c r="N146" s="92">
        <v>1E-14</v>
      </c>
      <c r="O146" s="92">
        <v>1E-14</v>
      </c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1"/>
        <v>1E-14</v>
      </c>
      <c r="B147" s="96" t="s">
        <v>97</v>
      </c>
      <c r="C147" s="101" t="s">
        <v>17</v>
      </c>
      <c r="D147" s="92">
        <v>1E-14</v>
      </c>
      <c r="E147" s="92">
        <v>1E-14</v>
      </c>
      <c r="F147" s="92">
        <v>1E-14</v>
      </c>
      <c r="G147" s="92">
        <v>1E-14</v>
      </c>
      <c r="H147" s="92">
        <v>1E-14</v>
      </c>
      <c r="I147" s="92">
        <v>1E-14</v>
      </c>
      <c r="J147" s="92">
        <v>1E-14</v>
      </c>
      <c r="K147" s="92">
        <v>1E-14</v>
      </c>
      <c r="L147" s="92">
        <v>1E-14</v>
      </c>
      <c r="M147" s="92">
        <v>1E-14</v>
      </c>
      <c r="N147" s="92">
        <v>1E-14</v>
      </c>
      <c r="O147" s="92">
        <v>1E-14</v>
      </c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1"/>
        <v>1E-14</v>
      </c>
      <c r="B148" s="96" t="s">
        <v>97</v>
      </c>
      <c r="C148" s="101" t="s">
        <v>26</v>
      </c>
      <c r="D148" s="92">
        <v>1E-14</v>
      </c>
      <c r="E148" s="92">
        <v>1E-14</v>
      </c>
      <c r="F148" s="92">
        <v>1E-14</v>
      </c>
      <c r="G148" s="92">
        <v>1E-14</v>
      </c>
      <c r="H148" s="92">
        <v>1E-14</v>
      </c>
      <c r="I148" s="92">
        <v>1E-14</v>
      </c>
      <c r="J148" s="92">
        <v>1E-14</v>
      </c>
      <c r="K148" s="92">
        <v>1E-14</v>
      </c>
      <c r="L148" s="92">
        <v>1E-14</v>
      </c>
      <c r="M148" s="92">
        <v>1E-14</v>
      </c>
      <c r="N148" s="92">
        <v>1E-14</v>
      </c>
      <c r="O148" s="92">
        <v>1E-14</v>
      </c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1"/>
        <v>1E-14</v>
      </c>
      <c r="B149" s="96" t="s">
        <v>98</v>
      </c>
      <c r="C149" s="101" t="s">
        <v>10</v>
      </c>
      <c r="D149" s="92">
        <v>1E-14</v>
      </c>
      <c r="E149" s="92">
        <v>1E-14</v>
      </c>
      <c r="F149" s="92">
        <v>1E-14</v>
      </c>
      <c r="G149" s="92">
        <v>1E-14</v>
      </c>
      <c r="H149" s="92">
        <v>1E-14</v>
      </c>
      <c r="I149" s="92">
        <v>1E-14</v>
      </c>
      <c r="J149" s="92">
        <v>1E-14</v>
      </c>
      <c r="K149" s="92">
        <v>1E-14</v>
      </c>
      <c r="L149" s="92">
        <v>1E-14</v>
      </c>
      <c r="M149" s="92">
        <v>1E-14</v>
      </c>
      <c r="N149" s="92">
        <v>1E-14</v>
      </c>
      <c r="O149" s="92">
        <v>1E-14</v>
      </c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1"/>
        <v>1E-14</v>
      </c>
      <c r="B150" s="96" t="s">
        <v>98</v>
      </c>
      <c r="C150" s="101" t="s">
        <v>18</v>
      </c>
      <c r="D150" s="92">
        <v>1E-14</v>
      </c>
      <c r="E150" s="92">
        <v>1E-14</v>
      </c>
      <c r="F150" s="92">
        <v>1E-14</v>
      </c>
      <c r="G150" s="92">
        <v>1E-14</v>
      </c>
      <c r="H150" s="92">
        <v>1E-14</v>
      </c>
      <c r="I150" s="92">
        <v>1E-14</v>
      </c>
      <c r="J150" s="92">
        <v>1E-14</v>
      </c>
      <c r="K150" s="92">
        <v>1E-14</v>
      </c>
      <c r="L150" s="92">
        <v>1E-14</v>
      </c>
      <c r="M150" s="92">
        <v>1E-14</v>
      </c>
      <c r="N150" s="92">
        <v>1E-14</v>
      </c>
      <c r="O150" s="92">
        <v>1E-14</v>
      </c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1"/>
        <v>1E-14</v>
      </c>
      <c r="B151" s="98" t="s">
        <v>98</v>
      </c>
      <c r="C151" s="102" t="s">
        <v>17</v>
      </c>
      <c r="D151" s="92">
        <v>1E-14</v>
      </c>
      <c r="E151" s="92">
        <v>1E-14</v>
      </c>
      <c r="F151" s="92">
        <v>1E-14</v>
      </c>
      <c r="G151" s="92">
        <v>1E-14</v>
      </c>
      <c r="H151" s="92">
        <v>1E-14</v>
      </c>
      <c r="I151" s="92">
        <v>1E-14</v>
      </c>
      <c r="J151" s="92">
        <v>1E-14</v>
      </c>
      <c r="K151" s="92">
        <v>1E-14</v>
      </c>
      <c r="L151" s="92">
        <v>1E-14</v>
      </c>
      <c r="M151" s="92">
        <v>1E-14</v>
      </c>
      <c r="N151" s="92">
        <v>1E-14</v>
      </c>
      <c r="O151" s="92">
        <v>1E-14</v>
      </c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1"/>
        <v>1E-14</v>
      </c>
      <c r="B152" s="104" t="s">
        <v>98</v>
      </c>
      <c r="C152" s="105" t="s">
        <v>26</v>
      </c>
      <c r="D152" s="92">
        <v>1E-14</v>
      </c>
      <c r="E152" s="92">
        <v>1E-14</v>
      </c>
      <c r="F152" s="92">
        <v>1E-14</v>
      </c>
      <c r="G152" s="92">
        <v>1E-14</v>
      </c>
      <c r="H152" s="92">
        <v>1E-14</v>
      </c>
      <c r="I152" s="92">
        <v>1E-14</v>
      </c>
      <c r="J152" s="92">
        <v>1E-14</v>
      </c>
      <c r="K152" s="92">
        <v>1E-14</v>
      </c>
      <c r="L152" s="92">
        <v>1E-14</v>
      </c>
      <c r="M152" s="92">
        <v>1E-14</v>
      </c>
      <c r="N152" s="92">
        <v>1E-14</v>
      </c>
      <c r="O152" s="92">
        <v>1E-14</v>
      </c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1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1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1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1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1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1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1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1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1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1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1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1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1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9"/>
      <c r="C198" s="10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9"/>
      <c r="C199" s="10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9"/>
      <c r="C200" s="103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9"/>
      <c r="C201" s="103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9"/>
      <c r="C202" s="103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/>
    </row>
  </sheetData>
  <phoneticPr fontId="8" type="noConversion"/>
  <conditionalFormatting sqref="D56:AA62">
    <cfRule type="cellIs" dxfId="108" priority="13" operator="between">
      <formula>-0.00000000001</formula>
      <formula>0.00000000001</formula>
    </cfRule>
    <cfRule type="colorScale" priority="14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8:AA133">
    <cfRule type="cellIs" dxfId="107" priority="148" operator="lessThan">
      <formula>0.0000000000001</formula>
    </cfRule>
  </conditionalFormatting>
  <conditionalFormatting sqref="D64:AA94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96:A126">
    <cfRule type="colorScale" priority="14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64:A92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56:A61">
    <cfRule type="colorScale" priority="13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06" priority="136" operator="between">
      <formula>-0.0000000000001</formula>
      <formula>0.0000000000001</formula>
    </cfRule>
  </conditionalFormatting>
  <conditionalFormatting sqref="A8:AA52">
    <cfRule type="cellIs" dxfId="105" priority="135" operator="between">
      <formula>-0.0000000000001</formula>
      <formula>0.0000000000001</formula>
    </cfRule>
  </conditionalFormatting>
  <conditionalFormatting sqref="A16 C16:O16">
    <cfRule type="cellIs" dxfId="104" priority="134" operator="between">
      <formula>-0.0000000000001</formula>
      <formula>0.0000000000001</formula>
    </cfRule>
  </conditionalFormatting>
  <conditionalFormatting sqref="P16:AA16">
    <cfRule type="cellIs" dxfId="103" priority="133" operator="between">
      <formula>-0.0000000000001</formula>
      <formula>0.0000000000001</formula>
    </cfRule>
  </conditionalFormatting>
  <conditionalFormatting sqref="C8:O8 A8">
    <cfRule type="cellIs" dxfId="102" priority="132" operator="between">
      <formula>-0.0000000000001</formula>
      <formula>0.0000000000001</formula>
    </cfRule>
  </conditionalFormatting>
  <conditionalFormatting sqref="P8:AA8">
    <cfRule type="cellIs" dxfId="101" priority="131" operator="between">
      <formula>-0.0000000000001</formula>
      <formula>0.0000000000001</formula>
    </cfRule>
  </conditionalFormatting>
  <conditionalFormatting sqref="C13">
    <cfRule type="cellIs" dxfId="100" priority="130" operator="between">
      <formula>-0.0000000000001</formula>
      <formula>0.0000000000001</formula>
    </cfRule>
  </conditionalFormatting>
  <conditionalFormatting sqref="C14">
    <cfRule type="cellIs" dxfId="99" priority="128" operator="between">
      <formula>-0.0000000000001</formula>
      <formula>0.0000000000001</formula>
    </cfRule>
  </conditionalFormatting>
  <conditionalFormatting sqref="A14 C14:O14">
    <cfRule type="cellIs" dxfId="98" priority="127" operator="between">
      <formula>-0.0000000000001</formula>
      <formula>0.0000000000001</formula>
    </cfRule>
  </conditionalFormatting>
  <conditionalFormatting sqref="P14:AA14">
    <cfRule type="cellIs" dxfId="97" priority="126" operator="between">
      <formula>-0.0000000000001</formula>
      <formula>0.0000000000001</formula>
    </cfRule>
  </conditionalFormatting>
  <conditionalFormatting sqref="C24:O25 A24:A25">
    <cfRule type="cellIs" dxfId="96" priority="125" operator="between">
      <formula>-0.0000000000001</formula>
      <formula>0.0000000000001</formula>
    </cfRule>
  </conditionalFormatting>
  <conditionalFormatting sqref="P24:AA25">
    <cfRule type="cellIs" dxfId="95" priority="124" operator="between">
      <formula>-0.0000000000001</formula>
      <formula>0.0000000000001</formula>
    </cfRule>
  </conditionalFormatting>
  <conditionalFormatting sqref="C44:O45 A44:A45 A47 C47:AA47 D43:O44 D46:O46">
    <cfRule type="cellIs" dxfId="94" priority="123" operator="between">
      <formula>-0.0000000000001</formula>
      <formula>0.0000000000001</formula>
    </cfRule>
  </conditionalFormatting>
  <conditionalFormatting sqref="P44:AA45">
    <cfRule type="cellIs" dxfId="93" priority="122" operator="between">
      <formula>-0.0000000000001</formula>
      <formula>0.0000000000001</formula>
    </cfRule>
  </conditionalFormatting>
  <conditionalFormatting sqref="C46:O46">
    <cfRule type="cellIs" dxfId="92" priority="121" operator="between">
      <formula>-0.0000000000001</formula>
      <formula>0.0000000000001</formula>
    </cfRule>
  </conditionalFormatting>
  <conditionalFormatting sqref="P46:AA46">
    <cfRule type="cellIs" dxfId="91" priority="120" operator="between">
      <formula>-0.0000000000001</formula>
      <formula>0.0000000000001</formula>
    </cfRule>
  </conditionalFormatting>
  <conditionalFormatting sqref="C11:O11">
    <cfRule type="cellIs" dxfId="90" priority="119" operator="between">
      <formula>-0.0000000000001</formula>
      <formula>0.0000000000001</formula>
    </cfRule>
  </conditionalFormatting>
  <conditionalFormatting sqref="P11:AA11">
    <cfRule type="cellIs" dxfId="89" priority="118" operator="between">
      <formula>-0.0000000000001</formula>
      <formula>0.0000000000001</formula>
    </cfRule>
  </conditionalFormatting>
  <conditionalFormatting sqref="C11">
    <cfRule type="cellIs" dxfId="88" priority="117" operator="between">
      <formula>-0.0000000000001</formula>
      <formula>0.0000000000001</formula>
    </cfRule>
  </conditionalFormatting>
  <conditionalFormatting sqref="A64:AA94">
    <cfRule type="cellIs" dxfId="87" priority="116" operator="between">
      <formula>-0.00000000001</formula>
      <formula>0.00000000001</formula>
    </cfRule>
  </conditionalFormatting>
  <conditionalFormatting sqref="P12:AA12">
    <cfRule type="cellIs" dxfId="86" priority="113" operator="between">
      <formula>-0.0000000000001</formula>
      <formula>0.0000000000001</formula>
    </cfRule>
  </conditionalFormatting>
  <conditionalFormatting sqref="C12">
    <cfRule type="cellIs" dxfId="85" priority="112" operator="between">
      <formula>-0.0000000000001</formula>
      <formula>0.0000000000001</formula>
    </cfRule>
  </conditionalFormatting>
  <conditionalFormatting sqref="C17:O17 A17">
    <cfRule type="cellIs" dxfId="84" priority="111" operator="between">
      <formula>-0.0000000000001</formula>
      <formula>0.0000000000001</formula>
    </cfRule>
  </conditionalFormatting>
  <conditionalFormatting sqref="P17:AA17">
    <cfRule type="cellIs" dxfId="83" priority="110" operator="between">
      <formula>-0.0000000000001</formula>
      <formula>0.0000000000001</formula>
    </cfRule>
  </conditionalFormatting>
  <conditionalFormatting sqref="C17">
    <cfRule type="cellIs" dxfId="82" priority="109" operator="between">
      <formula>-0.0000000000001</formula>
      <formula>0.0000000000001</formula>
    </cfRule>
  </conditionalFormatting>
  <conditionalFormatting sqref="C43:O43 A43">
    <cfRule type="cellIs" dxfId="81" priority="108" operator="between">
      <formula>-0.0000000000001</formula>
      <formula>0.0000000000001</formula>
    </cfRule>
  </conditionalFormatting>
  <conditionalFormatting sqref="P43:AA43">
    <cfRule type="cellIs" dxfId="80" priority="107" operator="between">
      <formula>-0.0000000000001</formula>
      <formula>0.0000000000001</formula>
    </cfRule>
  </conditionalFormatting>
  <conditionalFormatting sqref="D10:O10">
    <cfRule type="cellIs" dxfId="79" priority="106" operator="between">
      <formula>-0.0000000000001</formula>
      <formula>0.0000000000001</formula>
    </cfRule>
  </conditionalFormatting>
  <conditionalFormatting sqref="P10:AA10">
    <cfRule type="cellIs" dxfId="78" priority="105" operator="between">
      <formula>-0.0000000000001</formula>
      <formula>0.0000000000001</formula>
    </cfRule>
  </conditionalFormatting>
  <conditionalFormatting sqref="C38:AA38 A38">
    <cfRule type="cellIs" dxfId="77" priority="102" operator="between">
      <formula>-0.0000000000001</formula>
      <formula>0.0000000000001</formula>
    </cfRule>
  </conditionalFormatting>
  <conditionalFormatting sqref="P38:AA38">
    <cfRule type="cellIs" dxfId="76" priority="101" operator="between">
      <formula>-0.0000000000001</formula>
      <formula>0.0000000000001</formula>
    </cfRule>
  </conditionalFormatting>
  <conditionalFormatting sqref="B5">
    <cfRule type="cellIs" dxfId="75" priority="100" operator="between">
      <formula>-0.0000000000001</formula>
      <formula>0.0000000000001</formula>
    </cfRule>
  </conditionalFormatting>
  <conditionalFormatting sqref="C10">
    <cfRule type="cellIs" dxfId="74" priority="99" operator="between">
      <formula>-0.0000000000001</formula>
      <formula>0.0000000000001</formula>
    </cfRule>
  </conditionalFormatting>
  <conditionalFormatting sqref="A11">
    <cfRule type="cellIs" dxfId="73" priority="98" operator="between">
      <formula>-0.0000000000001</formula>
      <formula>0.0000000000001</formula>
    </cfRule>
  </conditionalFormatting>
  <conditionalFormatting sqref="B152:B202">
    <cfRule type="containsText" dxfId="72" priority="96" operator="containsText" text="sto2">
      <formula>NOT(ISERROR(SEARCH("sto2",B152)))</formula>
    </cfRule>
    <cfRule type="containsText" dxfId="71" priority="97" operator="containsText" text="sto1">
      <formula>NOT(ISERROR(SEARCH("sto1",B152)))</formula>
    </cfRule>
  </conditionalFormatting>
  <conditionalFormatting sqref="A26 D26:AA26">
    <cfRule type="cellIs" dxfId="70" priority="95" operator="between">
      <formula>-0.0000000000001</formula>
      <formula>0.0000000000001</formula>
    </cfRule>
  </conditionalFormatting>
  <conditionalFormatting sqref="D26:AA26 A26">
    <cfRule type="cellIs" dxfId="69" priority="94" operator="between">
      <formula>-0.0000000000001</formula>
      <formula>0.0000000000001</formula>
    </cfRule>
  </conditionalFormatting>
  <conditionalFormatting sqref="C26:O26 A26">
    <cfRule type="cellIs" dxfId="68" priority="93" operator="between">
      <formula>-0.0000000000001</formula>
      <formula>0.0000000000001</formula>
    </cfRule>
  </conditionalFormatting>
  <conditionalFormatting sqref="P26:AA26">
    <cfRule type="cellIs" dxfId="67" priority="92" operator="between">
      <formula>-0.0000000000001</formula>
      <formula>0.0000000000001</formula>
    </cfRule>
  </conditionalFormatting>
  <conditionalFormatting sqref="D145:AA202">
    <cfRule type="colorScale" priority="89">
      <colorScale>
        <cfvo type="min"/>
        <cfvo type="max"/>
        <color rgb="FFFCFCFF"/>
        <color theme="9" tint="0.39997558519241921"/>
      </colorScale>
    </cfRule>
  </conditionalFormatting>
  <conditionalFormatting sqref="B138:B140 B142:B143">
    <cfRule type="containsText" dxfId="66" priority="87" operator="containsText" text="sto2">
      <formula>NOT(ISERROR(SEARCH("sto2",B138)))</formula>
    </cfRule>
    <cfRule type="containsText" dxfId="65" priority="88" operator="containsText" text="sto1">
      <formula>NOT(ISERROR(SEARCH("sto1",B138)))</formula>
    </cfRule>
  </conditionalFormatting>
  <conditionalFormatting sqref="B137">
    <cfRule type="containsText" dxfId="64" priority="85" operator="containsText" text="sto2">
      <formula>NOT(ISERROR(SEARCH("sto2",B137)))</formula>
    </cfRule>
    <cfRule type="containsText" dxfId="63" priority="86" operator="containsText" text="sto1">
      <formula>NOT(ISERROR(SEARCH("sto1",B137)))</formula>
    </cfRule>
  </conditionalFormatting>
  <conditionalFormatting sqref="D137:AA140 D142:AA143">
    <cfRule type="colorScale" priority="84">
      <colorScale>
        <cfvo type="min"/>
        <cfvo type="max"/>
        <color rgb="FFFCFCFF"/>
        <color rgb="FF63BE7B"/>
      </colorScale>
    </cfRule>
  </conditionalFormatting>
  <conditionalFormatting sqref="B141">
    <cfRule type="containsText" dxfId="62" priority="82" operator="containsText" text="sto2">
      <formula>NOT(ISERROR(SEARCH("sto2",B141)))</formula>
    </cfRule>
    <cfRule type="containsText" dxfId="61" priority="83" operator="containsText" text="sto1">
      <formula>NOT(ISERROR(SEARCH("sto1",B141)))</formula>
    </cfRule>
  </conditionalFormatting>
  <conditionalFormatting sqref="D141:AA141">
    <cfRule type="colorScale" priority="81">
      <colorScale>
        <cfvo type="min"/>
        <cfvo type="max"/>
        <color rgb="FFFCFCFF"/>
        <color theme="9" tint="0.39997558519241921"/>
      </colorScale>
    </cfRule>
  </conditionalFormatting>
  <conditionalFormatting sqref="B146:B148 B150:B151">
    <cfRule type="containsText" dxfId="60" priority="76" operator="containsText" text="sto2">
      <formula>NOT(ISERROR(SEARCH("sto2",B146)))</formula>
    </cfRule>
    <cfRule type="containsText" dxfId="59" priority="77" operator="containsText" text="sto1">
      <formula>NOT(ISERROR(SEARCH("sto1",B146)))</formula>
    </cfRule>
  </conditionalFormatting>
  <conditionalFormatting sqref="B145">
    <cfRule type="containsText" dxfId="58" priority="74" operator="containsText" text="sto2">
      <formula>NOT(ISERROR(SEARCH("sto2",B145)))</formula>
    </cfRule>
    <cfRule type="containsText" dxfId="57" priority="75" operator="containsText" text="sto1">
      <formula>NOT(ISERROR(SEARCH("sto1",B145)))</formula>
    </cfRule>
  </conditionalFormatting>
  <conditionalFormatting sqref="B149">
    <cfRule type="containsText" dxfId="56" priority="72" operator="containsText" text="sto2">
      <formula>NOT(ISERROR(SEARCH("sto2",B149)))</formula>
    </cfRule>
    <cfRule type="containsText" dxfId="55" priority="73" operator="containsText" text="sto1">
      <formula>NOT(ISERROR(SEARCH("sto1",B149)))</formula>
    </cfRule>
  </conditionalFormatting>
  <conditionalFormatting sqref="E27:AA27 A27">
    <cfRule type="cellIs" dxfId="54" priority="70" operator="between">
      <formula>-0.0000000000001</formula>
      <formula>0.0000000000001</formula>
    </cfRule>
  </conditionalFormatting>
  <conditionalFormatting sqref="A27 E27:AA27">
    <cfRule type="cellIs" dxfId="53" priority="69" operator="between">
      <formula>-0.0000000000001</formula>
      <formula>0.0000000000001</formula>
    </cfRule>
  </conditionalFormatting>
  <conditionalFormatting sqref="D29:AA29 A29">
    <cfRule type="cellIs" dxfId="52" priority="68" operator="between">
      <formula>-0.0000000000001</formula>
      <formula>0.0000000000001</formula>
    </cfRule>
  </conditionalFormatting>
  <conditionalFormatting sqref="A29 D29:AA29">
    <cfRule type="cellIs" dxfId="51" priority="67" operator="between">
      <formula>-0.0000000000001</formula>
      <formula>0.0000000000001</formula>
    </cfRule>
  </conditionalFormatting>
  <conditionalFormatting sqref="A39 D39:AA39">
    <cfRule type="cellIs" dxfId="50" priority="66" operator="between">
      <formula>-0.0000000000001</formula>
      <formula>0.0000000000001</formula>
    </cfRule>
  </conditionalFormatting>
  <conditionalFormatting sqref="D39:AA39 A39">
    <cfRule type="cellIs" dxfId="49" priority="65" operator="between">
      <formula>-0.0000000000001</formula>
      <formula>0.0000000000001</formula>
    </cfRule>
  </conditionalFormatting>
  <conditionalFormatting sqref="A31:A32 D31:AA33 D35:AA35 A35">
    <cfRule type="cellIs" dxfId="48" priority="62" operator="between">
      <formula>-0.0000000000001</formula>
      <formula>0.0000000000001</formula>
    </cfRule>
  </conditionalFormatting>
  <conditionalFormatting sqref="D31:AA33 A31:A32 A35 D35:AA35">
    <cfRule type="cellIs" dxfId="47" priority="61" operator="between">
      <formula>-0.0000000000001</formula>
      <formula>0.0000000000001</formula>
    </cfRule>
  </conditionalFormatting>
  <conditionalFormatting sqref="C32:AA33 A32">
    <cfRule type="cellIs" dxfId="46" priority="60" operator="between">
      <formula>-0.0000000000001</formula>
      <formula>0.0000000000001</formula>
    </cfRule>
  </conditionalFormatting>
  <conditionalFormatting sqref="P32:AA33">
    <cfRule type="cellIs" dxfId="45" priority="59" operator="between">
      <formula>-0.0000000000001</formula>
      <formula>0.0000000000001</formula>
    </cfRule>
  </conditionalFormatting>
  <conditionalFormatting sqref="A34 D34:AA34">
    <cfRule type="cellIs" dxfId="44" priority="58" operator="between">
      <formula>-0.0000000000001</formula>
      <formula>0.0000000000001</formula>
    </cfRule>
  </conditionalFormatting>
  <conditionalFormatting sqref="D34:AA34 A34">
    <cfRule type="cellIs" dxfId="43" priority="57" operator="between">
      <formula>-0.0000000000001</formula>
      <formula>0.0000000000001</formula>
    </cfRule>
  </conditionalFormatting>
  <conditionalFormatting sqref="D45:O45">
    <cfRule type="cellIs" dxfId="42" priority="56" operator="between">
      <formula>-0.0000000000001</formula>
      <formula>0.0000000000001</formula>
    </cfRule>
  </conditionalFormatting>
  <conditionalFormatting sqref="D42:O42">
    <cfRule type="cellIs" dxfId="41" priority="55" operator="between">
      <formula>-0.0000000000001</formula>
      <formula>0.0000000000001</formula>
    </cfRule>
  </conditionalFormatting>
  <conditionalFormatting sqref="A33">
    <cfRule type="cellIs" dxfId="40" priority="54" operator="between">
      <formula>-0.0000000000001</formula>
      <formula>0.0000000000001</formula>
    </cfRule>
  </conditionalFormatting>
  <conditionalFormatting sqref="A33">
    <cfRule type="cellIs" dxfId="39" priority="53" operator="between">
      <formula>-0.0000000000001</formula>
      <formula>0.0000000000001</formula>
    </cfRule>
  </conditionalFormatting>
  <conditionalFormatting sqref="A41">
    <cfRule type="cellIs" dxfId="38" priority="52" operator="between">
      <formula>-0.0000000000001</formula>
      <formula>0.0000000000001</formula>
    </cfRule>
  </conditionalFormatting>
  <conditionalFormatting sqref="A41">
    <cfRule type="cellIs" dxfId="37" priority="51" operator="between">
      <formula>-0.0000000000001</formula>
      <formula>0.0000000000001</formula>
    </cfRule>
  </conditionalFormatting>
  <conditionalFormatting sqref="A46">
    <cfRule type="cellIs" dxfId="36" priority="50" operator="between">
      <formula>-0.0000000000001</formula>
      <formula>0.0000000000001</formula>
    </cfRule>
  </conditionalFormatting>
  <conditionalFormatting sqref="A46">
    <cfRule type="cellIs" dxfId="35" priority="49" operator="between">
      <formula>-0.0000000000001</formula>
      <formula>0.0000000000001</formula>
    </cfRule>
  </conditionalFormatting>
  <conditionalFormatting sqref="D28">
    <cfRule type="cellIs" dxfId="34" priority="48" operator="between">
      <formula>-0.0000000000001</formula>
      <formula>0.0000000000001</formula>
    </cfRule>
  </conditionalFormatting>
  <conditionalFormatting sqref="D28">
    <cfRule type="cellIs" dxfId="33" priority="47" operator="between">
      <formula>-0.0000000000001</formula>
      <formula>0.0000000000001</formula>
    </cfRule>
  </conditionalFormatting>
  <conditionalFormatting sqref="D27">
    <cfRule type="cellIs" dxfId="32" priority="46" operator="between">
      <formula>-0.0000000000001</formula>
      <formula>0.0000000000001</formula>
    </cfRule>
  </conditionalFormatting>
  <conditionalFormatting sqref="D27">
    <cfRule type="cellIs" dxfId="31" priority="45" operator="between">
      <formula>-0.0000000000001</formula>
      <formula>0.0000000000001</formula>
    </cfRule>
  </conditionalFormatting>
  <conditionalFormatting sqref="D48:AA48">
    <cfRule type="cellIs" dxfId="30" priority="44" operator="between">
      <formula>-0.0000000000001</formula>
      <formula>0.0000000000001</formula>
    </cfRule>
  </conditionalFormatting>
  <conditionalFormatting sqref="D48:AA48">
    <cfRule type="cellIs" dxfId="29" priority="43" operator="between">
      <formula>-0.0000000000001</formula>
      <formula>0.0000000000001</formula>
    </cfRule>
  </conditionalFormatting>
  <conditionalFormatting sqref="C48:AA48">
    <cfRule type="cellIs" dxfId="28" priority="42" operator="between">
      <formula>-0.0000000000001</formula>
      <formula>0.0000000000001</formula>
    </cfRule>
  </conditionalFormatting>
  <conditionalFormatting sqref="D48:AA48">
    <cfRule type="cellIs" dxfId="27" priority="41" operator="between">
      <formula>-0.0000000000001</formula>
      <formula>0.0000000000001</formula>
    </cfRule>
  </conditionalFormatting>
  <conditionalFormatting sqref="P48:AA48">
    <cfRule type="cellIs" dxfId="26" priority="40" operator="between">
      <formula>-0.0000000000001</formula>
      <formula>0.0000000000001</formula>
    </cfRule>
  </conditionalFormatting>
  <conditionalFormatting sqref="D36:AA36 A36">
    <cfRule type="cellIs" dxfId="25" priority="39" operator="between">
      <formula>-0.0000000000001</formula>
      <formula>0.0000000000001</formula>
    </cfRule>
  </conditionalFormatting>
  <conditionalFormatting sqref="A36 D36:AA36">
    <cfRule type="cellIs" dxfId="24" priority="38" operator="between">
      <formula>-0.0000000000001</formula>
      <formula>0.0000000000001</formula>
    </cfRule>
  </conditionalFormatting>
  <conditionalFormatting sqref="A49:A52">
    <cfRule type="cellIs" dxfId="23" priority="24" operator="greaterThan">
      <formula>0.00000000001</formula>
    </cfRule>
    <cfRule type="cellIs" dxfId="22" priority="27" operator="between">
      <formula>-0.0000000000001</formula>
      <formula>0.0000000000001</formula>
    </cfRule>
  </conditionalFormatting>
  <conditionalFormatting sqref="A49:A52">
    <cfRule type="cellIs" dxfId="21" priority="26" operator="between">
      <formula>-0.0000000000001</formula>
      <formula>0.0000000000001</formula>
    </cfRule>
  </conditionalFormatting>
  <conditionalFormatting sqref="A49:A52">
    <cfRule type="cellIs" dxfId="20" priority="25" operator="between">
      <formula>-0.0000000000001</formula>
      <formula>0.0000000000001</formula>
    </cfRule>
  </conditionalFormatting>
  <conditionalFormatting sqref="D49:AA52">
    <cfRule type="cellIs" dxfId="19" priority="20" operator="greaterThan">
      <formula>0.0000000000001</formula>
    </cfRule>
    <cfRule type="cellIs" dxfId="18" priority="23" operator="between">
      <formula>-0.0000000000001</formula>
      <formula>0.0000000000001</formula>
    </cfRule>
  </conditionalFormatting>
  <conditionalFormatting sqref="D49:AA52">
    <cfRule type="cellIs" dxfId="17" priority="22" operator="between">
      <formula>-0.0000000000001</formula>
      <formula>0.0000000000001</formula>
    </cfRule>
  </conditionalFormatting>
  <conditionalFormatting sqref="D49:AA52">
    <cfRule type="cellIs" dxfId="16" priority="21" operator="between">
      <formula>-0.0000000000001</formula>
      <formula>0.0000000000001</formula>
    </cfRule>
  </conditionalFormatting>
  <conditionalFormatting sqref="B2">
    <cfRule type="cellIs" dxfId="15" priority="19" operator="greaterThan">
      <formula>0</formula>
    </cfRule>
  </conditionalFormatting>
  <conditionalFormatting sqref="A15 D15:AA15">
    <cfRule type="cellIs" dxfId="14" priority="18" operator="between">
      <formula>-0.0000000000001</formula>
      <formula>0.0000000000001</formula>
    </cfRule>
  </conditionalFormatting>
  <conditionalFormatting sqref="D15:AA15 A15">
    <cfRule type="cellIs" dxfId="13" priority="17" operator="between">
      <formula>-0.0000000000001</formula>
      <formula>0.0000000000001</formula>
    </cfRule>
  </conditionalFormatting>
  <conditionalFormatting sqref="A15 C15:O15">
    <cfRule type="cellIs" dxfId="12" priority="16" operator="between">
      <formula>-0.0000000000001</formula>
      <formula>0.0000000000001</formula>
    </cfRule>
  </conditionalFormatting>
  <conditionalFormatting sqref="P15:AA15">
    <cfRule type="cellIs" dxfId="11" priority="15" operator="between">
      <formula>-0.0000000000001</formula>
      <formula>0.0000000000001</formula>
    </cfRule>
  </conditionalFormatting>
  <conditionalFormatting sqref="D96:AA125">
    <cfRule type="colorScale" priority="1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6:AA125">
    <cfRule type="cellIs" dxfId="10" priority="11" operator="between">
      <formula>-0.00000000001</formula>
      <formula>0.00000000001</formula>
    </cfRule>
  </conditionalFormatting>
  <conditionalFormatting sqref="C20:O21 A20:A21">
    <cfRule type="cellIs" dxfId="9" priority="10" operator="between">
      <formula>-0.0000000000001</formula>
      <formula>0.0000000000001</formula>
    </cfRule>
  </conditionalFormatting>
  <conditionalFormatting sqref="P20:AA21">
    <cfRule type="cellIs" dxfId="8" priority="9" operator="between">
      <formula>-0.0000000000001</formula>
      <formula>0.0000000000001</formula>
    </cfRule>
  </conditionalFormatting>
  <conditionalFormatting sqref="D22:AA22 A22:A23 D23:O23">
    <cfRule type="cellIs" dxfId="7" priority="8" operator="between">
      <formula>-0.0000000000001</formula>
      <formula>0.0000000000001</formula>
    </cfRule>
  </conditionalFormatting>
  <conditionalFormatting sqref="D22:AA22 A22:A23 D23:O23">
    <cfRule type="cellIs" dxfId="6" priority="7" operator="between">
      <formula>-0.0000000000001</formula>
      <formula>0.0000000000001</formula>
    </cfRule>
  </conditionalFormatting>
  <conditionalFormatting sqref="C22:O22 A22:A23 D23:O23">
    <cfRule type="cellIs" dxfId="5" priority="6" operator="between">
      <formula>-0.0000000000001</formula>
      <formula>0.0000000000001</formula>
    </cfRule>
  </conditionalFormatting>
  <conditionalFormatting sqref="P22:AA22">
    <cfRule type="cellIs" dxfId="4" priority="5" operator="between">
      <formula>-0.0000000000001</formula>
      <formula>0.0000000000001</formula>
    </cfRule>
  </conditionalFormatting>
  <conditionalFormatting sqref="E23:AA23 A23">
    <cfRule type="cellIs" dxfId="3" priority="4" operator="between">
      <formula>-0.0000000000001</formula>
      <formula>0.0000000000001</formula>
    </cfRule>
  </conditionalFormatting>
  <conditionalFormatting sqref="A23 E23:AA23">
    <cfRule type="cellIs" dxfId="2" priority="3" operator="between">
      <formula>-0.0000000000001</formula>
      <formula>0.0000000000001</formula>
    </cfRule>
  </conditionalFormatting>
  <conditionalFormatting sqref="D23">
    <cfRule type="cellIs" dxfId="1" priority="2" operator="between">
      <formula>-0.0000000000001</formula>
      <formula>0.0000000000001</formula>
    </cfRule>
  </conditionalFormatting>
  <conditionalFormatting sqref="D23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2022-02-08T13:39:35Z</dcterms:modified>
</cp:coreProperties>
</file>