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4CCE3984-36BC-47F5-93FD-5467F1A0C077}" xr6:coauthVersionLast="47" xr6:coauthVersionMax="47" xr10:uidLastSave="{00000000-0000-0000-0000-000000000000}"/>
  <bookViews>
    <workbookView xWindow="28680" yWindow="-120" windowWidth="29040" windowHeight="17790" activeTab="1" xr2:uid="{15369939-A677-4414-B524-DF263B3097DC}"/>
  </bookViews>
  <sheets>
    <sheet name="DataU" sheetId="2" r:id="rId1"/>
    <sheet name="Fuel" sheetId="1" r:id="rId2"/>
  </sheets>
  <externalReferences>
    <externalReference r:id="rId3"/>
    <externalReference r:id="rId4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læg">[2]Modelkrav!$C$5</definedName>
    <definedName name="NFrac">[2]Modelkrav!$C$3</definedName>
    <definedName name="Nper">[2]Modelkrav!$C$4</definedName>
    <definedName name="NUMBERFACTOR" hidden="1">1</definedName>
    <definedName name="PROTECT" hidden="1">FALSE</definedName>
    <definedName name="QUATERVAT" hidden="1">FALSE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8" i="1" l="1"/>
  <c r="M27" i="1" l="1"/>
  <c r="M26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5" i="1"/>
  <c r="U34" i="1" l="1"/>
  <c r="V34" i="1"/>
  <c r="W34" i="1"/>
  <c r="X34" i="1"/>
  <c r="Y34" i="1"/>
  <c r="Z34" i="1"/>
  <c r="AA34" i="1"/>
  <c r="AB34" i="1"/>
  <c r="AC34" i="1"/>
  <c r="AD34" i="1"/>
  <c r="AE34" i="1"/>
  <c r="U35" i="1"/>
  <c r="V35" i="1"/>
  <c r="W35" i="1"/>
  <c r="X35" i="1"/>
  <c r="Y35" i="1"/>
  <c r="Z35" i="1"/>
  <c r="AA35" i="1"/>
  <c r="AB35" i="1"/>
  <c r="AC35" i="1"/>
  <c r="AD35" i="1"/>
  <c r="AE35" i="1"/>
  <c r="U36" i="1"/>
  <c r="V36" i="1"/>
  <c r="W36" i="1"/>
  <c r="X36" i="1"/>
  <c r="Y36" i="1"/>
  <c r="Z36" i="1"/>
  <c r="AA36" i="1"/>
  <c r="AB36" i="1"/>
  <c r="AC36" i="1"/>
  <c r="AD36" i="1"/>
  <c r="AE36" i="1"/>
  <c r="U37" i="1"/>
  <c r="V37" i="1"/>
  <c r="W37" i="1"/>
  <c r="X37" i="1"/>
  <c r="Y37" i="1"/>
  <c r="Z37" i="1"/>
  <c r="AA37" i="1"/>
  <c r="AB37" i="1"/>
  <c r="AC37" i="1"/>
  <c r="AD37" i="1"/>
  <c r="AE37" i="1"/>
  <c r="U38" i="1"/>
  <c r="V38" i="1"/>
  <c r="W38" i="1"/>
  <c r="X38" i="1"/>
  <c r="Y38" i="1"/>
  <c r="Z38" i="1"/>
  <c r="AA38" i="1"/>
  <c r="AB38" i="1"/>
  <c r="AC38" i="1"/>
  <c r="AD38" i="1"/>
  <c r="AE38" i="1"/>
  <c r="U39" i="1"/>
  <c r="V39" i="1"/>
  <c r="W39" i="1"/>
  <c r="X39" i="1"/>
  <c r="Y39" i="1"/>
  <c r="Z39" i="1"/>
  <c r="AA39" i="1"/>
  <c r="AB39" i="1"/>
  <c r="AC39" i="1"/>
  <c r="AD39" i="1"/>
  <c r="AE39" i="1"/>
  <c r="U40" i="1"/>
  <c r="V40" i="1"/>
  <c r="W40" i="1"/>
  <c r="X40" i="1"/>
  <c r="Y40" i="1"/>
  <c r="Z40" i="1"/>
  <c r="AA40" i="1"/>
  <c r="AB40" i="1"/>
  <c r="AC40" i="1"/>
  <c r="AD40" i="1"/>
  <c r="AE40" i="1"/>
  <c r="U42" i="1"/>
  <c r="V42" i="1"/>
  <c r="W42" i="1"/>
  <c r="X42" i="1"/>
  <c r="Y42" i="1"/>
  <c r="Z42" i="1"/>
  <c r="AA42" i="1"/>
  <c r="AB42" i="1"/>
  <c r="AC42" i="1"/>
  <c r="AD42" i="1"/>
  <c r="AE42" i="1"/>
  <c r="U43" i="1"/>
  <c r="V43" i="1"/>
  <c r="W43" i="1"/>
  <c r="X43" i="1"/>
  <c r="Y43" i="1"/>
  <c r="Z43" i="1"/>
  <c r="AA43" i="1"/>
  <c r="AB43" i="1"/>
  <c r="AC43" i="1"/>
  <c r="AD43" i="1"/>
  <c r="AE43" i="1"/>
  <c r="U44" i="1"/>
  <c r="V44" i="1"/>
  <c r="W44" i="1"/>
  <c r="X44" i="1"/>
  <c r="Y44" i="1"/>
  <c r="Z44" i="1"/>
  <c r="AA44" i="1"/>
  <c r="AB44" i="1"/>
  <c r="AC44" i="1"/>
  <c r="AD44" i="1"/>
  <c r="AE44" i="1"/>
  <c r="U45" i="1"/>
  <c r="V45" i="1"/>
  <c r="W45" i="1"/>
  <c r="X45" i="1"/>
  <c r="Y45" i="1"/>
  <c r="Z45" i="1"/>
  <c r="AA45" i="1"/>
  <c r="AB45" i="1"/>
  <c r="AC45" i="1"/>
  <c r="AD45" i="1"/>
  <c r="AE45" i="1"/>
  <c r="U46" i="1"/>
  <c r="V46" i="1"/>
  <c r="W46" i="1"/>
  <c r="X46" i="1"/>
  <c r="Y46" i="1"/>
  <c r="Z46" i="1"/>
  <c r="AA46" i="1"/>
  <c r="AB46" i="1"/>
  <c r="AC46" i="1"/>
  <c r="AD46" i="1"/>
  <c r="AE46" i="1"/>
  <c r="AA48" i="1"/>
  <c r="U49" i="1"/>
  <c r="V49" i="1"/>
  <c r="W49" i="1"/>
  <c r="X49" i="1"/>
  <c r="AB49" i="1"/>
  <c r="AC49" i="1"/>
  <c r="AD49" i="1"/>
  <c r="AE49" i="1"/>
  <c r="U50" i="1"/>
  <c r="V50" i="1"/>
  <c r="W50" i="1"/>
  <c r="X50" i="1"/>
  <c r="Y50" i="1"/>
  <c r="Z50" i="1"/>
  <c r="AA50" i="1"/>
  <c r="AB50" i="1"/>
  <c r="AC50" i="1"/>
  <c r="AD50" i="1"/>
  <c r="AE50" i="1"/>
  <c r="AA51" i="1"/>
  <c r="V54" i="1"/>
  <c r="W54" i="1"/>
  <c r="X54" i="1"/>
  <c r="Y54" i="1"/>
  <c r="Z54" i="1"/>
  <c r="AA54" i="1"/>
  <c r="AB54" i="1"/>
  <c r="AC54" i="1"/>
  <c r="AD54" i="1"/>
  <c r="AE54" i="1"/>
  <c r="U55" i="1"/>
  <c r="V55" i="1"/>
  <c r="W55" i="1"/>
  <c r="X55" i="1"/>
  <c r="Y55" i="1"/>
  <c r="Z55" i="1"/>
  <c r="AA55" i="1"/>
  <c r="AB55" i="1"/>
  <c r="AC55" i="1"/>
  <c r="AD55" i="1"/>
  <c r="AE55" i="1"/>
  <c r="U56" i="1"/>
  <c r="V56" i="1"/>
  <c r="W56" i="1"/>
  <c r="X56" i="1"/>
  <c r="Y56" i="1"/>
  <c r="Z56" i="1"/>
  <c r="AA56" i="1"/>
  <c r="AB56" i="1"/>
  <c r="AC56" i="1"/>
  <c r="AD56" i="1"/>
  <c r="AE56" i="1"/>
  <c r="T34" i="1"/>
  <c r="T35" i="1"/>
  <c r="T36" i="1"/>
  <c r="T37" i="1"/>
  <c r="T38" i="1"/>
  <c r="T39" i="1"/>
  <c r="T40" i="1"/>
  <c r="T42" i="1"/>
  <c r="T43" i="1"/>
  <c r="T44" i="1"/>
  <c r="T45" i="1"/>
  <c r="T46" i="1"/>
  <c r="T47" i="1"/>
  <c r="T49" i="1"/>
  <c r="T50" i="1"/>
  <c r="AI32" i="1"/>
  <c r="U32" i="1" s="1"/>
  <c r="AI33" i="1"/>
  <c r="U33" i="1" s="1"/>
  <c r="AI34" i="1"/>
  <c r="AI35" i="1"/>
  <c r="AI36" i="1"/>
  <c r="AI37" i="1"/>
  <c r="AI38" i="1"/>
  <c r="AI39" i="1"/>
  <c r="AI40" i="1"/>
  <c r="AI41" i="1"/>
  <c r="W41" i="1" s="1"/>
  <c r="AI42" i="1"/>
  <c r="AI43" i="1"/>
  <c r="AI44" i="1"/>
  <c r="AI45" i="1"/>
  <c r="AI46" i="1"/>
  <c r="AI47" i="1"/>
  <c r="X47" i="1" s="1"/>
  <c r="AI48" i="1"/>
  <c r="AB48" i="1" s="1"/>
  <c r="AI49" i="1"/>
  <c r="Y49" i="1" s="1"/>
  <c r="AI50" i="1"/>
  <c r="AI51" i="1"/>
  <c r="AB51" i="1" s="1"/>
  <c r="AI52" i="1"/>
  <c r="U52" i="1" s="1"/>
  <c r="AI53" i="1"/>
  <c r="U53" i="1" s="1"/>
  <c r="AI54" i="1"/>
  <c r="AI55" i="1"/>
  <c r="AI56" i="1"/>
  <c r="AI31" i="1"/>
  <c r="U31" i="1" s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T54" i="1" s="1"/>
  <c r="AJ55" i="1"/>
  <c r="T55" i="1" s="1"/>
  <c r="AJ56" i="1"/>
  <c r="T56" i="1" s="1"/>
  <c r="AJ31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5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U54" i="1" s="1"/>
  <c r="AK55" i="1"/>
  <c r="AK56" i="1"/>
  <c r="AK31" i="1"/>
  <c r="AB53" i="1" l="1"/>
  <c r="AC52" i="1"/>
  <c r="T52" i="1"/>
  <c r="T51" i="1"/>
  <c r="Z51" i="1"/>
  <c r="Y51" i="1"/>
  <c r="Y48" i="1"/>
  <c r="Z32" i="1"/>
  <c r="Y41" i="1"/>
  <c r="X51" i="1"/>
  <c r="AE51" i="1"/>
  <c r="W51" i="1"/>
  <c r="AD51" i="1"/>
  <c r="V51" i="1"/>
  <c r="AC51" i="1"/>
  <c r="U51" i="1"/>
  <c r="AA49" i="1"/>
  <c r="Z49" i="1"/>
  <c r="W47" i="1"/>
  <c r="AD47" i="1"/>
  <c r="V47" i="1"/>
  <c r="AC47" i="1"/>
  <c r="U47" i="1"/>
  <c r="AE47" i="1"/>
  <c r="AB47" i="1"/>
  <c r="AA47" i="1"/>
  <c r="Z47" i="1"/>
  <c r="Y47" i="1"/>
  <c r="Z48" i="1"/>
  <c r="T48" i="1"/>
  <c r="X48" i="1"/>
  <c r="AE48" i="1"/>
  <c r="W48" i="1"/>
  <c r="AD48" i="1"/>
  <c r="V48" i="1"/>
  <c r="AC48" i="1"/>
  <c r="U48" i="1"/>
  <c r="V41" i="1"/>
  <c r="AC41" i="1"/>
  <c r="U41" i="1"/>
  <c r="AD41" i="1"/>
  <c r="AB41" i="1"/>
  <c r="AA41" i="1"/>
  <c r="Z41" i="1"/>
  <c r="X41" i="1"/>
  <c r="T41" i="1"/>
  <c r="AE41" i="1"/>
  <c r="AA33" i="1"/>
  <c r="Z33" i="1"/>
  <c r="Y33" i="1"/>
  <c r="AB33" i="1"/>
  <c r="T33" i="1"/>
  <c r="X33" i="1"/>
  <c r="W33" i="1"/>
  <c r="AD33" i="1"/>
  <c r="V33" i="1"/>
  <c r="AE33" i="1"/>
  <c r="AC33" i="1"/>
  <c r="AB32" i="1"/>
  <c r="T32" i="1"/>
  <c r="AA32" i="1"/>
  <c r="Y32" i="1"/>
  <c r="X32" i="1"/>
  <c r="AE32" i="1"/>
  <c r="W32" i="1"/>
  <c r="AD32" i="1"/>
  <c r="V32" i="1"/>
  <c r="AC32" i="1"/>
  <c r="AA31" i="1"/>
  <c r="AB31" i="1"/>
  <c r="T31" i="1"/>
  <c r="Z31" i="1"/>
  <c r="Y31" i="1"/>
  <c r="X31" i="1"/>
  <c r="AE31" i="1"/>
  <c r="W31" i="1"/>
  <c r="AD31" i="1"/>
  <c r="V31" i="1"/>
  <c r="AC31" i="1"/>
  <c r="AE52" i="1"/>
  <c r="AD52" i="1"/>
  <c r="AB52" i="1"/>
  <c r="W52" i="1"/>
  <c r="V52" i="1"/>
  <c r="AA52" i="1"/>
  <c r="Z52" i="1"/>
  <c r="Y52" i="1"/>
  <c r="X52" i="1"/>
  <c r="T53" i="1"/>
  <c r="AE53" i="1"/>
  <c r="AC53" i="1"/>
  <c r="AA53" i="1"/>
  <c r="Z53" i="1"/>
  <c r="Y53" i="1"/>
  <c r="X53" i="1"/>
  <c r="W53" i="1"/>
  <c r="AD53" i="1"/>
  <c r="V53" i="1"/>
  <c r="F32" i="2"/>
  <c r="F33" i="2"/>
  <c r="F34" i="2"/>
  <c r="F35" i="2"/>
  <c r="F36" i="2"/>
  <c r="F37" i="2"/>
  <c r="F38" i="2"/>
  <c r="F39" i="2"/>
  <c r="F40" i="2"/>
  <c r="F41" i="2"/>
  <c r="F42" i="2"/>
  <c r="F43" i="2"/>
  <c r="E28" i="2"/>
  <c r="F16" i="2"/>
  <c r="G16" i="2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F17" i="2"/>
  <c r="F18" i="2"/>
  <c r="F19" i="2"/>
  <c r="F20" i="2"/>
  <c r="F21" i="2"/>
  <c r="F22" i="2"/>
  <c r="F23" i="2"/>
  <c r="F24" i="2"/>
  <c r="F25" i="2"/>
  <c r="F26" i="2"/>
  <c r="F27" i="2"/>
  <c r="F6" i="2"/>
  <c r="F5" i="2"/>
  <c r="F28" i="2" l="1"/>
  <c r="D16" i="1" l="1"/>
  <c r="D20" i="1"/>
  <c r="T6" i="1"/>
  <c r="U6" i="1"/>
  <c r="V6" i="1"/>
  <c r="W6" i="1"/>
  <c r="X6" i="1"/>
  <c r="Y6" i="1"/>
  <c r="Z6" i="1"/>
  <c r="AA6" i="1"/>
  <c r="AB6" i="1"/>
  <c r="AC6" i="1"/>
  <c r="AD6" i="1"/>
  <c r="AE6" i="1"/>
  <c r="T7" i="1"/>
  <c r="U7" i="1"/>
  <c r="V7" i="1"/>
  <c r="W7" i="1"/>
  <c r="X7" i="1"/>
  <c r="Y7" i="1"/>
  <c r="Z7" i="1"/>
  <c r="AA7" i="1"/>
  <c r="AB7" i="1"/>
  <c r="AC7" i="1"/>
  <c r="AD7" i="1"/>
  <c r="AE7" i="1"/>
  <c r="T8" i="1"/>
  <c r="U8" i="1"/>
  <c r="V8" i="1"/>
  <c r="W8" i="1"/>
  <c r="X8" i="1"/>
  <c r="Y8" i="1"/>
  <c r="Z8" i="1"/>
  <c r="AA8" i="1"/>
  <c r="AB8" i="1"/>
  <c r="AC8" i="1"/>
  <c r="AD8" i="1"/>
  <c r="AE8" i="1"/>
  <c r="T9" i="1"/>
  <c r="U9" i="1"/>
  <c r="V9" i="1"/>
  <c r="W9" i="1"/>
  <c r="X9" i="1"/>
  <c r="Y9" i="1"/>
  <c r="Z9" i="1"/>
  <c r="AA9" i="1"/>
  <c r="AB9" i="1"/>
  <c r="AC9" i="1"/>
  <c r="AD9" i="1"/>
  <c r="AE9" i="1"/>
  <c r="T10" i="1"/>
  <c r="U10" i="1"/>
  <c r="V10" i="1"/>
  <c r="W10" i="1"/>
  <c r="X10" i="1"/>
  <c r="Y10" i="1"/>
  <c r="Z10" i="1"/>
  <c r="AA10" i="1"/>
  <c r="AB10" i="1"/>
  <c r="AC10" i="1"/>
  <c r="AD10" i="1"/>
  <c r="AE10" i="1"/>
  <c r="T11" i="1"/>
  <c r="U11" i="1"/>
  <c r="V11" i="1"/>
  <c r="W11" i="1"/>
  <c r="X11" i="1"/>
  <c r="Y11" i="1"/>
  <c r="Z11" i="1"/>
  <c r="AA11" i="1"/>
  <c r="AB11" i="1"/>
  <c r="AC11" i="1"/>
  <c r="AD11" i="1"/>
  <c r="AE11" i="1"/>
  <c r="T12" i="1"/>
  <c r="U12" i="1"/>
  <c r="V12" i="1"/>
  <c r="W12" i="1"/>
  <c r="X12" i="1"/>
  <c r="Y12" i="1"/>
  <c r="Z12" i="1"/>
  <c r="AA12" i="1"/>
  <c r="AB12" i="1"/>
  <c r="AC12" i="1"/>
  <c r="AD12" i="1"/>
  <c r="AE12" i="1"/>
  <c r="T13" i="1"/>
  <c r="U13" i="1"/>
  <c r="V13" i="1"/>
  <c r="W13" i="1"/>
  <c r="X13" i="1"/>
  <c r="Y13" i="1"/>
  <c r="Z13" i="1"/>
  <c r="AA13" i="1"/>
  <c r="AB13" i="1"/>
  <c r="AC13" i="1"/>
  <c r="AD13" i="1"/>
  <c r="AE13" i="1"/>
  <c r="T14" i="1"/>
  <c r="U14" i="1"/>
  <c r="V14" i="1"/>
  <c r="W14" i="1"/>
  <c r="X14" i="1"/>
  <c r="Y14" i="1"/>
  <c r="Z14" i="1"/>
  <c r="AA14" i="1"/>
  <c r="AB14" i="1"/>
  <c r="AC14" i="1"/>
  <c r="AD14" i="1"/>
  <c r="AE14" i="1"/>
  <c r="T15" i="1"/>
  <c r="U15" i="1"/>
  <c r="V15" i="1"/>
  <c r="W15" i="1"/>
  <c r="X15" i="1"/>
  <c r="Y15" i="1"/>
  <c r="Z15" i="1"/>
  <c r="AA15" i="1"/>
  <c r="AB15" i="1"/>
  <c r="AC15" i="1"/>
  <c r="AD15" i="1"/>
  <c r="AE15" i="1"/>
  <c r="T16" i="1"/>
  <c r="U16" i="1"/>
  <c r="V16" i="1"/>
  <c r="W16" i="1"/>
  <c r="X16" i="1"/>
  <c r="Y16" i="1"/>
  <c r="Z16" i="1"/>
  <c r="AA16" i="1"/>
  <c r="AB16" i="1"/>
  <c r="AC16" i="1"/>
  <c r="AD16" i="1"/>
  <c r="AE16" i="1"/>
  <c r="T17" i="1"/>
  <c r="U17" i="1"/>
  <c r="V17" i="1"/>
  <c r="W17" i="1"/>
  <c r="X17" i="1"/>
  <c r="Y17" i="1"/>
  <c r="Z17" i="1"/>
  <c r="AA17" i="1"/>
  <c r="AB17" i="1"/>
  <c r="AC17" i="1"/>
  <c r="AD17" i="1"/>
  <c r="AE17" i="1"/>
  <c r="T18" i="1"/>
  <c r="U18" i="1"/>
  <c r="V18" i="1"/>
  <c r="W18" i="1"/>
  <c r="X18" i="1"/>
  <c r="Y18" i="1"/>
  <c r="Z18" i="1"/>
  <c r="AA18" i="1"/>
  <c r="AB18" i="1"/>
  <c r="AC18" i="1"/>
  <c r="AD18" i="1"/>
  <c r="AE18" i="1"/>
  <c r="T19" i="1"/>
  <c r="U19" i="1"/>
  <c r="V19" i="1"/>
  <c r="W19" i="1"/>
  <c r="X19" i="1"/>
  <c r="Y19" i="1"/>
  <c r="Z19" i="1"/>
  <c r="AA19" i="1"/>
  <c r="AB19" i="1"/>
  <c r="AC19" i="1"/>
  <c r="AD19" i="1"/>
  <c r="AE19" i="1"/>
  <c r="T20" i="1"/>
  <c r="U20" i="1"/>
  <c r="V20" i="1"/>
  <c r="W20" i="1"/>
  <c r="X20" i="1"/>
  <c r="Y20" i="1"/>
  <c r="Z20" i="1"/>
  <c r="AA20" i="1"/>
  <c r="AB20" i="1"/>
  <c r="AC20" i="1"/>
  <c r="AD20" i="1"/>
  <c r="AE20" i="1"/>
  <c r="T21" i="1"/>
  <c r="U21" i="1"/>
  <c r="V21" i="1"/>
  <c r="W21" i="1"/>
  <c r="X21" i="1"/>
  <c r="Y21" i="1"/>
  <c r="Z21" i="1"/>
  <c r="AA21" i="1"/>
  <c r="AB21" i="1"/>
  <c r="AC21" i="1"/>
  <c r="AD21" i="1"/>
  <c r="AE21" i="1"/>
  <c r="T22" i="1"/>
  <c r="U22" i="1"/>
  <c r="V22" i="1"/>
  <c r="W22" i="1"/>
  <c r="X22" i="1"/>
  <c r="Y22" i="1"/>
  <c r="Z22" i="1"/>
  <c r="AA22" i="1"/>
  <c r="AB22" i="1"/>
  <c r="AC22" i="1"/>
  <c r="AD22" i="1"/>
  <c r="AE22" i="1"/>
  <c r="T23" i="1"/>
  <c r="U23" i="1"/>
  <c r="V23" i="1"/>
  <c r="W23" i="1"/>
  <c r="X23" i="1"/>
  <c r="Y23" i="1"/>
  <c r="Z23" i="1"/>
  <c r="AA23" i="1"/>
  <c r="AB23" i="1"/>
  <c r="AC23" i="1"/>
  <c r="AD23" i="1"/>
  <c r="AE23" i="1"/>
  <c r="T24" i="1"/>
  <c r="U24" i="1"/>
  <c r="V24" i="1"/>
  <c r="W24" i="1"/>
  <c r="X24" i="1"/>
  <c r="Y24" i="1"/>
  <c r="Z24" i="1"/>
  <c r="AA24" i="1"/>
  <c r="AB24" i="1"/>
  <c r="AC24" i="1"/>
  <c r="AD24" i="1"/>
  <c r="AE24" i="1"/>
  <c r="T25" i="1"/>
  <c r="U25" i="1"/>
  <c r="V25" i="1"/>
  <c r="W25" i="1"/>
  <c r="X25" i="1"/>
  <c r="Y25" i="1"/>
  <c r="Z25" i="1"/>
  <c r="AA25" i="1"/>
  <c r="AB25" i="1"/>
  <c r="AC25" i="1"/>
  <c r="AD25" i="1"/>
  <c r="AE25" i="1"/>
  <c r="T26" i="1"/>
  <c r="U26" i="1"/>
  <c r="V26" i="1"/>
  <c r="W26" i="1"/>
  <c r="X26" i="1"/>
  <c r="Y26" i="1"/>
  <c r="Z26" i="1"/>
  <c r="AA26" i="1"/>
  <c r="AB26" i="1"/>
  <c r="AC26" i="1"/>
  <c r="AD26" i="1"/>
  <c r="AE26" i="1"/>
  <c r="T27" i="1"/>
  <c r="U27" i="1"/>
  <c r="V27" i="1"/>
  <c r="W27" i="1"/>
  <c r="X27" i="1"/>
  <c r="Y27" i="1"/>
  <c r="Z27" i="1"/>
  <c r="AA27" i="1"/>
  <c r="AB27" i="1"/>
  <c r="AC27" i="1"/>
  <c r="AD27" i="1"/>
  <c r="AE27" i="1"/>
  <c r="U5" i="1"/>
  <c r="V5" i="1"/>
  <c r="W5" i="1"/>
  <c r="X5" i="1"/>
  <c r="Y5" i="1"/>
  <c r="Z5" i="1"/>
  <c r="AA5" i="1"/>
  <c r="AB5" i="1"/>
  <c r="AC5" i="1"/>
  <c r="AD5" i="1"/>
  <c r="AE5" i="1"/>
  <c r="T5" i="1"/>
  <c r="AG30" i="1" l="1"/>
  <c r="R1" i="1" a="1"/>
  <c r="R1" i="1" s="1"/>
  <c r="AG55" i="1"/>
  <c r="R43" i="1"/>
  <c r="AG56" i="1"/>
  <c r="R14" i="1"/>
  <c r="R40" i="1" s="1"/>
  <c r="R15" i="1"/>
  <c r="R41" i="1" s="1"/>
  <c r="R16" i="1"/>
  <c r="R42" i="1" s="1"/>
  <c r="R17" i="1"/>
  <c r="R18" i="1"/>
  <c r="R44" i="1" s="1"/>
  <c r="R19" i="1"/>
  <c r="R45" i="1" s="1"/>
  <c r="R20" i="1"/>
  <c r="R46" i="1" s="1"/>
  <c r="R21" i="1"/>
  <c r="R47" i="1" s="1"/>
  <c r="R22" i="1"/>
  <c r="R48" i="1" s="1"/>
  <c r="R23" i="1"/>
  <c r="R49" i="1" s="1"/>
  <c r="R24" i="1"/>
  <c r="R50" i="1" s="1"/>
  <c r="R25" i="1"/>
  <c r="R51" i="1" s="1"/>
  <c r="R26" i="1"/>
  <c r="R52" i="1" s="1"/>
  <c r="R27" i="1"/>
  <c r="R53" i="1" s="1"/>
  <c r="R28" i="1"/>
  <c r="R54" i="1" s="1"/>
  <c r="R29" i="1"/>
  <c r="R55" i="1" s="1"/>
  <c r="R30" i="1"/>
  <c r="R56" i="1" s="1"/>
  <c r="N26" i="1"/>
  <c r="O26" i="1"/>
  <c r="N27" i="1"/>
  <c r="O27" i="1"/>
  <c r="D6" i="1"/>
  <c r="D7" i="1"/>
  <c r="D8" i="1"/>
  <c r="D9" i="1"/>
  <c r="D10" i="1"/>
  <c r="D11" i="1"/>
  <c r="D12" i="1"/>
  <c r="D13" i="1"/>
  <c r="D14" i="1"/>
  <c r="D17" i="1"/>
  <c r="D18" i="1"/>
  <c r="D21" i="1"/>
  <c r="D23" i="1"/>
  <c r="D24" i="1"/>
  <c r="D25" i="1"/>
  <c r="M30" i="1"/>
  <c r="N30" i="1"/>
  <c r="O30" i="1"/>
  <c r="AG46" i="1" l="1"/>
  <c r="AG40" i="1"/>
  <c r="AG21" i="1"/>
  <c r="AG24" i="1"/>
  <c r="AG48" i="1"/>
  <c r="AG14" i="1"/>
  <c r="AG26" i="1"/>
  <c r="AG23" i="1"/>
  <c r="AG17" i="1"/>
  <c r="AG15" i="1"/>
  <c r="AG18" i="1"/>
  <c r="AG16" i="1"/>
  <c r="AG19" i="1"/>
  <c r="AG29" i="1"/>
  <c r="AG22" i="1"/>
  <c r="AG28" i="1"/>
  <c r="AG20" i="1"/>
  <c r="AG25" i="1"/>
  <c r="AG27" i="1"/>
  <c r="R38" i="2"/>
  <c r="R39" i="2"/>
  <c r="W31" i="2"/>
  <c r="R31" i="2"/>
  <c r="S31" i="2"/>
  <c r="T31" i="2"/>
  <c r="U31" i="2"/>
  <c r="V31" i="2"/>
  <c r="Q32" i="2"/>
  <c r="Q33" i="2"/>
  <c r="Q34" i="2"/>
  <c r="Q35" i="2"/>
  <c r="Q36" i="2"/>
  <c r="Q37" i="2"/>
  <c r="Q38" i="2"/>
  <c r="Q39" i="2"/>
  <c r="Q40" i="2"/>
  <c r="Q41" i="2"/>
  <c r="Q42" i="2"/>
  <c r="Q43" i="2"/>
  <c r="AG54" i="1" l="1"/>
  <c r="AG43" i="1"/>
  <c r="AG45" i="1"/>
  <c r="AG53" i="1"/>
  <c r="AG44" i="1"/>
  <c r="AG51" i="1"/>
  <c r="AG52" i="1"/>
  <c r="AG47" i="1"/>
  <c r="AG36" i="1"/>
  <c r="AG33" i="1"/>
  <c r="AG49" i="1"/>
  <c r="AG41" i="1"/>
  <c r="AG50" i="1"/>
  <c r="AG42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8" i="1"/>
  <c r="N29" i="1"/>
  <c r="N5" i="1"/>
  <c r="D28" i="2"/>
  <c r="C28" i="2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8" i="1"/>
  <c r="O29" i="1"/>
  <c r="O5" i="1"/>
  <c r="W33" i="2"/>
  <c r="W34" i="2"/>
  <c r="W35" i="2"/>
  <c r="W36" i="2"/>
  <c r="W37" i="2"/>
  <c r="W38" i="2"/>
  <c r="W39" i="2"/>
  <c r="W40" i="2"/>
  <c r="W41" i="2"/>
  <c r="W42" i="2"/>
  <c r="W43" i="2"/>
  <c r="W32" i="2"/>
  <c r="J8" i="2"/>
  <c r="J10" i="2"/>
  <c r="J9" i="2"/>
  <c r="J7" i="2"/>
  <c r="J6" i="2"/>
  <c r="J5" i="2"/>
  <c r="O31" i="1" l="1"/>
  <c r="W44" i="2"/>
  <c r="W45" i="2" s="1"/>
  <c r="V33" i="2"/>
  <c r="V42" i="2"/>
  <c r="V35" i="2"/>
  <c r="H43" i="2"/>
  <c r="V43" i="2" s="1"/>
  <c r="H42" i="2"/>
  <c r="H41" i="2"/>
  <c r="V41" i="2" s="1"/>
  <c r="H40" i="2"/>
  <c r="V40" i="2" s="1"/>
  <c r="H39" i="2"/>
  <c r="V39" i="2" s="1"/>
  <c r="H38" i="2"/>
  <c r="V38" i="2" s="1"/>
  <c r="H37" i="2"/>
  <c r="V37" i="2" s="1"/>
  <c r="H36" i="2"/>
  <c r="V36" i="2" s="1"/>
  <c r="H35" i="2"/>
  <c r="H34" i="2"/>
  <c r="V34" i="2" s="1"/>
  <c r="H33" i="2"/>
  <c r="H32" i="2"/>
  <c r="V32" i="2" s="1"/>
  <c r="C33" i="2"/>
  <c r="R33" i="2" s="1"/>
  <c r="D33" i="2"/>
  <c r="S33" i="2" s="1"/>
  <c r="E33" i="2"/>
  <c r="T33" i="2" s="1"/>
  <c r="G33" i="2"/>
  <c r="U33" i="2" s="1"/>
  <c r="C34" i="2"/>
  <c r="R34" i="2" s="1"/>
  <c r="D34" i="2"/>
  <c r="S34" i="2" s="1"/>
  <c r="E34" i="2"/>
  <c r="T34" i="2" s="1"/>
  <c r="G34" i="2"/>
  <c r="U34" i="2" s="1"/>
  <c r="C35" i="2"/>
  <c r="R35" i="2" s="1"/>
  <c r="D35" i="2"/>
  <c r="S35" i="2" s="1"/>
  <c r="E35" i="2"/>
  <c r="T35" i="2" s="1"/>
  <c r="G35" i="2"/>
  <c r="U35" i="2" s="1"/>
  <c r="C36" i="2"/>
  <c r="R36" i="2" s="1"/>
  <c r="D36" i="2"/>
  <c r="S36" i="2" s="1"/>
  <c r="E36" i="2"/>
  <c r="T36" i="2" s="1"/>
  <c r="G36" i="2"/>
  <c r="U36" i="2" s="1"/>
  <c r="C37" i="2"/>
  <c r="R37" i="2" s="1"/>
  <c r="D37" i="2"/>
  <c r="S37" i="2" s="1"/>
  <c r="E37" i="2"/>
  <c r="T37" i="2" s="1"/>
  <c r="G37" i="2"/>
  <c r="U37" i="2" s="1"/>
  <c r="D38" i="2"/>
  <c r="S38" i="2" s="1"/>
  <c r="E38" i="2"/>
  <c r="T38" i="2" s="1"/>
  <c r="G38" i="2"/>
  <c r="U38" i="2" s="1"/>
  <c r="D39" i="2"/>
  <c r="S39" i="2" s="1"/>
  <c r="E39" i="2"/>
  <c r="T39" i="2" s="1"/>
  <c r="G39" i="2"/>
  <c r="U39" i="2" s="1"/>
  <c r="C40" i="2"/>
  <c r="R40" i="2" s="1"/>
  <c r="D40" i="2"/>
  <c r="S40" i="2" s="1"/>
  <c r="E40" i="2"/>
  <c r="T40" i="2" s="1"/>
  <c r="G40" i="2"/>
  <c r="U40" i="2" s="1"/>
  <c r="C41" i="2"/>
  <c r="R41" i="2" s="1"/>
  <c r="D41" i="2"/>
  <c r="S41" i="2" s="1"/>
  <c r="E41" i="2"/>
  <c r="T41" i="2" s="1"/>
  <c r="G41" i="2"/>
  <c r="U41" i="2" s="1"/>
  <c r="C42" i="2"/>
  <c r="R42" i="2" s="1"/>
  <c r="D42" i="2"/>
  <c r="S42" i="2" s="1"/>
  <c r="E42" i="2"/>
  <c r="T42" i="2" s="1"/>
  <c r="G42" i="2"/>
  <c r="U42" i="2" s="1"/>
  <c r="C43" i="2"/>
  <c r="R43" i="2" s="1"/>
  <c r="D43" i="2"/>
  <c r="S43" i="2" s="1"/>
  <c r="E43" i="2"/>
  <c r="T43" i="2" s="1"/>
  <c r="G43" i="2"/>
  <c r="U43" i="2" s="1"/>
  <c r="D32" i="2"/>
  <c r="S32" i="2" s="1"/>
  <c r="E32" i="2"/>
  <c r="T32" i="2" s="1"/>
  <c r="G32" i="2"/>
  <c r="U32" i="2" s="1"/>
  <c r="C32" i="2"/>
  <c r="R32" i="2" s="1"/>
  <c r="R13" i="1"/>
  <c r="R39" i="1" s="1"/>
  <c r="R12" i="1"/>
  <c r="R38" i="1" s="1"/>
  <c r="R11" i="1"/>
  <c r="R37" i="1" s="1"/>
  <c r="R10" i="1"/>
  <c r="R36" i="1" s="1"/>
  <c r="R9" i="1"/>
  <c r="R35" i="1" s="1"/>
  <c r="R8" i="1"/>
  <c r="R34" i="1" s="1"/>
  <c r="R7" i="1"/>
  <c r="R33" i="1" s="1"/>
  <c r="R6" i="1"/>
  <c r="R32" i="1" s="1"/>
  <c r="R5" i="1"/>
  <c r="R31" i="1" s="1"/>
  <c r="AG37" i="1" l="1"/>
  <c r="AG35" i="1"/>
  <c r="AG39" i="1"/>
  <c r="AG34" i="1"/>
  <c r="AG38" i="1"/>
  <c r="S44" i="2"/>
  <c r="S45" i="2" s="1"/>
  <c r="V44" i="2"/>
  <c r="V45" i="2" s="1"/>
  <c r="R44" i="2"/>
  <c r="R45" i="2" s="1"/>
  <c r="U44" i="2"/>
  <c r="U45" i="2" s="1"/>
  <c r="T44" i="2"/>
  <c r="T45" i="2" s="1"/>
  <c r="AG12" i="1"/>
  <c r="AG32" i="1"/>
  <c r="AG31" i="1"/>
  <c r="AG5" i="1"/>
  <c r="AG13" i="1"/>
  <c r="AG9" i="1"/>
  <c r="AG6" i="1"/>
  <c r="AG8" i="1"/>
  <c r="AG11" i="1"/>
  <c r="AG7" i="1"/>
  <c r="AG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tc={7EC10854-856C-4F0D-A190-823E711097A1}</author>
  </authors>
  <commentList>
    <comment ref="I4" authorId="0" shapeId="0" xr:uid="{631DC965-14FD-4C8A-979C-7AE93067A4C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5" authorId="1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skal kobles til rådighedsdage fremfor at have en selvstændig prognose.</t>
      </text>
    </comment>
    <comment ref="J15" authorId="0" shapeId="0" xr:uid="{1ECA9D0F-08FC-4C55-BAF0-F39726F9DE6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 ikke relevant pga. kvoteomfattelse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M4" authorId="0" shapeId="0" xr:uid="{E4107D93-0666-4005-9C72-574A874C90D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For affaldsfraktioner er anvendt anvisningen fra SKAT på 37 kg CO2 pr. GJ indfyret affald.</t>
        </r>
      </text>
    </comment>
    <comment ref="K28" authorId="0" shapeId="0" xr:uid="{6372C3EA-F2EF-4ED2-BDD4-F7F7DCA3AB4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C30" authorId="0" shapeId="0" xr:uid="{B971E0B2-1F45-46C8-8234-5875FD8D06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38" authorId="0" shapeId="0" xr:uid="{8C881307-968A-4CFB-8BD6-664A8F60B15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Lagerbehandling før første periode.</t>
        </r>
      </text>
    </comment>
    <comment ref="B39" authorId="0" shapeId="0" xr:uid="{80D11E85-BDB2-4C66-919F-8ABF88ED10B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Angiver, om lageret skal tømmes i mindst én periode.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<sst xmlns="http://schemas.openxmlformats.org/spreadsheetml/2006/main" count="296" uniqueCount="143">
  <si>
    <t>Anlægsdata</t>
  </si>
  <si>
    <t>ovn2</t>
  </si>
  <si>
    <t>ovn3</t>
  </si>
  <si>
    <t>flisk</t>
  </si>
  <si>
    <t>cooler</t>
  </si>
  <si>
    <t>minlast</t>
  </si>
  <si>
    <t>etaq</t>
  </si>
  <si>
    <t>DV</t>
  </si>
  <si>
    <t>Fuldt navn</t>
  </si>
  <si>
    <t>pris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</si>
  <si>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</si>
  <si>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</si>
  <si>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</si>
  <si>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</si>
  <si>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</si>
  <si>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</si>
  <si>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</si>
  <si>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</si>
  <si>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</si>
  <si>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</si>
  <si>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</si>
  <si>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</si>
  <si>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Sum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</si>
  <si>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</si>
  <si>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</si>
  <si>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</si>
  <si>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</si>
  <si>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</si>
  <si>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</si>
  <si>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</si>
  <si>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</si>
  <si>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</si>
  <si>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</si>
  <si>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</si>
  <si>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</si>
  <si>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</si>
  <si>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</si>
  <si>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</si>
  <si>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</si>
  <si>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</si>
  <si>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</si>
  <si>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</si>
  <si>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</si>
  <si>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</si>
  <si>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</si>
  <si>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</si>
  <si>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</si>
  <si>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</si>
  <si>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</si>
  <si>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</si>
  <si>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</si>
  <si>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</si>
  <si>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</si>
  <si>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</si>
  <si>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</si>
  <si>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</si>
  <si>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</si>
  <si>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</si>
  <si>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</si>
  <si>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</si>
  <si>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</si>
  <si>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</si>
  <si>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</si>
  <si>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</si>
  <si>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Prognoser</t>
  </si>
  <si>
    <t>kr/ton</t>
  </si>
  <si>
    <t>kr/GJ</t>
  </si>
  <si>
    <t>varmebehov</t>
  </si>
  <si>
    <t>ets</t>
  </si>
  <si>
    <t>afv</t>
  </si>
  <si>
    <t>atl</t>
  </si>
  <si>
    <t>co2</t>
  </si>
  <si>
    <t>Pulver</t>
  </si>
  <si>
    <t>ndage</t>
  </si>
  <si>
    <t>kapRgk</t>
  </si>
  <si>
    <t>MWh</t>
  </si>
  <si>
    <t>max</t>
  </si>
  <si>
    <t>min</t>
  </si>
  <si>
    <t>DKK/MWhq</t>
  </si>
  <si>
    <t>MWq</t>
  </si>
  <si>
    <t>aktiv</t>
  </si>
  <si>
    <t>GJ/ton</t>
  </si>
  <si>
    <t>DKK/ton</t>
  </si>
  <si>
    <t>peak</t>
  </si>
  <si>
    <t>Rådige dage</t>
  </si>
  <si>
    <t>kapMin</t>
  </si>
  <si>
    <t>aux</t>
  </si>
  <si>
    <t>co2andel</t>
  </si>
  <si>
    <t>NS</t>
  </si>
  <si>
    <t>MWhq</t>
  </si>
  <si>
    <t>ELprod</t>
  </si>
  <si>
    <t>MWhe</t>
  </si>
  <si>
    <t>fkind</t>
  </si>
  <si>
    <t>ton/år</t>
  </si>
  <si>
    <t>= gæt</t>
  </si>
  <si>
    <t>MWhq/år</t>
  </si>
  <si>
    <t>NSvarme</t>
  </si>
  <si>
    <t>ton</t>
  </si>
  <si>
    <t>Enhed</t>
  </si>
  <si>
    <t>brandv</t>
  </si>
  <si>
    <t>on/off</t>
  </si>
  <si>
    <t>FlisAffald</t>
  </si>
  <si>
    <t>Nordic Sugar varme [MWhq]</t>
  </si>
  <si>
    <t>GJ/MWhq</t>
  </si>
  <si>
    <t>MWhf</t>
  </si>
  <si>
    <t>SUM</t>
  </si>
  <si>
    <t>prisbv</t>
  </si>
  <si>
    <t>DKK/GJ</t>
  </si>
  <si>
    <t>Max.Qprod</t>
  </si>
  <si>
    <t>Behovsandel</t>
  </si>
  <si>
    <t>ton/ton</t>
  </si>
  <si>
    <t>kapTon</t>
  </si>
  <si>
    <t>ton/h</t>
  </si>
  <si>
    <t>INPUT</t>
  </si>
  <si>
    <t>kapNom</t>
  </si>
  <si>
    <t>Fraktion</t>
  </si>
  <si>
    <t>Bound</t>
  </si>
  <si>
    <t>ukind</t>
  </si>
  <si>
    <t>PeakFuel</t>
  </si>
  <si>
    <t>Brændselstype</t>
  </si>
  <si>
    <t>Tilførte drivmiddel-mængder min-max grænser</t>
  </si>
  <si>
    <t>Affald</t>
  </si>
  <si>
    <t>Mellemlagre</t>
  </si>
  <si>
    <t>Kapacitet</t>
  </si>
  <si>
    <t>Laderate</t>
  </si>
  <si>
    <t>ton/md</t>
  </si>
  <si>
    <t>LagerstandPrimo</t>
  </si>
  <si>
    <t>NulstilAarligt</t>
  </si>
  <si>
    <t>Ny affaldsfraktion 1</t>
  </si>
  <si>
    <t>Ny affaldsfraktion 2</t>
  </si>
  <si>
    <t>NyAff1</t>
  </si>
  <si>
    <t>NyAff2</t>
  </si>
  <si>
    <t>bortskaffes</t>
  </si>
  <si>
    <t>FuelParms</t>
  </si>
  <si>
    <t>MindsteBVaffald</t>
  </si>
  <si>
    <t>MinLhv</t>
  </si>
  <si>
    <t>fri</t>
  </si>
  <si>
    <t>lagerbar</t>
  </si>
  <si>
    <t>minTonnage</t>
  </si>
  <si>
    <t>maxTonnage</t>
  </si>
  <si>
    <t>FRI</t>
  </si>
  <si>
    <t>BORTSKAFFES</t>
  </si>
  <si>
    <t>Lagerbar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</si>
</sst>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0.0"/>
    <numFmt numFmtId="167" formatCode="0.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6633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9663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 diagonalUp="1" diagonalDown="1">
      <left/>
      <right/>
      <top/>
      <bottom/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/>
      <right/>
      <top style="thin">
        <color theme="0" tint="-0.24994659260841701"/>
      </top>
      <bottom/>
      <diagonal style="thin">
        <color theme="0" tint="-0.24994659260841701"/>
      </diagonal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7" fillId="5" borderId="0" applyNumberFormat="0" applyBorder="0" applyAlignment="0" applyProtection="0"/>
    <xf numFmtId="0" fontId="22" fillId="6" borderId="5" applyNumberFormat="0" applyAlignment="0" applyProtection="0"/>
  </cellStyleXfs>
  <cellXfs count="82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0" xfId="0" applyFont="1"/>
    <xf numFmtId="3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right" indent="1"/>
    </xf>
    <xf numFmtId="1" fontId="0" fillId="0" borderId="0" xfId="0" applyNumberFormat="1"/>
    <xf numFmtId="0" fontId="4" fillId="0" borderId="0" xfId="0" applyFont="1" applyAlignment="1">
      <alignment horizontal="center"/>
    </xf>
    <xf numFmtId="0" fontId="8" fillId="0" borderId="0" xfId="0" applyFont="1"/>
    <xf numFmtId="0" fontId="9" fillId="0" borderId="0" xfId="0" applyFont="1"/>
    <xf numFmtId="0" fontId="0" fillId="3" borderId="0" xfId="0" applyFill="1"/>
    <xf numFmtId="0" fontId="3" fillId="0" borderId="0" xfId="0" applyFont="1" applyAlignment="1">
      <alignment horizontal="right" indent="1"/>
    </xf>
    <xf numFmtId="0" fontId="3" fillId="0" borderId="0" xfId="0" applyFont="1" applyAlignment="1"/>
    <xf numFmtId="43" fontId="0" fillId="0" borderId="0" xfId="1" applyFont="1"/>
    <xf numFmtId="0" fontId="10" fillId="0" borderId="0" xfId="0" applyFont="1"/>
    <xf numFmtId="9" fontId="10" fillId="0" borderId="0" xfId="0" applyNumberFormat="1" applyFont="1"/>
    <xf numFmtId="165" fontId="9" fillId="0" borderId="0" xfId="1" applyNumberFormat="1" applyFont="1"/>
    <xf numFmtId="165" fontId="8" fillId="0" borderId="0" xfId="1" applyNumberFormat="1" applyFont="1"/>
    <xf numFmtId="0" fontId="0" fillId="4" borderId="0" xfId="0" quotePrefix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3" fontId="12" fillId="0" borderId="0" xfId="0" applyNumberFormat="1" applyFont="1"/>
    <xf numFmtId="3" fontId="13" fillId="0" borderId="0" xfId="0" applyNumberFormat="1" applyFont="1"/>
    <xf numFmtId="0" fontId="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9" fontId="0" fillId="4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3" fontId="0" fillId="4" borderId="0" xfId="0" applyNumberFormat="1" applyFill="1"/>
    <xf numFmtId="0" fontId="12" fillId="0" borderId="0" xfId="0" applyFont="1"/>
    <xf numFmtId="0" fontId="0" fillId="0" borderId="0" xfId="2" applyNumberFormat="1" applyFont="1" applyAlignment="1">
      <alignment horizontal="center"/>
    </xf>
    <xf numFmtId="3" fontId="3" fillId="0" borderId="0" xfId="0" applyNumberFormat="1" applyFont="1" applyAlignment="1">
      <alignment horizontal="right" indent="1"/>
    </xf>
    <xf numFmtId="3" fontId="3" fillId="0" borderId="0" xfId="0" applyNumberFormat="1" applyFont="1"/>
    <xf numFmtId="3" fontId="5" fillId="0" borderId="0" xfId="0" applyNumberFormat="1" applyFont="1"/>
    <xf numFmtId="3" fontId="4" fillId="0" borderId="0" xfId="0" applyNumberFormat="1" applyFont="1"/>
    <xf numFmtId="9" fontId="5" fillId="0" borderId="0" xfId="2" applyFont="1"/>
    <xf numFmtId="0" fontId="4" fillId="0" borderId="1" xfId="0" applyFont="1" applyBorder="1" applyAlignment="1">
      <alignment horizontal="center"/>
    </xf>
    <xf numFmtId="3" fontId="5" fillId="0" borderId="1" xfId="0" applyNumberFormat="1" applyFont="1" applyBorder="1"/>
    <xf numFmtId="0" fontId="3" fillId="3" borderId="0" xfId="0" applyFont="1" applyFill="1" applyAlignment="1">
      <alignment horizontal="center"/>
    </xf>
    <xf numFmtId="3" fontId="0" fillId="3" borderId="0" xfId="0" applyNumberFormat="1" applyFill="1"/>
    <xf numFmtId="3" fontId="3" fillId="3" borderId="0" xfId="0" applyNumberFormat="1" applyFont="1" applyFill="1"/>
    <xf numFmtId="0" fontId="16" fillId="0" borderId="0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3" fontId="9" fillId="0" borderId="0" xfId="0" applyNumberFormat="1" applyFont="1"/>
    <xf numFmtId="166" fontId="0" fillId="0" borderId="0" xfId="0" applyNumberFormat="1"/>
    <xf numFmtId="0" fontId="11" fillId="0" borderId="0" xfId="0" applyFont="1"/>
    <xf numFmtId="0" fontId="10" fillId="3" borderId="0" xfId="0" applyFont="1" applyFill="1"/>
    <xf numFmtId="3" fontId="10" fillId="0" borderId="0" xfId="0" applyNumberFormat="1" applyFont="1"/>
    <xf numFmtId="0" fontId="10" fillId="0" borderId="0" xfId="0" applyFont="1" applyAlignment="1">
      <alignment horizontal="left" indent="1"/>
    </xf>
    <xf numFmtId="0" fontId="18" fillId="0" borderId="0" xfId="0" applyFont="1"/>
    <xf numFmtId="0" fontId="18" fillId="0" borderId="0" xfId="3" applyFont="1" applyFill="1"/>
    <xf numFmtId="0" fontId="18" fillId="0" borderId="0" xfId="0" applyFont="1" applyFill="1"/>
    <xf numFmtId="0" fontId="19" fillId="0" borderId="0" xfId="0" applyFont="1"/>
    <xf numFmtId="0" fontId="20" fillId="0" borderId="0" xfId="0" applyFont="1"/>
    <xf numFmtId="165" fontId="19" fillId="0" borderId="0" xfId="1" applyNumberFormat="1" applyFont="1"/>
    <xf numFmtId="3" fontId="21" fillId="0" borderId="0" xfId="0" applyNumberFormat="1" applyFont="1"/>
    <xf numFmtId="3" fontId="0" fillId="0" borderId="3" xfId="0" applyNumberFormat="1" applyBorder="1"/>
    <xf numFmtId="3" fontId="0" fillId="0" borderId="4" xfId="0" applyNumberFormat="1" applyBorder="1"/>
    <xf numFmtId="165" fontId="9" fillId="0" borderId="2" xfId="1" applyNumberFormat="1" applyFont="1" applyBorder="1"/>
    <xf numFmtId="0" fontId="0" fillId="0" borderId="2" xfId="0" applyBorder="1"/>
    <xf numFmtId="167" fontId="22" fillId="6" borderId="5" xfId="5" applyNumberFormat="1" applyAlignment="1"/>
    <xf numFmtId="0" fontId="10" fillId="3" borderId="0" xfId="0" applyFont="1" applyFill="1" applyAlignment="1">
      <alignment horizontal="center"/>
    </xf>
    <xf numFmtId="0" fontId="18" fillId="7" borderId="0" xfId="0" applyFont="1" applyFill="1"/>
    <xf numFmtId="0" fontId="0" fillId="8" borderId="0" xfId="0" applyFill="1"/>
    <xf numFmtId="0" fontId="18" fillId="9" borderId="0" xfId="0" applyFont="1" applyFill="1"/>
    <xf numFmtId="3" fontId="0" fillId="0" borderId="6" xfId="0" applyNumberFormat="1" applyBorder="1"/>
    <xf numFmtId="4" fontId="18" fillId="0" borderId="0" xfId="4" applyNumberFormat="1" applyFont="1" applyFill="1" applyAlignment="1">
      <alignment horizontal="center"/>
    </xf>
    <xf numFmtId="4" fontId="18" fillId="0" borderId="0" xfId="0" applyNumberFormat="1" applyFont="1" applyFill="1" applyAlignment="1">
      <alignment horizontal="center"/>
    </xf>
    <xf numFmtId="0" fontId="19" fillId="0" borderId="0" xfId="0" applyFont="1" applyAlignment="1">
      <alignment horizontal="center"/>
    </xf>
    <xf numFmtId="3" fontId="19" fillId="0" borderId="6" xfId="0" applyNumberFormat="1" applyFont="1" applyBorder="1"/>
    <xf numFmtId="3" fontId="19" fillId="0" borderId="0" xfId="0" applyNumberFormat="1" applyFont="1"/>
    <xf numFmtId="164" fontId="19" fillId="0" borderId="0" xfId="0" applyNumberFormat="1" applyFont="1"/>
    <xf numFmtId="4" fontId="19" fillId="0" borderId="0" xfId="4" applyNumberFormat="1" applyFont="1" applyFill="1" applyAlignment="1">
      <alignment horizontal="center"/>
    </xf>
  </cellXfs>
  <cellStyles count="6">
    <cellStyle name="Bad" xfId="4" builtinId="27"/>
    <cellStyle name="Calculation" xfId="5" builtinId="22"/>
    <cellStyle name="Comma" xfId="1" builtinId="3"/>
    <cellStyle name="Neutral" xfId="3" builtinId="28"/>
    <cellStyle name="Normal" xfId="0" builtinId="0"/>
    <cellStyle name="Percent" xfId="2" builtinId="5"/>
  </cellStyles>
  <dxfs count="1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6633"/>
      <color rgb="FF663300"/>
      <color rgb="FFCCFFFF"/>
      <color rgb="FFFFF4DD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44823</xdr:colOff>
      <xdr:row>3</xdr:row>
      <xdr:rowOff>11206</xdr:rowOff>
    </xdr:from>
    <xdr:to>
      <xdr:col>29</xdr:col>
      <xdr:colOff>347382</xdr:colOff>
      <xdr:row>16</xdr:row>
      <xdr:rowOff>33618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7E3E621-F843-4B5C-B140-AFA34C44B551}"/>
            </a:ext>
          </a:extLst>
        </xdr:cNvPr>
        <xdr:cNvSpPr txBox="1"/>
      </xdr:nvSpPr>
      <xdr:spPr>
        <a:xfrm>
          <a:off x="11385176" y="582706"/>
          <a:ext cx="6958853" cy="249891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 b="1" u="sng"/>
            <a:t>UDESTÅENDER OG SPØRGSMÅL</a:t>
          </a:r>
        </a:p>
        <a:p>
          <a:endParaRPr lang="da-DK" sz="1100"/>
        </a:p>
        <a:p>
          <a:r>
            <a:rPr lang="da-DK" sz="1100"/>
            <a:t>1. Tonnage-kapaciteten er beregnet på basis af indfyringskapaciteten</a:t>
          </a:r>
          <a:r>
            <a:rPr lang="da-DK" sz="1100" baseline="0"/>
            <a:t> henregnet til varmeproduktion.</a:t>
          </a:r>
          <a:br>
            <a:rPr lang="da-DK" sz="1100" baseline="0"/>
          </a:br>
          <a:r>
            <a:rPr lang="da-DK" sz="1100" baseline="0"/>
            <a:t>     Reelt er det vel omvendt, at indfyringskapaciteten [MWf] beregnes ud fra tonnage og mindste brændværdi?</a:t>
          </a:r>
          <a:endParaRPr lang="da-DK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1-09-18T09:29:19.41" personId="{6C31D44C-7906-4E42-9043-153FA373E923}" id="{7EC10854-856C-4F0D-A190-823E711097A1}">
    <text>Elproduktionen skal kobles til rådighedsdage fremfor at have en selvstændig prognose.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/>
  <dimension ref="A1:W50"/>
  <sheetViews>
    <sheetView zoomScale="85" zoomScaleNormal="85" workbookViewId="0">
      <selection activeCell="L25" sqref="L25"/>
    </sheetView>
  </sheetViews>
  <sheetFormatPr defaultRowHeight="15" x14ac:dyDescent="0.25"/>
  <cols>
    <col min="2" max="2" width="11.42578125" bestFit="1" customWidth="1"/>
    <col min="4" max="4" width="12.140625" bestFit="1" customWidth="1"/>
    <col min="8" max="8" width="9.42578125" customWidth="1"/>
    <col min="9" max="9" width="10.5703125" bestFit="1" customWidth="1"/>
    <col min="10" max="10" width="9.42578125" customWidth="1"/>
    <col min="11" max="11" width="10.28515625" bestFit="1" customWidth="1"/>
    <col min="12" max="12" width="10.28515625" style="48" bestFit="1" customWidth="1"/>
    <col min="13" max="13" width="10.28515625" style="48" customWidth="1"/>
    <col min="14" max="14" width="4.7109375" style="48" customWidth="1"/>
  </cols>
  <sheetData>
    <row r="1" spans="1:15" x14ac:dyDescent="0.25">
      <c r="A1" s="15"/>
      <c r="B1" s="15"/>
      <c r="C1" s="15"/>
      <c r="D1" s="15"/>
      <c r="E1" s="51" t="s">
        <v>113</v>
      </c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x14ac:dyDescent="0.25">
      <c r="O2" s="15"/>
    </row>
    <row r="3" spans="1:15" x14ac:dyDescent="0.25">
      <c r="B3" s="1"/>
      <c r="C3" s="28" t="s">
        <v>100</v>
      </c>
      <c r="E3" s="29" t="s">
        <v>81</v>
      </c>
      <c r="F3" s="28" t="s">
        <v>112</v>
      </c>
      <c r="G3" s="29" t="s">
        <v>79</v>
      </c>
      <c r="H3" s="29" t="s">
        <v>79</v>
      </c>
      <c r="I3" s="30"/>
      <c r="J3" s="30" t="s">
        <v>79</v>
      </c>
      <c r="K3" s="29"/>
      <c r="L3" s="29" t="s">
        <v>78</v>
      </c>
      <c r="M3" s="29" t="s">
        <v>78</v>
      </c>
      <c r="O3" s="15"/>
    </row>
    <row r="4" spans="1:15" x14ac:dyDescent="0.25">
      <c r="B4" s="51" t="s">
        <v>0</v>
      </c>
      <c r="C4" s="2" t="s">
        <v>80</v>
      </c>
      <c r="D4" s="2" t="s">
        <v>117</v>
      </c>
      <c r="E4" s="2" t="s">
        <v>135</v>
      </c>
      <c r="F4" s="2" t="s">
        <v>111</v>
      </c>
      <c r="G4" s="2" t="s">
        <v>114</v>
      </c>
      <c r="H4" s="2" t="s">
        <v>74</v>
      </c>
      <c r="I4" s="25" t="s">
        <v>5</v>
      </c>
      <c r="J4" s="25" t="s">
        <v>85</v>
      </c>
      <c r="K4" s="2" t="s">
        <v>6</v>
      </c>
      <c r="L4" s="2" t="s">
        <v>7</v>
      </c>
      <c r="M4" s="2" t="s">
        <v>86</v>
      </c>
      <c r="O4" s="15"/>
    </row>
    <row r="5" spans="1:15" x14ac:dyDescent="0.25">
      <c r="B5" s="16" t="s">
        <v>1</v>
      </c>
      <c r="C5" s="9">
        <v>1</v>
      </c>
      <c r="D5" s="9">
        <v>1</v>
      </c>
      <c r="E5" s="4">
        <v>8</v>
      </c>
      <c r="F5" s="69">
        <f>G5/E5*3.6</f>
        <v>4.05</v>
      </c>
      <c r="G5">
        <v>9</v>
      </c>
      <c r="H5">
        <v>2</v>
      </c>
      <c r="I5" s="20">
        <v>0.7</v>
      </c>
      <c r="J5" s="19">
        <f t="shared" ref="J5:J10" si="0">I5*G5</f>
        <v>6.3</v>
      </c>
      <c r="K5" s="31">
        <v>0.6</v>
      </c>
      <c r="L5" s="4">
        <v>50</v>
      </c>
      <c r="M5" s="4">
        <v>0</v>
      </c>
      <c r="O5" s="15"/>
    </row>
    <row r="6" spans="1:15" x14ac:dyDescent="0.25">
      <c r="B6" s="16" t="s">
        <v>2</v>
      </c>
      <c r="C6" s="9">
        <v>1</v>
      </c>
      <c r="D6" s="9">
        <v>1</v>
      </c>
      <c r="E6" s="4">
        <v>8</v>
      </c>
      <c r="F6" s="69">
        <f>G6/E6*3.6</f>
        <v>9.9</v>
      </c>
      <c r="G6">
        <v>22</v>
      </c>
      <c r="H6">
        <v>5</v>
      </c>
      <c r="I6" s="20">
        <v>0.7</v>
      </c>
      <c r="J6" s="19">
        <f t="shared" si="0"/>
        <v>15.399999999999999</v>
      </c>
      <c r="K6" s="32">
        <v>0.65</v>
      </c>
      <c r="L6" s="4">
        <v>40</v>
      </c>
      <c r="M6" s="4">
        <v>0</v>
      </c>
      <c r="O6" s="15"/>
    </row>
    <row r="7" spans="1:15" x14ac:dyDescent="0.25">
      <c r="B7" s="16" t="s">
        <v>3</v>
      </c>
      <c r="C7" s="9">
        <v>1</v>
      </c>
      <c r="D7" s="9">
        <v>2</v>
      </c>
      <c r="E7" s="4"/>
      <c r="F7" s="68"/>
      <c r="G7">
        <v>10.5</v>
      </c>
      <c r="H7" s="68"/>
      <c r="I7" s="19">
        <v>0</v>
      </c>
      <c r="J7" s="19">
        <f t="shared" si="0"/>
        <v>0</v>
      </c>
      <c r="K7" s="31">
        <v>0.85</v>
      </c>
      <c r="L7" s="4">
        <v>25</v>
      </c>
      <c r="M7" s="4">
        <v>0</v>
      </c>
      <c r="O7" s="15"/>
    </row>
    <row r="8" spans="1:15" x14ac:dyDescent="0.25">
      <c r="B8" s="16" t="s">
        <v>88</v>
      </c>
      <c r="C8" s="9">
        <v>1</v>
      </c>
      <c r="D8" s="9">
        <v>3</v>
      </c>
      <c r="E8" s="4"/>
      <c r="F8" s="68"/>
      <c r="G8">
        <v>8</v>
      </c>
      <c r="H8" s="68"/>
      <c r="I8" s="19">
        <v>0</v>
      </c>
      <c r="J8" s="19">
        <f>I8*G8</f>
        <v>0</v>
      </c>
      <c r="K8" s="32">
        <v>1</v>
      </c>
      <c r="L8" s="4">
        <v>0</v>
      </c>
      <c r="M8" s="4">
        <v>0</v>
      </c>
      <c r="O8" s="15"/>
    </row>
    <row r="9" spans="1:15" x14ac:dyDescent="0.25">
      <c r="B9" s="16" t="s">
        <v>83</v>
      </c>
      <c r="C9" s="9">
        <v>1</v>
      </c>
      <c r="D9" s="9">
        <v>4</v>
      </c>
      <c r="E9" s="4"/>
      <c r="F9" s="68"/>
      <c r="G9">
        <v>100</v>
      </c>
      <c r="H9" s="68"/>
      <c r="I9" s="19">
        <v>0</v>
      </c>
      <c r="J9" s="19">
        <f t="shared" si="0"/>
        <v>0</v>
      </c>
      <c r="K9" s="32">
        <v>1</v>
      </c>
      <c r="L9" s="4">
        <v>0</v>
      </c>
      <c r="M9" s="4">
        <v>0</v>
      </c>
      <c r="O9" s="15"/>
    </row>
    <row r="10" spans="1:15" x14ac:dyDescent="0.25">
      <c r="B10" s="16" t="s">
        <v>4</v>
      </c>
      <c r="C10" s="9">
        <v>1</v>
      </c>
      <c r="D10" s="9">
        <v>5</v>
      </c>
      <c r="E10" s="4"/>
      <c r="F10" s="68"/>
      <c r="G10">
        <v>15</v>
      </c>
      <c r="H10" s="68"/>
      <c r="I10" s="19">
        <v>0</v>
      </c>
      <c r="J10" s="19">
        <f t="shared" si="0"/>
        <v>0</v>
      </c>
      <c r="K10" s="32">
        <v>1</v>
      </c>
      <c r="L10" s="4">
        <v>10</v>
      </c>
      <c r="M10" s="4">
        <v>20</v>
      </c>
      <c r="O10" s="15"/>
    </row>
    <row r="11" spans="1:15" x14ac:dyDescent="0.25">
      <c r="B11" s="16"/>
      <c r="C11" s="2"/>
      <c r="D11" s="2"/>
      <c r="G11" s="20"/>
      <c r="H11" s="19"/>
      <c r="I11" s="3"/>
      <c r="J11" s="3"/>
      <c r="O11" s="15"/>
    </row>
    <row r="12" spans="1:15" x14ac:dyDescent="0.25">
      <c r="B12" s="23" t="s">
        <v>94</v>
      </c>
      <c r="O12" s="15"/>
    </row>
    <row r="13" spans="1:15" x14ac:dyDescent="0.25">
      <c r="O13" s="15"/>
    </row>
    <row r="14" spans="1:15" x14ac:dyDescent="0.25">
      <c r="B14" s="1"/>
      <c r="C14" s="1"/>
      <c r="D14" s="9" t="s">
        <v>75</v>
      </c>
      <c r="E14" s="9" t="s">
        <v>89</v>
      </c>
      <c r="F14" s="9" t="s">
        <v>91</v>
      </c>
      <c r="G14" s="9" t="s">
        <v>65</v>
      </c>
      <c r="H14" s="9" t="s">
        <v>66</v>
      </c>
      <c r="I14" s="9" t="s">
        <v>66</v>
      </c>
      <c r="J14" s="24" t="s">
        <v>65</v>
      </c>
      <c r="K14" s="24"/>
      <c r="L14" s="49"/>
      <c r="M14" s="49"/>
      <c r="N14" s="49"/>
      <c r="O14" s="15"/>
    </row>
    <row r="15" spans="1:15" x14ac:dyDescent="0.25">
      <c r="B15" s="51" t="s">
        <v>64</v>
      </c>
      <c r="C15" s="2" t="s">
        <v>73</v>
      </c>
      <c r="D15" s="2" t="s">
        <v>67</v>
      </c>
      <c r="E15" s="2" t="s">
        <v>96</v>
      </c>
      <c r="F15" s="2" t="s">
        <v>90</v>
      </c>
      <c r="G15" s="2" t="s">
        <v>68</v>
      </c>
      <c r="H15" s="2" t="s">
        <v>69</v>
      </c>
      <c r="I15" s="2" t="s">
        <v>70</v>
      </c>
      <c r="J15" s="25" t="s">
        <v>71</v>
      </c>
      <c r="K15" s="25"/>
      <c r="L15" s="50"/>
      <c r="M15" s="50"/>
      <c r="N15" s="50"/>
      <c r="O15" s="15"/>
    </row>
    <row r="16" spans="1:15" x14ac:dyDescent="0.25">
      <c r="B16" s="10" t="s">
        <v>10</v>
      </c>
      <c r="C16">
        <v>31</v>
      </c>
      <c r="D16" s="7">
        <v>35300</v>
      </c>
      <c r="E16" s="7">
        <v>4000</v>
      </c>
      <c r="F16" s="7">
        <f t="shared" ref="F16:F27" si="1">8*C16*24</f>
        <v>5952</v>
      </c>
      <c r="G16" s="11">
        <f>(33+0.1561*C16/2)*7.5</f>
        <v>265.64662500000003</v>
      </c>
      <c r="H16">
        <v>25.8</v>
      </c>
      <c r="I16">
        <v>26.5</v>
      </c>
      <c r="J16" s="19">
        <v>177</v>
      </c>
      <c r="K16" s="19"/>
      <c r="O16" s="15"/>
    </row>
    <row r="17" spans="2:23" x14ac:dyDescent="0.25">
      <c r="B17" s="10" t="s">
        <v>11</v>
      </c>
      <c r="C17">
        <v>28</v>
      </c>
      <c r="D17" s="7">
        <v>32000</v>
      </c>
      <c r="E17" s="7">
        <v>0</v>
      </c>
      <c r="F17" s="7">
        <f t="shared" si="1"/>
        <v>5376</v>
      </c>
      <c r="G17" s="11">
        <f t="shared" ref="G17:G27" si="2">G16+0.1561*7.5*C17</f>
        <v>298.42762500000003</v>
      </c>
      <c r="H17">
        <v>25.8</v>
      </c>
      <c r="I17">
        <v>26.5</v>
      </c>
      <c r="J17" s="19">
        <v>177</v>
      </c>
      <c r="K17" s="19"/>
      <c r="O17" s="15"/>
    </row>
    <row r="18" spans="2:23" x14ac:dyDescent="0.25">
      <c r="B18" s="10" t="s">
        <v>12</v>
      </c>
      <c r="C18">
        <v>31</v>
      </c>
      <c r="D18" s="7">
        <v>29500</v>
      </c>
      <c r="E18" s="7">
        <v>0</v>
      </c>
      <c r="F18" s="7">
        <f t="shared" si="1"/>
        <v>5952</v>
      </c>
      <c r="G18" s="11">
        <f t="shared" si="2"/>
        <v>334.72087500000004</v>
      </c>
      <c r="H18">
        <v>25.8</v>
      </c>
      <c r="I18">
        <v>26.5</v>
      </c>
      <c r="J18" s="19">
        <v>177</v>
      </c>
      <c r="K18" s="19"/>
      <c r="O18" s="15"/>
    </row>
    <row r="19" spans="2:23" x14ac:dyDescent="0.25">
      <c r="B19" s="10" t="s">
        <v>13</v>
      </c>
      <c r="C19">
        <v>30</v>
      </c>
      <c r="D19" s="7">
        <v>20000</v>
      </c>
      <c r="E19" s="7">
        <v>0</v>
      </c>
      <c r="F19" s="7">
        <f t="shared" si="1"/>
        <v>5760</v>
      </c>
      <c r="G19" s="11">
        <f t="shared" si="2"/>
        <v>369.84337500000004</v>
      </c>
      <c r="H19">
        <v>25.8</v>
      </c>
      <c r="I19">
        <v>26.5</v>
      </c>
      <c r="J19" s="19">
        <v>177</v>
      </c>
      <c r="K19" s="19"/>
      <c r="O19" s="15"/>
    </row>
    <row r="20" spans="2:23" x14ac:dyDescent="0.25">
      <c r="B20" s="10" t="s">
        <v>14</v>
      </c>
      <c r="C20">
        <v>31</v>
      </c>
      <c r="D20" s="7">
        <v>13000</v>
      </c>
      <c r="E20" s="7">
        <v>0</v>
      </c>
      <c r="F20" s="7">
        <f t="shared" si="1"/>
        <v>5952</v>
      </c>
      <c r="G20" s="11">
        <f t="shared" si="2"/>
        <v>406.13662500000004</v>
      </c>
      <c r="H20">
        <v>25.8</v>
      </c>
      <c r="I20">
        <v>26.5</v>
      </c>
      <c r="J20" s="19">
        <v>177</v>
      </c>
      <c r="K20" s="19"/>
      <c r="O20" s="15"/>
    </row>
    <row r="21" spans="2:23" x14ac:dyDescent="0.25">
      <c r="B21" s="10" t="s">
        <v>15</v>
      </c>
      <c r="C21">
        <v>30</v>
      </c>
      <c r="D21" s="7">
        <v>7500</v>
      </c>
      <c r="E21" s="7">
        <v>0</v>
      </c>
      <c r="F21" s="7">
        <f t="shared" si="1"/>
        <v>5760</v>
      </c>
      <c r="G21" s="11">
        <f t="shared" si="2"/>
        <v>441.25912500000004</v>
      </c>
      <c r="H21">
        <v>25.8</v>
      </c>
      <c r="I21">
        <v>26.5</v>
      </c>
      <c r="J21" s="19">
        <v>177</v>
      </c>
      <c r="K21" s="19"/>
      <c r="O21" s="15"/>
    </row>
    <row r="22" spans="2:23" x14ac:dyDescent="0.25">
      <c r="B22" s="10" t="s">
        <v>16</v>
      </c>
      <c r="C22">
        <v>31</v>
      </c>
      <c r="D22" s="7">
        <v>7500</v>
      </c>
      <c r="E22" s="7">
        <v>0</v>
      </c>
      <c r="F22" s="7">
        <f t="shared" si="1"/>
        <v>5952</v>
      </c>
      <c r="G22" s="11">
        <f t="shared" si="2"/>
        <v>477.55237500000004</v>
      </c>
      <c r="H22">
        <v>25.8</v>
      </c>
      <c r="I22">
        <v>26.5</v>
      </c>
      <c r="J22" s="19">
        <v>177</v>
      </c>
      <c r="K22" s="19"/>
      <c r="O22" s="15"/>
    </row>
    <row r="23" spans="2:23" x14ac:dyDescent="0.25">
      <c r="B23" s="10" t="s">
        <v>17</v>
      </c>
      <c r="C23">
        <v>31</v>
      </c>
      <c r="D23" s="7">
        <v>7000</v>
      </c>
      <c r="E23" s="7">
        <v>0</v>
      </c>
      <c r="F23" s="7">
        <f t="shared" si="1"/>
        <v>5952</v>
      </c>
      <c r="G23" s="11">
        <f t="shared" si="2"/>
        <v>513.84562500000004</v>
      </c>
      <c r="H23">
        <v>25.8</v>
      </c>
      <c r="I23">
        <v>26.5</v>
      </c>
      <c r="J23" s="19">
        <v>177</v>
      </c>
      <c r="K23" s="19"/>
      <c r="O23" s="15"/>
    </row>
    <row r="24" spans="2:23" x14ac:dyDescent="0.25">
      <c r="B24" s="10" t="s">
        <v>18</v>
      </c>
      <c r="C24">
        <v>30</v>
      </c>
      <c r="D24" s="7">
        <v>8000</v>
      </c>
      <c r="E24" s="7">
        <v>0</v>
      </c>
      <c r="F24" s="7">
        <f t="shared" si="1"/>
        <v>5760</v>
      </c>
      <c r="G24" s="11">
        <f t="shared" si="2"/>
        <v>548.9681250000001</v>
      </c>
      <c r="H24">
        <v>25.8</v>
      </c>
      <c r="I24">
        <v>26.5</v>
      </c>
      <c r="J24" s="19">
        <v>177</v>
      </c>
      <c r="K24" s="19"/>
      <c r="O24" s="15"/>
    </row>
    <row r="25" spans="2:23" x14ac:dyDescent="0.25">
      <c r="B25" s="10" t="s">
        <v>19</v>
      </c>
      <c r="C25">
        <v>31</v>
      </c>
      <c r="D25" s="7">
        <v>19700</v>
      </c>
      <c r="E25" s="7">
        <v>0</v>
      </c>
      <c r="F25" s="7">
        <f t="shared" si="1"/>
        <v>5952</v>
      </c>
      <c r="G25" s="11">
        <f t="shared" si="2"/>
        <v>585.26137500000004</v>
      </c>
      <c r="H25">
        <v>25.8</v>
      </c>
      <c r="I25">
        <v>26.5</v>
      </c>
      <c r="J25" s="19">
        <v>177</v>
      </c>
      <c r="K25" s="19"/>
      <c r="O25" s="15"/>
    </row>
    <row r="26" spans="2:23" x14ac:dyDescent="0.25">
      <c r="B26" s="10" t="s">
        <v>20</v>
      </c>
      <c r="C26">
        <v>30</v>
      </c>
      <c r="D26" s="7">
        <v>27500</v>
      </c>
      <c r="E26" s="7">
        <v>1500</v>
      </c>
      <c r="F26" s="7">
        <f t="shared" si="1"/>
        <v>5760</v>
      </c>
      <c r="G26" s="11">
        <f t="shared" si="2"/>
        <v>620.38387499999999</v>
      </c>
      <c r="H26">
        <v>25.8</v>
      </c>
      <c r="I26">
        <v>26.5</v>
      </c>
      <c r="J26" s="19">
        <v>177</v>
      </c>
      <c r="K26" s="19"/>
      <c r="O26" s="15"/>
    </row>
    <row r="27" spans="2:23" x14ac:dyDescent="0.25">
      <c r="B27" s="10" t="s">
        <v>21</v>
      </c>
      <c r="C27">
        <v>31</v>
      </c>
      <c r="D27" s="7">
        <v>33000</v>
      </c>
      <c r="E27" s="7">
        <v>5600</v>
      </c>
      <c r="F27" s="7">
        <f t="shared" si="1"/>
        <v>5952</v>
      </c>
      <c r="G27" s="11">
        <f t="shared" si="2"/>
        <v>656.67712499999993</v>
      </c>
      <c r="H27">
        <v>25.8</v>
      </c>
      <c r="I27">
        <v>26.5</v>
      </c>
      <c r="J27" s="19">
        <v>177</v>
      </c>
      <c r="K27" s="19"/>
      <c r="O27" s="15"/>
    </row>
    <row r="28" spans="2:23" x14ac:dyDescent="0.25">
      <c r="B28" s="36" t="s">
        <v>105</v>
      </c>
      <c r="C28" s="37">
        <f>SUM(C16:C27)</f>
        <v>365</v>
      </c>
      <c r="D28" s="37">
        <f>SUM(D16:D27)</f>
        <v>240000</v>
      </c>
      <c r="E28" s="37">
        <f>SUM(E16:E27)</f>
        <v>11100</v>
      </c>
      <c r="F28" s="37">
        <f>SUM(F16:F27)</f>
        <v>70080</v>
      </c>
      <c r="O28" s="15"/>
    </row>
    <row r="29" spans="2:23" x14ac:dyDescent="0.25">
      <c r="O29" s="15"/>
    </row>
    <row r="30" spans="2:23" x14ac:dyDescent="0.25">
      <c r="B30" s="17"/>
      <c r="O30" s="15"/>
    </row>
    <row r="31" spans="2:23" x14ac:dyDescent="0.25">
      <c r="B31" s="51" t="s">
        <v>84</v>
      </c>
      <c r="C31" s="2" t="s">
        <v>1</v>
      </c>
      <c r="D31" s="2" t="s">
        <v>2</v>
      </c>
      <c r="E31" s="2" t="s">
        <v>3</v>
      </c>
      <c r="F31" s="2" t="s">
        <v>88</v>
      </c>
      <c r="G31" s="2" t="s">
        <v>83</v>
      </c>
      <c r="H31" s="2" t="s">
        <v>4</v>
      </c>
      <c r="O31" s="15"/>
      <c r="Q31" s="12" t="s">
        <v>108</v>
      </c>
      <c r="R31" s="12" t="str">
        <f>C31</f>
        <v>ovn2</v>
      </c>
      <c r="S31" s="12" t="str">
        <f>D31</f>
        <v>ovn3</v>
      </c>
      <c r="T31" s="12" t="str">
        <f>E31</f>
        <v>flisk</v>
      </c>
      <c r="U31" s="12" t="str">
        <f>G31</f>
        <v>peak</v>
      </c>
      <c r="V31" s="12" t="str">
        <f>H31</f>
        <v>cooler</v>
      </c>
      <c r="W31" s="12" t="str">
        <f>F31</f>
        <v>NS</v>
      </c>
    </row>
    <row r="32" spans="2:23" x14ac:dyDescent="0.25">
      <c r="B32" s="10" t="s">
        <v>10</v>
      </c>
      <c r="C32" s="9">
        <f t="shared" ref="C32:H37" si="3">$C16</f>
        <v>31</v>
      </c>
      <c r="D32" s="9">
        <f t="shared" si="3"/>
        <v>31</v>
      </c>
      <c r="E32" s="9">
        <f t="shared" si="3"/>
        <v>31</v>
      </c>
      <c r="F32" s="18">
        <f t="shared" ref="F32:F43" si="4">E16/$G$8/24</f>
        <v>20.833333333333332</v>
      </c>
      <c r="G32" s="9">
        <f t="shared" si="3"/>
        <v>31</v>
      </c>
      <c r="H32" s="9">
        <f t="shared" si="3"/>
        <v>31</v>
      </c>
      <c r="O32" s="15"/>
      <c r="Q32" s="12" t="str">
        <f t="shared" ref="Q32:Q43" si="5">B32</f>
        <v>jan</v>
      </c>
      <c r="R32" s="38">
        <f t="shared" ref="R32:R43" si="6">IF(C$5&lt;&gt;0,C32*24*($G$5+$H$5),0)</f>
        <v>8184</v>
      </c>
      <c r="S32" s="38">
        <f t="shared" ref="S32:S43" si="7">IF(G$5&lt;&gt;0,D32*24*($G$6+$H$6),0)</f>
        <v>20088</v>
      </c>
      <c r="T32" s="38">
        <f t="shared" ref="T32:T43" si="8">IF(H$5&lt;&gt;0,E32*24*($G$7+$H$7),0)</f>
        <v>7812</v>
      </c>
      <c r="U32" s="38">
        <f t="shared" ref="U32:U43" si="9">IF(I$5&lt;&gt;0,G32*24*($G$9+$H$9),0)</f>
        <v>74400</v>
      </c>
      <c r="V32" s="38">
        <f t="shared" ref="V32:V43" si="10">IF(J$5&lt;&gt;0,H32*24*($G$10+$H$10),0)</f>
        <v>11160</v>
      </c>
      <c r="W32" s="38">
        <f t="shared" ref="W32:W43" si="11">IF(K$5&lt;&gt;0,F32*24*($G$8+$H$8),0)</f>
        <v>4000</v>
      </c>
    </row>
    <row r="33" spans="2:23" x14ac:dyDescent="0.25">
      <c r="B33" s="10" t="s">
        <v>11</v>
      </c>
      <c r="C33" s="9">
        <f t="shared" si="3"/>
        <v>28</v>
      </c>
      <c r="D33" s="9">
        <f t="shared" si="3"/>
        <v>28</v>
      </c>
      <c r="E33" s="9">
        <f t="shared" si="3"/>
        <v>28</v>
      </c>
      <c r="F33" s="18">
        <f t="shared" si="4"/>
        <v>0</v>
      </c>
      <c r="G33" s="9">
        <f t="shared" si="3"/>
        <v>28</v>
      </c>
      <c r="H33" s="9">
        <f t="shared" si="3"/>
        <v>28</v>
      </c>
      <c r="O33" s="15"/>
      <c r="Q33" s="12" t="str">
        <f t="shared" si="5"/>
        <v>feb</v>
      </c>
      <c r="R33" s="38">
        <f t="shared" si="6"/>
        <v>7392</v>
      </c>
      <c r="S33" s="38">
        <f t="shared" si="7"/>
        <v>18144</v>
      </c>
      <c r="T33" s="38">
        <f t="shared" si="8"/>
        <v>7056</v>
      </c>
      <c r="U33" s="38">
        <f t="shared" si="9"/>
        <v>67200</v>
      </c>
      <c r="V33" s="38">
        <f t="shared" si="10"/>
        <v>10080</v>
      </c>
      <c r="W33" s="38">
        <f t="shared" si="11"/>
        <v>0</v>
      </c>
    </row>
    <row r="34" spans="2:23" x14ac:dyDescent="0.25">
      <c r="B34" s="10" t="s">
        <v>12</v>
      </c>
      <c r="C34" s="9">
        <f t="shared" si="3"/>
        <v>31</v>
      </c>
      <c r="D34" s="9">
        <f t="shared" si="3"/>
        <v>31</v>
      </c>
      <c r="E34" s="9">
        <f t="shared" si="3"/>
        <v>31</v>
      </c>
      <c r="F34" s="18">
        <f t="shared" si="4"/>
        <v>0</v>
      </c>
      <c r="G34" s="9">
        <f t="shared" si="3"/>
        <v>31</v>
      </c>
      <c r="H34" s="9">
        <f t="shared" si="3"/>
        <v>31</v>
      </c>
      <c r="O34" s="15"/>
      <c r="Q34" s="12" t="str">
        <f t="shared" si="5"/>
        <v>mar</v>
      </c>
      <c r="R34" s="38">
        <f t="shared" si="6"/>
        <v>8184</v>
      </c>
      <c r="S34" s="38">
        <f t="shared" si="7"/>
        <v>20088</v>
      </c>
      <c r="T34" s="38">
        <f t="shared" si="8"/>
        <v>7812</v>
      </c>
      <c r="U34" s="38">
        <f t="shared" si="9"/>
        <v>74400</v>
      </c>
      <c r="V34" s="38">
        <f t="shared" si="10"/>
        <v>11160</v>
      </c>
      <c r="W34" s="38">
        <f t="shared" si="11"/>
        <v>0</v>
      </c>
    </row>
    <row r="35" spans="2:23" x14ac:dyDescent="0.25">
      <c r="B35" s="10" t="s">
        <v>13</v>
      </c>
      <c r="C35" s="9">
        <f t="shared" si="3"/>
        <v>30</v>
      </c>
      <c r="D35" s="9">
        <f t="shared" si="3"/>
        <v>30</v>
      </c>
      <c r="E35" s="9">
        <f t="shared" si="3"/>
        <v>30</v>
      </c>
      <c r="F35" s="18">
        <f t="shared" si="4"/>
        <v>0</v>
      </c>
      <c r="G35" s="9">
        <f t="shared" si="3"/>
        <v>30</v>
      </c>
      <c r="H35" s="9">
        <f t="shared" si="3"/>
        <v>30</v>
      </c>
      <c r="O35" s="15"/>
      <c r="Q35" s="12" t="str">
        <f t="shared" si="5"/>
        <v>apr</v>
      </c>
      <c r="R35" s="38">
        <f t="shared" si="6"/>
        <v>7920</v>
      </c>
      <c r="S35" s="38">
        <f t="shared" si="7"/>
        <v>19440</v>
      </c>
      <c r="T35" s="38">
        <f t="shared" si="8"/>
        <v>7560</v>
      </c>
      <c r="U35" s="38">
        <f t="shared" si="9"/>
        <v>72000</v>
      </c>
      <c r="V35" s="38">
        <f t="shared" si="10"/>
        <v>10800</v>
      </c>
      <c r="W35" s="38">
        <f t="shared" si="11"/>
        <v>0</v>
      </c>
    </row>
    <row r="36" spans="2:23" x14ac:dyDescent="0.25">
      <c r="B36" s="10" t="s">
        <v>14</v>
      </c>
      <c r="C36" s="9">
        <f t="shared" si="3"/>
        <v>31</v>
      </c>
      <c r="D36" s="9">
        <f t="shared" si="3"/>
        <v>31</v>
      </c>
      <c r="E36" s="9">
        <f t="shared" si="3"/>
        <v>31</v>
      </c>
      <c r="F36" s="18">
        <f t="shared" si="4"/>
        <v>0</v>
      </c>
      <c r="G36" s="9">
        <f t="shared" si="3"/>
        <v>31</v>
      </c>
      <c r="H36" s="9">
        <f t="shared" si="3"/>
        <v>31</v>
      </c>
      <c r="O36" s="15"/>
      <c r="Q36" s="12" t="str">
        <f t="shared" si="5"/>
        <v>maj</v>
      </c>
      <c r="R36" s="38">
        <f t="shared" si="6"/>
        <v>8184</v>
      </c>
      <c r="S36" s="38">
        <f t="shared" si="7"/>
        <v>20088</v>
      </c>
      <c r="T36" s="38">
        <f t="shared" si="8"/>
        <v>7812</v>
      </c>
      <c r="U36" s="38">
        <f t="shared" si="9"/>
        <v>74400</v>
      </c>
      <c r="V36" s="38">
        <f t="shared" si="10"/>
        <v>11160</v>
      </c>
      <c r="W36" s="38">
        <f t="shared" si="11"/>
        <v>0</v>
      </c>
    </row>
    <row r="37" spans="2:23" x14ac:dyDescent="0.25">
      <c r="B37" s="10" t="s">
        <v>15</v>
      </c>
      <c r="C37" s="9">
        <f t="shared" si="3"/>
        <v>30</v>
      </c>
      <c r="D37" s="9">
        <f t="shared" si="3"/>
        <v>30</v>
      </c>
      <c r="E37" s="9">
        <f t="shared" si="3"/>
        <v>30</v>
      </c>
      <c r="F37" s="18">
        <f t="shared" si="4"/>
        <v>0</v>
      </c>
      <c r="G37" s="9">
        <f t="shared" si="3"/>
        <v>30</v>
      </c>
      <c r="H37" s="9">
        <f t="shared" si="3"/>
        <v>30</v>
      </c>
      <c r="O37" s="15"/>
      <c r="Q37" s="12" t="str">
        <f t="shared" si="5"/>
        <v>jun</v>
      </c>
      <c r="R37" s="38">
        <f t="shared" si="6"/>
        <v>7920</v>
      </c>
      <c r="S37" s="38">
        <f t="shared" si="7"/>
        <v>19440</v>
      </c>
      <c r="T37" s="38">
        <f t="shared" si="8"/>
        <v>7560</v>
      </c>
      <c r="U37" s="38">
        <f t="shared" si="9"/>
        <v>72000</v>
      </c>
      <c r="V37" s="38">
        <f t="shared" si="10"/>
        <v>10800</v>
      </c>
      <c r="W37" s="38">
        <f t="shared" si="11"/>
        <v>0</v>
      </c>
    </row>
    <row r="38" spans="2:23" x14ac:dyDescent="0.25">
      <c r="B38" s="10" t="s">
        <v>16</v>
      </c>
      <c r="C38" s="9">
        <v>10</v>
      </c>
      <c r="D38" s="9">
        <f t="shared" ref="D38:H43" si="12">$C22</f>
        <v>31</v>
      </c>
      <c r="E38" s="9">
        <f t="shared" si="12"/>
        <v>31</v>
      </c>
      <c r="F38" s="18">
        <f t="shared" si="4"/>
        <v>0</v>
      </c>
      <c r="G38" s="9">
        <f t="shared" si="12"/>
        <v>31</v>
      </c>
      <c r="H38" s="9">
        <f t="shared" si="12"/>
        <v>31</v>
      </c>
      <c r="O38" s="15"/>
      <c r="Q38" s="12" t="str">
        <f t="shared" si="5"/>
        <v>jul</v>
      </c>
      <c r="R38" s="38">
        <f t="shared" si="6"/>
        <v>2640</v>
      </c>
      <c r="S38" s="38">
        <f t="shared" si="7"/>
        <v>20088</v>
      </c>
      <c r="T38" s="38">
        <f t="shared" si="8"/>
        <v>7812</v>
      </c>
      <c r="U38" s="38">
        <f t="shared" si="9"/>
        <v>74400</v>
      </c>
      <c r="V38" s="38">
        <f t="shared" si="10"/>
        <v>11160</v>
      </c>
      <c r="W38" s="38">
        <f t="shared" si="11"/>
        <v>0</v>
      </c>
    </row>
    <row r="39" spans="2:23" x14ac:dyDescent="0.25">
      <c r="B39" s="10" t="s">
        <v>17</v>
      </c>
      <c r="C39" s="9">
        <v>10</v>
      </c>
      <c r="D39" s="9">
        <f t="shared" si="12"/>
        <v>31</v>
      </c>
      <c r="E39" s="9">
        <f t="shared" si="12"/>
        <v>31</v>
      </c>
      <c r="F39" s="18">
        <f t="shared" si="4"/>
        <v>0</v>
      </c>
      <c r="G39" s="9">
        <f t="shared" si="12"/>
        <v>31</v>
      </c>
      <c r="H39" s="9">
        <f t="shared" si="12"/>
        <v>31</v>
      </c>
      <c r="O39" s="15"/>
      <c r="Q39" s="12" t="str">
        <f t="shared" si="5"/>
        <v>aug</v>
      </c>
      <c r="R39" s="38">
        <f t="shared" si="6"/>
        <v>2640</v>
      </c>
      <c r="S39" s="38">
        <f t="shared" si="7"/>
        <v>20088</v>
      </c>
      <c r="T39" s="38">
        <f t="shared" si="8"/>
        <v>7812</v>
      </c>
      <c r="U39" s="38">
        <f t="shared" si="9"/>
        <v>74400</v>
      </c>
      <c r="V39" s="38">
        <f t="shared" si="10"/>
        <v>11160</v>
      </c>
      <c r="W39" s="38">
        <f t="shared" si="11"/>
        <v>0</v>
      </c>
    </row>
    <row r="40" spans="2:23" x14ac:dyDescent="0.25">
      <c r="B40" s="10" t="s">
        <v>18</v>
      </c>
      <c r="C40" s="9">
        <f>$C24</f>
        <v>30</v>
      </c>
      <c r="D40" s="9">
        <f t="shared" si="12"/>
        <v>30</v>
      </c>
      <c r="E40" s="9">
        <f t="shared" si="12"/>
        <v>30</v>
      </c>
      <c r="F40" s="18">
        <f t="shared" si="4"/>
        <v>0</v>
      </c>
      <c r="G40" s="9">
        <f t="shared" si="12"/>
        <v>30</v>
      </c>
      <c r="H40" s="9">
        <f t="shared" si="12"/>
        <v>30</v>
      </c>
      <c r="O40" s="15"/>
      <c r="Q40" s="12" t="str">
        <f t="shared" si="5"/>
        <v>sep</v>
      </c>
      <c r="R40" s="38">
        <f t="shared" si="6"/>
        <v>7920</v>
      </c>
      <c r="S40" s="38">
        <f t="shared" si="7"/>
        <v>19440</v>
      </c>
      <c r="T40" s="38">
        <f t="shared" si="8"/>
        <v>7560</v>
      </c>
      <c r="U40" s="38">
        <f t="shared" si="9"/>
        <v>72000</v>
      </c>
      <c r="V40" s="38">
        <f t="shared" si="10"/>
        <v>10800</v>
      </c>
      <c r="W40" s="38">
        <f t="shared" si="11"/>
        <v>0</v>
      </c>
    </row>
    <row r="41" spans="2:23" x14ac:dyDescent="0.25">
      <c r="B41" s="10" t="s">
        <v>19</v>
      </c>
      <c r="C41" s="9">
        <f>$C25</f>
        <v>31</v>
      </c>
      <c r="D41" s="9">
        <f t="shared" si="12"/>
        <v>31</v>
      </c>
      <c r="E41" s="9">
        <f t="shared" si="12"/>
        <v>31</v>
      </c>
      <c r="F41" s="18">
        <f t="shared" si="4"/>
        <v>0</v>
      </c>
      <c r="G41" s="9">
        <f t="shared" si="12"/>
        <v>31</v>
      </c>
      <c r="H41" s="9">
        <f t="shared" si="12"/>
        <v>31</v>
      </c>
      <c r="O41" s="15"/>
      <c r="Q41" s="12" t="str">
        <f t="shared" si="5"/>
        <v>okt</v>
      </c>
      <c r="R41" s="38">
        <f t="shared" si="6"/>
        <v>8184</v>
      </c>
      <c r="S41" s="38">
        <f t="shared" si="7"/>
        <v>20088</v>
      </c>
      <c r="T41" s="38">
        <f t="shared" si="8"/>
        <v>7812</v>
      </c>
      <c r="U41" s="38">
        <f t="shared" si="9"/>
        <v>74400</v>
      </c>
      <c r="V41" s="38">
        <f t="shared" si="10"/>
        <v>11160</v>
      </c>
      <c r="W41" s="38">
        <f t="shared" si="11"/>
        <v>0</v>
      </c>
    </row>
    <row r="42" spans="2:23" x14ac:dyDescent="0.25">
      <c r="B42" s="10" t="s">
        <v>20</v>
      </c>
      <c r="C42" s="9">
        <f>$C26</f>
        <v>30</v>
      </c>
      <c r="D42" s="9">
        <f t="shared" si="12"/>
        <v>30</v>
      </c>
      <c r="E42" s="9">
        <f t="shared" si="12"/>
        <v>30</v>
      </c>
      <c r="F42" s="18">
        <f t="shared" si="4"/>
        <v>7.8125</v>
      </c>
      <c r="G42" s="9">
        <f t="shared" si="12"/>
        <v>30</v>
      </c>
      <c r="H42" s="9">
        <f t="shared" si="12"/>
        <v>30</v>
      </c>
      <c r="O42" s="15"/>
      <c r="Q42" s="12" t="str">
        <f t="shared" si="5"/>
        <v>nov</v>
      </c>
      <c r="R42" s="38">
        <f t="shared" si="6"/>
        <v>7920</v>
      </c>
      <c r="S42" s="38">
        <f t="shared" si="7"/>
        <v>19440</v>
      </c>
      <c r="T42" s="38">
        <f t="shared" si="8"/>
        <v>7560</v>
      </c>
      <c r="U42" s="38">
        <f t="shared" si="9"/>
        <v>72000</v>
      </c>
      <c r="V42" s="38">
        <f t="shared" si="10"/>
        <v>10800</v>
      </c>
      <c r="W42" s="38">
        <f t="shared" si="11"/>
        <v>1500</v>
      </c>
    </row>
    <row r="43" spans="2:23" x14ac:dyDescent="0.25">
      <c r="B43" s="10" t="s">
        <v>21</v>
      </c>
      <c r="C43" s="9">
        <f>$C27</f>
        <v>31</v>
      </c>
      <c r="D43" s="9">
        <f t="shared" si="12"/>
        <v>31</v>
      </c>
      <c r="E43" s="9">
        <f t="shared" si="12"/>
        <v>31</v>
      </c>
      <c r="F43" s="18">
        <f t="shared" si="4"/>
        <v>29.166666666666668</v>
      </c>
      <c r="G43" s="9">
        <f t="shared" si="12"/>
        <v>31</v>
      </c>
      <c r="H43" s="9">
        <f t="shared" si="12"/>
        <v>31</v>
      </c>
      <c r="O43" s="15"/>
      <c r="Q43" s="41" t="str">
        <f t="shared" si="5"/>
        <v>dec</v>
      </c>
      <c r="R43" s="42">
        <f t="shared" si="6"/>
        <v>8184</v>
      </c>
      <c r="S43" s="42">
        <f t="shared" si="7"/>
        <v>20088</v>
      </c>
      <c r="T43" s="42">
        <f t="shared" si="8"/>
        <v>7812</v>
      </c>
      <c r="U43" s="42">
        <f t="shared" si="9"/>
        <v>74400</v>
      </c>
      <c r="V43" s="42">
        <f t="shared" si="10"/>
        <v>11160</v>
      </c>
      <c r="W43" s="42">
        <f t="shared" si="11"/>
        <v>5600</v>
      </c>
    </row>
    <row r="44" spans="2:23" x14ac:dyDescent="0.25">
      <c r="O44" s="15"/>
      <c r="Q44" s="5" t="s">
        <v>105</v>
      </c>
      <c r="R44" s="39">
        <f t="shared" ref="R44:W44" si="13">SUM(R32:R43)</f>
        <v>85272</v>
      </c>
      <c r="S44" s="39">
        <f t="shared" si="13"/>
        <v>236520</v>
      </c>
      <c r="T44" s="39">
        <f t="shared" si="13"/>
        <v>91980</v>
      </c>
      <c r="U44" s="39">
        <f t="shared" si="13"/>
        <v>876000</v>
      </c>
      <c r="V44" s="39">
        <f t="shared" si="13"/>
        <v>131400</v>
      </c>
      <c r="W44" s="39">
        <f t="shared" si="13"/>
        <v>11100</v>
      </c>
    </row>
    <row r="45" spans="2:23" x14ac:dyDescent="0.25">
      <c r="O45" s="15"/>
      <c r="Q45" s="6" t="s">
        <v>109</v>
      </c>
      <c r="R45" s="40">
        <f t="shared" ref="R45:W45" si="14">R44/$D$28</f>
        <v>0.3553</v>
      </c>
      <c r="S45" s="40">
        <f t="shared" si="14"/>
        <v>0.98550000000000004</v>
      </c>
      <c r="T45" s="40">
        <f t="shared" si="14"/>
        <v>0.38324999999999998</v>
      </c>
      <c r="U45" s="40">
        <f t="shared" si="14"/>
        <v>3.65</v>
      </c>
      <c r="V45" s="40">
        <f t="shared" si="14"/>
        <v>0.54749999999999999</v>
      </c>
      <c r="W45" s="40">
        <f t="shared" si="14"/>
        <v>4.6249999999999999E-2</v>
      </c>
    </row>
    <row r="46" spans="2:23" x14ac:dyDescent="0.25">
      <c r="O46" s="15"/>
    </row>
    <row r="47" spans="2:23" x14ac:dyDescent="0.25">
      <c r="O47" s="15"/>
    </row>
    <row r="48" spans="2:23" x14ac:dyDescent="0.25">
      <c r="O48" s="15"/>
    </row>
    <row r="49" spans="15:15" x14ac:dyDescent="0.25">
      <c r="O49" s="15"/>
    </row>
    <row r="50" spans="15:15" x14ac:dyDescent="0.25">
      <c r="O50" s="15"/>
    </row>
  </sheetData>
  <conditionalFormatting sqref="C32:H43">
    <cfRule type="colorScale" priority="2">
      <colorScale>
        <cfvo type="min"/>
        <cfvo type="percentile" val="50"/>
        <cfvo type="max"/>
        <color rgb="FFFAA0A2"/>
        <color theme="7" tint="0.79998168889431442"/>
        <color theme="9" tint="0.59999389629810485"/>
      </colorScale>
    </cfRule>
  </conditionalFormatting>
  <conditionalFormatting sqref="C5:C10">
    <cfRule type="colorScale" priority="10">
      <colorScale>
        <cfvo type="min"/>
        <cfvo type="max"/>
        <color theme="7" tint="0.79998168889431442"/>
        <color theme="9" tint="0.59999389629810485"/>
      </colorScale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/>
  <dimension ref="A1:AK57"/>
  <sheetViews>
    <sheetView tabSelected="1" zoomScale="85" zoomScaleNormal="85" workbookViewId="0">
      <selection activeCell="D27" sqref="D27"/>
    </sheetView>
  </sheetViews>
  <sheetFormatPr defaultRowHeight="15" outlineLevelCol="1" x14ac:dyDescent="0.25"/>
  <cols>
    <col min="1" max="1" width="2.7109375" customWidth="1"/>
    <col min="2" max="2" width="32.85546875" customWidth="1" outlineLevel="1"/>
    <col min="3" max="3" width="14.5703125" customWidth="1" outlineLevel="1"/>
    <col min="4" max="4" width="9.28515625" bestFit="1" customWidth="1" outlineLevel="1"/>
    <col min="5" max="5" width="6.7109375" hidden="1" customWidth="1" outlineLevel="1"/>
    <col min="6" max="6" width="9" customWidth="1" outlineLevel="1"/>
    <col min="7" max="7" width="6.85546875" customWidth="1" outlineLevel="1"/>
    <col min="8" max="8" width="11" hidden="1" customWidth="1" outlineLevel="1"/>
    <col min="9" max="9" width="12" bestFit="1" customWidth="1" outlineLevel="1"/>
    <col min="10" max="10" width="12.28515625" bestFit="1" customWidth="1" outlineLevel="1"/>
    <col min="11" max="11" width="11.28515625" customWidth="1" outlineLevel="1"/>
    <col min="12" max="12" width="9.85546875" customWidth="1" outlineLevel="1"/>
    <col min="13" max="14" width="9.140625" customWidth="1" outlineLevel="1"/>
    <col min="15" max="15" width="9.85546875" customWidth="1" outlineLevel="1"/>
    <col min="16" max="16" width="3.42578125" style="15" customWidth="1"/>
    <col min="17" max="17" width="3.28515625" customWidth="1"/>
    <col min="18" max="18" width="16" bestFit="1" customWidth="1"/>
    <col min="19" max="19" width="4.85546875" bestFit="1" customWidth="1"/>
    <col min="20" max="20" width="9.5703125" bestFit="1" customWidth="1"/>
    <col min="21" max="22" width="9.140625" customWidth="1"/>
    <col min="23" max="31" width="9.5703125" bestFit="1" customWidth="1"/>
    <col min="32" max="32" width="4" customWidth="1"/>
    <col min="34" max="34" width="9.140625" style="9"/>
  </cols>
  <sheetData>
    <row r="1" spans="1:34" x14ac:dyDescent="0.25">
      <c r="R1" cm="1">
        <f t="array" ref="R1:AC1">TRANSPOSE(DataU!E16:E27)</f>
        <v>4000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1500</v>
      </c>
      <c r="AC1">
        <v>5600</v>
      </c>
    </row>
    <row r="2" spans="1:34" x14ac:dyDescent="0.25">
      <c r="I2" t="s">
        <v>95</v>
      </c>
      <c r="J2" t="s">
        <v>95</v>
      </c>
      <c r="K2" t="s">
        <v>78</v>
      </c>
      <c r="L2" t="s">
        <v>103</v>
      </c>
    </row>
    <row r="3" spans="1:34" x14ac:dyDescent="0.25">
      <c r="C3" s="1"/>
      <c r="D3" s="28" t="s">
        <v>100</v>
      </c>
      <c r="E3" s="28"/>
      <c r="F3" s="28" t="s">
        <v>100</v>
      </c>
      <c r="G3" s="28" t="s">
        <v>100</v>
      </c>
      <c r="H3" s="24" t="s">
        <v>100</v>
      </c>
      <c r="I3" s="9" t="s">
        <v>93</v>
      </c>
      <c r="J3" s="9" t="s">
        <v>93</v>
      </c>
      <c r="K3" s="9" t="s">
        <v>82</v>
      </c>
      <c r="L3" s="9" t="s">
        <v>81</v>
      </c>
      <c r="M3" s="9" t="s">
        <v>110</v>
      </c>
      <c r="N3" s="9" t="s">
        <v>107</v>
      </c>
      <c r="R3" s="1" t="s">
        <v>120</v>
      </c>
      <c r="S3" s="1"/>
    </row>
    <row r="4" spans="1:34" x14ac:dyDescent="0.25">
      <c r="B4" s="5" t="s">
        <v>8</v>
      </c>
      <c r="C4" s="51" t="s">
        <v>119</v>
      </c>
      <c r="D4" s="2" t="s">
        <v>80</v>
      </c>
      <c r="E4" s="25" t="s">
        <v>92</v>
      </c>
      <c r="F4" s="2" t="s">
        <v>137</v>
      </c>
      <c r="G4" s="2" t="s">
        <v>136</v>
      </c>
      <c r="H4" s="25" t="s">
        <v>132</v>
      </c>
      <c r="I4" s="2" t="s">
        <v>138</v>
      </c>
      <c r="J4" s="2" t="s">
        <v>139</v>
      </c>
      <c r="K4" s="2" t="s">
        <v>9</v>
      </c>
      <c r="L4" s="2" t="s">
        <v>99</v>
      </c>
      <c r="M4" s="2" t="s">
        <v>87</v>
      </c>
      <c r="N4" s="2" t="s">
        <v>106</v>
      </c>
      <c r="O4" s="2" t="s">
        <v>104</v>
      </c>
      <c r="P4" s="43"/>
      <c r="R4" s="15" t="s">
        <v>115</v>
      </c>
      <c r="S4" t="s">
        <v>116</v>
      </c>
      <c r="T4" s="2" t="s">
        <v>10</v>
      </c>
      <c r="U4" s="2" t="s">
        <v>11</v>
      </c>
      <c r="V4" s="2" t="s">
        <v>12</v>
      </c>
      <c r="W4" s="2" t="s">
        <v>13</v>
      </c>
      <c r="X4" s="2" t="s">
        <v>14</v>
      </c>
      <c r="Y4" s="2" t="s">
        <v>15</v>
      </c>
      <c r="Z4" s="2" t="s">
        <v>16</v>
      </c>
      <c r="AA4" s="2" t="s">
        <v>17</v>
      </c>
      <c r="AB4" s="2" t="s">
        <v>18</v>
      </c>
      <c r="AC4" s="2" t="s">
        <v>19</v>
      </c>
      <c r="AD4" s="2" t="s">
        <v>20</v>
      </c>
      <c r="AE4" s="2" t="s">
        <v>21</v>
      </c>
      <c r="AG4" s="2" t="s">
        <v>22</v>
      </c>
      <c r="AH4" s="2" t="s">
        <v>98</v>
      </c>
    </row>
    <row r="5" spans="1:34" x14ac:dyDescent="0.25">
      <c r="A5" s="71"/>
      <c r="B5" s="6" t="s">
        <v>23</v>
      </c>
      <c r="C5" s="58" t="s">
        <v>24</v>
      </c>
      <c r="D5" s="9">
        <v>1</v>
      </c>
      <c r="E5" s="24">
        <v>1</v>
      </c>
      <c r="F5" s="9">
        <v>1</v>
      </c>
      <c r="G5" s="9">
        <v>0</v>
      </c>
      <c r="H5" s="24">
        <v>1</v>
      </c>
      <c r="I5" s="74">
        <f>IF(G5=0,J5,0)</f>
        <v>9093</v>
      </c>
      <c r="J5" s="74">
        <v>9093</v>
      </c>
      <c r="K5" s="7">
        <v>525</v>
      </c>
      <c r="L5" s="8">
        <v>10.5</v>
      </c>
      <c r="M5" s="75">
        <f>L5*0.037</f>
        <v>0.38849999999999996</v>
      </c>
      <c r="N5" s="8">
        <f>K5/L5</f>
        <v>50</v>
      </c>
      <c r="O5" s="7">
        <f>J5*L5/3.6</f>
        <v>26521.25</v>
      </c>
      <c r="P5" s="44"/>
      <c r="R5" s="14" t="str">
        <f t="shared" ref="R5:R13" si="0">C5</f>
        <v>DepoSort</v>
      </c>
      <c r="S5" s="14" t="s">
        <v>76</v>
      </c>
      <c r="T5" s="21">
        <f t="shared" ref="T5:AE14" si="1">IF(($F5=0),$J5/12,$J5)</f>
        <v>9093</v>
      </c>
      <c r="U5" s="21">
        <f t="shared" si="1"/>
        <v>9093</v>
      </c>
      <c r="V5" s="21">
        <f t="shared" si="1"/>
        <v>9093</v>
      </c>
      <c r="W5" s="21">
        <f t="shared" si="1"/>
        <v>9093</v>
      </c>
      <c r="X5" s="21">
        <f t="shared" si="1"/>
        <v>9093</v>
      </c>
      <c r="Y5" s="21">
        <f t="shared" si="1"/>
        <v>9093</v>
      </c>
      <c r="Z5" s="21">
        <f t="shared" si="1"/>
        <v>9093</v>
      </c>
      <c r="AA5" s="21">
        <f t="shared" si="1"/>
        <v>9093</v>
      </c>
      <c r="AB5" s="21">
        <f t="shared" si="1"/>
        <v>9093</v>
      </c>
      <c r="AC5" s="21">
        <f t="shared" si="1"/>
        <v>9093</v>
      </c>
      <c r="AD5" s="21">
        <f t="shared" si="1"/>
        <v>9093</v>
      </c>
      <c r="AE5" s="21">
        <f t="shared" si="1"/>
        <v>9093</v>
      </c>
      <c r="AF5" s="14"/>
      <c r="AG5" s="26">
        <f t="shared" ref="AG5:AG32" si="2">SUM(T5:AE5)</f>
        <v>109116</v>
      </c>
      <c r="AH5" s="9" t="s">
        <v>97</v>
      </c>
    </row>
    <row r="6" spans="1:34" x14ac:dyDescent="0.25">
      <c r="A6" s="71"/>
      <c r="B6" s="6" t="s">
        <v>25</v>
      </c>
      <c r="C6" s="59" t="s">
        <v>26</v>
      </c>
      <c r="D6" s="9">
        <f t="shared" ref="D6:D25" si="3">IF(J6&gt;0,1,0)</f>
        <v>0</v>
      </c>
      <c r="E6" s="24">
        <v>1</v>
      </c>
      <c r="F6" s="9">
        <v>1</v>
      </c>
      <c r="G6" s="9">
        <v>0</v>
      </c>
      <c r="H6" s="24">
        <v>1</v>
      </c>
      <c r="I6" s="74">
        <f t="shared" ref="I6:I27" si="4">IF(G6=0,J6,0)</f>
        <v>0</v>
      </c>
      <c r="J6" s="74">
        <v>0</v>
      </c>
      <c r="K6" s="7">
        <v>0</v>
      </c>
      <c r="L6" s="8">
        <v>10.5</v>
      </c>
      <c r="M6" s="75">
        <f t="shared" ref="M6:M20" si="5">L6*0.037</f>
        <v>0.38849999999999996</v>
      </c>
      <c r="N6" s="8">
        <f t="shared" ref="N6:N30" si="6">K6/L6</f>
        <v>0</v>
      </c>
      <c r="O6" s="7">
        <f t="shared" ref="O6:O30" si="7">J6*L6/3.6</f>
        <v>0</v>
      </c>
      <c r="P6" s="44"/>
      <c r="R6" s="14" t="str">
        <f t="shared" si="0"/>
        <v>DepoSmaat</v>
      </c>
      <c r="S6" s="14" t="s">
        <v>76</v>
      </c>
      <c r="T6" s="21">
        <f t="shared" si="1"/>
        <v>0</v>
      </c>
      <c r="U6" s="21">
        <f t="shared" si="1"/>
        <v>0</v>
      </c>
      <c r="V6" s="21">
        <f t="shared" si="1"/>
        <v>0</v>
      </c>
      <c r="W6" s="21">
        <f t="shared" si="1"/>
        <v>0</v>
      </c>
      <c r="X6" s="21">
        <f t="shared" si="1"/>
        <v>0</v>
      </c>
      <c r="Y6" s="21">
        <f t="shared" si="1"/>
        <v>0</v>
      </c>
      <c r="Z6" s="21">
        <f t="shared" si="1"/>
        <v>0</v>
      </c>
      <c r="AA6" s="21">
        <f t="shared" si="1"/>
        <v>0</v>
      </c>
      <c r="AB6" s="21">
        <f t="shared" si="1"/>
        <v>0</v>
      </c>
      <c r="AC6" s="21">
        <f t="shared" si="1"/>
        <v>0</v>
      </c>
      <c r="AD6" s="21">
        <f t="shared" si="1"/>
        <v>0</v>
      </c>
      <c r="AE6" s="21">
        <f t="shared" si="1"/>
        <v>0</v>
      </c>
      <c r="AF6" s="14"/>
      <c r="AG6" s="26">
        <f t="shared" si="2"/>
        <v>0</v>
      </c>
      <c r="AH6" s="9" t="s">
        <v>97</v>
      </c>
    </row>
    <row r="7" spans="1:34" x14ac:dyDescent="0.25">
      <c r="A7" s="71"/>
      <c r="B7" s="6" t="s">
        <v>27</v>
      </c>
      <c r="C7" s="59" t="s">
        <v>28</v>
      </c>
      <c r="D7" s="9">
        <f t="shared" si="3"/>
        <v>0</v>
      </c>
      <c r="E7" s="24">
        <v>1</v>
      </c>
      <c r="F7" s="9">
        <v>1</v>
      </c>
      <c r="G7" s="9">
        <v>0</v>
      </c>
      <c r="H7" s="24">
        <v>1</v>
      </c>
      <c r="I7" s="74">
        <f t="shared" si="4"/>
        <v>0</v>
      </c>
      <c r="J7" s="74">
        <v>0</v>
      </c>
      <c r="K7" s="7">
        <v>0</v>
      </c>
      <c r="L7" s="8">
        <v>10.5</v>
      </c>
      <c r="M7" s="75">
        <f t="shared" si="5"/>
        <v>0.38849999999999996</v>
      </c>
      <c r="N7" s="8">
        <f t="shared" si="6"/>
        <v>0</v>
      </c>
      <c r="O7" s="7">
        <f t="shared" si="7"/>
        <v>0</v>
      </c>
      <c r="P7" s="44"/>
      <c r="R7" s="14" t="str">
        <f t="shared" si="0"/>
        <v>DepoNedd</v>
      </c>
      <c r="S7" s="14" t="s">
        <v>76</v>
      </c>
      <c r="T7" s="21">
        <f t="shared" si="1"/>
        <v>0</v>
      </c>
      <c r="U7" s="21">
        <f t="shared" si="1"/>
        <v>0</v>
      </c>
      <c r="V7" s="21">
        <f t="shared" si="1"/>
        <v>0</v>
      </c>
      <c r="W7" s="21">
        <f t="shared" si="1"/>
        <v>0</v>
      </c>
      <c r="X7" s="21">
        <f t="shared" si="1"/>
        <v>0</v>
      </c>
      <c r="Y7" s="21">
        <f t="shared" si="1"/>
        <v>0</v>
      </c>
      <c r="Z7" s="21">
        <f t="shared" si="1"/>
        <v>0</v>
      </c>
      <c r="AA7" s="21">
        <f t="shared" si="1"/>
        <v>0</v>
      </c>
      <c r="AB7" s="21">
        <f t="shared" si="1"/>
        <v>0</v>
      </c>
      <c r="AC7" s="21">
        <f t="shared" si="1"/>
        <v>0</v>
      </c>
      <c r="AD7" s="21">
        <f t="shared" si="1"/>
        <v>0</v>
      </c>
      <c r="AE7" s="21">
        <f t="shared" si="1"/>
        <v>0</v>
      </c>
      <c r="AF7" s="14"/>
      <c r="AG7" s="26">
        <f t="shared" si="2"/>
        <v>0</v>
      </c>
      <c r="AH7" s="9" t="s">
        <v>97</v>
      </c>
    </row>
    <row r="8" spans="1:34" x14ac:dyDescent="0.25">
      <c r="A8" s="71"/>
      <c r="B8" s="6" t="s">
        <v>29</v>
      </c>
      <c r="C8" s="60" t="s">
        <v>30</v>
      </c>
      <c r="D8" s="9">
        <f t="shared" si="3"/>
        <v>1</v>
      </c>
      <c r="E8" s="24">
        <v>1</v>
      </c>
      <c r="F8" s="9">
        <v>0</v>
      </c>
      <c r="G8" s="9">
        <v>0</v>
      </c>
      <c r="H8" s="24">
        <v>1</v>
      </c>
      <c r="I8" s="74">
        <f t="shared" si="4"/>
        <v>28869</v>
      </c>
      <c r="J8" s="74">
        <v>28869</v>
      </c>
      <c r="K8" s="7">
        <v>525</v>
      </c>
      <c r="L8" s="8">
        <v>9.4</v>
      </c>
      <c r="M8" s="75">
        <f t="shared" si="5"/>
        <v>0.3478</v>
      </c>
      <c r="N8" s="8">
        <f t="shared" si="6"/>
        <v>55.851063829787229</v>
      </c>
      <c r="O8" s="7">
        <f t="shared" si="7"/>
        <v>75380.166666666672</v>
      </c>
      <c r="P8" s="44"/>
      <c r="R8" s="14" t="str">
        <f t="shared" si="0"/>
        <v>Dagren</v>
      </c>
      <c r="S8" s="14" t="s">
        <v>76</v>
      </c>
      <c r="T8" s="21">
        <f t="shared" si="1"/>
        <v>2405.75</v>
      </c>
      <c r="U8" s="21">
        <f t="shared" si="1"/>
        <v>2405.75</v>
      </c>
      <c r="V8" s="21">
        <f t="shared" si="1"/>
        <v>2405.75</v>
      </c>
      <c r="W8" s="21">
        <f t="shared" si="1"/>
        <v>2405.75</v>
      </c>
      <c r="X8" s="21">
        <f t="shared" si="1"/>
        <v>2405.75</v>
      </c>
      <c r="Y8" s="21">
        <f t="shared" si="1"/>
        <v>2405.75</v>
      </c>
      <c r="Z8" s="21">
        <f t="shared" si="1"/>
        <v>2405.75</v>
      </c>
      <c r="AA8" s="21">
        <f t="shared" si="1"/>
        <v>2405.75</v>
      </c>
      <c r="AB8" s="21">
        <f t="shared" si="1"/>
        <v>2405.75</v>
      </c>
      <c r="AC8" s="21">
        <f t="shared" si="1"/>
        <v>2405.75</v>
      </c>
      <c r="AD8" s="21">
        <f t="shared" si="1"/>
        <v>2405.75</v>
      </c>
      <c r="AE8" s="21">
        <f t="shared" si="1"/>
        <v>2405.75</v>
      </c>
      <c r="AF8" s="14"/>
      <c r="AG8" s="26">
        <f t="shared" si="2"/>
        <v>28869</v>
      </c>
      <c r="AH8" s="9" t="s">
        <v>97</v>
      </c>
    </row>
    <row r="9" spans="1:34" x14ac:dyDescent="0.25">
      <c r="A9" s="71"/>
      <c r="B9" s="6" t="s">
        <v>31</v>
      </c>
      <c r="C9" s="60" t="s">
        <v>32</v>
      </c>
      <c r="D9" s="9">
        <f t="shared" si="3"/>
        <v>1</v>
      </c>
      <c r="E9" s="24">
        <v>1</v>
      </c>
      <c r="F9" s="9">
        <v>0</v>
      </c>
      <c r="G9" s="9">
        <v>0</v>
      </c>
      <c r="H9" s="24">
        <v>1</v>
      </c>
      <c r="I9" s="74">
        <f t="shared" si="4"/>
        <v>3500</v>
      </c>
      <c r="J9" s="74">
        <v>3500</v>
      </c>
      <c r="K9" s="7">
        <v>525</v>
      </c>
      <c r="L9" s="8">
        <v>10.5</v>
      </c>
      <c r="M9" s="75">
        <f t="shared" si="5"/>
        <v>0.38849999999999996</v>
      </c>
      <c r="N9" s="8">
        <f t="shared" si="6"/>
        <v>50</v>
      </c>
      <c r="O9" s="7">
        <f t="shared" si="7"/>
        <v>10208.333333333334</v>
      </c>
      <c r="P9" s="44"/>
      <c r="R9" s="14" t="str">
        <f t="shared" si="0"/>
        <v>AndetBrand</v>
      </c>
      <c r="S9" s="14" t="s">
        <v>76</v>
      </c>
      <c r="T9" s="21">
        <f t="shared" si="1"/>
        <v>291.66666666666669</v>
      </c>
      <c r="U9" s="21">
        <f t="shared" si="1"/>
        <v>291.66666666666669</v>
      </c>
      <c r="V9" s="21">
        <f t="shared" si="1"/>
        <v>291.66666666666669</v>
      </c>
      <c r="W9" s="21">
        <f t="shared" si="1"/>
        <v>291.66666666666669</v>
      </c>
      <c r="X9" s="21">
        <f t="shared" si="1"/>
        <v>291.66666666666669</v>
      </c>
      <c r="Y9" s="21">
        <f t="shared" si="1"/>
        <v>291.66666666666669</v>
      </c>
      <c r="Z9" s="21">
        <f t="shared" si="1"/>
        <v>291.66666666666669</v>
      </c>
      <c r="AA9" s="21">
        <f t="shared" si="1"/>
        <v>291.66666666666669</v>
      </c>
      <c r="AB9" s="21">
        <f t="shared" si="1"/>
        <v>291.66666666666669</v>
      </c>
      <c r="AC9" s="21">
        <f t="shared" si="1"/>
        <v>291.66666666666669</v>
      </c>
      <c r="AD9" s="21">
        <f t="shared" si="1"/>
        <v>291.66666666666669</v>
      </c>
      <c r="AE9" s="21">
        <f t="shared" si="1"/>
        <v>291.66666666666669</v>
      </c>
      <c r="AF9" s="14"/>
      <c r="AG9" s="26">
        <f t="shared" si="2"/>
        <v>3499.9999999999995</v>
      </c>
      <c r="AH9" s="9" t="s">
        <v>97</v>
      </c>
    </row>
    <row r="10" spans="1:34" x14ac:dyDescent="0.25">
      <c r="A10" s="71"/>
      <c r="B10" s="6" t="s">
        <v>33</v>
      </c>
      <c r="C10" s="60" t="s">
        <v>34</v>
      </c>
      <c r="D10" s="9">
        <f t="shared" si="3"/>
        <v>0</v>
      </c>
      <c r="E10" s="24">
        <v>1</v>
      </c>
      <c r="F10" s="9">
        <v>0</v>
      </c>
      <c r="G10" s="9">
        <v>0</v>
      </c>
      <c r="H10" s="24">
        <v>1</v>
      </c>
      <c r="I10" s="74">
        <f t="shared" si="4"/>
        <v>0</v>
      </c>
      <c r="J10" s="74">
        <v>0</v>
      </c>
      <c r="K10" s="7">
        <v>155</v>
      </c>
      <c r="L10" s="8">
        <v>14.5</v>
      </c>
      <c r="M10" s="75">
        <f t="shared" si="5"/>
        <v>0.53649999999999998</v>
      </c>
      <c r="N10" s="8">
        <f t="shared" si="6"/>
        <v>10.689655172413794</v>
      </c>
      <c r="O10" s="7">
        <f t="shared" si="7"/>
        <v>0</v>
      </c>
      <c r="P10" s="44"/>
      <c r="R10" s="14" t="str">
        <f t="shared" si="0"/>
        <v>Trae</v>
      </c>
      <c r="S10" s="14" t="s">
        <v>76</v>
      </c>
      <c r="T10" s="21">
        <f t="shared" si="1"/>
        <v>0</v>
      </c>
      <c r="U10" s="21">
        <f t="shared" si="1"/>
        <v>0</v>
      </c>
      <c r="V10" s="21">
        <f t="shared" si="1"/>
        <v>0</v>
      </c>
      <c r="W10" s="21">
        <f t="shared" si="1"/>
        <v>0</v>
      </c>
      <c r="X10" s="21">
        <f t="shared" si="1"/>
        <v>0</v>
      </c>
      <c r="Y10" s="21">
        <f t="shared" si="1"/>
        <v>0</v>
      </c>
      <c r="Z10" s="21">
        <f t="shared" si="1"/>
        <v>0</v>
      </c>
      <c r="AA10" s="21">
        <f t="shared" si="1"/>
        <v>0</v>
      </c>
      <c r="AB10" s="21">
        <f t="shared" si="1"/>
        <v>0</v>
      </c>
      <c r="AC10" s="21">
        <f t="shared" si="1"/>
        <v>0</v>
      </c>
      <c r="AD10" s="21">
        <f t="shared" si="1"/>
        <v>0</v>
      </c>
      <c r="AE10" s="21">
        <f t="shared" si="1"/>
        <v>0</v>
      </c>
      <c r="AF10" s="14"/>
      <c r="AG10" s="26">
        <f t="shared" si="2"/>
        <v>0</v>
      </c>
      <c r="AH10" s="9" t="s">
        <v>97</v>
      </c>
    </row>
    <row r="11" spans="1:34" x14ac:dyDescent="0.25">
      <c r="A11" s="71"/>
      <c r="B11" s="6" t="s">
        <v>35</v>
      </c>
      <c r="C11" s="60" t="s">
        <v>36</v>
      </c>
      <c r="D11" s="9">
        <f t="shared" si="3"/>
        <v>0</v>
      </c>
      <c r="E11" s="24">
        <v>1</v>
      </c>
      <c r="F11" s="9">
        <v>0</v>
      </c>
      <c r="G11" s="9">
        <v>0</v>
      </c>
      <c r="H11" s="24">
        <v>1</v>
      </c>
      <c r="I11" s="74">
        <f t="shared" si="4"/>
        <v>0</v>
      </c>
      <c r="J11" s="74">
        <v>0</v>
      </c>
      <c r="K11" s="7">
        <v>525</v>
      </c>
      <c r="L11" s="8">
        <v>12</v>
      </c>
      <c r="M11" s="75">
        <f t="shared" si="5"/>
        <v>0.44399999999999995</v>
      </c>
      <c r="N11" s="8">
        <f t="shared" si="6"/>
        <v>43.75</v>
      </c>
      <c r="O11" s="7">
        <f t="shared" si="7"/>
        <v>0</v>
      </c>
      <c r="P11" s="44"/>
      <c r="R11" s="14" t="str">
        <f t="shared" si="0"/>
        <v>DagrenRast</v>
      </c>
      <c r="S11" s="14" t="s">
        <v>76</v>
      </c>
      <c r="T11" s="21">
        <f t="shared" si="1"/>
        <v>0</v>
      </c>
      <c r="U11" s="21">
        <f t="shared" si="1"/>
        <v>0</v>
      </c>
      <c r="V11" s="21">
        <f t="shared" si="1"/>
        <v>0</v>
      </c>
      <c r="W11" s="21">
        <f t="shared" si="1"/>
        <v>0</v>
      </c>
      <c r="X11" s="21">
        <f t="shared" si="1"/>
        <v>0</v>
      </c>
      <c r="Y11" s="21">
        <f t="shared" si="1"/>
        <v>0</v>
      </c>
      <c r="Z11" s="21">
        <f t="shared" si="1"/>
        <v>0</v>
      </c>
      <c r="AA11" s="21">
        <f t="shared" si="1"/>
        <v>0</v>
      </c>
      <c r="AB11" s="21">
        <f t="shared" si="1"/>
        <v>0</v>
      </c>
      <c r="AC11" s="21">
        <f t="shared" si="1"/>
        <v>0</v>
      </c>
      <c r="AD11" s="21">
        <f t="shared" si="1"/>
        <v>0</v>
      </c>
      <c r="AE11" s="21">
        <f t="shared" si="1"/>
        <v>0</v>
      </c>
      <c r="AF11" s="14"/>
      <c r="AG11" s="26">
        <f t="shared" si="2"/>
        <v>0</v>
      </c>
      <c r="AH11" s="9" t="s">
        <v>97</v>
      </c>
    </row>
    <row r="12" spans="1:34" x14ac:dyDescent="0.25">
      <c r="A12" s="71"/>
      <c r="B12" s="6" t="s">
        <v>37</v>
      </c>
      <c r="C12" s="60" t="s">
        <v>38</v>
      </c>
      <c r="D12" s="9">
        <f t="shared" si="3"/>
        <v>1</v>
      </c>
      <c r="E12" s="24">
        <v>1</v>
      </c>
      <c r="F12" s="9">
        <v>0</v>
      </c>
      <c r="G12" s="9">
        <v>0</v>
      </c>
      <c r="H12" s="24">
        <v>1</v>
      </c>
      <c r="I12" s="74">
        <f t="shared" si="4"/>
        <v>7800</v>
      </c>
      <c r="J12" s="74">
        <v>7800</v>
      </c>
      <c r="K12" s="7">
        <v>525</v>
      </c>
      <c r="L12" s="8">
        <v>9</v>
      </c>
      <c r="M12" s="75">
        <f t="shared" si="5"/>
        <v>0.33299999999999996</v>
      </c>
      <c r="N12" s="8">
        <f t="shared" si="6"/>
        <v>58.333333333333336</v>
      </c>
      <c r="O12" s="7">
        <f t="shared" si="7"/>
        <v>19500</v>
      </c>
      <c r="P12" s="44"/>
      <c r="R12" s="14" t="str">
        <f t="shared" si="0"/>
        <v>DagrenInst</v>
      </c>
      <c r="S12" s="14" t="s">
        <v>76</v>
      </c>
      <c r="T12" s="21">
        <f t="shared" si="1"/>
        <v>650</v>
      </c>
      <c r="U12" s="21">
        <f t="shared" si="1"/>
        <v>650</v>
      </c>
      <c r="V12" s="21">
        <f t="shared" si="1"/>
        <v>650</v>
      </c>
      <c r="W12" s="21">
        <f t="shared" si="1"/>
        <v>650</v>
      </c>
      <c r="X12" s="21">
        <f t="shared" si="1"/>
        <v>650</v>
      </c>
      <c r="Y12" s="21">
        <f t="shared" si="1"/>
        <v>650</v>
      </c>
      <c r="Z12" s="21">
        <f t="shared" si="1"/>
        <v>650</v>
      </c>
      <c r="AA12" s="21">
        <f t="shared" si="1"/>
        <v>650</v>
      </c>
      <c r="AB12" s="21">
        <f t="shared" si="1"/>
        <v>650</v>
      </c>
      <c r="AC12" s="21">
        <f t="shared" si="1"/>
        <v>650</v>
      </c>
      <c r="AD12" s="21">
        <f t="shared" si="1"/>
        <v>650</v>
      </c>
      <c r="AE12" s="21">
        <f t="shared" si="1"/>
        <v>650</v>
      </c>
      <c r="AF12" s="14"/>
      <c r="AG12" s="26">
        <f t="shared" si="2"/>
        <v>7800</v>
      </c>
      <c r="AH12" s="9" t="s">
        <v>97</v>
      </c>
    </row>
    <row r="13" spans="1:34" x14ac:dyDescent="0.25">
      <c r="A13" s="71"/>
      <c r="B13" s="6" t="s">
        <v>39</v>
      </c>
      <c r="C13" s="60" t="s">
        <v>40</v>
      </c>
      <c r="D13" s="9">
        <f t="shared" si="3"/>
        <v>0</v>
      </c>
      <c r="E13" s="24">
        <v>1</v>
      </c>
      <c r="F13" s="9">
        <v>0</v>
      </c>
      <c r="G13" s="9">
        <v>0</v>
      </c>
      <c r="H13" s="24">
        <v>1</v>
      </c>
      <c r="I13" s="74">
        <f t="shared" si="4"/>
        <v>0</v>
      </c>
      <c r="J13" s="74">
        <v>0</v>
      </c>
      <c r="K13" s="7">
        <v>525</v>
      </c>
      <c r="L13" s="8">
        <v>11</v>
      </c>
      <c r="M13" s="75">
        <f t="shared" si="5"/>
        <v>0.40699999999999997</v>
      </c>
      <c r="N13" s="8">
        <f t="shared" si="6"/>
        <v>47.727272727272727</v>
      </c>
      <c r="O13" s="7">
        <f t="shared" si="7"/>
        <v>0</v>
      </c>
      <c r="P13" s="44"/>
      <c r="R13" s="14" t="str">
        <f t="shared" si="0"/>
        <v>DagrenHandel</v>
      </c>
      <c r="S13" s="14" t="s">
        <v>76</v>
      </c>
      <c r="T13" s="21">
        <f t="shared" si="1"/>
        <v>0</v>
      </c>
      <c r="U13" s="21">
        <f t="shared" si="1"/>
        <v>0</v>
      </c>
      <c r="V13" s="21">
        <f t="shared" si="1"/>
        <v>0</v>
      </c>
      <c r="W13" s="21">
        <f t="shared" si="1"/>
        <v>0</v>
      </c>
      <c r="X13" s="21">
        <f t="shared" si="1"/>
        <v>0</v>
      </c>
      <c r="Y13" s="21">
        <f t="shared" si="1"/>
        <v>0</v>
      </c>
      <c r="Z13" s="21">
        <f t="shared" si="1"/>
        <v>0</v>
      </c>
      <c r="AA13" s="21">
        <f t="shared" si="1"/>
        <v>0</v>
      </c>
      <c r="AB13" s="21">
        <f t="shared" si="1"/>
        <v>0</v>
      </c>
      <c r="AC13" s="21">
        <f t="shared" si="1"/>
        <v>0</v>
      </c>
      <c r="AD13" s="21">
        <f t="shared" si="1"/>
        <v>0</v>
      </c>
      <c r="AE13" s="21">
        <f t="shared" si="1"/>
        <v>0</v>
      </c>
      <c r="AF13" s="14"/>
      <c r="AG13" s="26">
        <f t="shared" si="2"/>
        <v>0</v>
      </c>
      <c r="AH13" s="9" t="s">
        <v>97</v>
      </c>
    </row>
    <row r="14" spans="1:34" x14ac:dyDescent="0.25">
      <c r="A14" s="71"/>
      <c r="B14" s="6" t="s">
        <v>41</v>
      </c>
      <c r="C14" s="60" t="s">
        <v>42</v>
      </c>
      <c r="D14" s="9">
        <f t="shared" si="3"/>
        <v>0</v>
      </c>
      <c r="E14" s="24">
        <v>1</v>
      </c>
      <c r="F14" s="9">
        <v>0</v>
      </c>
      <c r="G14" s="9">
        <v>0</v>
      </c>
      <c r="H14" s="24">
        <v>1</v>
      </c>
      <c r="I14" s="74">
        <f t="shared" si="4"/>
        <v>0</v>
      </c>
      <c r="J14" s="74">
        <v>0</v>
      </c>
      <c r="K14" s="7">
        <v>525</v>
      </c>
      <c r="L14" s="8">
        <v>9.5</v>
      </c>
      <c r="M14" s="75">
        <f t="shared" si="5"/>
        <v>0.35149999999999998</v>
      </c>
      <c r="N14" s="8">
        <f t="shared" si="6"/>
        <v>55.263157894736842</v>
      </c>
      <c r="O14" s="7">
        <f t="shared" si="7"/>
        <v>0</v>
      </c>
      <c r="P14" s="44"/>
      <c r="R14" s="14" t="str">
        <f t="shared" ref="R14:R30" si="8">C14</f>
        <v>DagrenRestau</v>
      </c>
      <c r="S14" s="14" t="s">
        <v>76</v>
      </c>
      <c r="T14" s="21">
        <f t="shared" si="1"/>
        <v>0</v>
      </c>
      <c r="U14" s="21">
        <f t="shared" si="1"/>
        <v>0</v>
      </c>
      <c r="V14" s="21">
        <f t="shared" si="1"/>
        <v>0</v>
      </c>
      <c r="W14" s="21">
        <f t="shared" si="1"/>
        <v>0</v>
      </c>
      <c r="X14" s="21">
        <f t="shared" si="1"/>
        <v>0</v>
      </c>
      <c r="Y14" s="21">
        <f t="shared" si="1"/>
        <v>0</v>
      </c>
      <c r="Z14" s="21">
        <f t="shared" si="1"/>
        <v>0</v>
      </c>
      <c r="AA14" s="21">
        <f t="shared" si="1"/>
        <v>0</v>
      </c>
      <c r="AB14" s="21">
        <f t="shared" si="1"/>
        <v>0</v>
      </c>
      <c r="AC14" s="21">
        <f t="shared" si="1"/>
        <v>0</v>
      </c>
      <c r="AD14" s="21">
        <f t="shared" si="1"/>
        <v>0</v>
      </c>
      <c r="AE14" s="21">
        <f t="shared" si="1"/>
        <v>0</v>
      </c>
      <c r="AF14" s="14"/>
      <c r="AG14" s="26">
        <f t="shared" ref="AG14:AG30" si="9">SUM(T14:AE14)</f>
        <v>0</v>
      </c>
      <c r="AH14" s="9" t="s">
        <v>97</v>
      </c>
    </row>
    <row r="15" spans="1:34" x14ac:dyDescent="0.25">
      <c r="A15" s="71"/>
      <c r="B15" s="6" t="s">
        <v>43</v>
      </c>
      <c r="C15" s="60" t="s">
        <v>44</v>
      </c>
      <c r="D15" s="9">
        <v>1</v>
      </c>
      <c r="E15" s="24">
        <v>1</v>
      </c>
      <c r="F15" s="9">
        <v>1</v>
      </c>
      <c r="G15" s="9">
        <v>0</v>
      </c>
      <c r="H15" s="24">
        <v>1</v>
      </c>
      <c r="I15" s="74">
        <f t="shared" si="4"/>
        <v>5200</v>
      </c>
      <c r="J15" s="74">
        <v>5200</v>
      </c>
      <c r="K15" s="7">
        <v>525</v>
      </c>
      <c r="L15" s="8">
        <v>9</v>
      </c>
      <c r="M15" s="75">
        <f t="shared" si="5"/>
        <v>0.33299999999999996</v>
      </c>
      <c r="N15" s="8">
        <f t="shared" si="6"/>
        <v>58.333333333333336</v>
      </c>
      <c r="O15" s="7">
        <f t="shared" si="7"/>
        <v>13000</v>
      </c>
      <c r="P15" s="44"/>
      <c r="R15" s="14" t="str">
        <f t="shared" si="8"/>
        <v>Erhverv</v>
      </c>
      <c r="S15" s="14" t="s">
        <v>76</v>
      </c>
      <c r="T15" s="21">
        <f t="shared" ref="T15:AE27" si="10">IF(($F15=0),$J15/12,$J15)</f>
        <v>5200</v>
      </c>
      <c r="U15" s="21">
        <f t="shared" si="10"/>
        <v>5200</v>
      </c>
      <c r="V15" s="21">
        <f t="shared" si="10"/>
        <v>5200</v>
      </c>
      <c r="W15" s="21">
        <f t="shared" si="10"/>
        <v>5200</v>
      </c>
      <c r="X15" s="21">
        <f t="shared" si="10"/>
        <v>5200</v>
      </c>
      <c r="Y15" s="21">
        <f t="shared" si="10"/>
        <v>5200</v>
      </c>
      <c r="Z15" s="21">
        <f t="shared" si="10"/>
        <v>5200</v>
      </c>
      <c r="AA15" s="21">
        <f t="shared" si="10"/>
        <v>5200</v>
      </c>
      <c r="AB15" s="21">
        <f t="shared" si="10"/>
        <v>5200</v>
      </c>
      <c r="AC15" s="21">
        <f t="shared" si="10"/>
        <v>5200</v>
      </c>
      <c r="AD15" s="21">
        <f t="shared" si="10"/>
        <v>5200</v>
      </c>
      <c r="AE15" s="21">
        <f t="shared" si="10"/>
        <v>5200</v>
      </c>
      <c r="AF15" s="14"/>
      <c r="AG15" s="26">
        <f t="shared" si="9"/>
        <v>62400</v>
      </c>
      <c r="AH15" s="9" t="s">
        <v>97</v>
      </c>
    </row>
    <row r="16" spans="1:34" x14ac:dyDescent="0.25">
      <c r="A16" s="71"/>
      <c r="B16" s="6" t="s">
        <v>45</v>
      </c>
      <c r="C16" s="60" t="s">
        <v>46</v>
      </c>
      <c r="D16" s="9">
        <f t="shared" si="3"/>
        <v>1</v>
      </c>
      <c r="E16" s="24">
        <v>1</v>
      </c>
      <c r="F16" s="9">
        <v>0</v>
      </c>
      <c r="G16" s="9">
        <v>0</v>
      </c>
      <c r="H16" s="24">
        <v>1</v>
      </c>
      <c r="I16" s="74">
        <f t="shared" si="4"/>
        <v>500</v>
      </c>
      <c r="J16" s="74">
        <v>500</v>
      </c>
      <c r="K16" s="7">
        <v>785</v>
      </c>
      <c r="L16" s="8">
        <v>12</v>
      </c>
      <c r="M16" s="75">
        <f t="shared" si="5"/>
        <v>0.44399999999999995</v>
      </c>
      <c r="N16" s="8">
        <f t="shared" si="6"/>
        <v>65.416666666666671</v>
      </c>
      <c r="O16" s="7">
        <f t="shared" si="7"/>
        <v>1666.6666666666665</v>
      </c>
      <c r="P16" s="44"/>
      <c r="R16" s="14" t="str">
        <f t="shared" si="8"/>
        <v>DagrenErhverv</v>
      </c>
      <c r="S16" s="14" t="s">
        <v>76</v>
      </c>
      <c r="T16" s="21">
        <f t="shared" si="10"/>
        <v>41.666666666666664</v>
      </c>
      <c r="U16" s="21">
        <f t="shared" si="10"/>
        <v>41.666666666666664</v>
      </c>
      <c r="V16" s="21">
        <f t="shared" si="10"/>
        <v>41.666666666666664</v>
      </c>
      <c r="W16" s="21">
        <f t="shared" si="10"/>
        <v>41.666666666666664</v>
      </c>
      <c r="X16" s="21">
        <f t="shared" si="10"/>
        <v>41.666666666666664</v>
      </c>
      <c r="Y16" s="21">
        <f t="shared" si="10"/>
        <v>41.666666666666664</v>
      </c>
      <c r="Z16" s="21">
        <f t="shared" si="10"/>
        <v>41.666666666666664</v>
      </c>
      <c r="AA16" s="21">
        <f t="shared" si="10"/>
        <v>41.666666666666664</v>
      </c>
      <c r="AB16" s="21">
        <f t="shared" si="10"/>
        <v>41.666666666666664</v>
      </c>
      <c r="AC16" s="21">
        <f t="shared" si="10"/>
        <v>41.666666666666664</v>
      </c>
      <c r="AD16" s="21">
        <f t="shared" si="10"/>
        <v>41.666666666666664</v>
      </c>
      <c r="AE16" s="21">
        <f t="shared" si="10"/>
        <v>41.666666666666664</v>
      </c>
      <c r="AF16" s="14"/>
      <c r="AG16" s="26">
        <f t="shared" si="9"/>
        <v>500.00000000000006</v>
      </c>
      <c r="AH16" s="9" t="s">
        <v>97</v>
      </c>
    </row>
    <row r="17" spans="1:37" x14ac:dyDescent="0.25">
      <c r="A17" s="71"/>
      <c r="B17" s="6" t="s">
        <v>47</v>
      </c>
      <c r="C17" s="59" t="s">
        <v>48</v>
      </c>
      <c r="D17" s="9">
        <f t="shared" si="3"/>
        <v>0</v>
      </c>
      <c r="E17" s="24">
        <v>1</v>
      </c>
      <c r="F17" s="9">
        <v>0</v>
      </c>
      <c r="G17" s="9">
        <v>0</v>
      </c>
      <c r="H17" s="24">
        <v>1</v>
      </c>
      <c r="I17" s="74">
        <f t="shared" si="4"/>
        <v>0</v>
      </c>
      <c r="J17" s="74">
        <v>0</v>
      </c>
      <c r="K17" s="7">
        <v>0</v>
      </c>
      <c r="L17" s="8">
        <v>10</v>
      </c>
      <c r="M17" s="75">
        <f t="shared" si="5"/>
        <v>0.37</v>
      </c>
      <c r="N17" s="8">
        <f t="shared" si="6"/>
        <v>0</v>
      </c>
      <c r="O17" s="7">
        <f t="shared" si="7"/>
        <v>0</v>
      </c>
      <c r="P17" s="44"/>
      <c r="R17" s="14" t="str">
        <f t="shared" si="8"/>
        <v>HandelKontor</v>
      </c>
      <c r="S17" s="14" t="s">
        <v>76</v>
      </c>
      <c r="T17" s="21">
        <f t="shared" si="10"/>
        <v>0</v>
      </c>
      <c r="U17" s="21">
        <f t="shared" si="10"/>
        <v>0</v>
      </c>
      <c r="V17" s="21">
        <f t="shared" si="10"/>
        <v>0</v>
      </c>
      <c r="W17" s="21">
        <f t="shared" si="10"/>
        <v>0</v>
      </c>
      <c r="X17" s="21">
        <f t="shared" si="10"/>
        <v>0</v>
      </c>
      <c r="Y17" s="21">
        <f t="shared" si="10"/>
        <v>0</v>
      </c>
      <c r="Z17" s="21">
        <f t="shared" si="10"/>
        <v>0</v>
      </c>
      <c r="AA17" s="21">
        <f t="shared" si="10"/>
        <v>0</v>
      </c>
      <c r="AB17" s="21">
        <f t="shared" si="10"/>
        <v>0</v>
      </c>
      <c r="AC17" s="21">
        <f t="shared" si="10"/>
        <v>0</v>
      </c>
      <c r="AD17" s="21">
        <f t="shared" si="10"/>
        <v>0</v>
      </c>
      <c r="AE17" s="21">
        <f t="shared" si="10"/>
        <v>0</v>
      </c>
      <c r="AF17" s="14"/>
      <c r="AG17" s="26">
        <f t="shared" si="9"/>
        <v>0</v>
      </c>
      <c r="AH17" s="9" t="s">
        <v>97</v>
      </c>
    </row>
    <row r="18" spans="1:37" x14ac:dyDescent="0.25">
      <c r="A18" s="71"/>
      <c r="B18" s="6" t="s">
        <v>49</v>
      </c>
      <c r="C18" s="60" t="s">
        <v>50</v>
      </c>
      <c r="D18" s="9">
        <f t="shared" si="3"/>
        <v>0</v>
      </c>
      <c r="E18" s="24">
        <v>1</v>
      </c>
      <c r="F18" s="9">
        <v>0</v>
      </c>
      <c r="G18" s="9">
        <v>0</v>
      </c>
      <c r="H18" s="24">
        <v>1</v>
      </c>
      <c r="I18" s="74">
        <f t="shared" si="4"/>
        <v>0</v>
      </c>
      <c r="J18" s="74">
        <v>0</v>
      </c>
      <c r="K18" s="7">
        <v>525</v>
      </c>
      <c r="L18" s="8">
        <v>11</v>
      </c>
      <c r="M18" s="75">
        <f t="shared" si="5"/>
        <v>0.40699999999999997</v>
      </c>
      <c r="N18" s="8">
        <f t="shared" si="6"/>
        <v>47.727272727272727</v>
      </c>
      <c r="O18" s="7">
        <f t="shared" si="7"/>
        <v>0</v>
      </c>
      <c r="P18" s="44"/>
      <c r="R18" s="14" t="str">
        <f t="shared" si="8"/>
        <v>Privat</v>
      </c>
      <c r="S18" s="14" t="s">
        <v>76</v>
      </c>
      <c r="T18" s="21">
        <f t="shared" si="10"/>
        <v>0</v>
      </c>
      <c r="U18" s="21">
        <f t="shared" si="10"/>
        <v>0</v>
      </c>
      <c r="V18" s="21">
        <f t="shared" si="10"/>
        <v>0</v>
      </c>
      <c r="W18" s="21">
        <f t="shared" si="10"/>
        <v>0</v>
      </c>
      <c r="X18" s="21">
        <f t="shared" si="10"/>
        <v>0</v>
      </c>
      <c r="Y18" s="21">
        <f t="shared" si="10"/>
        <v>0</v>
      </c>
      <c r="Z18" s="21">
        <f t="shared" si="10"/>
        <v>0</v>
      </c>
      <c r="AA18" s="21">
        <f t="shared" si="10"/>
        <v>0</v>
      </c>
      <c r="AB18" s="21">
        <f t="shared" si="10"/>
        <v>0</v>
      </c>
      <c r="AC18" s="21">
        <f t="shared" si="10"/>
        <v>0</v>
      </c>
      <c r="AD18" s="21">
        <f t="shared" si="10"/>
        <v>0</v>
      </c>
      <c r="AE18" s="21">
        <f t="shared" si="10"/>
        <v>0</v>
      </c>
      <c r="AF18" s="14"/>
      <c r="AG18" s="26">
        <f t="shared" si="9"/>
        <v>0</v>
      </c>
      <c r="AH18" s="9" t="s">
        <v>97</v>
      </c>
    </row>
    <row r="19" spans="1:37" x14ac:dyDescent="0.25">
      <c r="A19" s="71"/>
      <c r="B19" s="6" t="s">
        <v>51</v>
      </c>
      <c r="C19" s="60" t="s">
        <v>52</v>
      </c>
      <c r="D19" s="9">
        <v>1</v>
      </c>
      <c r="E19" s="24">
        <v>1</v>
      </c>
      <c r="F19" s="9">
        <v>0</v>
      </c>
      <c r="G19" s="9">
        <v>0</v>
      </c>
      <c r="H19" s="24">
        <v>1</v>
      </c>
      <c r="I19" s="74">
        <f t="shared" si="4"/>
        <v>40000</v>
      </c>
      <c r="J19" s="74">
        <v>40000</v>
      </c>
      <c r="K19" s="7">
        <v>399.97499999999997</v>
      </c>
      <c r="L19" s="8">
        <v>10.5</v>
      </c>
      <c r="M19" s="75">
        <f t="shared" si="5"/>
        <v>0.38849999999999996</v>
      </c>
      <c r="N19" s="8">
        <f t="shared" si="6"/>
        <v>38.092857142857142</v>
      </c>
      <c r="O19" s="7">
        <f t="shared" si="7"/>
        <v>116666.66666666666</v>
      </c>
      <c r="P19" s="44"/>
      <c r="R19" s="14" t="str">
        <f t="shared" si="8"/>
        <v>TyskRest</v>
      </c>
      <c r="S19" s="14" t="s">
        <v>76</v>
      </c>
      <c r="T19" s="21">
        <f t="shared" si="10"/>
        <v>3333.3333333333335</v>
      </c>
      <c r="U19" s="21">
        <f t="shared" si="10"/>
        <v>3333.3333333333335</v>
      </c>
      <c r="V19" s="21">
        <f t="shared" si="10"/>
        <v>3333.3333333333335</v>
      </c>
      <c r="W19" s="21">
        <f t="shared" si="10"/>
        <v>3333.3333333333335</v>
      </c>
      <c r="X19" s="21">
        <f t="shared" si="10"/>
        <v>3333.3333333333335</v>
      </c>
      <c r="Y19" s="21">
        <f t="shared" si="10"/>
        <v>3333.3333333333335</v>
      </c>
      <c r="Z19" s="21">
        <f t="shared" si="10"/>
        <v>3333.3333333333335</v>
      </c>
      <c r="AA19" s="21">
        <f t="shared" si="10"/>
        <v>3333.3333333333335</v>
      </c>
      <c r="AB19" s="21">
        <f t="shared" si="10"/>
        <v>3333.3333333333335</v>
      </c>
      <c r="AC19" s="21">
        <f t="shared" si="10"/>
        <v>3333.3333333333335</v>
      </c>
      <c r="AD19" s="21">
        <f t="shared" si="10"/>
        <v>3333.3333333333335</v>
      </c>
      <c r="AE19" s="21">
        <f t="shared" si="10"/>
        <v>3333.3333333333335</v>
      </c>
      <c r="AF19" s="14"/>
      <c r="AG19" s="26">
        <f t="shared" si="9"/>
        <v>40000</v>
      </c>
      <c r="AH19" s="9" t="s">
        <v>97</v>
      </c>
    </row>
    <row r="20" spans="1:37" x14ac:dyDescent="0.25">
      <c r="A20" s="71"/>
      <c r="B20" s="6" t="s">
        <v>53</v>
      </c>
      <c r="C20" s="60" t="s">
        <v>54</v>
      </c>
      <c r="D20" s="9">
        <f t="shared" si="3"/>
        <v>1</v>
      </c>
      <c r="E20" s="24">
        <v>1</v>
      </c>
      <c r="F20" s="9">
        <v>0</v>
      </c>
      <c r="G20" s="9">
        <v>0</v>
      </c>
      <c r="H20" s="24">
        <v>1</v>
      </c>
      <c r="I20" s="74">
        <f t="shared" si="4"/>
        <v>2000</v>
      </c>
      <c r="J20" s="74">
        <v>2000</v>
      </c>
      <c r="K20" s="7">
        <v>515</v>
      </c>
      <c r="L20" s="8">
        <v>10.5</v>
      </c>
      <c r="M20" s="75">
        <f t="shared" si="5"/>
        <v>0.38849999999999996</v>
      </c>
      <c r="N20" s="8">
        <f t="shared" si="6"/>
        <v>49.047619047619051</v>
      </c>
      <c r="O20" s="7">
        <f t="shared" si="7"/>
        <v>5833.333333333333</v>
      </c>
      <c r="P20" s="44"/>
      <c r="R20" s="14" t="str">
        <f t="shared" si="8"/>
        <v>PolskRest</v>
      </c>
      <c r="S20" s="14" t="s">
        <v>76</v>
      </c>
      <c r="T20" s="21">
        <f t="shared" si="10"/>
        <v>166.66666666666666</v>
      </c>
      <c r="U20" s="21">
        <f t="shared" si="10"/>
        <v>166.66666666666666</v>
      </c>
      <c r="V20" s="21">
        <f t="shared" si="10"/>
        <v>166.66666666666666</v>
      </c>
      <c r="W20" s="21">
        <f t="shared" si="10"/>
        <v>166.66666666666666</v>
      </c>
      <c r="X20" s="21">
        <f t="shared" si="10"/>
        <v>166.66666666666666</v>
      </c>
      <c r="Y20" s="21">
        <f t="shared" si="10"/>
        <v>166.66666666666666</v>
      </c>
      <c r="Z20" s="21">
        <f t="shared" si="10"/>
        <v>166.66666666666666</v>
      </c>
      <c r="AA20" s="21">
        <f t="shared" si="10"/>
        <v>166.66666666666666</v>
      </c>
      <c r="AB20" s="21">
        <f t="shared" si="10"/>
        <v>166.66666666666666</v>
      </c>
      <c r="AC20" s="21">
        <f t="shared" si="10"/>
        <v>166.66666666666666</v>
      </c>
      <c r="AD20" s="21">
        <f t="shared" si="10"/>
        <v>166.66666666666666</v>
      </c>
      <c r="AE20" s="21">
        <f t="shared" si="10"/>
        <v>166.66666666666666</v>
      </c>
      <c r="AF20" s="14"/>
      <c r="AG20" s="26">
        <f t="shared" si="9"/>
        <v>2000.0000000000002</v>
      </c>
      <c r="AH20" s="9" t="s">
        <v>97</v>
      </c>
    </row>
    <row r="21" spans="1:37" x14ac:dyDescent="0.25">
      <c r="A21" s="71"/>
      <c r="B21" s="6" t="s">
        <v>55</v>
      </c>
      <c r="C21" s="59" t="s">
        <v>56</v>
      </c>
      <c r="D21" s="9">
        <f t="shared" si="3"/>
        <v>0</v>
      </c>
      <c r="E21" s="24">
        <v>1</v>
      </c>
      <c r="F21" s="9">
        <v>1</v>
      </c>
      <c r="G21" s="9">
        <v>0</v>
      </c>
      <c r="H21" s="24">
        <v>1</v>
      </c>
      <c r="I21" s="74">
        <f t="shared" si="4"/>
        <v>0</v>
      </c>
      <c r="J21" s="74">
        <v>0</v>
      </c>
      <c r="K21" s="7">
        <v>0</v>
      </c>
      <c r="L21" s="8">
        <v>13</v>
      </c>
      <c r="M21" s="76">
        <v>0</v>
      </c>
      <c r="N21" s="8">
        <f t="shared" si="6"/>
        <v>0</v>
      </c>
      <c r="O21" s="7">
        <f t="shared" si="7"/>
        <v>0</v>
      </c>
      <c r="P21" s="44"/>
      <c r="R21" s="14" t="str">
        <f t="shared" si="8"/>
        <v>PcbTrae</v>
      </c>
      <c r="S21" s="14" t="s">
        <v>76</v>
      </c>
      <c r="T21" s="21">
        <f t="shared" si="10"/>
        <v>0</v>
      </c>
      <c r="U21" s="21">
        <f t="shared" si="10"/>
        <v>0</v>
      </c>
      <c r="V21" s="21">
        <f t="shared" si="10"/>
        <v>0</v>
      </c>
      <c r="W21" s="21">
        <f t="shared" si="10"/>
        <v>0</v>
      </c>
      <c r="X21" s="21">
        <f t="shared" si="10"/>
        <v>0</v>
      </c>
      <c r="Y21" s="21">
        <f t="shared" si="10"/>
        <v>0</v>
      </c>
      <c r="Z21" s="21">
        <f t="shared" si="10"/>
        <v>0</v>
      </c>
      <c r="AA21" s="21">
        <f t="shared" si="10"/>
        <v>0</v>
      </c>
      <c r="AB21" s="21">
        <f t="shared" si="10"/>
        <v>0</v>
      </c>
      <c r="AC21" s="21">
        <f t="shared" si="10"/>
        <v>0</v>
      </c>
      <c r="AD21" s="21">
        <f t="shared" si="10"/>
        <v>0</v>
      </c>
      <c r="AE21" s="21">
        <f t="shared" si="10"/>
        <v>0</v>
      </c>
      <c r="AF21" s="14"/>
      <c r="AG21" s="26">
        <f t="shared" si="9"/>
        <v>0</v>
      </c>
      <c r="AH21" s="9" t="s">
        <v>97</v>
      </c>
    </row>
    <row r="22" spans="1:37" x14ac:dyDescent="0.25">
      <c r="A22" s="71"/>
      <c r="B22" s="6" t="s">
        <v>59</v>
      </c>
      <c r="C22" s="59" t="s">
        <v>60</v>
      </c>
      <c r="D22" s="9">
        <v>0</v>
      </c>
      <c r="E22" s="24">
        <v>1</v>
      </c>
      <c r="F22" s="9">
        <v>1</v>
      </c>
      <c r="G22" s="9">
        <v>0</v>
      </c>
      <c r="H22" s="24">
        <v>1</v>
      </c>
      <c r="I22" s="74">
        <f t="shared" si="4"/>
        <v>1500</v>
      </c>
      <c r="J22" s="74">
        <v>1500</v>
      </c>
      <c r="K22" s="7">
        <v>0</v>
      </c>
      <c r="L22" s="8">
        <v>14.5</v>
      </c>
      <c r="M22" s="76">
        <v>0</v>
      </c>
      <c r="N22" s="8">
        <f t="shared" si="6"/>
        <v>0</v>
      </c>
      <c r="O22" s="7">
        <f t="shared" si="7"/>
        <v>6041.666666666667</v>
      </c>
      <c r="P22" s="44"/>
      <c r="R22" s="14" t="str">
        <f t="shared" si="8"/>
        <v>TraeRekv</v>
      </c>
      <c r="S22" s="14" t="s">
        <v>76</v>
      </c>
      <c r="T22" s="21">
        <f t="shared" si="10"/>
        <v>1500</v>
      </c>
      <c r="U22" s="21">
        <f t="shared" si="10"/>
        <v>1500</v>
      </c>
      <c r="V22" s="21">
        <f t="shared" si="10"/>
        <v>1500</v>
      </c>
      <c r="W22" s="21">
        <f t="shared" si="10"/>
        <v>1500</v>
      </c>
      <c r="X22" s="21">
        <f t="shared" si="10"/>
        <v>1500</v>
      </c>
      <c r="Y22" s="21">
        <f t="shared" si="10"/>
        <v>1500</v>
      </c>
      <c r="Z22" s="21">
        <f t="shared" si="10"/>
        <v>1500</v>
      </c>
      <c r="AA22" s="21">
        <f t="shared" si="10"/>
        <v>1500</v>
      </c>
      <c r="AB22" s="21">
        <f t="shared" si="10"/>
        <v>1500</v>
      </c>
      <c r="AC22" s="21">
        <f t="shared" si="10"/>
        <v>1500</v>
      </c>
      <c r="AD22" s="21">
        <f t="shared" si="10"/>
        <v>1500</v>
      </c>
      <c r="AE22" s="21">
        <f t="shared" si="10"/>
        <v>1500</v>
      </c>
      <c r="AF22" s="14"/>
      <c r="AG22" s="26">
        <f t="shared" si="9"/>
        <v>18000</v>
      </c>
      <c r="AH22" s="9" t="s">
        <v>97</v>
      </c>
    </row>
    <row r="23" spans="1:37" x14ac:dyDescent="0.25">
      <c r="A23" s="71"/>
      <c r="B23" s="6" t="s">
        <v>61</v>
      </c>
      <c r="C23" s="60" t="s">
        <v>62</v>
      </c>
      <c r="D23" s="9">
        <f t="shared" si="3"/>
        <v>0</v>
      </c>
      <c r="E23" s="24">
        <v>1</v>
      </c>
      <c r="F23" s="9">
        <v>0</v>
      </c>
      <c r="G23" s="9">
        <v>0</v>
      </c>
      <c r="H23" s="24">
        <v>1</v>
      </c>
      <c r="I23" s="74">
        <f t="shared" si="4"/>
        <v>0</v>
      </c>
      <c r="J23" s="74">
        <v>0</v>
      </c>
      <c r="K23" s="7">
        <v>0</v>
      </c>
      <c r="L23" s="8">
        <v>14.7</v>
      </c>
      <c r="M23" s="76">
        <v>0</v>
      </c>
      <c r="N23" s="8">
        <f t="shared" si="6"/>
        <v>0</v>
      </c>
      <c r="O23" s="7">
        <f t="shared" si="7"/>
        <v>0</v>
      </c>
      <c r="P23" s="44"/>
      <c r="R23" s="14" t="str">
        <f t="shared" si="8"/>
        <v>Halm</v>
      </c>
      <c r="S23" s="14" t="s">
        <v>76</v>
      </c>
      <c r="T23" s="21">
        <f t="shared" si="10"/>
        <v>0</v>
      </c>
      <c r="U23" s="21">
        <f t="shared" si="10"/>
        <v>0</v>
      </c>
      <c r="V23" s="21">
        <f t="shared" si="10"/>
        <v>0</v>
      </c>
      <c r="W23" s="21">
        <f t="shared" si="10"/>
        <v>0</v>
      </c>
      <c r="X23" s="21">
        <f t="shared" si="10"/>
        <v>0</v>
      </c>
      <c r="Y23" s="21">
        <f t="shared" si="10"/>
        <v>0</v>
      </c>
      <c r="Z23" s="21">
        <f t="shared" si="10"/>
        <v>0</v>
      </c>
      <c r="AA23" s="21">
        <f t="shared" si="10"/>
        <v>0</v>
      </c>
      <c r="AB23" s="21">
        <f t="shared" si="10"/>
        <v>0</v>
      </c>
      <c r="AC23" s="21">
        <f t="shared" si="10"/>
        <v>0</v>
      </c>
      <c r="AD23" s="21">
        <f t="shared" si="10"/>
        <v>0</v>
      </c>
      <c r="AE23" s="21">
        <f t="shared" si="10"/>
        <v>0</v>
      </c>
      <c r="AF23" s="14"/>
      <c r="AG23" s="26">
        <f t="shared" si="9"/>
        <v>0</v>
      </c>
      <c r="AH23" s="9" t="s">
        <v>97</v>
      </c>
    </row>
    <row r="24" spans="1:37" x14ac:dyDescent="0.25">
      <c r="A24" s="71"/>
      <c r="B24" s="6" t="s">
        <v>63</v>
      </c>
      <c r="C24" s="58" t="s">
        <v>72</v>
      </c>
      <c r="D24" s="9">
        <f t="shared" si="3"/>
        <v>1</v>
      </c>
      <c r="E24" s="24">
        <v>1</v>
      </c>
      <c r="F24" s="9">
        <v>0</v>
      </c>
      <c r="G24" s="9">
        <v>0</v>
      </c>
      <c r="H24" s="24">
        <v>1</v>
      </c>
      <c r="I24" s="74">
        <f t="shared" si="4"/>
        <v>120</v>
      </c>
      <c r="J24" s="74">
        <v>120</v>
      </c>
      <c r="K24" s="7">
        <v>685</v>
      </c>
      <c r="L24" s="8">
        <v>14</v>
      </c>
      <c r="M24" s="76">
        <v>0</v>
      </c>
      <c r="N24" s="8">
        <f t="shared" si="6"/>
        <v>48.928571428571431</v>
      </c>
      <c r="O24" s="7">
        <f t="shared" si="7"/>
        <v>466.66666666666663</v>
      </c>
      <c r="P24" s="44"/>
      <c r="R24" s="14" t="str">
        <f t="shared" si="8"/>
        <v>Pulver</v>
      </c>
      <c r="S24" s="14" t="s">
        <v>76</v>
      </c>
      <c r="T24" s="21">
        <f t="shared" si="10"/>
        <v>10</v>
      </c>
      <c r="U24" s="21">
        <f t="shared" si="10"/>
        <v>10</v>
      </c>
      <c r="V24" s="21">
        <f t="shared" si="10"/>
        <v>10</v>
      </c>
      <c r="W24" s="21">
        <f t="shared" si="10"/>
        <v>10</v>
      </c>
      <c r="X24" s="21">
        <f t="shared" si="10"/>
        <v>10</v>
      </c>
      <c r="Y24" s="21">
        <f t="shared" si="10"/>
        <v>10</v>
      </c>
      <c r="Z24" s="21">
        <f t="shared" si="10"/>
        <v>10</v>
      </c>
      <c r="AA24" s="21">
        <f t="shared" si="10"/>
        <v>10</v>
      </c>
      <c r="AB24" s="21">
        <f t="shared" si="10"/>
        <v>10</v>
      </c>
      <c r="AC24" s="21">
        <f t="shared" si="10"/>
        <v>10</v>
      </c>
      <c r="AD24" s="21">
        <f t="shared" si="10"/>
        <v>10</v>
      </c>
      <c r="AE24" s="21">
        <f t="shared" si="10"/>
        <v>10</v>
      </c>
      <c r="AF24" s="14"/>
      <c r="AG24" s="26">
        <f t="shared" si="9"/>
        <v>120</v>
      </c>
      <c r="AH24" s="9" t="s">
        <v>97</v>
      </c>
    </row>
    <row r="25" spans="1:37" x14ac:dyDescent="0.25">
      <c r="A25" s="71"/>
      <c r="B25" s="6" t="s">
        <v>57</v>
      </c>
      <c r="C25" s="58" t="s">
        <v>101</v>
      </c>
      <c r="D25" s="9">
        <f t="shared" si="3"/>
        <v>1</v>
      </c>
      <c r="E25" s="24">
        <v>1</v>
      </c>
      <c r="F25" s="9">
        <v>1</v>
      </c>
      <c r="G25" s="9">
        <v>0</v>
      </c>
      <c r="H25" s="24">
        <v>1</v>
      </c>
      <c r="I25" s="74">
        <f t="shared" si="4"/>
        <v>150</v>
      </c>
      <c r="J25" s="74">
        <v>150</v>
      </c>
      <c r="K25" s="7">
        <v>155</v>
      </c>
      <c r="L25" s="8">
        <v>14.5</v>
      </c>
      <c r="M25" s="76">
        <v>0</v>
      </c>
      <c r="N25" s="8">
        <f t="shared" si="6"/>
        <v>10.689655172413794</v>
      </c>
      <c r="O25" s="7">
        <f t="shared" si="7"/>
        <v>604.16666666666663</v>
      </c>
      <c r="P25" s="44"/>
      <c r="R25" s="14" t="str">
        <f t="shared" si="8"/>
        <v>FlisAffald</v>
      </c>
      <c r="S25" s="14" t="s">
        <v>76</v>
      </c>
      <c r="T25" s="21">
        <f t="shared" si="10"/>
        <v>150</v>
      </c>
      <c r="U25" s="21">
        <f t="shared" si="10"/>
        <v>150</v>
      </c>
      <c r="V25" s="21">
        <f t="shared" si="10"/>
        <v>150</v>
      </c>
      <c r="W25" s="21">
        <f t="shared" si="10"/>
        <v>150</v>
      </c>
      <c r="X25" s="21">
        <f t="shared" si="10"/>
        <v>150</v>
      </c>
      <c r="Y25" s="21">
        <f t="shared" si="10"/>
        <v>150</v>
      </c>
      <c r="Z25" s="21">
        <f t="shared" si="10"/>
        <v>150</v>
      </c>
      <c r="AA25" s="21">
        <f t="shared" si="10"/>
        <v>150</v>
      </c>
      <c r="AB25" s="21">
        <f t="shared" si="10"/>
        <v>150</v>
      </c>
      <c r="AC25" s="21">
        <f t="shared" si="10"/>
        <v>150</v>
      </c>
      <c r="AD25" s="21">
        <f t="shared" si="10"/>
        <v>150</v>
      </c>
      <c r="AE25" s="21">
        <f t="shared" si="10"/>
        <v>150</v>
      </c>
      <c r="AF25" s="14"/>
      <c r="AG25" s="26">
        <f t="shared" si="9"/>
        <v>1800</v>
      </c>
      <c r="AH25" s="9" t="s">
        <v>97</v>
      </c>
    </row>
    <row r="26" spans="1:37" x14ac:dyDescent="0.25">
      <c r="A26" s="73"/>
      <c r="B26" s="61" t="s">
        <v>128</v>
      </c>
      <c r="C26" s="61" t="s">
        <v>130</v>
      </c>
      <c r="D26" s="77">
        <v>0</v>
      </c>
      <c r="E26" s="24">
        <v>1</v>
      </c>
      <c r="F26" s="77">
        <v>0</v>
      </c>
      <c r="G26" s="77">
        <v>1</v>
      </c>
      <c r="H26" s="77">
        <v>1</v>
      </c>
      <c r="I26" s="78">
        <f t="shared" si="4"/>
        <v>0</v>
      </c>
      <c r="J26" s="78">
        <v>50000</v>
      </c>
      <c r="K26" s="79">
        <v>400</v>
      </c>
      <c r="L26" s="80">
        <v>11.5</v>
      </c>
      <c r="M26" s="81">
        <f t="shared" ref="M26:M27" si="11">L26*0.037</f>
        <v>0.42549999999999999</v>
      </c>
      <c r="N26" s="80">
        <f t="shared" ref="N26:N27" si="12">K26/L26</f>
        <v>34.782608695652172</v>
      </c>
      <c r="O26" s="79">
        <f t="shared" ref="O26:O27" si="13">J26*L26/3.6</f>
        <v>159722.22222222222</v>
      </c>
      <c r="P26" s="44"/>
      <c r="R26" s="14" t="str">
        <f t="shared" si="8"/>
        <v>NyAff1</v>
      </c>
      <c r="S26" s="14" t="s">
        <v>76</v>
      </c>
      <c r="T26" s="21">
        <f t="shared" si="10"/>
        <v>4166.666666666667</v>
      </c>
      <c r="U26" s="21">
        <f t="shared" si="10"/>
        <v>4166.666666666667</v>
      </c>
      <c r="V26" s="21">
        <f t="shared" si="10"/>
        <v>4166.666666666667</v>
      </c>
      <c r="W26" s="21">
        <f t="shared" si="10"/>
        <v>4166.666666666667</v>
      </c>
      <c r="X26" s="21">
        <f t="shared" si="10"/>
        <v>4166.666666666667</v>
      </c>
      <c r="Y26" s="21">
        <f t="shared" si="10"/>
        <v>4166.666666666667</v>
      </c>
      <c r="Z26" s="21">
        <f t="shared" si="10"/>
        <v>4166.666666666667</v>
      </c>
      <c r="AA26" s="21">
        <f t="shared" si="10"/>
        <v>4166.666666666667</v>
      </c>
      <c r="AB26" s="21">
        <f t="shared" si="10"/>
        <v>4166.666666666667</v>
      </c>
      <c r="AC26" s="21">
        <f t="shared" si="10"/>
        <v>4166.666666666667</v>
      </c>
      <c r="AD26" s="21">
        <f t="shared" si="10"/>
        <v>4166.666666666667</v>
      </c>
      <c r="AE26" s="21">
        <f t="shared" si="10"/>
        <v>4166.666666666667</v>
      </c>
      <c r="AF26" s="14"/>
      <c r="AG26" s="26">
        <f t="shared" si="9"/>
        <v>49999.999999999993</v>
      </c>
      <c r="AH26" s="9" t="s">
        <v>97</v>
      </c>
    </row>
    <row r="27" spans="1:37" x14ac:dyDescent="0.25">
      <c r="A27" s="73"/>
      <c r="B27" s="61" t="s">
        <v>129</v>
      </c>
      <c r="C27" s="61" t="s">
        <v>131</v>
      </c>
      <c r="D27" s="77">
        <v>0</v>
      </c>
      <c r="E27" s="24">
        <v>1</v>
      </c>
      <c r="F27" s="77">
        <v>0</v>
      </c>
      <c r="G27" s="77">
        <v>1</v>
      </c>
      <c r="H27" s="77">
        <v>1</v>
      </c>
      <c r="I27" s="78">
        <f t="shared" si="4"/>
        <v>0</v>
      </c>
      <c r="J27" s="78">
        <v>40000</v>
      </c>
      <c r="K27" s="79">
        <v>450</v>
      </c>
      <c r="L27" s="80">
        <v>10.5</v>
      </c>
      <c r="M27" s="81">
        <f t="shared" si="11"/>
        <v>0.38849999999999996</v>
      </c>
      <c r="N27" s="80">
        <f t="shared" si="12"/>
        <v>42.857142857142854</v>
      </c>
      <c r="O27" s="79">
        <f t="shared" si="13"/>
        <v>116666.66666666666</v>
      </c>
      <c r="P27" s="44"/>
      <c r="R27" s="14" t="str">
        <f t="shared" si="8"/>
        <v>NyAff2</v>
      </c>
      <c r="S27" s="14" t="s">
        <v>76</v>
      </c>
      <c r="T27" s="21">
        <f t="shared" si="10"/>
        <v>3333.3333333333335</v>
      </c>
      <c r="U27" s="21">
        <f t="shared" si="10"/>
        <v>3333.3333333333335</v>
      </c>
      <c r="V27" s="21">
        <f t="shared" si="10"/>
        <v>3333.3333333333335</v>
      </c>
      <c r="W27" s="21">
        <f t="shared" si="10"/>
        <v>3333.3333333333335</v>
      </c>
      <c r="X27" s="21">
        <f t="shared" si="10"/>
        <v>3333.3333333333335</v>
      </c>
      <c r="Y27" s="21">
        <f t="shared" si="10"/>
        <v>3333.3333333333335</v>
      </c>
      <c r="Z27" s="21">
        <f t="shared" si="10"/>
        <v>3333.3333333333335</v>
      </c>
      <c r="AA27" s="21">
        <f t="shared" si="10"/>
        <v>3333.3333333333335</v>
      </c>
      <c r="AB27" s="21">
        <f t="shared" si="10"/>
        <v>3333.3333333333335</v>
      </c>
      <c r="AC27" s="21">
        <f t="shared" si="10"/>
        <v>3333.3333333333335</v>
      </c>
      <c r="AD27" s="21">
        <f t="shared" si="10"/>
        <v>3333.3333333333335</v>
      </c>
      <c r="AE27" s="21">
        <f t="shared" si="10"/>
        <v>3333.3333333333335</v>
      </c>
      <c r="AF27" s="14"/>
      <c r="AG27" s="26">
        <f t="shared" si="9"/>
        <v>40000</v>
      </c>
      <c r="AH27" s="9" t="s">
        <v>97</v>
      </c>
    </row>
    <row r="28" spans="1:37" x14ac:dyDescent="0.25">
      <c r="A28" s="72"/>
      <c r="B28" s="62" t="s">
        <v>58</v>
      </c>
      <c r="C28" s="58" t="s">
        <v>58</v>
      </c>
      <c r="D28" s="9">
        <v>1</v>
      </c>
      <c r="E28" s="24">
        <v>2</v>
      </c>
      <c r="F28" s="9">
        <v>1</v>
      </c>
      <c r="G28" s="65"/>
      <c r="H28" s="24">
        <v>0</v>
      </c>
      <c r="I28" s="65"/>
      <c r="J28" s="65"/>
      <c r="K28" s="33">
        <f>50*L28</f>
        <v>470</v>
      </c>
      <c r="L28" s="8">
        <v>9.4</v>
      </c>
      <c r="M28" s="76">
        <v>0</v>
      </c>
      <c r="N28" s="8">
        <f t="shared" si="6"/>
        <v>50</v>
      </c>
      <c r="O28" s="7">
        <f t="shared" si="7"/>
        <v>0</v>
      </c>
      <c r="P28" s="44"/>
      <c r="R28" s="14" t="str">
        <f t="shared" si="8"/>
        <v>Flis</v>
      </c>
      <c r="S28" s="14" t="s">
        <v>76</v>
      </c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14"/>
      <c r="AG28" s="26">
        <f t="shared" si="9"/>
        <v>0</v>
      </c>
      <c r="AH28" s="9" t="s">
        <v>97</v>
      </c>
    </row>
    <row r="29" spans="1:37" x14ac:dyDescent="0.25">
      <c r="A29" s="72"/>
      <c r="B29" s="62" t="s">
        <v>102</v>
      </c>
      <c r="C29" s="58" t="s">
        <v>96</v>
      </c>
      <c r="D29" s="9">
        <v>1</v>
      </c>
      <c r="E29" s="24">
        <v>3</v>
      </c>
      <c r="F29" s="9">
        <v>0</v>
      </c>
      <c r="G29" s="65"/>
      <c r="H29" s="24">
        <v>0</v>
      </c>
      <c r="I29" s="65"/>
      <c r="J29" s="65"/>
      <c r="K29" s="33">
        <v>50</v>
      </c>
      <c r="L29" s="8">
        <v>3.6</v>
      </c>
      <c r="M29" s="76">
        <v>0</v>
      </c>
      <c r="N29" s="8">
        <f t="shared" si="6"/>
        <v>13.888888888888889</v>
      </c>
      <c r="O29" s="7">
        <f t="shared" si="7"/>
        <v>0</v>
      </c>
      <c r="P29" s="44"/>
      <c r="R29" s="14" t="str">
        <f t="shared" si="8"/>
        <v>NSvarme</v>
      </c>
      <c r="S29" s="14" t="s">
        <v>76</v>
      </c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34"/>
      <c r="AG29" s="26">
        <f t="shared" si="9"/>
        <v>0</v>
      </c>
      <c r="AH29" s="2" t="s">
        <v>89</v>
      </c>
    </row>
    <row r="30" spans="1:37" x14ac:dyDescent="0.25">
      <c r="A30" s="72"/>
      <c r="B30" s="62" t="s">
        <v>118</v>
      </c>
      <c r="C30" t="s">
        <v>118</v>
      </c>
      <c r="D30" s="9">
        <v>1</v>
      </c>
      <c r="E30" s="24">
        <v>4</v>
      </c>
      <c r="F30" s="9">
        <v>1</v>
      </c>
      <c r="G30" s="66"/>
      <c r="H30" s="24">
        <v>0</v>
      </c>
      <c r="I30" s="66"/>
      <c r="J30" s="66"/>
      <c r="K30" s="33">
        <v>5000</v>
      </c>
      <c r="L30" s="8">
        <v>44</v>
      </c>
      <c r="M30" s="75">
        <f>0.85*2.3</f>
        <v>1.9549999999999998</v>
      </c>
      <c r="N30" s="8">
        <f t="shared" si="6"/>
        <v>113.63636363636364</v>
      </c>
      <c r="O30" s="7">
        <f t="shared" si="7"/>
        <v>0</v>
      </c>
      <c r="P30" s="44"/>
      <c r="R30" s="61" t="str">
        <f t="shared" si="8"/>
        <v>PeakFuel</v>
      </c>
      <c r="S30" s="61" t="s">
        <v>76</v>
      </c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14"/>
      <c r="AG30" s="52">
        <f t="shared" si="9"/>
        <v>0</v>
      </c>
      <c r="AH30" s="28" t="s">
        <v>97</v>
      </c>
      <c r="AI30" t="s">
        <v>142</v>
      </c>
      <c r="AJ30" s="9" t="s">
        <v>140</v>
      </c>
      <c r="AK30" t="s">
        <v>141</v>
      </c>
    </row>
    <row r="31" spans="1:37" x14ac:dyDescent="0.25">
      <c r="O31" s="37">
        <f>SUM(O5:O30)</f>
        <v>552277.8055555555</v>
      </c>
      <c r="P31" s="45"/>
      <c r="R31" s="13" t="str">
        <f>R5</f>
        <v>DepoSort</v>
      </c>
      <c r="S31" s="13" t="s">
        <v>77</v>
      </c>
      <c r="T31" s="22">
        <f>IF(AND(NOT($AI31),NOT(AJ31)),$I5/12,0)</f>
        <v>0</v>
      </c>
      <c r="U31" s="22">
        <f t="shared" ref="U31:AE46" si="14">IF(AND(NOT($AI31),NOT(AK31)),$I5/12,0)</f>
        <v>0</v>
      </c>
      <c r="V31" s="22">
        <f t="shared" si="14"/>
        <v>0</v>
      </c>
      <c r="W31" s="22">
        <f t="shared" si="14"/>
        <v>0</v>
      </c>
      <c r="X31" s="22">
        <f t="shared" si="14"/>
        <v>0</v>
      </c>
      <c r="Y31" s="22">
        <f t="shared" si="14"/>
        <v>0</v>
      </c>
      <c r="Z31" s="22">
        <f t="shared" si="14"/>
        <v>0</v>
      </c>
      <c r="AA31" s="22">
        <f t="shared" si="14"/>
        <v>0</v>
      </c>
      <c r="AB31" s="22">
        <f t="shared" si="14"/>
        <v>0</v>
      </c>
      <c r="AC31" s="22">
        <f t="shared" si="14"/>
        <v>0</v>
      </c>
      <c r="AD31" s="22">
        <f t="shared" si="14"/>
        <v>0</v>
      </c>
      <c r="AE31" s="22">
        <f t="shared" si="14"/>
        <v>0</v>
      </c>
      <c r="AF31" s="13"/>
      <c r="AG31" s="27">
        <f t="shared" si="2"/>
        <v>0</v>
      </c>
      <c r="AH31" s="9" t="s">
        <v>97</v>
      </c>
      <c r="AI31" s="46" t="b">
        <f>(F5&lt;&gt;0)</f>
        <v>1</v>
      </c>
      <c r="AJ31" s="46" t="b">
        <f>(G5&lt;&gt;0)</f>
        <v>0</v>
      </c>
      <c r="AK31" s="46" t="b">
        <f>(H5&lt;&gt;0)</f>
        <v>1</v>
      </c>
    </row>
    <row r="32" spans="1:37" x14ac:dyDescent="0.25">
      <c r="R32" s="13" t="str">
        <f>R6</f>
        <v>DepoSmaat</v>
      </c>
      <c r="S32" s="13" t="s">
        <v>77</v>
      </c>
      <c r="T32" s="22">
        <f t="shared" ref="T32:T56" si="15">IF(AND(NOT($AI32),NOT(AJ32)),$I6/12,0)</f>
        <v>0</v>
      </c>
      <c r="U32" s="22">
        <f t="shared" si="14"/>
        <v>0</v>
      </c>
      <c r="V32" s="22">
        <f t="shared" si="14"/>
        <v>0</v>
      </c>
      <c r="W32" s="22">
        <f t="shared" si="14"/>
        <v>0</v>
      </c>
      <c r="X32" s="22">
        <f t="shared" si="14"/>
        <v>0</v>
      </c>
      <c r="Y32" s="22">
        <f t="shared" si="14"/>
        <v>0</v>
      </c>
      <c r="Z32" s="22">
        <f t="shared" si="14"/>
        <v>0</v>
      </c>
      <c r="AA32" s="22">
        <f t="shared" si="14"/>
        <v>0</v>
      </c>
      <c r="AB32" s="22">
        <f t="shared" si="14"/>
        <v>0</v>
      </c>
      <c r="AC32" s="22">
        <f t="shared" si="14"/>
        <v>0</v>
      </c>
      <c r="AD32" s="22">
        <f t="shared" si="14"/>
        <v>0</v>
      </c>
      <c r="AE32" s="22">
        <f t="shared" si="14"/>
        <v>0</v>
      </c>
      <c r="AF32" s="13"/>
      <c r="AG32" s="27">
        <f t="shared" si="2"/>
        <v>0</v>
      </c>
      <c r="AH32" s="9" t="s">
        <v>97</v>
      </c>
      <c r="AI32" s="46" t="b">
        <f t="shared" ref="AI32:AI56" si="16">(F6&lt;&gt;0)</f>
        <v>1</v>
      </c>
      <c r="AJ32" s="46" t="b">
        <f t="shared" ref="AJ32:AJ56" si="17">(G6&lt;&gt;0)</f>
        <v>0</v>
      </c>
      <c r="AK32" s="46" t="b">
        <f t="shared" ref="AK32:AK56" si="18">(H6&lt;&gt;0)</f>
        <v>1</v>
      </c>
    </row>
    <row r="33" spans="2:37" x14ac:dyDescent="0.25">
      <c r="R33" s="13" t="str">
        <f t="shared" ref="R33:R56" si="19">R7</f>
        <v>DepoNedd</v>
      </c>
      <c r="S33" s="13" t="s">
        <v>77</v>
      </c>
      <c r="T33" s="22">
        <f t="shared" si="15"/>
        <v>0</v>
      </c>
      <c r="U33" s="22">
        <f t="shared" si="14"/>
        <v>0</v>
      </c>
      <c r="V33" s="22">
        <f t="shared" si="14"/>
        <v>0</v>
      </c>
      <c r="W33" s="22">
        <f t="shared" si="14"/>
        <v>0</v>
      </c>
      <c r="X33" s="22">
        <f t="shared" si="14"/>
        <v>0</v>
      </c>
      <c r="Y33" s="22">
        <f t="shared" si="14"/>
        <v>0</v>
      </c>
      <c r="Z33" s="22">
        <f t="shared" si="14"/>
        <v>0</v>
      </c>
      <c r="AA33" s="22">
        <f t="shared" si="14"/>
        <v>0</v>
      </c>
      <c r="AB33" s="22">
        <f t="shared" si="14"/>
        <v>0</v>
      </c>
      <c r="AC33" s="22">
        <f t="shared" si="14"/>
        <v>0</v>
      </c>
      <c r="AD33" s="22">
        <f t="shared" si="14"/>
        <v>0</v>
      </c>
      <c r="AE33" s="22">
        <f t="shared" si="14"/>
        <v>0</v>
      </c>
      <c r="AF33" s="13"/>
      <c r="AG33" s="27">
        <f t="shared" ref="AG33:AG56" si="20">SUM(T33:AE33)</f>
        <v>0</v>
      </c>
      <c r="AH33" s="9" t="s">
        <v>97</v>
      </c>
      <c r="AI33" s="46" t="b">
        <f t="shared" si="16"/>
        <v>1</v>
      </c>
      <c r="AJ33" s="46" t="b">
        <f t="shared" si="17"/>
        <v>0</v>
      </c>
      <c r="AK33" s="46" t="b">
        <f t="shared" si="18"/>
        <v>1</v>
      </c>
    </row>
    <row r="34" spans="2:37" x14ac:dyDescent="0.25">
      <c r="B34" s="54"/>
      <c r="C34" s="19"/>
      <c r="D34" s="19"/>
      <c r="E34" s="19"/>
      <c r="R34" s="13" t="str">
        <f t="shared" si="19"/>
        <v>Dagren</v>
      </c>
      <c r="S34" s="13" t="s">
        <v>77</v>
      </c>
      <c r="T34" s="22">
        <f t="shared" si="15"/>
        <v>2405.75</v>
      </c>
      <c r="U34" s="22">
        <f t="shared" si="14"/>
        <v>0</v>
      </c>
      <c r="V34" s="22">
        <f t="shared" si="14"/>
        <v>2405.75</v>
      </c>
      <c r="W34" s="22">
        <f t="shared" si="14"/>
        <v>2405.75</v>
      </c>
      <c r="X34" s="22">
        <f t="shared" si="14"/>
        <v>2405.75</v>
      </c>
      <c r="Y34" s="22">
        <f t="shared" si="14"/>
        <v>2405.75</v>
      </c>
      <c r="Z34" s="22">
        <f t="shared" si="14"/>
        <v>2405.75</v>
      </c>
      <c r="AA34" s="22">
        <f t="shared" si="14"/>
        <v>2405.75</v>
      </c>
      <c r="AB34" s="22">
        <f t="shared" si="14"/>
        <v>2405.75</v>
      </c>
      <c r="AC34" s="22">
        <f t="shared" si="14"/>
        <v>2405.75</v>
      </c>
      <c r="AD34" s="22">
        <f t="shared" si="14"/>
        <v>2405.75</v>
      </c>
      <c r="AE34" s="22">
        <f t="shared" si="14"/>
        <v>2405.75</v>
      </c>
      <c r="AF34" s="13"/>
      <c r="AG34" s="27">
        <f t="shared" si="20"/>
        <v>26463.25</v>
      </c>
      <c r="AH34" s="9" t="s">
        <v>97</v>
      </c>
      <c r="AI34" s="46" t="b">
        <f t="shared" si="16"/>
        <v>0</v>
      </c>
      <c r="AJ34" s="46" t="b">
        <f t="shared" si="17"/>
        <v>0</v>
      </c>
      <c r="AK34" s="46" t="b">
        <f t="shared" si="18"/>
        <v>1</v>
      </c>
    </row>
    <row r="35" spans="2:37" x14ac:dyDescent="0.25">
      <c r="B35" s="55" t="s">
        <v>122</v>
      </c>
      <c r="C35" s="70" t="s">
        <v>121</v>
      </c>
      <c r="D35" s="55"/>
      <c r="N35" s="53"/>
      <c r="R35" s="13" t="str">
        <f t="shared" si="19"/>
        <v>AndetBrand</v>
      </c>
      <c r="S35" s="13" t="s">
        <v>77</v>
      </c>
      <c r="T35" s="22">
        <f t="shared" si="15"/>
        <v>291.66666666666669</v>
      </c>
      <c r="U35" s="22">
        <f t="shared" si="14"/>
        <v>0</v>
      </c>
      <c r="V35" s="22">
        <f t="shared" si="14"/>
        <v>291.66666666666669</v>
      </c>
      <c r="W35" s="22">
        <f t="shared" si="14"/>
        <v>291.66666666666669</v>
      </c>
      <c r="X35" s="22">
        <f t="shared" si="14"/>
        <v>291.66666666666669</v>
      </c>
      <c r="Y35" s="22">
        <f t="shared" si="14"/>
        <v>291.66666666666669</v>
      </c>
      <c r="Z35" s="22">
        <f t="shared" si="14"/>
        <v>291.66666666666669</v>
      </c>
      <c r="AA35" s="22">
        <f t="shared" si="14"/>
        <v>291.66666666666669</v>
      </c>
      <c r="AB35" s="22">
        <f t="shared" si="14"/>
        <v>291.66666666666669</v>
      </c>
      <c r="AC35" s="22">
        <f t="shared" si="14"/>
        <v>291.66666666666669</v>
      </c>
      <c r="AD35" s="22">
        <f t="shared" si="14"/>
        <v>291.66666666666669</v>
      </c>
      <c r="AE35" s="22">
        <f t="shared" si="14"/>
        <v>291.66666666666669</v>
      </c>
      <c r="AF35" s="13"/>
      <c r="AG35" s="27">
        <f t="shared" si="20"/>
        <v>3208.333333333333</v>
      </c>
      <c r="AH35" s="9" t="s">
        <v>97</v>
      </c>
      <c r="AI35" s="46" t="b">
        <f t="shared" si="16"/>
        <v>0</v>
      </c>
      <c r="AJ35" s="46" t="b">
        <f t="shared" si="17"/>
        <v>0</v>
      </c>
      <c r="AK35" s="46" t="b">
        <f t="shared" si="18"/>
        <v>1</v>
      </c>
    </row>
    <row r="36" spans="2:37" x14ac:dyDescent="0.25">
      <c r="B36" s="19" t="s">
        <v>123</v>
      </c>
      <c r="C36" s="56">
        <v>2000</v>
      </c>
      <c r="D36" s="57" t="s">
        <v>97</v>
      </c>
      <c r="N36" s="53"/>
      <c r="R36" s="13" t="str">
        <f t="shared" si="19"/>
        <v>Trae</v>
      </c>
      <c r="S36" s="13" t="s">
        <v>77</v>
      </c>
      <c r="T36" s="22">
        <f t="shared" si="15"/>
        <v>0</v>
      </c>
      <c r="U36" s="22">
        <f t="shared" si="14"/>
        <v>0</v>
      </c>
      <c r="V36" s="22">
        <f t="shared" si="14"/>
        <v>0</v>
      </c>
      <c r="W36" s="22">
        <f t="shared" si="14"/>
        <v>0</v>
      </c>
      <c r="X36" s="22">
        <f t="shared" si="14"/>
        <v>0</v>
      </c>
      <c r="Y36" s="22">
        <f t="shared" si="14"/>
        <v>0</v>
      </c>
      <c r="Z36" s="22">
        <f t="shared" si="14"/>
        <v>0</v>
      </c>
      <c r="AA36" s="22">
        <f t="shared" si="14"/>
        <v>0</v>
      </c>
      <c r="AB36" s="22">
        <f t="shared" si="14"/>
        <v>0</v>
      </c>
      <c r="AC36" s="22">
        <f t="shared" si="14"/>
        <v>0</v>
      </c>
      <c r="AD36" s="22">
        <f t="shared" si="14"/>
        <v>0</v>
      </c>
      <c r="AE36" s="22">
        <f t="shared" si="14"/>
        <v>0</v>
      </c>
      <c r="AF36" s="13"/>
      <c r="AG36" s="27">
        <f t="shared" si="20"/>
        <v>0</v>
      </c>
      <c r="AH36" s="9" t="s">
        <v>97</v>
      </c>
      <c r="AI36" s="46" t="b">
        <f t="shared" si="16"/>
        <v>0</v>
      </c>
      <c r="AJ36" s="46" t="b">
        <f t="shared" si="17"/>
        <v>0</v>
      </c>
      <c r="AK36" s="46" t="b">
        <f t="shared" si="18"/>
        <v>1</v>
      </c>
    </row>
    <row r="37" spans="2:37" x14ac:dyDescent="0.25">
      <c r="B37" s="19" t="s">
        <v>124</v>
      </c>
      <c r="C37" s="56">
        <v>2000</v>
      </c>
      <c r="D37" s="57" t="s">
        <v>125</v>
      </c>
      <c r="N37" s="53"/>
      <c r="R37" s="13" t="str">
        <f t="shared" si="19"/>
        <v>DagrenRast</v>
      </c>
      <c r="S37" s="13" t="s">
        <v>77</v>
      </c>
      <c r="T37" s="22">
        <f t="shared" si="15"/>
        <v>0</v>
      </c>
      <c r="U37" s="22">
        <f t="shared" si="14"/>
        <v>0</v>
      </c>
      <c r="V37" s="22">
        <f t="shared" si="14"/>
        <v>0</v>
      </c>
      <c r="W37" s="22">
        <f t="shared" si="14"/>
        <v>0</v>
      </c>
      <c r="X37" s="22">
        <f t="shared" si="14"/>
        <v>0</v>
      </c>
      <c r="Y37" s="22">
        <f t="shared" si="14"/>
        <v>0</v>
      </c>
      <c r="Z37" s="22">
        <f t="shared" si="14"/>
        <v>0</v>
      </c>
      <c r="AA37" s="22">
        <f t="shared" si="14"/>
        <v>0</v>
      </c>
      <c r="AB37" s="22">
        <f t="shared" si="14"/>
        <v>0</v>
      </c>
      <c r="AC37" s="22">
        <f t="shared" si="14"/>
        <v>0</v>
      </c>
      <c r="AD37" s="22">
        <f t="shared" si="14"/>
        <v>0</v>
      </c>
      <c r="AE37" s="22">
        <f t="shared" si="14"/>
        <v>0</v>
      </c>
      <c r="AF37" s="13"/>
      <c r="AG37" s="27">
        <f t="shared" si="20"/>
        <v>0</v>
      </c>
      <c r="AH37" s="9" t="s">
        <v>97</v>
      </c>
      <c r="AI37" s="46" t="b">
        <f t="shared" si="16"/>
        <v>0</v>
      </c>
      <c r="AJ37" s="46" t="b">
        <f t="shared" si="17"/>
        <v>0</v>
      </c>
      <c r="AK37" s="46" t="b">
        <f t="shared" si="18"/>
        <v>1</v>
      </c>
    </row>
    <row r="38" spans="2:37" x14ac:dyDescent="0.25">
      <c r="B38" s="19" t="s">
        <v>126</v>
      </c>
      <c r="C38" s="19">
        <v>0</v>
      </c>
      <c r="D38" s="57" t="s">
        <v>97</v>
      </c>
      <c r="N38" s="53"/>
      <c r="R38" s="13" t="str">
        <f t="shared" si="19"/>
        <v>DagrenInst</v>
      </c>
      <c r="S38" s="13" t="s">
        <v>77</v>
      </c>
      <c r="T38" s="22">
        <f t="shared" si="15"/>
        <v>650</v>
      </c>
      <c r="U38" s="22">
        <f t="shared" si="14"/>
        <v>0</v>
      </c>
      <c r="V38" s="22">
        <f t="shared" si="14"/>
        <v>650</v>
      </c>
      <c r="W38" s="22">
        <f t="shared" si="14"/>
        <v>650</v>
      </c>
      <c r="X38" s="22">
        <f t="shared" si="14"/>
        <v>650</v>
      </c>
      <c r="Y38" s="22">
        <f t="shared" si="14"/>
        <v>650</v>
      </c>
      <c r="Z38" s="22">
        <f t="shared" si="14"/>
        <v>650</v>
      </c>
      <c r="AA38" s="22">
        <f t="shared" si="14"/>
        <v>650</v>
      </c>
      <c r="AB38" s="22">
        <f t="shared" si="14"/>
        <v>650</v>
      </c>
      <c r="AC38" s="22">
        <f t="shared" si="14"/>
        <v>650</v>
      </c>
      <c r="AD38" s="22">
        <f t="shared" si="14"/>
        <v>650</v>
      </c>
      <c r="AE38" s="22">
        <f t="shared" si="14"/>
        <v>650</v>
      </c>
      <c r="AF38" s="13"/>
      <c r="AG38" s="27">
        <f t="shared" si="20"/>
        <v>7150</v>
      </c>
      <c r="AH38" s="9" t="s">
        <v>97</v>
      </c>
      <c r="AI38" s="46" t="b">
        <f t="shared" si="16"/>
        <v>0</v>
      </c>
      <c r="AJ38" s="46" t="b">
        <f t="shared" si="17"/>
        <v>0</v>
      </c>
      <c r="AK38" s="46" t="b">
        <f t="shared" si="18"/>
        <v>1</v>
      </c>
    </row>
    <row r="39" spans="2:37" x14ac:dyDescent="0.25">
      <c r="B39" s="19" t="s">
        <v>127</v>
      </c>
      <c r="C39" s="19">
        <v>1</v>
      </c>
      <c r="D39" s="57" t="s">
        <v>100</v>
      </c>
      <c r="N39" s="53"/>
      <c r="R39" s="13" t="str">
        <f t="shared" si="19"/>
        <v>DagrenHandel</v>
      </c>
      <c r="S39" s="13" t="s">
        <v>77</v>
      </c>
      <c r="T39" s="22">
        <f t="shared" si="15"/>
        <v>0</v>
      </c>
      <c r="U39" s="22">
        <f t="shared" si="14"/>
        <v>0</v>
      </c>
      <c r="V39" s="22">
        <f t="shared" si="14"/>
        <v>0</v>
      </c>
      <c r="W39" s="22">
        <f t="shared" si="14"/>
        <v>0</v>
      </c>
      <c r="X39" s="22">
        <f t="shared" si="14"/>
        <v>0</v>
      </c>
      <c r="Y39" s="22">
        <f t="shared" si="14"/>
        <v>0</v>
      </c>
      <c r="Z39" s="22">
        <f t="shared" si="14"/>
        <v>0</v>
      </c>
      <c r="AA39" s="22">
        <f t="shared" si="14"/>
        <v>0</v>
      </c>
      <c r="AB39" s="22">
        <f t="shared" si="14"/>
        <v>0</v>
      </c>
      <c r="AC39" s="22">
        <f t="shared" si="14"/>
        <v>0</v>
      </c>
      <c r="AD39" s="22">
        <f t="shared" si="14"/>
        <v>0</v>
      </c>
      <c r="AE39" s="22">
        <f t="shared" si="14"/>
        <v>0</v>
      </c>
      <c r="AF39" s="13"/>
      <c r="AG39" s="27">
        <f t="shared" si="20"/>
        <v>0</v>
      </c>
      <c r="AH39" s="9" t="s">
        <v>97</v>
      </c>
      <c r="AI39" s="46" t="b">
        <f t="shared" si="16"/>
        <v>0</v>
      </c>
      <c r="AJ39" s="46" t="b">
        <f t="shared" si="17"/>
        <v>0</v>
      </c>
      <c r="AK39" s="46" t="b">
        <f t="shared" si="18"/>
        <v>1</v>
      </c>
    </row>
    <row r="40" spans="2:37" x14ac:dyDescent="0.25">
      <c r="N40" s="53"/>
      <c r="R40" s="13" t="str">
        <f t="shared" si="19"/>
        <v>DagrenRestau</v>
      </c>
      <c r="S40" s="13" t="s">
        <v>77</v>
      </c>
      <c r="T40" s="22">
        <f t="shared" si="15"/>
        <v>0</v>
      </c>
      <c r="U40" s="22">
        <f t="shared" si="14"/>
        <v>0</v>
      </c>
      <c r="V40" s="22">
        <f t="shared" si="14"/>
        <v>0</v>
      </c>
      <c r="W40" s="22">
        <f t="shared" si="14"/>
        <v>0</v>
      </c>
      <c r="X40" s="22">
        <f t="shared" si="14"/>
        <v>0</v>
      </c>
      <c r="Y40" s="22">
        <f t="shared" si="14"/>
        <v>0</v>
      </c>
      <c r="Z40" s="22">
        <f t="shared" si="14"/>
        <v>0</v>
      </c>
      <c r="AA40" s="22">
        <f t="shared" si="14"/>
        <v>0</v>
      </c>
      <c r="AB40" s="22">
        <f t="shared" si="14"/>
        <v>0</v>
      </c>
      <c r="AC40" s="22">
        <f t="shared" si="14"/>
        <v>0</v>
      </c>
      <c r="AD40" s="22">
        <f t="shared" si="14"/>
        <v>0</v>
      </c>
      <c r="AE40" s="22">
        <f t="shared" si="14"/>
        <v>0</v>
      </c>
      <c r="AF40" s="13"/>
      <c r="AG40" s="27">
        <f t="shared" si="20"/>
        <v>0</v>
      </c>
      <c r="AH40" s="9" t="s">
        <v>97</v>
      </c>
      <c r="AI40" s="46" t="b">
        <f t="shared" si="16"/>
        <v>0</v>
      </c>
      <c r="AJ40" s="46" t="b">
        <f t="shared" si="17"/>
        <v>0</v>
      </c>
      <c r="AK40" s="46" t="b">
        <f t="shared" si="18"/>
        <v>1</v>
      </c>
    </row>
    <row r="41" spans="2:37" x14ac:dyDescent="0.25">
      <c r="B41" s="55" t="s">
        <v>133</v>
      </c>
      <c r="C41" s="55"/>
      <c r="D41" s="55"/>
      <c r="G41" s="58"/>
      <c r="H41" s="58"/>
      <c r="I41" s="58"/>
      <c r="J41" s="58"/>
      <c r="N41" s="53"/>
      <c r="R41" s="13" t="str">
        <f t="shared" si="19"/>
        <v>Erhverv</v>
      </c>
      <c r="S41" s="13" t="s">
        <v>77</v>
      </c>
      <c r="T41" s="22">
        <f t="shared" si="15"/>
        <v>0</v>
      </c>
      <c r="U41" s="22">
        <f t="shared" si="14"/>
        <v>0</v>
      </c>
      <c r="V41" s="22">
        <f t="shared" si="14"/>
        <v>0</v>
      </c>
      <c r="W41" s="22">
        <f t="shared" si="14"/>
        <v>0</v>
      </c>
      <c r="X41" s="22">
        <f t="shared" si="14"/>
        <v>0</v>
      </c>
      <c r="Y41" s="22">
        <f t="shared" si="14"/>
        <v>0</v>
      </c>
      <c r="Z41" s="22">
        <f t="shared" si="14"/>
        <v>0</v>
      </c>
      <c r="AA41" s="22">
        <f t="shared" si="14"/>
        <v>0</v>
      </c>
      <c r="AB41" s="22">
        <f t="shared" si="14"/>
        <v>0</v>
      </c>
      <c r="AC41" s="22">
        <f t="shared" si="14"/>
        <v>0</v>
      </c>
      <c r="AD41" s="22">
        <f t="shared" si="14"/>
        <v>0</v>
      </c>
      <c r="AE41" s="22">
        <f t="shared" si="14"/>
        <v>0</v>
      </c>
      <c r="AF41" s="13"/>
      <c r="AG41" s="27">
        <f t="shared" si="20"/>
        <v>0</v>
      </c>
      <c r="AH41" s="9" t="s">
        <v>97</v>
      </c>
      <c r="AI41" s="46" t="b">
        <f t="shared" si="16"/>
        <v>1</v>
      </c>
      <c r="AJ41" s="46" t="b">
        <f t="shared" si="17"/>
        <v>0</v>
      </c>
      <c r="AK41" s="46" t="b">
        <f t="shared" si="18"/>
        <v>1</v>
      </c>
    </row>
    <row r="42" spans="2:37" x14ac:dyDescent="0.25">
      <c r="B42" s="19" t="s">
        <v>134</v>
      </c>
      <c r="C42" s="19">
        <v>8.5</v>
      </c>
      <c r="D42" s="19" t="s">
        <v>81</v>
      </c>
      <c r="E42" s="19"/>
      <c r="F42" s="58"/>
      <c r="G42" s="58"/>
      <c r="H42" s="58"/>
      <c r="I42" s="58"/>
      <c r="J42" s="58"/>
      <c r="N42" s="53"/>
      <c r="R42" s="13" t="str">
        <f t="shared" si="19"/>
        <v>DagrenErhverv</v>
      </c>
      <c r="S42" s="13" t="s">
        <v>77</v>
      </c>
      <c r="T42" s="22">
        <f t="shared" si="15"/>
        <v>41.666666666666664</v>
      </c>
      <c r="U42" s="22">
        <f t="shared" si="14"/>
        <v>0</v>
      </c>
      <c r="V42" s="22">
        <f t="shared" si="14"/>
        <v>41.666666666666664</v>
      </c>
      <c r="W42" s="22">
        <f t="shared" si="14"/>
        <v>41.666666666666664</v>
      </c>
      <c r="X42" s="22">
        <f t="shared" si="14"/>
        <v>41.666666666666664</v>
      </c>
      <c r="Y42" s="22">
        <f t="shared" si="14"/>
        <v>41.666666666666664</v>
      </c>
      <c r="Z42" s="22">
        <f t="shared" si="14"/>
        <v>41.666666666666664</v>
      </c>
      <c r="AA42" s="22">
        <f t="shared" si="14"/>
        <v>41.666666666666664</v>
      </c>
      <c r="AB42" s="22">
        <f t="shared" si="14"/>
        <v>41.666666666666664</v>
      </c>
      <c r="AC42" s="22">
        <f t="shared" si="14"/>
        <v>41.666666666666664</v>
      </c>
      <c r="AD42" s="22">
        <f t="shared" si="14"/>
        <v>41.666666666666664</v>
      </c>
      <c r="AE42" s="22">
        <f t="shared" si="14"/>
        <v>41.666666666666664</v>
      </c>
      <c r="AF42" s="13"/>
      <c r="AG42" s="27">
        <f t="shared" si="20"/>
        <v>458.33333333333337</v>
      </c>
      <c r="AH42" s="9" t="s">
        <v>97</v>
      </c>
      <c r="AI42" s="46" t="b">
        <f t="shared" si="16"/>
        <v>0</v>
      </c>
      <c r="AJ42" s="46" t="b">
        <f t="shared" si="17"/>
        <v>0</v>
      </c>
      <c r="AK42" s="46" t="b">
        <f t="shared" si="18"/>
        <v>1</v>
      </c>
    </row>
    <row r="43" spans="2:37" x14ac:dyDescent="0.25">
      <c r="B43" s="58"/>
      <c r="C43" s="58"/>
      <c r="D43" s="58"/>
      <c r="E43" s="58"/>
      <c r="F43" s="58"/>
      <c r="G43" s="58"/>
      <c r="H43" s="58"/>
      <c r="I43" s="58"/>
      <c r="J43" s="58"/>
      <c r="N43" s="53"/>
      <c r="R43" s="13" t="str">
        <f t="shared" si="19"/>
        <v>HandelKontor</v>
      </c>
      <c r="S43" s="13" t="s">
        <v>77</v>
      </c>
      <c r="T43" s="22">
        <f t="shared" si="15"/>
        <v>0</v>
      </c>
      <c r="U43" s="22">
        <f t="shared" si="14"/>
        <v>0</v>
      </c>
      <c r="V43" s="22">
        <f t="shared" si="14"/>
        <v>0</v>
      </c>
      <c r="W43" s="22">
        <f t="shared" si="14"/>
        <v>0</v>
      </c>
      <c r="X43" s="22">
        <f t="shared" si="14"/>
        <v>0</v>
      </c>
      <c r="Y43" s="22">
        <f t="shared" si="14"/>
        <v>0</v>
      </c>
      <c r="Z43" s="22">
        <f t="shared" si="14"/>
        <v>0</v>
      </c>
      <c r="AA43" s="22">
        <f t="shared" si="14"/>
        <v>0</v>
      </c>
      <c r="AB43" s="22">
        <f t="shared" si="14"/>
        <v>0</v>
      </c>
      <c r="AC43" s="22">
        <f t="shared" si="14"/>
        <v>0</v>
      </c>
      <c r="AD43" s="22">
        <f t="shared" si="14"/>
        <v>0</v>
      </c>
      <c r="AE43" s="22">
        <f t="shared" si="14"/>
        <v>0</v>
      </c>
      <c r="AF43" s="13"/>
      <c r="AG43" s="27">
        <f t="shared" si="20"/>
        <v>0</v>
      </c>
      <c r="AH43" s="9" t="s">
        <v>97</v>
      </c>
      <c r="AI43" s="46" t="b">
        <f t="shared" si="16"/>
        <v>0</v>
      </c>
      <c r="AJ43" s="46" t="b">
        <f t="shared" si="17"/>
        <v>0</v>
      </c>
      <c r="AK43" s="46" t="b">
        <f t="shared" si="18"/>
        <v>1</v>
      </c>
    </row>
    <row r="44" spans="2:37" x14ac:dyDescent="0.25">
      <c r="B44" s="58"/>
      <c r="C44" s="58"/>
      <c r="D44" s="58"/>
      <c r="E44" s="58"/>
      <c r="F44" s="58"/>
      <c r="G44" s="58"/>
      <c r="H44" s="58"/>
      <c r="I44" s="58"/>
      <c r="J44" s="58"/>
      <c r="N44" s="53"/>
      <c r="R44" s="13" t="str">
        <f t="shared" si="19"/>
        <v>Privat</v>
      </c>
      <c r="S44" s="13" t="s">
        <v>77</v>
      </c>
      <c r="T44" s="22">
        <f t="shared" si="15"/>
        <v>0</v>
      </c>
      <c r="U44" s="22">
        <f t="shared" si="14"/>
        <v>0</v>
      </c>
      <c r="V44" s="22">
        <f t="shared" si="14"/>
        <v>0</v>
      </c>
      <c r="W44" s="22">
        <f t="shared" si="14"/>
        <v>0</v>
      </c>
      <c r="X44" s="22">
        <f t="shared" si="14"/>
        <v>0</v>
      </c>
      <c r="Y44" s="22">
        <f t="shared" si="14"/>
        <v>0</v>
      </c>
      <c r="Z44" s="22">
        <f t="shared" si="14"/>
        <v>0</v>
      </c>
      <c r="AA44" s="22">
        <f t="shared" si="14"/>
        <v>0</v>
      </c>
      <c r="AB44" s="22">
        <f t="shared" si="14"/>
        <v>0</v>
      </c>
      <c r="AC44" s="22">
        <f t="shared" si="14"/>
        <v>0</v>
      </c>
      <c r="AD44" s="22">
        <f t="shared" si="14"/>
        <v>0</v>
      </c>
      <c r="AE44" s="22">
        <f t="shared" si="14"/>
        <v>0</v>
      </c>
      <c r="AF44" s="13"/>
      <c r="AG44" s="27">
        <f t="shared" si="20"/>
        <v>0</v>
      </c>
      <c r="AH44" s="9" t="s">
        <v>97</v>
      </c>
      <c r="AI44" s="46" t="b">
        <f t="shared" si="16"/>
        <v>0</v>
      </c>
      <c r="AJ44" s="46" t="b">
        <f t="shared" si="17"/>
        <v>0</v>
      </c>
      <c r="AK44" s="46" t="b">
        <f t="shared" si="18"/>
        <v>1</v>
      </c>
    </row>
    <row r="45" spans="2:37" x14ac:dyDescent="0.25">
      <c r="B45" s="58"/>
      <c r="C45" s="58"/>
      <c r="D45" s="58"/>
      <c r="E45" s="58"/>
      <c r="F45" s="58"/>
      <c r="G45" s="58"/>
      <c r="H45" s="58"/>
      <c r="I45" s="58"/>
      <c r="J45" s="58"/>
      <c r="N45" s="53"/>
      <c r="R45" s="13" t="str">
        <f t="shared" si="19"/>
        <v>TyskRest</v>
      </c>
      <c r="S45" s="13" t="s">
        <v>77</v>
      </c>
      <c r="T45" s="22">
        <f t="shared" si="15"/>
        <v>3333.3333333333335</v>
      </c>
      <c r="U45" s="22">
        <f t="shared" si="14"/>
        <v>0</v>
      </c>
      <c r="V45" s="22">
        <f t="shared" si="14"/>
        <v>3333.3333333333335</v>
      </c>
      <c r="W45" s="22">
        <f t="shared" si="14"/>
        <v>3333.3333333333335</v>
      </c>
      <c r="X45" s="22">
        <f t="shared" si="14"/>
        <v>3333.3333333333335</v>
      </c>
      <c r="Y45" s="22">
        <f t="shared" si="14"/>
        <v>3333.3333333333335</v>
      </c>
      <c r="Z45" s="22">
        <f t="shared" si="14"/>
        <v>3333.3333333333335</v>
      </c>
      <c r="AA45" s="22">
        <f t="shared" si="14"/>
        <v>3333.3333333333335</v>
      </c>
      <c r="AB45" s="22">
        <f t="shared" si="14"/>
        <v>3333.3333333333335</v>
      </c>
      <c r="AC45" s="22">
        <f t="shared" si="14"/>
        <v>3333.3333333333335</v>
      </c>
      <c r="AD45" s="22">
        <f t="shared" si="14"/>
        <v>3333.3333333333335</v>
      </c>
      <c r="AE45" s="22">
        <f t="shared" si="14"/>
        <v>3333.3333333333335</v>
      </c>
      <c r="AF45" s="13"/>
      <c r="AG45" s="27">
        <f t="shared" si="20"/>
        <v>36666.666666666664</v>
      </c>
      <c r="AH45" s="9" t="s">
        <v>97</v>
      </c>
      <c r="AI45" s="46" t="b">
        <f t="shared" si="16"/>
        <v>0</v>
      </c>
      <c r="AJ45" s="46" t="b">
        <f t="shared" si="17"/>
        <v>0</v>
      </c>
      <c r="AK45" s="46" t="b">
        <f t="shared" si="18"/>
        <v>1</v>
      </c>
    </row>
    <row r="46" spans="2:37" x14ac:dyDescent="0.25">
      <c r="B46" s="58"/>
      <c r="C46" s="58"/>
      <c r="D46" s="58"/>
      <c r="E46" s="58"/>
      <c r="F46" s="58"/>
      <c r="G46" s="58"/>
      <c r="H46" s="58"/>
      <c r="I46" s="58"/>
      <c r="J46" s="58"/>
      <c r="N46" s="53"/>
      <c r="R46" s="13" t="str">
        <f t="shared" si="19"/>
        <v>PolskRest</v>
      </c>
      <c r="S46" s="13" t="s">
        <v>77</v>
      </c>
      <c r="T46" s="22">
        <f t="shared" si="15"/>
        <v>166.66666666666666</v>
      </c>
      <c r="U46" s="22">
        <f t="shared" si="14"/>
        <v>0</v>
      </c>
      <c r="V46" s="22">
        <f t="shared" si="14"/>
        <v>166.66666666666666</v>
      </c>
      <c r="W46" s="22">
        <f t="shared" si="14"/>
        <v>166.66666666666666</v>
      </c>
      <c r="X46" s="22">
        <f t="shared" si="14"/>
        <v>166.66666666666666</v>
      </c>
      <c r="Y46" s="22">
        <f t="shared" si="14"/>
        <v>166.66666666666666</v>
      </c>
      <c r="Z46" s="22">
        <f t="shared" si="14"/>
        <v>166.66666666666666</v>
      </c>
      <c r="AA46" s="22">
        <f t="shared" si="14"/>
        <v>166.66666666666666</v>
      </c>
      <c r="AB46" s="22">
        <f t="shared" si="14"/>
        <v>166.66666666666666</v>
      </c>
      <c r="AC46" s="22">
        <f t="shared" si="14"/>
        <v>166.66666666666666</v>
      </c>
      <c r="AD46" s="22">
        <f t="shared" si="14"/>
        <v>166.66666666666666</v>
      </c>
      <c r="AE46" s="22">
        <f t="shared" si="14"/>
        <v>166.66666666666666</v>
      </c>
      <c r="AF46" s="13"/>
      <c r="AG46" s="27">
        <f t="shared" si="20"/>
        <v>1833.3333333333335</v>
      </c>
      <c r="AH46" s="9" t="s">
        <v>97</v>
      </c>
      <c r="AI46" s="46" t="b">
        <f t="shared" si="16"/>
        <v>0</v>
      </c>
      <c r="AJ46" s="46" t="b">
        <f t="shared" si="17"/>
        <v>0</v>
      </c>
      <c r="AK46" s="46" t="b">
        <f t="shared" si="18"/>
        <v>1</v>
      </c>
    </row>
    <row r="47" spans="2:37" x14ac:dyDescent="0.25">
      <c r="B47" s="58"/>
      <c r="C47" s="58"/>
      <c r="D47" s="58"/>
      <c r="E47" s="58"/>
      <c r="F47" s="58"/>
      <c r="G47" s="58"/>
      <c r="H47" s="58"/>
      <c r="I47" s="58"/>
      <c r="J47" s="58"/>
      <c r="N47" s="53"/>
      <c r="R47" s="13" t="str">
        <f t="shared" si="19"/>
        <v>PcbTrae</v>
      </c>
      <c r="S47" s="13" t="s">
        <v>77</v>
      </c>
      <c r="T47" s="22">
        <f t="shared" si="15"/>
        <v>0</v>
      </c>
      <c r="U47" s="22">
        <f t="shared" ref="U47:U56" si="21">IF(AND(NOT($AI47),NOT(AK47)),$I21/12,0)</f>
        <v>0</v>
      </c>
      <c r="V47" s="22">
        <f t="shared" ref="V47:V56" si="22">IF(AND(NOT($AI47),NOT(AL47)),$I21/12,0)</f>
        <v>0</v>
      </c>
      <c r="W47" s="22">
        <f t="shared" ref="W47:W56" si="23">IF(AND(NOT($AI47),NOT(AM47)),$I21/12,0)</f>
        <v>0</v>
      </c>
      <c r="X47" s="22">
        <f t="shared" ref="X47:X56" si="24">IF(AND(NOT($AI47),NOT(AN47)),$I21/12,0)</f>
        <v>0</v>
      </c>
      <c r="Y47" s="22">
        <f t="shared" ref="Y47:Y56" si="25">IF(AND(NOT($AI47),NOT(AO47)),$I21/12,0)</f>
        <v>0</v>
      </c>
      <c r="Z47" s="22">
        <f t="shared" ref="Z47:Z56" si="26">IF(AND(NOT($AI47),NOT(AP47)),$I21/12,0)</f>
        <v>0</v>
      </c>
      <c r="AA47" s="22">
        <f t="shared" ref="AA47:AA56" si="27">IF(AND(NOT($AI47),NOT(AQ47)),$I21/12,0)</f>
        <v>0</v>
      </c>
      <c r="AB47" s="22">
        <f t="shared" ref="AB47:AB56" si="28">IF(AND(NOT($AI47),NOT(AR47)),$I21/12,0)</f>
        <v>0</v>
      </c>
      <c r="AC47" s="22">
        <f t="shared" ref="AC47:AC56" si="29">IF(AND(NOT($AI47),NOT(AS47)),$I21/12,0)</f>
        <v>0</v>
      </c>
      <c r="AD47" s="22">
        <f t="shared" ref="AD47:AD56" si="30">IF(AND(NOT($AI47),NOT(AT47)),$I21/12,0)</f>
        <v>0</v>
      </c>
      <c r="AE47" s="22">
        <f t="shared" ref="AE47:AE56" si="31">IF(AND(NOT($AI47),NOT(AU47)),$I21/12,0)</f>
        <v>0</v>
      </c>
      <c r="AF47" s="13"/>
      <c r="AG47" s="27">
        <f t="shared" si="20"/>
        <v>0</v>
      </c>
      <c r="AH47" s="9" t="s">
        <v>97</v>
      </c>
      <c r="AI47" s="46" t="b">
        <f t="shared" si="16"/>
        <v>1</v>
      </c>
      <c r="AJ47" s="46" t="b">
        <f t="shared" si="17"/>
        <v>0</v>
      </c>
      <c r="AK47" s="46" t="b">
        <f t="shared" si="18"/>
        <v>1</v>
      </c>
    </row>
    <row r="48" spans="2:37" x14ac:dyDescent="0.25">
      <c r="N48" s="53"/>
      <c r="R48" s="13" t="str">
        <f t="shared" si="19"/>
        <v>TraeRekv</v>
      </c>
      <c r="S48" s="13" t="s">
        <v>77</v>
      </c>
      <c r="T48" s="22">
        <f t="shared" si="15"/>
        <v>0</v>
      </c>
      <c r="U48" s="22">
        <f t="shared" si="21"/>
        <v>0</v>
      </c>
      <c r="V48" s="22">
        <f t="shared" si="22"/>
        <v>0</v>
      </c>
      <c r="W48" s="22">
        <f t="shared" si="23"/>
        <v>0</v>
      </c>
      <c r="X48" s="22">
        <f t="shared" si="24"/>
        <v>0</v>
      </c>
      <c r="Y48" s="22">
        <f t="shared" si="25"/>
        <v>0</v>
      </c>
      <c r="Z48" s="22">
        <f t="shared" si="26"/>
        <v>0</v>
      </c>
      <c r="AA48" s="22">
        <f t="shared" si="27"/>
        <v>0</v>
      </c>
      <c r="AB48" s="22">
        <f t="shared" si="28"/>
        <v>0</v>
      </c>
      <c r="AC48" s="22">
        <f t="shared" si="29"/>
        <v>0</v>
      </c>
      <c r="AD48" s="22">
        <f t="shared" si="30"/>
        <v>0</v>
      </c>
      <c r="AE48" s="22">
        <f t="shared" si="31"/>
        <v>0</v>
      </c>
      <c r="AF48" s="13"/>
      <c r="AG48" s="27">
        <f t="shared" si="20"/>
        <v>0</v>
      </c>
      <c r="AH48" s="9" t="s">
        <v>97</v>
      </c>
      <c r="AI48" s="46" t="b">
        <f t="shared" si="16"/>
        <v>1</v>
      </c>
      <c r="AJ48" s="46" t="b">
        <f t="shared" si="17"/>
        <v>0</v>
      </c>
      <c r="AK48" s="46" t="b">
        <f t="shared" si="18"/>
        <v>1</v>
      </c>
    </row>
    <row r="49" spans="14:37" x14ac:dyDescent="0.25">
      <c r="N49" s="53"/>
      <c r="R49" s="13" t="str">
        <f t="shared" si="19"/>
        <v>Halm</v>
      </c>
      <c r="S49" s="13" t="s">
        <v>77</v>
      </c>
      <c r="T49" s="22">
        <f t="shared" si="15"/>
        <v>0</v>
      </c>
      <c r="U49" s="22">
        <f t="shared" si="21"/>
        <v>0</v>
      </c>
      <c r="V49" s="22">
        <f t="shared" si="22"/>
        <v>0</v>
      </c>
      <c r="W49" s="22">
        <f t="shared" si="23"/>
        <v>0</v>
      </c>
      <c r="X49" s="22">
        <f t="shared" si="24"/>
        <v>0</v>
      </c>
      <c r="Y49" s="22">
        <f t="shared" si="25"/>
        <v>0</v>
      </c>
      <c r="Z49" s="22">
        <f t="shared" si="26"/>
        <v>0</v>
      </c>
      <c r="AA49" s="22">
        <f t="shared" si="27"/>
        <v>0</v>
      </c>
      <c r="AB49" s="22">
        <f t="shared" si="28"/>
        <v>0</v>
      </c>
      <c r="AC49" s="22">
        <f t="shared" si="29"/>
        <v>0</v>
      </c>
      <c r="AD49" s="22">
        <f t="shared" si="30"/>
        <v>0</v>
      </c>
      <c r="AE49" s="22">
        <f t="shared" si="31"/>
        <v>0</v>
      </c>
      <c r="AF49" s="13"/>
      <c r="AG49" s="27">
        <f t="shared" si="20"/>
        <v>0</v>
      </c>
      <c r="AH49" s="9" t="s">
        <v>97</v>
      </c>
      <c r="AI49" s="46" t="b">
        <f t="shared" si="16"/>
        <v>0</v>
      </c>
      <c r="AJ49" s="46" t="b">
        <f t="shared" si="17"/>
        <v>0</v>
      </c>
      <c r="AK49" s="46" t="b">
        <f t="shared" si="18"/>
        <v>1</v>
      </c>
    </row>
    <row r="50" spans="14:37" x14ac:dyDescent="0.25">
      <c r="N50" s="53"/>
      <c r="R50" s="13" t="str">
        <f t="shared" si="19"/>
        <v>Pulver</v>
      </c>
      <c r="S50" s="13" t="s">
        <v>77</v>
      </c>
      <c r="T50" s="22">
        <f t="shared" si="15"/>
        <v>10</v>
      </c>
      <c r="U50" s="22">
        <f t="shared" si="21"/>
        <v>0</v>
      </c>
      <c r="V50" s="22">
        <f t="shared" si="22"/>
        <v>10</v>
      </c>
      <c r="W50" s="22">
        <f t="shared" si="23"/>
        <v>10</v>
      </c>
      <c r="X50" s="22">
        <f t="shared" si="24"/>
        <v>10</v>
      </c>
      <c r="Y50" s="22">
        <f t="shared" si="25"/>
        <v>10</v>
      </c>
      <c r="Z50" s="22">
        <f t="shared" si="26"/>
        <v>10</v>
      </c>
      <c r="AA50" s="22">
        <f t="shared" si="27"/>
        <v>10</v>
      </c>
      <c r="AB50" s="22">
        <f t="shared" si="28"/>
        <v>10</v>
      </c>
      <c r="AC50" s="22">
        <f t="shared" si="29"/>
        <v>10</v>
      </c>
      <c r="AD50" s="22">
        <f t="shared" si="30"/>
        <v>10</v>
      </c>
      <c r="AE50" s="22">
        <f t="shared" si="31"/>
        <v>10</v>
      </c>
      <c r="AF50" s="13"/>
      <c r="AG50" s="27">
        <f t="shared" si="20"/>
        <v>110</v>
      </c>
      <c r="AH50" s="9" t="s">
        <v>97</v>
      </c>
      <c r="AI50" s="46" t="b">
        <f t="shared" si="16"/>
        <v>0</v>
      </c>
      <c r="AJ50" s="46" t="b">
        <f t="shared" si="17"/>
        <v>0</v>
      </c>
      <c r="AK50" s="46" t="b">
        <f t="shared" si="18"/>
        <v>1</v>
      </c>
    </row>
    <row r="51" spans="14:37" x14ac:dyDescent="0.25">
      <c r="N51" s="53"/>
      <c r="R51" s="13" t="str">
        <f t="shared" si="19"/>
        <v>FlisAffald</v>
      </c>
      <c r="S51" s="13" t="s">
        <v>77</v>
      </c>
      <c r="T51" s="22">
        <f t="shared" si="15"/>
        <v>0</v>
      </c>
      <c r="U51" s="22">
        <f t="shared" si="21"/>
        <v>0</v>
      </c>
      <c r="V51" s="22">
        <f t="shared" si="22"/>
        <v>0</v>
      </c>
      <c r="W51" s="22">
        <f t="shared" si="23"/>
        <v>0</v>
      </c>
      <c r="X51" s="22">
        <f t="shared" si="24"/>
        <v>0</v>
      </c>
      <c r="Y51" s="22">
        <f t="shared" si="25"/>
        <v>0</v>
      </c>
      <c r="Z51" s="22">
        <f t="shared" si="26"/>
        <v>0</v>
      </c>
      <c r="AA51" s="22">
        <f t="shared" si="27"/>
        <v>0</v>
      </c>
      <c r="AB51" s="22">
        <f t="shared" si="28"/>
        <v>0</v>
      </c>
      <c r="AC51" s="22">
        <f t="shared" si="29"/>
        <v>0</v>
      </c>
      <c r="AD51" s="22">
        <f t="shared" si="30"/>
        <v>0</v>
      </c>
      <c r="AE51" s="22">
        <f t="shared" si="31"/>
        <v>0</v>
      </c>
      <c r="AF51" s="13"/>
      <c r="AG51" s="27">
        <f t="shared" si="20"/>
        <v>0</v>
      </c>
      <c r="AH51" s="9" t="s">
        <v>97</v>
      </c>
      <c r="AI51" s="46" t="b">
        <f t="shared" si="16"/>
        <v>1</v>
      </c>
      <c r="AJ51" s="46" t="b">
        <f t="shared" si="17"/>
        <v>0</v>
      </c>
      <c r="AK51" s="46" t="b">
        <f t="shared" si="18"/>
        <v>1</v>
      </c>
    </row>
    <row r="52" spans="14:37" x14ac:dyDescent="0.25">
      <c r="N52" s="53"/>
      <c r="Q52" s="35"/>
      <c r="R52" s="13" t="str">
        <f t="shared" si="19"/>
        <v>NyAff1</v>
      </c>
      <c r="S52" s="13" t="s">
        <v>77</v>
      </c>
      <c r="T52" s="22">
        <f t="shared" si="15"/>
        <v>0</v>
      </c>
      <c r="U52" s="22">
        <f t="shared" si="21"/>
        <v>0</v>
      </c>
      <c r="V52" s="22">
        <f t="shared" si="22"/>
        <v>0</v>
      </c>
      <c r="W52" s="22">
        <f t="shared" si="23"/>
        <v>0</v>
      </c>
      <c r="X52" s="22">
        <f t="shared" si="24"/>
        <v>0</v>
      </c>
      <c r="Y52" s="22">
        <f t="shared" si="25"/>
        <v>0</v>
      </c>
      <c r="Z52" s="22">
        <f t="shared" si="26"/>
        <v>0</v>
      </c>
      <c r="AA52" s="22">
        <f t="shared" si="27"/>
        <v>0</v>
      </c>
      <c r="AB52" s="22">
        <f t="shared" si="28"/>
        <v>0</v>
      </c>
      <c r="AC52" s="22">
        <f t="shared" si="29"/>
        <v>0</v>
      </c>
      <c r="AD52" s="22">
        <f t="shared" si="30"/>
        <v>0</v>
      </c>
      <c r="AE52" s="22">
        <f t="shared" si="31"/>
        <v>0</v>
      </c>
      <c r="AF52" s="13"/>
      <c r="AG52" s="27">
        <f t="shared" si="20"/>
        <v>0</v>
      </c>
      <c r="AH52" s="9" t="s">
        <v>97</v>
      </c>
      <c r="AI52" s="46" t="b">
        <f t="shared" si="16"/>
        <v>0</v>
      </c>
      <c r="AJ52" s="46" t="b">
        <f t="shared" si="17"/>
        <v>1</v>
      </c>
      <c r="AK52" s="46" t="b">
        <f t="shared" si="18"/>
        <v>1</v>
      </c>
    </row>
    <row r="53" spans="14:37" x14ac:dyDescent="0.25">
      <c r="N53" s="53"/>
      <c r="Q53" s="35"/>
      <c r="R53" s="13" t="str">
        <f t="shared" si="19"/>
        <v>NyAff2</v>
      </c>
      <c r="S53" s="13" t="s">
        <v>77</v>
      </c>
      <c r="T53" s="22">
        <f t="shared" si="15"/>
        <v>0</v>
      </c>
      <c r="U53" s="22">
        <f t="shared" si="21"/>
        <v>0</v>
      </c>
      <c r="V53" s="22">
        <f t="shared" si="22"/>
        <v>0</v>
      </c>
      <c r="W53" s="22">
        <f t="shared" si="23"/>
        <v>0</v>
      </c>
      <c r="X53" s="22">
        <f t="shared" si="24"/>
        <v>0</v>
      </c>
      <c r="Y53" s="22">
        <f t="shared" si="25"/>
        <v>0</v>
      </c>
      <c r="Z53" s="22">
        <f t="shared" si="26"/>
        <v>0</v>
      </c>
      <c r="AA53" s="22">
        <f t="shared" si="27"/>
        <v>0</v>
      </c>
      <c r="AB53" s="22">
        <f t="shared" si="28"/>
        <v>0</v>
      </c>
      <c r="AC53" s="22">
        <f t="shared" si="29"/>
        <v>0</v>
      </c>
      <c r="AD53" s="22">
        <f t="shared" si="30"/>
        <v>0</v>
      </c>
      <c r="AE53" s="22">
        <f t="shared" si="31"/>
        <v>0</v>
      </c>
      <c r="AF53" s="13"/>
      <c r="AG53" s="27">
        <f t="shared" si="20"/>
        <v>0</v>
      </c>
      <c r="AH53" s="9" t="s">
        <v>97</v>
      </c>
      <c r="AI53" s="46" t="b">
        <f t="shared" si="16"/>
        <v>0</v>
      </c>
      <c r="AJ53" s="46" t="b">
        <f t="shared" si="17"/>
        <v>1</v>
      </c>
      <c r="AK53" s="46" t="b">
        <f t="shared" si="18"/>
        <v>1</v>
      </c>
    </row>
    <row r="54" spans="14:37" x14ac:dyDescent="0.25">
      <c r="N54" s="53"/>
      <c r="Q54" s="35"/>
      <c r="R54" s="13" t="str">
        <f t="shared" si="19"/>
        <v>Flis</v>
      </c>
      <c r="S54" s="13" t="s">
        <v>77</v>
      </c>
      <c r="T54" s="22">
        <f t="shared" si="15"/>
        <v>0</v>
      </c>
      <c r="U54" s="22">
        <f t="shared" si="21"/>
        <v>0</v>
      </c>
      <c r="V54" s="22">
        <f t="shared" si="22"/>
        <v>0</v>
      </c>
      <c r="W54" s="22">
        <f t="shared" si="23"/>
        <v>0</v>
      </c>
      <c r="X54" s="22">
        <f t="shared" si="24"/>
        <v>0</v>
      </c>
      <c r="Y54" s="22">
        <f t="shared" si="25"/>
        <v>0</v>
      </c>
      <c r="Z54" s="22">
        <f t="shared" si="26"/>
        <v>0</v>
      </c>
      <c r="AA54" s="22">
        <f t="shared" si="27"/>
        <v>0</v>
      </c>
      <c r="AB54" s="22">
        <f t="shared" si="28"/>
        <v>0</v>
      </c>
      <c r="AC54" s="22">
        <f t="shared" si="29"/>
        <v>0</v>
      </c>
      <c r="AD54" s="22">
        <f t="shared" si="30"/>
        <v>0</v>
      </c>
      <c r="AE54" s="22">
        <f t="shared" si="31"/>
        <v>0</v>
      </c>
      <c r="AF54" s="13"/>
      <c r="AG54" s="27">
        <f t="shared" si="20"/>
        <v>0</v>
      </c>
      <c r="AH54" s="28" t="s">
        <v>97</v>
      </c>
      <c r="AI54" s="46" t="b">
        <f t="shared" si="16"/>
        <v>1</v>
      </c>
      <c r="AJ54" s="46" t="b">
        <f t="shared" si="17"/>
        <v>0</v>
      </c>
      <c r="AK54" s="46" t="b">
        <f t="shared" si="18"/>
        <v>0</v>
      </c>
    </row>
    <row r="55" spans="14:37" x14ac:dyDescent="0.25">
      <c r="N55" s="53"/>
      <c r="Q55" s="35"/>
      <c r="R55" s="13" t="str">
        <f t="shared" si="19"/>
        <v>NSvarme</v>
      </c>
      <c r="S55" s="13" t="s">
        <v>77</v>
      </c>
      <c r="T55" s="22">
        <f t="shared" si="15"/>
        <v>0</v>
      </c>
      <c r="U55" s="22">
        <f t="shared" si="21"/>
        <v>0</v>
      </c>
      <c r="V55" s="22">
        <f t="shared" si="22"/>
        <v>0</v>
      </c>
      <c r="W55" s="22">
        <f t="shared" si="23"/>
        <v>0</v>
      </c>
      <c r="X55" s="22">
        <f t="shared" si="24"/>
        <v>0</v>
      </c>
      <c r="Y55" s="22">
        <f t="shared" si="25"/>
        <v>0</v>
      </c>
      <c r="Z55" s="22">
        <f t="shared" si="26"/>
        <v>0</v>
      </c>
      <c r="AA55" s="22">
        <f t="shared" si="27"/>
        <v>0</v>
      </c>
      <c r="AB55" s="22">
        <f t="shared" si="28"/>
        <v>0</v>
      </c>
      <c r="AC55" s="22">
        <f t="shared" si="29"/>
        <v>0</v>
      </c>
      <c r="AD55" s="22">
        <f t="shared" si="30"/>
        <v>0</v>
      </c>
      <c r="AE55" s="22">
        <f t="shared" si="31"/>
        <v>0</v>
      </c>
      <c r="AF55" s="13"/>
      <c r="AG55" s="27">
        <f t="shared" si="20"/>
        <v>0</v>
      </c>
      <c r="AH55" s="2" t="s">
        <v>89</v>
      </c>
      <c r="AI55" s="46" t="b">
        <f t="shared" si="16"/>
        <v>0</v>
      </c>
      <c r="AJ55" s="46" t="b">
        <f t="shared" si="17"/>
        <v>0</v>
      </c>
      <c r="AK55" s="46" t="b">
        <f t="shared" si="18"/>
        <v>0</v>
      </c>
    </row>
    <row r="56" spans="14:37" x14ac:dyDescent="0.25">
      <c r="N56" s="53"/>
      <c r="Q56" s="35"/>
      <c r="R56" s="61" t="str">
        <f t="shared" si="19"/>
        <v>PeakFuel</v>
      </c>
      <c r="S56" s="61" t="s">
        <v>77</v>
      </c>
      <c r="T56" s="63">
        <f t="shared" si="15"/>
        <v>0</v>
      </c>
      <c r="U56" s="63">
        <f t="shared" si="21"/>
        <v>0</v>
      </c>
      <c r="V56" s="63">
        <f t="shared" si="22"/>
        <v>0</v>
      </c>
      <c r="W56" s="63">
        <f t="shared" si="23"/>
        <v>0</v>
      </c>
      <c r="X56" s="63">
        <f t="shared" si="24"/>
        <v>0</v>
      </c>
      <c r="Y56" s="63">
        <f t="shared" si="25"/>
        <v>0</v>
      </c>
      <c r="Z56" s="63">
        <f t="shared" si="26"/>
        <v>0</v>
      </c>
      <c r="AA56" s="63">
        <f t="shared" si="27"/>
        <v>0</v>
      </c>
      <c r="AB56" s="63">
        <f t="shared" si="28"/>
        <v>0</v>
      </c>
      <c r="AC56" s="63">
        <f t="shared" si="29"/>
        <v>0</v>
      </c>
      <c r="AD56" s="63">
        <f t="shared" si="30"/>
        <v>0</v>
      </c>
      <c r="AE56" s="63">
        <f t="shared" si="31"/>
        <v>0</v>
      </c>
      <c r="AF56" s="61"/>
      <c r="AG56" s="64">
        <f t="shared" si="20"/>
        <v>0</v>
      </c>
      <c r="AH56" s="28" t="s">
        <v>97</v>
      </c>
      <c r="AI56" s="46" t="b">
        <f t="shared" si="16"/>
        <v>1</v>
      </c>
      <c r="AJ56" s="46" t="b">
        <f t="shared" si="17"/>
        <v>0</v>
      </c>
      <c r="AK56" s="46" t="b">
        <f t="shared" si="18"/>
        <v>0</v>
      </c>
    </row>
    <row r="57" spans="14:37" x14ac:dyDescent="0.25">
      <c r="N57" s="53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47"/>
      <c r="AI57" s="15"/>
    </row>
  </sheetData>
  <conditionalFormatting sqref="K28:K30">
    <cfRule type="cellIs" dxfId="11" priority="18" operator="lessThan">
      <formula>0</formula>
    </cfRule>
  </conditionalFormatting>
  <conditionalFormatting sqref="N35:N54 N5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55:N5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H27 H29:H30">
    <cfRule type="cellIs" dxfId="10" priority="13" operator="notEqual">
      <formula>0</formula>
    </cfRule>
  </conditionalFormatting>
  <conditionalFormatting sqref="I29:J30">
    <cfRule type="cellIs" dxfId="9" priority="11" operator="greaterThan">
      <formula>0</formula>
    </cfRule>
  </conditionalFormatting>
  <conditionalFormatting sqref="I5:J27">
    <cfRule type="cellIs" dxfId="8" priority="9" operator="equal">
      <formula>0</formula>
    </cfRule>
  </conditionalFormatting>
  <conditionalFormatting sqref="D5:G27 D29:G30 D28:F28">
    <cfRule type="cellIs" dxfId="7" priority="8" operator="equal">
      <formula>0</formula>
    </cfRule>
  </conditionalFormatting>
  <conditionalFormatting sqref="H28">
    <cfRule type="cellIs" dxfId="6" priority="7" operator="notEqual">
      <formula>0</formula>
    </cfRule>
  </conditionalFormatting>
  <conditionalFormatting sqref="I28:J28">
    <cfRule type="cellIs" dxfId="5" priority="6" operator="greaterThan">
      <formula>0</formula>
    </cfRule>
  </conditionalFormatting>
  <conditionalFormatting sqref="G28">
    <cfRule type="cellIs" dxfId="4" priority="5" operator="equal">
      <formula>0</formula>
    </cfRule>
  </conditionalFormatting>
  <conditionalFormatting sqref="M5:M30">
    <cfRule type="cellIs" dxfId="3" priority="4" operator="equal">
      <formula>0</formula>
    </cfRule>
  </conditionalFormatting>
  <conditionalFormatting sqref="K5:K30">
    <cfRule type="cellIs" dxfId="2" priority="3" operator="lessThan">
      <formula>0</formula>
    </cfRule>
  </conditionalFormatting>
  <conditionalFormatting sqref="C5:C30">
    <cfRule type="expression" dxfId="1" priority="2">
      <formula>$D5&lt;&gt;0</formula>
    </cfRule>
  </conditionalFormatting>
  <conditionalFormatting sqref="G5:G30">
    <cfRule type="expression" dxfId="0" priority="1">
      <formula>$G5&lt;&gt;0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DataU</vt:lpstr>
      <vt:lpstr>Fuel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2021-09-15T05:38:31Z</dcterms:created>
  <dcterms:modified xsi:type="dcterms:W3CDTF">2021-10-11T15:25:18Z</dcterms:modified>
</cp:coreProperties>
</file>