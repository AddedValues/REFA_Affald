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890522F-CF83-428E-8ACC-00C26DC83569}" xr6:coauthVersionLast="47" xr6:coauthVersionMax="47" xr10:uidLastSave="{00000000-0000-0000-0000-000000000000}"/>
  <bookViews>
    <workbookView xWindow="1020" yWindow="-120" windowWidth="27900" windowHeight="18240" xr2:uid="{43F97B8D-A1C5-4A28-82B2-29FE10E7B610}"/>
  </bookViews>
  <sheets>
    <sheet name="Overblik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A47" i="1"/>
  <c r="A46" i="1"/>
  <c r="A45" i="1"/>
  <c r="A44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5" i="1"/>
  <c r="A54" i="1"/>
  <c r="A53" i="1"/>
  <c r="A52" i="1"/>
  <c r="A51" i="1"/>
  <c r="A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6E8AECF2-8A4B-430F-87C3-3BF9134E43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<sst xmlns="http://schemas.openxmlformats.org/spreadsheetml/2006/main" count="235" uniqueCount="91">
  <si>
    <t>Tidsstempel</t>
  </si>
  <si>
    <t>Periode</t>
  </si>
  <si>
    <t>tDKK</t>
  </si>
  <si>
    <t>Nøgletal</t>
  </si>
  <si>
    <t>Enhed</t>
  </si>
  <si>
    <t>MWhq</t>
  </si>
  <si>
    <t>FJV-behov</t>
  </si>
  <si>
    <t>DKK/MWhq</t>
  </si>
  <si>
    <t>Var-Varmeproduktions-Omk-Total</t>
  </si>
  <si>
    <t>Var-Varmeproduktions-Omk-REFA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</si>
  <si>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</si>
  <si>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</si>
  <si>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</si>
  <si>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</si>
  <si>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</si>
  <si>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</si>
  <si>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</si>
  <si>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</si>
  <si>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</si>
  <si>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</si>
  <si>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</si>
  <si>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</si>
  <si>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</si>
  <si>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</si>
  <si>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</si>
  <si>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</si>
  <si>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</si>
  <si>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</si>
  <si>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</si>
  <si>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</si>
  <si>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</si>
  <si>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</si>
  <si>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</si>
  <si>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</si>
  <si>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</si>
  <si>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</si>
  <si>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</si>
  <si>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</si>
  <si>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</si>
  <si>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</si>
  <si>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</si>
  <si>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</si>
  <si>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Varmemængder</t>
  </si>
  <si>
    <t>Ovn2</t>
  </si>
  <si>
    <t>Ovn3</t>
  </si>
  <si>
    <t>FlisK</t>
  </si>
  <si>
    <t>NS</t>
  </si>
  <si>
    <t>Cooler</t>
  </si>
  <si>
    <t>PeakK</t>
  </si>
  <si>
    <t>Brændselsforbrug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</si>
  <si>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</si>
  <si>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</si>
  <si>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</si>
  <si>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</si>
  <si>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</si>
  <si>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</si>
  <si>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</si>
  <si>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</si>
  <si>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</si>
  <si>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</si>
  <si>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</si>
  <si>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</si>
  <si>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</si>
  <si>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</si>
  <si>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</si>
  <si>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</si>
  <si>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</si>
  <si>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</si>
  <si>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</si>
  <si>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</si>
  <si>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</si>
  <si>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</si>
  <si>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</si>
  <si>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</si>
  <si>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</si>
  <si>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</si>
  <si>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</si>
  <si>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</si>
  <si>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</si>
  <si>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Brændselsindkomst</t>
  </si>
  <si>
    <t>scen0</t>
  </si>
  <si>
    <t>scen1</t>
  </si>
  <si>
    <t>OverView</t>
  </si>
  <si>
    <t>NS-Total-Varme-Produktion</t>
  </si>
  <si>
    <t>NPV_Total</t>
  </si>
  <si>
    <t>NPV_REFA</t>
  </si>
  <si>
    <t>REFA-Leveret-Varme</t>
  </si>
  <si>
    <t>Virtuel-Varme-Dræn</t>
  </si>
  <si>
    <t>Virtuel-Varme-Kilde</t>
  </si>
  <si>
    <t>Virtuel-Affaldstonnage-Kilde</t>
  </si>
  <si>
    <t>Virtuel-Affaldstonnage-Dræn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</si>
</sst>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0.0\ %\ "/>
    <numFmt numFmtId="171" formatCode="_-* #,##0_-;\-#,##0_-;_-* &quot;-&quot;??_-;_-@_-"/>
    <numFmt numFmtId="172" formatCode="_-#,##0,\ ;\-#,##0,\ ;_-* &quot;-&quot;??\ _k_r_._-;_-@_-"/>
    <numFmt numFmtId="173" formatCode="[$-F400]h:mm:ss\ AM/PM"/>
    <numFmt numFmtId="174" formatCode="yyyy/mm/dd\ hh:mm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2" fillId="2" borderId="1" xfId="0" applyFont="1" applyFill="1" applyBorder="1" applyAlignment="1">
      <alignment horizontal="left" indent="1"/>
    </xf>
    <xf numFmtId="164" fontId="0" fillId="0" borderId="3" xfId="0" applyNumberFormat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2" fontId="0" fillId="0" borderId="0" xfId="0" applyNumberFormat="1"/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166" fontId="2" fillId="0" borderId="0" xfId="1" applyNumberFormat="1" applyFont="1"/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168" fontId="2" fillId="0" borderId="0" xfId="1" applyNumberFormat="1" applyFont="1"/>
    <xf numFmtId="168" fontId="1" fillId="0" borderId="0" xfId="1" applyNumberFormat="1" applyFont="1"/>
    <xf numFmtId="170" fontId="0" fillId="0" borderId="0" xfId="2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1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2" fontId="0" fillId="0" borderId="6" xfId="1" applyNumberFormat="1" applyFont="1" applyBorder="1"/>
    <xf numFmtId="172" fontId="0" fillId="0" borderId="0" xfId="1" applyNumberFormat="1" applyFont="1" applyBorder="1" applyAlignment="1">
      <alignment horizontal="left"/>
    </xf>
    <xf numFmtId="0" fontId="0" fillId="0" borderId="0" xfId="0" quotePrefix="1"/>
    <xf numFmtId="0" fontId="8" fillId="2" borderId="2" xfId="0" quotePrefix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3" fontId="0" fillId="0" borderId="0" xfId="0" applyNumberFormat="1"/>
    <xf numFmtId="173" fontId="0" fillId="0" borderId="0" xfId="0" applyNumberFormat="1" applyAlignment="1">
      <alignment horizontal="center"/>
    </xf>
    <xf numFmtId="164" fontId="10" fillId="0" borderId="4" xfId="0" quotePrefix="1" applyNumberFormat="1" applyFont="1" applyBorder="1" applyAlignment="1">
      <alignment horizontal="center"/>
    </xf>
    <xf numFmtId="164" fontId="10" fillId="0" borderId="0" xfId="0" quotePrefix="1" applyNumberFormat="1" applyFont="1" applyBorder="1" applyAlignment="1">
      <alignment horizontal="center"/>
    </xf>
    <xf numFmtId="164" fontId="10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5" borderId="2" xfId="0" applyFill="1" applyBorder="1" applyAlignment="1">
      <alignment horizontal="left" indent="1"/>
    </xf>
    <xf numFmtId="0" fontId="0" fillId="0" borderId="2" xfId="0" applyBorder="1"/>
    <xf numFmtId="0" fontId="0" fillId="5" borderId="0" xfId="0" applyFill="1" applyAlignment="1">
      <alignment horizontal="left" indent="1"/>
    </xf>
    <xf numFmtId="174" fontId="11" fillId="0" borderId="0" xfId="0" applyNumberFormat="1" applyFont="1"/>
    <xf numFmtId="2" fontId="12" fillId="0" borderId="2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01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2"/>
  <sheetViews>
    <sheetView tabSelected="1" zoomScale="85" zoomScaleNormal="85" workbookViewId="0">
      <pane xSplit="3" ySplit="3" topLeftCell="J4" activePane="bottomRight" state="frozen"/>
      <selection pane="topRight" activeCell="D1" sqref="D1"/>
      <selection pane="bottomLeft" activeCell="A6" sqref="A6"/>
      <selection pane="bottomRight" activeCell="A48" sqref="A48:XFD48"/>
    </sheetView>
  </sheetViews>
  <sheetFormatPr defaultRowHeight="15" outlineLevelRow="1" outlineLevelCol="1" x14ac:dyDescent="0.25"/>
  <cols>
    <col min="1" max="1" width="27.28515625" bestFit="1" customWidth="1"/>
    <col min="2" max="2" width="12.7109375" style="6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56"/>
      <c r="C1" s="2">
        <v>44584.398895995371</v>
      </c>
      <c r="D1" s="47"/>
      <c r="E1" s="48"/>
      <c r="F1" s="48"/>
      <c r="G1" s="49"/>
      <c r="H1" s="49"/>
      <c r="I1" s="49"/>
      <c r="J1" s="55" t="str">
        <f>IF($B$1&gt;0,"Virtuelle ressourcer er blevet brugt","")</f>
        <v/>
      </c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</row>
    <row r="2" spans="1:27" s="44" customFormat="1" x14ac:dyDescent="0.25">
      <c r="A2" s="3" t="s">
        <v>1</v>
      </c>
      <c r="B2" s="4">
        <v>44562</v>
      </c>
      <c r="C2" s="5">
        <v>44896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</row>
    <row r="3" spans="1:27" x14ac:dyDescent="0.25">
      <c r="D3" s="45"/>
    </row>
    <row r="4" spans="1:27" s="26" customFormat="1" ht="18.75" x14ac:dyDescent="0.3">
      <c r="A4" s="41" t="s">
        <v>3</v>
      </c>
      <c r="B4" s="41" t="s">
        <v>4</v>
      </c>
      <c r="C4" s="41" t="s">
        <v>82</v>
      </c>
      <c r="D4" s="40" t="s">
        <v>80</v>
      </c>
      <c r="E4" s="40" t="s">
        <v>81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outlineLevel="1" x14ac:dyDescent="0.25">
      <c r="A5" s="8"/>
      <c r="B5" s="14"/>
      <c r="C5" s="10" t="s">
        <v>0</v>
      </c>
      <c r="D5" s="46">
        <v>0.39880509259091923</v>
      </c>
      <c r="E5" s="46">
        <v>0.39885663194581866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</row>
    <row r="6" spans="1:27" outlineLevel="1" x14ac:dyDescent="0.25">
      <c r="A6" s="8"/>
      <c r="B6" s="9" t="s">
        <v>5</v>
      </c>
      <c r="C6" s="10" t="s">
        <v>6</v>
      </c>
      <c r="D6" s="8">
        <v>240000</v>
      </c>
      <c r="E6" s="8">
        <v>240000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</row>
    <row r="7" spans="1:27" outlineLevel="1" x14ac:dyDescent="0.25">
      <c r="A7" s="8"/>
      <c r="B7" s="14" t="s">
        <v>2</v>
      </c>
      <c r="C7" s="10" t="s">
        <v>84</v>
      </c>
      <c r="D7" s="13">
        <v>-31251923.976194404</v>
      </c>
      <c r="E7" s="13">
        <v>-38061439.668193288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</row>
    <row r="8" spans="1:27" outlineLevel="1" x14ac:dyDescent="0.25">
      <c r="A8" s="11"/>
      <c r="B8" s="9" t="s">
        <v>7</v>
      </c>
      <c r="C8" s="10" t="s">
        <v>8</v>
      </c>
      <c r="D8" s="12">
        <v>3362.9285972087619</v>
      </c>
      <c r="E8" s="12">
        <v>3867.032840523395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outlineLevel="1" x14ac:dyDescent="0.25">
      <c r="A9" s="8"/>
      <c r="B9" s="14" t="s">
        <v>2</v>
      </c>
      <c r="C9" s="15" t="s">
        <v>85</v>
      </c>
      <c r="D9" s="13">
        <v>-22977804.63700518</v>
      </c>
      <c r="E9" s="13">
        <v>-31617202.10253714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outlineLevel="1" x14ac:dyDescent="0.25">
      <c r="A10" s="11"/>
      <c r="B10" s="9" t="s">
        <v>7</v>
      </c>
      <c r="C10" s="15" t="s">
        <v>9</v>
      </c>
      <c r="D10" s="12">
        <v>3287.1348275516812</v>
      </c>
      <c r="E10" s="12">
        <v>3848.0778476236233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outlineLevel="1" x14ac:dyDescent="0.25">
      <c r="A11" s="13"/>
      <c r="B11" s="14" t="s">
        <v>2</v>
      </c>
      <c r="C11" s="15" t="s">
        <v>10</v>
      </c>
      <c r="D11" s="13">
        <v>-56137068.286917686</v>
      </c>
      <c r="E11" s="13">
        <v>-65253352.051850632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outlineLevel="1" x14ac:dyDescent="0.25">
      <c r="A12" s="16"/>
      <c r="B12" s="14" t="s">
        <v>2</v>
      </c>
      <c r="C12" s="17" t="s">
        <v>11</v>
      </c>
      <c r="D12" s="13">
        <v>63401986.311446503</v>
      </c>
      <c r="E12" s="13">
        <v>54013371.492596924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outlineLevel="1" x14ac:dyDescent="0.25">
      <c r="A13" s="13"/>
      <c r="B13" s="14" t="s">
        <v>2</v>
      </c>
      <c r="C13" s="18" t="s">
        <v>12</v>
      </c>
      <c r="D13" s="13">
        <v>43867967.202584147</v>
      </c>
      <c r="E13" s="13">
        <v>43867433.869250819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outlineLevel="1" x14ac:dyDescent="0.25">
      <c r="A14" s="13"/>
      <c r="B14" s="14" t="s">
        <v>2</v>
      </c>
      <c r="C14" s="18" t="s">
        <v>13</v>
      </c>
      <c r="D14" s="13">
        <v>2120464.4949871656</v>
      </c>
      <c r="E14" s="13">
        <v>2150960.3611409464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outlineLevel="1" x14ac:dyDescent="0.25">
      <c r="A15" s="13"/>
      <c r="B15" s="14" t="s">
        <v>2</v>
      </c>
      <c r="C15" s="18" t="s">
        <v>14</v>
      </c>
      <c r="D15" s="13">
        <v>17413554.613875188</v>
      </c>
      <c r="E15" s="13">
        <v>7994977.262205163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outlineLevel="1" x14ac:dyDescent="0.25">
      <c r="A16" s="13"/>
      <c r="B16" s="14" t="s">
        <v>2</v>
      </c>
      <c r="C16" s="18" t="s">
        <v>14</v>
      </c>
      <c r="D16" s="13">
        <v>17413554.613875188</v>
      </c>
      <c r="E16" s="13">
        <v>7994977.262205163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outlineLevel="1" x14ac:dyDescent="0.25">
      <c r="A17" s="16"/>
      <c r="B17" s="14" t="s">
        <v>2</v>
      </c>
      <c r="C17" s="17" t="s">
        <v>15</v>
      </c>
      <c r="D17" s="13">
        <v>119539054.59836417</v>
      </c>
      <c r="E17" s="13">
        <v>119266723.54444754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1:27" outlineLevel="1" x14ac:dyDescent="0.25">
      <c r="A18" s="13"/>
      <c r="B18" s="14" t="s">
        <v>2</v>
      </c>
      <c r="C18" s="18" t="s">
        <v>16</v>
      </c>
      <c r="D18" s="13">
        <v>11373974.40498396</v>
      </c>
      <c r="E18" s="13">
        <v>11374433.322303059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outlineLevel="1" x14ac:dyDescent="0.25">
      <c r="A19" s="13"/>
      <c r="B19" s="14" t="s">
        <v>2</v>
      </c>
      <c r="C19" s="18" t="s">
        <v>17</v>
      </c>
      <c r="D19" s="13">
        <v>10109064.552386843</v>
      </c>
      <c r="E19" s="13">
        <v>10109091.685098041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1:27" outlineLevel="1" x14ac:dyDescent="0.25">
      <c r="A20" s="13"/>
      <c r="B20" s="14" t="s">
        <v>2</v>
      </c>
      <c r="C20" s="18" t="s">
        <v>18</v>
      </c>
      <c r="D20" s="13">
        <v>72982304.957722604</v>
      </c>
      <c r="E20" s="13">
        <v>74026402.620244786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1:27" outlineLevel="1" x14ac:dyDescent="0.25">
      <c r="A21" s="13"/>
      <c r="B21" s="14" t="s">
        <v>2</v>
      </c>
      <c r="C21" s="18" t="s">
        <v>19</v>
      </c>
      <c r="D21" s="13">
        <v>25073710.683270779</v>
      </c>
      <c r="E21" s="13">
        <v>23756795.916801676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1:27" outlineLevel="1" x14ac:dyDescent="0.25">
      <c r="A22" s="13"/>
      <c r="B22" s="14" t="s">
        <v>2</v>
      </c>
      <c r="C22" s="18" t="s">
        <v>20</v>
      </c>
      <c r="D22" s="13">
        <v>1.1999999999999997E-13</v>
      </c>
      <c r="E22" s="13">
        <v>1.1999999999999997E-13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27" outlineLevel="1" x14ac:dyDescent="0.25">
      <c r="A23" s="19"/>
      <c r="B23" s="9" t="s">
        <v>21</v>
      </c>
      <c r="C23" s="15" t="s">
        <v>22</v>
      </c>
      <c r="D23" s="19">
        <v>34471.184423251441</v>
      </c>
      <c r="E23" s="19">
        <v>34470.645055751447</v>
      </c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1:27" outlineLevel="1" x14ac:dyDescent="0.25">
      <c r="A24" s="19"/>
      <c r="B24" s="9" t="s">
        <v>21</v>
      </c>
      <c r="C24" s="15" t="s">
        <v>23</v>
      </c>
      <c r="D24" s="19">
        <v>39595.279405086112</v>
      </c>
      <c r="E24" s="19">
        <v>39594.659861336106</v>
      </c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1:27" outlineLevel="1" x14ac:dyDescent="0.25">
      <c r="A25" s="19"/>
      <c r="B25" s="9" t="s">
        <v>24</v>
      </c>
      <c r="C25" s="15" t="s">
        <v>25</v>
      </c>
      <c r="D25" s="19">
        <v>52398.622762311075</v>
      </c>
      <c r="E25" s="19">
        <v>49215.700317373281</v>
      </c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1:27" outlineLevel="1" x14ac:dyDescent="0.25">
      <c r="A26" s="19"/>
      <c r="B26" s="9" t="s">
        <v>24</v>
      </c>
      <c r="C26" s="15" t="s">
        <v>26</v>
      </c>
      <c r="D26" s="19">
        <v>43973.622762311083</v>
      </c>
      <c r="E26" s="19">
        <v>40790.700317373281</v>
      </c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1:27" outlineLevel="1" x14ac:dyDescent="0.25">
      <c r="A27" s="20"/>
      <c r="B27" s="9" t="s">
        <v>21</v>
      </c>
      <c r="C27" s="17" t="s">
        <v>27</v>
      </c>
      <c r="D27" s="8">
        <v>98231.999999999985</v>
      </c>
      <c r="E27" s="8">
        <v>98231.999999999985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</row>
    <row r="28" spans="1:27" outlineLevel="1" x14ac:dyDescent="0.25">
      <c r="A28" s="19"/>
      <c r="B28" s="9" t="s">
        <v>21</v>
      </c>
      <c r="C28" s="18" t="s">
        <v>28</v>
      </c>
      <c r="D28" s="8">
        <v>93250.010108890448</v>
      </c>
      <c r="E28" s="8">
        <v>93248.635525557125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outlineLevel="1" x14ac:dyDescent="0.25">
      <c r="A29" s="19"/>
      <c r="B29" s="9" t="s">
        <v>21</v>
      </c>
      <c r="C29" s="18" t="s">
        <v>29</v>
      </c>
      <c r="D29" s="8">
        <v>4990.9394911095433</v>
      </c>
      <c r="E29" s="8">
        <v>4990.9394911095433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</row>
    <row r="30" spans="1:27" outlineLevel="1" x14ac:dyDescent="0.25">
      <c r="A30" s="19"/>
      <c r="B30" s="9" t="s">
        <v>21</v>
      </c>
      <c r="C30" s="18" t="s">
        <v>30</v>
      </c>
      <c r="D30" s="8">
        <v>1.1999999999999997E-13</v>
      </c>
      <c r="E30" s="8">
        <v>1.1999999999999997E-13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</row>
    <row r="31" spans="1:27" outlineLevel="1" x14ac:dyDescent="0.25">
      <c r="A31" s="20"/>
      <c r="B31" s="9" t="s">
        <v>5</v>
      </c>
      <c r="C31" s="17" t="s">
        <v>31</v>
      </c>
      <c r="D31" s="8">
        <v>249557.88773128763</v>
      </c>
      <c r="E31" s="8">
        <v>252168.4206370083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</row>
    <row r="32" spans="1:27" outlineLevel="1" x14ac:dyDescent="0.25">
      <c r="A32" s="21"/>
      <c r="B32" s="9" t="s">
        <v>5</v>
      </c>
      <c r="C32" s="18" t="s">
        <v>86</v>
      </c>
      <c r="D32" s="8">
        <v>217083.30036524625</v>
      </c>
      <c r="E32" s="8">
        <v>219696.64957921064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</row>
    <row r="33" spans="1:28" outlineLevel="1" x14ac:dyDescent="0.25">
      <c r="A33" s="21"/>
      <c r="B33" s="9" t="s">
        <v>5</v>
      </c>
      <c r="C33" s="18" t="s">
        <v>32</v>
      </c>
      <c r="D33" s="8">
        <v>179017.25410034135</v>
      </c>
      <c r="E33" s="8">
        <v>181407.39416504567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8" outlineLevel="1" x14ac:dyDescent="0.25">
      <c r="A34" s="19"/>
      <c r="B34" s="9" t="s">
        <v>5</v>
      </c>
      <c r="C34" s="18" t="s">
        <v>33</v>
      </c>
      <c r="D34" s="8">
        <v>1.1999999999999997E-13</v>
      </c>
      <c r="E34" s="8">
        <v>1.1999999999999997E-13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</row>
    <row r="35" spans="1:28" outlineLevel="1" x14ac:dyDescent="0.25">
      <c r="A35" s="19"/>
      <c r="B35" s="9" t="s">
        <v>5</v>
      </c>
      <c r="C35" s="18" t="s">
        <v>34</v>
      </c>
      <c r="D35" s="8">
        <v>32774.185899188989</v>
      </c>
      <c r="E35" s="8">
        <v>32994.447868721887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</row>
    <row r="36" spans="1:28" outlineLevel="1" x14ac:dyDescent="0.25">
      <c r="A36" s="19"/>
      <c r="B36" s="9" t="s">
        <v>5</v>
      </c>
      <c r="C36" s="18" t="s">
        <v>35</v>
      </c>
      <c r="D36" s="8">
        <v>32474.587366041371</v>
      </c>
      <c r="E36" s="8">
        <v>32471.771057797643</v>
      </c>
      <c r="F36" s="8"/>
      <c r="G36" s="22"/>
      <c r="H36" s="22"/>
      <c r="I36" s="22"/>
      <c r="J36" s="22"/>
      <c r="K36" s="22"/>
      <c r="L36" s="22"/>
      <c r="M36" s="22"/>
      <c r="N36" s="22"/>
      <c r="O36" s="22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</row>
    <row r="37" spans="1:28" outlineLevel="1" x14ac:dyDescent="0.25">
      <c r="A37" s="20"/>
      <c r="B37" s="14" t="s">
        <v>2</v>
      </c>
      <c r="C37" s="27" t="s">
        <v>36</v>
      </c>
      <c r="D37" s="13">
        <v>8274119.3391892221</v>
      </c>
      <c r="E37" s="13">
        <v>6444237.5656561498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</row>
    <row r="38" spans="1:28" outlineLevel="1" x14ac:dyDescent="0.25">
      <c r="A38" s="16"/>
      <c r="B38" s="14" t="s">
        <v>2</v>
      </c>
      <c r="C38" s="42" t="s">
        <v>37</v>
      </c>
      <c r="D38" s="13">
        <v>118167.03634753752</v>
      </c>
      <c r="E38" s="13">
        <v>92033.534207893521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8" outlineLevel="1" x14ac:dyDescent="0.25">
      <c r="A39" s="13"/>
      <c r="B39" s="14" t="s">
        <v>2</v>
      </c>
      <c r="C39" s="23" t="s">
        <v>38</v>
      </c>
      <c r="D39" s="13">
        <v>4834104.3960356265</v>
      </c>
      <c r="E39" s="13">
        <v>3765006.9903229168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1:28" outlineLevel="1" x14ac:dyDescent="0.25">
      <c r="A40" s="13"/>
      <c r="B40" s="14" t="s">
        <v>2</v>
      </c>
      <c r="C40" s="23" t="s">
        <v>39</v>
      </c>
      <c r="D40" s="13">
        <v>3321847.9068060587</v>
      </c>
      <c r="E40" s="13">
        <v>2587197.0411253381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8" outlineLevel="1" x14ac:dyDescent="0.25">
      <c r="A41" s="19"/>
      <c r="B41" s="9" t="s">
        <v>21</v>
      </c>
      <c r="C41" s="23" t="s">
        <v>40</v>
      </c>
      <c r="D41" s="13">
        <v>3093.8268134628006</v>
      </c>
      <c r="E41" s="13">
        <v>2409.6044738066671</v>
      </c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1:28" outlineLevel="1" x14ac:dyDescent="0.25">
      <c r="A42" s="19"/>
      <c r="B42" s="9" t="s">
        <v>5</v>
      </c>
      <c r="C42" s="24" t="s">
        <v>41</v>
      </c>
      <c r="D42" s="19">
        <v>11816.699634753752</v>
      </c>
      <c r="E42" s="19">
        <v>9203.3504207893529</v>
      </c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8" outlineLevel="1" x14ac:dyDescent="0.25">
      <c r="A43" s="19"/>
      <c r="B43" s="9" t="s">
        <v>5</v>
      </c>
      <c r="C43" s="43" t="s">
        <v>83</v>
      </c>
      <c r="D43" s="19">
        <v>11100</v>
      </c>
      <c r="E43" s="19">
        <v>11100</v>
      </c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1:28" s="53" customFormat="1" outlineLevel="1" x14ac:dyDescent="0.25">
      <c r="A44" s="50">
        <f t="shared" ref="A44:A47" si="0">SUM(D44:AA44)</f>
        <v>0</v>
      </c>
      <c r="B44" s="51" t="s">
        <v>5</v>
      </c>
      <c r="C44" s="52" t="s">
        <v>87</v>
      </c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8" outlineLevel="1" x14ac:dyDescent="0.25">
      <c r="A45" s="19">
        <f t="shared" si="0"/>
        <v>0</v>
      </c>
      <c r="B45" s="9" t="s">
        <v>5</v>
      </c>
      <c r="C45" s="54" t="s">
        <v>88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1:28" outlineLevel="1" x14ac:dyDescent="0.25">
      <c r="A46" s="19">
        <f t="shared" si="0"/>
        <v>0</v>
      </c>
      <c r="B46" s="9" t="s">
        <v>21</v>
      </c>
      <c r="C46" s="54" t="s">
        <v>89</v>
      </c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1:28" outlineLevel="1" x14ac:dyDescent="0.25">
      <c r="A47" s="19">
        <f t="shared" si="0"/>
        <v>0</v>
      </c>
      <c r="B47" s="9" t="s">
        <v>21</v>
      </c>
      <c r="C47" s="54" t="s">
        <v>90</v>
      </c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1:28" s="7" customFormat="1" ht="18.75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7" s="26" customFormat="1" ht="18.75" x14ac:dyDescent="0.3">
      <c r="A49" s="41" t="s">
        <v>42</v>
      </c>
      <c r="B49" s="41" t="s">
        <v>4</v>
      </c>
      <c r="C49" s="41" t="s">
        <v>42</v>
      </c>
      <c r="D49" s="40" t="s">
        <v>80</v>
      </c>
      <c r="E49" s="40" t="s">
        <v>81</v>
      </c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</row>
    <row r="50" spans="1:27" outlineLevel="1" x14ac:dyDescent="0.25">
      <c r="A50" s="28">
        <f t="shared" ref="A50:A86" si="1">SUM(D50:O50)</f>
        <v>109904.63369912156</v>
      </c>
      <c r="B50" s="9" t="s">
        <v>5</v>
      </c>
      <c r="C50" s="29" t="s">
        <v>43</v>
      </c>
      <c r="D50" s="28">
        <v>48450.502194690103</v>
      </c>
      <c r="E50" s="28">
        <v>61454.131504431469</v>
      </c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</row>
    <row r="51" spans="1:27" outlineLevel="1" x14ac:dyDescent="0.25">
      <c r="A51" s="28">
        <f t="shared" si="1"/>
        <v>316288.64833417628</v>
      </c>
      <c r="B51" s="9" t="s">
        <v>5</v>
      </c>
      <c r="C51" s="29" t="s">
        <v>44</v>
      </c>
      <c r="D51" s="28">
        <v>163340.93780484018</v>
      </c>
      <c r="E51" s="28">
        <v>152947.71052933609</v>
      </c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</row>
    <row r="52" spans="1:27" outlineLevel="1" x14ac:dyDescent="0.25">
      <c r="A52" s="28">
        <f t="shared" si="1"/>
        <v>75533.026334998067</v>
      </c>
      <c r="B52" s="9" t="s">
        <v>5</v>
      </c>
      <c r="C52" s="29" t="s">
        <v>45</v>
      </c>
      <c r="D52" s="28">
        <v>37766.447731757318</v>
      </c>
      <c r="E52" s="28">
        <v>37766.578603240749</v>
      </c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</row>
    <row r="53" spans="1:27" outlineLevel="1" x14ac:dyDescent="0.25">
      <c r="A53" s="28">
        <f t="shared" si="1"/>
        <v>22200</v>
      </c>
      <c r="B53" s="9" t="s">
        <v>5</v>
      </c>
      <c r="C53" s="29" t="s">
        <v>46</v>
      </c>
      <c r="D53" s="28">
        <v>11100</v>
      </c>
      <c r="E53" s="28">
        <v>11100</v>
      </c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</row>
    <row r="54" spans="1:27" outlineLevel="1" x14ac:dyDescent="0.25">
      <c r="A54" s="28">
        <f t="shared" si="1"/>
        <v>-64946.358423839018</v>
      </c>
      <c r="B54" s="9" t="s">
        <v>5</v>
      </c>
      <c r="C54" s="29" t="s">
        <v>47</v>
      </c>
      <c r="D54" s="28">
        <v>-32474.587366041371</v>
      </c>
      <c r="E54" s="28">
        <v>-32471.771057797643</v>
      </c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</row>
    <row r="55" spans="1:27" outlineLevel="1" x14ac:dyDescent="0.25">
      <c r="A55" s="28">
        <f t="shared" si="1"/>
        <v>21020.050055543106</v>
      </c>
      <c r="B55" s="9" t="s">
        <v>5</v>
      </c>
      <c r="C55" s="29" t="s">
        <v>48</v>
      </c>
      <c r="D55" s="28">
        <v>11816.699634753752</v>
      </c>
      <c r="E55" s="28">
        <v>9203.3504207893529</v>
      </c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</row>
    <row r="56" spans="1:27" outlineLevel="1" x14ac:dyDescent="0.25">
      <c r="A56" s="30"/>
      <c r="B56" s="31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27" s="26" customFormat="1" ht="18.75" x14ac:dyDescent="0.3">
      <c r="A57" s="41" t="s">
        <v>49</v>
      </c>
      <c r="B57" s="41" t="s">
        <v>4</v>
      </c>
      <c r="C57" s="41" t="s">
        <v>49</v>
      </c>
      <c r="D57" s="40" t="s">
        <v>80</v>
      </c>
      <c r="E57" s="40" t="s">
        <v>81</v>
      </c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</row>
    <row r="58" spans="1:27" outlineLevel="1" x14ac:dyDescent="0.25">
      <c r="A58" s="33">
        <f t="shared" si="1"/>
        <v>16672.167050000004</v>
      </c>
      <c r="B58" s="34" t="s">
        <v>21</v>
      </c>
      <c r="C58" s="35" t="s">
        <v>50</v>
      </c>
      <c r="D58" s="33">
        <v>8336.0835250000018</v>
      </c>
      <c r="E58" s="33">
        <v>8336.0835250000018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</row>
    <row r="59" spans="1:27" outlineLevel="1" x14ac:dyDescent="0.25">
      <c r="A59" s="33">
        <f t="shared" si="1"/>
        <v>2.3999999999999994E-13</v>
      </c>
      <c r="B59" s="34" t="s">
        <v>21</v>
      </c>
      <c r="C59" s="35" t="s">
        <v>51</v>
      </c>
      <c r="D59" s="33">
        <v>1.1999999999999997E-13</v>
      </c>
      <c r="E59" s="33">
        <v>1.1999999999999997E-13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</row>
    <row r="60" spans="1:27" outlineLevel="1" x14ac:dyDescent="0.25">
      <c r="A60" s="33">
        <f t="shared" si="1"/>
        <v>2.3999999999999994E-13</v>
      </c>
      <c r="B60" s="34" t="s">
        <v>21</v>
      </c>
      <c r="C60" s="35" t="s">
        <v>52</v>
      </c>
      <c r="D60" s="33">
        <v>1.1999999999999997E-13</v>
      </c>
      <c r="E60" s="33">
        <v>1.1999999999999997E-13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</row>
    <row r="61" spans="1:27" outlineLevel="1" x14ac:dyDescent="0.25">
      <c r="A61" s="33">
        <f t="shared" si="1"/>
        <v>57743.292649999996</v>
      </c>
      <c r="B61" s="34" t="s">
        <v>21</v>
      </c>
      <c r="C61" s="35" t="s">
        <v>53</v>
      </c>
      <c r="D61" s="33">
        <v>28871.646324999998</v>
      </c>
      <c r="E61" s="33">
        <v>28871.646324999998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</row>
    <row r="62" spans="1:27" outlineLevel="1" x14ac:dyDescent="0.25">
      <c r="A62" s="33">
        <f t="shared" si="1"/>
        <v>6909.2626844475808</v>
      </c>
      <c r="B62" s="34" t="s">
        <v>21</v>
      </c>
      <c r="C62" s="35" t="s">
        <v>54</v>
      </c>
      <c r="D62" s="33">
        <v>3454.6313422237904</v>
      </c>
      <c r="E62" s="33">
        <v>3454.6313422237904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</row>
    <row r="63" spans="1:27" outlineLevel="1" x14ac:dyDescent="0.25">
      <c r="A63" s="33">
        <f t="shared" si="1"/>
        <v>2.3999999999999994E-13</v>
      </c>
      <c r="B63" s="34" t="s">
        <v>21</v>
      </c>
      <c r="C63" s="35" t="s">
        <v>55</v>
      </c>
      <c r="D63" s="33">
        <v>1.1999999999999997E-13</v>
      </c>
      <c r="E63" s="33">
        <v>1.1999999999999997E-13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</row>
    <row r="64" spans="1:27" outlineLevel="1" x14ac:dyDescent="0.25">
      <c r="A64" s="33">
        <f t="shared" si="1"/>
        <v>2.3999999999999994E-13</v>
      </c>
      <c r="B64" s="34" t="s">
        <v>21</v>
      </c>
      <c r="C64" s="35" t="s">
        <v>56</v>
      </c>
      <c r="D64" s="33">
        <v>1.1999999999999997E-13</v>
      </c>
      <c r="E64" s="33">
        <v>1.1999999999999997E-13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</row>
    <row r="65" spans="1:27" outlineLevel="1" x14ac:dyDescent="0.25">
      <c r="A65" s="33">
        <f t="shared" si="1"/>
        <v>15601.429999999995</v>
      </c>
      <c r="B65" s="34" t="s">
        <v>21</v>
      </c>
      <c r="C65" s="35" t="s">
        <v>57</v>
      </c>
      <c r="D65" s="33">
        <v>7800.7149999999974</v>
      </c>
      <c r="E65" s="33">
        <v>7800.7149999999974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</row>
    <row r="66" spans="1:27" outlineLevel="1" x14ac:dyDescent="0.25">
      <c r="A66" s="33">
        <f t="shared" si="1"/>
        <v>2.3999999999999994E-13</v>
      </c>
      <c r="B66" s="34" t="s">
        <v>21</v>
      </c>
      <c r="C66" s="35" t="s">
        <v>58</v>
      </c>
      <c r="D66" s="33">
        <v>1.1999999999999997E-13</v>
      </c>
      <c r="E66" s="33">
        <v>1.1999999999999997E-13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</row>
    <row r="67" spans="1:27" outlineLevel="1" x14ac:dyDescent="0.25">
      <c r="A67" s="33">
        <f t="shared" si="1"/>
        <v>2.3999999999999994E-13</v>
      </c>
      <c r="B67" s="34" t="s">
        <v>21</v>
      </c>
      <c r="C67" s="35" t="s">
        <v>59</v>
      </c>
      <c r="D67" s="33">
        <v>1.1999999999999997E-13</v>
      </c>
      <c r="E67" s="33">
        <v>1.1999999999999997E-13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:27" outlineLevel="1" x14ac:dyDescent="0.25">
      <c r="A68" s="33">
        <f t="shared" si="1"/>
        <v>10400.953333333335</v>
      </c>
      <c r="B68" s="34" t="s">
        <v>21</v>
      </c>
      <c r="C68" s="35" t="s">
        <v>60</v>
      </c>
      <c r="D68" s="33">
        <v>5200.4766666666674</v>
      </c>
      <c r="E68" s="33">
        <v>5200.4766666666674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1:27" outlineLevel="1" x14ac:dyDescent="0.25">
      <c r="A69" s="33">
        <f t="shared" si="1"/>
        <v>2.3999999999999994E-13</v>
      </c>
      <c r="B69" s="34" t="s">
        <v>21</v>
      </c>
      <c r="C69" s="35" t="s">
        <v>61</v>
      </c>
      <c r="D69" s="33">
        <v>1.1999999999999997E-13</v>
      </c>
      <c r="E69" s="33">
        <v>1.1999999999999997E-13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1:27" outlineLevel="1" x14ac:dyDescent="0.25">
      <c r="A70" s="33">
        <f t="shared" si="1"/>
        <v>2.3999999999999994E-13</v>
      </c>
      <c r="B70" s="34" t="s">
        <v>21</v>
      </c>
      <c r="C70" s="35" t="s">
        <v>62</v>
      </c>
      <c r="D70" s="33">
        <v>1.1999999999999997E-13</v>
      </c>
      <c r="E70" s="33">
        <v>1.1999999999999997E-13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1:27" outlineLevel="1" x14ac:dyDescent="0.25">
      <c r="A71" s="33">
        <f t="shared" si="1"/>
        <v>2.3999999999999994E-13</v>
      </c>
      <c r="B71" s="34" t="s">
        <v>21</v>
      </c>
      <c r="C71" s="35" t="s">
        <v>63</v>
      </c>
      <c r="D71" s="33">
        <v>1.1999999999999997E-13</v>
      </c>
      <c r="E71" s="33">
        <v>1.1999999999999997E-13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1:27" outlineLevel="1" x14ac:dyDescent="0.25">
      <c r="A72" s="33">
        <f t="shared" si="1"/>
        <v>73339.333333333328</v>
      </c>
      <c r="B72" s="34" t="s">
        <v>21</v>
      </c>
      <c r="C72" s="35" t="s">
        <v>64</v>
      </c>
      <c r="D72" s="33">
        <v>36670.333333333336</v>
      </c>
      <c r="E72" s="33">
        <v>36668.999999999993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1:27" outlineLevel="1" x14ac:dyDescent="0.25">
      <c r="A73" s="33">
        <f t="shared" si="1"/>
        <v>3667.0333333333333</v>
      </c>
      <c r="B73" s="34" t="s">
        <v>21</v>
      </c>
      <c r="C73" s="35" t="s">
        <v>65</v>
      </c>
      <c r="D73" s="33">
        <v>1833.5166666666667</v>
      </c>
      <c r="E73" s="33">
        <v>1833.5166666666667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1:27" outlineLevel="1" x14ac:dyDescent="0.25">
      <c r="A74" s="33">
        <f t="shared" si="1"/>
        <v>2.3999999999999994E-13</v>
      </c>
      <c r="B74" s="34" t="s">
        <v>21</v>
      </c>
      <c r="C74" s="35" t="s">
        <v>66</v>
      </c>
      <c r="D74" s="33">
        <v>1.1999999999999997E-13</v>
      </c>
      <c r="E74" s="33">
        <v>1.1999999999999997E-13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1:27" outlineLevel="1" x14ac:dyDescent="0.25">
      <c r="A75" s="33">
        <f t="shared" si="1"/>
        <v>1750.1375000000003</v>
      </c>
      <c r="B75" s="34" t="s">
        <v>21</v>
      </c>
      <c r="C75" s="35" t="s">
        <v>67</v>
      </c>
      <c r="D75" s="33">
        <v>875.08750000000009</v>
      </c>
      <c r="E75" s="33">
        <v>875.05000000000007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1:27" outlineLevel="1" x14ac:dyDescent="0.25">
      <c r="A76" s="33">
        <f t="shared" si="1"/>
        <v>2.3999999999999994E-13</v>
      </c>
      <c r="B76" s="34" t="s">
        <v>21</v>
      </c>
      <c r="C76" s="35" t="s">
        <v>68</v>
      </c>
      <c r="D76" s="33">
        <v>1.1999999999999997E-13</v>
      </c>
      <c r="E76" s="33">
        <v>1.1999999999999997E-13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1:27" outlineLevel="1" x14ac:dyDescent="0.25">
      <c r="A77" s="33">
        <f t="shared" si="1"/>
        <v>240.02200000000005</v>
      </c>
      <c r="B77" s="34" t="s">
        <v>21</v>
      </c>
      <c r="C77" s="35" t="s">
        <v>69</v>
      </c>
      <c r="D77" s="33">
        <v>120.01100000000002</v>
      </c>
      <c r="E77" s="33">
        <v>120.01100000000002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1:27" outlineLevel="1" x14ac:dyDescent="0.25">
      <c r="A78" s="33">
        <f t="shared" si="1"/>
        <v>175.01375000000007</v>
      </c>
      <c r="B78" s="34" t="s">
        <v>21</v>
      </c>
      <c r="C78" s="35" t="s">
        <v>70</v>
      </c>
      <c r="D78" s="33">
        <v>87.508750000000035</v>
      </c>
      <c r="E78" s="33">
        <v>87.505000000000038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1:27" outlineLevel="1" x14ac:dyDescent="0.25">
      <c r="A79" s="33">
        <f t="shared" si="1"/>
        <v>2.3999999999999994E-13</v>
      </c>
      <c r="B79" s="34" t="s">
        <v>21</v>
      </c>
      <c r="C79" s="35" t="s">
        <v>71</v>
      </c>
      <c r="D79" s="33">
        <v>1.1999999999999997E-13</v>
      </c>
      <c r="E79" s="33">
        <v>1.1999999999999997E-13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1:27" outlineLevel="1" x14ac:dyDescent="0.25">
      <c r="A80" s="33">
        <f t="shared" si="1"/>
        <v>2.3999999999999994E-13</v>
      </c>
      <c r="B80" s="34" t="s">
        <v>21</v>
      </c>
      <c r="C80" s="35" t="s">
        <v>72</v>
      </c>
      <c r="D80" s="33">
        <v>1.1999999999999997E-13</v>
      </c>
      <c r="E80" s="33">
        <v>1.1999999999999997E-13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1:27" outlineLevel="1" x14ac:dyDescent="0.25">
      <c r="A81" s="33">
        <f t="shared" si="1"/>
        <v>2.3999999999999994E-13</v>
      </c>
      <c r="B81" s="34" t="s">
        <v>21</v>
      </c>
      <c r="C81" s="35" t="s">
        <v>73</v>
      </c>
      <c r="D81" s="33">
        <v>1.1999999999999997E-13</v>
      </c>
      <c r="E81" s="33">
        <v>1.1999999999999997E-13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1:27" outlineLevel="1" x14ac:dyDescent="0.25">
      <c r="A82" s="33">
        <f t="shared" si="1"/>
        <v>2.3999999999999994E-13</v>
      </c>
      <c r="B82" s="34" t="s">
        <v>21</v>
      </c>
      <c r="C82" s="35" t="s">
        <v>74</v>
      </c>
      <c r="D82" s="33">
        <v>1.1999999999999997E-13</v>
      </c>
      <c r="E82" s="33">
        <v>1.1999999999999997E-13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1:27" outlineLevel="1" x14ac:dyDescent="0.25">
      <c r="A83" s="33">
        <f t="shared" si="1"/>
        <v>2.3999999999999994E-13</v>
      </c>
      <c r="B83" s="34" t="s">
        <v>21</v>
      </c>
      <c r="C83" s="35" t="s">
        <v>75</v>
      </c>
      <c r="D83" s="33">
        <v>1.1999999999999997E-13</v>
      </c>
      <c r="E83" s="33">
        <v>1.1999999999999997E-13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1:27" outlineLevel="1" x14ac:dyDescent="0.25">
      <c r="A84" s="33">
        <f t="shared" si="1"/>
        <v>34032.402353691235</v>
      </c>
      <c r="B84" s="34" t="s">
        <v>21</v>
      </c>
      <c r="C84" s="35" t="s">
        <v>76</v>
      </c>
      <c r="D84" s="33">
        <v>17016.171693908174</v>
      </c>
      <c r="E84" s="33">
        <v>17016.230659783061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  <row r="85" spans="1:27" outlineLevel="1" x14ac:dyDescent="0.25">
      <c r="A85" s="33">
        <f t="shared" si="1"/>
        <v>22200</v>
      </c>
      <c r="B85" s="34" t="s">
        <v>21</v>
      </c>
      <c r="C85" s="35" t="s">
        <v>77</v>
      </c>
      <c r="D85" s="33">
        <v>11100</v>
      </c>
      <c r="E85" s="33">
        <v>11100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</row>
    <row r="86" spans="1:27" outlineLevel="1" x14ac:dyDescent="0.25">
      <c r="A86" s="33">
        <f t="shared" si="1"/>
        <v>1719.8222772717086</v>
      </c>
      <c r="B86" s="34" t="s">
        <v>21</v>
      </c>
      <c r="C86" s="35" t="s">
        <v>78</v>
      </c>
      <c r="D86" s="33">
        <v>966.82087920712513</v>
      </c>
      <c r="E86" s="33">
        <v>753.00139806458344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</row>
    <row r="87" spans="1:27" outlineLevel="1" x14ac:dyDescent="0.25">
      <c r="A87" s="19"/>
      <c r="B87" s="34"/>
      <c r="C87" s="35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</row>
    <row r="88" spans="1:27" outlineLevel="1" x14ac:dyDescent="0.25">
      <c r="A88" s="19"/>
      <c r="B88" s="9"/>
      <c r="C88" s="36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</row>
    <row r="89" spans="1:27" s="26" customFormat="1" ht="18.75" x14ac:dyDescent="0.3">
      <c r="A89" s="41" t="s">
        <v>79</v>
      </c>
      <c r="B89" s="41" t="s">
        <v>4</v>
      </c>
      <c r="C89" s="41" t="s">
        <v>79</v>
      </c>
      <c r="D89" s="40" t="s">
        <v>80</v>
      </c>
      <c r="E89" s="40" t="s">
        <v>81</v>
      </c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</row>
    <row r="90" spans="1:27" outlineLevel="1" x14ac:dyDescent="0.25">
      <c r="A90" s="37">
        <f t="shared" ref="A90:A118" si="2">SUM(D90:O90)</f>
        <v>8752887.7012499981</v>
      </c>
      <c r="B90" s="38" t="s">
        <v>2</v>
      </c>
      <c r="C90" s="35" t="s">
        <v>50</v>
      </c>
      <c r="D90" s="37">
        <v>4376443.850624999</v>
      </c>
      <c r="E90" s="37">
        <v>4376443.850624999</v>
      </c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</row>
    <row r="91" spans="1:27" outlineLevel="1" x14ac:dyDescent="0.25">
      <c r="A91" s="37">
        <f t="shared" si="2"/>
        <v>2.3999999999999994E-13</v>
      </c>
      <c r="B91" s="38" t="s">
        <v>2</v>
      </c>
      <c r="C91" s="35" t="s">
        <v>51</v>
      </c>
      <c r="D91" s="37">
        <v>1.1999999999999997E-13</v>
      </c>
      <c r="E91" s="37">
        <v>1.1999999999999997E-13</v>
      </c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</row>
    <row r="92" spans="1:27" outlineLevel="1" x14ac:dyDescent="0.25">
      <c r="A92" s="37">
        <f t="shared" si="2"/>
        <v>2.3999999999999994E-13</v>
      </c>
      <c r="B92" s="38" t="s">
        <v>2</v>
      </c>
      <c r="C92" s="35" t="s">
        <v>52</v>
      </c>
      <c r="D92" s="37">
        <v>1.1999999999999997E-13</v>
      </c>
      <c r="E92" s="37">
        <v>1.1999999999999997E-13</v>
      </c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</row>
    <row r="93" spans="1:27" outlineLevel="1" x14ac:dyDescent="0.25">
      <c r="A93" s="37">
        <f t="shared" si="2"/>
        <v>30315228.641249992</v>
      </c>
      <c r="B93" s="38" t="s">
        <v>2</v>
      </c>
      <c r="C93" s="35" t="s">
        <v>53</v>
      </c>
      <c r="D93" s="37">
        <v>15157614.320624996</v>
      </c>
      <c r="E93" s="37">
        <v>15157614.320624996</v>
      </c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</row>
    <row r="94" spans="1:27" outlineLevel="1" x14ac:dyDescent="0.25">
      <c r="A94" s="37">
        <f t="shared" si="2"/>
        <v>3627362.9093349809</v>
      </c>
      <c r="B94" s="38" t="s">
        <v>2</v>
      </c>
      <c r="C94" s="35" t="s">
        <v>54</v>
      </c>
      <c r="D94" s="37">
        <v>1813681.4546674904</v>
      </c>
      <c r="E94" s="37">
        <v>1813681.4546674904</v>
      </c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</row>
    <row r="95" spans="1:27" outlineLevel="1" x14ac:dyDescent="0.25">
      <c r="A95" s="37">
        <f t="shared" si="2"/>
        <v>2.3999999999999994E-13</v>
      </c>
      <c r="B95" s="38" t="s">
        <v>2</v>
      </c>
      <c r="C95" s="35" t="s">
        <v>55</v>
      </c>
      <c r="D95" s="37">
        <v>1.1999999999999997E-13</v>
      </c>
      <c r="E95" s="37">
        <v>1.1999999999999997E-13</v>
      </c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</row>
    <row r="96" spans="1:27" outlineLevel="1" x14ac:dyDescent="0.25">
      <c r="A96" s="37">
        <f t="shared" si="2"/>
        <v>2.3999999999999994E-13</v>
      </c>
      <c r="B96" s="38" t="s">
        <v>2</v>
      </c>
      <c r="C96" s="35" t="s">
        <v>56</v>
      </c>
      <c r="D96" s="37">
        <v>1.1999999999999997E-13</v>
      </c>
      <c r="E96" s="37">
        <v>1.1999999999999997E-13</v>
      </c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</row>
    <row r="97" spans="1:27" outlineLevel="1" x14ac:dyDescent="0.25">
      <c r="A97" s="37">
        <f t="shared" si="2"/>
        <v>8190750.7499999991</v>
      </c>
      <c r="B97" s="38" t="s">
        <v>2</v>
      </c>
      <c r="C97" s="35" t="s">
        <v>57</v>
      </c>
      <c r="D97" s="37">
        <v>4095375.3749999995</v>
      </c>
      <c r="E97" s="37">
        <v>4095375.3749999995</v>
      </c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</row>
    <row r="98" spans="1:27" outlineLevel="1" x14ac:dyDescent="0.25">
      <c r="A98" s="37">
        <f t="shared" si="2"/>
        <v>2.3999999999999994E-13</v>
      </c>
      <c r="B98" s="38" t="s">
        <v>2</v>
      </c>
      <c r="C98" s="35" t="s">
        <v>58</v>
      </c>
      <c r="D98" s="37">
        <v>1.1999999999999997E-13</v>
      </c>
      <c r="E98" s="37">
        <v>1.1999999999999997E-13</v>
      </c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  <row r="99" spans="1:27" outlineLevel="1" x14ac:dyDescent="0.25">
      <c r="A99" s="37">
        <f t="shared" si="2"/>
        <v>2.3999999999999994E-13</v>
      </c>
      <c r="B99" s="38" t="s">
        <v>2</v>
      </c>
      <c r="C99" s="35" t="s">
        <v>59</v>
      </c>
      <c r="D99" s="37">
        <v>1.1999999999999997E-13</v>
      </c>
      <c r="E99" s="37">
        <v>1.1999999999999997E-13</v>
      </c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</row>
    <row r="100" spans="1:27" outlineLevel="1" x14ac:dyDescent="0.25">
      <c r="A100" s="37">
        <f t="shared" si="2"/>
        <v>5460500.5</v>
      </c>
      <c r="B100" s="38" t="s">
        <v>2</v>
      </c>
      <c r="C100" s="35" t="s">
        <v>60</v>
      </c>
      <c r="D100" s="37">
        <v>2730250.25</v>
      </c>
      <c r="E100" s="37">
        <v>2730250.25</v>
      </c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</row>
    <row r="101" spans="1:27" outlineLevel="1" x14ac:dyDescent="0.25">
      <c r="A101" s="37">
        <f t="shared" si="2"/>
        <v>2.3999999999999994E-13</v>
      </c>
      <c r="B101" s="38" t="s">
        <v>2</v>
      </c>
      <c r="C101" s="35" t="s">
        <v>61</v>
      </c>
      <c r="D101" s="37">
        <v>1.1999999999999997E-13</v>
      </c>
      <c r="E101" s="37">
        <v>1.1999999999999997E-13</v>
      </c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</row>
    <row r="102" spans="1:27" outlineLevel="1" x14ac:dyDescent="0.25">
      <c r="A102" s="37">
        <f t="shared" si="2"/>
        <v>2.3999999999999994E-13</v>
      </c>
      <c r="B102" s="38" t="s">
        <v>2</v>
      </c>
      <c r="C102" s="35" t="s">
        <v>62</v>
      </c>
      <c r="D102" s="37">
        <v>1.1999999999999997E-13</v>
      </c>
      <c r="E102" s="37">
        <v>1.1999999999999997E-13</v>
      </c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</row>
    <row r="103" spans="1:27" outlineLevel="1" x14ac:dyDescent="0.25">
      <c r="A103" s="37">
        <f t="shared" si="2"/>
        <v>2.3999999999999994E-13</v>
      </c>
      <c r="B103" s="38" t="s">
        <v>2</v>
      </c>
      <c r="C103" s="35" t="s">
        <v>63</v>
      </c>
      <c r="D103" s="37">
        <v>1.1999999999999997E-13</v>
      </c>
      <c r="E103" s="37">
        <v>1.1999999999999997E-13</v>
      </c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</row>
    <row r="104" spans="1:27" outlineLevel="1" x14ac:dyDescent="0.25">
      <c r="A104" s="37">
        <f t="shared" si="2"/>
        <v>29335733.333333332</v>
      </c>
      <c r="B104" s="38" t="s">
        <v>2</v>
      </c>
      <c r="C104" s="35" t="s">
        <v>64</v>
      </c>
      <c r="D104" s="37">
        <v>14668133.333333332</v>
      </c>
      <c r="E104" s="37">
        <v>14667600</v>
      </c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</row>
    <row r="105" spans="1:27" outlineLevel="1" x14ac:dyDescent="0.25">
      <c r="A105" s="37">
        <f t="shared" si="2"/>
        <v>1888522.166666666</v>
      </c>
      <c r="B105" s="38" t="s">
        <v>2</v>
      </c>
      <c r="C105" s="35" t="s">
        <v>65</v>
      </c>
      <c r="D105" s="37">
        <v>944261.08333333302</v>
      </c>
      <c r="E105" s="37">
        <v>944261.08333333302</v>
      </c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</row>
    <row r="106" spans="1:27" outlineLevel="1" x14ac:dyDescent="0.25">
      <c r="A106" s="37">
        <f t="shared" si="2"/>
        <v>2.3999999999999994E-13</v>
      </c>
      <c r="B106" s="38" t="s">
        <v>2</v>
      </c>
      <c r="C106" s="35" t="s">
        <v>66</v>
      </c>
      <c r="D106" s="37">
        <v>1.1999999999999997E-13</v>
      </c>
      <c r="E106" s="37">
        <v>1.1999999999999997E-13</v>
      </c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</row>
    <row r="107" spans="1:27" outlineLevel="1" x14ac:dyDescent="0.25">
      <c r="A107" s="37">
        <f t="shared" si="2"/>
        <v>2.3999999999999994E-13</v>
      </c>
      <c r="B107" s="38" t="s">
        <v>2</v>
      </c>
      <c r="C107" s="35" t="s">
        <v>67</v>
      </c>
      <c r="D107" s="37">
        <v>1.1999999999999997E-13</v>
      </c>
      <c r="E107" s="37">
        <v>1.1999999999999997E-13</v>
      </c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</row>
    <row r="108" spans="1:27" outlineLevel="1" x14ac:dyDescent="0.25">
      <c r="A108" s="37">
        <f t="shared" si="2"/>
        <v>2.3999999999999994E-13</v>
      </c>
      <c r="B108" s="38" t="s">
        <v>2</v>
      </c>
      <c r="C108" s="35" t="s">
        <v>68</v>
      </c>
      <c r="D108" s="37">
        <v>1.1999999999999997E-13</v>
      </c>
      <c r="E108" s="37">
        <v>1.1999999999999997E-13</v>
      </c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</row>
    <row r="109" spans="1:27" outlineLevel="1" x14ac:dyDescent="0.25">
      <c r="A109" s="37">
        <f t="shared" si="2"/>
        <v>164415.06999999998</v>
      </c>
      <c r="B109" s="38" t="s">
        <v>2</v>
      </c>
      <c r="C109" s="35" t="s">
        <v>69</v>
      </c>
      <c r="D109" s="37">
        <v>82207.534999999989</v>
      </c>
      <c r="E109" s="37">
        <v>82207.534999999989</v>
      </c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</row>
    <row r="110" spans="1:27" outlineLevel="1" x14ac:dyDescent="0.25">
      <c r="A110" s="37">
        <f t="shared" si="2"/>
        <v>-27127.131249999999</v>
      </c>
      <c r="B110" s="38" t="s">
        <v>2</v>
      </c>
      <c r="C110" s="35" t="s">
        <v>70</v>
      </c>
      <c r="D110" s="37">
        <v>-13563.856250000001</v>
      </c>
      <c r="E110" s="37">
        <v>-13563.275</v>
      </c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</row>
    <row r="111" spans="1:27" outlineLevel="1" x14ac:dyDescent="0.25">
      <c r="A111" s="37">
        <f t="shared" si="2"/>
        <v>2.3999999999999994E-13</v>
      </c>
      <c r="B111" s="38" t="s">
        <v>2</v>
      </c>
      <c r="C111" s="35" t="s">
        <v>71</v>
      </c>
      <c r="D111" s="37">
        <v>1.1999999999999997E-13</v>
      </c>
      <c r="E111" s="37">
        <v>1.1999999999999997E-13</v>
      </c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</row>
    <row r="112" spans="1:27" outlineLevel="1" x14ac:dyDescent="0.25">
      <c r="A112" s="37">
        <f t="shared" si="2"/>
        <v>2.3999999999999994E-13</v>
      </c>
      <c r="B112" s="38" t="s">
        <v>2</v>
      </c>
      <c r="C112" s="35" t="s">
        <v>72</v>
      </c>
      <c r="D112" s="37">
        <v>1.1999999999999997E-13</v>
      </c>
      <c r="E112" s="37">
        <v>1.1999999999999997E-13</v>
      </c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</row>
    <row r="113" spans="1:27" outlineLevel="1" x14ac:dyDescent="0.25">
      <c r="A113" s="37">
        <f t="shared" si="2"/>
        <v>2.3999999999999994E-13</v>
      </c>
      <c r="B113" s="38" t="s">
        <v>2</v>
      </c>
      <c r="C113" s="35" t="s">
        <v>73</v>
      </c>
      <c r="D113" s="37">
        <v>1.1999999999999997E-13</v>
      </c>
      <c r="E113" s="37">
        <v>1.1999999999999997E-13</v>
      </c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</row>
    <row r="114" spans="1:27" outlineLevel="1" x14ac:dyDescent="0.25">
      <c r="A114" s="37">
        <f t="shared" si="2"/>
        <v>2.3999999999999994E-13</v>
      </c>
      <c r="B114" s="38" t="s">
        <v>2</v>
      </c>
      <c r="C114" s="35" t="s">
        <v>74</v>
      </c>
      <c r="D114" s="37">
        <v>1.1999999999999997E-13</v>
      </c>
      <c r="E114" s="37">
        <v>1.1999999999999997E-13</v>
      </c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</row>
    <row r="115" spans="1:27" outlineLevel="1" x14ac:dyDescent="0.25">
      <c r="A115" s="37">
        <f t="shared" si="2"/>
        <v>2.3999999999999994E-13</v>
      </c>
      <c r="B115" s="38" t="s">
        <v>2</v>
      </c>
      <c r="C115" s="35" t="s">
        <v>75</v>
      </c>
      <c r="D115" s="37">
        <v>1.1999999999999997E-13</v>
      </c>
      <c r="E115" s="37">
        <v>1.1999999999999997E-13</v>
      </c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</row>
    <row r="116" spans="1:27" outlineLevel="1" x14ac:dyDescent="0.25">
      <c r="A116" s="37">
        <f t="shared" si="2"/>
        <v>-15995229.106234882</v>
      </c>
      <c r="B116" s="38" t="s">
        <v>2</v>
      </c>
      <c r="C116" s="35" t="s">
        <v>76</v>
      </c>
      <c r="D116" s="37">
        <v>-7997600.6961368416</v>
      </c>
      <c r="E116" s="37">
        <v>-7997628.4100980395</v>
      </c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</row>
    <row r="117" spans="1:27" outlineLevel="1" x14ac:dyDescent="0.25">
      <c r="A117" s="37">
        <f t="shared" si="2"/>
        <v>-4195800</v>
      </c>
      <c r="B117" s="38" t="s">
        <v>2</v>
      </c>
      <c r="C117" s="35" t="s">
        <v>77</v>
      </c>
      <c r="D117" s="37">
        <v>-2097900</v>
      </c>
      <c r="E117" s="37">
        <v>-2097900</v>
      </c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</row>
    <row r="118" spans="1:27" outlineLevel="1" x14ac:dyDescent="0.25">
      <c r="A118" s="37">
        <f t="shared" si="2"/>
        <v>-8599111.3863585442</v>
      </c>
      <c r="B118" s="38" t="s">
        <v>2</v>
      </c>
      <c r="C118" s="35" t="s">
        <v>78</v>
      </c>
      <c r="D118" s="37">
        <v>-4834104.3960356265</v>
      </c>
      <c r="E118" s="37">
        <v>-3765006.9903229168</v>
      </c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</row>
    <row r="119" spans="1:27" outlineLevel="1" x14ac:dyDescent="0.25">
      <c r="B119" s="25"/>
      <c r="C119" s="39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</row>
    <row r="120" spans="1:27" outlineLevel="1" x14ac:dyDescent="0.25">
      <c r="B120" s="25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</row>
    <row r="121" spans="1:27" outlineLevel="1" x14ac:dyDescent="0.25">
      <c r="B121"/>
    </row>
    <row r="122" spans="1:27" outlineLevel="1" x14ac:dyDescent="0.25">
      <c r="B122"/>
    </row>
    <row r="123" spans="1:27" outlineLevel="1" x14ac:dyDescent="0.25">
      <c r="B123"/>
    </row>
    <row r="124" spans="1:27" outlineLevel="1" x14ac:dyDescent="0.25">
      <c r="B124"/>
    </row>
    <row r="125" spans="1:27" outlineLevel="1" x14ac:dyDescent="0.25">
      <c r="B125"/>
    </row>
    <row r="126" spans="1:27" outlineLevel="1" x14ac:dyDescent="0.25">
      <c r="B126"/>
    </row>
    <row r="127" spans="1:27" outlineLevel="1" x14ac:dyDescent="0.25">
      <c r="B127"/>
    </row>
    <row r="128" spans="1:27" outlineLevel="1" x14ac:dyDescent="0.25">
      <c r="B128"/>
    </row>
    <row r="129" spans="2:2" outlineLevel="1" x14ac:dyDescent="0.25">
      <c r="B129"/>
    </row>
    <row r="130" spans="2:2" outlineLevel="1" x14ac:dyDescent="0.25">
      <c r="B130"/>
    </row>
    <row r="131" spans="2:2" outlineLevel="1" x14ac:dyDescent="0.25">
      <c r="B131"/>
    </row>
    <row r="132" spans="2:2" outlineLevel="1" x14ac:dyDescent="0.25">
      <c r="B132"/>
    </row>
    <row r="133" spans="2:2" outlineLevel="1" x14ac:dyDescent="0.25">
      <c r="B133"/>
    </row>
    <row r="134" spans="2:2" outlineLevel="1" x14ac:dyDescent="0.25">
      <c r="B134"/>
    </row>
    <row r="135" spans="2:2" outlineLevel="1" x14ac:dyDescent="0.25">
      <c r="B135"/>
    </row>
    <row r="136" spans="2:2" outlineLevel="1" x14ac:dyDescent="0.25">
      <c r="B136"/>
    </row>
    <row r="137" spans="2:2" outlineLevel="1" x14ac:dyDescent="0.25">
      <c r="B137"/>
    </row>
    <row r="138" spans="2:2" outlineLevel="1" x14ac:dyDescent="0.25">
      <c r="B138"/>
    </row>
    <row r="139" spans="2:2" outlineLevel="1" x14ac:dyDescent="0.25">
      <c r="B139"/>
    </row>
    <row r="140" spans="2:2" outlineLevel="1" x14ac:dyDescent="0.25">
      <c r="B140"/>
    </row>
    <row r="141" spans="2:2" outlineLevel="1" x14ac:dyDescent="0.25">
      <c r="B141"/>
    </row>
    <row r="142" spans="2:2" outlineLevel="1" x14ac:dyDescent="0.25">
      <c r="B142"/>
    </row>
    <row r="143" spans="2:2" outlineLevel="1" x14ac:dyDescent="0.25">
      <c r="B143"/>
    </row>
    <row r="144" spans="2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</sheetData>
  <phoneticPr fontId="5" type="noConversion"/>
  <conditionalFormatting sqref="A6 E24:AA24 A24 A26 D26:AA26 D33:AA34 A33:A34 A11:A14 G36:AA36 A36:A43 D38:AA43 D8:AA14 D6:AA6 D16:AA21 A16:A21">
    <cfRule type="cellIs" dxfId="100" priority="144" operator="between">
      <formula>-0.0000000000001</formula>
      <formula>0.0000000000001</formula>
    </cfRule>
  </conditionalFormatting>
  <conditionalFormatting sqref="A6 A24 E24:AA24 D26:AA26 A26 A33:A34 D33:AA34 A11:A14 G36:AA36 A36:A43 D38:AA43 A16:A21">
    <cfRule type="cellIs" dxfId="99" priority="138" operator="between">
      <formula>-0.0000000000001</formula>
      <formula>0.0000000000001</formula>
    </cfRule>
  </conditionalFormatting>
  <conditionalFormatting sqref="A16 C16:O16">
    <cfRule type="cellIs" dxfId="98" priority="137" operator="between">
      <formula>-0.0000000000001</formula>
      <formula>0.0000000000001</formula>
    </cfRule>
  </conditionalFormatting>
  <conditionalFormatting sqref="P16:AA16">
    <cfRule type="cellIs" dxfId="97" priority="136" operator="between">
      <formula>-0.0000000000001</formula>
      <formula>0.0000000000001</formula>
    </cfRule>
  </conditionalFormatting>
  <conditionalFormatting sqref="C6:O6 A6">
    <cfRule type="cellIs" dxfId="96" priority="135" operator="between">
      <formula>-0.0000000000001</formula>
      <formula>0.0000000000001</formula>
    </cfRule>
  </conditionalFormatting>
  <conditionalFormatting sqref="P6:AA6">
    <cfRule type="cellIs" dxfId="95" priority="134" operator="between">
      <formula>-0.0000000000001</formula>
      <formula>0.0000000000001</formula>
    </cfRule>
  </conditionalFormatting>
  <conditionalFormatting sqref="C13">
    <cfRule type="cellIs" dxfId="94" priority="133" operator="between">
      <formula>-0.0000000000001</formula>
      <formula>0.0000000000001</formula>
    </cfRule>
  </conditionalFormatting>
  <conditionalFormatting sqref="C14">
    <cfRule type="cellIs" dxfId="93" priority="132" operator="between">
      <formula>-0.0000000000001</formula>
      <formula>0.0000000000001</formula>
    </cfRule>
  </conditionalFormatting>
  <conditionalFormatting sqref="A14 C14:O14">
    <cfRule type="cellIs" dxfId="92" priority="131" operator="between">
      <formula>-0.0000000000001</formula>
      <formula>0.0000000000001</formula>
    </cfRule>
  </conditionalFormatting>
  <conditionalFormatting sqref="P14:AA14">
    <cfRule type="cellIs" dxfId="91" priority="130" operator="between">
      <formula>-0.0000000000001</formula>
      <formula>0.0000000000001</formula>
    </cfRule>
  </conditionalFormatting>
  <conditionalFormatting sqref="C20:O21 A20:A21">
    <cfRule type="cellIs" dxfId="90" priority="129" operator="between">
      <formula>-0.0000000000001</formula>
      <formula>0.0000000000001</formula>
    </cfRule>
  </conditionalFormatting>
  <conditionalFormatting sqref="P20:AA21">
    <cfRule type="cellIs" dxfId="89" priority="128" operator="between">
      <formula>-0.0000000000001</formula>
      <formula>0.0000000000001</formula>
    </cfRule>
  </conditionalFormatting>
  <conditionalFormatting sqref="C41:O41 C43:AA43 C40:AA40 D39:AA39 A39:A43 D42:O43">
    <cfRule type="cellIs" dxfId="88" priority="127" operator="between">
      <formula>-0.0000000000001</formula>
      <formula>0.0000000000001</formula>
    </cfRule>
  </conditionalFormatting>
  <conditionalFormatting sqref="P41:AA41">
    <cfRule type="cellIs" dxfId="87" priority="126" operator="between">
      <formula>-0.0000000000001</formula>
      <formula>0.0000000000001</formula>
    </cfRule>
  </conditionalFormatting>
  <conditionalFormatting sqref="C42:O42 D43:O43">
    <cfRule type="cellIs" dxfId="86" priority="125" operator="between">
      <formula>-0.0000000000001</formula>
      <formula>0.0000000000001</formula>
    </cfRule>
  </conditionalFormatting>
  <conditionalFormatting sqref="P42:AA43">
    <cfRule type="cellIs" dxfId="85" priority="124" operator="between">
      <formula>-0.0000000000001</formula>
      <formula>0.0000000000001</formula>
    </cfRule>
  </conditionalFormatting>
  <conditionalFormatting sqref="C11:O11">
    <cfRule type="cellIs" dxfId="84" priority="123" operator="between">
      <formula>-0.0000000000001</formula>
      <formula>0.0000000000001</formula>
    </cfRule>
  </conditionalFormatting>
  <conditionalFormatting sqref="P11:AA11">
    <cfRule type="cellIs" dxfId="83" priority="122" operator="between">
      <formula>-0.0000000000001</formula>
      <formula>0.0000000000001</formula>
    </cfRule>
  </conditionalFormatting>
  <conditionalFormatting sqref="C11">
    <cfRule type="cellIs" dxfId="82" priority="121" operator="between">
      <formula>-0.0000000000001</formula>
      <formula>0.0000000000001</formula>
    </cfRule>
  </conditionalFormatting>
  <conditionalFormatting sqref="C12:O12 A12">
    <cfRule type="cellIs" dxfId="81" priority="118" operator="between">
      <formula>-0.0000000000001</formula>
      <formula>0.0000000000001</formula>
    </cfRule>
  </conditionalFormatting>
  <conditionalFormatting sqref="P12:AA12">
    <cfRule type="cellIs" dxfId="80" priority="117" operator="between">
      <formula>-0.0000000000001</formula>
      <formula>0.0000000000001</formula>
    </cfRule>
  </conditionalFormatting>
  <conditionalFormatting sqref="C12">
    <cfRule type="cellIs" dxfId="79" priority="116" operator="between">
      <formula>-0.0000000000001</formula>
      <formula>0.0000000000001</formula>
    </cfRule>
  </conditionalFormatting>
  <conditionalFormatting sqref="C17:O17 A17">
    <cfRule type="cellIs" dxfId="78" priority="115" operator="between">
      <formula>-0.0000000000001</formula>
      <formula>0.0000000000001</formula>
    </cfRule>
  </conditionalFormatting>
  <conditionalFormatting sqref="P17:AA17">
    <cfRule type="cellIs" dxfId="77" priority="114" operator="between">
      <formula>-0.0000000000001</formula>
      <formula>0.0000000000001</formula>
    </cfRule>
  </conditionalFormatting>
  <conditionalFormatting sqref="C17">
    <cfRule type="cellIs" dxfId="76" priority="113" operator="between">
      <formula>-0.0000000000001</formula>
      <formula>0.0000000000001</formula>
    </cfRule>
  </conditionalFormatting>
  <conditionalFormatting sqref="A39 C39:AA39">
    <cfRule type="cellIs" dxfId="75" priority="112" operator="between">
      <formula>-0.0000000000001</formula>
      <formula>0.0000000000001</formula>
    </cfRule>
  </conditionalFormatting>
  <conditionalFormatting sqref="D10:O10">
    <cfRule type="cellIs" dxfId="74" priority="110" operator="between">
      <formula>-0.0000000000001</formula>
      <formula>0.0000000000001</formula>
    </cfRule>
  </conditionalFormatting>
  <conditionalFormatting sqref="P10:AA10">
    <cfRule type="cellIs" dxfId="73" priority="109" operator="between">
      <formula>-0.0000000000001</formula>
      <formula>0.0000000000001</formula>
    </cfRule>
  </conditionalFormatting>
  <conditionalFormatting sqref="C34:AA34 A34">
    <cfRule type="cellIs" dxfId="72" priority="108" operator="between">
      <formula>-0.0000000000001</formula>
      <formula>0.0000000000001</formula>
    </cfRule>
  </conditionalFormatting>
  <conditionalFormatting sqref="P34:AA34">
    <cfRule type="cellIs" dxfId="71" priority="107" operator="between">
      <formula>-0.0000000000001</formula>
      <formula>0.0000000000001</formula>
    </cfRule>
  </conditionalFormatting>
  <conditionalFormatting sqref="C10">
    <cfRule type="cellIs" dxfId="70" priority="105" operator="between">
      <formula>-0.0000000000001</formula>
      <formula>0.0000000000001</formula>
    </cfRule>
  </conditionalFormatting>
  <conditionalFormatting sqref="A11">
    <cfRule type="cellIs" dxfId="69" priority="104" operator="between">
      <formula>-0.0000000000001</formula>
      <formula>0.0000000000001</formula>
    </cfRule>
  </conditionalFormatting>
  <conditionalFormatting sqref="A22 D22:AA22">
    <cfRule type="cellIs" dxfId="68" priority="101" operator="between">
      <formula>-0.0000000000001</formula>
      <formula>0.0000000000001</formula>
    </cfRule>
  </conditionalFormatting>
  <conditionalFormatting sqref="D22:AA22 A22">
    <cfRule type="cellIs" dxfId="67" priority="100" operator="between">
      <formula>-0.0000000000001</formula>
      <formula>0.0000000000001</formula>
    </cfRule>
  </conditionalFormatting>
  <conditionalFormatting sqref="C22:O22 A22">
    <cfRule type="cellIs" dxfId="66" priority="99" operator="between">
      <formula>-0.0000000000001</formula>
      <formula>0.0000000000001</formula>
    </cfRule>
  </conditionalFormatting>
  <conditionalFormatting sqref="P22:AA22">
    <cfRule type="cellIs" dxfId="65" priority="98" operator="between">
      <formula>-0.0000000000001</formula>
      <formula>0.0000000000001</formula>
    </cfRule>
  </conditionalFormatting>
  <conditionalFormatting sqref="E23:AA23 A23">
    <cfRule type="cellIs" dxfId="64" priority="82" operator="between">
      <formula>-0.0000000000001</formula>
      <formula>0.0000000000001</formula>
    </cfRule>
  </conditionalFormatting>
  <conditionalFormatting sqref="A23 E23:AA23">
    <cfRule type="cellIs" dxfId="63" priority="81" operator="between">
      <formula>-0.0000000000001</formula>
      <formula>0.0000000000001</formula>
    </cfRule>
  </conditionalFormatting>
  <conditionalFormatting sqref="D25:AA25 A25">
    <cfRule type="cellIs" dxfId="62" priority="80" operator="between">
      <formula>-0.0000000000001</formula>
      <formula>0.0000000000001</formula>
    </cfRule>
  </conditionalFormatting>
  <conditionalFormatting sqref="A25 D25:AA25">
    <cfRule type="cellIs" dxfId="61" priority="79" operator="between">
      <formula>-0.0000000000001</formula>
      <formula>0.0000000000001</formula>
    </cfRule>
  </conditionalFormatting>
  <conditionalFormatting sqref="A35 D35:AA35 D36:F36">
    <cfRule type="cellIs" dxfId="60" priority="78" operator="between">
      <formula>-0.0000000000001</formula>
      <formula>0.0000000000001</formula>
    </cfRule>
  </conditionalFormatting>
  <conditionalFormatting sqref="D35:AA35 A35 D36:F36">
    <cfRule type="cellIs" dxfId="59" priority="77" operator="between">
      <formula>-0.0000000000001</formula>
      <formula>0.0000000000001</formula>
    </cfRule>
  </conditionalFormatting>
  <conditionalFormatting sqref="A27:A28 D27:AA29 D31:AA31 A31">
    <cfRule type="cellIs" dxfId="58" priority="74" operator="between">
      <formula>-0.0000000000001</formula>
      <formula>0.0000000000001</formula>
    </cfRule>
  </conditionalFormatting>
  <conditionalFormatting sqref="D27:AA29 A27:A28 A31 D31:AA31">
    <cfRule type="cellIs" dxfId="57" priority="73" operator="between">
      <formula>-0.0000000000001</formula>
      <formula>0.0000000000001</formula>
    </cfRule>
  </conditionalFormatting>
  <conditionalFormatting sqref="C28:AA29 A28">
    <cfRule type="cellIs" dxfId="56" priority="72" operator="between">
      <formula>-0.0000000000001</formula>
      <formula>0.0000000000001</formula>
    </cfRule>
  </conditionalFormatting>
  <conditionalFormatting sqref="P28:AA29">
    <cfRule type="cellIs" dxfId="55" priority="71" operator="between">
      <formula>-0.0000000000001</formula>
      <formula>0.0000000000001</formula>
    </cfRule>
  </conditionalFormatting>
  <conditionalFormatting sqref="A30 D30:AA30">
    <cfRule type="cellIs" dxfId="54" priority="70" operator="between">
      <formula>-0.0000000000001</formula>
      <formula>0.0000000000001</formula>
    </cfRule>
  </conditionalFormatting>
  <conditionalFormatting sqref="D30:AA30 A30">
    <cfRule type="cellIs" dxfId="53" priority="69" operator="between">
      <formula>-0.0000000000001</formula>
      <formula>0.0000000000001</formula>
    </cfRule>
  </conditionalFormatting>
  <conditionalFormatting sqref="D41:O41">
    <cfRule type="cellIs" dxfId="52" priority="68" operator="between">
      <formula>-0.0000000000001</formula>
      <formula>0.0000000000001</formula>
    </cfRule>
  </conditionalFormatting>
  <conditionalFormatting sqref="D38:AA38">
    <cfRule type="cellIs" dxfId="51" priority="67" operator="between">
      <formula>-0.0000000000001</formula>
      <formula>0.0000000000001</formula>
    </cfRule>
  </conditionalFormatting>
  <conditionalFormatting sqref="A29">
    <cfRule type="cellIs" dxfId="50" priority="66" operator="between">
      <formula>-0.0000000000001</formula>
      <formula>0.0000000000001</formula>
    </cfRule>
  </conditionalFormatting>
  <conditionalFormatting sqref="A29">
    <cfRule type="cellIs" dxfId="49" priority="65" operator="between">
      <formula>-0.0000000000001</formula>
      <formula>0.0000000000001</formula>
    </cfRule>
  </conditionalFormatting>
  <conditionalFormatting sqref="A37">
    <cfRule type="cellIs" dxfId="48" priority="64" operator="between">
      <formula>-0.0000000000001</formula>
      <formula>0.0000000000001</formula>
    </cfRule>
  </conditionalFormatting>
  <conditionalFormatting sqref="A37">
    <cfRule type="cellIs" dxfId="47" priority="63" operator="between">
      <formula>-0.0000000000001</formula>
      <formula>0.0000000000001</formula>
    </cfRule>
  </conditionalFormatting>
  <conditionalFormatting sqref="A42">
    <cfRule type="cellIs" dxfId="46" priority="62" operator="between">
      <formula>-0.0000000000001</formula>
      <formula>0.0000000000001</formula>
    </cfRule>
  </conditionalFormatting>
  <conditionalFormatting sqref="A42">
    <cfRule type="cellIs" dxfId="45" priority="61" operator="between">
      <formula>-0.0000000000001</formula>
      <formula>0.0000000000001</formula>
    </cfRule>
  </conditionalFormatting>
  <conditionalFormatting sqref="D24">
    <cfRule type="cellIs" dxfId="44" priority="60" operator="between">
      <formula>-0.0000000000001</formula>
      <formula>0.0000000000001</formula>
    </cfRule>
  </conditionalFormatting>
  <conditionalFormatting sqref="D24">
    <cfRule type="cellIs" dxfId="43" priority="59" operator="between">
      <formula>-0.0000000000001</formula>
      <formula>0.0000000000001</formula>
    </cfRule>
  </conditionalFormatting>
  <conditionalFormatting sqref="D23">
    <cfRule type="cellIs" dxfId="42" priority="58" operator="between">
      <formula>-0.0000000000001</formula>
      <formula>0.0000000000001</formula>
    </cfRule>
  </conditionalFormatting>
  <conditionalFormatting sqref="D23">
    <cfRule type="cellIs" dxfId="41" priority="57" operator="between">
      <formula>-0.0000000000001</formula>
      <formula>0.0000000000001</formula>
    </cfRule>
  </conditionalFormatting>
  <conditionalFormatting sqref="A8:A10">
    <cfRule type="cellIs" dxfId="40" priority="55" operator="between">
      <formula>-0.0000000000001</formula>
      <formula>0.0000000000001</formula>
    </cfRule>
  </conditionalFormatting>
  <conditionalFormatting sqref="A8:A10">
    <cfRule type="cellIs" dxfId="39" priority="54" operator="between">
      <formula>-0.0000000000001</formula>
      <formula>0.0000000000001</formula>
    </cfRule>
  </conditionalFormatting>
  <conditionalFormatting sqref="A5:A6">
    <cfRule type="cellIs" dxfId="38" priority="48" operator="between">
      <formula>-0.0000000000001</formula>
      <formula>0.0000000000001</formula>
    </cfRule>
  </conditionalFormatting>
  <conditionalFormatting sqref="A5:A6">
    <cfRule type="cellIs" dxfId="37" priority="47" operator="between">
      <formula>-0.0000000000001</formula>
      <formula>0.0000000000001</formula>
    </cfRule>
  </conditionalFormatting>
  <conditionalFormatting sqref="C5:C6 A5:A6">
    <cfRule type="cellIs" dxfId="36" priority="46" operator="between">
      <formula>-0.0000000000001</formula>
      <formula>0.0000000000001</formula>
    </cfRule>
  </conditionalFormatting>
  <conditionalFormatting sqref="A9">
    <cfRule type="cellIs" dxfId="35" priority="44" operator="between">
      <formula>-0.0000000000001</formula>
      <formula>0.0000000000001</formula>
    </cfRule>
  </conditionalFormatting>
  <conditionalFormatting sqref="A9">
    <cfRule type="cellIs" dxfId="34" priority="43" operator="between">
      <formula>-0.0000000000001</formula>
      <formula>0.0000000000001</formula>
    </cfRule>
  </conditionalFormatting>
  <conditionalFormatting sqref="C9 A9">
    <cfRule type="cellIs" dxfId="33" priority="42" operator="between">
      <formula>-0.0000000000001</formula>
      <formula>0.0000000000001</formula>
    </cfRule>
  </conditionalFormatting>
  <conditionalFormatting sqref="D50:AA55">
    <cfRule type="colorScale" priority="3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58:AA88">
    <cfRule type="colorScale" priority="40">
      <colorScale>
        <cfvo type="min"/>
        <cfvo type="max"/>
        <color rgb="FFFCFCFF"/>
        <color rgb="FF63BE7B"/>
      </colorScale>
    </cfRule>
  </conditionalFormatting>
  <conditionalFormatting sqref="A58:A86">
    <cfRule type="colorScale" priority="38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3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58:A88 D58:AA88">
    <cfRule type="cellIs" dxfId="32" priority="36" operator="between">
      <formula>-0.0000000000001</formula>
      <formula>0.0000000000001</formula>
    </cfRule>
  </conditionalFormatting>
  <conditionalFormatting sqref="A90:A120">
    <cfRule type="colorScale" priority="35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D9:AA9">
    <cfRule type="cellIs" dxfId="31" priority="34" operator="between">
      <formula>-0.0000000000001</formula>
      <formula>0.0000000000001</formula>
    </cfRule>
  </conditionalFormatting>
  <conditionalFormatting sqref="D9:AA9">
    <cfRule type="cellIs" dxfId="30" priority="33" operator="between">
      <formula>-0.0000000000001</formula>
      <formula>0.0000000000001</formula>
    </cfRule>
  </conditionalFormatting>
  <conditionalFormatting sqref="D37:AA37">
    <cfRule type="cellIs" dxfId="29" priority="30" operator="between">
      <formula>-0.0000000000001</formula>
      <formula>0.0000000000001</formula>
    </cfRule>
  </conditionalFormatting>
  <conditionalFormatting sqref="D37:AA37">
    <cfRule type="cellIs" dxfId="28" priority="29" operator="between">
      <formula>-0.0000000000001</formula>
      <formula>0.0000000000001</formula>
    </cfRule>
  </conditionalFormatting>
  <conditionalFormatting sqref="D37:AA37">
    <cfRule type="cellIs" dxfId="27" priority="28" operator="between">
      <formula>-0.0000000000001</formula>
      <formula>0.0000000000001</formula>
    </cfRule>
  </conditionalFormatting>
  <conditionalFormatting sqref="A38">
    <cfRule type="cellIs" dxfId="26" priority="27" operator="between">
      <formula>-0.0000000000001</formula>
      <formula>0.0000000000001</formula>
    </cfRule>
  </conditionalFormatting>
  <conditionalFormatting sqref="A36">
    <cfRule type="cellIs" dxfId="25" priority="26" operator="between">
      <formula>-0.0000000000001</formula>
      <formula>0.0000000000001</formula>
    </cfRule>
  </conditionalFormatting>
  <conditionalFormatting sqref="A36">
    <cfRule type="cellIs" dxfId="24" priority="25" operator="between">
      <formula>-0.0000000000001</formula>
      <formula>0.0000000000001</formula>
    </cfRule>
  </conditionalFormatting>
  <conditionalFormatting sqref="A41">
    <cfRule type="cellIs" dxfId="23" priority="24" operator="between">
      <formula>-0.0000000000001</formula>
      <formula>0.0000000000001</formula>
    </cfRule>
  </conditionalFormatting>
  <conditionalFormatting sqref="A41">
    <cfRule type="cellIs" dxfId="22" priority="23" operator="between">
      <formula>-0.0000000000001</formula>
      <formula>0.0000000000001</formula>
    </cfRule>
  </conditionalFormatting>
  <conditionalFormatting sqref="A7">
    <cfRule type="cellIs" dxfId="21" priority="22" operator="between">
      <formula>-0.0000000000001</formula>
      <formula>0.0000000000001</formula>
    </cfRule>
  </conditionalFormatting>
  <conditionalFormatting sqref="A7">
    <cfRule type="cellIs" dxfId="20" priority="21" operator="between">
      <formula>-0.0000000000001</formula>
      <formula>0.0000000000001</formula>
    </cfRule>
  </conditionalFormatting>
  <conditionalFormatting sqref="C7 A7">
    <cfRule type="cellIs" dxfId="19" priority="20" operator="between">
      <formula>-0.0000000000001</formula>
      <formula>0.0000000000001</formula>
    </cfRule>
  </conditionalFormatting>
  <conditionalFormatting sqref="D7:AA7">
    <cfRule type="cellIs" dxfId="18" priority="19" operator="between">
      <formula>-0.0000000000001</formula>
      <formula>0.0000000000001</formula>
    </cfRule>
  </conditionalFormatting>
  <conditionalFormatting sqref="D7:AA7">
    <cfRule type="cellIs" dxfId="17" priority="18" operator="between">
      <formula>-0.0000000000001</formula>
      <formula>0.0000000000001</formula>
    </cfRule>
  </conditionalFormatting>
  <conditionalFormatting sqref="D7:O7">
    <cfRule type="cellIs" dxfId="16" priority="17" operator="between">
      <formula>-0.0000000000001</formula>
      <formula>0.0000000000001</formula>
    </cfRule>
  </conditionalFormatting>
  <conditionalFormatting sqref="P7:AA7">
    <cfRule type="cellIs" dxfId="15" priority="16" operator="between">
      <formula>-0.0000000000001</formula>
      <formula>0.0000000000001</formula>
    </cfRule>
  </conditionalFormatting>
  <conditionalFormatting sqref="D32:AA32 A32">
    <cfRule type="cellIs" dxfId="14" priority="15" operator="between">
      <formula>-0.0000000000001</formula>
      <formula>0.0000000000001</formula>
    </cfRule>
  </conditionalFormatting>
  <conditionalFormatting sqref="A32 D32:AA32">
    <cfRule type="cellIs" dxfId="13" priority="14" operator="between">
      <formula>-0.0000000000001</formula>
      <formula>0.0000000000001</formula>
    </cfRule>
  </conditionalFormatting>
  <conditionalFormatting sqref="A44:A47">
    <cfRule type="cellIs" dxfId="12" priority="10" operator="greaterThan">
      <formula>0.0000000000001</formula>
    </cfRule>
    <cfRule type="cellIs" dxfId="11" priority="13" operator="between">
      <formula>-0.0000000000001</formula>
      <formula>0.0000000000001</formula>
    </cfRule>
  </conditionalFormatting>
  <conditionalFormatting sqref="A44:A47">
    <cfRule type="cellIs" dxfId="10" priority="12" operator="between">
      <formula>-0.0000000000001</formula>
      <formula>0.0000000000001</formula>
    </cfRule>
  </conditionalFormatting>
  <conditionalFormatting sqref="A44:A47">
    <cfRule type="cellIs" dxfId="9" priority="11" operator="between">
      <formula>-0.0000000000001</formula>
      <formula>0.0000000000001</formula>
    </cfRule>
  </conditionalFormatting>
  <conditionalFormatting sqref="D44:AA47">
    <cfRule type="cellIs" dxfId="8" priority="6" operator="greaterThan">
      <formula>0.000000000001</formula>
    </cfRule>
    <cfRule type="cellIs" dxfId="7" priority="9" operator="between">
      <formula>-0.0000000000001</formula>
      <formula>0.0000000000001</formula>
    </cfRule>
  </conditionalFormatting>
  <conditionalFormatting sqref="D44:AA47">
    <cfRule type="cellIs" dxfId="6" priority="8" operator="between">
      <formula>-0.0000000000001</formula>
      <formula>0.0000000000001</formula>
    </cfRule>
  </conditionalFormatting>
  <conditionalFormatting sqref="D44:AA47">
    <cfRule type="cellIs" dxfId="5" priority="7" operator="between">
      <formula>-0.0000000000001</formula>
      <formula>0.0000000000001</formula>
    </cfRule>
  </conditionalFormatting>
  <conditionalFormatting sqref="B1">
    <cfRule type="cellIs" dxfId="4" priority="5" operator="greaterThan">
      <formula>0</formula>
    </cfRule>
  </conditionalFormatting>
  <conditionalFormatting sqref="A15 D15:AA15">
    <cfRule type="cellIs" dxfId="3" priority="4" operator="between">
      <formula>-0.0000000000001</formula>
      <formula>0.0000000000001</formula>
    </cfRule>
  </conditionalFormatting>
  <conditionalFormatting sqref="A15">
    <cfRule type="cellIs" dxfId="2" priority="3" operator="between">
      <formula>-0.0000000000001</formula>
      <formula>0.0000000000001</formula>
    </cfRule>
  </conditionalFormatting>
  <conditionalFormatting sqref="A15 C15:O15">
    <cfRule type="cellIs" dxfId="1" priority="2" operator="between">
      <formula>-0.0000000000001</formula>
      <formula>0.0000000000001</formula>
    </cfRule>
  </conditionalFormatting>
  <conditionalFormatting sqref="P15:AA15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Overblik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2022-01-24T19:59:32Z</dcterms:modified>
</cp:coreProperties>
</file>