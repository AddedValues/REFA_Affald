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A7F9CA51-721D-44C8-B98F-533BD4823613}" xr6:coauthVersionLast="47" xr6:coauthVersionMax="47" xr10:uidLastSave="{00000000-0000-0000-0000-000000000000}"/>
  <bookViews>
    <workbookView xWindow="3870" yWindow="2730" windowWidth="20745" windowHeight="13185" activeTab="1" xr2:uid="{43F97B8D-A1C5-4A28-82B2-29FE10E7B610}"/>
  </bookViews>
  <sheets>
    <sheet name="ScenInput" sheetId="7" r:id="rId1"/>
    <sheet name="Overblik" sheetId="1" r:id="rId2"/>
    <sheet name="Charts" sheetId="2" r:id="rId3"/>
    <sheet name="Lister" sheetId="6" r:id="rId4"/>
    <sheet name="Lister1" sheetId="3" r:id="rId5"/>
    <sheet name="SletMig" sheetId="4" r:id="rId6"/>
    <sheet name="SletMigOgså" sheetId="5" r:id="rId7"/>
  </sheets>
  <externalReferences>
    <externalReference r:id="rId8"/>
    <externalReference r:id="rId9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icol" hidden="1" xlm="1">#NAME?</definedName>
    <definedName name="_xlpm.id" hidden="1" xlm="1">#NAME?</definedName>
    <definedName name="_xlpm.ll" hidden="1" xlm="1">#NAME?</definedName>
    <definedName name="_xlpm.pmax" hidden="1" xlm="1">#NAME?</definedName>
    <definedName name="_xlpm.ran" hidden="1" xlm="1">#NAME?</definedName>
    <definedName name="_xlpm.res" hidden="1" xlm="1">#NAME?</definedName>
    <definedName name="Affaldsfraktioner">[2]DataFuel!$C$5:$C$30</definedName>
    <definedName name="arrNiv2">Lister!$A$39:$AL$44</definedName>
    <definedName name="arrNiv3">Lister!$A$48:$AJ$53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_xlfn.LET(_xlpm.icol,MATCH(Lister!$R1&amp;"2",listHeaders,0)-1,_xlpm.ran,OFFSET(Lister!$B$3,1,_xlpm.icol,40,1),OFFSET(Lister!$B$3,1,_xlpm.icol,COUNTA(_xlpm.ran)-COUNTIF(_xlpm.ran,"=0"),1))</definedName>
    <definedName name="DropDown3">_xlfn.LET(_xlpm.icol,MATCH(Lister!$R1&amp;"3",listHeaders,0)-1,_xlpm.ran,OFFSET(Lister!$B$3,1,_xlpm.icol,40,1),OFFSET(Lister!$B$3,1,_xlpm.icol,COUNTA(_xlpm.ran)-COUNTIF(_xlpm.ran,"=0"),1))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ropDownScen2" localSheetId="0">_xlfn.LET(_xlpm.icol,MATCH(ScenInput!$E1&amp;"2",listHeaders,0)-1,_xlpm.ran,OFFSET(Lister!$B$3,1,_xlpm.icol,40,1),OFFSET(Lister!$B$3,1,_xlpm.icol,COUNTA(_xlpm.ran)-COUNTIF(_xlpm.ran,"=0"),1))</definedName>
    <definedName name="DropDownScen2">_xlfn.LET(_xlpm.icol,MATCH(SletMigOgså!$E1&amp;"2",listHeaders,0)-1,_xlpm.ran,OFFSET(Lister!$B$3,1,_xlpm.icol,40,1),OFFSET(Lister!$B$3,1,_xlpm.icol,COUNTA(_xlpm.ran)-COUNTIF(_xlpm.ran,"=0"),1))</definedName>
    <definedName name="DropDownScen3" localSheetId="0">_xlfn.LET(_xlpm.icol,MATCH(ScenInput!$E1&amp;"3",listHeaders,0)-1,_xlpm.ran,OFFSET(Lister!$B$3,1,_xlpm.icol,40,1),OFFSET(Lister!$B$3,1,_xlpm.icol,COUNTA(_xlpm.ran)-COUNTIF(_xlpm.ran,"=0"),1))</definedName>
    <definedName name="DropDownScen3">_xlfn.LET(_xlpm.icol,MATCH(SletMigOgså!$E1&amp;"3",listHeaders,0)-1,_xlpm.ran,OFFSET(Lister!$B$3,1,_xlpm.icol,40,1),OFFSET(Lister!$B$3,1,_xlpm.icol,COUNTA(_xlpm.ran)-COUNTIF(_xlpm.ran,"=0"),1))</definedName>
    <definedName name="DSN" hidden="1">" "</definedName>
    <definedName name="ENDDATE" hidden="1">" "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[2]DataCtrl!$B$4:$B$20</definedName>
    <definedName name="listdynEmner">_xlfn.ANCHORARRAY(Lister1!$C$3)</definedName>
    <definedName name="listFuelAttr">[2]DataFuel!$D$4:$S$4</definedName>
    <definedName name="listFuelBounds">Lister!$P$4:$P$8</definedName>
    <definedName name="listFuelName">[2]DataFuel!$C$5:$C$33</definedName>
    <definedName name="listHeaders">Lister!$B$3:$P$3</definedName>
    <definedName name="listKategori">_xlfn.ANCHORARRAY(Lister1!$B$3)</definedName>
    <definedName name="listPrognosisAttr">[2]DataU!$E$22:$AC$22</definedName>
    <definedName name="listRoot">Lister!$B$4:$B$9</definedName>
    <definedName name="listScenTopics">Overblik!$A$4:$A$119</definedName>
    <definedName name="listScenTopicsTopLeft">Overblik!#REF!</definedName>
    <definedName name="listScheduleCols">[2]DataU!$B$3:$E$3</definedName>
    <definedName name="listScheduleRows">[2]DataU!$A$4:$A$6</definedName>
    <definedName name="listStorageAttr">[2]DataU!$R$11:$AC$11</definedName>
    <definedName name="listStorageName">[2]DataU!$Q$12:$Q$17</definedName>
    <definedName name="listUnitAttr">[2]DataU!$B$11:$O$11</definedName>
    <definedName name="listUnitsName">[2]DataU!$A$12:$A$17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[2]ScenOLD!$C$4</definedName>
    <definedName name="nFuelA">[2]ModelParms!#REF!</definedName>
    <definedName name="Nscen">Lister1!$I$3</definedName>
    <definedName name="NUMBERFACTOR" hidden="1">1</definedName>
    <definedName name="OfzNiveau2">Lister!$B$38</definedName>
    <definedName name="OfzNiveau3">Lister!$B$47</definedName>
    <definedName name="PerDataFirst">[2]DataU!$B$6</definedName>
    <definedName name="PerDataLast">[2]DataU!$C$6</definedName>
    <definedName name="PeriodRange">[2]DataU!$C$23:$C$58</definedName>
    <definedName name="PerSlut">[2]DataU!$E$6</definedName>
    <definedName name="PerStart">[2]DataU!$D$6</definedName>
    <definedName name="PROTECT" hidden="1">FALSE</definedName>
    <definedName name="QUATERVAT" hidden="1">FALSE</definedName>
    <definedName name="SCDim">" "</definedName>
    <definedName name="ScenProtoTHIS">!A1</definedName>
    <definedName name="scenTopicsHeader">Overblik!$A$4</definedName>
    <definedName name="series1">_xlfn.ANCHORARRAY(Charts!$G$6)</definedName>
    <definedName name="Series2">_xlfn.ANCHORARRAY(Charts!$G$7)</definedName>
    <definedName name="Series3">_xlfn.ANCHORARRAY(Charts!$G$8)</definedName>
    <definedName name="Series4">_xlfn.ANCHORARRAY(Charts!$G$9)</definedName>
    <definedName name="Series5">_xlfn.ANCHORARRAY(Charts!$G$10)</definedName>
    <definedName name="STARTDATE" hidden="1">" "</definedName>
    <definedName name="TEMPLATE" hidden="1">"Budget"</definedName>
    <definedName name="USEBORDERS" hidden="1">"ON"</definedName>
    <definedName name="USENEXTYEAR">!A1</definedName>
    <definedName name="valgtKategori">Charts!$B$6</definedName>
    <definedName name="VCONSOLID" hidden="1">TRUE</definedName>
    <definedName name="VEXPORT" hidden="1">TRUE</definedName>
    <definedName name="YEAR">2022</definedName>
    <definedName name="ØvrigeBrændsler">[2]DataFuel!$C$31:$C$33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7" l="1"/>
  <c r="C7" i="7"/>
  <c r="C8" i="7"/>
  <c r="C9" i="7"/>
  <c r="C10" i="7"/>
  <c r="C11" i="7"/>
  <c r="C12" i="7"/>
  <c r="C13" i="7"/>
  <c r="C14" i="7"/>
  <c r="C15" i="7"/>
  <c r="C16" i="7"/>
  <c r="C17" i="7"/>
  <c r="O17" i="7" s="1"/>
  <c r="C18" i="7"/>
  <c r="O18" i="7" s="1"/>
  <c r="C19" i="7"/>
  <c r="O19" i="7" s="1"/>
  <c r="C20" i="7"/>
  <c r="O20" i="7" s="1"/>
  <c r="C21" i="7"/>
  <c r="O21" i="7" s="1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6" i="7"/>
  <c r="G11" i="2" a="1"/>
  <c r="G11" i="2" s="1"/>
  <c r="G12" i="2" a="1"/>
  <c r="G12" i="2" s="1"/>
  <c r="G13" i="2" a="1"/>
  <c r="G13" i="2" s="1"/>
  <c r="G14" i="2" a="1"/>
  <c r="G14" i="2" s="1"/>
  <c r="G15" i="2" a="1"/>
  <c r="G15" i="2" s="1"/>
  <c r="F11" i="2"/>
  <c r="F12" i="2"/>
  <c r="F13" i="2"/>
  <c r="F14" i="2"/>
  <c r="F15" i="2"/>
  <c r="I3" i="3" a="1"/>
  <c r="I3" i="3" s="1"/>
  <c r="I6" i="7"/>
  <c r="J6" i="7"/>
  <c r="K6" i="7"/>
  <c r="I7" i="7"/>
  <c r="J7" i="7"/>
  <c r="K7" i="7"/>
  <c r="I8" i="7"/>
  <c r="J8" i="7"/>
  <c r="K8" i="7"/>
  <c r="I9" i="7"/>
  <c r="J9" i="7"/>
  <c r="K9" i="7"/>
  <c r="I10" i="7"/>
  <c r="J10" i="7"/>
  <c r="K10" i="7"/>
  <c r="I11" i="7"/>
  <c r="J11" i="7"/>
  <c r="K11" i="7"/>
  <c r="I12" i="7"/>
  <c r="J12" i="7"/>
  <c r="K12" i="7"/>
  <c r="I13" i="7"/>
  <c r="J13" i="7"/>
  <c r="K13" i="7"/>
  <c r="I14" i="7"/>
  <c r="J14" i="7"/>
  <c r="K14" i="7"/>
  <c r="I15" i="7"/>
  <c r="J15" i="7"/>
  <c r="K15" i="7"/>
  <c r="I16" i="7"/>
  <c r="J16" i="7"/>
  <c r="K16" i="7"/>
  <c r="I17" i="7"/>
  <c r="J17" i="7"/>
  <c r="K17" i="7"/>
  <c r="I18" i="7"/>
  <c r="J18" i="7"/>
  <c r="K18" i="7"/>
  <c r="I19" i="7"/>
  <c r="J19" i="7"/>
  <c r="K19" i="7"/>
  <c r="I20" i="7"/>
  <c r="J20" i="7"/>
  <c r="K20" i="7"/>
  <c r="I21" i="7"/>
  <c r="J21" i="7"/>
  <c r="K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H7" i="7"/>
  <c r="H8" i="7"/>
  <c r="V8" i="7" s="1"/>
  <c r="H9" i="7"/>
  <c r="H10" i="7"/>
  <c r="H11" i="7"/>
  <c r="H12" i="7"/>
  <c r="H13" i="7"/>
  <c r="H14" i="7"/>
  <c r="H15" i="7"/>
  <c r="H16" i="7"/>
  <c r="V16" i="7" s="1"/>
  <c r="H17" i="7"/>
  <c r="H18" i="7"/>
  <c r="H19" i="7"/>
  <c r="H20" i="7"/>
  <c r="V20" i="7" s="1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6" i="7"/>
  <c r="Y6" i="7" s="1"/>
  <c r="G7" i="7" a="1"/>
  <c r="G7" i="7" s="1"/>
  <c r="G9" i="7" a="1"/>
  <c r="G9" i="7" s="1"/>
  <c r="G10" i="7" a="1"/>
  <c r="G10" i="7" s="1"/>
  <c r="G12" i="7" a="1"/>
  <c r="G12" i="7" s="1"/>
  <c r="G13" i="7" a="1"/>
  <c r="G13" i="7" s="1"/>
  <c r="G14" i="7" a="1"/>
  <c r="G14" i="7" s="1"/>
  <c r="G15" i="7" a="1"/>
  <c r="G15" i="7" s="1"/>
  <c r="G16" i="7" a="1"/>
  <c r="G16" i="7" s="1"/>
  <c r="G17" i="7" a="1"/>
  <c r="G17" i="7" s="1"/>
  <c r="G18" i="7" a="1"/>
  <c r="G18" i="7" s="1"/>
  <c r="G19" i="7" a="1"/>
  <c r="G19" i="7" s="1"/>
  <c r="G20" i="7" a="1"/>
  <c r="G20" i="7" s="1"/>
  <c r="G21" i="7" a="1"/>
  <c r="G21" i="7" s="1"/>
  <c r="G22" i="7" a="1"/>
  <c r="G22" i="7" s="1"/>
  <c r="G23" i="7" a="1"/>
  <c r="G23" i="7" s="1"/>
  <c r="G24" i="7" a="1"/>
  <c r="G24" i="7" s="1"/>
  <c r="G25" i="7" a="1"/>
  <c r="G25" i="7" s="1"/>
  <c r="G26" i="7" a="1"/>
  <c r="G26" i="7" s="1"/>
  <c r="G27" i="7" a="1"/>
  <c r="G27" i="7" s="1"/>
  <c r="G28" i="7" a="1"/>
  <c r="G28" i="7" s="1"/>
  <c r="G29" i="7" a="1"/>
  <c r="G29" i="7" s="1"/>
  <c r="G30" i="7" a="1"/>
  <c r="G30" i="7" s="1"/>
  <c r="G31" i="7" a="1"/>
  <c r="G31" i="7" s="1"/>
  <c r="G32" i="7" a="1"/>
  <c r="G32" i="7" s="1"/>
  <c r="G33" i="7" a="1"/>
  <c r="G33" i="7" s="1"/>
  <c r="G34" i="7" a="1"/>
  <c r="G34" i="7" s="1"/>
  <c r="G35" i="7" a="1"/>
  <c r="G35" i="7" s="1"/>
  <c r="G36" i="7" a="1"/>
  <c r="G36" i="7" s="1"/>
  <c r="G37" i="7" a="1"/>
  <c r="G37" i="7" s="1"/>
  <c r="G38" i="7" a="1"/>
  <c r="G38" i="7" s="1"/>
  <c r="G39" i="7" a="1"/>
  <c r="G39" i="7" s="1"/>
  <c r="G40" i="7" a="1"/>
  <c r="G40" i="7" s="1"/>
  <c r="G41" i="7" a="1"/>
  <c r="G41" i="7" s="1"/>
  <c r="G42" i="7" a="1"/>
  <c r="G42" i="7" s="1"/>
  <c r="G6" i="7" a="1"/>
  <c r="G6" i="7" s="1"/>
  <c r="F13" i="7" a="1"/>
  <c r="F13" i="7" s="1"/>
  <c r="F14" i="7" a="1"/>
  <c r="F14" i="7" s="1"/>
  <c r="F15" i="7" a="1"/>
  <c r="F15" i="7" s="1"/>
  <c r="F16" i="7" a="1"/>
  <c r="F16" i="7" s="1"/>
  <c r="F17" i="7" a="1"/>
  <c r="F17" i="7" s="1"/>
  <c r="F18" i="7" a="1"/>
  <c r="F18" i="7" s="1"/>
  <c r="F19" i="7" a="1"/>
  <c r="F19" i="7" s="1"/>
  <c r="F20" i="7" a="1"/>
  <c r="F20" i="7" s="1"/>
  <c r="F21" i="7" a="1"/>
  <c r="F21" i="7" s="1"/>
  <c r="F22" i="7" a="1"/>
  <c r="F22" i="7" s="1"/>
  <c r="F23" i="7" a="1"/>
  <c r="F23" i="7" s="1"/>
  <c r="F24" i="7" a="1"/>
  <c r="F24" i="7" s="1"/>
  <c r="F25" i="7" a="1"/>
  <c r="F25" i="7" s="1"/>
  <c r="F26" i="7" a="1"/>
  <c r="F26" i="7" s="1"/>
  <c r="F27" i="7" a="1"/>
  <c r="F27" i="7" s="1"/>
  <c r="F28" i="7" a="1"/>
  <c r="F28" i="7" s="1"/>
  <c r="F29" i="7" a="1"/>
  <c r="F29" i="7" s="1"/>
  <c r="F30" i="7" a="1"/>
  <c r="F30" i="7" s="1"/>
  <c r="F31" i="7" a="1"/>
  <c r="F31" i="7" s="1"/>
  <c r="F32" i="7" a="1"/>
  <c r="F32" i="7" s="1"/>
  <c r="F33" i="7" a="1"/>
  <c r="F33" i="7" s="1"/>
  <c r="F34" i="7" a="1"/>
  <c r="F34" i="7" s="1"/>
  <c r="F35" i="7" a="1"/>
  <c r="F35" i="7" s="1"/>
  <c r="F36" i="7" a="1"/>
  <c r="F36" i="7" s="1"/>
  <c r="F37" i="7" a="1"/>
  <c r="F37" i="7" s="1"/>
  <c r="F38" i="7" a="1"/>
  <c r="F38" i="7" s="1"/>
  <c r="F39" i="7" a="1"/>
  <c r="F39" i="7" s="1"/>
  <c r="F40" i="7" a="1"/>
  <c r="F40" i="7" s="1"/>
  <c r="F41" i="7" a="1"/>
  <c r="F41" i="7" s="1"/>
  <c r="F42" i="7" a="1"/>
  <c r="F42" i="7" s="1"/>
  <c r="E7" i="7" a="1"/>
  <c r="E7" i="7" s="1"/>
  <c r="E8" i="7" a="1"/>
  <c r="E8" i="7" s="1"/>
  <c r="E9" i="7" a="1"/>
  <c r="E9" i="7" s="1"/>
  <c r="E10" i="7" a="1"/>
  <c r="E10" i="7" s="1"/>
  <c r="E11" i="7" a="1"/>
  <c r="E11" i="7" s="1"/>
  <c r="E12" i="7" a="1"/>
  <c r="E12" i="7" s="1"/>
  <c r="E13" i="7" a="1"/>
  <c r="E13" i="7" s="1"/>
  <c r="E14" i="7" a="1"/>
  <c r="E14" i="7" s="1"/>
  <c r="E15" i="7" a="1"/>
  <c r="E15" i="7" s="1"/>
  <c r="E16" i="7" a="1"/>
  <c r="E16" i="7" s="1"/>
  <c r="E17" i="7" a="1"/>
  <c r="E17" i="7" s="1"/>
  <c r="E18" i="7" a="1"/>
  <c r="E18" i="7" s="1"/>
  <c r="E19" i="7" a="1"/>
  <c r="E19" i="7" s="1"/>
  <c r="E20" i="7" a="1"/>
  <c r="E20" i="7" s="1"/>
  <c r="E21" i="7" a="1"/>
  <c r="E21" i="7" s="1"/>
  <c r="E22" i="7" a="1"/>
  <c r="E22" i="7" s="1"/>
  <c r="E23" i="7" a="1"/>
  <c r="E23" i="7" s="1"/>
  <c r="E24" i="7" a="1"/>
  <c r="E24" i="7" s="1"/>
  <c r="E25" i="7" a="1"/>
  <c r="E25" i="7" s="1"/>
  <c r="E26" i="7" a="1"/>
  <c r="E26" i="7" s="1"/>
  <c r="E27" i="7" a="1"/>
  <c r="E27" i="7" s="1"/>
  <c r="E28" i="7" a="1"/>
  <c r="E28" i="7" s="1"/>
  <c r="E29" i="7" a="1"/>
  <c r="E29" i="7" s="1"/>
  <c r="E30" i="7" a="1"/>
  <c r="E30" i="7" s="1"/>
  <c r="E31" i="7" a="1"/>
  <c r="E31" i="7" s="1"/>
  <c r="E32" i="7" a="1"/>
  <c r="E32" i="7" s="1"/>
  <c r="E33" i="7" a="1"/>
  <c r="E33" i="7" s="1"/>
  <c r="E34" i="7" a="1"/>
  <c r="E34" i="7" s="1"/>
  <c r="E35" i="7" a="1"/>
  <c r="E35" i="7" s="1"/>
  <c r="E36" i="7" a="1"/>
  <c r="E36" i="7" s="1"/>
  <c r="E37" i="7" a="1"/>
  <c r="E37" i="7" s="1"/>
  <c r="E38" i="7" a="1"/>
  <c r="E38" i="7" s="1"/>
  <c r="E39" i="7" a="1"/>
  <c r="E39" i="7" s="1"/>
  <c r="E40" i="7" a="1"/>
  <c r="E40" i="7" s="1"/>
  <c r="E41" i="7" a="1"/>
  <c r="E41" i="7" s="1"/>
  <c r="E42" i="7" a="1"/>
  <c r="E42" i="7" s="1"/>
  <c r="E6" i="7" a="1"/>
  <c r="E6" i="7" s="1"/>
  <c r="O14" i="7"/>
  <c r="O1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C43" i="7"/>
  <c r="D43" i="7"/>
  <c r="C44" i="7"/>
  <c r="D44" i="7"/>
  <c r="C45" i="7"/>
  <c r="D45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6" i="7"/>
  <c r="O15" i="7"/>
  <c r="N7" i="4"/>
  <c r="O7" i="4"/>
  <c r="P7" i="4"/>
  <c r="Q7" i="4"/>
  <c r="R7" i="4"/>
  <c r="S7" i="4"/>
  <c r="T7" i="4"/>
  <c r="U7" i="4"/>
  <c r="V7" i="4"/>
  <c r="W7" i="4"/>
  <c r="X7" i="4"/>
  <c r="Y7" i="4"/>
  <c r="N8" i="4"/>
  <c r="O8" i="4"/>
  <c r="P8" i="4"/>
  <c r="Q8" i="4"/>
  <c r="R8" i="4"/>
  <c r="S8" i="4"/>
  <c r="T8" i="4"/>
  <c r="U8" i="4"/>
  <c r="V8" i="4"/>
  <c r="W8" i="4"/>
  <c r="X8" i="4"/>
  <c r="Y8" i="4"/>
  <c r="N9" i="4"/>
  <c r="O9" i="4"/>
  <c r="P9" i="4"/>
  <c r="Q9" i="4"/>
  <c r="R9" i="4"/>
  <c r="S9" i="4"/>
  <c r="T9" i="4"/>
  <c r="U9" i="4"/>
  <c r="V9" i="4"/>
  <c r="W9" i="4"/>
  <c r="X9" i="4"/>
  <c r="Y9" i="4"/>
  <c r="N10" i="4"/>
  <c r="O10" i="4"/>
  <c r="P10" i="4"/>
  <c r="Q10" i="4"/>
  <c r="R10" i="4"/>
  <c r="S10" i="4"/>
  <c r="T10" i="4"/>
  <c r="U10" i="4"/>
  <c r="V10" i="4"/>
  <c r="W10" i="4"/>
  <c r="X10" i="4"/>
  <c r="Y10" i="4"/>
  <c r="N11" i="4"/>
  <c r="O11" i="4"/>
  <c r="P11" i="4"/>
  <c r="Q11" i="4"/>
  <c r="R11" i="4"/>
  <c r="S11" i="4"/>
  <c r="T11" i="4"/>
  <c r="U11" i="4"/>
  <c r="V11" i="4"/>
  <c r="W11" i="4"/>
  <c r="X11" i="4"/>
  <c r="Y11" i="4"/>
  <c r="N12" i="4"/>
  <c r="O12" i="4"/>
  <c r="P12" i="4"/>
  <c r="Q12" i="4"/>
  <c r="R12" i="4"/>
  <c r="S12" i="4"/>
  <c r="T12" i="4"/>
  <c r="U12" i="4"/>
  <c r="V12" i="4"/>
  <c r="W12" i="4"/>
  <c r="X12" i="4"/>
  <c r="Y12" i="4"/>
  <c r="N13" i="4"/>
  <c r="O13" i="4"/>
  <c r="P13" i="4"/>
  <c r="Q13" i="4"/>
  <c r="R13" i="4"/>
  <c r="S13" i="4"/>
  <c r="T13" i="4"/>
  <c r="U13" i="4"/>
  <c r="V13" i="4"/>
  <c r="W13" i="4"/>
  <c r="X13" i="4"/>
  <c r="Y13" i="4"/>
  <c r="N14" i="4"/>
  <c r="O14" i="4"/>
  <c r="P14" i="4"/>
  <c r="Q14" i="4"/>
  <c r="R14" i="4"/>
  <c r="S14" i="4"/>
  <c r="T14" i="4"/>
  <c r="U14" i="4"/>
  <c r="V14" i="4"/>
  <c r="W14" i="4"/>
  <c r="X14" i="4"/>
  <c r="Y14" i="4"/>
  <c r="N15" i="4"/>
  <c r="O15" i="4"/>
  <c r="P15" i="4"/>
  <c r="Q15" i="4"/>
  <c r="R15" i="4"/>
  <c r="S15" i="4"/>
  <c r="T15" i="4"/>
  <c r="U15" i="4"/>
  <c r="V15" i="4"/>
  <c r="W15" i="4"/>
  <c r="X15" i="4"/>
  <c r="Y15" i="4"/>
  <c r="N16" i="4"/>
  <c r="O16" i="4"/>
  <c r="P16" i="4"/>
  <c r="Q16" i="4"/>
  <c r="R16" i="4"/>
  <c r="S16" i="4"/>
  <c r="T16" i="4"/>
  <c r="U16" i="4"/>
  <c r="V16" i="4"/>
  <c r="W16" i="4"/>
  <c r="X16" i="4"/>
  <c r="Y16" i="4"/>
  <c r="N17" i="4"/>
  <c r="O17" i="4"/>
  <c r="P17" i="4"/>
  <c r="Q17" i="4"/>
  <c r="R17" i="4"/>
  <c r="S17" i="4"/>
  <c r="T17" i="4"/>
  <c r="U17" i="4"/>
  <c r="V17" i="4"/>
  <c r="W17" i="4"/>
  <c r="X17" i="4"/>
  <c r="Y17" i="4"/>
  <c r="N18" i="4"/>
  <c r="O18" i="4"/>
  <c r="P18" i="4"/>
  <c r="Q18" i="4"/>
  <c r="R18" i="4"/>
  <c r="S18" i="4"/>
  <c r="T18" i="4"/>
  <c r="U18" i="4"/>
  <c r="V18" i="4"/>
  <c r="W18" i="4"/>
  <c r="X18" i="4"/>
  <c r="Y18" i="4"/>
  <c r="N19" i="4"/>
  <c r="O19" i="4"/>
  <c r="P19" i="4"/>
  <c r="Q19" i="4"/>
  <c r="R19" i="4"/>
  <c r="S19" i="4"/>
  <c r="T19" i="4"/>
  <c r="U19" i="4"/>
  <c r="V19" i="4"/>
  <c r="W19" i="4"/>
  <c r="X19" i="4"/>
  <c r="Y19" i="4"/>
  <c r="N20" i="4"/>
  <c r="O20" i="4"/>
  <c r="P20" i="4"/>
  <c r="Q20" i="4"/>
  <c r="R20" i="4"/>
  <c r="S20" i="4"/>
  <c r="T20" i="4"/>
  <c r="U20" i="4"/>
  <c r="V20" i="4"/>
  <c r="W20" i="4"/>
  <c r="X20" i="4"/>
  <c r="Y20" i="4"/>
  <c r="N21" i="4"/>
  <c r="O21" i="4"/>
  <c r="P21" i="4"/>
  <c r="Q21" i="4"/>
  <c r="R21" i="4"/>
  <c r="S21" i="4"/>
  <c r="T21" i="4"/>
  <c r="U21" i="4"/>
  <c r="V21" i="4"/>
  <c r="W21" i="4"/>
  <c r="X21" i="4"/>
  <c r="Y21" i="4"/>
  <c r="O6" i="4"/>
  <c r="P6" i="4"/>
  <c r="Q6" i="4"/>
  <c r="R6" i="4"/>
  <c r="S6" i="4"/>
  <c r="T6" i="4"/>
  <c r="U6" i="4"/>
  <c r="V6" i="4"/>
  <c r="W6" i="4"/>
  <c r="X6" i="4"/>
  <c r="Y6" i="4"/>
  <c r="N6" i="4"/>
  <c r="B57" i="6"/>
  <c r="C53" i="6" a="1"/>
  <c r="C53" i="6" s="1"/>
  <c r="B53" i="6"/>
  <c r="B52" i="6"/>
  <c r="B51" i="6"/>
  <c r="A51" i="6"/>
  <c r="B50" i="6"/>
  <c r="B49" i="6"/>
  <c r="B48" i="6"/>
  <c r="B44" i="6"/>
  <c r="B43" i="6"/>
  <c r="B42" i="6"/>
  <c r="B41" i="6"/>
  <c r="B40" i="6"/>
  <c r="B39" i="6"/>
  <c r="N4" i="6" a="1"/>
  <c r="N4" i="6" s="1"/>
  <c r="C52" i="6" s="1" a="1"/>
  <c r="C52" i="6" s="1"/>
  <c r="L4" i="6" a="1"/>
  <c r="L4" i="6" s="1"/>
  <c r="C50" i="6" s="1" a="1"/>
  <c r="C50" i="6" s="1"/>
  <c r="K4" i="6" a="1"/>
  <c r="K4" i="6" s="1"/>
  <c r="C49" i="6" s="1" a="1"/>
  <c r="C49" i="6" s="1"/>
  <c r="H4" i="6" a="1"/>
  <c r="H4" i="6" s="1"/>
  <c r="C44" i="6" s="1" a="1"/>
  <c r="C44" i="6" s="1"/>
  <c r="G4" i="6" a="1"/>
  <c r="G4" i="6" s="1"/>
  <c r="C43" i="6" s="1" a="1"/>
  <c r="C43" i="6" s="1"/>
  <c r="F4" i="6" a="1"/>
  <c r="F4" i="6" s="1"/>
  <c r="C42" i="6" s="1" a="1"/>
  <c r="C42" i="6" s="1"/>
  <c r="E4" i="6" a="1"/>
  <c r="E4" i="6" s="1"/>
  <c r="D4" i="6" a="1"/>
  <c r="D4" i="6" s="1"/>
  <c r="C40" i="6" s="1" a="1"/>
  <c r="C40" i="6" s="1"/>
  <c r="C4" i="6" a="1"/>
  <c r="C4" i="6" s="1"/>
  <c r="C39" i="6" s="1" a="1"/>
  <c r="C39" i="6" s="1"/>
  <c r="J3" i="6"/>
  <c r="J3" i="6" a="1"/>
  <c r="C3" i="6" a="1"/>
  <c r="C3" i="6" s="1"/>
  <c r="W43" i="5"/>
  <c r="V43" i="5"/>
  <c r="W42" i="5"/>
  <c r="V42" i="5"/>
  <c r="W41" i="5"/>
  <c r="V41" i="5"/>
  <c r="W40" i="5"/>
  <c r="V40" i="5"/>
  <c r="W39" i="5"/>
  <c r="V39" i="5"/>
  <c r="W38" i="5"/>
  <c r="V38" i="5"/>
  <c r="W37" i="5"/>
  <c r="V37" i="5"/>
  <c r="W36" i="5"/>
  <c r="V36" i="5"/>
  <c r="W35" i="5"/>
  <c r="V35" i="5"/>
  <c r="W34" i="5"/>
  <c r="V34" i="5"/>
  <c r="W33" i="5"/>
  <c r="V33" i="5"/>
  <c r="W32" i="5"/>
  <c r="V32" i="5"/>
  <c r="W31" i="5"/>
  <c r="V31" i="5"/>
  <c r="W30" i="5"/>
  <c r="V30" i="5"/>
  <c r="W29" i="5"/>
  <c r="V29" i="5"/>
  <c r="W28" i="5"/>
  <c r="V28" i="5"/>
  <c r="W27" i="5"/>
  <c r="V27" i="5"/>
  <c r="W26" i="5"/>
  <c r="V26" i="5"/>
  <c r="W25" i="5"/>
  <c r="V25" i="5"/>
  <c r="W24" i="5"/>
  <c r="V24" i="5"/>
  <c r="W23" i="5"/>
  <c r="V23" i="5"/>
  <c r="W22" i="5"/>
  <c r="V22" i="5"/>
  <c r="Y21" i="5"/>
  <c r="W21" i="5"/>
  <c r="V21" i="5"/>
  <c r="U21" i="5"/>
  <c r="AI21" i="5" s="1"/>
  <c r="T21" i="5"/>
  <c r="AJ21" i="5" s="1"/>
  <c r="Q21" i="5"/>
  <c r="P21" i="5"/>
  <c r="O21" i="5"/>
  <c r="AJ20" i="5"/>
  <c r="AB20" i="5"/>
  <c r="Y20" i="5"/>
  <c r="W20" i="5"/>
  <c r="V20" i="5"/>
  <c r="U20" i="5"/>
  <c r="T20" i="5"/>
  <c r="AH20" i="5" s="1"/>
  <c r="S20" i="5"/>
  <c r="Q20" i="5"/>
  <c r="P20" i="5"/>
  <c r="O20" i="5"/>
  <c r="AI19" i="5"/>
  <c r="AH19" i="5"/>
  <c r="AA19" i="5"/>
  <c r="Z19" i="5"/>
  <c r="Y19" i="5"/>
  <c r="W19" i="5"/>
  <c r="V19" i="5"/>
  <c r="U19" i="5"/>
  <c r="T19" i="5"/>
  <c r="AF19" i="5" s="1"/>
  <c r="Q19" i="5"/>
  <c r="P19" i="5"/>
  <c r="O19" i="5"/>
  <c r="AI18" i="5"/>
  <c r="AG18" i="5"/>
  <c r="AF18" i="5"/>
  <c r="AA18" i="5"/>
  <c r="Y18" i="5"/>
  <c r="W18" i="5"/>
  <c r="V18" i="5"/>
  <c r="U18" i="5"/>
  <c r="T18" i="5"/>
  <c r="AD18" i="5" s="1"/>
  <c r="Q18" i="5"/>
  <c r="P18" i="5"/>
  <c r="O18" i="5"/>
  <c r="Y17" i="5"/>
  <c r="W17" i="5"/>
  <c r="V17" i="5"/>
  <c r="U17" i="5"/>
  <c r="AA17" i="5" s="1"/>
  <c r="T17" i="5"/>
  <c r="AJ17" i="5" s="1"/>
  <c r="Q17" i="5"/>
  <c r="S17" i="5" s="1"/>
  <c r="P17" i="5"/>
  <c r="O17" i="5"/>
  <c r="AJ16" i="5"/>
  <c r="AB16" i="5"/>
  <c r="Y16" i="5"/>
  <c r="W16" i="5"/>
  <c r="V16" i="5"/>
  <c r="U16" i="5"/>
  <c r="T16" i="5"/>
  <c r="AH16" i="5" s="1"/>
  <c r="Q16" i="5"/>
  <c r="P16" i="5"/>
  <c r="O16" i="5"/>
  <c r="AI15" i="5"/>
  <c r="AH15" i="5"/>
  <c r="AA15" i="5"/>
  <c r="Z15" i="5"/>
  <c r="Y15" i="5"/>
  <c r="W15" i="5"/>
  <c r="V15" i="5"/>
  <c r="U15" i="5"/>
  <c r="T15" i="5"/>
  <c r="AF15" i="5" s="1"/>
  <c r="Q15" i="5"/>
  <c r="P15" i="5"/>
  <c r="O15" i="5"/>
  <c r="AI14" i="5"/>
  <c r="AG14" i="5"/>
  <c r="AF14" i="5"/>
  <c r="AA14" i="5"/>
  <c r="Y14" i="5"/>
  <c r="W14" i="5"/>
  <c r="V14" i="5"/>
  <c r="U14" i="5"/>
  <c r="T14" i="5"/>
  <c r="AD14" i="5" s="1"/>
  <c r="Q14" i="5"/>
  <c r="P14" i="5"/>
  <c r="O14" i="5"/>
  <c r="Y13" i="5"/>
  <c r="W13" i="5"/>
  <c r="V13" i="5"/>
  <c r="U13" i="5"/>
  <c r="AA13" i="5" s="1"/>
  <c r="T13" i="5"/>
  <c r="AJ13" i="5" s="1"/>
  <c r="Q13" i="5"/>
  <c r="S13" i="5" s="1"/>
  <c r="P13" i="5"/>
  <c r="O13" i="5"/>
  <c r="AJ12" i="5"/>
  <c r="AC12" i="5"/>
  <c r="AB12" i="5"/>
  <c r="Y12" i="5"/>
  <c r="W12" i="5"/>
  <c r="V12" i="5"/>
  <c r="U12" i="5"/>
  <c r="T12" i="5"/>
  <c r="AH12" i="5" s="1"/>
  <c r="Q12" i="5"/>
  <c r="P12" i="5"/>
  <c r="O12" i="5"/>
  <c r="AI11" i="5"/>
  <c r="AH11" i="5"/>
  <c r="AA11" i="5"/>
  <c r="Z11" i="5"/>
  <c r="Y11" i="5"/>
  <c r="W11" i="5"/>
  <c r="V11" i="5"/>
  <c r="U11" i="5"/>
  <c r="T11" i="5"/>
  <c r="AF11" i="5" s="1"/>
  <c r="Q11" i="5"/>
  <c r="P11" i="5"/>
  <c r="O11" i="5"/>
  <c r="AK10" i="5"/>
  <c r="AJ10" i="5"/>
  <c r="AI10" i="5"/>
  <c r="AH10" i="5"/>
  <c r="AG10" i="5"/>
  <c r="AF10" i="5"/>
  <c r="Z10" i="5"/>
  <c r="Y10" i="5"/>
  <c r="W10" i="5"/>
  <c r="AC10" i="5" s="1"/>
  <c r="V10" i="5"/>
  <c r="AD10" i="5" s="1"/>
  <c r="Q10" i="5"/>
  <c r="S10" i="5" s="1"/>
  <c r="P10" i="5"/>
  <c r="O10" i="5"/>
  <c r="AJ9" i="5"/>
  <c r="AB9" i="5"/>
  <c r="Y9" i="5"/>
  <c r="W9" i="5"/>
  <c r="V9" i="5"/>
  <c r="U9" i="5"/>
  <c r="T9" i="5"/>
  <c r="AH9" i="5" s="1"/>
  <c r="S9" i="5"/>
  <c r="Q9" i="5"/>
  <c r="P9" i="5"/>
  <c r="O9" i="5"/>
  <c r="AI8" i="5"/>
  <c r="AH8" i="5"/>
  <c r="AA8" i="5"/>
  <c r="Z8" i="5"/>
  <c r="Y8" i="5"/>
  <c r="W8" i="5"/>
  <c r="V8" i="5"/>
  <c r="U8" i="5"/>
  <c r="T8" i="5"/>
  <c r="AF8" i="5" s="1"/>
  <c r="Q8" i="5"/>
  <c r="P8" i="5"/>
  <c r="O8" i="5"/>
  <c r="AI7" i="5"/>
  <c r="AG7" i="5"/>
  <c r="AF7" i="5"/>
  <c r="AC7" i="5"/>
  <c r="AA7" i="5"/>
  <c r="Y7" i="5"/>
  <c r="W7" i="5"/>
  <c r="V7" i="5"/>
  <c r="U7" i="5"/>
  <c r="T7" i="5"/>
  <c r="AD7" i="5" s="1"/>
  <c r="S7" i="5"/>
  <c r="Q7" i="5"/>
  <c r="P7" i="5"/>
  <c r="O7" i="5"/>
  <c r="Y6" i="5"/>
  <c r="W6" i="5"/>
  <c r="V6" i="5"/>
  <c r="U6" i="5"/>
  <c r="AI6" i="5" s="1"/>
  <c r="T6" i="5"/>
  <c r="AJ6" i="5" s="1"/>
  <c r="Q6" i="5"/>
  <c r="S6" i="5" s="1"/>
  <c r="P6" i="5"/>
  <c r="O6" i="5"/>
  <c r="W5" i="5"/>
  <c r="V5" i="5"/>
  <c r="U5" i="5"/>
  <c r="T5" i="5"/>
  <c r="F7" i="2"/>
  <c r="F8" i="2"/>
  <c r="F9" i="2"/>
  <c r="F10" i="2"/>
  <c r="F6" i="2"/>
  <c r="C2" i="3"/>
  <c r="A87" i="1"/>
  <c r="A88" i="1"/>
  <c r="A119" i="1"/>
  <c r="A120" i="1"/>
  <c r="A121" i="1"/>
  <c r="A122" i="1"/>
  <c r="A123" i="1"/>
  <c r="A124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90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58" i="1"/>
  <c r="A51" i="1"/>
  <c r="A52" i="1"/>
  <c r="A53" i="1"/>
  <c r="A54" i="1"/>
  <c r="A55" i="1"/>
  <c r="A56" i="1"/>
  <c r="A50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J1" i="1"/>
  <c r="O13" i="7" l="1"/>
  <c r="R35" i="7"/>
  <c r="R27" i="7"/>
  <c r="R37" i="7"/>
  <c r="R29" i="7"/>
  <c r="R21" i="7"/>
  <c r="R13" i="7"/>
  <c r="V12" i="7"/>
  <c r="R33" i="7"/>
  <c r="Q17" i="7"/>
  <c r="R41" i="7"/>
  <c r="R25" i="7"/>
  <c r="Q9" i="7"/>
  <c r="Q19" i="7"/>
  <c r="Y25" i="7"/>
  <c r="V40" i="7"/>
  <c r="V32" i="7"/>
  <c r="V24" i="7"/>
  <c r="V38" i="7"/>
  <c r="V30" i="7"/>
  <c r="V22" i="7"/>
  <c r="V14" i="7"/>
  <c r="Y17" i="7"/>
  <c r="R19" i="7"/>
  <c r="R11" i="7"/>
  <c r="Q11" i="7"/>
  <c r="U42" i="7"/>
  <c r="U34" i="7"/>
  <c r="U26" i="7"/>
  <c r="U18" i="7"/>
  <c r="U10" i="7"/>
  <c r="Y9" i="7"/>
  <c r="Z6" i="7"/>
  <c r="U36" i="7"/>
  <c r="U28" i="7"/>
  <c r="Y41" i="7"/>
  <c r="R15" i="7"/>
  <c r="R7" i="7"/>
  <c r="Y33" i="7"/>
  <c r="E13" i="2"/>
  <c r="R39" i="7"/>
  <c r="R31" i="7"/>
  <c r="R23" i="7"/>
  <c r="Q35" i="7"/>
  <c r="Q27" i="7"/>
  <c r="Y21" i="7"/>
  <c r="Y13" i="7"/>
  <c r="Q41" i="7"/>
  <c r="Q33" i="7"/>
  <c r="Q25" i="7"/>
  <c r="V36" i="7"/>
  <c r="V28" i="7"/>
  <c r="U40" i="7"/>
  <c r="U32" i="7"/>
  <c r="U24" i="7"/>
  <c r="U16" i="7"/>
  <c r="U8" i="7"/>
  <c r="U38" i="7"/>
  <c r="U30" i="7"/>
  <c r="U22" i="7"/>
  <c r="U14" i="7"/>
  <c r="V42" i="7"/>
  <c r="V34" i="7"/>
  <c r="V26" i="7"/>
  <c r="V18" i="7"/>
  <c r="V10" i="7"/>
  <c r="Y37" i="7"/>
  <c r="Y29" i="7"/>
  <c r="U20" i="7"/>
  <c r="U12" i="7"/>
  <c r="R17" i="7"/>
  <c r="R9" i="7"/>
  <c r="R6" i="7"/>
  <c r="Q37" i="7"/>
  <c r="Q29" i="7"/>
  <c r="Y19" i="7"/>
  <c r="Y11" i="7"/>
  <c r="S6" i="7"/>
  <c r="AA6" i="7"/>
  <c r="T42" i="7"/>
  <c r="X41" i="7"/>
  <c r="P41" i="7"/>
  <c r="T40" i="7"/>
  <c r="X39" i="7"/>
  <c r="P39" i="7"/>
  <c r="T38" i="7"/>
  <c r="X37" i="7"/>
  <c r="P37" i="7"/>
  <c r="T36" i="7"/>
  <c r="X35" i="7"/>
  <c r="P35" i="7"/>
  <c r="T34" i="7"/>
  <c r="X33" i="7"/>
  <c r="P33" i="7"/>
  <c r="T32" i="7"/>
  <c r="X31" i="7"/>
  <c r="P31" i="7"/>
  <c r="T30" i="7"/>
  <c r="X29" i="7"/>
  <c r="P29" i="7"/>
  <c r="T28" i="7"/>
  <c r="X27" i="7"/>
  <c r="P27" i="7"/>
  <c r="T26" i="7"/>
  <c r="X25" i="7"/>
  <c r="P25" i="7"/>
  <c r="T24" i="7"/>
  <c r="X23" i="7"/>
  <c r="P23" i="7"/>
  <c r="T22" i="7"/>
  <c r="X21" i="7"/>
  <c r="P21" i="7"/>
  <c r="T20" i="7"/>
  <c r="X19" i="7"/>
  <c r="P19" i="7"/>
  <c r="T18" i="7"/>
  <c r="X17" i="7"/>
  <c r="P17" i="7"/>
  <c r="T16" i="7"/>
  <c r="X15" i="7"/>
  <c r="P15" i="7"/>
  <c r="T14" i="7"/>
  <c r="X13" i="7"/>
  <c r="P13" i="7"/>
  <c r="T12" i="7"/>
  <c r="X11" i="7"/>
  <c r="P11" i="7"/>
  <c r="T10" i="7"/>
  <c r="X9" i="7"/>
  <c r="P9" i="7"/>
  <c r="T8" i="7"/>
  <c r="X7" i="7"/>
  <c r="P7" i="7"/>
  <c r="Y35" i="7"/>
  <c r="Q31" i="7"/>
  <c r="Y27" i="7"/>
  <c r="Y7" i="7"/>
  <c r="E6" i="2"/>
  <c r="G6" i="2" s="1" a="1"/>
  <c r="G6" i="2" s="1"/>
  <c r="T6" i="7"/>
  <c r="AA42" i="7"/>
  <c r="S42" i="7"/>
  <c r="W41" i="7"/>
  <c r="AA40" i="7"/>
  <c r="S40" i="7"/>
  <c r="W39" i="7"/>
  <c r="AA38" i="7"/>
  <c r="S38" i="7"/>
  <c r="W37" i="7"/>
  <c r="AA36" i="7"/>
  <c r="S36" i="7"/>
  <c r="W35" i="7"/>
  <c r="AA34" i="7"/>
  <c r="S34" i="7"/>
  <c r="W33" i="7"/>
  <c r="AA32" i="7"/>
  <c r="S32" i="7"/>
  <c r="W31" i="7"/>
  <c r="AA30" i="7"/>
  <c r="S30" i="7"/>
  <c r="W29" i="7"/>
  <c r="AA28" i="7"/>
  <c r="S28" i="7"/>
  <c r="W27" i="7"/>
  <c r="AA26" i="7"/>
  <c r="S26" i="7"/>
  <c r="W25" i="7"/>
  <c r="AA24" i="7"/>
  <c r="S24" i="7"/>
  <c r="W23" i="7"/>
  <c r="AA22" i="7"/>
  <c r="S22" i="7"/>
  <c r="W21" i="7"/>
  <c r="AA20" i="7"/>
  <c r="S20" i="7"/>
  <c r="W19" i="7"/>
  <c r="AA18" i="7"/>
  <c r="S18" i="7"/>
  <c r="W17" i="7"/>
  <c r="AA16" i="7"/>
  <c r="S16" i="7"/>
  <c r="W15" i="7"/>
  <c r="AA14" i="7"/>
  <c r="S14" i="7"/>
  <c r="W13" i="7"/>
  <c r="AA12" i="7"/>
  <c r="S12" i="7"/>
  <c r="W11" i="7"/>
  <c r="AA10" i="7"/>
  <c r="S10" i="7"/>
  <c r="W9" i="7"/>
  <c r="AA8" i="7"/>
  <c r="S8" i="7"/>
  <c r="W7" i="7"/>
  <c r="Q21" i="7"/>
  <c r="Q13" i="7"/>
  <c r="U6" i="7"/>
  <c r="Z42" i="7"/>
  <c r="R42" i="7"/>
  <c r="V41" i="7"/>
  <c r="Z40" i="7"/>
  <c r="R40" i="7"/>
  <c r="V39" i="7"/>
  <c r="Z38" i="7"/>
  <c r="R38" i="7"/>
  <c r="V37" i="7"/>
  <c r="Z36" i="7"/>
  <c r="R36" i="7"/>
  <c r="V35" i="7"/>
  <c r="Z34" i="7"/>
  <c r="R34" i="7"/>
  <c r="V33" i="7"/>
  <c r="Z32" i="7"/>
  <c r="R32" i="7"/>
  <c r="V31" i="7"/>
  <c r="Z30" i="7"/>
  <c r="R30" i="7"/>
  <c r="V29" i="7"/>
  <c r="Z28" i="7"/>
  <c r="R28" i="7"/>
  <c r="V27" i="7"/>
  <c r="Z26" i="7"/>
  <c r="R26" i="7"/>
  <c r="V25" i="7"/>
  <c r="Z24" i="7"/>
  <c r="R24" i="7"/>
  <c r="V23" i="7"/>
  <c r="Z22" i="7"/>
  <c r="R22" i="7"/>
  <c r="V21" i="7"/>
  <c r="Z20" i="7"/>
  <c r="R20" i="7"/>
  <c r="V19" i="7"/>
  <c r="Z18" i="7"/>
  <c r="R18" i="7"/>
  <c r="V17" i="7"/>
  <c r="Z16" i="7"/>
  <c r="R16" i="7"/>
  <c r="V15" i="7"/>
  <c r="Z14" i="7"/>
  <c r="R14" i="7"/>
  <c r="V13" i="7"/>
  <c r="Z12" i="7"/>
  <c r="R12" i="7"/>
  <c r="V11" i="7"/>
  <c r="Z10" i="7"/>
  <c r="R10" i="7"/>
  <c r="V9" i="7"/>
  <c r="Z8" i="7"/>
  <c r="R8" i="7"/>
  <c r="V7" i="7"/>
  <c r="E12" i="2"/>
  <c r="Y31" i="7"/>
  <c r="Q15" i="7"/>
  <c r="V6" i="7"/>
  <c r="Y42" i="7"/>
  <c r="Q42" i="7"/>
  <c r="U41" i="7"/>
  <c r="Y40" i="7"/>
  <c r="Q40" i="7"/>
  <c r="U39" i="7"/>
  <c r="Y38" i="7"/>
  <c r="Q38" i="7"/>
  <c r="U37" i="7"/>
  <c r="Y36" i="7"/>
  <c r="Q36" i="7"/>
  <c r="U35" i="7"/>
  <c r="Y34" i="7"/>
  <c r="Q34" i="7"/>
  <c r="U33" i="7"/>
  <c r="Y32" i="7"/>
  <c r="Q32" i="7"/>
  <c r="U31" i="7"/>
  <c r="Y30" i="7"/>
  <c r="Q30" i="7"/>
  <c r="U29" i="7"/>
  <c r="Y28" i="7"/>
  <c r="Q28" i="7"/>
  <c r="U27" i="7"/>
  <c r="Y26" i="7"/>
  <c r="Q26" i="7"/>
  <c r="U25" i="7"/>
  <c r="Y24" i="7"/>
  <c r="Q24" i="7"/>
  <c r="U23" i="7"/>
  <c r="Y22" i="7"/>
  <c r="Q22" i="7"/>
  <c r="U21" i="7"/>
  <c r="Y20" i="7"/>
  <c r="Q20" i="7"/>
  <c r="U19" i="7"/>
  <c r="Y18" i="7"/>
  <c r="Q18" i="7"/>
  <c r="U17" i="7"/>
  <c r="Y16" i="7"/>
  <c r="Q16" i="7"/>
  <c r="U15" i="7"/>
  <c r="Y14" i="7"/>
  <c r="Q14" i="7"/>
  <c r="U13" i="7"/>
  <c r="Y12" i="7"/>
  <c r="Q12" i="7"/>
  <c r="U11" i="7"/>
  <c r="Y10" i="7"/>
  <c r="Q10" i="7"/>
  <c r="U9" i="7"/>
  <c r="Y8" i="7"/>
  <c r="Q8" i="7"/>
  <c r="U7" i="7"/>
  <c r="Y39" i="7"/>
  <c r="Q39" i="7"/>
  <c r="Q23" i="7"/>
  <c r="W6" i="7"/>
  <c r="X42" i="7"/>
  <c r="P42" i="7"/>
  <c r="T41" i="7"/>
  <c r="X40" i="7"/>
  <c r="P40" i="7"/>
  <c r="T39" i="7"/>
  <c r="X38" i="7"/>
  <c r="P38" i="7"/>
  <c r="T37" i="7"/>
  <c r="X36" i="7"/>
  <c r="P36" i="7"/>
  <c r="T35" i="7"/>
  <c r="X34" i="7"/>
  <c r="P34" i="7"/>
  <c r="T33" i="7"/>
  <c r="X32" i="7"/>
  <c r="P32" i="7"/>
  <c r="T31" i="7"/>
  <c r="X30" i="7"/>
  <c r="P30" i="7"/>
  <c r="T29" i="7"/>
  <c r="X28" i="7"/>
  <c r="P28" i="7"/>
  <c r="T27" i="7"/>
  <c r="X26" i="7"/>
  <c r="P26" i="7"/>
  <c r="T25" i="7"/>
  <c r="X24" i="7"/>
  <c r="P24" i="7"/>
  <c r="T23" i="7"/>
  <c r="X22" i="7"/>
  <c r="P22" i="7"/>
  <c r="T21" i="7"/>
  <c r="X20" i="7"/>
  <c r="P20" i="7"/>
  <c r="T19" i="7"/>
  <c r="X18" i="7"/>
  <c r="P18" i="7"/>
  <c r="T17" i="7"/>
  <c r="X16" i="7"/>
  <c r="P16" i="7"/>
  <c r="T15" i="7"/>
  <c r="X14" i="7"/>
  <c r="P14" i="7"/>
  <c r="T13" i="7"/>
  <c r="X12" i="7"/>
  <c r="P12" i="7"/>
  <c r="T11" i="7"/>
  <c r="X10" i="7"/>
  <c r="P10" i="7"/>
  <c r="T9" i="7"/>
  <c r="X8" i="7"/>
  <c r="P8" i="7"/>
  <c r="T7" i="7"/>
  <c r="E15" i="2"/>
  <c r="E11" i="2"/>
  <c r="P6" i="7"/>
  <c r="X6" i="7"/>
  <c r="W42" i="7"/>
  <c r="AA41" i="7"/>
  <c r="S41" i="7"/>
  <c r="W40" i="7"/>
  <c r="AA39" i="7"/>
  <c r="S39" i="7"/>
  <c r="W38" i="7"/>
  <c r="AA37" i="7"/>
  <c r="S37" i="7"/>
  <c r="W36" i="7"/>
  <c r="AA35" i="7"/>
  <c r="S35" i="7"/>
  <c r="W34" i="7"/>
  <c r="AA33" i="7"/>
  <c r="S33" i="7"/>
  <c r="W32" i="7"/>
  <c r="AA31" i="7"/>
  <c r="S31" i="7"/>
  <c r="W30" i="7"/>
  <c r="AA29" i="7"/>
  <c r="S29" i="7"/>
  <c r="W28" i="7"/>
  <c r="AA27" i="7"/>
  <c r="S27" i="7"/>
  <c r="W26" i="7"/>
  <c r="AA25" i="7"/>
  <c r="S25" i="7"/>
  <c r="W24" i="7"/>
  <c r="AA23" i="7"/>
  <c r="S23" i="7"/>
  <c r="W22" i="7"/>
  <c r="AA21" i="7"/>
  <c r="S21" i="7"/>
  <c r="W20" i="7"/>
  <c r="AA19" i="7"/>
  <c r="S19" i="7"/>
  <c r="W18" i="7"/>
  <c r="AA17" i="7"/>
  <c r="S17" i="7"/>
  <c r="W16" i="7"/>
  <c r="AA15" i="7"/>
  <c r="S15" i="7"/>
  <c r="W14" i="7"/>
  <c r="AA13" i="7"/>
  <c r="S13" i="7"/>
  <c r="W12" i="7"/>
  <c r="AA11" i="7"/>
  <c r="S11" i="7"/>
  <c r="W10" i="7"/>
  <c r="AA9" i="7"/>
  <c r="S9" i="7"/>
  <c r="W8" i="7"/>
  <c r="AA7" i="7"/>
  <c r="S7" i="7"/>
  <c r="Y23" i="7"/>
  <c r="Y15" i="7"/>
  <c r="Q7" i="7"/>
  <c r="Q6" i="7"/>
  <c r="Z41" i="7"/>
  <c r="Z39" i="7"/>
  <c r="Z37" i="7"/>
  <c r="Z35" i="7"/>
  <c r="Z33" i="7"/>
  <c r="Z31" i="7"/>
  <c r="Z29" i="7"/>
  <c r="Z27" i="7"/>
  <c r="Z25" i="7"/>
  <c r="Z23" i="7"/>
  <c r="Z21" i="7"/>
  <c r="Z19" i="7"/>
  <c r="Z17" i="7"/>
  <c r="Z15" i="7"/>
  <c r="Z13" i="7"/>
  <c r="Z11" i="7"/>
  <c r="Z9" i="7"/>
  <c r="Z7" i="7"/>
  <c r="E14" i="2"/>
  <c r="F11" i="7" a="1"/>
  <c r="F11" i="7" s="1"/>
  <c r="F10" i="7" a="1"/>
  <c r="F10" i="7" s="1"/>
  <c r="O10" i="7" s="1"/>
  <c r="G8" i="7" a="1"/>
  <c r="G8" i="7" s="1"/>
  <c r="O8" i="7" s="1"/>
  <c r="F9" i="7" a="1"/>
  <c r="F9" i="7" s="1"/>
  <c r="O9" i="7" s="1"/>
  <c r="F6" i="7" a="1"/>
  <c r="F6" i="7" s="1"/>
  <c r="F8" i="7" a="1"/>
  <c r="F8" i="7" s="1"/>
  <c r="F7" i="7" a="1"/>
  <c r="F7" i="7" s="1"/>
  <c r="O7" i="7" s="1"/>
  <c r="F12" i="7" a="1"/>
  <c r="F12" i="7" s="1"/>
  <c r="O12" i="7" s="1"/>
  <c r="G11" i="7" a="1"/>
  <c r="G11" i="7" s="1"/>
  <c r="E8" i="2"/>
  <c r="G8" i="2" s="1" a="1"/>
  <c r="G8" i="2" s="1"/>
  <c r="E10" i="2"/>
  <c r="G10" i="2" s="1" a="1"/>
  <c r="G10" i="2" s="1"/>
  <c r="E3" i="3" a="1"/>
  <c r="E3" i="3" s="1"/>
  <c r="F3" i="3" s="1" a="1"/>
  <c r="F3" i="3" s="1"/>
  <c r="E9" i="2"/>
  <c r="G9" i="2" s="1" a="1"/>
  <c r="G9" i="2" s="1"/>
  <c r="E7" i="2"/>
  <c r="G7" i="2" s="1" a="1"/>
  <c r="G7" i="2" s="1"/>
  <c r="S15" i="5"/>
  <c r="S8" i="5"/>
  <c r="S21" i="5"/>
  <c r="Z5" i="6" a="1"/>
  <c r="Z5" i="6" s="1"/>
  <c r="E1" i="6"/>
  <c r="C41" i="6" a="1"/>
  <c r="C41" i="6" s="1"/>
  <c r="A52" i="6"/>
  <c r="S18" i="5"/>
  <c r="S19" i="5"/>
  <c r="A42" i="6"/>
  <c r="R17" i="5"/>
  <c r="R9" i="5"/>
  <c r="R10" i="5"/>
  <c r="X5" i="6" a="1"/>
  <c r="X5" i="6" s="1"/>
  <c r="W9" i="6" a="1"/>
  <c r="W9" i="6" s="1"/>
  <c r="A43" i="6"/>
  <c r="R18" i="5"/>
  <c r="B59" i="6" a="1"/>
  <c r="A44" i="6"/>
  <c r="R12" i="5"/>
  <c r="S11" i="5"/>
  <c r="S14" i="5"/>
  <c r="A49" i="6"/>
  <c r="R13" i="5"/>
  <c r="R6" i="5"/>
  <c r="R7" i="5"/>
  <c r="A39" i="6"/>
  <c r="R20" i="5"/>
  <c r="S12" i="5"/>
  <c r="A53" i="6"/>
  <c r="R14" i="5"/>
  <c r="A40" i="6"/>
  <c r="A50" i="6"/>
  <c r="S16" i="5"/>
  <c r="AD17" i="5"/>
  <c r="R8" i="5"/>
  <c r="AC9" i="5"/>
  <c r="AK9" i="5"/>
  <c r="R11" i="5"/>
  <c r="AK12" i="5"/>
  <c r="R15" i="5"/>
  <c r="AC16" i="5"/>
  <c r="AE17" i="5"/>
  <c r="AG6" i="5"/>
  <c r="AC8" i="5"/>
  <c r="AK8" i="5"/>
  <c r="AE9" i="5"/>
  <c r="AA10" i="5"/>
  <c r="AC11" i="5"/>
  <c r="AK11" i="5"/>
  <c r="AE12" i="5"/>
  <c r="AG13" i="5"/>
  <c r="AE20" i="5"/>
  <c r="AG21" i="5"/>
  <c r="AC6" i="5"/>
  <c r="AK6" i="5"/>
  <c r="AE7" i="5"/>
  <c r="AG8" i="5"/>
  <c r="AA9" i="5"/>
  <c r="AI9" i="5"/>
  <c r="AE10" i="5"/>
  <c r="AG11" i="5"/>
  <c r="AA12" i="5"/>
  <c r="AI12" i="5"/>
  <c r="AC13" i="5"/>
  <c r="AK13" i="5"/>
  <c r="AE14" i="5"/>
  <c r="AG15" i="5"/>
  <c r="AA16" i="5"/>
  <c r="AI16" i="5"/>
  <c r="AC17" i="5"/>
  <c r="AK17" i="5"/>
  <c r="AE18" i="5"/>
  <c r="AG19" i="5"/>
  <c r="AA20" i="5"/>
  <c r="AI20" i="5"/>
  <c r="AC21" i="5"/>
  <c r="AK21" i="5"/>
  <c r="AD13" i="5"/>
  <c r="AD21" i="5"/>
  <c r="AE13" i="5"/>
  <c r="AK16" i="5"/>
  <c r="R19" i="5"/>
  <c r="AC20" i="5"/>
  <c r="AK20" i="5"/>
  <c r="AE21" i="5"/>
  <c r="AF6" i="5"/>
  <c r="Z7" i="5"/>
  <c r="AH7" i="5"/>
  <c r="AB8" i="5"/>
  <c r="AJ8" i="5"/>
  <c r="AD9" i="5"/>
  <c r="AB11" i="5"/>
  <c r="AJ11" i="5"/>
  <c r="AD12" i="5"/>
  <c r="AF13" i="5"/>
  <c r="Z14" i="5"/>
  <c r="AH14" i="5"/>
  <c r="AB15" i="5"/>
  <c r="AJ15" i="5"/>
  <c r="AD16" i="5"/>
  <c r="AF17" i="5"/>
  <c r="Z18" i="5"/>
  <c r="AH18" i="5"/>
  <c r="AB19" i="5"/>
  <c r="AJ19" i="5"/>
  <c r="AD20" i="5"/>
  <c r="AF21" i="5"/>
  <c r="Z6" i="5"/>
  <c r="AH6" i="5"/>
  <c r="AB7" i="5"/>
  <c r="AJ7" i="5"/>
  <c r="AD8" i="5"/>
  <c r="AF9" i="5"/>
  <c r="AB10" i="5"/>
  <c r="AD11" i="5"/>
  <c r="AF12" i="5"/>
  <c r="Z13" i="5"/>
  <c r="AH13" i="5"/>
  <c r="AB14" i="5"/>
  <c r="AJ14" i="5"/>
  <c r="AD15" i="5"/>
  <c r="AF16" i="5"/>
  <c r="Z17" i="5"/>
  <c r="AH17" i="5"/>
  <c r="AB18" i="5"/>
  <c r="AJ18" i="5"/>
  <c r="AD19" i="5"/>
  <c r="AF20" i="5"/>
  <c r="Z21" i="5"/>
  <c r="AH21" i="5"/>
  <c r="AE8" i="5"/>
  <c r="AE11" i="5"/>
  <c r="AG12" i="5"/>
  <c r="AI13" i="5"/>
  <c r="AI17" i="5"/>
  <c r="AK18" i="5"/>
  <c r="AA21" i="5"/>
  <c r="AD6" i="5"/>
  <c r="AE6" i="5"/>
  <c r="AC15" i="5"/>
  <c r="AK15" i="5"/>
  <c r="AE16" i="5"/>
  <c r="AG17" i="5"/>
  <c r="AC19" i="5"/>
  <c r="AK19" i="5"/>
  <c r="AA6" i="5"/>
  <c r="AK7" i="5"/>
  <c r="AG9" i="5"/>
  <c r="AC14" i="5"/>
  <c r="AK14" i="5"/>
  <c r="AE15" i="5"/>
  <c r="AG16" i="5"/>
  <c r="AC18" i="5"/>
  <c r="AE19" i="5"/>
  <c r="AG20" i="5"/>
  <c r="AB6" i="5"/>
  <c r="Z9" i="5"/>
  <c r="Z12" i="5"/>
  <c r="AB13" i="5"/>
  <c r="Z16" i="5"/>
  <c r="AB17" i="5"/>
  <c r="Z20" i="5"/>
  <c r="AB21" i="5"/>
  <c r="H5" i="2"/>
  <c r="P5" i="2"/>
  <c r="X5" i="2"/>
  <c r="AB5" i="2"/>
  <c r="AC5" i="2"/>
  <c r="N5" i="2"/>
  <c r="W5" i="2"/>
  <c r="I5" i="2"/>
  <c r="Q5" i="2"/>
  <c r="Y5" i="2"/>
  <c r="L5" i="2"/>
  <c r="M5" i="2"/>
  <c r="J5" i="2"/>
  <c r="R5" i="2"/>
  <c r="Z5" i="2"/>
  <c r="T5" i="2"/>
  <c r="U5" i="2"/>
  <c r="G5" i="2"/>
  <c r="O5" i="2"/>
  <c r="K5" i="2"/>
  <c r="S5" i="2"/>
  <c r="AA5" i="2"/>
  <c r="V5" i="2"/>
  <c r="O11" i="7" l="1"/>
  <c r="B3" i="3" a="1"/>
  <c r="B3" i="3" s="1"/>
  <c r="C3" i="3" a="1"/>
  <c r="C3" i="3" s="1"/>
  <c r="B59" i="6"/>
  <c r="R21" i="5"/>
  <c r="A41" i="6"/>
  <c r="R16" i="5"/>
  <c r="O6" i="7" l="1"/>
  <c r="J30" i="7"/>
  <c r="J33" i="7"/>
  <c r="J39" i="7"/>
  <c r="K26" i="7"/>
  <c r="J24" i="7"/>
  <c r="K39" i="7"/>
  <c r="K23" i="7"/>
  <c r="J42" i="7"/>
  <c r="K40" i="7"/>
  <c r="J35" i="7"/>
  <c r="J23" i="7"/>
  <c r="K33" i="7"/>
  <c r="K42" i="7"/>
  <c r="K41" i="7"/>
  <c r="K27" i="7"/>
  <c r="K28" i="7"/>
  <c r="J34" i="7"/>
  <c r="K32" i="7"/>
  <c r="K34" i="7"/>
  <c r="J29" i="7"/>
  <c r="J32" i="7"/>
  <c r="J41" i="7"/>
  <c r="J25" i="7"/>
  <c r="J22" i="7"/>
  <c r="J38" i="7"/>
  <c r="J27" i="7"/>
  <c r="J37" i="7"/>
  <c r="J36" i="7"/>
  <c r="K30" i="7"/>
  <c r="K36" i="7"/>
  <c r="K29" i="7"/>
  <c r="K38" i="7"/>
  <c r="J40" i="7"/>
  <c r="J26" i="7"/>
  <c r="K31" i="7"/>
  <c r="J31" i="7"/>
  <c r="K37" i="7"/>
  <c r="K22" i="7"/>
  <c r="K25" i="7"/>
  <c r="K35" i="7"/>
  <c r="J28" i="7"/>
  <c r="K24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tc={EC266F5E-0BBB-48AD-BB1F-582C70E5B4C6}</author>
  </authors>
  <commentList>
    <comment ref="A1" authorId="0" shapeId="0" xr:uid="{EC266F5E-0BBB-48AD-BB1F-582C70E5B4C6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<sst xmlns="http://schemas.openxmlformats.org/spreadsheetml/2006/main" count="555" uniqueCount="226">
  <si>
    <t>Tidsstempel</t>
  </si>
  <si>
    <t>Periode</t>
  </si>
  <si>
    <t>tDKK</t>
  </si>
  <si>
    <t>Enhed</t>
  </si>
  <si>
    <t>MWhq</t>
  </si>
  <si>
    <t>FJV-behov</t>
  </si>
  <si>
    <t>DKK/MWhq</t>
  </si>
  <si>
    <t>REFA-Daekningsbidrag</t>
  </si>
  <si>
    <t>REFA-Total-Var-Indkomst</t>
  </si>
  <si>
    <t>REFA-Affald-Modtagelse</t>
  </si>
  <si>
    <t>REFA-RGK-Rabat</t>
  </si>
  <si>
    <t>REFA-Elsalg</t>
  </si>
  <si>
    <t>REFA-Total-Var-Omkostning</t>
  </si>
  <si>
    <t>REFA-AnlaegsVarOmk</t>
  </si>
  <si>
    <t>REFA-BraendselOmk</t>
  </si>
  <si>
    <t>REFA-Afgifter</t>
  </si>
  <si>
    <t>REFA-CO2-Kvoteomk</t>
  </si>
  <si>
    <t>REFA-Lageromkostning</t>
  </si>
  <si>
    <t>ton</t>
  </si>
  <si>
    <t>REFA-CO2-Emission-Afgift</t>
  </si>
  <si>
    <t>REFA-CO2-Emission-Kvote</t>
  </si>
  <si>
    <t>MWhe</t>
  </si>
  <si>
    <t>REFA-El-produktion-Brutto</t>
  </si>
  <si>
    <t>REFA-El-produktion-Netto</t>
  </si>
  <si>
    <t>REFA-Total-Affald-Raadighed</t>
  </si>
  <si>
    <t>REFA-Affald-anvendt</t>
  </si>
  <si>
    <t>REFA-Affald-Uudnyttet</t>
  </si>
  <si>
    <t>REFA-Affald-Lagret</t>
  </si>
  <si>
    <t>REFA-Total-Varme-Produktion</t>
  </si>
  <si>
    <t>REFA-Modtryk-Varme</t>
  </si>
  <si>
    <t>REFA-Bypass-Varme</t>
  </si>
  <si>
    <t>REFA-RGK-Varme</t>
  </si>
  <si>
    <t>REFA-Bortkoelet-Varme</t>
  </si>
  <si>
    <t>GSF-Total-Var-Omkostning</t>
  </si>
  <si>
    <t>GSF-AnlaegsVarOmk</t>
  </si>
  <si>
    <t>GSF-BraendselOmk</t>
  </si>
  <si>
    <t>GSF-Afgifter</t>
  </si>
  <si>
    <t>GSF-CO2-Emission</t>
  </si>
  <si>
    <t>GSF-Total-Varme-Produktion</t>
  </si>
  <si>
    <t>Ovn2</t>
  </si>
  <si>
    <t>Ovn3</t>
  </si>
  <si>
    <t>FlisK</t>
  </si>
  <si>
    <t>NS</t>
  </si>
  <si>
    <t>Cooler</t>
  </si>
  <si>
    <t>PeakK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</si>
  <si>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</si>
  <si>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</si>
  <si>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</si>
  <si>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</si>
  <si>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</si>
  <si>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</si>
  <si>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</si>
  <si>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</si>
  <si>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</si>
  <si>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</si>
  <si>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</si>
  <si>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</si>
  <si>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</si>
  <si>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</si>
  <si>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</si>
  <si>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</si>
  <si>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</si>
  <si>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</si>
  <si>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</si>
  <si>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</si>
  <si>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</si>
  <si>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NyAff1</t>
  </si>
  <si>
    <t>NyAff2</t>
  </si>
  <si>
    <t>NyAff3</t>
  </si>
  <si>
    <t>NyAff4</t>
  </si>
  <si>
    <t>NyAff5</t>
  </si>
  <si>
    <t>Flis</t>
  </si>
  <si>
    <t>NSvarme</t>
  </si>
  <si>
    <t>PeakFuel</t>
  </si>
  <si>
    <t>scen1</t>
  </si>
  <si>
    <t>NS-Total-Varme-Produktion</t>
  </si>
  <si>
    <t>REFA-Leveret-Varme</t>
  </si>
  <si>
    <t>Virtuel-Varme-Kilde</t>
  </si>
  <si>
    <t>Virtuel-Affaldstonnage-Kilde</t>
  </si>
  <si>
    <t>Total-NPV</t>
  </si>
  <si>
    <t>Total-Var-Varmeproduktions-Omk</t>
  </si>
  <si>
    <t>REFA-NPV</t>
  </si>
  <si>
    <t>REFA-Var-Varmeproduktions-Omk</t>
  </si>
  <si>
    <t>REFA-Varmesalg</t>
  </si>
  <si>
    <t>Virtuel-Varme-Draen</t>
  </si>
  <si>
    <t>Virtuel-Affaldstonnage-Draen</t>
  </si>
  <si>
    <t>Elpris</t>
  </si>
  <si>
    <t>ETS</t>
  </si>
  <si>
    <t>Nøgletal</t>
  </si>
  <si>
    <t>Kategori</t>
  </si>
  <si>
    <t>Emne</t>
  </si>
  <si>
    <t>Bruttoemner</t>
  </si>
  <si>
    <t>Interne variable</t>
  </si>
  <si>
    <t>Nscen</t>
  </si>
  <si>
    <t>ChartTekst</t>
  </si>
  <si>
    <t>Vis</t>
  </si>
  <si>
    <t>Ofz</t>
  </si>
  <si>
    <t>Skalafaktor</t>
  </si>
  <si>
    <t>Titel:</t>
  </si>
  <si>
    <t>2021: Elpris [200 - 1000], Kvotepris {400, 900}</t>
  </si>
  <si>
    <t>Verbal udgave af scenarietabellen</t>
  </si>
  <si>
    <t>Kodet udgave af scenarietabellen (MÅ IKKE ÆNDRES)</t>
  </si>
  <si>
    <t>OBS: Relativt til FirstYear  og FirstPeriod</t>
  </si>
  <si>
    <t>0/1</t>
  </si>
  <si>
    <t>integer</t>
  </si>
  <si>
    <t>float</t>
  </si>
  <si>
    <t>ordinal1</t>
  </si>
  <si>
    <t>ordinal2</t>
  </si>
  <si>
    <t>ordinal3</t>
  </si>
  <si>
    <t>Parameter-serie afbildet efter forskriften i scenarietabellen</t>
  </si>
  <si>
    <t>scRec</t>
  </si>
  <si>
    <t>Aktiv</t>
  </si>
  <si>
    <t>ScenId</t>
  </si>
  <si>
    <t>Niveau1</t>
  </si>
  <si>
    <t>Niveau2</t>
  </si>
  <si>
    <t>Niveau3</t>
  </si>
  <si>
    <t>FirstPeriod</t>
  </si>
  <si>
    <t>LastPeriod</t>
  </si>
  <si>
    <t>FirstValue</t>
  </si>
  <si>
    <t>LastValue</t>
  </si>
  <si>
    <t>Kommentar</t>
  </si>
  <si>
    <t>rec1</t>
  </si>
  <si>
    <t>Control</t>
  </si>
  <si>
    <t>FixAffald</t>
  </si>
  <si>
    <t>VOID</t>
  </si>
  <si>
    <t>screc1</t>
  </si>
  <si>
    <t>rec2</t>
  </si>
  <si>
    <t>EgetforbrugKVV</t>
  </si>
  <si>
    <t>screc2</t>
  </si>
  <si>
    <t>rec3</t>
  </si>
  <si>
    <t>Plant</t>
  </si>
  <si>
    <t>screc3</t>
  </si>
  <si>
    <t>rec4</t>
  </si>
  <si>
    <t>Prognoses</t>
  </si>
  <si>
    <t>screc4</t>
  </si>
  <si>
    <t>rec5</t>
  </si>
  <si>
    <t>screc5</t>
  </si>
  <si>
    <t>rec6</t>
  </si>
  <si>
    <t>Fuel</t>
  </si>
  <si>
    <t>MinTonnage</t>
  </si>
  <si>
    <t>screc6</t>
  </si>
  <si>
    <t>rec7</t>
  </si>
  <si>
    <t>FuelBounds</t>
  </si>
  <si>
    <t>LHV</t>
  </si>
  <si>
    <t>screc7</t>
  </si>
  <si>
    <t>rec8</t>
  </si>
  <si>
    <t>screc8</t>
  </si>
  <si>
    <t>rec9</t>
  </si>
  <si>
    <t>screc9</t>
  </si>
  <si>
    <t>rec10</t>
  </si>
  <si>
    <t>screc10</t>
  </si>
  <si>
    <t>rec11</t>
  </si>
  <si>
    <t>Storage</t>
  </si>
  <si>
    <t>screc11</t>
  </si>
  <si>
    <t>rec12</t>
  </si>
  <si>
    <t>screc12</t>
  </si>
  <si>
    <t>rec13</t>
  </si>
  <si>
    <t>screc13</t>
  </si>
  <si>
    <t>rec14</t>
  </si>
  <si>
    <t>screc14</t>
  </si>
  <si>
    <t>rec15</t>
  </si>
  <si>
    <t>screc15</t>
  </si>
  <si>
    <t>rec16</t>
  </si>
  <si>
    <t>screc16</t>
  </si>
  <si>
    <t>rec17</t>
  </si>
  <si>
    <t>rec18</t>
  </si>
  <si>
    <t>rec19</t>
  </si>
  <si>
    <t>rec20</t>
  </si>
  <si>
    <t>rec21</t>
  </si>
  <si>
    <t>rec22</t>
  </si>
  <si>
    <t>rec23</t>
  </si>
  <si>
    <t>rec24</t>
  </si>
  <si>
    <t>rec25</t>
  </si>
  <si>
    <t>rec26</t>
  </si>
  <si>
    <t>rec27</t>
  </si>
  <si>
    <t>rec28</t>
  </si>
  <si>
    <t>rec29</t>
  </si>
  <si>
    <t>rec30</t>
  </si>
  <si>
    <t>rec31</t>
  </si>
  <si>
    <t>rec32</t>
  </si>
  <si>
    <t>rec33</t>
  </si>
  <si>
    <t>rec34</t>
  </si>
  <si>
    <t>rec35</t>
  </si>
  <si>
    <t>rec36</t>
  </si>
  <si>
    <t>rec37</t>
  </si>
  <si>
    <t>LINK</t>
  </si>
  <si>
    <t>TestPad</t>
  </si>
  <si>
    <t>DropDownLevel2</t>
  </si>
  <si>
    <t>=LET(a;MATCH($R5&amp;"2";listHeaders;0)-1;b;OFFSET($B$3;1;a;40;1);OFFSET($B$3;1;a;COUNTA(b)-COUNTIF(b;"=0");1))</t>
  </si>
  <si>
    <t>Level1</t>
  </si>
  <si>
    <t>Level2</t>
  </si>
  <si>
    <t>Level3</t>
  </si>
  <si>
    <t>=LET(ran;TRANSPOSE(listFuelAttr);FILTER(ran;(ran&lt;&gt;"Fkind")*(ran&lt;&gt;"Lagerbar")*(ran&lt;&gt;"Fri")*(ran&lt;&gt;"Flex")*(ran&lt;&gt;"Bortskaf")))</t>
  </si>
  <si>
    <t>DropDownLevel3</t>
  </si>
  <si>
    <t>=LET(a;MATCH($R5&amp;"3";listHeaders;0)-1;b;OFFSET($B$3;1;a;40;1);OFFSET($B$3;1;a;COUNTA(b)-COUNTIF(b;"=0");1))</t>
  </si>
  <si>
    <t>Root</t>
  </si>
  <si>
    <t>TilOvn2</t>
  </si>
  <si>
    <t>BeginDate</t>
  </si>
  <si>
    <t>Value</t>
  </si>
  <si>
    <t>TilOvn3</t>
  </si>
  <si>
    <t>MaxTonnage</t>
  </si>
  <si>
    <t>Pris</t>
  </si>
  <si>
    <t>sto2</t>
  </si>
  <si>
    <t>CO2kgGJ</t>
  </si>
  <si>
    <t>Schedule</t>
  </si>
  <si>
    <t>Count</t>
  </si>
  <si>
    <t>row</t>
  </si>
  <si>
    <t/>
  </si>
  <si>
    <t>Kodet udgave af scenarietabellen udskrevet fra GAMS</t>
  </si>
  <si>
    <t>scen0</t>
  </si>
  <si>
    <t>Varmemålinder</t>
  </si>
  <si>
    <t>Brændselsforbrug</t>
  </si>
  <si>
    <t>Brændselsindkomst</t>
  </si>
  <si>
    <t>FastVaerdi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</si>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</sst>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yyyy\ mmm\ dd\,\ hh:mm;@"/>
    <numFmt numFmtId="165" formatCode="yy\'mmm"/>
    <numFmt numFmtId="166" formatCode="_-#,##0,_-;\-#,##0,_-;_-* &quot;-&quot;??_-;_-@_-"/>
    <numFmt numFmtId="167" formatCode="_-#,##0_-;\-#,##0_-;_-* &quot;-&quot;??_-;_-@_-"/>
    <numFmt numFmtId="168" formatCode="_-* #,##0_-;\-* #,##0_-;_-* &quot;-&quot;??_-;_-@_-"/>
    <numFmt numFmtId="169" formatCode="_-#,##0.00_-;\-#,##0.00_-;_-* &quot;-&quot;??_-;_-@_-"/>
    <numFmt numFmtId="170" formatCode="_-* #,##0_-;\-#,##0_-;_-* &quot;-&quot;??_-;_-@_-"/>
    <numFmt numFmtId="171" formatCode="[$-F400]h:mm:ss\ AM/PM"/>
    <numFmt numFmtId="172" formatCode="yyyy/mm/dd\ hh:mm;@"/>
    <numFmt numFmtId="173" formatCode="_-* #,##0_-;\-#,##0_-;_-\ &quot;-&quot;??_-;_-@_-"/>
    <numFmt numFmtId="174" formatCode="#,##0;\-#,##0;0"/>
    <numFmt numFmtId="175" formatCode="#,##0,;\-#,##0,;0"/>
    <numFmt numFmtId="176" formatCode="ddd\ yyyy\ mmm\ dd\,\ hh:mm;@"/>
    <numFmt numFmtId="177" formatCode="mmm\ \'yy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1" fillId="6" borderId="8" applyNumberFormat="0" applyAlignment="0" applyProtection="0"/>
    <xf numFmtId="0" fontId="19" fillId="7" borderId="0" applyNumberFormat="0" applyBorder="0" applyAlignment="0" applyProtection="0"/>
  </cellStyleXfs>
  <cellXfs count="111">
    <xf numFmtId="0" fontId="0" fillId="0" borderId="0" xfId="0"/>
    <xf numFmtId="0" fontId="2" fillId="2" borderId="1" xfId="0" applyFont="1" applyFill="1" applyBorder="1" applyAlignment="1">
      <alignment horizontal="left" indent="1"/>
    </xf>
    <xf numFmtId="0" fontId="2" fillId="2" borderId="4" xfId="0" applyFont="1" applyFill="1" applyBorder="1" applyAlignment="1">
      <alignment horizontal="left" indent="1"/>
    </xf>
    <xf numFmtId="165" fontId="0" fillId="0" borderId="0" xfId="0" applyNumberFormat="1" applyAlignment="1">
      <alignment horizontal="center"/>
    </xf>
    <xf numFmtId="165" fontId="0" fillId="0" borderId="5" xfId="0" applyNumberFormat="1" applyBorder="1" applyAlignment="1">
      <alignment horizontal="left" indent="1"/>
    </xf>
    <xf numFmtId="0" fontId="0" fillId="0" borderId="0" xfId="0" applyAlignment="1">
      <alignment horizontal="left" indent="1"/>
    </xf>
    <xf numFmtId="0" fontId="4" fillId="0" borderId="0" xfId="0" applyFont="1"/>
    <xf numFmtId="167" fontId="0" fillId="0" borderId="0" xfId="1" applyNumberFormat="1" applyFont="1"/>
    <xf numFmtId="168" fontId="0" fillId="0" borderId="0" xfId="1" applyNumberFormat="1" applyFont="1" applyAlignment="1">
      <alignment horizontal="left"/>
    </xf>
    <xf numFmtId="0" fontId="0" fillId="0" borderId="0" xfId="0" quotePrefix="1" applyAlignment="1">
      <alignment horizontal="left" indent="1"/>
    </xf>
    <xf numFmtId="169" fontId="0" fillId="0" borderId="0" xfId="1" applyNumberFormat="1" applyFont="1"/>
    <xf numFmtId="166" fontId="0" fillId="0" borderId="0" xfId="1" applyNumberFormat="1" applyFont="1"/>
    <xf numFmtId="166" fontId="0" fillId="0" borderId="0" xfId="1" applyNumberFormat="1" applyFont="1" applyAlignment="1">
      <alignment horizontal="left"/>
    </xf>
    <xf numFmtId="0" fontId="0" fillId="2" borderId="0" xfId="0" quotePrefix="1" applyFill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0" fontId="0" fillId="2" borderId="0" xfId="0" quotePrefix="1" applyFill="1" applyAlignment="1">
      <alignment horizontal="left" indent="2"/>
    </xf>
    <xf numFmtId="168" fontId="0" fillId="0" borderId="0" xfId="1" applyNumberFormat="1" applyFont="1"/>
    <xf numFmtId="0" fontId="0" fillId="3" borderId="0" xfId="0" quotePrefix="1" applyFill="1" applyAlignment="1">
      <alignment horizontal="left" indent="2"/>
    </xf>
    <xf numFmtId="0" fontId="0" fillId="3" borderId="0" xfId="0" quotePrefix="1" applyFill="1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/>
    <xf numFmtId="0" fontId="2" fillId="3" borderId="0" xfId="0" quotePrefix="1" applyFont="1" applyFill="1" applyAlignment="1">
      <alignment horizontal="left" indent="1"/>
    </xf>
    <xf numFmtId="170" fontId="0" fillId="0" borderId="6" xfId="1" applyNumberFormat="1" applyFont="1" applyBorder="1"/>
    <xf numFmtId="0" fontId="0" fillId="0" borderId="0" xfId="0" quotePrefix="1" applyAlignment="1">
      <alignment horizontal="right" indent="1"/>
    </xf>
    <xf numFmtId="43" fontId="0" fillId="0" borderId="0" xfId="1" applyFont="1"/>
    <xf numFmtId="43" fontId="0" fillId="0" borderId="0" xfId="1" applyFont="1" applyAlignment="1">
      <alignment horizontal="left" indent="1"/>
    </xf>
    <xf numFmtId="43" fontId="0" fillId="0" borderId="0" xfId="1" quotePrefix="1" applyFont="1"/>
    <xf numFmtId="168" fontId="0" fillId="0" borderId="6" xfId="1" applyNumberFormat="1" applyFont="1" applyBorder="1"/>
    <xf numFmtId="168" fontId="0" fillId="0" borderId="0" xfId="1" applyNumberFormat="1" applyFont="1" applyBorder="1" applyAlignment="1">
      <alignment horizontal="left"/>
    </xf>
    <xf numFmtId="168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0" xfId="0" quotePrefix="1"/>
    <xf numFmtId="0" fontId="6" fillId="2" borderId="2" xfId="0" quotePrefix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left" indent="1"/>
    </xf>
    <xf numFmtId="0" fontId="0" fillId="3" borderId="0" xfId="0" quotePrefix="1" applyFont="1" applyFill="1" applyAlignment="1">
      <alignment horizontal="left" indent="2"/>
    </xf>
    <xf numFmtId="0" fontId="2" fillId="4" borderId="0" xfId="0" quotePrefix="1" applyFont="1" applyFill="1" applyAlignment="1">
      <alignment horizontal="left" indent="1"/>
    </xf>
    <xf numFmtId="0" fontId="0" fillId="0" borderId="0" xfId="0" applyAlignment="1"/>
    <xf numFmtId="171" fontId="0" fillId="0" borderId="0" xfId="0" applyNumberFormat="1"/>
    <xf numFmtId="171" fontId="0" fillId="0" borderId="0" xfId="0" applyNumberFormat="1" applyAlignment="1">
      <alignment horizontal="center"/>
    </xf>
    <xf numFmtId="164" fontId="8" fillId="0" borderId="4" xfId="0" quotePrefix="1" applyNumberFormat="1" applyFont="1" applyBorder="1" applyAlignment="1">
      <alignment horizontal="center"/>
    </xf>
    <xf numFmtId="164" fontId="8" fillId="0" borderId="0" xfId="0" quotePrefix="1" applyNumberFormat="1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168" fontId="0" fillId="0" borderId="2" xfId="1" applyNumberFormat="1" applyFont="1" applyBorder="1"/>
    <xf numFmtId="168" fontId="0" fillId="0" borderId="2" xfId="1" applyNumberFormat="1" applyFont="1" applyBorder="1" applyAlignment="1">
      <alignment horizontal="left"/>
    </xf>
    <xf numFmtId="0" fontId="0" fillId="0" borderId="2" xfId="0" applyBorder="1"/>
    <xf numFmtId="172" fontId="9" fillId="0" borderId="0" xfId="0" applyNumberFormat="1" applyFont="1"/>
    <xf numFmtId="2" fontId="10" fillId="0" borderId="2" xfId="0" applyNumberFormat="1" applyFont="1" applyBorder="1" applyAlignment="1">
      <alignment horizontal="center"/>
    </xf>
    <xf numFmtId="0" fontId="0" fillId="5" borderId="2" xfId="0" quotePrefix="1" applyFill="1" applyBorder="1" applyAlignment="1">
      <alignment horizontal="left" indent="1"/>
    </xf>
    <xf numFmtId="0" fontId="0" fillId="5" borderId="0" xfId="0" quotePrefix="1" applyFill="1" applyAlignment="1">
      <alignment horizontal="left" indent="1"/>
    </xf>
    <xf numFmtId="173" fontId="0" fillId="0" borderId="6" xfId="1" applyNumberFormat="1" applyFont="1" applyBorder="1"/>
    <xf numFmtId="174" fontId="0" fillId="0" borderId="6" xfId="1" applyNumberFormat="1" applyFont="1" applyBorder="1"/>
    <xf numFmtId="175" fontId="0" fillId="0" borderId="6" xfId="1" applyNumberFormat="1" applyFont="1" applyBorder="1"/>
    <xf numFmtId="175" fontId="0" fillId="0" borderId="0" xfId="0" quotePrefix="1" applyNumberFormat="1" applyAlignment="1">
      <alignment horizontal="right" indent="1"/>
    </xf>
    <xf numFmtId="175" fontId="0" fillId="0" borderId="0" xfId="0" applyNumberFormat="1" applyAlignment="1">
      <alignment horizontal="left"/>
    </xf>
    <xf numFmtId="175" fontId="0" fillId="0" borderId="0" xfId="0" quotePrefix="1" applyNumberFormat="1"/>
    <xf numFmtId="175" fontId="0" fillId="0" borderId="0" xfId="1" applyNumberFormat="1" applyFont="1" applyBorder="1" applyAlignment="1">
      <alignment horizontal="left" indent="1"/>
    </xf>
    <xf numFmtId="166" fontId="2" fillId="0" borderId="7" xfId="1" applyNumberFormat="1" applyFont="1" applyBorder="1"/>
    <xf numFmtId="166" fontId="2" fillId="0" borderId="7" xfId="1" applyNumberFormat="1" applyFont="1" applyBorder="1" applyAlignment="1">
      <alignment horizontal="left"/>
    </xf>
    <xf numFmtId="0" fontId="2" fillId="2" borderId="7" xfId="0" quotePrefix="1" applyFont="1" applyFill="1" applyBorder="1" applyAlignment="1">
      <alignment horizontal="left" indent="1"/>
    </xf>
    <xf numFmtId="0" fontId="2" fillId="0" borderId="7" xfId="0" applyFont="1" applyBorder="1"/>
    <xf numFmtId="176" fontId="0" fillId="0" borderId="3" xfId="0" applyNumberFormat="1" applyBorder="1" applyAlignment="1">
      <alignment horizontal="left" indent="1"/>
    </xf>
    <xf numFmtId="2" fontId="12" fillId="0" borderId="0" xfId="0" applyNumberFormat="1" applyFont="1"/>
    <xf numFmtId="0" fontId="12" fillId="0" borderId="0" xfId="0" applyFont="1"/>
    <xf numFmtId="0" fontId="13" fillId="2" borderId="2" xfId="0" applyFont="1" applyFill="1" applyBorder="1" applyAlignment="1">
      <alignment horizontal="left" indent="1"/>
    </xf>
    <xf numFmtId="167" fontId="12" fillId="0" borderId="0" xfId="1" applyNumberFormat="1" applyFont="1"/>
    <xf numFmtId="166" fontId="14" fillId="0" borderId="7" xfId="1" applyNumberFormat="1" applyFont="1" applyBorder="1"/>
    <xf numFmtId="166" fontId="14" fillId="0" borderId="0" xfId="1" applyNumberFormat="1" applyFont="1"/>
    <xf numFmtId="166" fontId="12" fillId="0" borderId="0" xfId="1" applyNumberFormat="1" applyFont="1"/>
    <xf numFmtId="168" fontId="12" fillId="0" borderId="0" xfId="1" applyNumberFormat="1" applyFont="1"/>
    <xf numFmtId="168" fontId="14" fillId="0" borderId="0" xfId="1" applyNumberFormat="1" applyFont="1"/>
    <xf numFmtId="168" fontId="12" fillId="0" borderId="2" xfId="1" applyNumberFormat="1" applyFont="1" applyBorder="1"/>
    <xf numFmtId="43" fontId="12" fillId="0" borderId="0" xfId="1" applyFont="1"/>
    <xf numFmtId="174" fontId="12" fillId="0" borderId="6" xfId="1" applyNumberFormat="1" applyFont="1" applyBorder="1"/>
    <xf numFmtId="174" fontId="12" fillId="0" borderId="0" xfId="1" applyNumberFormat="1" applyFont="1"/>
    <xf numFmtId="0" fontId="15" fillId="0" borderId="0" xfId="0" applyFont="1"/>
    <xf numFmtId="0" fontId="16" fillId="2" borderId="2" xfId="0" applyFont="1" applyFill="1" applyBorder="1" applyAlignment="1">
      <alignment horizontal="left" indent="1"/>
    </xf>
    <xf numFmtId="167" fontId="15" fillId="0" borderId="0" xfId="1" applyNumberFormat="1" applyFont="1"/>
    <xf numFmtId="0" fontId="17" fillId="2" borderId="0" xfId="0" applyFont="1" applyFill="1" applyBorder="1" applyAlignment="1">
      <alignment horizontal="left" indent="1"/>
    </xf>
    <xf numFmtId="0" fontId="2" fillId="0" borderId="0" xfId="0" applyFont="1"/>
    <xf numFmtId="0" fontId="11" fillId="6" borderId="8" xfId="2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/>
    <xf numFmtId="3" fontId="2" fillId="0" borderId="0" xfId="0" applyNumberFormat="1" applyFont="1" applyAlignment="1">
      <alignment horizontal="center"/>
    </xf>
    <xf numFmtId="0" fontId="11" fillId="6" borderId="8" xfId="2" applyAlignment="1">
      <alignment horizontal="center"/>
    </xf>
    <xf numFmtId="0" fontId="2" fillId="0" borderId="0" xfId="0" applyFont="1" applyAlignment="1">
      <alignment horizontal="center"/>
    </xf>
    <xf numFmtId="3" fontId="11" fillId="6" borderId="8" xfId="2" applyNumberFormat="1" applyAlignment="1">
      <alignment horizontal="center"/>
    </xf>
    <xf numFmtId="0" fontId="2" fillId="0" borderId="0" xfId="0" applyFont="1" applyAlignment="1">
      <alignment horizontal="left" indent="1"/>
    </xf>
    <xf numFmtId="0" fontId="0" fillId="8" borderId="10" xfId="0" applyFill="1" applyBorder="1"/>
    <xf numFmtId="0" fontId="0" fillId="0" borderId="4" xfId="0" applyBorder="1"/>
    <xf numFmtId="0" fontId="0" fillId="0" borderId="0" xfId="0" quotePrefix="1" applyAlignment="1">
      <alignment horizontal="center"/>
    </xf>
    <xf numFmtId="0" fontId="2" fillId="8" borderId="0" xfId="0" applyFont="1" applyFill="1" applyAlignment="1">
      <alignment horizontal="center"/>
    </xf>
    <xf numFmtId="0" fontId="2" fillId="8" borderId="0" xfId="0" applyFont="1" applyFill="1" applyAlignment="1">
      <alignment horizontal="left" indent="1"/>
    </xf>
    <xf numFmtId="0" fontId="2" fillId="8" borderId="0" xfId="0" applyFont="1" applyFill="1"/>
    <xf numFmtId="0" fontId="0" fillId="8" borderId="0" xfId="0" applyFill="1" applyAlignment="1">
      <alignment horizontal="center"/>
    </xf>
    <xf numFmtId="0" fontId="21" fillId="0" borderId="0" xfId="0" applyFont="1" applyAlignment="1">
      <alignment horizontal="center"/>
    </xf>
    <xf numFmtId="0" fontId="19" fillId="7" borderId="0" xfId="3"/>
    <xf numFmtId="0" fontId="22" fillId="0" borderId="0" xfId="0" quotePrefix="1" applyFont="1"/>
    <xf numFmtId="0" fontId="23" fillId="0" borderId="0" xfId="0" quotePrefix="1" applyFont="1"/>
    <xf numFmtId="0" fontId="20" fillId="9" borderId="0" xfId="0" applyFont="1" applyFill="1"/>
    <xf numFmtId="0" fontId="20" fillId="10" borderId="0" xfId="0" applyFont="1" applyFill="1"/>
    <xf numFmtId="177" fontId="0" fillId="0" borderId="0" xfId="0" applyNumberFormat="1" applyAlignment="1">
      <alignment horizontal="center"/>
    </xf>
    <xf numFmtId="4" fontId="0" fillId="0" borderId="0" xfId="0" applyNumberFormat="1"/>
    <xf numFmtId="1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11" xfId="0" applyFont="1" applyBorder="1" applyAlignment="1">
      <alignment horizontal="left" indent="1"/>
    </xf>
    <xf numFmtId="0" fontId="2" fillId="8" borderId="0" xfId="0" quotePrefix="1" applyFont="1" applyFill="1" applyAlignment="1">
      <alignment horizontal="center"/>
    </xf>
    <xf numFmtId="4" fontId="2" fillId="8" borderId="0" xfId="0" quotePrefix="1" applyNumberFormat="1" applyFont="1" applyFill="1" applyAlignment="1">
      <alignment horizontal="center"/>
    </xf>
    <xf numFmtId="0" fontId="18" fillId="6" borderId="12" xfId="2" applyFont="1" applyBorder="1" applyAlignment="1">
      <alignment horizontal="center"/>
    </xf>
    <xf numFmtId="0" fontId="18" fillId="6" borderId="9" xfId="2" applyFont="1" applyBorder="1" applyAlignment="1">
      <alignment horizontal="center"/>
    </xf>
    <xf numFmtId="0" fontId="15" fillId="0" borderId="0" xfId="0" quotePrefix="1" applyFont="1"/>
  </cellXfs>
  <cellStyles count="4">
    <cellStyle name="Comma" xfId="1" builtinId="3"/>
    <cellStyle name="Good" xfId="3" builtinId="26"/>
    <cellStyle name="Input" xfId="2" builtinId="20"/>
    <cellStyle name="Normal" xfId="0" builtinId="0"/>
  </cellStyles>
  <dxfs count="135"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Charts!$B$3</c:f>
          <c:strCache>
            <c:ptCount val="1"/>
            <c:pt idx="0">
              <c:v>2021: Elpris [200 - 1000], Kvotepris {400, 900}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7185600163661096E-2"/>
          <c:y val="0.10062428834217946"/>
          <c:w val="0.88646467441107635"/>
          <c:h val="0.761405325144408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Charts!$F$6</c:f>
              <c:strCache>
                <c:ptCount val="1"/>
                <c:pt idx="0">
                  <c:v>REFA-Daekningsbidrag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Charts!$H$5:$Q$5</c:f>
              <c:strCache>
                <c:ptCount val="1"/>
                <c:pt idx="0">
                  <c:v>sc-1</c:v>
                </c:pt>
              </c:strCache>
            </c:strRef>
          </c:cat>
          <c:val>
            <c:numRef>
              <c:f>[0]!series1</c:f>
              <c:numCache>
                <c:formatCode>#,##0</c:formatCode>
                <c:ptCount val="2"/>
                <c:pt idx="0">
                  <c:v>-2440.9401017176415</c:v>
                </c:pt>
                <c:pt idx="1">
                  <c:v>-569.60969719764967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1-4039-9784-4428DDC4103B}"/>
            </c:ext>
          </c:extLst>
        </c:ser>
        <c:ser>
          <c:idx val="1"/>
          <c:order val="1"/>
          <c:tx>
            <c:strRef>
              <c:f>Charts!$F$7</c:f>
              <c:strCache>
                <c:ptCount val="1"/>
                <c:pt idx="0">
                  <c:v>REFA-Total-Var-Indkomst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Charts!$H$5:$Q$5</c:f>
              <c:strCache>
                <c:ptCount val="1"/>
                <c:pt idx="0">
                  <c:v>sc-1</c:v>
                </c:pt>
              </c:strCache>
            </c:strRef>
          </c:cat>
          <c:val>
            <c:numRef>
              <c:f>[0]!Series2</c:f>
              <c:numCache>
                <c:formatCode>#,##0</c:formatCode>
                <c:ptCount val="2"/>
                <c:pt idx="0">
                  <c:v>7018.1756688673531</c:v>
                </c:pt>
                <c:pt idx="1">
                  <c:v>7050.4128298098531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1-4039-9784-4428DDC4103B}"/>
            </c:ext>
          </c:extLst>
        </c:ser>
        <c:ser>
          <c:idx val="2"/>
          <c:order val="2"/>
          <c:tx>
            <c:strRef>
              <c:f>Charts!$F$8</c:f>
              <c:strCache>
                <c:ptCount val="1"/>
                <c:pt idx="0">
                  <c:v>REFA-Total-Var-Omkostning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Charts!$H$5:$Q$5</c:f>
              <c:strCache>
                <c:ptCount val="1"/>
                <c:pt idx="0">
                  <c:v>sc-1</c:v>
                </c:pt>
              </c:strCache>
            </c:strRef>
          </c:cat>
          <c:val>
            <c:numRef>
              <c:f>[0]!Series3</c:f>
              <c:numCache>
                <c:formatCode>#,##0</c:formatCode>
                <c:ptCount val="2"/>
                <c:pt idx="0">
                  <c:v>9459.1157705849946</c:v>
                </c:pt>
                <c:pt idx="1">
                  <c:v>7620.0225270075025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1-4039-9784-4428DDC4103B}"/>
            </c:ext>
          </c:extLst>
        </c:ser>
        <c:ser>
          <c:idx val="3"/>
          <c:order val="3"/>
          <c:tx>
            <c:strRef>
              <c:f>Charts!$F$9:$G$9</c:f>
              <c:strCache>
                <c:ptCount val="2"/>
                <c:pt idx="0">
                  <c:v>REFA-Afgifter</c:v>
                </c:pt>
                <c:pt idx="1">
                  <c:v>5.860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Charts!$H$5:$Q$5</c:f>
              <c:strCache>
                <c:ptCount val="1"/>
                <c:pt idx="0">
                  <c:v>sc-1</c:v>
                </c:pt>
              </c:strCache>
            </c:strRef>
          </c:cat>
          <c:val>
            <c:numRef>
              <c:f>[0]!Series4</c:f>
              <c:numCache>
                <c:formatCode>#,##0</c:formatCode>
                <c:ptCount val="2"/>
                <c:pt idx="0">
                  <c:v>5860.0276890179421</c:v>
                </c:pt>
                <c:pt idx="1">
                  <c:v>5860.0276890179421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B1-4039-9784-4428DDC4103B}"/>
            </c:ext>
          </c:extLst>
        </c:ser>
        <c:ser>
          <c:idx val="4"/>
          <c:order val="4"/>
          <c:tx>
            <c:strRef>
              <c:f>Charts!$F$10</c:f>
              <c:strCache>
                <c:ptCount val="1"/>
                <c:pt idx="0">
                  <c:v>REFA-CO2-Kvoteomk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Charts!$H$5:$Q$5</c:f>
              <c:strCache>
                <c:ptCount val="1"/>
                <c:pt idx="0">
                  <c:v>sc-1</c:v>
                </c:pt>
              </c:strCache>
            </c:strRef>
          </c:cat>
          <c:val>
            <c:numRef>
              <c:f>[0]!Series5</c:f>
              <c:numCache>
                <c:formatCode>#,##0</c:formatCode>
                <c:ptCount val="2"/>
                <c:pt idx="0">
                  <c:v>1848.1139339199938</c:v>
                </c:pt>
                <c:pt idx="1">
                  <c:v>9.0206903425014939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B1-4039-9784-4428DDC41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0900856"/>
        <c:axId val="1120898232"/>
      </c:barChart>
      <c:catAx>
        <c:axId val="1120900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898232"/>
        <c:crosses val="autoZero"/>
        <c:auto val="1"/>
        <c:lblAlgn val="ctr"/>
        <c:lblOffset val="100"/>
        <c:noMultiLvlLbl val="0"/>
      </c:catAx>
      <c:valAx>
        <c:axId val="112089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900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1120</xdr:rowOff>
    </xdr:from>
    <xdr:to>
      <xdr:col>15</xdr:col>
      <xdr:colOff>0</xdr:colOff>
      <xdr:row>42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B1A7B5-EF54-466B-9454-386BBC3C14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REFAinput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Parms"/>
      <sheetName val="Scen"/>
      <sheetName val="DataCtrl"/>
      <sheetName val="DataU"/>
      <sheetName val="Lister"/>
      <sheetName val="DataFuel"/>
      <sheetName val="E-V"/>
      <sheetName val="ScenOLD"/>
      <sheetName val="Resultater"/>
      <sheetName val="OptimDump"/>
    </sheetNames>
    <sheetDataSet>
      <sheetData sheetId="0"/>
      <sheetData sheetId="1"/>
      <sheetData sheetId="2">
        <row r="4">
          <cell r="B4" t="str">
            <v>RunScenarios</v>
          </cell>
        </row>
        <row r="5">
          <cell r="B5" t="str">
            <v>IncludeGSF</v>
          </cell>
        </row>
        <row r="6">
          <cell r="B6" t="str">
            <v>VirtuelVarme</v>
          </cell>
        </row>
        <row r="7">
          <cell r="B7" t="str">
            <v>VirtuelAffald</v>
          </cell>
        </row>
        <row r="8">
          <cell r="B8" t="str">
            <v>Skorstensmetode</v>
          </cell>
        </row>
        <row r="9">
          <cell r="B9" t="str">
            <v>FixAffald</v>
          </cell>
        </row>
        <row r="10">
          <cell r="B10" t="str">
            <v>RgkRabatSats</v>
          </cell>
        </row>
        <row r="11">
          <cell r="B11" t="str">
            <v>RgkAndelRabat</v>
          </cell>
        </row>
        <row r="12">
          <cell r="B12" t="str">
            <v>Varmesalgspris</v>
          </cell>
        </row>
        <row r="13">
          <cell r="B13" t="str">
            <v>EgetforbrugKVV</v>
          </cell>
        </row>
      </sheetData>
      <sheetData sheetId="3">
        <row r="3">
          <cell r="B3" t="str">
            <v>FirstYear</v>
          </cell>
          <cell r="C3" t="str">
            <v>LastYear</v>
          </cell>
          <cell r="D3" t="str">
            <v>FirstPeriod</v>
          </cell>
          <cell r="E3" t="str">
            <v>LastPeriod</v>
          </cell>
        </row>
        <row r="4">
          <cell r="A4" t="str">
            <v>Aar</v>
          </cell>
        </row>
        <row r="5">
          <cell r="A5" t="str">
            <v>Maaned</v>
          </cell>
        </row>
        <row r="6">
          <cell r="A6" t="str">
            <v>Dato</v>
          </cell>
          <cell r="B6">
            <v>44197</v>
          </cell>
          <cell r="C6">
            <v>44927</v>
          </cell>
          <cell r="D6">
            <v>44197</v>
          </cell>
          <cell r="E6">
            <v>44197</v>
          </cell>
        </row>
        <row r="11">
          <cell r="B11" t="str">
            <v>Aktiv</v>
          </cell>
          <cell r="C11" t="str">
            <v>Ukind</v>
          </cell>
          <cell r="D11" t="str">
            <v>Prioritet</v>
          </cell>
          <cell r="E11" t="str">
            <v>MinLhv</v>
          </cell>
          <cell r="F11" t="str">
            <v>MaxLhv</v>
          </cell>
          <cell r="G11" t="str">
            <v>MinTon</v>
          </cell>
          <cell r="H11" t="str">
            <v>MaxTon</v>
          </cell>
          <cell r="I11" t="str">
            <v>KapQNom</v>
          </cell>
          <cell r="J11" t="str">
            <v>KapRgk</v>
          </cell>
          <cell r="K11" t="str">
            <v>KapE</v>
          </cell>
          <cell r="L11" t="str">
            <v>EtaE</v>
          </cell>
          <cell r="M11" t="str">
            <v>EtaQ</v>
          </cell>
          <cell r="N11" t="str">
            <v>DVMWhq</v>
          </cell>
          <cell r="O11" t="str">
            <v>DVtime</v>
          </cell>
          <cell r="R11" t="str">
            <v>Aktiv</v>
          </cell>
          <cell r="S11" t="str">
            <v>StoKind</v>
          </cell>
          <cell r="T11" t="str">
            <v>LoadInit</v>
          </cell>
          <cell r="U11" t="str">
            <v>LoadMin</v>
          </cell>
          <cell r="V11" t="str">
            <v>LoadMax</v>
          </cell>
          <cell r="W11" t="str">
            <v>DLoadMax</v>
          </cell>
          <cell r="X11" t="str">
            <v>LossRate</v>
          </cell>
          <cell r="Y11" t="str">
            <v>LoadCost</v>
          </cell>
          <cell r="Z11" t="str">
            <v>DLoadCost</v>
          </cell>
          <cell r="AA11" t="str">
            <v>ResetFirst</v>
          </cell>
          <cell r="AB11" t="str">
            <v>ResetIntv</v>
          </cell>
          <cell r="AC11" t="str">
            <v>ResetLast</v>
          </cell>
        </row>
        <row r="12">
          <cell r="A12" t="str">
            <v>Ovn2</v>
          </cell>
          <cell r="Q12" t="str">
            <v>sto1</v>
          </cell>
        </row>
        <row r="13">
          <cell r="A13" t="str">
            <v>Ovn3</v>
          </cell>
          <cell r="Q13" t="str">
            <v>sto2</v>
          </cell>
        </row>
        <row r="14">
          <cell r="A14" t="str">
            <v>FlisK</v>
          </cell>
        </row>
        <row r="15">
          <cell r="A15" t="str">
            <v>NS</v>
          </cell>
        </row>
        <row r="16">
          <cell r="A16" t="str">
            <v>Cooler</v>
          </cell>
        </row>
        <row r="17">
          <cell r="A17" t="str">
            <v>PeakK</v>
          </cell>
        </row>
        <row r="22">
          <cell r="E22" t="str">
            <v>Aktiv</v>
          </cell>
          <cell r="F22" t="str">
            <v>Ndage</v>
          </cell>
          <cell r="G22" t="str">
            <v>Ovn2</v>
          </cell>
          <cell r="H22" t="str">
            <v>Ovn3</v>
          </cell>
          <cell r="I22" t="str">
            <v>FlisK</v>
          </cell>
          <cell r="J22" t="str">
            <v>NS</v>
          </cell>
          <cell r="K22" t="str">
            <v>Cooler</v>
          </cell>
          <cell r="L22" t="str">
            <v>PeakK</v>
          </cell>
          <cell r="M22" t="str">
            <v>Turbine</v>
          </cell>
          <cell r="N22" t="str">
            <v>Varmebehov</v>
          </cell>
          <cell r="O22" t="str">
            <v>NSprod</v>
          </cell>
          <cell r="P22" t="str">
            <v>ELprod</v>
          </cell>
          <cell r="Q22" t="str">
            <v>Bypass</v>
          </cell>
          <cell r="R22" t="str">
            <v>Elpris</v>
          </cell>
          <cell r="S22" t="str">
            <v>ETS</v>
          </cell>
          <cell r="T22" t="str">
            <v>AFV</v>
          </cell>
          <cell r="U22" t="str">
            <v>ATL</v>
          </cell>
          <cell r="V22" t="str">
            <v>CO2aff</v>
          </cell>
          <cell r="W22" t="str">
            <v>ETSaff</v>
          </cell>
          <cell r="X22" t="str">
            <v>CO2afgAff</v>
          </cell>
          <cell r="Y22" t="str">
            <v>NOxAff</v>
          </cell>
          <cell r="Z22" t="str">
            <v>NOxFlis</v>
          </cell>
          <cell r="AA22" t="str">
            <v>EnrPeak</v>
          </cell>
          <cell r="AB22" t="str">
            <v>CO2peak</v>
          </cell>
          <cell r="AC22" t="str">
            <v>NOxPeak</v>
          </cell>
        </row>
        <row r="23">
          <cell r="C23">
            <v>44197</v>
          </cell>
        </row>
        <row r="24">
          <cell r="C24">
            <v>44228</v>
          </cell>
        </row>
        <row r="25">
          <cell r="C25">
            <v>44256</v>
          </cell>
        </row>
        <row r="26">
          <cell r="C26">
            <v>44287</v>
          </cell>
        </row>
        <row r="27">
          <cell r="C27">
            <v>44317</v>
          </cell>
        </row>
        <row r="28">
          <cell r="C28">
            <v>44348</v>
          </cell>
        </row>
        <row r="29">
          <cell r="C29">
            <v>44378</v>
          </cell>
        </row>
        <row r="30">
          <cell r="C30">
            <v>44409</v>
          </cell>
        </row>
        <row r="31">
          <cell r="C31">
            <v>44440</v>
          </cell>
        </row>
        <row r="32">
          <cell r="C32">
            <v>44470</v>
          </cell>
        </row>
        <row r="33">
          <cell r="C33">
            <v>44501</v>
          </cell>
        </row>
        <row r="34">
          <cell r="C34">
            <v>44531</v>
          </cell>
        </row>
        <row r="35">
          <cell r="C35">
            <v>44562</v>
          </cell>
        </row>
        <row r="36">
          <cell r="C36">
            <v>44593</v>
          </cell>
        </row>
        <row r="37">
          <cell r="C37">
            <v>44621</v>
          </cell>
        </row>
        <row r="38">
          <cell r="C38">
            <v>44652</v>
          </cell>
        </row>
        <row r="39">
          <cell r="C39">
            <v>44682</v>
          </cell>
        </row>
        <row r="40">
          <cell r="C40">
            <v>44713</v>
          </cell>
        </row>
        <row r="41">
          <cell r="C41">
            <v>44743</v>
          </cell>
        </row>
        <row r="42">
          <cell r="C42">
            <v>44774</v>
          </cell>
        </row>
        <row r="43">
          <cell r="C43">
            <v>44805</v>
          </cell>
        </row>
        <row r="44">
          <cell r="C44">
            <v>44835</v>
          </cell>
        </row>
        <row r="45">
          <cell r="C45">
            <v>44866</v>
          </cell>
        </row>
        <row r="46">
          <cell r="C46">
            <v>44896</v>
          </cell>
        </row>
        <row r="47">
          <cell r="C47">
            <v>44927</v>
          </cell>
        </row>
        <row r="48">
          <cell r="C48">
            <v>44958</v>
          </cell>
        </row>
        <row r="49">
          <cell r="C49">
            <v>44986</v>
          </cell>
        </row>
        <row r="50">
          <cell r="C50">
            <v>45017</v>
          </cell>
        </row>
        <row r="51">
          <cell r="C51">
            <v>45047</v>
          </cell>
        </row>
        <row r="52">
          <cell r="C52">
            <v>45078</v>
          </cell>
        </row>
        <row r="53">
          <cell r="C53">
            <v>45108</v>
          </cell>
        </row>
        <row r="54">
          <cell r="C54">
            <v>45139</v>
          </cell>
        </row>
        <row r="55">
          <cell r="C55">
            <v>45170</v>
          </cell>
        </row>
        <row r="56">
          <cell r="C56">
            <v>45200</v>
          </cell>
        </row>
        <row r="57">
          <cell r="C57">
            <v>45231</v>
          </cell>
        </row>
        <row r="58">
          <cell r="C58">
            <v>45261</v>
          </cell>
        </row>
      </sheetData>
      <sheetData sheetId="4"/>
      <sheetData sheetId="5">
        <row r="4">
          <cell r="D4" t="str">
            <v>Aktiv</v>
          </cell>
          <cell r="E4" t="str">
            <v>Fkind</v>
          </cell>
          <cell r="F4" t="str">
            <v>Lagerbar</v>
          </cell>
          <cell r="G4" t="str">
            <v>Fri</v>
          </cell>
          <cell r="H4" t="str">
            <v>Flex</v>
          </cell>
          <cell r="I4" t="str">
            <v>Bortskaf</v>
          </cell>
          <cell r="J4" t="str">
            <v>TilOvn2</v>
          </cell>
          <cell r="K4" t="str">
            <v>TilOvn3</v>
          </cell>
          <cell r="L4" t="str">
            <v>MinTonnage</v>
          </cell>
          <cell r="M4" t="str">
            <v>MaxTonnage</v>
          </cell>
          <cell r="N4" t="str">
            <v>InitSto1</v>
          </cell>
          <cell r="O4" t="str">
            <v>InitSto2</v>
          </cell>
          <cell r="P4" t="str">
            <v>Pris</v>
          </cell>
          <cell r="Q4" t="str">
            <v>LHV</v>
          </cell>
          <cell r="R4" t="str">
            <v>NOxKgTon</v>
          </cell>
          <cell r="S4" t="str">
            <v>CO2kgGJ</v>
          </cell>
        </row>
        <row r="5">
          <cell r="C5" t="str">
            <v>DepoSort</v>
          </cell>
        </row>
        <row r="6">
          <cell r="C6" t="str">
            <v>DepoSmaat</v>
          </cell>
        </row>
        <row r="7">
          <cell r="C7" t="str">
            <v>DepoNedd</v>
          </cell>
        </row>
        <row r="8">
          <cell r="C8" t="str">
            <v>Dagren</v>
          </cell>
        </row>
        <row r="9">
          <cell r="C9" t="str">
            <v>AndetBrand</v>
          </cell>
        </row>
        <row r="10">
          <cell r="C10" t="str">
            <v>Trae</v>
          </cell>
        </row>
        <row r="11">
          <cell r="C11" t="str">
            <v>DagrenRast</v>
          </cell>
        </row>
        <row r="12">
          <cell r="C12" t="str">
            <v>DagrenInst</v>
          </cell>
        </row>
        <row r="13">
          <cell r="C13" t="str">
            <v>DagrenHandel</v>
          </cell>
        </row>
        <row r="14">
          <cell r="C14" t="str">
            <v>DagrenRestau</v>
          </cell>
        </row>
        <row r="15">
          <cell r="C15" t="str">
            <v>Erhverv</v>
          </cell>
        </row>
        <row r="16">
          <cell r="C16" t="str">
            <v>DagrenErhverv</v>
          </cell>
        </row>
        <row r="17">
          <cell r="C17" t="str">
            <v>HandelKontor</v>
          </cell>
        </row>
        <row r="18">
          <cell r="C18" t="str">
            <v>Privat</v>
          </cell>
        </row>
        <row r="19">
          <cell r="C19" t="str">
            <v>TyskRest</v>
          </cell>
        </row>
        <row r="20">
          <cell r="C20" t="str">
            <v>PolskRest</v>
          </cell>
        </row>
        <row r="21">
          <cell r="C21" t="str">
            <v>PcbTrae</v>
          </cell>
        </row>
        <row r="22">
          <cell r="C22" t="str">
            <v>TraeRekv</v>
          </cell>
        </row>
        <row r="23">
          <cell r="C23" t="str">
            <v>Halm</v>
          </cell>
        </row>
        <row r="24">
          <cell r="C24" t="str">
            <v>Pulver</v>
          </cell>
        </row>
        <row r="25">
          <cell r="C25" t="str">
            <v>FlisAffald</v>
          </cell>
        </row>
        <row r="26">
          <cell r="C26" t="str">
            <v>NyAff1</v>
          </cell>
        </row>
        <row r="27">
          <cell r="C27" t="str">
            <v>NyAff2</v>
          </cell>
        </row>
        <row r="28">
          <cell r="C28" t="str">
            <v>NyAff3</v>
          </cell>
        </row>
        <row r="29">
          <cell r="C29" t="str">
            <v>NyAff4</v>
          </cell>
        </row>
        <row r="30">
          <cell r="C30" t="str">
            <v>NyAff5</v>
          </cell>
        </row>
        <row r="31">
          <cell r="C31" t="str">
            <v>Flis</v>
          </cell>
        </row>
        <row r="32">
          <cell r="C32" t="str">
            <v>NSvarme</v>
          </cell>
        </row>
        <row r="33">
          <cell r="C33" t="str">
            <v>PeakFuel</v>
          </cell>
        </row>
      </sheetData>
      <sheetData sheetId="6"/>
      <sheetData sheetId="7">
        <row r="4">
          <cell r="C4">
            <v>-9.99</v>
          </cell>
        </row>
      </sheetData>
      <sheetData sheetId="8"/>
      <sheetData sheetId="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700FBD94-80D1-4E1D-A0A9-53D2E7EBA1E2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4T13:34:10.18" personId="{700FBD94-80D1-4E1D-A0A9-53D2E7EBA1E2}" id="{EC266F5E-0BBB-48AD-BB1F-582C70E5B4C6}">
    <text>Se Leila Gharani: 
https://www.youtube.com/watch?v=VxReJslyJm8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7264B-63C3-4A52-9E22-9B9769F005F4}">
  <sheetPr>
    <tabColor theme="9" tint="0.59999389629810485"/>
  </sheetPr>
  <dimension ref="B2:AZ45"/>
  <sheetViews>
    <sheetView zoomScale="85" zoomScaleNormal="85" workbookViewId="0">
      <selection activeCell="J9" sqref="J9"/>
    </sheetView>
  </sheetViews>
  <sheetFormatPr defaultRowHeight="15" outlineLevelCol="1" x14ac:dyDescent="0.25"/>
  <cols>
    <col min="1" max="1" width="3.5703125" customWidth="1"/>
    <col min="3" max="3" width="9.140625" customWidth="1" outlineLevel="1"/>
    <col min="4" max="4" width="8.140625" customWidth="1" outlineLevel="1"/>
    <col min="5" max="5" width="13.5703125" customWidth="1" outlineLevel="1"/>
    <col min="6" max="6" width="16" customWidth="1" outlineLevel="1"/>
    <col min="7" max="7" width="14.28515625" customWidth="1" outlineLevel="1"/>
    <col min="8" max="8" width="10.7109375" customWidth="1" outlineLevel="1"/>
    <col min="9" max="9" width="10.28515625" customWidth="1" outlineLevel="1"/>
    <col min="10" max="10" width="10" customWidth="1" outlineLevel="1"/>
    <col min="11" max="11" width="9.5703125" customWidth="1" outlineLevel="1"/>
    <col min="12" max="12" width="12.5703125" customWidth="1" outlineLevel="1"/>
    <col min="13" max="13" width="5" style="88" customWidth="1"/>
    <col min="14" max="14" width="15.42578125" style="89" customWidth="1"/>
    <col min="15" max="15" width="23.7109375" customWidth="1" outlineLevel="1"/>
    <col min="16" max="27" width="9.140625" customWidth="1" outlineLevel="1"/>
    <col min="28" max="28" width="5" style="88" customWidth="1"/>
    <col min="29" max="29" width="2.28515625" customWidth="1"/>
    <col min="30" max="30" width="11.28515625" style="5" hidden="1" customWidth="1" outlineLevel="1"/>
    <col min="31" max="32" width="9.140625" style="80" hidden="1" customWidth="1" outlineLevel="1"/>
    <col min="33" max="35" width="8.85546875" style="80" hidden="1" customWidth="1" outlineLevel="1"/>
    <col min="36" max="36" width="10.7109375" style="80" hidden="1" customWidth="1" outlineLevel="1"/>
    <col min="37" max="37" width="10.28515625" style="80" hidden="1" customWidth="1" outlineLevel="1"/>
    <col min="38" max="39" width="12.42578125" style="102" hidden="1" customWidth="1" outlineLevel="1"/>
    <col min="40" max="40" width="9.140625" collapsed="1"/>
  </cols>
  <sheetData>
    <row r="2" spans="2:52" x14ac:dyDescent="0.25">
      <c r="B2" s="78" t="s">
        <v>100</v>
      </c>
      <c r="AD2" s="87" t="s">
        <v>208</v>
      </c>
    </row>
    <row r="3" spans="2:52" x14ac:dyDescent="0.25">
      <c r="H3" s="78" t="s">
        <v>102</v>
      </c>
    </row>
    <row r="4" spans="2:52" x14ac:dyDescent="0.25">
      <c r="C4" s="90" t="s">
        <v>103</v>
      </c>
      <c r="H4" s="80" t="s">
        <v>104</v>
      </c>
      <c r="I4" s="80" t="s">
        <v>104</v>
      </c>
      <c r="J4" s="80" t="s">
        <v>105</v>
      </c>
      <c r="K4" s="80" t="s">
        <v>105</v>
      </c>
      <c r="P4" t="s">
        <v>109</v>
      </c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C4" s="74"/>
      <c r="AG4" s="80" t="s">
        <v>106</v>
      </c>
      <c r="AH4" s="80" t="s">
        <v>107</v>
      </c>
      <c r="AI4" s="80" t="s">
        <v>108</v>
      </c>
      <c r="AN4" s="74"/>
      <c r="AO4" s="74"/>
      <c r="AP4" s="74"/>
      <c r="AQ4" s="74"/>
      <c r="AR4" s="74"/>
      <c r="AS4" s="74"/>
      <c r="AT4" s="74"/>
      <c r="AU4" s="74"/>
      <c r="AV4" s="74"/>
      <c r="AW4" s="74"/>
      <c r="AX4" s="74"/>
      <c r="AY4" s="74"/>
      <c r="AZ4" s="74"/>
    </row>
    <row r="5" spans="2:52" x14ac:dyDescent="0.25">
      <c r="B5" s="91" t="s">
        <v>110</v>
      </c>
      <c r="C5" s="91" t="s">
        <v>111</v>
      </c>
      <c r="D5" s="92" t="s">
        <v>112</v>
      </c>
      <c r="E5" s="91" t="s">
        <v>113</v>
      </c>
      <c r="F5" s="91" t="s">
        <v>114</v>
      </c>
      <c r="G5" s="91" t="s">
        <v>115</v>
      </c>
      <c r="H5" s="91" t="s">
        <v>116</v>
      </c>
      <c r="I5" s="91" t="s">
        <v>117</v>
      </c>
      <c r="J5" s="91" t="s">
        <v>118</v>
      </c>
      <c r="K5" s="91" t="s">
        <v>119</v>
      </c>
      <c r="L5" s="93" t="s">
        <v>120</v>
      </c>
      <c r="P5" s="94">
        <v>1</v>
      </c>
      <c r="Q5" s="94">
        <v>2</v>
      </c>
      <c r="R5" s="94">
        <v>3</v>
      </c>
      <c r="S5" s="94">
        <v>4</v>
      </c>
      <c r="T5" s="94">
        <v>5</v>
      </c>
      <c r="U5" s="94">
        <v>6</v>
      </c>
      <c r="V5" s="94">
        <v>7</v>
      </c>
      <c r="W5" s="94">
        <v>8</v>
      </c>
      <c r="X5" s="94">
        <v>9</v>
      </c>
      <c r="Y5" s="94">
        <v>10</v>
      </c>
      <c r="Z5" s="94">
        <v>11</v>
      </c>
      <c r="AA5" s="94">
        <v>12</v>
      </c>
      <c r="AC5" s="74"/>
      <c r="AD5" s="92"/>
      <c r="AE5" s="106" t="s">
        <v>112</v>
      </c>
      <c r="AF5" s="106" t="s">
        <v>111</v>
      </c>
      <c r="AG5" s="106" t="s">
        <v>113</v>
      </c>
      <c r="AH5" s="106" t="s">
        <v>114</v>
      </c>
      <c r="AI5" s="106" t="s">
        <v>115</v>
      </c>
      <c r="AJ5" s="106" t="s">
        <v>213</v>
      </c>
      <c r="AK5" s="106" t="s">
        <v>214</v>
      </c>
      <c r="AL5" s="107" t="s">
        <v>215</v>
      </c>
      <c r="AM5" s="107" t="s">
        <v>216</v>
      </c>
      <c r="AN5" s="110" t="s">
        <v>217</v>
      </c>
      <c r="AO5" s="110" t="s">
        <v>218</v>
      </c>
      <c r="AP5" s="110" t="s">
        <v>219</v>
      </c>
      <c r="AQ5" s="110" t="s">
        <v>220</v>
      </c>
      <c r="AR5" s="110" t="s">
        <v>221</v>
      </c>
      <c r="AS5" s="110" t="s">
        <v>222</v>
      </c>
      <c r="AT5" s="110" t="s">
        <v>223</v>
      </c>
      <c r="AU5" s="110" t="s">
        <v>224</v>
      </c>
      <c r="AV5" s="110" t="s">
        <v>225</v>
      </c>
      <c r="AW5" s="74"/>
      <c r="AX5" s="74"/>
      <c r="AY5" s="74"/>
      <c r="AZ5" s="74"/>
    </row>
    <row r="6" spans="2:52" x14ac:dyDescent="0.25">
      <c r="B6" s="95" t="str">
        <f>IF(ISBLANK(AD6),"",AD6)</f>
        <v>screc1</v>
      </c>
      <c r="C6" s="95">
        <f>IF(ISBLANK(AF6),0,AF6)</f>
        <v>1</v>
      </c>
      <c r="D6" s="85">
        <f>IF(ISBLANK(AE6),"",AE6)</f>
        <v>1</v>
      </c>
      <c r="E6" s="5" t="str" cm="1">
        <f t="array" ref="E6">IF(AG6&lt;=0,"",INDEX(listRoot,AG6))</f>
        <v>Control</v>
      </c>
      <c r="F6" s="5" t="str" cm="1">
        <f t="array" ref="F6">IF(AH6&lt;=0.000000000001,"",INDEX(Lister!$C$4:$H$100,AH6,$AG6))</f>
        <v>FixAffald</v>
      </c>
      <c r="G6" s="5" t="str" cm="1">
        <f t="array" ref="G6">IF(AI6&lt;=0.000000000001,"",INDEX(Lister!$J$4:$O$100,AI6,$AG6))</f>
        <v>VOID</v>
      </c>
      <c r="H6" s="80" t="str">
        <f>IF(AJ6&lt;0.000000000001,"",AJ6)</f>
        <v/>
      </c>
      <c r="I6" s="80" t="str">
        <f t="shared" ref="I6:K21" si="0">IF(AK6&lt;0.000000000001,"",AK6)</f>
        <v/>
      </c>
      <c r="J6" t="str">
        <f t="shared" si="0"/>
        <v/>
      </c>
      <c r="K6" t="str">
        <f t="shared" si="0"/>
        <v/>
      </c>
      <c r="O6" t="str">
        <f t="shared" ref="O6:O21" si="1">IF(C6=0,"",E6&amp;"."&amp;F6&amp;"."&amp;G6)</f>
        <v>Control.FixAffald.VOID</v>
      </c>
      <c r="P6" t="str">
        <f>IF(OR(P$5&lt;$H6,P$5&gt;$I6),"",$J6+(P$5-$H6)*($K6-$J6)/($I6-$H6))</f>
        <v/>
      </c>
      <c r="Q6" t="str">
        <f t="shared" ref="Q6:AA21" si="2">IF(OR(Q$5&lt;$H6,Q$5&gt;$I6),"",$J6+(Q$5-$H6)*($K6-$J6)/($I6-$H6))</f>
        <v/>
      </c>
      <c r="R6" t="str">
        <f t="shared" si="2"/>
        <v/>
      </c>
      <c r="S6" t="str">
        <f t="shared" si="2"/>
        <v/>
      </c>
      <c r="T6" t="str">
        <f t="shared" si="2"/>
        <v/>
      </c>
      <c r="U6" t="str">
        <f t="shared" si="2"/>
        <v/>
      </c>
      <c r="V6" t="str">
        <f t="shared" si="2"/>
        <v/>
      </c>
      <c r="W6" t="str">
        <f t="shared" si="2"/>
        <v/>
      </c>
      <c r="X6" t="str">
        <f t="shared" si="2"/>
        <v/>
      </c>
      <c r="Y6" t="str">
        <f t="shared" si="2"/>
        <v/>
      </c>
      <c r="Z6" t="str">
        <f t="shared" si="2"/>
        <v/>
      </c>
      <c r="AA6" t="str">
        <f t="shared" si="2"/>
        <v/>
      </c>
      <c r="AC6" s="74"/>
      <c r="AD6" s="9" t="s">
        <v>125</v>
      </c>
      <c r="AE6" s="95">
        <v>1</v>
      </c>
      <c r="AF6" s="85">
        <v>1</v>
      </c>
      <c r="AG6" s="85">
        <v>1</v>
      </c>
      <c r="AH6" s="85">
        <v>6</v>
      </c>
      <c r="AI6" s="85">
        <v>1</v>
      </c>
      <c r="AJ6" s="85"/>
      <c r="AK6" s="85"/>
      <c r="AN6" s="74"/>
      <c r="AO6" s="74"/>
      <c r="AP6" s="74"/>
      <c r="AQ6" s="74"/>
      <c r="AR6" s="74"/>
      <c r="AS6" s="74"/>
      <c r="AT6" s="74"/>
      <c r="AU6" s="74"/>
      <c r="AV6" s="74"/>
      <c r="AW6" s="74"/>
      <c r="AX6" s="74"/>
      <c r="AY6" s="74"/>
      <c r="AZ6" s="74"/>
    </row>
    <row r="7" spans="2:52" x14ac:dyDescent="0.25">
      <c r="B7" s="95" t="str">
        <f t="shared" ref="B7:B45" si="3">IF(ISBLANK(AD7),"",AD7)</f>
        <v>screc2</v>
      </c>
      <c r="C7" s="95">
        <f t="shared" ref="C7:C42" si="4">IF(ISBLANK(AF7),0,AF7)</f>
        <v>1</v>
      </c>
      <c r="D7" s="85">
        <f t="shared" ref="D7:D21" si="5">IF(ISBLANK(AF7),"",AF7)</f>
        <v>1</v>
      </c>
      <c r="E7" s="5" t="str" cm="1">
        <f t="array" ref="E7">IF(AG7&lt;=0,"",INDEX(listRoot,AG7))</f>
        <v>Control</v>
      </c>
      <c r="F7" s="5" t="str" cm="1">
        <f t="array" ref="F7">IF(AH7&lt;=0.000000000001,"",INDEX(Lister!$C$4:$H$100,AH7,$AG7))</f>
        <v>EgetforbrugKVV</v>
      </c>
      <c r="G7" s="5" t="str" cm="1">
        <f t="array" ref="G7">IF(AI7&lt;=0.000000000001,"",INDEX(Lister!$J$4:$O$100,AI7,$AG7))</f>
        <v>VOID</v>
      </c>
      <c r="H7" s="80">
        <f t="shared" ref="H7:H42" si="6">IF(AJ7&lt;0.000000000001,"",AJ7)</f>
        <v>22.222000000000001</v>
      </c>
      <c r="I7" s="80" t="str">
        <f t="shared" si="0"/>
        <v/>
      </c>
      <c r="J7" t="str">
        <f t="shared" si="0"/>
        <v/>
      </c>
      <c r="K7" t="str">
        <f t="shared" si="0"/>
        <v/>
      </c>
      <c r="O7" t="str">
        <f t="shared" si="1"/>
        <v>Control.EgetforbrugKVV.VOID</v>
      </c>
      <c r="P7" t="str">
        <f t="shared" ref="P7:AA41" si="7">IF(OR(P$5&lt;$H7,P$5&gt;$I7),"",$J7+(P$5-$H7)*($K7-$J7)/($I7-$H7))</f>
        <v/>
      </c>
      <c r="Q7" t="str">
        <f t="shared" si="2"/>
        <v/>
      </c>
      <c r="R7" t="str">
        <f t="shared" si="2"/>
        <v/>
      </c>
      <c r="S7" t="str">
        <f t="shared" si="2"/>
        <v/>
      </c>
      <c r="T7" t="str">
        <f t="shared" si="2"/>
        <v/>
      </c>
      <c r="U7" t="str">
        <f t="shared" si="2"/>
        <v/>
      </c>
      <c r="V7" t="str">
        <f t="shared" si="2"/>
        <v/>
      </c>
      <c r="W7" t="str">
        <f t="shared" si="2"/>
        <v/>
      </c>
      <c r="X7" t="str">
        <f t="shared" si="2"/>
        <v/>
      </c>
      <c r="Y7" t="str">
        <f t="shared" si="2"/>
        <v/>
      </c>
      <c r="Z7" t="str">
        <f t="shared" si="2"/>
        <v/>
      </c>
      <c r="AA7" t="str">
        <f t="shared" si="2"/>
        <v/>
      </c>
      <c r="AC7" s="74"/>
      <c r="AD7" s="9" t="s">
        <v>128</v>
      </c>
      <c r="AE7" s="95">
        <v>1</v>
      </c>
      <c r="AF7" s="85">
        <v>1</v>
      </c>
      <c r="AG7" s="85">
        <v>1</v>
      </c>
      <c r="AH7" s="85">
        <v>10</v>
      </c>
      <c r="AI7" s="85">
        <v>1</v>
      </c>
      <c r="AJ7" s="85">
        <v>22.222000000000001</v>
      </c>
      <c r="AK7" s="85"/>
      <c r="AN7" s="74"/>
      <c r="AO7" s="74"/>
      <c r="AP7" s="74"/>
      <c r="AQ7" s="74"/>
      <c r="AR7" s="74"/>
      <c r="AS7" s="74"/>
      <c r="AT7" s="74"/>
      <c r="AU7" s="74"/>
      <c r="AV7" s="74"/>
      <c r="AW7" s="74"/>
      <c r="AX7" s="74"/>
      <c r="AY7" s="74"/>
      <c r="AZ7" s="74"/>
    </row>
    <row r="8" spans="2:52" x14ac:dyDescent="0.25">
      <c r="B8" s="95" t="str">
        <f t="shared" si="3"/>
        <v>screc3</v>
      </c>
      <c r="C8" s="95">
        <f t="shared" si="4"/>
        <v>1</v>
      </c>
      <c r="D8" s="85">
        <f t="shared" si="5"/>
        <v>1</v>
      </c>
      <c r="E8" s="5" t="str" cm="1">
        <f t="array" ref="E8">IF(AG8&lt;=0,"",INDEX(listRoot,AG8))</f>
        <v>Plant</v>
      </c>
      <c r="F8" s="5" t="str" cm="1">
        <f t="array" ref="F8">IF(AH8&lt;=0.000000000001,"",INDEX(Lister!$C$4:$H$100,AH8,$AG8))</f>
        <v>FlisK</v>
      </c>
      <c r="G8" s="5" t="str" cm="1">
        <f t="array" ref="G8">IF(AI8&lt;=0.000000000001,"",INDEX(Lister!$J$4:$O$100,AI8,$AG8))</f>
        <v>Aktiv</v>
      </c>
      <c r="H8" s="80" t="str">
        <f t="shared" si="6"/>
        <v/>
      </c>
      <c r="I8" s="80">
        <f t="shared" si="0"/>
        <v>1</v>
      </c>
      <c r="J8" t="str">
        <f t="shared" si="0"/>
        <v/>
      </c>
      <c r="K8" t="str">
        <f t="shared" si="0"/>
        <v/>
      </c>
      <c r="O8" t="str">
        <f t="shared" si="1"/>
        <v>Plant.FlisK.Aktiv</v>
      </c>
      <c r="P8" t="str">
        <f t="shared" si="7"/>
        <v/>
      </c>
      <c r="Q8" t="str">
        <f t="shared" si="2"/>
        <v/>
      </c>
      <c r="R8" t="str">
        <f t="shared" si="2"/>
        <v/>
      </c>
      <c r="S8" t="str">
        <f t="shared" si="2"/>
        <v/>
      </c>
      <c r="T8" t="str">
        <f t="shared" si="2"/>
        <v/>
      </c>
      <c r="U8" t="str">
        <f t="shared" si="2"/>
        <v/>
      </c>
      <c r="V8" t="str">
        <f t="shared" si="2"/>
        <v/>
      </c>
      <c r="W8" t="str">
        <f t="shared" si="2"/>
        <v/>
      </c>
      <c r="X8" t="str">
        <f t="shared" si="2"/>
        <v/>
      </c>
      <c r="Y8" t="str">
        <f t="shared" si="2"/>
        <v/>
      </c>
      <c r="Z8" t="str">
        <f t="shared" si="2"/>
        <v/>
      </c>
      <c r="AA8" t="str">
        <f t="shared" si="2"/>
        <v/>
      </c>
      <c r="AC8" s="74"/>
      <c r="AD8" s="9" t="s">
        <v>131</v>
      </c>
      <c r="AE8" s="95">
        <v>1</v>
      </c>
      <c r="AF8" s="85">
        <v>1</v>
      </c>
      <c r="AG8" s="85">
        <v>2</v>
      </c>
      <c r="AH8" s="85">
        <v>3</v>
      </c>
      <c r="AI8" s="85">
        <v>1</v>
      </c>
      <c r="AJ8" s="85">
        <v>-9.99</v>
      </c>
      <c r="AK8" s="85">
        <v>1</v>
      </c>
      <c r="AN8" s="74"/>
      <c r="AO8" s="74"/>
      <c r="AP8" s="74"/>
      <c r="AQ8" s="74"/>
      <c r="AR8" s="74"/>
      <c r="AS8" s="74"/>
      <c r="AT8" s="74"/>
      <c r="AU8" s="74">
        <v>1</v>
      </c>
      <c r="AV8" s="74">
        <v>1</v>
      </c>
      <c r="AW8" s="74"/>
      <c r="AX8" s="74"/>
      <c r="AY8" s="74"/>
      <c r="AZ8" s="74"/>
    </row>
    <row r="9" spans="2:52" x14ac:dyDescent="0.25">
      <c r="B9" s="95" t="str">
        <f t="shared" si="3"/>
        <v>screc4</v>
      </c>
      <c r="C9" s="95">
        <f t="shared" si="4"/>
        <v>1</v>
      </c>
      <c r="D9" s="85">
        <f t="shared" si="5"/>
        <v>1</v>
      </c>
      <c r="E9" s="5" t="str" cm="1">
        <f t="array" ref="E9">IF(AG9&lt;=0,"",INDEX(listRoot,AG9))</f>
        <v>Prognoses</v>
      </c>
      <c r="F9" s="5" t="str" cm="1">
        <f t="array" ref="F9">IF(AH9&lt;=0.000000000001,"",INDEX(Lister!$C$4:$H$100,AH9,$AG9))</f>
        <v>Elpris</v>
      </c>
      <c r="G9" s="5" t="str" cm="1">
        <f t="array" ref="G9">IF(AI9&lt;=0.000000000001,"",INDEX(Lister!$J$4:$O$100,AI9,$AG9))</f>
        <v>VOID</v>
      </c>
      <c r="H9" s="80" t="str">
        <f t="shared" si="6"/>
        <v/>
      </c>
      <c r="I9" s="80">
        <f t="shared" si="0"/>
        <v>100</v>
      </c>
      <c r="J9">
        <f t="shared" si="0"/>
        <v>150</v>
      </c>
      <c r="K9">
        <f t="shared" si="0"/>
        <v>200</v>
      </c>
      <c r="O9" t="str">
        <f t="shared" si="1"/>
        <v>Prognoses.Elpris.VOID</v>
      </c>
      <c r="P9" t="str">
        <f t="shared" si="7"/>
        <v/>
      </c>
      <c r="Q9" t="str">
        <f t="shared" si="2"/>
        <v/>
      </c>
      <c r="R9" t="str">
        <f t="shared" si="2"/>
        <v/>
      </c>
      <c r="S9" t="str">
        <f t="shared" si="2"/>
        <v/>
      </c>
      <c r="T9" t="str">
        <f t="shared" si="2"/>
        <v/>
      </c>
      <c r="U9" t="str">
        <f t="shared" si="2"/>
        <v/>
      </c>
      <c r="V9" t="str">
        <f t="shared" si="2"/>
        <v/>
      </c>
      <c r="W9" t="str">
        <f t="shared" si="2"/>
        <v/>
      </c>
      <c r="X9" t="str">
        <f t="shared" si="2"/>
        <v/>
      </c>
      <c r="Y9" t="str">
        <f t="shared" si="2"/>
        <v/>
      </c>
      <c r="Z9" t="str">
        <f t="shared" si="2"/>
        <v/>
      </c>
      <c r="AA9" t="str">
        <f t="shared" si="2"/>
        <v/>
      </c>
      <c r="AC9" s="74"/>
      <c r="AD9" s="9" t="s">
        <v>134</v>
      </c>
      <c r="AE9" s="95">
        <v>1</v>
      </c>
      <c r="AF9" s="85">
        <v>1</v>
      </c>
      <c r="AG9" s="85">
        <v>4</v>
      </c>
      <c r="AH9" s="85">
        <v>14</v>
      </c>
      <c r="AI9" s="85">
        <v>1</v>
      </c>
      <c r="AJ9" s="85">
        <v>-9.99</v>
      </c>
      <c r="AK9" s="85">
        <v>100</v>
      </c>
      <c r="AL9" s="102">
        <v>150</v>
      </c>
      <c r="AM9" s="102">
        <v>200</v>
      </c>
      <c r="AN9" s="74">
        <v>250</v>
      </c>
      <c r="AO9" s="74">
        <v>300</v>
      </c>
      <c r="AP9" s="74">
        <v>350</v>
      </c>
      <c r="AQ9" s="74">
        <v>400</v>
      </c>
      <c r="AR9" s="74">
        <v>450</v>
      </c>
      <c r="AS9" s="74">
        <v>500</v>
      </c>
      <c r="AT9" s="74">
        <v>550</v>
      </c>
      <c r="AU9" s="74">
        <v>600</v>
      </c>
      <c r="AV9" s="74">
        <v>650</v>
      </c>
      <c r="AW9" s="74"/>
      <c r="AX9" s="74"/>
      <c r="AY9" s="74"/>
      <c r="AZ9" s="74"/>
    </row>
    <row r="10" spans="2:52" x14ac:dyDescent="0.25">
      <c r="B10" s="95" t="str">
        <f t="shared" si="3"/>
        <v>screc5</v>
      </c>
      <c r="C10" s="95">
        <f t="shared" si="4"/>
        <v>1</v>
      </c>
      <c r="D10" s="85">
        <f t="shared" si="5"/>
        <v>1</v>
      </c>
      <c r="E10" s="5" t="str" cm="1">
        <f t="array" ref="E10">IF(AG10&lt;=0,"",INDEX(listRoot,AG10))</f>
        <v>Prognoses</v>
      </c>
      <c r="F10" s="5" t="str" cm="1">
        <f t="array" ref="F10">IF(AH10&lt;=0.000000000001,"",INDEX(Lister!$C$4:$H$100,AH10,$AG10))</f>
        <v>ETS</v>
      </c>
      <c r="G10" s="5" t="str" cm="1">
        <f t="array" ref="G10">IF(AI10&lt;=0.000000000001,"",INDEX(Lister!$J$4:$O$100,AI10,$AG10))</f>
        <v>VOID</v>
      </c>
      <c r="H10" s="80">
        <f t="shared" si="6"/>
        <v>2</v>
      </c>
      <c r="I10" s="80">
        <f t="shared" si="0"/>
        <v>400</v>
      </c>
      <c r="J10">
        <f t="shared" si="0"/>
        <v>400</v>
      </c>
      <c r="K10">
        <f t="shared" si="0"/>
        <v>400</v>
      </c>
      <c r="O10" t="str">
        <f t="shared" si="1"/>
        <v>Prognoses.ETS.VOID</v>
      </c>
      <c r="P10" t="str">
        <f t="shared" si="7"/>
        <v/>
      </c>
      <c r="Q10">
        <f t="shared" si="2"/>
        <v>400</v>
      </c>
      <c r="R10">
        <f t="shared" si="2"/>
        <v>400</v>
      </c>
      <c r="S10">
        <f t="shared" si="2"/>
        <v>400</v>
      </c>
      <c r="T10">
        <f t="shared" si="2"/>
        <v>400</v>
      </c>
      <c r="U10">
        <f t="shared" si="2"/>
        <v>400</v>
      </c>
      <c r="V10">
        <f t="shared" si="2"/>
        <v>400</v>
      </c>
      <c r="W10">
        <f t="shared" si="2"/>
        <v>400</v>
      </c>
      <c r="X10">
        <f t="shared" si="2"/>
        <v>400</v>
      </c>
      <c r="Y10">
        <f t="shared" si="2"/>
        <v>400</v>
      </c>
      <c r="Z10">
        <f t="shared" si="2"/>
        <v>400</v>
      </c>
      <c r="AA10">
        <f t="shared" si="2"/>
        <v>400</v>
      </c>
      <c r="AD10" s="9" t="s">
        <v>136</v>
      </c>
      <c r="AE10" s="95">
        <v>1</v>
      </c>
      <c r="AF10" s="85">
        <v>1</v>
      </c>
      <c r="AG10" s="85">
        <v>4</v>
      </c>
      <c r="AH10" s="85">
        <v>15</v>
      </c>
      <c r="AI10" s="85">
        <v>1</v>
      </c>
      <c r="AJ10" s="85">
        <v>2</v>
      </c>
      <c r="AK10" s="85">
        <v>400</v>
      </c>
      <c r="AL10" s="102">
        <v>400</v>
      </c>
      <c r="AM10" s="102">
        <v>400</v>
      </c>
      <c r="AN10">
        <v>400</v>
      </c>
      <c r="AO10">
        <v>400</v>
      </c>
      <c r="AP10">
        <v>400</v>
      </c>
      <c r="AQ10">
        <v>900</v>
      </c>
      <c r="AR10">
        <v>900</v>
      </c>
      <c r="AS10">
        <v>900</v>
      </c>
      <c r="AT10">
        <v>900</v>
      </c>
      <c r="AU10">
        <v>900</v>
      </c>
      <c r="AV10">
        <v>900</v>
      </c>
    </row>
    <row r="11" spans="2:52" x14ac:dyDescent="0.25">
      <c r="B11" s="95" t="str">
        <f t="shared" si="3"/>
        <v>screc6</v>
      </c>
      <c r="C11" s="95">
        <f t="shared" si="4"/>
        <v>1</v>
      </c>
      <c r="D11" s="85">
        <f t="shared" si="5"/>
        <v>1</v>
      </c>
      <c r="E11" s="5" t="str" cm="1">
        <f t="array" ref="E11">IF(AG11&lt;=0,"",INDEX(listRoot,AG11))</f>
        <v>Fuel</v>
      </c>
      <c r="F11" s="5" t="str" cm="1">
        <f t="array" ref="F11">IF(AH11&lt;=0.000000000001,"",INDEX(Lister!$C$4:$H$100,AH11,$AG11))</f>
        <v>NyAff1</v>
      </c>
      <c r="G11" s="5" t="str" cm="1">
        <f t="array" ref="G11">IF(AI11&lt;=0.000000000001,"",INDEX(Lister!$J$4:$O$100,AI11,$AG11))</f>
        <v>MinTonnage</v>
      </c>
      <c r="H11" s="80" t="str">
        <f t="shared" si="6"/>
        <v/>
      </c>
      <c r="I11" s="90" t="str">
        <f t="shared" si="0"/>
        <v/>
      </c>
      <c r="J11" t="str">
        <f t="shared" si="0"/>
        <v/>
      </c>
      <c r="K11" t="str">
        <f t="shared" si="0"/>
        <v/>
      </c>
      <c r="O11" t="str">
        <f t="shared" si="1"/>
        <v>Fuel.NyAff1.MinTonnage</v>
      </c>
      <c r="P11" t="str">
        <f t="shared" si="7"/>
        <v/>
      </c>
      <c r="Q11" t="str">
        <f t="shared" si="2"/>
        <v/>
      </c>
      <c r="R11" t="str">
        <f t="shared" si="2"/>
        <v/>
      </c>
      <c r="S11" t="str">
        <f t="shared" si="2"/>
        <v/>
      </c>
      <c r="T11" t="str">
        <f t="shared" si="2"/>
        <v/>
      </c>
      <c r="U11" t="str">
        <f t="shared" si="2"/>
        <v/>
      </c>
      <c r="V11" t="str">
        <f t="shared" si="2"/>
        <v/>
      </c>
      <c r="W11" t="str">
        <f t="shared" si="2"/>
        <v/>
      </c>
      <c r="X11" t="str">
        <f t="shared" si="2"/>
        <v/>
      </c>
      <c r="Y11" t="str">
        <f t="shared" si="2"/>
        <v/>
      </c>
      <c r="Z11" t="str">
        <f t="shared" si="2"/>
        <v/>
      </c>
      <c r="AA11" t="str">
        <f t="shared" si="2"/>
        <v/>
      </c>
      <c r="AD11" s="9" t="s">
        <v>140</v>
      </c>
      <c r="AE11" s="95">
        <v>1</v>
      </c>
      <c r="AF11" s="85">
        <v>1</v>
      </c>
      <c r="AG11" s="85">
        <v>5</v>
      </c>
      <c r="AH11" s="85">
        <v>22</v>
      </c>
      <c r="AI11" s="85">
        <v>9</v>
      </c>
      <c r="AJ11" s="85">
        <v>-9.99</v>
      </c>
      <c r="AK11" s="85"/>
    </row>
    <row r="12" spans="2:52" x14ac:dyDescent="0.25">
      <c r="B12" s="95" t="str">
        <f t="shared" si="3"/>
        <v>screc7</v>
      </c>
      <c r="C12" s="95">
        <f t="shared" si="4"/>
        <v>1</v>
      </c>
      <c r="D12" s="85">
        <f t="shared" si="5"/>
        <v>1</v>
      </c>
      <c r="E12" s="5" t="str" cm="1">
        <f t="array" ref="E12">IF(AG12&lt;=0,"",INDEX(listRoot,AG12))</f>
        <v>Fuel</v>
      </c>
      <c r="F12" s="5" t="str" cm="1">
        <f t="array" ref="F12">IF(AH12&lt;=0.000000000001,"",INDEX(Lister!$C$4:$H$100,AH12,$AG12))</f>
        <v>TyskRest</v>
      </c>
      <c r="G12" s="5" t="str" cm="1">
        <f t="array" ref="G12">IF(AI12&lt;=0.000000000001,"",INDEX(Lister!$J$4:$O$100,AI12,$AG12))</f>
        <v>LHV</v>
      </c>
      <c r="H12" s="80" t="str">
        <f t="shared" si="6"/>
        <v/>
      </c>
      <c r="I12" s="80">
        <f t="shared" si="0"/>
        <v>10.5</v>
      </c>
      <c r="J12">
        <f t="shared" si="0"/>
        <v>10.5</v>
      </c>
      <c r="K12">
        <f t="shared" si="0"/>
        <v>10.5</v>
      </c>
      <c r="O12" t="str">
        <f t="shared" si="1"/>
        <v>Fuel.TyskRest.LHV</v>
      </c>
      <c r="P12" t="str">
        <f t="shared" si="7"/>
        <v/>
      </c>
      <c r="Q12" t="str">
        <f t="shared" si="2"/>
        <v/>
      </c>
      <c r="R12" t="str">
        <f t="shared" si="2"/>
        <v/>
      </c>
      <c r="S12" t="str">
        <f t="shared" si="2"/>
        <v/>
      </c>
      <c r="T12" t="str">
        <f t="shared" si="2"/>
        <v/>
      </c>
      <c r="U12" t="str">
        <f t="shared" si="2"/>
        <v/>
      </c>
      <c r="V12" t="str">
        <f t="shared" si="2"/>
        <v/>
      </c>
      <c r="W12" t="str">
        <f t="shared" si="2"/>
        <v/>
      </c>
      <c r="X12" t="str">
        <f t="shared" si="2"/>
        <v/>
      </c>
      <c r="Y12" t="str">
        <f t="shared" si="2"/>
        <v/>
      </c>
      <c r="Z12" t="str">
        <f t="shared" si="2"/>
        <v/>
      </c>
      <c r="AA12" t="str">
        <f t="shared" si="2"/>
        <v/>
      </c>
      <c r="AD12" s="9" t="s">
        <v>144</v>
      </c>
      <c r="AE12" s="95">
        <v>1</v>
      </c>
      <c r="AF12" s="85">
        <v>1</v>
      </c>
      <c r="AG12" s="85">
        <v>5</v>
      </c>
      <c r="AH12" s="85">
        <v>15</v>
      </c>
      <c r="AI12" s="85">
        <v>14</v>
      </c>
      <c r="AJ12" s="85">
        <v>-9.99</v>
      </c>
      <c r="AK12" s="85">
        <v>10.5</v>
      </c>
      <c r="AL12" s="102">
        <v>10.5</v>
      </c>
      <c r="AM12" s="102">
        <v>10.5</v>
      </c>
      <c r="AN12">
        <v>10.5</v>
      </c>
      <c r="AO12">
        <v>10.5</v>
      </c>
      <c r="AP12">
        <v>10.5</v>
      </c>
      <c r="AQ12">
        <v>9.5</v>
      </c>
      <c r="AR12">
        <v>9.5</v>
      </c>
      <c r="AS12">
        <v>9.5</v>
      </c>
      <c r="AT12">
        <v>9.5</v>
      </c>
      <c r="AU12">
        <v>9.5</v>
      </c>
      <c r="AV12">
        <v>9.5</v>
      </c>
    </row>
    <row r="13" spans="2:52" x14ac:dyDescent="0.25">
      <c r="B13" s="95" t="str">
        <f t="shared" si="3"/>
        <v>screc8</v>
      </c>
      <c r="C13" s="95">
        <f t="shared" si="4"/>
        <v>1</v>
      </c>
      <c r="D13" s="85">
        <f t="shared" si="5"/>
        <v>1</v>
      </c>
      <c r="E13" s="5" t="str" cm="1">
        <f t="array" ref="E13">IF(AG13&lt;=0,"",INDEX(listRoot,AG13))</f>
        <v>Fuel</v>
      </c>
      <c r="F13" s="5" t="str" cm="1">
        <f t="array" ref="F13">IF(AH13&lt;=0.000000000001,"",INDEX(Lister!$C$4:$H$100,AH13,$AG13))</f>
        <v>TyskRest</v>
      </c>
      <c r="G13" s="5" t="str" cm="1">
        <f t="array" ref="G13">IF(AI13&lt;=0.000000000001,"",INDEX(Lister!$J$4:$O$100,AI13,$AG13))</f>
        <v>Pris</v>
      </c>
      <c r="H13" s="80" t="str">
        <f t="shared" si="6"/>
        <v/>
      </c>
      <c r="I13" s="80">
        <f t="shared" si="0"/>
        <v>400</v>
      </c>
      <c r="J13">
        <f t="shared" si="0"/>
        <v>400</v>
      </c>
      <c r="K13">
        <f t="shared" si="0"/>
        <v>400</v>
      </c>
      <c r="O13" t="str">
        <f t="shared" si="1"/>
        <v>Fuel.TyskRest.Pris</v>
      </c>
      <c r="P13" t="str">
        <f t="shared" si="7"/>
        <v/>
      </c>
      <c r="Q13" t="str">
        <f t="shared" si="2"/>
        <v/>
      </c>
      <c r="R13" t="str">
        <f t="shared" si="2"/>
        <v/>
      </c>
      <c r="S13" t="str">
        <f t="shared" si="2"/>
        <v/>
      </c>
      <c r="T13" t="str">
        <f t="shared" si="2"/>
        <v/>
      </c>
      <c r="U13" t="str">
        <f t="shared" si="2"/>
        <v/>
      </c>
      <c r="V13" t="str">
        <f t="shared" si="2"/>
        <v/>
      </c>
      <c r="W13" t="str">
        <f t="shared" si="2"/>
        <v/>
      </c>
      <c r="X13" t="str">
        <f t="shared" si="2"/>
        <v/>
      </c>
      <c r="Y13" t="str">
        <f t="shared" si="2"/>
        <v/>
      </c>
      <c r="Z13" t="str">
        <f t="shared" si="2"/>
        <v/>
      </c>
      <c r="AA13" t="str">
        <f t="shared" si="2"/>
        <v/>
      </c>
      <c r="AD13" s="9" t="s">
        <v>146</v>
      </c>
      <c r="AE13" s="95">
        <v>1</v>
      </c>
      <c r="AF13" s="85">
        <v>1</v>
      </c>
      <c r="AG13" s="85">
        <v>5</v>
      </c>
      <c r="AH13" s="103">
        <v>15</v>
      </c>
      <c r="AI13" s="103">
        <v>13</v>
      </c>
      <c r="AJ13" s="85">
        <v>-9.99</v>
      </c>
      <c r="AK13" s="85">
        <v>400</v>
      </c>
      <c r="AL13" s="102">
        <v>400</v>
      </c>
      <c r="AM13" s="102">
        <v>400</v>
      </c>
      <c r="AN13">
        <v>400</v>
      </c>
      <c r="AO13">
        <v>400</v>
      </c>
      <c r="AP13">
        <v>400</v>
      </c>
      <c r="AQ13">
        <v>450</v>
      </c>
      <c r="AR13">
        <v>450</v>
      </c>
      <c r="AS13">
        <v>450</v>
      </c>
      <c r="AT13">
        <v>450</v>
      </c>
      <c r="AU13">
        <v>450</v>
      </c>
      <c r="AV13">
        <v>450</v>
      </c>
    </row>
    <row r="14" spans="2:52" x14ac:dyDescent="0.25">
      <c r="B14" s="95" t="str">
        <f t="shared" si="3"/>
        <v/>
      </c>
      <c r="C14" s="95">
        <f t="shared" si="4"/>
        <v>0</v>
      </c>
      <c r="D14" s="85" t="str">
        <f t="shared" si="5"/>
        <v/>
      </c>
      <c r="E14" s="5" t="str" cm="1">
        <f t="array" ref="E14">IF(AG14&lt;=0,"",INDEX(listRoot,AG14))</f>
        <v/>
      </c>
      <c r="F14" s="5" t="str" cm="1">
        <f t="array" ref="F14">IF(AH14&lt;=0.000000000001,"",INDEX(Lister!$C$4:$H$100,AH14,$AG14))</f>
        <v/>
      </c>
      <c r="G14" s="5" t="str" cm="1">
        <f t="array" ref="G14">IF(AI14&lt;=0.000000000001,"",INDEX(Lister!$J$4:$O$100,AI14,$AG14))</f>
        <v/>
      </c>
      <c r="H14" s="80" t="str">
        <f t="shared" si="6"/>
        <v/>
      </c>
      <c r="I14" s="80" t="str">
        <f t="shared" si="0"/>
        <v/>
      </c>
      <c r="J14" t="str">
        <f t="shared" si="0"/>
        <v/>
      </c>
      <c r="K14" t="str">
        <f t="shared" si="0"/>
        <v/>
      </c>
      <c r="O14" t="str">
        <f t="shared" si="1"/>
        <v/>
      </c>
      <c r="P14" t="str">
        <f t="shared" si="7"/>
        <v/>
      </c>
      <c r="Q14" t="str">
        <f t="shared" si="2"/>
        <v/>
      </c>
      <c r="R14" t="str">
        <f t="shared" si="2"/>
        <v/>
      </c>
      <c r="S14" t="str">
        <f t="shared" si="2"/>
        <v/>
      </c>
      <c r="T14" t="str">
        <f t="shared" si="2"/>
        <v/>
      </c>
      <c r="U14" t="str">
        <f t="shared" si="2"/>
        <v/>
      </c>
      <c r="V14" t="str">
        <f t="shared" si="2"/>
        <v/>
      </c>
      <c r="W14" t="str">
        <f t="shared" si="2"/>
        <v/>
      </c>
      <c r="X14" t="str">
        <f t="shared" si="2"/>
        <v/>
      </c>
      <c r="Y14" t="str">
        <f t="shared" si="2"/>
        <v/>
      </c>
      <c r="Z14" t="str">
        <f t="shared" si="2"/>
        <v/>
      </c>
      <c r="AA14" t="str">
        <f t="shared" si="2"/>
        <v/>
      </c>
      <c r="AE14" s="95"/>
      <c r="AF14" s="85"/>
      <c r="AG14" s="85"/>
      <c r="AH14" s="103"/>
      <c r="AI14" s="103"/>
      <c r="AJ14" s="85"/>
      <c r="AK14" s="85"/>
    </row>
    <row r="15" spans="2:52" x14ac:dyDescent="0.25">
      <c r="B15" s="95" t="str">
        <f t="shared" si="3"/>
        <v/>
      </c>
      <c r="C15" s="95">
        <f t="shared" si="4"/>
        <v>0</v>
      </c>
      <c r="D15" s="85" t="str">
        <f t="shared" si="5"/>
        <v/>
      </c>
      <c r="E15" s="5" t="str" cm="1">
        <f t="array" ref="E15">IF(AG15&lt;=0,"",INDEX(listRoot,AG15))</f>
        <v/>
      </c>
      <c r="F15" s="5" t="str" cm="1">
        <f t="array" ref="F15">IF(AH15&lt;=0.000000000001,"",INDEX(Lister!$C$4:$H$100,AH15,$AG15))</f>
        <v/>
      </c>
      <c r="G15" s="5" t="str" cm="1">
        <f t="array" ref="G15">IF(AI15&lt;=0.000000000001,"",INDEX(Lister!$J$4:$O$100,AI15,$AG15))</f>
        <v/>
      </c>
      <c r="H15" s="80" t="str">
        <f t="shared" si="6"/>
        <v/>
      </c>
      <c r="I15" s="80" t="str">
        <f t="shared" si="0"/>
        <v/>
      </c>
      <c r="J15" t="str">
        <f t="shared" si="0"/>
        <v/>
      </c>
      <c r="K15" t="str">
        <f t="shared" si="0"/>
        <v/>
      </c>
      <c r="O15" t="str">
        <f t="shared" si="1"/>
        <v/>
      </c>
      <c r="P15" t="str">
        <f t="shared" si="7"/>
        <v/>
      </c>
      <c r="Q15" t="str">
        <f t="shared" si="2"/>
        <v/>
      </c>
      <c r="R15" t="str">
        <f t="shared" si="2"/>
        <v/>
      </c>
      <c r="S15" t="str">
        <f t="shared" si="2"/>
        <v/>
      </c>
      <c r="T15" t="str">
        <f t="shared" si="2"/>
        <v/>
      </c>
      <c r="U15" t="str">
        <f t="shared" si="2"/>
        <v/>
      </c>
      <c r="V15" t="str">
        <f t="shared" si="2"/>
        <v/>
      </c>
      <c r="W15" t="str">
        <f t="shared" si="2"/>
        <v/>
      </c>
      <c r="X15" t="str">
        <f t="shared" si="2"/>
        <v/>
      </c>
      <c r="Y15" t="str">
        <f t="shared" si="2"/>
        <v/>
      </c>
      <c r="Z15" t="str">
        <f t="shared" si="2"/>
        <v/>
      </c>
      <c r="AA15" t="str">
        <f t="shared" si="2"/>
        <v/>
      </c>
      <c r="AE15" s="95"/>
      <c r="AF15" s="85"/>
      <c r="AG15" s="85"/>
      <c r="AH15" s="103"/>
      <c r="AI15" s="103"/>
      <c r="AJ15" s="85"/>
      <c r="AK15" s="85"/>
    </row>
    <row r="16" spans="2:52" x14ac:dyDescent="0.25">
      <c r="B16" s="95" t="str">
        <f t="shared" si="3"/>
        <v/>
      </c>
      <c r="C16" s="95">
        <f t="shared" si="4"/>
        <v>0</v>
      </c>
      <c r="D16" s="80" t="str">
        <f t="shared" si="5"/>
        <v/>
      </c>
      <c r="E16" s="5" t="str" cm="1">
        <f t="array" ref="E16">IF(AG16&lt;=0,"",INDEX(listRoot,AG16))</f>
        <v/>
      </c>
      <c r="F16" s="5" t="str" cm="1">
        <f t="array" ref="F16">IF(AH16&lt;=0.000000000001,"",INDEX(Lister!$C$4:$H$100,AH16,$AG16))</f>
        <v/>
      </c>
      <c r="G16" s="5" t="str" cm="1">
        <f t="array" ref="G16">IF(AI16&lt;=0.000000000001,"",INDEX(Lister!$J$4:$O$100,AI16,$AG16))</f>
        <v/>
      </c>
      <c r="H16" t="str">
        <f t="shared" si="6"/>
        <v/>
      </c>
      <c r="I16" t="str">
        <f t="shared" si="0"/>
        <v/>
      </c>
      <c r="J16" t="str">
        <f t="shared" si="0"/>
        <v/>
      </c>
      <c r="K16" t="str">
        <f t="shared" si="0"/>
        <v/>
      </c>
      <c r="O16" t="str">
        <f t="shared" si="1"/>
        <v/>
      </c>
      <c r="P16" t="str">
        <f t="shared" si="7"/>
        <v/>
      </c>
      <c r="Q16" t="str">
        <f t="shared" si="2"/>
        <v/>
      </c>
      <c r="R16" t="str">
        <f t="shared" si="2"/>
        <v/>
      </c>
      <c r="S16" t="str">
        <f t="shared" si="2"/>
        <v/>
      </c>
      <c r="T16" t="str">
        <f t="shared" si="2"/>
        <v/>
      </c>
      <c r="U16" t="str">
        <f t="shared" si="2"/>
        <v/>
      </c>
      <c r="V16" t="str">
        <f t="shared" si="2"/>
        <v/>
      </c>
      <c r="W16" t="str">
        <f t="shared" si="2"/>
        <v/>
      </c>
      <c r="X16" t="str">
        <f t="shared" si="2"/>
        <v/>
      </c>
      <c r="Y16" t="str">
        <f t="shared" si="2"/>
        <v/>
      </c>
      <c r="Z16" t="str">
        <f t="shared" si="2"/>
        <v/>
      </c>
      <c r="AA16" t="str">
        <f t="shared" si="2"/>
        <v/>
      </c>
      <c r="AE16" s="95"/>
      <c r="AH16" s="104"/>
      <c r="AI16" s="104"/>
    </row>
    <row r="17" spans="2:35" x14ac:dyDescent="0.25">
      <c r="B17" s="95" t="str">
        <f t="shared" si="3"/>
        <v/>
      </c>
      <c r="C17" s="95">
        <f t="shared" si="4"/>
        <v>0</v>
      </c>
      <c r="D17" s="80" t="str">
        <f t="shared" si="5"/>
        <v/>
      </c>
      <c r="E17" s="5" t="str" cm="1">
        <f t="array" ref="E17">IF(AG17&lt;=0,"",INDEX(listRoot,AG17))</f>
        <v/>
      </c>
      <c r="F17" s="5" t="str" cm="1">
        <f t="array" ref="F17">IF(AH17&lt;=0.000000000001,"",INDEX(Lister!$C$4:$H$100,AH17,$AG17))</f>
        <v/>
      </c>
      <c r="G17" s="5" t="str" cm="1">
        <f t="array" ref="G17">IF(AI17&lt;=0.000000000001,"",INDEX(Lister!$J$4:$O$100,AI17,$AG17))</f>
        <v/>
      </c>
      <c r="H17" t="str">
        <f t="shared" si="6"/>
        <v/>
      </c>
      <c r="I17" t="str">
        <f t="shared" si="0"/>
        <v/>
      </c>
      <c r="J17" t="str">
        <f t="shared" si="0"/>
        <v/>
      </c>
      <c r="K17" t="str">
        <f t="shared" si="0"/>
        <v/>
      </c>
      <c r="O17" t="str">
        <f t="shared" si="1"/>
        <v/>
      </c>
      <c r="P17" t="str">
        <f t="shared" si="7"/>
        <v/>
      </c>
      <c r="Q17" t="str">
        <f t="shared" si="2"/>
        <v/>
      </c>
      <c r="R17" t="str">
        <f t="shared" si="2"/>
        <v/>
      </c>
      <c r="S17" t="str">
        <f t="shared" si="2"/>
        <v/>
      </c>
      <c r="T17" t="str">
        <f t="shared" si="2"/>
        <v/>
      </c>
      <c r="U17" t="str">
        <f t="shared" si="2"/>
        <v/>
      </c>
      <c r="V17" t="str">
        <f t="shared" si="2"/>
        <v/>
      </c>
      <c r="W17" t="str">
        <f t="shared" si="2"/>
        <v/>
      </c>
      <c r="X17" t="str">
        <f t="shared" si="2"/>
        <v/>
      </c>
      <c r="Y17" t="str">
        <f t="shared" si="2"/>
        <v/>
      </c>
      <c r="Z17" t="str">
        <f t="shared" si="2"/>
        <v/>
      </c>
      <c r="AA17" t="str">
        <f t="shared" si="2"/>
        <v/>
      </c>
      <c r="AE17" s="95"/>
      <c r="AH17" s="104"/>
      <c r="AI17" s="104"/>
    </row>
    <row r="18" spans="2:35" x14ac:dyDescent="0.25">
      <c r="B18" s="95" t="str">
        <f t="shared" si="3"/>
        <v/>
      </c>
      <c r="C18" s="95">
        <f t="shared" si="4"/>
        <v>0</v>
      </c>
      <c r="D18" s="80" t="str">
        <f t="shared" si="5"/>
        <v/>
      </c>
      <c r="E18" s="5" t="str" cm="1">
        <f t="array" ref="E18">IF(AG18&lt;=0,"",INDEX(listRoot,AG18))</f>
        <v/>
      </c>
      <c r="F18" s="5" t="str" cm="1">
        <f t="array" ref="F18">IF(AH18&lt;=0.000000000001,"",INDEX(Lister!$C$4:$H$100,AH18,$AG18))</f>
        <v/>
      </c>
      <c r="G18" s="5" t="str" cm="1">
        <f t="array" ref="G18">IF(AI18&lt;=0.000000000001,"",INDEX(Lister!$J$4:$O$100,AI18,$AG18))</f>
        <v/>
      </c>
      <c r="H18" t="str">
        <f t="shared" si="6"/>
        <v/>
      </c>
      <c r="I18" t="str">
        <f t="shared" si="0"/>
        <v/>
      </c>
      <c r="J18" t="str">
        <f t="shared" si="0"/>
        <v/>
      </c>
      <c r="K18" t="str">
        <f t="shared" si="0"/>
        <v/>
      </c>
      <c r="O18" t="str">
        <f t="shared" si="1"/>
        <v/>
      </c>
      <c r="P18" t="str">
        <f t="shared" si="7"/>
        <v/>
      </c>
      <c r="Q18" t="str">
        <f t="shared" si="2"/>
        <v/>
      </c>
      <c r="R18" t="str">
        <f t="shared" si="2"/>
        <v/>
      </c>
      <c r="S18" t="str">
        <f t="shared" si="2"/>
        <v/>
      </c>
      <c r="T18" t="str">
        <f t="shared" si="2"/>
        <v/>
      </c>
      <c r="U18" t="str">
        <f t="shared" si="2"/>
        <v/>
      </c>
      <c r="V18" t="str">
        <f t="shared" si="2"/>
        <v/>
      </c>
      <c r="W18" t="str">
        <f t="shared" si="2"/>
        <v/>
      </c>
      <c r="X18" t="str">
        <f t="shared" si="2"/>
        <v/>
      </c>
      <c r="Y18" t="str">
        <f t="shared" si="2"/>
        <v/>
      </c>
      <c r="Z18" t="str">
        <f t="shared" si="2"/>
        <v/>
      </c>
      <c r="AA18" t="str">
        <f t="shared" si="2"/>
        <v/>
      </c>
      <c r="AH18" s="104"/>
      <c r="AI18" s="104"/>
    </row>
    <row r="19" spans="2:35" x14ac:dyDescent="0.25">
      <c r="B19" s="95" t="str">
        <f t="shared" si="3"/>
        <v/>
      </c>
      <c r="C19" s="95">
        <f t="shared" si="4"/>
        <v>0</v>
      </c>
      <c r="D19" s="80" t="str">
        <f t="shared" si="5"/>
        <v/>
      </c>
      <c r="E19" s="5" t="str" cm="1">
        <f t="array" ref="E19">IF(AG19&lt;=0,"",INDEX(listRoot,AG19))</f>
        <v/>
      </c>
      <c r="F19" s="5" t="str" cm="1">
        <f t="array" ref="F19">IF(AH19&lt;=0.000000000001,"",INDEX(Lister!$C$4:$H$100,AH19,$AG19))</f>
        <v/>
      </c>
      <c r="G19" s="5" t="str" cm="1">
        <f t="array" ref="G19">IF(AI19&lt;=0.000000000001,"",INDEX(Lister!$J$4:$O$100,AI19,$AG19))</f>
        <v/>
      </c>
      <c r="H19" t="str">
        <f t="shared" si="6"/>
        <v/>
      </c>
      <c r="I19" t="str">
        <f t="shared" si="0"/>
        <v/>
      </c>
      <c r="J19" t="str">
        <f t="shared" si="0"/>
        <v/>
      </c>
      <c r="K19" t="str">
        <f t="shared" si="0"/>
        <v/>
      </c>
      <c r="O19" t="str">
        <f t="shared" si="1"/>
        <v/>
      </c>
      <c r="P19" t="str">
        <f t="shared" si="7"/>
        <v/>
      </c>
      <c r="Q19" t="str">
        <f t="shared" si="2"/>
        <v/>
      </c>
      <c r="R19" t="str">
        <f t="shared" si="2"/>
        <v/>
      </c>
      <c r="S19" t="str">
        <f t="shared" si="2"/>
        <v/>
      </c>
      <c r="T19" t="str">
        <f t="shared" si="2"/>
        <v/>
      </c>
      <c r="U19" t="str">
        <f t="shared" si="2"/>
        <v/>
      </c>
      <c r="V19" t="str">
        <f t="shared" si="2"/>
        <v/>
      </c>
      <c r="W19" t="str">
        <f t="shared" si="2"/>
        <v/>
      </c>
      <c r="X19" t="str">
        <f t="shared" si="2"/>
        <v/>
      </c>
      <c r="Y19" t="str">
        <f t="shared" si="2"/>
        <v/>
      </c>
      <c r="Z19" t="str">
        <f t="shared" si="2"/>
        <v/>
      </c>
      <c r="AA19" t="str">
        <f t="shared" si="2"/>
        <v/>
      </c>
      <c r="AH19" s="104"/>
      <c r="AI19" s="104"/>
    </row>
    <row r="20" spans="2:35" x14ac:dyDescent="0.25">
      <c r="B20" s="95" t="str">
        <f t="shared" si="3"/>
        <v/>
      </c>
      <c r="C20" s="95">
        <f t="shared" si="4"/>
        <v>0</v>
      </c>
      <c r="D20" s="80" t="str">
        <f t="shared" si="5"/>
        <v/>
      </c>
      <c r="E20" s="5" t="str" cm="1">
        <f t="array" ref="E20">IF(AG20&lt;=0,"",INDEX(listRoot,AG20))</f>
        <v/>
      </c>
      <c r="F20" s="5" t="str" cm="1">
        <f t="array" ref="F20">IF(AH20&lt;=0.000000000001,"",INDEX(Lister!$C$4:$H$100,AH20,$AG20))</f>
        <v/>
      </c>
      <c r="G20" s="5" t="str" cm="1">
        <f t="array" ref="G20">IF(AI20&lt;=0.000000000001,"",INDEX(Lister!$J$4:$O$100,AI20,$AG20))</f>
        <v/>
      </c>
      <c r="H20" t="str">
        <f t="shared" si="6"/>
        <v/>
      </c>
      <c r="I20" t="str">
        <f t="shared" si="0"/>
        <v/>
      </c>
      <c r="J20" t="str">
        <f t="shared" si="0"/>
        <v/>
      </c>
      <c r="K20" t="str">
        <f t="shared" si="0"/>
        <v/>
      </c>
      <c r="O20" t="str">
        <f t="shared" si="1"/>
        <v/>
      </c>
      <c r="P20" t="str">
        <f t="shared" si="7"/>
        <v/>
      </c>
      <c r="Q20" t="str">
        <f t="shared" si="2"/>
        <v/>
      </c>
      <c r="R20" t="str">
        <f t="shared" si="2"/>
        <v/>
      </c>
      <c r="S20" t="str">
        <f t="shared" si="2"/>
        <v/>
      </c>
      <c r="T20" t="str">
        <f t="shared" si="2"/>
        <v/>
      </c>
      <c r="U20" t="str">
        <f t="shared" si="2"/>
        <v/>
      </c>
      <c r="V20" t="str">
        <f t="shared" si="2"/>
        <v/>
      </c>
      <c r="W20" t="str">
        <f t="shared" si="2"/>
        <v/>
      </c>
      <c r="X20" t="str">
        <f t="shared" si="2"/>
        <v/>
      </c>
      <c r="Y20" t="str">
        <f t="shared" si="2"/>
        <v/>
      </c>
      <c r="Z20" t="str">
        <f t="shared" si="2"/>
        <v/>
      </c>
      <c r="AA20" t="str">
        <f t="shared" si="2"/>
        <v/>
      </c>
      <c r="AH20" s="104"/>
      <c r="AI20" s="104"/>
    </row>
    <row r="21" spans="2:35" x14ac:dyDescent="0.25">
      <c r="B21" s="95" t="str">
        <f t="shared" si="3"/>
        <v/>
      </c>
      <c r="C21" s="95">
        <f t="shared" si="4"/>
        <v>0</v>
      </c>
      <c r="D21" s="80" t="str">
        <f t="shared" si="5"/>
        <v/>
      </c>
      <c r="E21" s="5" t="str" cm="1">
        <f t="array" ref="E21">IF(AG21&lt;=0,"",INDEX(listRoot,AG21))</f>
        <v/>
      </c>
      <c r="F21" s="5" t="str" cm="1">
        <f t="array" ref="F21">IF(AH21&lt;=0.000000000001,"",INDEX(Lister!$C$4:$H$100,AH21,$AG21))</f>
        <v/>
      </c>
      <c r="G21" s="5" t="str" cm="1">
        <f t="array" ref="G21">IF(AI21&lt;=0.000000000001,"",INDEX(Lister!$J$4:$O$100,AI21,$AG21))</f>
        <v/>
      </c>
      <c r="H21" t="str">
        <f t="shared" si="6"/>
        <v/>
      </c>
      <c r="I21" t="str">
        <f t="shared" si="0"/>
        <v/>
      </c>
      <c r="J21" t="str">
        <f t="shared" si="0"/>
        <v/>
      </c>
      <c r="K21" t="str">
        <f t="shared" si="0"/>
        <v/>
      </c>
      <c r="O21" t="str">
        <f t="shared" si="1"/>
        <v/>
      </c>
      <c r="P21" t="str">
        <f t="shared" si="7"/>
        <v/>
      </c>
      <c r="Q21" t="str">
        <f t="shared" si="2"/>
        <v/>
      </c>
      <c r="R21" t="str">
        <f t="shared" si="2"/>
        <v/>
      </c>
      <c r="S21" t="str">
        <f t="shared" si="2"/>
        <v/>
      </c>
      <c r="T21" t="str">
        <f t="shared" si="2"/>
        <v/>
      </c>
      <c r="U21" t="str">
        <f t="shared" si="2"/>
        <v/>
      </c>
      <c r="V21" t="str">
        <f t="shared" si="2"/>
        <v/>
      </c>
      <c r="W21" t="str">
        <f t="shared" si="2"/>
        <v/>
      </c>
      <c r="X21" t="str">
        <f t="shared" si="2"/>
        <v/>
      </c>
      <c r="Y21" t="str">
        <f t="shared" si="2"/>
        <v/>
      </c>
      <c r="Z21" t="str">
        <f t="shared" si="2"/>
        <v/>
      </c>
      <c r="AA21" t="str">
        <f t="shared" si="2"/>
        <v/>
      </c>
      <c r="AH21" s="104"/>
      <c r="AI21" s="104"/>
    </row>
    <row r="22" spans="2:35" x14ac:dyDescent="0.25">
      <c r="B22" s="95" t="str">
        <f t="shared" si="3"/>
        <v/>
      </c>
      <c r="C22" s="95">
        <f t="shared" si="4"/>
        <v>0</v>
      </c>
      <c r="D22" s="80" t="str">
        <f t="shared" ref="D22:D45" si="8">IF(ISBLANK(AF22),"",AF22)</f>
        <v/>
      </c>
      <c r="E22" s="5" t="str" cm="1">
        <f t="array" ref="E22">IF(AG22&lt;=0,"",INDEX(listRoot,AG22))</f>
        <v/>
      </c>
      <c r="F22" s="5" t="str" cm="1">
        <f t="array" ref="F22">IF(AH22&lt;=0.000000000001,"",INDEX(Lister!$C$4:$H$100,AH22,$AG22))</f>
        <v/>
      </c>
      <c r="G22" s="5" t="str" cm="1">
        <f t="array" ref="G22">IF(AI22&lt;=0.000000000001,"",INDEX(Lister!$J$4:$O$100,AI22,$AG22))</f>
        <v/>
      </c>
      <c r="H22" t="str">
        <f t="shared" si="6"/>
        <v/>
      </c>
      <c r="I22" t="str">
        <f t="shared" ref="I22:I42" si="9">IF(AK22&lt;0.000000000001,"",AK22)</f>
        <v/>
      </c>
      <c r="J22" t="str">
        <f t="shared" ref="J22:J42" si="10">IF(AL22&lt;0.000000000001,"",AL22)</f>
        <v/>
      </c>
      <c r="K22" t="str">
        <f t="shared" ref="K22:K42" si="11">IF(AM22&lt;0.000000000001,"",AM22)</f>
        <v/>
      </c>
      <c r="P22" t="str">
        <f t="shared" si="7"/>
        <v/>
      </c>
      <c r="Q22" t="str">
        <f t="shared" si="7"/>
        <v/>
      </c>
      <c r="R22" t="str">
        <f t="shared" si="7"/>
        <v/>
      </c>
      <c r="S22" t="str">
        <f t="shared" si="7"/>
        <v/>
      </c>
      <c r="T22" t="str">
        <f t="shared" si="7"/>
        <v/>
      </c>
      <c r="U22" t="str">
        <f t="shared" si="7"/>
        <v/>
      </c>
      <c r="V22" t="str">
        <f t="shared" si="7"/>
        <v/>
      </c>
      <c r="W22" t="str">
        <f t="shared" si="7"/>
        <v/>
      </c>
      <c r="X22" t="str">
        <f t="shared" si="7"/>
        <v/>
      </c>
      <c r="Y22" t="str">
        <f t="shared" si="7"/>
        <v/>
      </c>
      <c r="Z22" t="str">
        <f t="shared" si="7"/>
        <v/>
      </c>
      <c r="AA22" t="str">
        <f t="shared" si="7"/>
        <v/>
      </c>
    </row>
    <row r="23" spans="2:35" x14ac:dyDescent="0.25">
      <c r="B23" s="95" t="str">
        <f t="shared" si="3"/>
        <v/>
      </c>
      <c r="C23" s="95">
        <f t="shared" si="4"/>
        <v>0</v>
      </c>
      <c r="D23" s="80" t="str">
        <f t="shared" si="8"/>
        <v/>
      </c>
      <c r="E23" s="5" t="str" cm="1">
        <f t="array" ref="E23">IF(AG23&lt;=0,"",INDEX(listRoot,AG23))</f>
        <v/>
      </c>
      <c r="F23" s="5" t="str" cm="1">
        <f t="array" ref="F23">IF(AH23&lt;=0.000000000001,"",INDEX(Lister!$C$4:$H$100,AH23,$AG23))</f>
        <v/>
      </c>
      <c r="G23" s="5" t="str" cm="1">
        <f t="array" ref="G23">IF(AI23&lt;=0.000000000001,"",INDEX(Lister!$J$4:$O$100,AI23,$AG23))</f>
        <v/>
      </c>
      <c r="H23" t="str">
        <f t="shared" si="6"/>
        <v/>
      </c>
      <c r="I23" t="str">
        <f t="shared" si="9"/>
        <v/>
      </c>
      <c r="J23" t="str">
        <f t="shared" si="10"/>
        <v/>
      </c>
      <c r="K23" t="str">
        <f t="shared" si="11"/>
        <v/>
      </c>
      <c r="P23" t="str">
        <f t="shared" si="7"/>
        <v/>
      </c>
      <c r="Q23" t="str">
        <f t="shared" si="7"/>
        <v/>
      </c>
      <c r="R23" t="str">
        <f t="shared" si="7"/>
        <v/>
      </c>
      <c r="S23" t="str">
        <f t="shared" si="7"/>
        <v/>
      </c>
      <c r="T23" t="str">
        <f t="shared" si="7"/>
        <v/>
      </c>
      <c r="U23" t="str">
        <f t="shared" si="7"/>
        <v/>
      </c>
      <c r="V23" t="str">
        <f t="shared" si="7"/>
        <v/>
      </c>
      <c r="W23" t="str">
        <f t="shared" si="7"/>
        <v/>
      </c>
      <c r="X23" t="str">
        <f t="shared" si="7"/>
        <v/>
      </c>
      <c r="Y23" t="str">
        <f t="shared" si="7"/>
        <v/>
      </c>
      <c r="Z23" t="str">
        <f t="shared" si="7"/>
        <v/>
      </c>
      <c r="AA23" t="str">
        <f t="shared" si="7"/>
        <v/>
      </c>
    </row>
    <row r="24" spans="2:35" x14ac:dyDescent="0.25">
      <c r="B24" s="95" t="str">
        <f t="shared" si="3"/>
        <v/>
      </c>
      <c r="C24" s="95">
        <f t="shared" si="4"/>
        <v>0</v>
      </c>
      <c r="D24" s="80" t="str">
        <f t="shared" si="8"/>
        <v/>
      </c>
      <c r="E24" s="5" t="str" cm="1">
        <f t="array" ref="E24">IF(AG24&lt;=0,"",INDEX(listRoot,AG24))</f>
        <v/>
      </c>
      <c r="F24" s="5" t="str" cm="1">
        <f t="array" ref="F24">IF(AH24&lt;=0.000000000001,"",INDEX(Lister!$C$4:$H$100,AH24,$AG24))</f>
        <v/>
      </c>
      <c r="G24" s="5" t="str" cm="1">
        <f t="array" ref="G24">IF(AI24&lt;=0.000000000001,"",INDEX(Lister!$J$4:$O$100,AI24,$AG24))</f>
        <v/>
      </c>
      <c r="H24" t="str">
        <f t="shared" si="6"/>
        <v/>
      </c>
      <c r="I24" t="str">
        <f t="shared" si="9"/>
        <v/>
      </c>
      <c r="J24" t="str">
        <f t="shared" si="10"/>
        <v/>
      </c>
      <c r="K24" t="str">
        <f t="shared" si="11"/>
        <v/>
      </c>
      <c r="P24" t="str">
        <f t="shared" si="7"/>
        <v/>
      </c>
      <c r="Q24" t="str">
        <f t="shared" si="7"/>
        <v/>
      </c>
      <c r="R24" t="str">
        <f t="shared" si="7"/>
        <v/>
      </c>
      <c r="S24" t="str">
        <f t="shared" si="7"/>
        <v/>
      </c>
      <c r="T24" t="str">
        <f t="shared" si="7"/>
        <v/>
      </c>
      <c r="U24" t="str">
        <f t="shared" si="7"/>
        <v/>
      </c>
      <c r="V24" t="str">
        <f t="shared" si="7"/>
        <v/>
      </c>
      <c r="W24" t="str">
        <f t="shared" si="7"/>
        <v/>
      </c>
      <c r="X24" t="str">
        <f t="shared" si="7"/>
        <v/>
      </c>
      <c r="Y24" t="str">
        <f t="shared" si="7"/>
        <v/>
      </c>
      <c r="Z24" t="str">
        <f t="shared" si="7"/>
        <v/>
      </c>
      <c r="AA24" t="str">
        <f t="shared" si="7"/>
        <v/>
      </c>
    </row>
    <row r="25" spans="2:35" x14ac:dyDescent="0.25">
      <c r="B25" s="95" t="str">
        <f t="shared" si="3"/>
        <v/>
      </c>
      <c r="C25" s="95">
        <f t="shared" si="4"/>
        <v>0</v>
      </c>
      <c r="D25" s="80" t="str">
        <f t="shared" si="8"/>
        <v/>
      </c>
      <c r="E25" s="5" t="str" cm="1">
        <f t="array" ref="E25">IF(AG25&lt;=0,"",INDEX(listRoot,AG25))</f>
        <v/>
      </c>
      <c r="F25" s="5" t="str" cm="1">
        <f t="array" ref="F25">IF(AH25&lt;=0.000000000001,"",INDEX(Lister!$C$4:$H$100,AH25,$AG25))</f>
        <v/>
      </c>
      <c r="G25" s="5" t="str" cm="1">
        <f t="array" ref="G25">IF(AI25&lt;=0.000000000001,"",INDEX(Lister!$J$4:$O$100,AI25,$AG25))</f>
        <v/>
      </c>
      <c r="H25" t="str">
        <f t="shared" si="6"/>
        <v/>
      </c>
      <c r="I25" t="str">
        <f t="shared" si="9"/>
        <v/>
      </c>
      <c r="J25" t="str">
        <f t="shared" si="10"/>
        <v/>
      </c>
      <c r="K25" t="str">
        <f t="shared" si="11"/>
        <v/>
      </c>
      <c r="P25" t="str">
        <f t="shared" si="7"/>
        <v/>
      </c>
      <c r="Q25" t="str">
        <f t="shared" si="7"/>
        <v/>
      </c>
      <c r="R25" t="str">
        <f t="shared" si="7"/>
        <v/>
      </c>
      <c r="S25" t="str">
        <f t="shared" si="7"/>
        <v/>
      </c>
      <c r="T25" t="str">
        <f t="shared" si="7"/>
        <v/>
      </c>
      <c r="U25" t="str">
        <f t="shared" si="7"/>
        <v/>
      </c>
      <c r="V25" t="str">
        <f t="shared" si="7"/>
        <v/>
      </c>
      <c r="W25" t="str">
        <f t="shared" si="7"/>
        <v/>
      </c>
      <c r="X25" t="str">
        <f t="shared" si="7"/>
        <v/>
      </c>
      <c r="Y25" t="str">
        <f t="shared" si="7"/>
        <v/>
      </c>
      <c r="Z25" t="str">
        <f t="shared" si="7"/>
        <v/>
      </c>
      <c r="AA25" t="str">
        <f t="shared" si="7"/>
        <v/>
      </c>
    </row>
    <row r="26" spans="2:35" x14ac:dyDescent="0.25">
      <c r="B26" s="95" t="str">
        <f t="shared" si="3"/>
        <v/>
      </c>
      <c r="C26" s="95">
        <f t="shared" si="4"/>
        <v>0</v>
      </c>
      <c r="D26" s="80" t="str">
        <f t="shared" si="8"/>
        <v/>
      </c>
      <c r="E26" s="5" t="str" cm="1">
        <f t="array" ref="E26">IF(AG26&lt;=0,"",INDEX(listRoot,AG26))</f>
        <v/>
      </c>
      <c r="F26" s="5" t="str" cm="1">
        <f t="array" ref="F26">IF(AH26&lt;=0.000000000001,"",INDEX(Lister!$C$4:$H$100,AH26,$AG26))</f>
        <v/>
      </c>
      <c r="G26" s="5" t="str" cm="1">
        <f t="array" ref="G26">IF(AI26&lt;=0.000000000001,"",INDEX(Lister!$J$4:$O$100,AI26,$AG26))</f>
        <v/>
      </c>
      <c r="H26" t="str">
        <f t="shared" si="6"/>
        <v/>
      </c>
      <c r="I26" t="str">
        <f t="shared" si="9"/>
        <v/>
      </c>
      <c r="J26" t="str">
        <f t="shared" si="10"/>
        <v/>
      </c>
      <c r="K26" t="str">
        <f t="shared" si="11"/>
        <v/>
      </c>
      <c r="P26" t="str">
        <f t="shared" si="7"/>
        <v/>
      </c>
      <c r="Q26" t="str">
        <f t="shared" si="7"/>
        <v/>
      </c>
      <c r="R26" t="str">
        <f t="shared" si="7"/>
        <v/>
      </c>
      <c r="S26" t="str">
        <f t="shared" si="7"/>
        <v/>
      </c>
      <c r="T26" t="str">
        <f t="shared" si="7"/>
        <v/>
      </c>
      <c r="U26" t="str">
        <f t="shared" si="7"/>
        <v/>
      </c>
      <c r="V26" t="str">
        <f t="shared" si="7"/>
        <v/>
      </c>
      <c r="W26" t="str">
        <f t="shared" si="7"/>
        <v/>
      </c>
      <c r="X26" t="str">
        <f t="shared" si="7"/>
        <v/>
      </c>
      <c r="Y26" t="str">
        <f t="shared" si="7"/>
        <v/>
      </c>
      <c r="Z26" t="str">
        <f t="shared" si="7"/>
        <v/>
      </c>
      <c r="AA26" t="str">
        <f t="shared" si="7"/>
        <v/>
      </c>
    </row>
    <row r="27" spans="2:35" x14ac:dyDescent="0.25">
      <c r="B27" s="95" t="str">
        <f t="shared" si="3"/>
        <v/>
      </c>
      <c r="C27" s="95">
        <f t="shared" si="4"/>
        <v>0</v>
      </c>
      <c r="D27" s="80" t="str">
        <f t="shared" si="8"/>
        <v/>
      </c>
      <c r="E27" s="5" t="str" cm="1">
        <f t="array" ref="E27">IF(AG27&lt;=0,"",INDEX(listRoot,AG27))</f>
        <v/>
      </c>
      <c r="F27" s="5" t="str" cm="1">
        <f t="array" ref="F27">IF(AH27&lt;=0.000000000001,"",INDEX(Lister!$C$4:$H$100,AH27,$AG27))</f>
        <v/>
      </c>
      <c r="G27" s="5" t="str" cm="1">
        <f t="array" ref="G27">IF(AI27&lt;=0.000000000001,"",INDEX(Lister!$J$4:$O$100,AI27,$AG27))</f>
        <v/>
      </c>
      <c r="H27" t="str">
        <f t="shared" si="6"/>
        <v/>
      </c>
      <c r="I27" t="str">
        <f t="shared" si="9"/>
        <v/>
      </c>
      <c r="J27" t="str">
        <f t="shared" si="10"/>
        <v/>
      </c>
      <c r="K27" t="str">
        <f t="shared" si="11"/>
        <v/>
      </c>
      <c r="P27" t="str">
        <f t="shared" si="7"/>
        <v/>
      </c>
      <c r="Q27" t="str">
        <f t="shared" si="7"/>
        <v/>
      </c>
      <c r="R27" t="str">
        <f t="shared" si="7"/>
        <v/>
      </c>
      <c r="S27" t="str">
        <f t="shared" si="7"/>
        <v/>
      </c>
      <c r="T27" t="str">
        <f t="shared" si="7"/>
        <v/>
      </c>
      <c r="U27" t="str">
        <f t="shared" si="7"/>
        <v/>
      </c>
      <c r="V27" t="str">
        <f t="shared" si="7"/>
        <v/>
      </c>
      <c r="W27" t="str">
        <f t="shared" si="7"/>
        <v/>
      </c>
      <c r="X27" t="str">
        <f t="shared" si="7"/>
        <v/>
      </c>
      <c r="Y27" t="str">
        <f t="shared" si="7"/>
        <v/>
      </c>
      <c r="Z27" t="str">
        <f t="shared" si="7"/>
        <v/>
      </c>
      <c r="AA27" t="str">
        <f t="shared" si="7"/>
        <v/>
      </c>
    </row>
    <row r="28" spans="2:35" x14ac:dyDescent="0.25">
      <c r="B28" s="95" t="str">
        <f t="shared" si="3"/>
        <v/>
      </c>
      <c r="C28" s="95">
        <f t="shared" si="4"/>
        <v>0</v>
      </c>
      <c r="D28" s="80" t="str">
        <f t="shared" si="8"/>
        <v/>
      </c>
      <c r="E28" s="5" t="str" cm="1">
        <f t="array" ref="E28">IF(AG28&lt;=0,"",INDEX(listRoot,AG28))</f>
        <v/>
      </c>
      <c r="F28" s="5" t="str" cm="1">
        <f t="array" ref="F28">IF(AH28&lt;=0.000000000001,"",INDEX(Lister!$C$4:$H$100,AH28,$AG28))</f>
        <v/>
      </c>
      <c r="G28" s="5" t="str" cm="1">
        <f t="array" ref="G28">IF(AI28&lt;=0.000000000001,"",INDEX(Lister!$J$4:$O$100,AI28,$AG28))</f>
        <v/>
      </c>
      <c r="H28" t="str">
        <f t="shared" si="6"/>
        <v/>
      </c>
      <c r="I28" t="str">
        <f t="shared" si="9"/>
        <v/>
      </c>
      <c r="J28" t="str">
        <f t="shared" si="10"/>
        <v/>
      </c>
      <c r="K28" t="str">
        <f t="shared" si="11"/>
        <v/>
      </c>
      <c r="P28" t="str">
        <f t="shared" si="7"/>
        <v/>
      </c>
      <c r="Q28" t="str">
        <f t="shared" si="7"/>
        <v/>
      </c>
      <c r="R28" t="str">
        <f t="shared" si="7"/>
        <v/>
      </c>
      <c r="S28" t="str">
        <f t="shared" si="7"/>
        <v/>
      </c>
      <c r="T28" t="str">
        <f t="shared" si="7"/>
        <v/>
      </c>
      <c r="U28" t="str">
        <f t="shared" si="7"/>
        <v/>
      </c>
      <c r="V28" t="str">
        <f t="shared" si="7"/>
        <v/>
      </c>
      <c r="W28" t="str">
        <f t="shared" si="7"/>
        <v/>
      </c>
      <c r="X28" t="str">
        <f t="shared" si="7"/>
        <v/>
      </c>
      <c r="Y28" t="str">
        <f t="shared" si="7"/>
        <v/>
      </c>
      <c r="Z28" t="str">
        <f t="shared" si="7"/>
        <v/>
      </c>
      <c r="AA28" t="str">
        <f t="shared" si="7"/>
        <v/>
      </c>
    </row>
    <row r="29" spans="2:35" x14ac:dyDescent="0.25">
      <c r="B29" s="95" t="str">
        <f t="shared" si="3"/>
        <v/>
      </c>
      <c r="C29" s="95">
        <f t="shared" si="4"/>
        <v>0</v>
      </c>
      <c r="D29" s="80" t="str">
        <f t="shared" si="8"/>
        <v/>
      </c>
      <c r="E29" s="5" t="str" cm="1">
        <f t="array" ref="E29">IF(AG29&lt;=0,"",INDEX(listRoot,AG29))</f>
        <v/>
      </c>
      <c r="F29" s="5" t="str" cm="1">
        <f t="array" ref="F29">IF(AH29&lt;=0.000000000001,"",INDEX(Lister!$C$4:$H$100,AH29,$AG29))</f>
        <v/>
      </c>
      <c r="G29" s="5" t="str" cm="1">
        <f t="array" ref="G29">IF(AI29&lt;=0.000000000001,"",INDEX(Lister!$J$4:$O$100,AI29,$AG29))</f>
        <v/>
      </c>
      <c r="H29" t="str">
        <f t="shared" si="6"/>
        <v/>
      </c>
      <c r="I29" t="str">
        <f t="shared" si="9"/>
        <v/>
      </c>
      <c r="J29" t="str">
        <f t="shared" si="10"/>
        <v/>
      </c>
      <c r="K29" t="str">
        <f t="shared" si="11"/>
        <v/>
      </c>
      <c r="P29" t="str">
        <f t="shared" si="7"/>
        <v/>
      </c>
      <c r="Q29" t="str">
        <f t="shared" si="7"/>
        <v/>
      </c>
      <c r="R29" t="str">
        <f t="shared" si="7"/>
        <v/>
      </c>
      <c r="S29" t="str">
        <f t="shared" si="7"/>
        <v/>
      </c>
      <c r="T29" t="str">
        <f t="shared" si="7"/>
        <v/>
      </c>
      <c r="U29" t="str">
        <f t="shared" si="7"/>
        <v/>
      </c>
      <c r="V29" t="str">
        <f t="shared" si="7"/>
        <v/>
      </c>
      <c r="W29" t="str">
        <f t="shared" si="7"/>
        <v/>
      </c>
      <c r="X29" t="str">
        <f t="shared" si="7"/>
        <v/>
      </c>
      <c r="Y29" t="str">
        <f t="shared" si="7"/>
        <v/>
      </c>
      <c r="Z29" t="str">
        <f t="shared" si="7"/>
        <v/>
      </c>
      <c r="AA29" t="str">
        <f t="shared" si="7"/>
        <v/>
      </c>
    </row>
    <row r="30" spans="2:35" x14ac:dyDescent="0.25">
      <c r="B30" s="95" t="str">
        <f t="shared" si="3"/>
        <v/>
      </c>
      <c r="C30" s="95">
        <f t="shared" si="4"/>
        <v>0</v>
      </c>
      <c r="D30" s="80" t="str">
        <f t="shared" si="8"/>
        <v/>
      </c>
      <c r="E30" s="5" t="str" cm="1">
        <f t="array" ref="E30">IF(AG30&lt;=0,"",INDEX(listRoot,AG30))</f>
        <v/>
      </c>
      <c r="F30" s="5" t="str" cm="1">
        <f t="array" ref="F30">IF(AH30&lt;=0.000000000001,"",INDEX(Lister!$C$4:$H$100,AH30,$AG30))</f>
        <v/>
      </c>
      <c r="G30" s="5" t="str" cm="1">
        <f t="array" ref="G30">IF(AI30&lt;=0.000000000001,"",INDEX(Lister!$J$4:$O$100,AI30,$AG30))</f>
        <v/>
      </c>
      <c r="H30" t="str">
        <f t="shared" si="6"/>
        <v/>
      </c>
      <c r="I30" t="str">
        <f t="shared" si="9"/>
        <v/>
      </c>
      <c r="J30" t="str">
        <f t="shared" si="10"/>
        <v/>
      </c>
      <c r="K30" t="str">
        <f t="shared" si="11"/>
        <v/>
      </c>
      <c r="P30" t="str">
        <f t="shared" si="7"/>
        <v/>
      </c>
      <c r="Q30" t="str">
        <f t="shared" si="7"/>
        <v/>
      </c>
      <c r="R30" t="str">
        <f t="shared" si="7"/>
        <v/>
      </c>
      <c r="S30" t="str">
        <f t="shared" si="7"/>
        <v/>
      </c>
      <c r="T30" t="str">
        <f t="shared" si="7"/>
        <v/>
      </c>
      <c r="U30" t="str">
        <f t="shared" si="7"/>
        <v/>
      </c>
      <c r="V30" t="str">
        <f t="shared" si="7"/>
        <v/>
      </c>
      <c r="W30" t="str">
        <f t="shared" si="7"/>
        <v/>
      </c>
      <c r="X30" t="str">
        <f t="shared" si="7"/>
        <v/>
      </c>
      <c r="Y30" t="str">
        <f t="shared" si="7"/>
        <v/>
      </c>
      <c r="Z30" t="str">
        <f t="shared" si="7"/>
        <v/>
      </c>
      <c r="AA30" t="str">
        <f t="shared" si="7"/>
        <v/>
      </c>
    </row>
    <row r="31" spans="2:35" x14ac:dyDescent="0.25">
      <c r="B31" s="95" t="str">
        <f t="shared" si="3"/>
        <v/>
      </c>
      <c r="C31" s="95">
        <f t="shared" si="4"/>
        <v>0</v>
      </c>
      <c r="D31" s="80" t="str">
        <f t="shared" si="8"/>
        <v/>
      </c>
      <c r="E31" s="5" t="str" cm="1">
        <f t="array" ref="E31">IF(AG31&lt;=0,"",INDEX(listRoot,AG31))</f>
        <v/>
      </c>
      <c r="F31" s="5" t="str" cm="1">
        <f t="array" ref="F31">IF(AH31&lt;=0.000000000001,"",INDEX(Lister!$C$4:$H$100,AH31,$AG31))</f>
        <v/>
      </c>
      <c r="G31" s="5" t="str" cm="1">
        <f t="array" ref="G31">IF(AI31&lt;=0.000000000001,"",INDEX(Lister!$J$4:$O$100,AI31,$AG31))</f>
        <v/>
      </c>
      <c r="H31" t="str">
        <f t="shared" si="6"/>
        <v/>
      </c>
      <c r="I31" t="str">
        <f t="shared" si="9"/>
        <v/>
      </c>
      <c r="J31" t="str">
        <f t="shared" si="10"/>
        <v/>
      </c>
      <c r="K31" t="str">
        <f t="shared" si="11"/>
        <v/>
      </c>
      <c r="P31" t="str">
        <f t="shared" si="7"/>
        <v/>
      </c>
      <c r="Q31" t="str">
        <f t="shared" si="7"/>
        <v/>
      </c>
      <c r="R31" t="str">
        <f t="shared" si="7"/>
        <v/>
      </c>
      <c r="S31" t="str">
        <f t="shared" si="7"/>
        <v/>
      </c>
      <c r="T31" t="str">
        <f t="shared" si="7"/>
        <v/>
      </c>
      <c r="U31" t="str">
        <f t="shared" si="7"/>
        <v/>
      </c>
      <c r="V31" t="str">
        <f t="shared" si="7"/>
        <v/>
      </c>
      <c r="W31" t="str">
        <f t="shared" si="7"/>
        <v/>
      </c>
      <c r="X31" t="str">
        <f t="shared" si="7"/>
        <v/>
      </c>
      <c r="Y31" t="str">
        <f t="shared" si="7"/>
        <v/>
      </c>
      <c r="Z31" t="str">
        <f t="shared" si="7"/>
        <v/>
      </c>
      <c r="AA31" t="str">
        <f t="shared" si="7"/>
        <v/>
      </c>
    </row>
    <row r="32" spans="2:35" x14ac:dyDescent="0.25">
      <c r="B32" s="95" t="str">
        <f t="shared" si="3"/>
        <v/>
      </c>
      <c r="C32" s="95">
        <f t="shared" si="4"/>
        <v>0</v>
      </c>
      <c r="D32" s="80" t="str">
        <f t="shared" si="8"/>
        <v/>
      </c>
      <c r="E32" s="5" t="str" cm="1">
        <f t="array" ref="E32">IF(AG32&lt;=0,"",INDEX(listRoot,AG32))</f>
        <v/>
      </c>
      <c r="F32" s="5" t="str" cm="1">
        <f t="array" ref="F32">IF(AH32&lt;=0.000000000001,"",INDEX(Lister!$C$4:$H$100,AH32,$AG32))</f>
        <v/>
      </c>
      <c r="G32" s="5" t="str" cm="1">
        <f t="array" ref="G32">IF(AI32&lt;=0.000000000001,"",INDEX(Lister!$J$4:$O$100,AI32,$AG32))</f>
        <v/>
      </c>
      <c r="H32" t="str">
        <f t="shared" si="6"/>
        <v/>
      </c>
      <c r="I32" t="str">
        <f t="shared" si="9"/>
        <v/>
      </c>
      <c r="J32" t="str">
        <f t="shared" si="10"/>
        <v/>
      </c>
      <c r="K32" t="str">
        <f t="shared" si="11"/>
        <v/>
      </c>
      <c r="P32" t="str">
        <f t="shared" si="7"/>
        <v/>
      </c>
      <c r="Q32" t="str">
        <f t="shared" si="7"/>
        <v/>
      </c>
      <c r="R32" t="str">
        <f t="shared" si="7"/>
        <v/>
      </c>
      <c r="S32" t="str">
        <f t="shared" si="7"/>
        <v/>
      </c>
      <c r="T32" t="str">
        <f t="shared" si="7"/>
        <v/>
      </c>
      <c r="U32" t="str">
        <f t="shared" si="7"/>
        <v/>
      </c>
      <c r="V32" t="str">
        <f t="shared" si="7"/>
        <v/>
      </c>
      <c r="W32" t="str">
        <f t="shared" si="7"/>
        <v/>
      </c>
      <c r="X32" t="str">
        <f t="shared" si="7"/>
        <v/>
      </c>
      <c r="Y32" t="str">
        <f t="shared" si="7"/>
        <v/>
      </c>
      <c r="Z32" t="str">
        <f t="shared" si="7"/>
        <v/>
      </c>
      <c r="AA32" t="str">
        <f t="shared" si="7"/>
        <v/>
      </c>
    </row>
    <row r="33" spans="2:27" x14ac:dyDescent="0.25">
      <c r="B33" s="95" t="str">
        <f t="shared" si="3"/>
        <v/>
      </c>
      <c r="C33" s="95">
        <f t="shared" si="4"/>
        <v>0</v>
      </c>
      <c r="D33" s="80" t="str">
        <f t="shared" si="8"/>
        <v/>
      </c>
      <c r="E33" s="5" t="str" cm="1">
        <f t="array" ref="E33">IF(AG33&lt;=0,"",INDEX(listRoot,AG33))</f>
        <v/>
      </c>
      <c r="F33" s="5" t="str" cm="1">
        <f t="array" ref="F33">IF(AH33&lt;=0.000000000001,"",INDEX(Lister!$C$4:$H$100,AH33,$AG33))</f>
        <v/>
      </c>
      <c r="G33" s="5" t="str" cm="1">
        <f t="array" ref="G33">IF(AI33&lt;=0.000000000001,"",INDEX(Lister!$J$4:$O$100,AI33,$AG33))</f>
        <v/>
      </c>
      <c r="H33" t="str">
        <f t="shared" si="6"/>
        <v/>
      </c>
      <c r="I33" t="str">
        <f t="shared" si="9"/>
        <v/>
      </c>
      <c r="J33" t="str">
        <f t="shared" si="10"/>
        <v/>
      </c>
      <c r="K33" t="str">
        <f t="shared" si="11"/>
        <v/>
      </c>
      <c r="P33" t="str">
        <f t="shared" si="7"/>
        <v/>
      </c>
      <c r="Q33" t="str">
        <f t="shared" si="7"/>
        <v/>
      </c>
      <c r="R33" t="str">
        <f t="shared" si="7"/>
        <v/>
      </c>
      <c r="S33" t="str">
        <f t="shared" si="7"/>
        <v/>
      </c>
      <c r="T33" t="str">
        <f t="shared" si="7"/>
        <v/>
      </c>
      <c r="U33" t="str">
        <f t="shared" si="7"/>
        <v/>
      </c>
      <c r="V33" t="str">
        <f t="shared" si="7"/>
        <v/>
      </c>
      <c r="W33" t="str">
        <f t="shared" si="7"/>
        <v/>
      </c>
      <c r="X33" t="str">
        <f t="shared" si="7"/>
        <v/>
      </c>
      <c r="Y33" t="str">
        <f t="shared" si="7"/>
        <v/>
      </c>
      <c r="Z33" t="str">
        <f t="shared" si="7"/>
        <v/>
      </c>
      <c r="AA33" t="str">
        <f t="shared" si="7"/>
        <v/>
      </c>
    </row>
    <row r="34" spans="2:27" x14ac:dyDescent="0.25">
      <c r="B34" s="95" t="str">
        <f t="shared" si="3"/>
        <v/>
      </c>
      <c r="C34" s="95">
        <f t="shared" si="4"/>
        <v>0</v>
      </c>
      <c r="D34" s="80" t="str">
        <f t="shared" si="8"/>
        <v/>
      </c>
      <c r="E34" s="5" t="str" cm="1">
        <f t="array" ref="E34">IF(AG34&lt;=0,"",INDEX(listRoot,AG34))</f>
        <v/>
      </c>
      <c r="F34" s="5" t="str" cm="1">
        <f t="array" ref="F34">IF(AH34&lt;=0.000000000001,"",INDEX(Lister!$C$4:$H$100,AH34,$AG34))</f>
        <v/>
      </c>
      <c r="G34" s="5" t="str" cm="1">
        <f t="array" ref="G34">IF(AI34&lt;=0.000000000001,"",INDEX(Lister!$J$4:$O$100,AI34,$AG34))</f>
        <v/>
      </c>
      <c r="H34" t="str">
        <f t="shared" si="6"/>
        <v/>
      </c>
      <c r="I34" t="str">
        <f t="shared" si="9"/>
        <v/>
      </c>
      <c r="J34" t="str">
        <f t="shared" si="10"/>
        <v/>
      </c>
      <c r="K34" t="str">
        <f t="shared" si="11"/>
        <v/>
      </c>
      <c r="P34" t="str">
        <f t="shared" si="7"/>
        <v/>
      </c>
      <c r="Q34" t="str">
        <f t="shared" si="7"/>
        <v/>
      </c>
      <c r="R34" t="str">
        <f t="shared" si="7"/>
        <v/>
      </c>
      <c r="S34" t="str">
        <f t="shared" si="7"/>
        <v/>
      </c>
      <c r="T34" t="str">
        <f t="shared" si="7"/>
        <v/>
      </c>
      <c r="U34" t="str">
        <f t="shared" si="7"/>
        <v/>
      </c>
      <c r="V34" t="str">
        <f t="shared" si="7"/>
        <v/>
      </c>
      <c r="W34" t="str">
        <f t="shared" si="7"/>
        <v/>
      </c>
      <c r="X34" t="str">
        <f t="shared" si="7"/>
        <v/>
      </c>
      <c r="Y34" t="str">
        <f t="shared" si="7"/>
        <v/>
      </c>
      <c r="Z34" t="str">
        <f t="shared" si="7"/>
        <v/>
      </c>
      <c r="AA34" t="str">
        <f t="shared" si="7"/>
        <v/>
      </c>
    </row>
    <row r="35" spans="2:27" x14ac:dyDescent="0.25">
      <c r="B35" s="95" t="str">
        <f t="shared" si="3"/>
        <v/>
      </c>
      <c r="C35" s="95">
        <f t="shared" si="4"/>
        <v>0</v>
      </c>
      <c r="D35" s="80" t="str">
        <f t="shared" si="8"/>
        <v/>
      </c>
      <c r="E35" s="5" t="str" cm="1">
        <f t="array" ref="E35">IF(AG35&lt;=0,"",INDEX(listRoot,AG35))</f>
        <v/>
      </c>
      <c r="F35" s="5" t="str" cm="1">
        <f t="array" ref="F35">IF(AH35&lt;=0.000000000001,"",INDEX(Lister!$C$4:$H$100,AH35,$AG35))</f>
        <v/>
      </c>
      <c r="G35" s="5" t="str" cm="1">
        <f t="array" ref="G35">IF(AI35&lt;=0.000000000001,"",INDEX(Lister!$J$4:$O$100,AI35,$AG35))</f>
        <v/>
      </c>
      <c r="H35" t="str">
        <f t="shared" si="6"/>
        <v/>
      </c>
      <c r="I35" t="str">
        <f t="shared" si="9"/>
        <v/>
      </c>
      <c r="J35" t="str">
        <f t="shared" si="10"/>
        <v/>
      </c>
      <c r="K35" t="str">
        <f t="shared" si="11"/>
        <v/>
      </c>
      <c r="P35" t="str">
        <f t="shared" si="7"/>
        <v/>
      </c>
      <c r="Q35" t="str">
        <f t="shared" si="7"/>
        <v/>
      </c>
      <c r="R35" t="str">
        <f t="shared" si="7"/>
        <v/>
      </c>
      <c r="S35" t="str">
        <f t="shared" si="7"/>
        <v/>
      </c>
      <c r="T35" t="str">
        <f t="shared" si="7"/>
        <v/>
      </c>
      <c r="U35" t="str">
        <f t="shared" si="7"/>
        <v/>
      </c>
      <c r="V35" t="str">
        <f t="shared" si="7"/>
        <v/>
      </c>
      <c r="W35" t="str">
        <f t="shared" si="7"/>
        <v/>
      </c>
      <c r="X35" t="str">
        <f t="shared" si="7"/>
        <v/>
      </c>
      <c r="Y35" t="str">
        <f t="shared" si="7"/>
        <v/>
      </c>
      <c r="Z35" t="str">
        <f t="shared" si="7"/>
        <v/>
      </c>
      <c r="AA35" t="str">
        <f t="shared" si="7"/>
        <v/>
      </c>
    </row>
    <row r="36" spans="2:27" x14ac:dyDescent="0.25">
      <c r="B36" s="95" t="str">
        <f t="shared" si="3"/>
        <v/>
      </c>
      <c r="C36" s="95">
        <f t="shared" si="4"/>
        <v>0</v>
      </c>
      <c r="D36" s="80" t="str">
        <f t="shared" si="8"/>
        <v/>
      </c>
      <c r="E36" s="5" t="str" cm="1">
        <f t="array" ref="E36">IF(AG36&lt;=0,"",INDEX(listRoot,AG36))</f>
        <v/>
      </c>
      <c r="F36" s="5" t="str" cm="1">
        <f t="array" ref="F36">IF(AH36&lt;=0.000000000001,"",INDEX(Lister!$C$4:$H$100,AH36,$AG36))</f>
        <v/>
      </c>
      <c r="G36" s="5" t="str" cm="1">
        <f t="array" ref="G36">IF(AI36&lt;=0.000000000001,"",INDEX(Lister!$J$4:$O$100,AI36,$AG36))</f>
        <v/>
      </c>
      <c r="H36" t="str">
        <f t="shared" si="6"/>
        <v/>
      </c>
      <c r="I36" t="str">
        <f t="shared" si="9"/>
        <v/>
      </c>
      <c r="J36" t="str">
        <f t="shared" si="10"/>
        <v/>
      </c>
      <c r="K36" t="str">
        <f t="shared" si="11"/>
        <v/>
      </c>
      <c r="P36" t="str">
        <f t="shared" si="7"/>
        <v/>
      </c>
      <c r="Q36" t="str">
        <f t="shared" si="7"/>
        <v/>
      </c>
      <c r="R36" t="str">
        <f t="shared" si="7"/>
        <v/>
      </c>
      <c r="S36" t="str">
        <f t="shared" si="7"/>
        <v/>
      </c>
      <c r="T36" t="str">
        <f t="shared" si="7"/>
        <v/>
      </c>
      <c r="U36" t="str">
        <f t="shared" si="7"/>
        <v/>
      </c>
      <c r="V36" t="str">
        <f t="shared" si="7"/>
        <v/>
      </c>
      <c r="W36" t="str">
        <f t="shared" si="7"/>
        <v/>
      </c>
      <c r="X36" t="str">
        <f t="shared" si="7"/>
        <v/>
      </c>
      <c r="Y36" t="str">
        <f t="shared" si="7"/>
        <v/>
      </c>
      <c r="Z36" t="str">
        <f t="shared" si="7"/>
        <v/>
      </c>
      <c r="AA36" t="str">
        <f t="shared" si="7"/>
        <v/>
      </c>
    </row>
    <row r="37" spans="2:27" x14ac:dyDescent="0.25">
      <c r="B37" s="95" t="str">
        <f t="shared" si="3"/>
        <v/>
      </c>
      <c r="C37" s="95">
        <f t="shared" si="4"/>
        <v>0</v>
      </c>
      <c r="D37" s="80" t="str">
        <f t="shared" si="8"/>
        <v/>
      </c>
      <c r="E37" s="5" t="str" cm="1">
        <f t="array" ref="E37">IF(AG37&lt;=0,"",INDEX(listRoot,AG37))</f>
        <v/>
      </c>
      <c r="F37" s="5" t="str" cm="1">
        <f t="array" ref="F37">IF(AH37&lt;=0.000000000001,"",INDEX(Lister!$C$4:$H$100,AH37,$AG37))</f>
        <v/>
      </c>
      <c r="G37" s="5" t="str" cm="1">
        <f t="array" ref="G37">IF(AI37&lt;=0.000000000001,"",INDEX(Lister!$J$4:$O$100,AI37,$AG37))</f>
        <v/>
      </c>
      <c r="H37" t="str">
        <f t="shared" si="6"/>
        <v/>
      </c>
      <c r="I37" t="str">
        <f t="shared" si="9"/>
        <v/>
      </c>
      <c r="J37" t="str">
        <f t="shared" si="10"/>
        <v/>
      </c>
      <c r="K37" t="str">
        <f t="shared" si="11"/>
        <v/>
      </c>
      <c r="P37" t="str">
        <f t="shared" si="7"/>
        <v/>
      </c>
      <c r="Q37" t="str">
        <f t="shared" si="7"/>
        <v/>
      </c>
      <c r="R37" t="str">
        <f t="shared" si="7"/>
        <v/>
      </c>
      <c r="S37" t="str">
        <f t="shared" si="7"/>
        <v/>
      </c>
      <c r="T37" t="str">
        <f t="shared" si="7"/>
        <v/>
      </c>
      <c r="U37" t="str">
        <f t="shared" si="7"/>
        <v/>
      </c>
      <c r="V37" t="str">
        <f t="shared" si="7"/>
        <v/>
      </c>
      <c r="W37" t="str">
        <f t="shared" si="7"/>
        <v/>
      </c>
      <c r="X37" t="str">
        <f t="shared" si="7"/>
        <v/>
      </c>
      <c r="Y37" t="str">
        <f t="shared" si="7"/>
        <v/>
      </c>
      <c r="Z37" t="str">
        <f t="shared" si="7"/>
        <v/>
      </c>
      <c r="AA37" t="str">
        <f t="shared" si="7"/>
        <v/>
      </c>
    </row>
    <row r="38" spans="2:27" x14ac:dyDescent="0.25">
      <c r="B38" s="95" t="str">
        <f t="shared" si="3"/>
        <v/>
      </c>
      <c r="C38" s="95">
        <f t="shared" si="4"/>
        <v>0</v>
      </c>
      <c r="D38" s="80" t="str">
        <f t="shared" si="8"/>
        <v/>
      </c>
      <c r="E38" s="5" t="str" cm="1">
        <f t="array" ref="E38">IF(AG38&lt;=0,"",INDEX(listRoot,AG38))</f>
        <v/>
      </c>
      <c r="F38" s="5" t="str" cm="1">
        <f t="array" ref="F38">IF(AH38&lt;=0.000000000001,"",INDEX(Lister!$C$4:$H$100,AH38,$AG38))</f>
        <v/>
      </c>
      <c r="G38" s="5" t="str" cm="1">
        <f t="array" ref="G38">IF(AI38&lt;=0.000000000001,"",INDEX(Lister!$J$4:$O$100,AI38,$AG38))</f>
        <v/>
      </c>
      <c r="H38" t="str">
        <f t="shared" si="6"/>
        <v/>
      </c>
      <c r="I38" t="str">
        <f t="shared" si="9"/>
        <v/>
      </c>
      <c r="J38" t="str">
        <f t="shared" si="10"/>
        <v/>
      </c>
      <c r="K38" t="str">
        <f t="shared" si="11"/>
        <v/>
      </c>
      <c r="P38" t="str">
        <f t="shared" si="7"/>
        <v/>
      </c>
      <c r="Q38" t="str">
        <f t="shared" si="7"/>
        <v/>
      </c>
      <c r="R38" t="str">
        <f t="shared" si="7"/>
        <v/>
      </c>
      <c r="S38" t="str">
        <f t="shared" si="7"/>
        <v/>
      </c>
      <c r="T38" t="str">
        <f t="shared" si="7"/>
        <v/>
      </c>
      <c r="U38" t="str">
        <f t="shared" si="7"/>
        <v/>
      </c>
      <c r="V38" t="str">
        <f t="shared" si="7"/>
        <v/>
      </c>
      <c r="W38" t="str">
        <f t="shared" si="7"/>
        <v/>
      </c>
      <c r="X38" t="str">
        <f t="shared" si="7"/>
        <v/>
      </c>
      <c r="Y38" t="str">
        <f t="shared" si="7"/>
        <v/>
      </c>
      <c r="Z38" t="str">
        <f t="shared" si="7"/>
        <v/>
      </c>
      <c r="AA38" t="str">
        <f t="shared" si="7"/>
        <v/>
      </c>
    </row>
    <row r="39" spans="2:27" x14ac:dyDescent="0.25">
      <c r="B39" s="95" t="str">
        <f t="shared" si="3"/>
        <v/>
      </c>
      <c r="C39" s="95">
        <f t="shared" si="4"/>
        <v>0</v>
      </c>
      <c r="D39" s="80" t="str">
        <f t="shared" si="8"/>
        <v/>
      </c>
      <c r="E39" s="5" t="str" cm="1">
        <f t="array" ref="E39">IF(AG39&lt;=0,"",INDEX(listRoot,AG39))</f>
        <v/>
      </c>
      <c r="F39" s="5" t="str" cm="1">
        <f t="array" ref="F39">IF(AH39&lt;=0.000000000001,"",INDEX(Lister!$C$4:$H$100,AH39,$AG39))</f>
        <v/>
      </c>
      <c r="G39" s="5" t="str" cm="1">
        <f t="array" ref="G39">IF(AI39&lt;=0.000000000001,"",INDEX(Lister!$J$4:$O$100,AI39,$AG39))</f>
        <v/>
      </c>
      <c r="H39" t="str">
        <f t="shared" si="6"/>
        <v/>
      </c>
      <c r="I39" t="str">
        <f t="shared" si="9"/>
        <v/>
      </c>
      <c r="J39" t="str">
        <f t="shared" si="10"/>
        <v/>
      </c>
      <c r="K39" t="str">
        <f t="shared" si="11"/>
        <v/>
      </c>
      <c r="P39" t="str">
        <f t="shared" si="7"/>
        <v/>
      </c>
      <c r="Q39" t="str">
        <f t="shared" si="7"/>
        <v/>
      </c>
      <c r="R39" t="str">
        <f t="shared" si="7"/>
        <v/>
      </c>
      <c r="S39" t="str">
        <f t="shared" si="7"/>
        <v/>
      </c>
      <c r="T39" t="str">
        <f t="shared" si="7"/>
        <v/>
      </c>
      <c r="U39" t="str">
        <f t="shared" si="7"/>
        <v/>
      </c>
      <c r="V39" t="str">
        <f t="shared" si="7"/>
        <v/>
      </c>
      <c r="W39" t="str">
        <f t="shared" si="7"/>
        <v/>
      </c>
      <c r="X39" t="str">
        <f t="shared" si="7"/>
        <v/>
      </c>
      <c r="Y39" t="str">
        <f t="shared" si="7"/>
        <v/>
      </c>
      <c r="Z39" t="str">
        <f t="shared" si="7"/>
        <v/>
      </c>
      <c r="AA39" t="str">
        <f t="shared" si="7"/>
        <v/>
      </c>
    </row>
    <row r="40" spans="2:27" x14ac:dyDescent="0.25">
      <c r="B40" s="95" t="str">
        <f t="shared" si="3"/>
        <v/>
      </c>
      <c r="C40" s="95">
        <f t="shared" si="4"/>
        <v>0</v>
      </c>
      <c r="D40" s="80" t="str">
        <f t="shared" si="8"/>
        <v/>
      </c>
      <c r="E40" s="5" t="str" cm="1">
        <f t="array" ref="E40">IF(AG40&lt;=0,"",INDEX(listRoot,AG40))</f>
        <v/>
      </c>
      <c r="F40" s="5" t="str" cm="1">
        <f t="array" ref="F40">IF(AH40&lt;=0.000000000001,"",INDEX(Lister!$C$4:$H$100,AH40,$AG40))</f>
        <v/>
      </c>
      <c r="G40" s="5" t="str" cm="1">
        <f t="array" ref="G40">IF(AI40&lt;=0.000000000001,"",INDEX(Lister!$J$4:$O$100,AI40,$AG40))</f>
        <v/>
      </c>
      <c r="H40" t="str">
        <f t="shared" si="6"/>
        <v/>
      </c>
      <c r="I40" t="str">
        <f t="shared" si="9"/>
        <v/>
      </c>
      <c r="J40" t="str">
        <f t="shared" si="10"/>
        <v/>
      </c>
      <c r="K40" t="str">
        <f t="shared" si="11"/>
        <v/>
      </c>
      <c r="P40" t="str">
        <f t="shared" si="7"/>
        <v/>
      </c>
      <c r="Q40" t="str">
        <f t="shared" si="7"/>
        <v/>
      </c>
      <c r="R40" t="str">
        <f t="shared" si="7"/>
        <v/>
      </c>
      <c r="S40" t="str">
        <f t="shared" si="7"/>
        <v/>
      </c>
      <c r="T40" t="str">
        <f t="shared" si="7"/>
        <v/>
      </c>
      <c r="U40" t="str">
        <f t="shared" si="7"/>
        <v/>
      </c>
      <c r="V40" t="str">
        <f t="shared" si="7"/>
        <v/>
      </c>
      <c r="W40" t="str">
        <f t="shared" si="7"/>
        <v/>
      </c>
      <c r="X40" t="str">
        <f t="shared" si="7"/>
        <v/>
      </c>
      <c r="Y40" t="str">
        <f t="shared" si="7"/>
        <v/>
      </c>
      <c r="Z40" t="str">
        <f t="shared" si="7"/>
        <v/>
      </c>
      <c r="AA40" t="str">
        <f t="shared" si="7"/>
        <v/>
      </c>
    </row>
    <row r="41" spans="2:27" x14ac:dyDescent="0.25">
      <c r="B41" s="95" t="str">
        <f t="shared" si="3"/>
        <v/>
      </c>
      <c r="C41" s="95">
        <f t="shared" si="4"/>
        <v>0</v>
      </c>
      <c r="D41" s="80" t="str">
        <f t="shared" si="8"/>
        <v/>
      </c>
      <c r="E41" s="5" t="str" cm="1">
        <f t="array" ref="E41">IF(AG41&lt;=0,"",INDEX(listRoot,AG41))</f>
        <v/>
      </c>
      <c r="F41" s="5" t="str" cm="1">
        <f t="array" ref="F41">IF(AH41&lt;=0.000000000001,"",INDEX(Lister!$C$4:$H$100,AH41,$AG41))</f>
        <v/>
      </c>
      <c r="G41" s="5" t="str" cm="1">
        <f t="array" ref="G41">IF(AI41&lt;=0.000000000001,"",INDEX(Lister!$J$4:$O$100,AI41,$AG41))</f>
        <v/>
      </c>
      <c r="H41" t="str">
        <f t="shared" si="6"/>
        <v/>
      </c>
      <c r="I41" t="str">
        <f t="shared" si="9"/>
        <v/>
      </c>
      <c r="J41" t="str">
        <f t="shared" si="10"/>
        <v/>
      </c>
      <c r="K41" t="str">
        <f t="shared" si="11"/>
        <v/>
      </c>
      <c r="P41" t="str">
        <f t="shared" si="7"/>
        <v/>
      </c>
      <c r="Q41" t="str">
        <f t="shared" si="7"/>
        <v/>
      </c>
      <c r="R41" t="str">
        <f t="shared" si="7"/>
        <v/>
      </c>
      <c r="S41" t="str">
        <f t="shared" si="7"/>
        <v/>
      </c>
      <c r="T41" t="str">
        <f t="shared" si="7"/>
        <v/>
      </c>
      <c r="U41" t="str">
        <f t="shared" si="7"/>
        <v/>
      </c>
      <c r="V41" t="str">
        <f t="shared" si="7"/>
        <v/>
      </c>
      <c r="W41" t="str">
        <f t="shared" si="7"/>
        <v/>
      </c>
      <c r="X41" t="str">
        <f t="shared" si="7"/>
        <v/>
      </c>
      <c r="Y41" t="str">
        <f t="shared" si="7"/>
        <v/>
      </c>
      <c r="Z41" t="str">
        <f t="shared" si="7"/>
        <v/>
      </c>
      <c r="AA41" t="str">
        <f t="shared" si="7"/>
        <v/>
      </c>
    </row>
    <row r="42" spans="2:27" x14ac:dyDescent="0.25">
      <c r="B42" s="95" t="str">
        <f t="shared" si="3"/>
        <v/>
      </c>
      <c r="C42" s="95">
        <f t="shared" si="4"/>
        <v>0</v>
      </c>
      <c r="D42" s="80" t="str">
        <f t="shared" si="8"/>
        <v/>
      </c>
      <c r="E42" s="5" t="str" cm="1">
        <f t="array" ref="E42">IF(AG42&lt;=0,"",INDEX(listRoot,AG42))</f>
        <v/>
      </c>
      <c r="F42" s="5" t="str" cm="1">
        <f t="array" ref="F42">IF(AH42&lt;=0.000000000001,"",INDEX(Lister!$C$4:$H$100,AH42,$AG42))</f>
        <v/>
      </c>
      <c r="G42" s="5" t="str" cm="1">
        <f t="array" ref="G42">IF(AI42&lt;=0.000000000001,"",INDEX(Lister!$J$4:$O$100,AI42,$AG42))</f>
        <v/>
      </c>
      <c r="H42" t="str">
        <f t="shared" si="6"/>
        <v/>
      </c>
      <c r="I42" t="str">
        <f t="shared" si="9"/>
        <v/>
      </c>
      <c r="J42" t="str">
        <f t="shared" si="10"/>
        <v/>
      </c>
      <c r="K42" t="str">
        <f t="shared" si="11"/>
        <v/>
      </c>
      <c r="P42" t="str">
        <f t="shared" ref="P42:AA42" si="12">IF(OR(P$5&lt;$H42,P$5&gt;$I42),"",$J42+(P$5-$H42)*($K42-$J42)/($I42-$H42))</f>
        <v/>
      </c>
      <c r="Q42" t="str">
        <f t="shared" si="12"/>
        <v/>
      </c>
      <c r="R42" t="str">
        <f t="shared" si="12"/>
        <v/>
      </c>
      <c r="S42" t="str">
        <f t="shared" si="12"/>
        <v/>
      </c>
      <c r="T42" t="str">
        <f t="shared" si="12"/>
        <v/>
      </c>
      <c r="U42" t="str">
        <f t="shared" si="12"/>
        <v/>
      </c>
      <c r="V42" t="str">
        <f t="shared" si="12"/>
        <v/>
      </c>
      <c r="W42" t="str">
        <f t="shared" si="12"/>
        <v/>
      </c>
      <c r="X42" t="str">
        <f t="shared" si="12"/>
        <v/>
      </c>
      <c r="Y42" t="str">
        <f t="shared" si="12"/>
        <v/>
      </c>
      <c r="Z42" t="str">
        <f t="shared" si="12"/>
        <v/>
      </c>
      <c r="AA42" t="str">
        <f t="shared" si="12"/>
        <v/>
      </c>
    </row>
    <row r="43" spans="2:27" x14ac:dyDescent="0.25">
      <c r="B43" s="95" t="str">
        <f t="shared" si="3"/>
        <v/>
      </c>
      <c r="C43" t="str">
        <f t="shared" ref="C43:C45" si="13">IF(ISBLANK(AE43),"",AE43)</f>
        <v/>
      </c>
      <c r="D43" t="str">
        <f t="shared" si="8"/>
        <v/>
      </c>
    </row>
    <row r="44" spans="2:27" x14ac:dyDescent="0.25">
      <c r="B44" s="95" t="str">
        <f t="shared" si="3"/>
        <v/>
      </c>
      <c r="C44" t="str">
        <f t="shared" si="13"/>
        <v/>
      </c>
      <c r="D44" t="str">
        <f t="shared" si="8"/>
        <v/>
      </c>
    </row>
    <row r="45" spans="2:27" x14ac:dyDescent="0.25">
      <c r="B45" s="95" t="str">
        <f t="shared" si="3"/>
        <v/>
      </c>
      <c r="C45" t="str">
        <f t="shared" si="13"/>
        <v/>
      </c>
      <c r="D45" t="str">
        <f t="shared" si="8"/>
        <v/>
      </c>
    </row>
  </sheetData>
  <conditionalFormatting sqref="H7:L15 E6:L6 E7:G42 C6:C42">
    <cfRule type="cellIs" dxfId="134" priority="16" operator="equal">
      <formula>NaN</formula>
    </cfRule>
  </conditionalFormatting>
  <conditionalFormatting sqref="B6:C6 B7:B45 C7:C42">
    <cfRule type="cellIs" dxfId="133" priority="15" operator="between">
      <formula>-0.000000000001</formula>
      <formula>0.000000000001</formula>
    </cfRule>
  </conditionalFormatting>
  <conditionalFormatting sqref="D6:D42">
    <cfRule type="colorScale" priority="14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H6:I21">
    <cfRule type="expression" dxfId="132" priority="11">
      <formula>OR($E6="Fuel",$G6="Aktiv")</formula>
    </cfRule>
  </conditionalFormatting>
  <conditionalFormatting sqref="C6:C42">
    <cfRule type="cellIs" dxfId="131" priority="10" operator="greaterThan">
      <formula>0.5</formula>
    </cfRule>
  </conditionalFormatting>
  <conditionalFormatting sqref="AE6:AE17">
    <cfRule type="cellIs" dxfId="130" priority="9" operator="equal">
      <formula>NaN</formula>
    </cfRule>
  </conditionalFormatting>
  <conditionalFormatting sqref="AE6:AE42">
    <cfRule type="cellIs" dxfId="129" priority="8" operator="lessThan">
      <formula>0.000000000001</formula>
    </cfRule>
  </conditionalFormatting>
  <conditionalFormatting sqref="AE6:AE42">
    <cfRule type="cellIs" dxfId="128" priority="7" operator="greaterThan">
      <formula>0.5</formula>
    </cfRule>
  </conditionalFormatting>
  <conditionalFormatting sqref="AG6:AG42">
    <cfRule type="colorScale" priority="6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H6:AH42">
    <cfRule type="colorScale" priority="5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I6:AI42">
    <cfRule type="colorScale" priority="4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J6:AJ42">
    <cfRule type="colorScale" priority="3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K6:AK42">
    <cfRule type="colorScale" priority="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F6:AF42">
    <cfRule type="colorScale" priority="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6EDFFFEC-469A-4C9F-B421-772A19AA764A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ScenInput!P6:AA6</xm:f>
              <xm:sqref>N6</xm:sqref>
            </x14:sparkline>
            <x14:sparkline>
              <xm:f>ScenInput!P7:AA7</xm:f>
              <xm:sqref>N7</xm:sqref>
            </x14:sparkline>
            <x14:sparkline>
              <xm:f>ScenInput!P8:AA8</xm:f>
              <xm:sqref>N8</xm:sqref>
            </x14:sparkline>
            <x14:sparkline>
              <xm:f>ScenInput!P9:AA9</xm:f>
              <xm:sqref>N9</xm:sqref>
            </x14:sparkline>
            <x14:sparkline>
              <xm:f>ScenInput!P10:AA10</xm:f>
              <xm:sqref>N10</xm:sqref>
            </x14:sparkline>
            <x14:sparkline>
              <xm:f>ScenInput!P11:AA11</xm:f>
              <xm:sqref>N11</xm:sqref>
            </x14:sparkline>
            <x14:sparkline>
              <xm:f>ScenInput!P12:AA12</xm:f>
              <xm:sqref>N12</xm:sqref>
            </x14:sparkline>
            <x14:sparkline>
              <xm:f>ScenInput!P13:AA13</xm:f>
              <xm:sqref>N13</xm:sqref>
            </x14:sparkline>
            <x14:sparkline>
              <xm:f>ScenInput!P14:AA14</xm:f>
              <xm:sqref>N14</xm:sqref>
            </x14:sparkline>
            <x14:sparkline>
              <xm:f>ScenInput!P15:AA15</xm:f>
              <xm:sqref>N15</xm:sqref>
            </x14:sparkline>
            <x14:sparkline>
              <xm:f>ScenInput!P16:AA16</xm:f>
              <xm:sqref>N16</xm:sqref>
            </x14:sparkline>
            <x14:sparkline>
              <xm:f>ScenInput!P17:AA17</xm:f>
              <xm:sqref>N17</xm:sqref>
            </x14:sparkline>
            <x14:sparkline>
              <xm:f>ScenInput!P18:AA18</xm:f>
              <xm:sqref>N18</xm:sqref>
            </x14:sparkline>
            <x14:sparkline>
              <xm:f>ScenInput!P19:AA19</xm:f>
              <xm:sqref>N19</xm:sqref>
            </x14:sparkline>
            <x14:sparkline>
              <xm:f>ScenInput!P20:AA20</xm:f>
              <xm:sqref>N20</xm:sqref>
            </x14:sparkline>
            <x14:sparkline>
              <xm:f>ScenInput!P21:AA21</xm:f>
              <xm:sqref>N21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4745-1B14-41C3-9396-BB0150FBA63C}">
  <sheetPr>
    <tabColor theme="4"/>
  </sheetPr>
  <dimension ref="A1:AB202"/>
  <sheetViews>
    <sheetView tabSelected="1" zoomScale="85" zoomScaleNormal="85" workbookViewId="0">
      <pane xSplit="3" ySplit="3" topLeftCell="D4" activePane="bottomRight" state="frozen"/>
      <selection pane="topRight" activeCell="D1" sqref="D1"/>
      <selection pane="bottomLeft" activeCell="A6" sqref="A6"/>
      <selection pane="bottomRight" activeCell="A15" sqref="A15"/>
    </sheetView>
  </sheetViews>
  <sheetFormatPr defaultRowHeight="15" outlineLevelRow="1" outlineLevelCol="1" x14ac:dyDescent="0.25"/>
  <cols>
    <col min="1" max="1" width="41.28515625" bestFit="1" customWidth="1"/>
    <col min="2" max="2" width="13.85546875" style="5" bestFit="1" customWidth="1"/>
    <col min="3" max="3" width="34.140625" bestFit="1" customWidth="1"/>
    <col min="4" max="27" width="10.7109375" customWidth="1" outlineLevel="1"/>
    <col min="28" max="29" width="9.7109375" customWidth="1"/>
  </cols>
  <sheetData>
    <row r="1" spans="1:27" x14ac:dyDescent="0.25">
      <c r="A1" s="1" t="s">
        <v>0</v>
      </c>
      <c r="B1" s="46">
        <v>0</v>
      </c>
      <c r="C1" s="60">
        <v>44594.404861238429</v>
      </c>
      <c r="D1" s="39"/>
      <c r="E1" s="40"/>
      <c r="F1" s="40"/>
      <c r="G1" s="41"/>
      <c r="H1" s="41"/>
      <c r="I1" s="41"/>
      <c r="J1" s="45" t="str">
        <f>IF($B$1&gt;0,"Virtuelle ressourcer er blevet brugt","")</f>
        <v/>
      </c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</row>
    <row r="2" spans="1:27" s="36" customFormat="1" x14ac:dyDescent="0.25">
      <c r="A2" s="2" t="s">
        <v>1</v>
      </c>
      <c r="B2" s="3">
        <v>44197</v>
      </c>
      <c r="C2" s="4">
        <v>44197</v>
      </c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</row>
    <row r="3" spans="1:27" x14ac:dyDescent="0.25">
      <c r="D3" s="37"/>
    </row>
    <row r="4" spans="1:27" s="20" customFormat="1" ht="18.75" x14ac:dyDescent="0.3">
      <c r="A4" s="75"/>
      <c r="B4" s="33" t="s">
        <v>3</v>
      </c>
      <c r="C4" s="33" t="s">
        <v>88</v>
      </c>
      <c r="D4" s="32" t="s">
        <v>209</v>
      </c>
      <c r="E4" s="32" t="s">
        <v>74</v>
      </c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</row>
    <row r="5" spans="1:27" outlineLevel="1" x14ac:dyDescent="0.25">
      <c r="A5" s="76"/>
      <c r="B5" s="12"/>
      <c r="C5" s="9" t="s">
        <v>0</v>
      </c>
      <c r="D5" s="38">
        <v>0.40478019676083932</v>
      </c>
      <c r="E5" s="38">
        <v>0.40482728009374114</v>
      </c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</row>
    <row r="6" spans="1:27" outlineLevel="1" x14ac:dyDescent="0.25">
      <c r="A6" s="76" t="str">
        <f t="shared" ref="A6:A48" si="0">IF(B6="Enhed",C6,IF(NOT(ISBLANK(C6)),$C$4&amp;"."&amp;C6,""))</f>
        <v>Nøgletal.FJV-behov</v>
      </c>
      <c r="B6" s="8" t="s">
        <v>4</v>
      </c>
      <c r="C6" s="9" t="s">
        <v>5</v>
      </c>
      <c r="D6" s="7">
        <v>35300</v>
      </c>
      <c r="E6" s="7">
        <v>35300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outlineLevel="1" x14ac:dyDescent="0.25">
      <c r="A7" s="76" t="str">
        <f t="shared" si="0"/>
        <v>Nøgletal.Total-NPV</v>
      </c>
      <c r="B7" s="12" t="s">
        <v>2</v>
      </c>
      <c r="C7" s="9" t="s">
        <v>79</v>
      </c>
      <c r="D7" s="11">
        <v>-3252740.1017176397</v>
      </c>
      <c r="E7" s="11">
        <v>-1381409.6971976487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outlineLevel="1" x14ac:dyDescent="0.25">
      <c r="A8" s="61" t="str">
        <f t="shared" si="0"/>
        <v>Nøgletal.Total-Var-Varmeproduktions-Omk</v>
      </c>
      <c r="B8" s="8" t="s">
        <v>6</v>
      </c>
      <c r="C8" s="9" t="s">
        <v>80</v>
      </c>
      <c r="D8" s="10">
        <v>90.564875402766049</v>
      </c>
      <c r="E8" s="10">
        <v>37.552682640160043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</row>
    <row r="9" spans="1:27" outlineLevel="1" x14ac:dyDescent="0.25">
      <c r="A9" s="64" t="str">
        <f t="shared" si="0"/>
        <v>Nøgletal.REFA-NPV</v>
      </c>
      <c r="B9" s="12" t="s">
        <v>2</v>
      </c>
      <c r="C9" s="13" t="s">
        <v>81</v>
      </c>
      <c r="D9" s="11">
        <v>-2496740.1017176397</v>
      </c>
      <c r="E9" s="11">
        <v>-625409.6971976487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</row>
    <row r="10" spans="1:27" outlineLevel="1" x14ac:dyDescent="0.25">
      <c r="A10" s="61" t="str">
        <f t="shared" si="0"/>
        <v>Nøgletal.REFA-Var-Varmeproduktions-Omk</v>
      </c>
      <c r="B10" s="8" t="s">
        <v>6</v>
      </c>
      <c r="C10" s="13" t="s">
        <v>82</v>
      </c>
      <c r="D10" s="10">
        <v>77.98530676414191</v>
      </c>
      <c r="E10" s="10">
        <v>18.198392881714046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</row>
    <row r="11" spans="1:27" s="59" customFormat="1" outlineLevel="1" x14ac:dyDescent="0.25">
      <c r="A11" s="65" t="str">
        <f t="shared" si="0"/>
        <v>Nøgletal.REFA-Daekningsbidrag</v>
      </c>
      <c r="B11" s="57" t="s">
        <v>2</v>
      </c>
      <c r="C11" s="58" t="s">
        <v>7</v>
      </c>
      <c r="D11" s="56">
        <v>-2440940.1017176416</v>
      </c>
      <c r="E11" s="56">
        <v>-569609.69719764963</v>
      </c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</row>
    <row r="12" spans="1:27" outlineLevel="1" x14ac:dyDescent="0.25">
      <c r="A12" s="66" t="str">
        <f t="shared" si="0"/>
        <v>Nøgletal.REFA-Total-Var-Indkomst</v>
      </c>
      <c r="B12" s="12" t="s">
        <v>2</v>
      </c>
      <c r="C12" s="14" t="s">
        <v>8</v>
      </c>
      <c r="D12" s="11">
        <v>7018175.6688673533</v>
      </c>
      <c r="E12" s="11">
        <v>7050412.8298098529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</row>
    <row r="13" spans="1:27" outlineLevel="1" x14ac:dyDescent="0.25">
      <c r="A13" s="67" t="str">
        <f t="shared" si="0"/>
        <v>Nøgletal.REFA-Affald-Modtagelse</v>
      </c>
      <c r="B13" s="12" t="s">
        <v>2</v>
      </c>
      <c r="C13" s="15" t="s">
        <v>9</v>
      </c>
      <c r="D13" s="11">
        <v>5341120.3699155627</v>
      </c>
      <c r="E13" s="11">
        <v>5341120.3699155627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</row>
    <row r="14" spans="1:27" outlineLevel="1" x14ac:dyDescent="0.25">
      <c r="A14" s="67" t="str">
        <f t="shared" si="0"/>
        <v>Nøgletal.REFA-RGK-Rabat</v>
      </c>
      <c r="B14" s="12" t="s">
        <v>2</v>
      </c>
      <c r="C14" s="15" t="s">
        <v>10</v>
      </c>
      <c r="D14" s="11">
        <v>247726.75271195319</v>
      </c>
      <c r="E14" s="11">
        <v>247726.75271195319</v>
      </c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</row>
    <row r="15" spans="1:27" outlineLevel="1" x14ac:dyDescent="0.25">
      <c r="A15" s="67" t="str">
        <f t="shared" si="0"/>
        <v>Nøgletal.REFA-Elsalg</v>
      </c>
      <c r="B15" s="12" t="s">
        <v>2</v>
      </c>
      <c r="C15" s="15" t="s">
        <v>11</v>
      </c>
      <c r="D15" s="11">
        <v>1429328.5462398368</v>
      </c>
      <c r="E15" s="11">
        <v>1461565.7071823368</v>
      </c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</row>
    <row r="16" spans="1:27" outlineLevel="1" x14ac:dyDescent="0.25">
      <c r="A16" s="67" t="str">
        <f t="shared" si="0"/>
        <v>Nøgletal.REFA-Varmesalg</v>
      </c>
      <c r="B16" s="12" t="s">
        <v>2</v>
      </c>
      <c r="C16" s="15" t="s">
        <v>83</v>
      </c>
      <c r="D16" s="11">
        <v>1E-14</v>
      </c>
      <c r="E16" s="11">
        <v>1E-14</v>
      </c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</row>
    <row r="17" spans="1:27" outlineLevel="1" x14ac:dyDescent="0.25">
      <c r="A17" s="66" t="str">
        <f t="shared" si="0"/>
        <v>Nøgletal.REFA-Total-Var-Omkostning</v>
      </c>
      <c r="B17" s="12" t="s">
        <v>2</v>
      </c>
      <c r="C17" s="14" t="s">
        <v>12</v>
      </c>
      <c r="D17" s="11">
        <v>9459115.7705849949</v>
      </c>
      <c r="E17" s="11">
        <v>7620022.5270075025</v>
      </c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</row>
    <row r="18" spans="1:27" outlineLevel="1" x14ac:dyDescent="0.25">
      <c r="A18" s="67" t="str">
        <f t="shared" si="0"/>
        <v>Nøgletal.REFA-AnlaegsVarOmk</v>
      </c>
      <c r="B18" s="12" t="s">
        <v>2</v>
      </c>
      <c r="C18" s="15" t="s">
        <v>13</v>
      </c>
      <c r="D18" s="11">
        <v>1346080.03</v>
      </c>
      <c r="E18" s="11">
        <v>1346080.03</v>
      </c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</row>
    <row r="19" spans="1:27" outlineLevel="1" x14ac:dyDescent="0.25">
      <c r="A19" s="67" t="str">
        <f t="shared" si="0"/>
        <v>Nøgletal.REFA-BraendselOmk</v>
      </c>
      <c r="B19" s="12" t="s">
        <v>2</v>
      </c>
      <c r="C19" s="15" t="s">
        <v>14</v>
      </c>
      <c r="D19" s="11">
        <v>404894.11764705874</v>
      </c>
      <c r="E19" s="11">
        <v>404894.11764705874</v>
      </c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</row>
    <row r="20" spans="1:27" outlineLevel="1" x14ac:dyDescent="0.25">
      <c r="A20" s="67" t="str">
        <f t="shared" si="0"/>
        <v>Nøgletal.REFA-Afgifter</v>
      </c>
      <c r="B20" s="12" t="s">
        <v>2</v>
      </c>
      <c r="C20" s="15" t="s">
        <v>15</v>
      </c>
      <c r="D20" s="11">
        <v>5860027.6890179422</v>
      </c>
      <c r="E20" s="11">
        <v>5860027.6890179422</v>
      </c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</row>
    <row r="21" spans="1:27" outlineLevel="1" x14ac:dyDescent="0.25">
      <c r="A21" s="67" t="str">
        <f t="shared" si="0"/>
        <v>Nøgletal.REFA-CO2-Kvoteomk</v>
      </c>
      <c r="B21" s="12" t="s">
        <v>2</v>
      </c>
      <c r="C21" s="15" t="s">
        <v>16</v>
      </c>
      <c r="D21" s="11">
        <v>1848113.9339199937</v>
      </c>
      <c r="E21" s="11">
        <v>9020.6903425014934</v>
      </c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</row>
    <row r="22" spans="1:27" outlineLevel="1" x14ac:dyDescent="0.25">
      <c r="A22" s="67" t="str">
        <f t="shared" si="0"/>
        <v>Nøgletal.REFA-Lageromkostning</v>
      </c>
      <c r="B22" s="12" t="s">
        <v>2</v>
      </c>
      <c r="C22" s="15" t="s">
        <v>17</v>
      </c>
      <c r="D22" s="11">
        <v>1E-14</v>
      </c>
      <c r="E22" s="11">
        <v>1E-14</v>
      </c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</row>
    <row r="23" spans="1:27" outlineLevel="1" x14ac:dyDescent="0.25">
      <c r="A23" s="68" t="str">
        <f t="shared" si="0"/>
        <v>Nøgletal.REFA-CO2-Emission-Afgift</v>
      </c>
      <c r="B23" s="8" t="s">
        <v>18</v>
      </c>
      <c r="C23" s="13" t="s">
        <v>19</v>
      </c>
      <c r="D23" s="16">
        <v>4510.3451712507467</v>
      </c>
      <c r="E23" s="16">
        <v>4510.3451712507467</v>
      </c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</row>
    <row r="24" spans="1:27" outlineLevel="1" x14ac:dyDescent="0.25">
      <c r="A24" s="68" t="str">
        <f t="shared" si="0"/>
        <v>Nøgletal.REFA-CO2-Emission-Kvote</v>
      </c>
      <c r="B24" s="8" t="s">
        <v>18</v>
      </c>
      <c r="C24" s="13" t="s">
        <v>20</v>
      </c>
      <c r="D24" s="16">
        <v>4510.3451712507467</v>
      </c>
      <c r="E24" s="16">
        <v>4510.3451712507467</v>
      </c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</row>
    <row r="25" spans="1:27" outlineLevel="1" x14ac:dyDescent="0.25">
      <c r="A25" s="68" t="str">
        <f t="shared" si="0"/>
        <v>Nøgletal.REFA-El-produktion-Brutto</v>
      </c>
      <c r="B25" s="8" t="s">
        <v>21</v>
      </c>
      <c r="C25" s="13" t="s">
        <v>22</v>
      </c>
      <c r="D25" s="16">
        <v>4593.292682926829</v>
      </c>
      <c r="E25" s="16">
        <v>4593.292682926829</v>
      </c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</row>
    <row r="26" spans="1:27" outlineLevel="1" x14ac:dyDescent="0.25">
      <c r="A26" s="68" t="str">
        <f t="shared" si="0"/>
        <v>Nøgletal.REFA-El-produktion-Netto</v>
      </c>
      <c r="B26" s="8" t="s">
        <v>21</v>
      </c>
      <c r="C26" s="13" t="s">
        <v>23</v>
      </c>
      <c r="D26" s="16">
        <v>3818.292682926829</v>
      </c>
      <c r="E26" s="16">
        <v>3904.4106829268289</v>
      </c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</row>
    <row r="27" spans="1:27" outlineLevel="1" x14ac:dyDescent="0.25">
      <c r="A27" s="69" t="str">
        <f t="shared" si="0"/>
        <v>Nøgletal.REFA-Total-Affald-Raadighed</v>
      </c>
      <c r="B27" s="8" t="s">
        <v>18</v>
      </c>
      <c r="C27" s="14" t="s">
        <v>24</v>
      </c>
      <c r="D27" s="7">
        <v>44894.333333333328</v>
      </c>
      <c r="E27" s="7">
        <v>44894.333333333328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outlineLevel="1" x14ac:dyDescent="0.25">
      <c r="A28" s="68" t="str">
        <f t="shared" si="0"/>
        <v>Nøgletal.REFA-Affald-anvendt</v>
      </c>
      <c r="B28" s="8" t="s">
        <v>18</v>
      </c>
      <c r="C28" s="15" t="s">
        <v>25</v>
      </c>
      <c r="D28" s="7">
        <v>11972.02858568474</v>
      </c>
      <c r="E28" s="7">
        <v>11972.02858568474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outlineLevel="1" x14ac:dyDescent="0.25">
      <c r="A29" s="68" t="str">
        <f t="shared" si="0"/>
        <v>Nøgletal.REFA-Affald-Uudnyttet</v>
      </c>
      <c r="B29" s="8" t="s">
        <v>18</v>
      </c>
      <c r="C29" s="15" t="s">
        <v>26</v>
      </c>
      <c r="D29" s="7">
        <v>1E-14</v>
      </c>
      <c r="E29" s="7">
        <v>1E-14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outlineLevel="1" x14ac:dyDescent="0.25">
      <c r="A30" s="68" t="str">
        <f t="shared" si="0"/>
        <v>Nøgletal.REFA-Affald-Lagret</v>
      </c>
      <c r="B30" s="8" t="s">
        <v>18</v>
      </c>
      <c r="C30" s="15" t="s">
        <v>27</v>
      </c>
      <c r="D30" s="7">
        <v>1E-14</v>
      </c>
      <c r="E30" s="7">
        <v>1E-14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outlineLevel="1" x14ac:dyDescent="0.25">
      <c r="A31" s="69" t="str">
        <f t="shared" si="0"/>
        <v>Nøgletal.REFA-Total-Varme-Produktion</v>
      </c>
      <c r="B31" s="8" t="s">
        <v>4</v>
      </c>
      <c r="C31" s="14" t="s">
        <v>28</v>
      </c>
      <c r="D31" s="7">
        <v>31300</v>
      </c>
      <c r="E31" s="7">
        <v>31300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outlineLevel="1" x14ac:dyDescent="0.25">
      <c r="A32" s="68" t="str">
        <f t="shared" si="0"/>
        <v>Nøgletal.REFA-Leveret-Varme</v>
      </c>
      <c r="B32" s="8" t="s">
        <v>4</v>
      </c>
      <c r="C32" s="15" t="s">
        <v>76</v>
      </c>
      <c r="D32" s="7">
        <v>31300</v>
      </c>
      <c r="E32" s="7">
        <v>31300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8" outlineLevel="1" x14ac:dyDescent="0.25">
      <c r="A33" s="68" t="str">
        <f t="shared" si="0"/>
        <v>Nøgletal.REFA-Modtryk-Varme</v>
      </c>
      <c r="B33" s="8" t="s">
        <v>4</v>
      </c>
      <c r="C33" s="15" t="s">
        <v>29</v>
      </c>
      <c r="D33" s="7">
        <v>23808</v>
      </c>
      <c r="E33" s="7">
        <v>23808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8" outlineLevel="1" x14ac:dyDescent="0.25">
      <c r="A34" s="68" t="str">
        <f t="shared" si="0"/>
        <v>Nøgletal.REFA-Bypass-Varme</v>
      </c>
      <c r="B34" s="8" t="s">
        <v>4</v>
      </c>
      <c r="C34" s="15" t="s">
        <v>30</v>
      </c>
      <c r="D34" s="7">
        <v>1E-14</v>
      </c>
      <c r="E34" s="7">
        <v>1E-14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8" outlineLevel="1" x14ac:dyDescent="0.25">
      <c r="A35" s="68" t="str">
        <f t="shared" si="0"/>
        <v>Nøgletal.REFA-RGK-Varme</v>
      </c>
      <c r="B35" s="8" t="s">
        <v>4</v>
      </c>
      <c r="C35" s="15" t="s">
        <v>31</v>
      </c>
      <c r="D35" s="7">
        <v>5580</v>
      </c>
      <c r="E35" s="7">
        <v>5580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8" outlineLevel="1" x14ac:dyDescent="0.25">
      <c r="A36" s="68" t="str">
        <f t="shared" si="0"/>
        <v>Nøgletal.REFA-Bortkoelet-Varme</v>
      </c>
      <c r="B36" s="8" t="s">
        <v>4</v>
      </c>
      <c r="C36" s="15" t="s">
        <v>32</v>
      </c>
      <c r="D36" s="7">
        <v>1E-14</v>
      </c>
      <c r="E36" s="7">
        <v>1E-14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8" outlineLevel="1" x14ac:dyDescent="0.25">
      <c r="A37" s="69" t="str">
        <f t="shared" si="0"/>
        <v>Nøgletal.GSF-Total-Var-Omkostning</v>
      </c>
      <c r="B37" s="12" t="s">
        <v>2</v>
      </c>
      <c r="C37" s="21" t="s">
        <v>33</v>
      </c>
      <c r="D37" s="11">
        <v>756000</v>
      </c>
      <c r="E37" s="11">
        <v>756000</v>
      </c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</row>
    <row r="38" spans="1:28" outlineLevel="1" x14ac:dyDescent="0.25">
      <c r="A38" s="66" t="str">
        <f t="shared" si="0"/>
        <v>Nøgletal.GSF-AnlaegsVarOmk</v>
      </c>
      <c r="B38" s="12" t="s">
        <v>2</v>
      </c>
      <c r="C38" s="34" t="s">
        <v>34</v>
      </c>
      <c r="D38" s="11">
        <v>1E-14</v>
      </c>
      <c r="E38" s="11">
        <v>1E-14</v>
      </c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</row>
    <row r="39" spans="1:28" outlineLevel="1" x14ac:dyDescent="0.25">
      <c r="A39" s="67" t="str">
        <f t="shared" si="0"/>
        <v>Nøgletal.GSF-BraendselOmk</v>
      </c>
      <c r="B39" s="12" t="s">
        <v>2</v>
      </c>
      <c r="C39" s="17" t="s">
        <v>35</v>
      </c>
      <c r="D39" s="11">
        <v>756000</v>
      </c>
      <c r="E39" s="11">
        <v>756000</v>
      </c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</row>
    <row r="40" spans="1:28" outlineLevel="1" x14ac:dyDescent="0.25">
      <c r="A40" s="67" t="str">
        <f t="shared" si="0"/>
        <v>Nøgletal.GSF-Afgifter</v>
      </c>
      <c r="B40" s="12" t="s">
        <v>2</v>
      </c>
      <c r="C40" s="17" t="s">
        <v>36</v>
      </c>
      <c r="D40" s="11">
        <v>1E-14</v>
      </c>
      <c r="E40" s="11">
        <v>1E-14</v>
      </c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</row>
    <row r="41" spans="1:28" outlineLevel="1" x14ac:dyDescent="0.25">
      <c r="A41" s="68" t="str">
        <f t="shared" si="0"/>
        <v>Nøgletal.GSF-CO2-Emission</v>
      </c>
      <c r="B41" s="8" t="s">
        <v>18</v>
      </c>
      <c r="C41" s="17" t="s">
        <v>37</v>
      </c>
      <c r="D41" s="11">
        <v>1E-14</v>
      </c>
      <c r="E41" s="11">
        <v>1E-14</v>
      </c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</row>
    <row r="42" spans="1:28" outlineLevel="1" x14ac:dyDescent="0.25">
      <c r="A42" s="68" t="str">
        <f t="shared" si="0"/>
        <v>Nøgletal.GSF-Total-Varme-Produktion</v>
      </c>
      <c r="B42" s="8" t="s">
        <v>4</v>
      </c>
      <c r="C42" s="18" t="s">
        <v>38</v>
      </c>
      <c r="D42" s="16">
        <v>1E-14</v>
      </c>
      <c r="E42" s="16">
        <v>1E-14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</row>
    <row r="43" spans="1:28" outlineLevel="1" x14ac:dyDescent="0.25">
      <c r="A43" s="68" t="str">
        <f t="shared" si="0"/>
        <v>Nøgletal.NS-Total-Varme-Produktion</v>
      </c>
      <c r="B43" s="8" t="s">
        <v>4</v>
      </c>
      <c r="C43" s="35" t="s">
        <v>75</v>
      </c>
      <c r="D43" s="16">
        <v>4000</v>
      </c>
      <c r="E43" s="16">
        <v>4000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</row>
    <row r="44" spans="1:28" s="44" customFormat="1" outlineLevel="1" x14ac:dyDescent="0.25">
      <c r="A44" s="70" t="str">
        <f t="shared" si="0"/>
        <v>Nøgletal.Virtuel-Varme-Kilde</v>
      </c>
      <c r="B44" s="43" t="s">
        <v>4</v>
      </c>
      <c r="C44" s="47" t="s">
        <v>77</v>
      </c>
      <c r="D44" s="42">
        <v>1E-14</v>
      </c>
      <c r="E44" s="42">
        <v>1E-14</v>
      </c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8" outlineLevel="1" x14ac:dyDescent="0.25">
      <c r="A45" s="68" t="str">
        <f t="shared" si="0"/>
        <v>Nøgletal.Virtuel-Varme-Draen</v>
      </c>
      <c r="B45" s="8" t="s">
        <v>4</v>
      </c>
      <c r="C45" s="48" t="s">
        <v>84</v>
      </c>
      <c r="D45" s="16">
        <v>1E-14</v>
      </c>
      <c r="E45" s="16">
        <v>1E-14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</row>
    <row r="46" spans="1:28" outlineLevel="1" x14ac:dyDescent="0.25">
      <c r="A46" s="68" t="str">
        <f t="shared" si="0"/>
        <v>Nøgletal.Virtuel-Affaldstonnage-Kilde</v>
      </c>
      <c r="B46" s="8" t="s">
        <v>18</v>
      </c>
      <c r="C46" s="48" t="s">
        <v>78</v>
      </c>
      <c r="D46" s="16">
        <v>1E-14</v>
      </c>
      <c r="E46" s="16">
        <v>1E-14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</row>
    <row r="47" spans="1:28" outlineLevel="1" x14ac:dyDescent="0.25">
      <c r="A47" s="68" t="str">
        <f t="shared" si="0"/>
        <v>Nøgletal.Virtuel-Affaldstonnage-Draen</v>
      </c>
      <c r="B47" s="8" t="s">
        <v>18</v>
      </c>
      <c r="C47" s="48" t="s">
        <v>85</v>
      </c>
      <c r="D47" s="16">
        <v>1E-14</v>
      </c>
      <c r="E47" s="16">
        <v>1E-14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</row>
    <row r="48" spans="1:28" s="6" customFormat="1" ht="18.75" x14ac:dyDescent="0.3">
      <c r="A48" s="62" t="str">
        <f t="shared" si="0"/>
        <v/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7" s="20" customFormat="1" ht="18.75" x14ac:dyDescent="0.3">
      <c r="A49" s="63"/>
      <c r="B49" s="33" t="s">
        <v>3</v>
      </c>
      <c r="C49" s="33" t="s">
        <v>210</v>
      </c>
      <c r="D49" s="32" t="s">
        <v>209</v>
      </c>
      <c r="E49" s="32" t="s">
        <v>74</v>
      </c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</row>
    <row r="50" spans="1:27" outlineLevel="1" x14ac:dyDescent="0.25">
      <c r="A50" s="67" t="str">
        <f>IF(NOT(ISBLANK(C50)),$C$49&amp;"."&amp;C50,"")</f>
        <v>Varmemålinder.Ovn2</v>
      </c>
      <c r="B50" s="8" t="s">
        <v>4</v>
      </c>
      <c r="C50" s="23" t="s">
        <v>39</v>
      </c>
      <c r="D50" s="22">
        <v>8556</v>
      </c>
      <c r="E50" s="22">
        <v>8556</v>
      </c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</row>
    <row r="51" spans="1:27" outlineLevel="1" x14ac:dyDescent="0.25">
      <c r="A51" s="67" t="str">
        <f t="shared" ref="A51:A56" si="1">IF(NOT(ISBLANK(C51)),$C$49&amp;"."&amp;C51,"")</f>
        <v>Varmemålinder.Ovn3</v>
      </c>
      <c r="B51" s="8" t="s">
        <v>4</v>
      </c>
      <c r="C51" s="23" t="s">
        <v>40</v>
      </c>
      <c r="D51" s="22">
        <v>20832</v>
      </c>
      <c r="E51" s="22">
        <v>20832</v>
      </c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</row>
    <row r="52" spans="1:27" outlineLevel="1" x14ac:dyDescent="0.25">
      <c r="A52" s="68" t="str">
        <f t="shared" si="1"/>
        <v>Varmemålinder.FlisK</v>
      </c>
      <c r="B52" s="8" t="s">
        <v>4</v>
      </c>
      <c r="C52" s="23" t="s">
        <v>41</v>
      </c>
      <c r="D52" s="22">
        <v>1912</v>
      </c>
      <c r="E52" s="22">
        <v>1912</v>
      </c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</row>
    <row r="53" spans="1:27" outlineLevel="1" x14ac:dyDescent="0.25">
      <c r="A53" s="68" t="str">
        <f t="shared" si="1"/>
        <v>Varmemålinder.NS</v>
      </c>
      <c r="B53" s="8" t="s">
        <v>4</v>
      </c>
      <c r="C53" s="23" t="s">
        <v>42</v>
      </c>
      <c r="D53" s="49">
        <v>4000</v>
      </c>
      <c r="E53" s="22">
        <v>4000</v>
      </c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</row>
    <row r="54" spans="1:27" outlineLevel="1" x14ac:dyDescent="0.25">
      <c r="A54" s="68" t="str">
        <f t="shared" si="1"/>
        <v>Varmemålinder.Cooler</v>
      </c>
      <c r="B54" s="8" t="s">
        <v>4</v>
      </c>
      <c r="C54" s="23" t="s">
        <v>43</v>
      </c>
      <c r="D54" s="22">
        <v>-1E-14</v>
      </c>
      <c r="E54" s="22">
        <v>-1E-14</v>
      </c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</row>
    <row r="55" spans="1:27" outlineLevel="1" x14ac:dyDescent="0.25">
      <c r="A55" s="68" t="str">
        <f t="shared" si="1"/>
        <v>Varmemålinder.PeakK</v>
      </c>
      <c r="B55" s="8" t="s">
        <v>4</v>
      </c>
      <c r="C55" s="23" t="s">
        <v>44</v>
      </c>
      <c r="D55" s="22">
        <v>1E-14</v>
      </c>
      <c r="E55" s="22">
        <v>1E-14</v>
      </c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</row>
    <row r="56" spans="1:27" outlineLevel="1" x14ac:dyDescent="0.25">
      <c r="A56" s="71" t="str">
        <f t="shared" si="1"/>
        <v/>
      </c>
      <c r="B56" s="25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</row>
    <row r="57" spans="1:27" s="20" customFormat="1" ht="18.75" x14ac:dyDescent="0.3">
      <c r="A57" s="63"/>
      <c r="B57" s="33" t="s">
        <v>3</v>
      </c>
      <c r="C57" s="33" t="s">
        <v>211</v>
      </c>
      <c r="D57" s="32" t="s">
        <v>209</v>
      </c>
      <c r="E57" s="32" t="s">
        <v>74</v>
      </c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</row>
    <row r="58" spans="1:27" outlineLevel="1" x14ac:dyDescent="0.25">
      <c r="A58" s="67" t="str">
        <f>IF(NOT(ISBLANK(C58)),$C$57&amp;"."&amp;C58,"")</f>
        <v>Brændselsforbrug.DepoSort</v>
      </c>
      <c r="B58" s="28" t="s">
        <v>18</v>
      </c>
      <c r="C58" s="29" t="s">
        <v>45</v>
      </c>
      <c r="D58" s="50">
        <v>757.75075774999993</v>
      </c>
      <c r="E58" s="50">
        <v>757.75075774999993</v>
      </c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</row>
    <row r="59" spans="1:27" outlineLevel="1" x14ac:dyDescent="0.25">
      <c r="A59" s="72" t="str">
        <f t="shared" ref="A59:A88" si="2">IF(NOT(ISBLANK(C59)),$C$57&amp;"."&amp;C59,"")</f>
        <v>Brændselsforbrug.DepoSmaat</v>
      </c>
      <c r="B59" s="28" t="s">
        <v>18</v>
      </c>
      <c r="C59" s="29" t="s">
        <v>46</v>
      </c>
      <c r="D59" s="50">
        <v>-1E-14</v>
      </c>
      <c r="E59" s="50">
        <v>-1E-14</v>
      </c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</row>
    <row r="60" spans="1:27" outlineLevel="1" x14ac:dyDescent="0.25">
      <c r="A60" s="72" t="str">
        <f t="shared" si="2"/>
        <v>Brændselsforbrug.DepoNedd</v>
      </c>
      <c r="B60" s="28" t="s">
        <v>18</v>
      </c>
      <c r="C60" s="29" t="s">
        <v>47</v>
      </c>
      <c r="D60" s="50">
        <v>-1E-14</v>
      </c>
      <c r="E60" s="50">
        <v>-1E-14</v>
      </c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</row>
    <row r="61" spans="1:27" outlineLevel="1" x14ac:dyDescent="0.25">
      <c r="A61" s="72" t="str">
        <f t="shared" si="2"/>
        <v>Brændselsforbrug.Dagren</v>
      </c>
      <c r="B61" s="28" t="s">
        <v>18</v>
      </c>
      <c r="C61" s="29" t="s">
        <v>48</v>
      </c>
      <c r="D61" s="50">
        <v>2405.75240575</v>
      </c>
      <c r="E61" s="50">
        <v>2405.75240575</v>
      </c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</row>
    <row r="62" spans="1:27" outlineLevel="1" x14ac:dyDescent="0.25">
      <c r="A62" s="72" t="str">
        <f t="shared" si="2"/>
        <v>Brændselsforbrug.AndetBrand</v>
      </c>
      <c r="B62" s="28" t="s">
        <v>18</v>
      </c>
      <c r="C62" s="29" t="s">
        <v>49</v>
      </c>
      <c r="D62" s="50">
        <v>291.66695833333335</v>
      </c>
      <c r="E62" s="50">
        <v>291.66695833333335</v>
      </c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</row>
    <row r="63" spans="1:27" outlineLevel="1" x14ac:dyDescent="0.25">
      <c r="A63" s="72" t="str">
        <f t="shared" si="2"/>
        <v>Brændselsforbrug.Trae</v>
      </c>
      <c r="B63" s="28" t="s">
        <v>18</v>
      </c>
      <c r="C63" s="29" t="s">
        <v>50</v>
      </c>
      <c r="D63" s="50">
        <v>-1E-14</v>
      </c>
      <c r="E63" s="50">
        <v>-1E-14</v>
      </c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</row>
    <row r="64" spans="1:27" outlineLevel="1" x14ac:dyDescent="0.25">
      <c r="A64" s="72" t="str">
        <f t="shared" si="2"/>
        <v>Brændselsforbrug.DagrenRast</v>
      </c>
      <c r="B64" s="28" t="s">
        <v>18</v>
      </c>
      <c r="C64" s="29" t="s">
        <v>51</v>
      </c>
      <c r="D64" s="50">
        <v>-1E-14</v>
      </c>
      <c r="E64" s="50">
        <v>-1E-14</v>
      </c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</row>
    <row r="65" spans="1:27" outlineLevel="1" x14ac:dyDescent="0.25">
      <c r="A65" s="72" t="str">
        <f t="shared" si="2"/>
        <v>Brændselsforbrug.DagrenInst</v>
      </c>
      <c r="B65" s="28" t="s">
        <v>18</v>
      </c>
      <c r="C65" s="29" t="s">
        <v>52</v>
      </c>
      <c r="D65" s="50">
        <v>650.00064999999995</v>
      </c>
      <c r="E65" s="50">
        <v>650.00064999999995</v>
      </c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</row>
    <row r="66" spans="1:27" outlineLevel="1" x14ac:dyDescent="0.25">
      <c r="A66" s="72" t="str">
        <f t="shared" si="2"/>
        <v>Brændselsforbrug.DagrenHandel</v>
      </c>
      <c r="B66" s="28" t="s">
        <v>18</v>
      </c>
      <c r="C66" s="29" t="s">
        <v>53</v>
      </c>
      <c r="D66" s="50">
        <v>-1E-14</v>
      </c>
      <c r="E66" s="50">
        <v>-1E-14</v>
      </c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</row>
    <row r="67" spans="1:27" outlineLevel="1" x14ac:dyDescent="0.25">
      <c r="A67" s="72" t="str">
        <f t="shared" si="2"/>
        <v>Brændselsforbrug.DagrenRestau</v>
      </c>
      <c r="B67" s="28" t="s">
        <v>18</v>
      </c>
      <c r="C67" s="29" t="s">
        <v>54</v>
      </c>
      <c r="D67" s="50">
        <v>-1E-14</v>
      </c>
      <c r="E67" s="50">
        <v>-1E-14</v>
      </c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</row>
    <row r="68" spans="1:27" outlineLevel="1" x14ac:dyDescent="0.25">
      <c r="A68" s="72" t="str">
        <f t="shared" si="2"/>
        <v>Brændselsforbrug.Erhverv</v>
      </c>
      <c r="B68" s="28" t="s">
        <v>18</v>
      </c>
      <c r="C68" s="29" t="s">
        <v>55</v>
      </c>
      <c r="D68" s="50">
        <v>433.33376666666663</v>
      </c>
      <c r="E68" s="50">
        <v>433.33376666666663</v>
      </c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</row>
    <row r="69" spans="1:27" outlineLevel="1" x14ac:dyDescent="0.25">
      <c r="A69" s="72" t="str">
        <f t="shared" si="2"/>
        <v>Brændselsforbrug.DagrenErhverv</v>
      </c>
      <c r="B69" s="28" t="s">
        <v>18</v>
      </c>
      <c r="C69" s="29" t="s">
        <v>56</v>
      </c>
      <c r="D69" s="50">
        <v>41.666708333333325</v>
      </c>
      <c r="E69" s="50">
        <v>41.666708333333325</v>
      </c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</row>
    <row r="70" spans="1:27" outlineLevel="1" x14ac:dyDescent="0.25">
      <c r="A70" s="72" t="str">
        <f t="shared" si="2"/>
        <v>Brændselsforbrug.HandelKontor</v>
      </c>
      <c r="B70" s="28" t="s">
        <v>18</v>
      </c>
      <c r="C70" s="29" t="s">
        <v>57</v>
      </c>
      <c r="D70" s="50">
        <v>-1E-14</v>
      </c>
      <c r="E70" s="50">
        <v>-1E-14</v>
      </c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</row>
    <row r="71" spans="1:27" outlineLevel="1" x14ac:dyDescent="0.25">
      <c r="A71" s="72" t="str">
        <f t="shared" si="2"/>
        <v>Brændselsforbrug.Privat</v>
      </c>
      <c r="B71" s="28" t="s">
        <v>18</v>
      </c>
      <c r="C71" s="29" t="s">
        <v>58</v>
      </c>
      <c r="D71" s="50">
        <v>-1E-14</v>
      </c>
      <c r="E71" s="50">
        <v>-1E-14</v>
      </c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</row>
    <row r="72" spans="1:27" outlineLevel="1" x14ac:dyDescent="0.25">
      <c r="A72" s="72" t="str">
        <f t="shared" si="2"/>
        <v>Brændselsforbrug.TyskRest</v>
      </c>
      <c r="B72" s="28" t="s">
        <v>18</v>
      </c>
      <c r="C72" s="29" t="s">
        <v>59</v>
      </c>
      <c r="D72" s="50">
        <v>7077.6904830180738</v>
      </c>
      <c r="E72" s="50">
        <v>7077.6904830180738</v>
      </c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</row>
    <row r="73" spans="1:27" outlineLevel="1" x14ac:dyDescent="0.25">
      <c r="A73" s="72" t="str">
        <f t="shared" si="2"/>
        <v>Brændselsforbrug.PolskRest</v>
      </c>
      <c r="B73" s="28" t="s">
        <v>18</v>
      </c>
      <c r="C73" s="29" t="s">
        <v>60</v>
      </c>
      <c r="D73" s="50">
        <v>166.6668333333333</v>
      </c>
      <c r="E73" s="50">
        <v>166.6668333333333</v>
      </c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</row>
    <row r="74" spans="1:27" outlineLevel="1" x14ac:dyDescent="0.25">
      <c r="A74" s="72" t="str">
        <f t="shared" si="2"/>
        <v>Brændselsforbrug.PcbTrae</v>
      </c>
      <c r="B74" s="28" t="s">
        <v>18</v>
      </c>
      <c r="C74" s="29" t="s">
        <v>61</v>
      </c>
      <c r="D74" s="50">
        <v>-1E-14</v>
      </c>
      <c r="E74" s="50">
        <v>-1E-14</v>
      </c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</row>
    <row r="75" spans="1:27" outlineLevel="1" x14ac:dyDescent="0.25">
      <c r="A75" s="72" t="str">
        <f t="shared" si="2"/>
        <v>Brændselsforbrug.TraeRekv</v>
      </c>
      <c r="B75" s="28" t="s">
        <v>18</v>
      </c>
      <c r="C75" s="29" t="s">
        <v>62</v>
      </c>
      <c r="D75" s="50">
        <v>125</v>
      </c>
      <c r="E75" s="50">
        <v>125</v>
      </c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  <c r="AA75" s="50"/>
    </row>
    <row r="76" spans="1:27" outlineLevel="1" x14ac:dyDescent="0.25">
      <c r="A76" s="72" t="str">
        <f t="shared" si="2"/>
        <v>Brændselsforbrug.Halm</v>
      </c>
      <c r="B76" s="28" t="s">
        <v>18</v>
      </c>
      <c r="C76" s="29" t="s">
        <v>63</v>
      </c>
      <c r="D76" s="50">
        <v>-1E-14</v>
      </c>
      <c r="E76" s="50">
        <v>-1E-14</v>
      </c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</row>
    <row r="77" spans="1:27" outlineLevel="1" x14ac:dyDescent="0.25">
      <c r="A77" s="72" t="str">
        <f t="shared" si="2"/>
        <v>Brændselsforbrug.Pulver</v>
      </c>
      <c r="B77" s="28" t="s">
        <v>18</v>
      </c>
      <c r="C77" s="29" t="s">
        <v>64</v>
      </c>
      <c r="D77" s="50">
        <v>10.00001</v>
      </c>
      <c r="E77" s="50">
        <v>10.00001</v>
      </c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</row>
    <row r="78" spans="1:27" outlineLevel="1" x14ac:dyDescent="0.25">
      <c r="A78" s="72" t="str">
        <f t="shared" si="2"/>
        <v>Brændselsforbrug.FlisAffald</v>
      </c>
      <c r="B78" s="28" t="s">
        <v>18</v>
      </c>
      <c r="C78" s="29" t="s">
        <v>65</v>
      </c>
      <c r="D78" s="50">
        <v>12.500012499999999</v>
      </c>
      <c r="E78" s="50">
        <v>12.500012499999999</v>
      </c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  <c r="AA78" s="50"/>
    </row>
    <row r="79" spans="1:27" outlineLevel="1" x14ac:dyDescent="0.25">
      <c r="A79" s="72" t="str">
        <f t="shared" si="2"/>
        <v>Brændselsforbrug.NyAff1</v>
      </c>
      <c r="B79" s="28" t="s">
        <v>18</v>
      </c>
      <c r="C79" s="29" t="s">
        <v>66</v>
      </c>
      <c r="D79" s="50">
        <v>-1E-14</v>
      </c>
      <c r="E79" s="50">
        <v>-1E-14</v>
      </c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</row>
    <row r="80" spans="1:27" outlineLevel="1" x14ac:dyDescent="0.25">
      <c r="A80" s="72" t="str">
        <f t="shared" si="2"/>
        <v>Brændselsforbrug.NyAff2</v>
      </c>
      <c r="B80" s="28" t="s">
        <v>18</v>
      </c>
      <c r="C80" s="29" t="s">
        <v>67</v>
      </c>
      <c r="D80" s="50">
        <v>-1E-14</v>
      </c>
      <c r="E80" s="50">
        <v>-1E-14</v>
      </c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  <c r="AA80" s="50"/>
    </row>
    <row r="81" spans="1:27" outlineLevel="1" x14ac:dyDescent="0.25">
      <c r="A81" s="72" t="str">
        <f t="shared" si="2"/>
        <v>Brændselsforbrug.NyAff3</v>
      </c>
      <c r="B81" s="28" t="s">
        <v>18</v>
      </c>
      <c r="C81" s="29" t="s">
        <v>68</v>
      </c>
      <c r="D81" s="50">
        <v>-1E-14</v>
      </c>
      <c r="E81" s="50">
        <v>-1E-14</v>
      </c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</row>
    <row r="82" spans="1:27" outlineLevel="1" x14ac:dyDescent="0.25">
      <c r="A82" s="72" t="str">
        <f t="shared" si="2"/>
        <v>Brændselsforbrug.NyAff4</v>
      </c>
      <c r="B82" s="28" t="s">
        <v>18</v>
      </c>
      <c r="C82" s="29" t="s">
        <v>69</v>
      </c>
      <c r="D82" s="50">
        <v>-1E-14</v>
      </c>
      <c r="E82" s="50">
        <v>-1E-14</v>
      </c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</row>
    <row r="83" spans="1:27" outlineLevel="1" x14ac:dyDescent="0.25">
      <c r="A83" s="72" t="str">
        <f t="shared" si="2"/>
        <v>Brændselsforbrug.NyAff5</v>
      </c>
      <c r="B83" s="28" t="s">
        <v>18</v>
      </c>
      <c r="C83" s="29" t="s">
        <v>70</v>
      </c>
      <c r="D83" s="50">
        <v>-1E-14</v>
      </c>
      <c r="E83" s="50">
        <v>-1E-14</v>
      </c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</row>
    <row r="84" spans="1:27" outlineLevel="1" x14ac:dyDescent="0.25">
      <c r="A84" s="72" t="str">
        <f t="shared" si="2"/>
        <v>Brændselsforbrug.Flis</v>
      </c>
      <c r="B84" s="28" t="s">
        <v>18</v>
      </c>
      <c r="C84" s="29" t="s">
        <v>71</v>
      </c>
      <c r="D84" s="50">
        <v>861.47684605757183</v>
      </c>
      <c r="E84" s="50">
        <v>861.47684605757183</v>
      </c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</row>
    <row r="85" spans="1:27" outlineLevel="1" x14ac:dyDescent="0.25">
      <c r="A85" s="72" t="str">
        <f t="shared" si="2"/>
        <v>Brændselsforbrug.NSvarme</v>
      </c>
      <c r="B85" s="28" t="s">
        <v>18</v>
      </c>
      <c r="C85" s="29" t="s">
        <v>72</v>
      </c>
      <c r="D85" s="50">
        <v>4000</v>
      </c>
      <c r="E85" s="50">
        <v>4000</v>
      </c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50"/>
    </row>
    <row r="86" spans="1:27" outlineLevel="1" x14ac:dyDescent="0.25">
      <c r="A86" s="72" t="str">
        <f t="shared" si="2"/>
        <v>Brændselsforbrug.PeakFuel</v>
      </c>
      <c r="B86" s="28" t="s">
        <v>18</v>
      </c>
      <c r="C86" s="29" t="s">
        <v>73</v>
      </c>
      <c r="D86" s="50">
        <v>1E-14</v>
      </c>
      <c r="E86" s="50">
        <v>1E-14</v>
      </c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</row>
    <row r="87" spans="1:27" outlineLevel="1" x14ac:dyDescent="0.25">
      <c r="A87" s="73" t="str">
        <f t="shared" si="2"/>
        <v/>
      </c>
      <c r="B87" s="28"/>
      <c r="C87" s="29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</row>
    <row r="88" spans="1:27" outlineLevel="1" x14ac:dyDescent="0.25">
      <c r="A88" s="68" t="str">
        <f t="shared" si="2"/>
        <v/>
      </c>
      <c r="B88" s="8"/>
      <c r="C88" s="30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</row>
    <row r="89" spans="1:27" s="20" customFormat="1" ht="18.75" x14ac:dyDescent="0.3">
      <c r="A89" s="63"/>
      <c r="B89" s="33" t="s">
        <v>3</v>
      </c>
      <c r="C89" s="33" t="s">
        <v>212</v>
      </c>
      <c r="D89" s="32" t="s">
        <v>209</v>
      </c>
      <c r="E89" s="32" t="s">
        <v>74</v>
      </c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</row>
    <row r="90" spans="1:27" outlineLevel="1" x14ac:dyDescent="0.25">
      <c r="A90" s="67" t="str">
        <f>IF(NOT(ISBLANK(C90)),$C$89&amp;"."&amp;C90,"")</f>
        <v>Brændselsindkomst.DepoSort</v>
      </c>
      <c r="B90" s="55" t="s">
        <v>2</v>
      </c>
      <c r="C90" s="52" t="s">
        <v>45</v>
      </c>
      <c r="D90" s="51">
        <v>397819.14781874995</v>
      </c>
      <c r="E90" s="51">
        <v>397819.14781874995</v>
      </c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</row>
    <row r="91" spans="1:27" outlineLevel="1" x14ac:dyDescent="0.25">
      <c r="A91" s="72" t="str">
        <f t="shared" ref="A91:A124" si="3">IF(NOT(ISBLANK(C91)),$C$89&amp;"."&amp;C91,"")</f>
        <v>Brændselsindkomst.DepoSmaat</v>
      </c>
      <c r="B91" s="55" t="s">
        <v>2</v>
      </c>
      <c r="C91" s="52" t="s">
        <v>46</v>
      </c>
      <c r="D91" s="51">
        <v>-1E-14</v>
      </c>
      <c r="E91" s="51">
        <v>-1E-14</v>
      </c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  <c r="Y91" s="51"/>
      <c r="Z91" s="51"/>
      <c r="AA91" s="51"/>
    </row>
    <row r="92" spans="1:27" outlineLevel="1" x14ac:dyDescent="0.25">
      <c r="A92" s="72" t="str">
        <f t="shared" si="3"/>
        <v>Brændselsindkomst.DepoNedd</v>
      </c>
      <c r="B92" s="55" t="s">
        <v>2</v>
      </c>
      <c r="C92" s="52" t="s">
        <v>47</v>
      </c>
      <c r="D92" s="51">
        <v>-1E-14</v>
      </c>
      <c r="E92" s="51">
        <v>-1E-14</v>
      </c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</row>
    <row r="93" spans="1:27" outlineLevel="1" x14ac:dyDescent="0.25">
      <c r="A93" s="72" t="str">
        <f t="shared" si="3"/>
        <v>Brændselsindkomst.Dagren</v>
      </c>
      <c r="B93" s="55" t="s">
        <v>2</v>
      </c>
      <c r="C93" s="52" t="s">
        <v>48</v>
      </c>
      <c r="D93" s="51">
        <v>1263020.0130187499</v>
      </c>
      <c r="E93" s="51">
        <v>1263020.0130187499</v>
      </c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Y93" s="51"/>
      <c r="Z93" s="51"/>
      <c r="AA93" s="51"/>
    </row>
    <row r="94" spans="1:27" outlineLevel="1" x14ac:dyDescent="0.25">
      <c r="A94" s="72" t="str">
        <f t="shared" si="3"/>
        <v>Brændselsindkomst.AndetBrand</v>
      </c>
      <c r="B94" s="55" t="s">
        <v>2</v>
      </c>
      <c r="C94" s="52" t="s">
        <v>49</v>
      </c>
      <c r="D94" s="51">
        <v>153125.15312500001</v>
      </c>
      <c r="E94" s="51">
        <v>153125.15312500001</v>
      </c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51"/>
      <c r="Y94" s="51"/>
      <c r="Z94" s="51"/>
      <c r="AA94" s="51"/>
    </row>
    <row r="95" spans="1:27" outlineLevel="1" x14ac:dyDescent="0.25">
      <c r="A95" s="72" t="str">
        <f t="shared" si="3"/>
        <v>Brændselsindkomst.Trae</v>
      </c>
      <c r="B95" s="55" t="s">
        <v>2</v>
      </c>
      <c r="C95" s="52" t="s">
        <v>50</v>
      </c>
      <c r="D95" s="51">
        <v>-1E-14</v>
      </c>
      <c r="E95" s="51">
        <v>-1E-14</v>
      </c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</row>
    <row r="96" spans="1:27" outlineLevel="1" x14ac:dyDescent="0.25">
      <c r="A96" s="72" t="str">
        <f t="shared" si="3"/>
        <v>Brændselsindkomst.DagrenRast</v>
      </c>
      <c r="B96" s="55" t="s">
        <v>2</v>
      </c>
      <c r="C96" s="52" t="s">
        <v>51</v>
      </c>
      <c r="D96" s="51">
        <v>-1E-14</v>
      </c>
      <c r="E96" s="51">
        <v>-1E-14</v>
      </c>
      <c r="F96" s="51"/>
      <c r="G96" s="51"/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</row>
    <row r="97" spans="1:27" outlineLevel="1" x14ac:dyDescent="0.25">
      <c r="A97" s="72" t="str">
        <f t="shared" si="3"/>
        <v>Brændselsindkomst.DagrenInst</v>
      </c>
      <c r="B97" s="55" t="s">
        <v>2</v>
      </c>
      <c r="C97" s="52" t="s">
        <v>52</v>
      </c>
      <c r="D97" s="51">
        <v>341250.34125</v>
      </c>
      <c r="E97" s="51">
        <v>341250.34125</v>
      </c>
      <c r="F97" s="51"/>
      <c r="G97" s="51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</row>
    <row r="98" spans="1:27" outlineLevel="1" x14ac:dyDescent="0.25">
      <c r="A98" s="72" t="str">
        <f t="shared" si="3"/>
        <v>Brændselsindkomst.DagrenHandel</v>
      </c>
      <c r="B98" s="55" t="s">
        <v>2</v>
      </c>
      <c r="C98" s="52" t="s">
        <v>53</v>
      </c>
      <c r="D98" s="51">
        <v>-1E-14</v>
      </c>
      <c r="E98" s="51">
        <v>-1E-14</v>
      </c>
      <c r="F98" s="51"/>
      <c r="G98" s="51"/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  <c r="AA98" s="51"/>
    </row>
    <row r="99" spans="1:27" outlineLevel="1" x14ac:dyDescent="0.25">
      <c r="A99" s="72" t="str">
        <f t="shared" si="3"/>
        <v>Brændselsindkomst.DagrenRestau</v>
      </c>
      <c r="B99" s="55" t="s">
        <v>2</v>
      </c>
      <c r="C99" s="52" t="s">
        <v>54</v>
      </c>
      <c r="D99" s="51">
        <v>-1E-14</v>
      </c>
      <c r="E99" s="51">
        <v>-1E-14</v>
      </c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</row>
    <row r="100" spans="1:27" outlineLevel="1" x14ac:dyDescent="0.25">
      <c r="A100" s="72" t="str">
        <f t="shared" si="3"/>
        <v>Brændselsindkomst.Erhverv</v>
      </c>
      <c r="B100" s="55" t="s">
        <v>2</v>
      </c>
      <c r="C100" s="52" t="s">
        <v>55</v>
      </c>
      <c r="D100" s="51">
        <v>227500.22749999998</v>
      </c>
      <c r="E100" s="51">
        <v>227500.22749999998</v>
      </c>
      <c r="F100" s="51"/>
      <c r="G100" s="51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</row>
    <row r="101" spans="1:27" outlineLevel="1" x14ac:dyDescent="0.25">
      <c r="A101" s="72" t="str">
        <f t="shared" si="3"/>
        <v>Brændselsindkomst.DagrenErhverv</v>
      </c>
      <c r="B101" s="55" t="s">
        <v>2</v>
      </c>
      <c r="C101" s="52" t="s">
        <v>56</v>
      </c>
      <c r="D101" s="51">
        <v>32708.366041666661</v>
      </c>
      <c r="E101" s="51">
        <v>32708.366041666661</v>
      </c>
      <c r="F101" s="51"/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</row>
    <row r="102" spans="1:27" outlineLevel="1" x14ac:dyDescent="0.25">
      <c r="A102" s="72" t="str">
        <f t="shared" si="3"/>
        <v>Brændselsindkomst.HandelKontor</v>
      </c>
      <c r="B102" s="55" t="s">
        <v>2</v>
      </c>
      <c r="C102" s="52" t="s">
        <v>57</v>
      </c>
      <c r="D102" s="51">
        <v>-1E-14</v>
      </c>
      <c r="E102" s="51">
        <v>-1E-14</v>
      </c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</row>
    <row r="103" spans="1:27" outlineLevel="1" x14ac:dyDescent="0.25">
      <c r="A103" s="72" t="str">
        <f t="shared" si="3"/>
        <v>Brændselsindkomst.Privat</v>
      </c>
      <c r="B103" s="55" t="s">
        <v>2</v>
      </c>
      <c r="C103" s="52" t="s">
        <v>58</v>
      </c>
      <c r="D103" s="51">
        <v>-1E-14</v>
      </c>
      <c r="E103" s="51">
        <v>-1E-14</v>
      </c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</row>
    <row r="104" spans="1:27" outlineLevel="1" x14ac:dyDescent="0.25">
      <c r="A104" s="72" t="str">
        <f t="shared" si="3"/>
        <v>Brændselsindkomst.TyskRest</v>
      </c>
      <c r="B104" s="55" t="s">
        <v>2</v>
      </c>
      <c r="C104" s="52" t="s">
        <v>59</v>
      </c>
      <c r="D104" s="51">
        <v>2831076.1932072295</v>
      </c>
      <c r="E104" s="51">
        <v>2831076.1932072295</v>
      </c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</row>
    <row r="105" spans="1:27" outlineLevel="1" x14ac:dyDescent="0.25">
      <c r="A105" s="72" t="str">
        <f t="shared" si="3"/>
        <v>Brændselsindkomst.PolskRest</v>
      </c>
      <c r="B105" s="55" t="s">
        <v>2</v>
      </c>
      <c r="C105" s="52" t="s">
        <v>60</v>
      </c>
      <c r="D105" s="51">
        <v>85833.419166666645</v>
      </c>
      <c r="E105" s="51">
        <v>85833.419166666645</v>
      </c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</row>
    <row r="106" spans="1:27" outlineLevel="1" x14ac:dyDescent="0.25">
      <c r="A106" s="72" t="str">
        <f t="shared" si="3"/>
        <v>Brændselsindkomst.PcbTrae</v>
      </c>
      <c r="B106" s="55" t="s">
        <v>2</v>
      </c>
      <c r="C106" s="52" t="s">
        <v>61</v>
      </c>
      <c r="D106" s="51">
        <v>-1E-14</v>
      </c>
      <c r="E106" s="51">
        <v>-1E-14</v>
      </c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</row>
    <row r="107" spans="1:27" outlineLevel="1" x14ac:dyDescent="0.25">
      <c r="A107" s="72" t="str">
        <f t="shared" si="3"/>
        <v>Brændselsindkomst.TraeRekv</v>
      </c>
      <c r="B107" s="55" t="s">
        <v>2</v>
      </c>
      <c r="C107" s="52" t="s">
        <v>62</v>
      </c>
      <c r="D107" s="51">
        <v>1E-14</v>
      </c>
      <c r="E107" s="51">
        <v>1E-14</v>
      </c>
      <c r="F107" s="51"/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</row>
    <row r="108" spans="1:27" outlineLevel="1" x14ac:dyDescent="0.25">
      <c r="A108" s="72" t="str">
        <f t="shared" si="3"/>
        <v>Brændselsindkomst.Halm</v>
      </c>
      <c r="B108" s="55" t="s">
        <v>2</v>
      </c>
      <c r="C108" s="52" t="s">
        <v>63</v>
      </c>
      <c r="D108" s="51">
        <v>-1E-14</v>
      </c>
      <c r="E108" s="51">
        <v>-1E-14</v>
      </c>
      <c r="F108" s="51"/>
      <c r="G108" s="51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Y108" s="51"/>
      <c r="Z108" s="51"/>
      <c r="AA108" s="51"/>
    </row>
    <row r="109" spans="1:27" outlineLevel="1" x14ac:dyDescent="0.25">
      <c r="A109" s="72" t="str">
        <f t="shared" si="3"/>
        <v>Brændselsindkomst.Pulver</v>
      </c>
      <c r="B109" s="55" t="s">
        <v>2</v>
      </c>
      <c r="C109" s="52" t="s">
        <v>64</v>
      </c>
      <c r="D109" s="51">
        <v>6850.0068499999998</v>
      </c>
      <c r="E109" s="51">
        <v>6850.0068499999998</v>
      </c>
      <c r="F109" s="51"/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</row>
    <row r="110" spans="1:27" outlineLevel="1" x14ac:dyDescent="0.25">
      <c r="A110" s="72" t="str">
        <f t="shared" si="3"/>
        <v>Brændselsindkomst.FlisAffald</v>
      </c>
      <c r="B110" s="55" t="s">
        <v>2</v>
      </c>
      <c r="C110" s="52" t="s">
        <v>65</v>
      </c>
      <c r="D110" s="51">
        <v>1937.5019374999997</v>
      </c>
      <c r="E110" s="51">
        <v>1937.5019374999997</v>
      </c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</row>
    <row r="111" spans="1:27" outlineLevel="1" x14ac:dyDescent="0.25">
      <c r="A111" s="72" t="str">
        <f t="shared" si="3"/>
        <v>Brændselsindkomst.NyAff1</v>
      </c>
      <c r="B111" s="55" t="s">
        <v>2</v>
      </c>
      <c r="C111" s="52" t="s">
        <v>66</v>
      </c>
      <c r="D111" s="51">
        <v>-1E-14</v>
      </c>
      <c r="E111" s="51">
        <v>-1E-14</v>
      </c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</row>
    <row r="112" spans="1:27" outlineLevel="1" x14ac:dyDescent="0.25">
      <c r="A112" s="72" t="str">
        <f t="shared" si="3"/>
        <v>Brændselsindkomst.NyAff2</v>
      </c>
      <c r="B112" s="55" t="s">
        <v>2</v>
      </c>
      <c r="C112" s="52" t="s">
        <v>67</v>
      </c>
      <c r="D112" s="51">
        <v>-1E-14</v>
      </c>
      <c r="E112" s="51">
        <v>-1E-14</v>
      </c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</row>
    <row r="113" spans="1:27" outlineLevel="1" x14ac:dyDescent="0.25">
      <c r="A113" s="72" t="str">
        <f t="shared" si="3"/>
        <v>Brændselsindkomst.NyAff3</v>
      </c>
      <c r="B113" s="55" t="s">
        <v>2</v>
      </c>
      <c r="C113" s="52" t="s">
        <v>68</v>
      </c>
      <c r="D113" s="51">
        <v>-1E-14</v>
      </c>
      <c r="E113" s="51">
        <v>-1E-14</v>
      </c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</row>
    <row r="114" spans="1:27" outlineLevel="1" x14ac:dyDescent="0.25">
      <c r="A114" s="72" t="str">
        <f t="shared" si="3"/>
        <v>Brændselsindkomst.NyAff4</v>
      </c>
      <c r="B114" s="55" t="s">
        <v>2</v>
      </c>
      <c r="C114" s="52" t="s">
        <v>69</v>
      </c>
      <c r="D114" s="51">
        <v>-1E-14</v>
      </c>
      <c r="E114" s="51">
        <v>-1E-14</v>
      </c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</row>
    <row r="115" spans="1:27" outlineLevel="1" x14ac:dyDescent="0.25">
      <c r="A115" s="72" t="str">
        <f t="shared" si="3"/>
        <v>Brændselsindkomst.NyAff5</v>
      </c>
      <c r="B115" s="55" t="s">
        <v>2</v>
      </c>
      <c r="C115" s="52" t="s">
        <v>70</v>
      </c>
      <c r="D115" s="51">
        <v>-1E-14</v>
      </c>
      <c r="E115" s="51">
        <v>-1E-14</v>
      </c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</row>
    <row r="116" spans="1:27" outlineLevel="1" x14ac:dyDescent="0.25">
      <c r="A116" s="72" t="str">
        <f t="shared" si="3"/>
        <v>Brændselsindkomst.Flis</v>
      </c>
      <c r="B116" s="55" t="s">
        <v>2</v>
      </c>
      <c r="C116" s="52" t="s">
        <v>71</v>
      </c>
      <c r="D116" s="51">
        <v>-404894.11764705874</v>
      </c>
      <c r="E116" s="51">
        <v>-404894.11764705874</v>
      </c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</row>
    <row r="117" spans="1:27" outlineLevel="1" x14ac:dyDescent="0.25">
      <c r="A117" s="72" t="str">
        <f t="shared" si="3"/>
        <v>Brændselsindkomst.NSvarme</v>
      </c>
      <c r="B117" s="55" t="s">
        <v>2</v>
      </c>
      <c r="C117" s="52" t="s">
        <v>72</v>
      </c>
      <c r="D117" s="51">
        <v>-756000</v>
      </c>
      <c r="E117" s="51">
        <v>-756000</v>
      </c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</row>
    <row r="118" spans="1:27" outlineLevel="1" x14ac:dyDescent="0.25">
      <c r="A118" s="72" t="str">
        <f t="shared" si="3"/>
        <v>Brændselsindkomst.PeakFuel</v>
      </c>
      <c r="B118" s="55" t="s">
        <v>2</v>
      </c>
      <c r="C118" s="52" t="s">
        <v>73</v>
      </c>
      <c r="D118" s="51">
        <v>1E-14</v>
      </c>
      <c r="E118" s="51">
        <v>1E-14</v>
      </c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</row>
    <row r="119" spans="1:27" outlineLevel="1" x14ac:dyDescent="0.25">
      <c r="A119" s="72" t="str">
        <f t="shared" si="3"/>
        <v/>
      </c>
      <c r="B119" s="53"/>
      <c r="C119" s="54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</row>
    <row r="120" spans="1:27" outlineLevel="1" x14ac:dyDescent="0.25">
      <c r="A120" s="72" t="str">
        <f t="shared" si="3"/>
        <v/>
      </c>
      <c r="B120" s="19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</row>
    <row r="121" spans="1:27" outlineLevel="1" x14ac:dyDescent="0.25">
      <c r="A121" s="72" t="str">
        <f t="shared" si="3"/>
        <v/>
      </c>
      <c r="B121"/>
    </row>
    <row r="122" spans="1:27" outlineLevel="1" x14ac:dyDescent="0.25">
      <c r="A122" s="72" t="str">
        <f t="shared" si="3"/>
        <v/>
      </c>
      <c r="B122"/>
    </row>
    <row r="123" spans="1:27" outlineLevel="1" x14ac:dyDescent="0.25">
      <c r="A123" s="72" t="str">
        <f t="shared" si="3"/>
        <v/>
      </c>
      <c r="B123"/>
    </row>
    <row r="124" spans="1:27" outlineLevel="1" x14ac:dyDescent="0.25">
      <c r="A124" s="72" t="str">
        <f t="shared" si="3"/>
        <v/>
      </c>
      <c r="B124"/>
    </row>
    <row r="125" spans="1:27" outlineLevel="1" x14ac:dyDescent="0.25">
      <c r="B125"/>
    </row>
    <row r="126" spans="1:27" outlineLevel="1" x14ac:dyDescent="0.25">
      <c r="B126"/>
    </row>
    <row r="127" spans="1:27" outlineLevel="1" x14ac:dyDescent="0.25">
      <c r="B127"/>
    </row>
    <row r="128" spans="1:27" outlineLevel="1" x14ac:dyDescent="0.25">
      <c r="B128"/>
    </row>
    <row r="129" spans="2:2" outlineLevel="1" x14ac:dyDescent="0.25">
      <c r="B129"/>
    </row>
    <row r="130" spans="2:2" outlineLevel="1" x14ac:dyDescent="0.25">
      <c r="B130"/>
    </row>
    <row r="131" spans="2:2" outlineLevel="1" x14ac:dyDescent="0.25">
      <c r="B131"/>
    </row>
    <row r="132" spans="2:2" outlineLevel="1" x14ac:dyDescent="0.25">
      <c r="B132"/>
    </row>
    <row r="133" spans="2:2" outlineLevel="1" x14ac:dyDescent="0.25">
      <c r="B133"/>
    </row>
    <row r="134" spans="2:2" outlineLevel="1" x14ac:dyDescent="0.25">
      <c r="B134"/>
    </row>
    <row r="135" spans="2:2" outlineLevel="1" x14ac:dyDescent="0.25">
      <c r="B135"/>
    </row>
    <row r="136" spans="2:2" outlineLevel="1" x14ac:dyDescent="0.25">
      <c r="B136"/>
    </row>
    <row r="137" spans="2:2" outlineLevel="1" x14ac:dyDescent="0.25">
      <c r="B137"/>
    </row>
    <row r="138" spans="2:2" outlineLevel="1" x14ac:dyDescent="0.25">
      <c r="B138"/>
    </row>
    <row r="139" spans="2:2" outlineLevel="1" x14ac:dyDescent="0.25">
      <c r="B139"/>
    </row>
    <row r="140" spans="2:2" outlineLevel="1" x14ac:dyDescent="0.25">
      <c r="B140"/>
    </row>
    <row r="141" spans="2:2" outlineLevel="1" x14ac:dyDescent="0.25">
      <c r="B141"/>
    </row>
    <row r="142" spans="2:2" outlineLevel="1" x14ac:dyDescent="0.25">
      <c r="B142"/>
    </row>
    <row r="143" spans="2:2" outlineLevel="1" x14ac:dyDescent="0.25">
      <c r="B143"/>
    </row>
    <row r="144" spans="2:2" outlineLevel="1" x14ac:dyDescent="0.25">
      <c r="B144"/>
    </row>
    <row r="145" spans="2:2" outlineLevel="1" x14ac:dyDescent="0.25">
      <c r="B145"/>
    </row>
    <row r="146" spans="2:2" outlineLevel="1" x14ac:dyDescent="0.25">
      <c r="B146"/>
    </row>
    <row r="147" spans="2:2" outlineLevel="1" x14ac:dyDescent="0.25">
      <c r="B147"/>
    </row>
    <row r="148" spans="2:2" outlineLevel="1" x14ac:dyDescent="0.25">
      <c r="B148"/>
    </row>
    <row r="149" spans="2:2" outlineLevel="1" x14ac:dyDescent="0.25">
      <c r="B149"/>
    </row>
    <row r="150" spans="2:2" outlineLevel="1" x14ac:dyDescent="0.25">
      <c r="B150"/>
    </row>
    <row r="151" spans="2:2" outlineLevel="1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</sheetData>
  <phoneticPr fontId="5" type="noConversion"/>
  <conditionalFormatting sqref="A6 E24:AA24 A24 A26 D26:AA26 D33:AA34 A33:A34 A11:A14 A36:A43 D38:AA43 D8:AA14 D6:AA6 D16:AA21 A16:A21">
    <cfRule type="cellIs" dxfId="127" priority="170" operator="between">
      <formula>-0.0000000000001</formula>
      <formula>0.0000000000001</formula>
    </cfRule>
  </conditionalFormatting>
  <conditionalFormatting sqref="A6 A24 E24:AA24 D26:AA26 A26 A33:A34 D33:AA34 A11:A14 A36:A43 D38:AA43 A16:A21">
    <cfRule type="cellIs" dxfId="126" priority="164" operator="between">
      <formula>-0.0000000000001</formula>
      <formula>0.0000000000001</formula>
    </cfRule>
  </conditionalFormatting>
  <conditionalFormatting sqref="A16 C16:O16">
    <cfRule type="cellIs" dxfId="125" priority="163" operator="between">
      <formula>-0.0000000000001</formula>
      <formula>0.0000000000001</formula>
    </cfRule>
  </conditionalFormatting>
  <conditionalFormatting sqref="P16:AA16">
    <cfRule type="cellIs" dxfId="124" priority="162" operator="between">
      <formula>-0.0000000000001</formula>
      <formula>0.0000000000001</formula>
    </cfRule>
  </conditionalFormatting>
  <conditionalFormatting sqref="C6:O6 A6">
    <cfRule type="cellIs" dxfId="123" priority="161" operator="between">
      <formula>-0.0000000000001</formula>
      <formula>0.0000000000001</formula>
    </cfRule>
  </conditionalFormatting>
  <conditionalFormatting sqref="P6:AA6">
    <cfRule type="cellIs" dxfId="122" priority="160" operator="between">
      <formula>-0.0000000000001</formula>
      <formula>0.0000000000001</formula>
    </cfRule>
  </conditionalFormatting>
  <conditionalFormatting sqref="C13">
    <cfRule type="cellIs" dxfId="121" priority="159" operator="between">
      <formula>-0.0000000000001</formula>
      <formula>0.0000000000001</formula>
    </cfRule>
  </conditionalFormatting>
  <conditionalFormatting sqref="C14">
    <cfRule type="cellIs" dxfId="120" priority="158" operator="between">
      <formula>-0.0000000000001</formula>
      <formula>0.0000000000001</formula>
    </cfRule>
  </conditionalFormatting>
  <conditionalFormatting sqref="A14 C14:O14">
    <cfRule type="cellIs" dxfId="119" priority="157" operator="between">
      <formula>-0.0000000000001</formula>
      <formula>0.0000000000001</formula>
    </cfRule>
  </conditionalFormatting>
  <conditionalFormatting sqref="P14:AA14">
    <cfRule type="cellIs" dxfId="118" priority="156" operator="between">
      <formula>-0.0000000000001</formula>
      <formula>0.0000000000001</formula>
    </cfRule>
  </conditionalFormatting>
  <conditionalFormatting sqref="C20:O21 A20:A21">
    <cfRule type="cellIs" dxfId="117" priority="155" operator="between">
      <formula>-0.0000000000001</formula>
      <formula>0.0000000000001</formula>
    </cfRule>
  </conditionalFormatting>
  <conditionalFormatting sqref="P20:AA21">
    <cfRule type="cellIs" dxfId="116" priority="154" operator="between">
      <formula>-0.0000000000001</formula>
      <formula>0.0000000000001</formula>
    </cfRule>
  </conditionalFormatting>
  <conditionalFormatting sqref="C41:O41 C43:AA43 C40:AA40 D39:AA39 A39:A43 D42:O43">
    <cfRule type="cellIs" dxfId="115" priority="153" operator="between">
      <formula>-0.0000000000001</formula>
      <formula>0.0000000000001</formula>
    </cfRule>
  </conditionalFormatting>
  <conditionalFormatting sqref="P41:AA41">
    <cfRule type="cellIs" dxfId="114" priority="152" operator="between">
      <formula>-0.0000000000001</formula>
      <formula>0.0000000000001</formula>
    </cfRule>
  </conditionalFormatting>
  <conditionalFormatting sqref="C42:O42 D43:O43">
    <cfRule type="cellIs" dxfId="113" priority="151" operator="between">
      <formula>-0.0000000000001</formula>
      <formula>0.0000000000001</formula>
    </cfRule>
  </conditionalFormatting>
  <conditionalFormatting sqref="P42:AA43">
    <cfRule type="cellIs" dxfId="112" priority="150" operator="between">
      <formula>-0.0000000000001</formula>
      <formula>0.0000000000001</formula>
    </cfRule>
  </conditionalFormatting>
  <conditionalFormatting sqref="C11:O11">
    <cfRule type="cellIs" dxfId="111" priority="149" operator="between">
      <formula>-0.0000000000001</formula>
      <formula>0.0000000000001</formula>
    </cfRule>
  </conditionalFormatting>
  <conditionalFormatting sqref="P11:AA11">
    <cfRule type="cellIs" dxfId="110" priority="148" operator="between">
      <formula>-0.0000000000001</formula>
      <formula>0.0000000000001</formula>
    </cfRule>
  </conditionalFormatting>
  <conditionalFormatting sqref="C11">
    <cfRule type="cellIs" dxfId="109" priority="147" operator="between">
      <formula>-0.0000000000001</formula>
      <formula>0.0000000000001</formula>
    </cfRule>
  </conditionalFormatting>
  <conditionalFormatting sqref="C12:O12 A12">
    <cfRule type="cellIs" dxfId="108" priority="144" operator="between">
      <formula>-0.0000000000001</formula>
      <formula>0.0000000000001</formula>
    </cfRule>
  </conditionalFormatting>
  <conditionalFormatting sqref="P12:AA12">
    <cfRule type="cellIs" dxfId="107" priority="143" operator="between">
      <formula>-0.0000000000001</formula>
      <formula>0.0000000000001</formula>
    </cfRule>
  </conditionalFormatting>
  <conditionalFormatting sqref="C12">
    <cfRule type="cellIs" dxfId="106" priority="142" operator="between">
      <formula>-0.0000000000001</formula>
      <formula>0.0000000000001</formula>
    </cfRule>
  </conditionalFormatting>
  <conditionalFormatting sqref="C17:O17 A17">
    <cfRule type="cellIs" dxfId="105" priority="141" operator="between">
      <formula>-0.0000000000001</formula>
      <formula>0.0000000000001</formula>
    </cfRule>
  </conditionalFormatting>
  <conditionalFormatting sqref="P17:AA17">
    <cfRule type="cellIs" dxfId="104" priority="140" operator="between">
      <formula>-0.0000000000001</formula>
      <formula>0.0000000000001</formula>
    </cfRule>
  </conditionalFormatting>
  <conditionalFormatting sqref="C17">
    <cfRule type="cellIs" dxfId="103" priority="139" operator="between">
      <formula>-0.0000000000001</formula>
      <formula>0.0000000000001</formula>
    </cfRule>
  </conditionalFormatting>
  <conditionalFormatting sqref="A39 C39:AA39">
    <cfRule type="cellIs" dxfId="102" priority="138" operator="between">
      <formula>-0.0000000000001</formula>
      <formula>0.0000000000001</formula>
    </cfRule>
  </conditionalFormatting>
  <conditionalFormatting sqref="D10:O10">
    <cfRule type="cellIs" dxfId="101" priority="136" operator="between">
      <formula>-0.0000000000001</formula>
      <formula>0.0000000000001</formula>
    </cfRule>
  </conditionalFormatting>
  <conditionalFormatting sqref="P10:AA10">
    <cfRule type="cellIs" dxfId="100" priority="135" operator="between">
      <formula>-0.0000000000001</formula>
      <formula>0.0000000000001</formula>
    </cfRule>
  </conditionalFormatting>
  <conditionalFormatting sqref="C34:AA34 A34">
    <cfRule type="cellIs" dxfId="99" priority="134" operator="between">
      <formula>-0.0000000000001</formula>
      <formula>0.0000000000001</formula>
    </cfRule>
  </conditionalFormatting>
  <conditionalFormatting sqref="P34:AA34">
    <cfRule type="cellIs" dxfId="98" priority="133" operator="between">
      <formula>-0.0000000000001</formula>
      <formula>0.0000000000001</formula>
    </cfRule>
  </conditionalFormatting>
  <conditionalFormatting sqref="C10">
    <cfRule type="cellIs" dxfId="97" priority="131" operator="between">
      <formula>-0.0000000000001</formula>
      <formula>0.0000000000001</formula>
    </cfRule>
  </conditionalFormatting>
  <conditionalFormatting sqref="A11">
    <cfRule type="cellIs" dxfId="96" priority="130" operator="between">
      <formula>-0.0000000000001</formula>
      <formula>0.0000000000001</formula>
    </cfRule>
  </conditionalFormatting>
  <conditionalFormatting sqref="A22 D22:AA22">
    <cfRule type="cellIs" dxfId="95" priority="127" operator="between">
      <formula>-0.0000000000001</formula>
      <formula>0.0000000000001</formula>
    </cfRule>
  </conditionalFormatting>
  <conditionalFormatting sqref="D22:AA22 A22">
    <cfRule type="cellIs" dxfId="94" priority="126" operator="between">
      <formula>-0.0000000000001</formula>
      <formula>0.0000000000001</formula>
    </cfRule>
  </conditionalFormatting>
  <conditionalFormatting sqref="C22:O22 A22">
    <cfRule type="cellIs" dxfId="93" priority="125" operator="between">
      <formula>-0.0000000000001</formula>
      <formula>0.0000000000001</formula>
    </cfRule>
  </conditionalFormatting>
  <conditionalFormatting sqref="P22:AA22">
    <cfRule type="cellIs" dxfId="92" priority="124" operator="between">
      <formula>-0.0000000000001</formula>
      <formula>0.0000000000001</formula>
    </cfRule>
  </conditionalFormatting>
  <conditionalFormatting sqref="E23:AA23 A23">
    <cfRule type="cellIs" dxfId="91" priority="108" operator="between">
      <formula>-0.0000000000001</formula>
      <formula>0.0000000000001</formula>
    </cfRule>
  </conditionalFormatting>
  <conditionalFormatting sqref="A23 E23:AA23">
    <cfRule type="cellIs" dxfId="90" priority="107" operator="between">
      <formula>-0.0000000000001</formula>
      <formula>0.0000000000001</formula>
    </cfRule>
  </conditionalFormatting>
  <conditionalFormatting sqref="D25:AA25 A25">
    <cfRule type="cellIs" dxfId="89" priority="106" operator="between">
      <formula>-0.0000000000001</formula>
      <formula>0.0000000000001</formula>
    </cfRule>
  </conditionalFormatting>
  <conditionalFormatting sqref="A25 D25:AA25">
    <cfRule type="cellIs" dxfId="88" priority="105" operator="between">
      <formula>-0.0000000000001</formula>
      <formula>0.0000000000001</formula>
    </cfRule>
  </conditionalFormatting>
  <conditionalFormatting sqref="A35 D35:AA36">
    <cfRule type="cellIs" dxfId="87" priority="104" operator="between">
      <formula>-0.0000000000001</formula>
      <formula>0.0000000000001</formula>
    </cfRule>
  </conditionalFormatting>
  <conditionalFormatting sqref="A35 D35:AA36">
    <cfRule type="cellIs" dxfId="86" priority="103" operator="between">
      <formula>-0.0000000000001</formula>
      <formula>0.0000000000001</formula>
    </cfRule>
  </conditionalFormatting>
  <conditionalFormatting sqref="A27:A28 D27:AA29 D31:AA31 A31">
    <cfRule type="cellIs" dxfId="85" priority="100" operator="between">
      <formula>-0.0000000000001</formula>
      <formula>0.0000000000001</formula>
    </cfRule>
  </conditionalFormatting>
  <conditionalFormatting sqref="D27:AA29 A27:A28 A31 D31:AA31">
    <cfRule type="cellIs" dxfId="84" priority="99" operator="between">
      <formula>-0.0000000000001</formula>
      <formula>0.0000000000001</formula>
    </cfRule>
  </conditionalFormatting>
  <conditionalFormatting sqref="C28:AA29 A28">
    <cfRule type="cellIs" dxfId="83" priority="98" operator="between">
      <formula>-0.0000000000001</formula>
      <formula>0.0000000000001</formula>
    </cfRule>
  </conditionalFormatting>
  <conditionalFormatting sqref="P28:AA29">
    <cfRule type="cellIs" dxfId="82" priority="97" operator="between">
      <formula>-0.0000000000001</formula>
      <formula>0.0000000000001</formula>
    </cfRule>
  </conditionalFormatting>
  <conditionalFormatting sqref="A30 D30:AA30">
    <cfRule type="cellIs" dxfId="81" priority="96" operator="between">
      <formula>-0.0000000000001</formula>
      <formula>0.0000000000001</formula>
    </cfRule>
  </conditionalFormatting>
  <conditionalFormatting sqref="D30:AA30 A30">
    <cfRule type="cellIs" dxfId="80" priority="95" operator="between">
      <formula>-0.0000000000001</formula>
      <formula>0.0000000000001</formula>
    </cfRule>
  </conditionalFormatting>
  <conditionalFormatting sqref="D41:O41">
    <cfRule type="cellIs" dxfId="79" priority="94" operator="between">
      <formula>-0.0000000000001</formula>
      <formula>0.0000000000001</formula>
    </cfRule>
  </conditionalFormatting>
  <conditionalFormatting sqref="D38:AA38">
    <cfRule type="cellIs" dxfId="78" priority="93" operator="between">
      <formula>-0.0000000000001</formula>
      <formula>0.0000000000001</formula>
    </cfRule>
  </conditionalFormatting>
  <conditionalFormatting sqref="A29">
    <cfRule type="cellIs" dxfId="77" priority="92" operator="between">
      <formula>-0.0000000000001</formula>
      <formula>0.0000000000001</formula>
    </cfRule>
  </conditionalFormatting>
  <conditionalFormatting sqref="A29">
    <cfRule type="cellIs" dxfId="76" priority="91" operator="between">
      <formula>-0.0000000000001</formula>
      <formula>0.0000000000001</formula>
    </cfRule>
  </conditionalFormatting>
  <conditionalFormatting sqref="A37">
    <cfRule type="cellIs" dxfId="75" priority="90" operator="between">
      <formula>-0.0000000000001</formula>
      <formula>0.0000000000001</formula>
    </cfRule>
  </conditionalFormatting>
  <conditionalFormatting sqref="A37">
    <cfRule type="cellIs" dxfId="74" priority="89" operator="between">
      <formula>-0.0000000000001</formula>
      <formula>0.0000000000001</formula>
    </cfRule>
  </conditionalFormatting>
  <conditionalFormatting sqref="A42">
    <cfRule type="cellIs" dxfId="73" priority="88" operator="between">
      <formula>-0.0000000000001</formula>
      <formula>0.0000000000001</formula>
    </cfRule>
  </conditionalFormatting>
  <conditionalFormatting sqref="A42">
    <cfRule type="cellIs" dxfId="72" priority="87" operator="between">
      <formula>-0.0000000000001</formula>
      <formula>0.0000000000001</formula>
    </cfRule>
  </conditionalFormatting>
  <conditionalFormatting sqref="D24">
    <cfRule type="cellIs" dxfId="71" priority="86" operator="between">
      <formula>-0.0000000000001</formula>
      <formula>0.0000000000001</formula>
    </cfRule>
  </conditionalFormatting>
  <conditionalFormatting sqref="D24">
    <cfRule type="cellIs" dxfId="70" priority="85" operator="between">
      <formula>-0.0000000000001</formula>
      <formula>0.0000000000001</formula>
    </cfRule>
  </conditionalFormatting>
  <conditionalFormatting sqref="D23">
    <cfRule type="cellIs" dxfId="69" priority="84" operator="between">
      <formula>-0.0000000000001</formula>
      <formula>0.0000000000001</formula>
    </cfRule>
  </conditionalFormatting>
  <conditionalFormatting sqref="D23">
    <cfRule type="cellIs" dxfId="68" priority="83" operator="between">
      <formula>-0.0000000000001</formula>
      <formula>0.0000000000001</formula>
    </cfRule>
  </conditionalFormatting>
  <conditionalFormatting sqref="A8:A10">
    <cfRule type="cellIs" dxfId="67" priority="81" operator="between">
      <formula>-0.0000000000001</formula>
      <formula>0.0000000000001</formula>
    </cfRule>
  </conditionalFormatting>
  <conditionalFormatting sqref="A8:A10">
    <cfRule type="cellIs" dxfId="66" priority="80" operator="between">
      <formula>-0.0000000000001</formula>
      <formula>0.0000000000001</formula>
    </cfRule>
  </conditionalFormatting>
  <conditionalFormatting sqref="A5:A6">
    <cfRule type="cellIs" dxfId="65" priority="74" operator="between">
      <formula>-0.0000000000001</formula>
      <formula>0.0000000000001</formula>
    </cfRule>
  </conditionalFormatting>
  <conditionalFormatting sqref="A5:A6">
    <cfRule type="cellIs" dxfId="64" priority="73" operator="between">
      <formula>-0.0000000000001</formula>
      <formula>0.0000000000001</formula>
    </cfRule>
  </conditionalFormatting>
  <conditionalFormatting sqref="C5:C6 A5:A6">
    <cfRule type="cellIs" dxfId="63" priority="72" operator="between">
      <formula>-0.0000000000001</formula>
      <formula>0.0000000000001</formula>
    </cfRule>
  </conditionalFormatting>
  <conditionalFormatting sqref="A9">
    <cfRule type="cellIs" dxfId="62" priority="70" operator="between">
      <formula>-0.0000000000001</formula>
      <formula>0.0000000000001</formula>
    </cfRule>
  </conditionalFormatting>
  <conditionalFormatting sqref="A9">
    <cfRule type="cellIs" dxfId="61" priority="69" operator="between">
      <formula>-0.0000000000001</formula>
      <formula>0.0000000000001</formula>
    </cfRule>
  </conditionalFormatting>
  <conditionalFormatting sqref="C9 A9">
    <cfRule type="cellIs" dxfId="60" priority="68" operator="between">
      <formula>-0.0000000000001</formula>
      <formula>0.0000000000001</formula>
    </cfRule>
  </conditionalFormatting>
  <conditionalFormatting sqref="D88:AA88">
    <cfRule type="colorScale" priority="66">
      <colorScale>
        <cfvo type="min"/>
        <cfvo type="max"/>
        <color rgb="FFFCFCFF"/>
        <color rgb="FF63BE7B"/>
      </colorScale>
    </cfRule>
  </conditionalFormatting>
  <conditionalFormatting sqref="D88:AA88">
    <cfRule type="cellIs" dxfId="59" priority="62" operator="between">
      <formula>-0.0000000000001</formula>
      <formula>0.0000000000001</formula>
    </cfRule>
  </conditionalFormatting>
  <conditionalFormatting sqref="D9:AA9">
    <cfRule type="cellIs" dxfId="58" priority="60" operator="between">
      <formula>-0.0000000000001</formula>
      <formula>0.0000000000001</formula>
    </cfRule>
  </conditionalFormatting>
  <conditionalFormatting sqref="D9:AA9">
    <cfRule type="cellIs" dxfId="57" priority="59" operator="between">
      <formula>-0.0000000000001</formula>
      <formula>0.0000000000001</formula>
    </cfRule>
  </conditionalFormatting>
  <conditionalFormatting sqref="D37:AA37">
    <cfRule type="cellIs" dxfId="56" priority="56" operator="between">
      <formula>-0.0000000000001</formula>
      <formula>0.0000000000001</formula>
    </cfRule>
  </conditionalFormatting>
  <conditionalFormatting sqref="D37:AA37">
    <cfRule type="cellIs" dxfId="55" priority="55" operator="between">
      <formula>-0.0000000000001</formula>
      <formula>0.0000000000001</formula>
    </cfRule>
  </conditionalFormatting>
  <conditionalFormatting sqref="D37:AA37">
    <cfRule type="cellIs" dxfId="54" priority="54" operator="between">
      <formula>-0.0000000000001</formula>
      <formula>0.0000000000001</formula>
    </cfRule>
  </conditionalFormatting>
  <conditionalFormatting sqref="A38">
    <cfRule type="cellIs" dxfId="53" priority="53" operator="between">
      <formula>-0.0000000000001</formula>
      <formula>0.0000000000001</formula>
    </cfRule>
  </conditionalFormatting>
  <conditionalFormatting sqref="A36">
    <cfRule type="cellIs" dxfId="52" priority="52" operator="between">
      <formula>-0.0000000000001</formula>
      <formula>0.0000000000001</formula>
    </cfRule>
  </conditionalFormatting>
  <conditionalFormatting sqref="A36">
    <cfRule type="cellIs" dxfId="51" priority="51" operator="between">
      <formula>-0.0000000000001</formula>
      <formula>0.0000000000001</formula>
    </cfRule>
  </conditionalFormatting>
  <conditionalFormatting sqref="A41">
    <cfRule type="cellIs" dxfId="50" priority="50" operator="between">
      <formula>-0.0000000000001</formula>
      <formula>0.0000000000001</formula>
    </cfRule>
  </conditionalFormatting>
  <conditionalFormatting sqref="A41">
    <cfRule type="cellIs" dxfId="49" priority="49" operator="between">
      <formula>-0.0000000000001</formula>
      <formula>0.0000000000001</formula>
    </cfRule>
  </conditionalFormatting>
  <conditionalFormatting sqref="A7">
    <cfRule type="cellIs" dxfId="48" priority="48" operator="between">
      <formula>-0.0000000000001</formula>
      <formula>0.0000000000001</formula>
    </cfRule>
  </conditionalFormatting>
  <conditionalFormatting sqref="A7">
    <cfRule type="cellIs" dxfId="47" priority="47" operator="between">
      <formula>-0.0000000000001</formula>
      <formula>0.0000000000001</formula>
    </cfRule>
  </conditionalFormatting>
  <conditionalFormatting sqref="C7 A7">
    <cfRule type="cellIs" dxfId="46" priority="46" operator="between">
      <formula>-0.0000000000001</formula>
      <formula>0.0000000000001</formula>
    </cfRule>
  </conditionalFormatting>
  <conditionalFormatting sqref="D7:AA7">
    <cfRule type="cellIs" dxfId="45" priority="45" operator="between">
      <formula>-0.0000000000001</formula>
      <formula>0.0000000000001</formula>
    </cfRule>
  </conditionalFormatting>
  <conditionalFormatting sqref="D7:AA7">
    <cfRule type="cellIs" dxfId="44" priority="44" operator="between">
      <formula>-0.0000000000001</formula>
      <formula>0.0000000000001</formula>
    </cfRule>
  </conditionalFormatting>
  <conditionalFormatting sqref="D7:O7">
    <cfRule type="cellIs" dxfId="43" priority="43" operator="between">
      <formula>-0.0000000000001</formula>
      <formula>0.0000000000001</formula>
    </cfRule>
  </conditionalFormatting>
  <conditionalFormatting sqref="P7:AA7">
    <cfRule type="cellIs" dxfId="42" priority="42" operator="between">
      <formula>-0.0000000000001</formula>
      <formula>0.0000000000001</formula>
    </cfRule>
  </conditionalFormatting>
  <conditionalFormatting sqref="D32:AA32 A32">
    <cfRule type="cellIs" dxfId="41" priority="41" operator="between">
      <formula>-0.0000000000001</formula>
      <formula>0.0000000000001</formula>
    </cfRule>
  </conditionalFormatting>
  <conditionalFormatting sqref="A32 D32:AA32">
    <cfRule type="cellIs" dxfId="40" priority="40" operator="between">
      <formula>-0.0000000000001</formula>
      <formula>0.0000000000001</formula>
    </cfRule>
  </conditionalFormatting>
  <conditionalFormatting sqref="D44:AA47">
    <cfRule type="cellIs" dxfId="39" priority="32" operator="greaterThan">
      <formula>0.000000000001</formula>
    </cfRule>
    <cfRule type="cellIs" dxfId="38" priority="35" operator="between">
      <formula>-0.0000000000001</formula>
      <formula>0.0000000000001</formula>
    </cfRule>
  </conditionalFormatting>
  <conditionalFormatting sqref="D44:AA47">
    <cfRule type="cellIs" dxfId="37" priority="34" operator="between">
      <formula>-0.0000000000001</formula>
      <formula>0.0000000000001</formula>
    </cfRule>
  </conditionalFormatting>
  <conditionalFormatting sqref="D44:AA47">
    <cfRule type="cellIs" dxfId="36" priority="33" operator="between">
      <formula>-0.0000000000001</formula>
      <formula>0.0000000000001</formula>
    </cfRule>
  </conditionalFormatting>
  <conditionalFormatting sqref="B1">
    <cfRule type="cellIs" dxfId="35" priority="31" operator="greaterThan">
      <formula>0</formula>
    </cfRule>
  </conditionalFormatting>
  <conditionalFormatting sqref="A15 D15:AA15">
    <cfRule type="cellIs" dxfId="34" priority="30" operator="between">
      <formula>-0.0000000000001</formula>
      <formula>0.0000000000001</formula>
    </cfRule>
  </conditionalFormatting>
  <conditionalFormatting sqref="A15">
    <cfRule type="cellIs" dxfId="33" priority="29" operator="between">
      <formula>-0.0000000000001</formula>
      <formula>0.0000000000001</formula>
    </cfRule>
  </conditionalFormatting>
  <conditionalFormatting sqref="A15 C15:O15">
    <cfRule type="cellIs" dxfId="32" priority="28" operator="between">
      <formula>-0.0000000000001</formula>
      <formula>0.0000000000001</formula>
    </cfRule>
  </conditionalFormatting>
  <conditionalFormatting sqref="P15:AA15">
    <cfRule type="cellIs" dxfId="31" priority="27" operator="between">
      <formula>-0.0000000000001</formula>
      <formula>0.0000000000001</formula>
    </cfRule>
  </conditionalFormatting>
  <conditionalFormatting sqref="D50:AA55">
    <cfRule type="cellIs" dxfId="30" priority="24" operator="between">
      <formula>-0.00000000001</formula>
      <formula>0.00000000001</formula>
    </cfRule>
    <cfRule type="colorScale" priority="25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58:AA87">
    <cfRule type="colorScale" priority="22">
      <colorScale>
        <cfvo type="min"/>
        <cfvo type="max"/>
        <color rgb="FFFCFCFF"/>
        <color rgb="FF63BE7B"/>
      </colorScale>
    </cfRule>
  </conditionalFormatting>
  <conditionalFormatting sqref="B58:AA87">
    <cfRule type="cellIs" dxfId="29" priority="20" operator="between">
      <formula>-0.00000000001</formula>
      <formula>0.00000000001</formula>
    </cfRule>
  </conditionalFormatting>
  <conditionalFormatting sqref="D90:AA119">
    <cfRule type="colorScale" priority="18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B90:AA119">
    <cfRule type="cellIs" dxfId="28" priority="17" operator="between">
      <formula>-0.00000000001</formula>
      <formula>0.00000000001</formula>
    </cfRule>
  </conditionalFormatting>
  <conditionalFormatting sqref="A53 A55 A50">
    <cfRule type="cellIs" dxfId="27" priority="16" operator="between">
      <formula>-0.0000000000001</formula>
      <formula>0.0000000000001</formula>
    </cfRule>
  </conditionalFormatting>
  <conditionalFormatting sqref="A53 A55 A50">
    <cfRule type="cellIs" dxfId="26" priority="15" operator="between">
      <formula>-0.0000000000001</formula>
      <formula>0.0000000000001</formula>
    </cfRule>
  </conditionalFormatting>
  <conditionalFormatting sqref="A50">
    <cfRule type="cellIs" dxfId="25" priority="14" operator="between">
      <formula>-0.0000000000001</formula>
      <formula>0.0000000000001</formula>
    </cfRule>
  </conditionalFormatting>
  <conditionalFormatting sqref="A51">
    <cfRule type="cellIs" dxfId="24" priority="13" operator="between">
      <formula>-0.0000000000001</formula>
      <formula>0.0000000000001</formula>
    </cfRule>
  </conditionalFormatting>
  <conditionalFormatting sqref="A51">
    <cfRule type="cellIs" dxfId="23" priority="12" operator="between">
      <formula>-0.0000000000001</formula>
      <formula>0.0000000000001</formula>
    </cfRule>
  </conditionalFormatting>
  <conditionalFormatting sqref="A51">
    <cfRule type="cellIs" dxfId="22" priority="11" operator="between">
      <formula>-0.0000000000001</formula>
      <formula>0.0000000000001</formula>
    </cfRule>
  </conditionalFormatting>
  <conditionalFormatting sqref="A52">
    <cfRule type="cellIs" dxfId="21" priority="10" operator="between">
      <formula>-0.0000000000001</formula>
      <formula>0.0000000000001</formula>
    </cfRule>
  </conditionalFormatting>
  <conditionalFormatting sqref="A52">
    <cfRule type="cellIs" dxfId="20" priority="9" operator="between">
      <formula>-0.0000000000001</formula>
      <formula>0.0000000000001</formula>
    </cfRule>
  </conditionalFormatting>
  <conditionalFormatting sqref="A54">
    <cfRule type="cellIs" dxfId="19" priority="8" operator="between">
      <formula>-0.0000000000001</formula>
      <formula>0.0000000000001</formula>
    </cfRule>
  </conditionalFormatting>
  <conditionalFormatting sqref="A54">
    <cfRule type="cellIs" dxfId="18" priority="7" operator="between">
      <formula>-0.0000000000001</formula>
      <formula>0.0000000000001</formula>
    </cfRule>
  </conditionalFormatting>
  <conditionalFormatting sqref="A58">
    <cfRule type="cellIs" dxfId="17" priority="6" operator="between">
      <formula>-0.0000000000001</formula>
      <formula>0.0000000000001</formula>
    </cfRule>
  </conditionalFormatting>
  <conditionalFormatting sqref="A58">
    <cfRule type="cellIs" dxfId="16" priority="5" operator="between">
      <formula>-0.0000000000001</formula>
      <formula>0.0000000000001</formula>
    </cfRule>
  </conditionalFormatting>
  <conditionalFormatting sqref="A58">
    <cfRule type="cellIs" dxfId="15" priority="4" operator="between">
      <formula>-0.0000000000001</formula>
      <formula>0.0000000000001</formula>
    </cfRule>
  </conditionalFormatting>
  <conditionalFormatting sqref="A90">
    <cfRule type="cellIs" dxfId="14" priority="3" operator="between">
      <formula>-0.0000000000001</formula>
      <formula>0.0000000000001</formula>
    </cfRule>
  </conditionalFormatting>
  <conditionalFormatting sqref="A90">
    <cfRule type="cellIs" dxfId="13" priority="2" operator="between">
      <formula>-0.0000000000001</formula>
      <formula>0.0000000000001</formula>
    </cfRule>
  </conditionalFormatting>
  <conditionalFormatting sqref="A90">
    <cfRule type="cellIs" dxfId="12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D33E5-C87C-4AC3-AE65-3A6C2A4670E1}">
  <sheetPr codeName="Sheet1">
    <tabColor theme="4"/>
  </sheetPr>
  <dimension ref="A3:AF15"/>
  <sheetViews>
    <sheetView zoomScale="85" zoomScaleNormal="85" workbookViewId="0">
      <selection activeCell="C7" sqref="C7"/>
    </sheetView>
  </sheetViews>
  <sheetFormatPr defaultRowHeight="15" x14ac:dyDescent="0.25"/>
  <cols>
    <col min="2" max="2" width="25.85546875" customWidth="1"/>
    <col min="3" max="3" width="32.7109375" bestFit="1" customWidth="1"/>
    <col min="4" max="4" width="10.85546875" bestFit="1" customWidth="1"/>
    <col min="5" max="5" width="5.28515625" style="80" customWidth="1"/>
    <col min="6" max="6" width="26.85546875" bestFit="1" customWidth="1"/>
    <col min="7" max="17" width="12.7109375" style="82" customWidth="1"/>
    <col min="18" max="32" width="9.140625" style="82"/>
  </cols>
  <sheetData>
    <row r="3" spans="1:29" x14ac:dyDescent="0.25">
      <c r="A3" s="105" t="s">
        <v>98</v>
      </c>
      <c r="B3" s="108" t="s">
        <v>99</v>
      </c>
      <c r="C3" s="109"/>
    </row>
    <row r="5" spans="1:29" x14ac:dyDescent="0.25">
      <c r="A5" s="85" t="s">
        <v>95</v>
      </c>
      <c r="B5" s="78" t="s">
        <v>89</v>
      </c>
      <c r="C5" s="78" t="s">
        <v>90</v>
      </c>
      <c r="D5" s="78" t="s">
        <v>97</v>
      </c>
      <c r="E5" s="85" t="s">
        <v>96</v>
      </c>
      <c r="F5" s="78" t="s">
        <v>94</v>
      </c>
      <c r="G5" s="83" t="str">
        <f t="shared" ref="G5:AC5" si="0">_xlfn.LET(_xlpm.id,COLUMN(G5)-COLUMN($G$5),IF(_xlpm.id&lt;Nscen,"sc-"&amp;_xlpm.id,""))</f>
        <v>sc-0</v>
      </c>
      <c r="H5" s="83" t="str">
        <f t="shared" si="0"/>
        <v>sc-1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83" t="str">
        <f t="shared" si="0"/>
        <v/>
      </c>
      <c r="M5" s="83" t="str">
        <f t="shared" si="0"/>
        <v/>
      </c>
      <c r="N5" s="83" t="str">
        <f t="shared" si="0"/>
        <v/>
      </c>
      <c r="O5" s="83" t="str">
        <f t="shared" si="0"/>
        <v/>
      </c>
      <c r="P5" s="83" t="str">
        <f t="shared" si="0"/>
        <v/>
      </c>
      <c r="Q5" s="83" t="str">
        <f t="shared" si="0"/>
        <v/>
      </c>
      <c r="R5" s="81" t="str">
        <f t="shared" si="0"/>
        <v/>
      </c>
      <c r="S5" s="81" t="str">
        <f t="shared" si="0"/>
        <v/>
      </c>
      <c r="T5" s="81" t="str">
        <f t="shared" si="0"/>
        <v/>
      </c>
      <c r="U5" s="81" t="str">
        <f t="shared" si="0"/>
        <v/>
      </c>
      <c r="V5" s="81" t="str">
        <f t="shared" si="0"/>
        <v/>
      </c>
      <c r="W5" s="81" t="str">
        <f t="shared" si="0"/>
        <v/>
      </c>
      <c r="X5" s="81" t="str">
        <f t="shared" si="0"/>
        <v/>
      </c>
      <c r="Y5" s="81" t="str">
        <f t="shared" si="0"/>
        <v/>
      </c>
      <c r="Z5" s="81" t="str">
        <f t="shared" si="0"/>
        <v/>
      </c>
      <c r="AA5" s="81" t="str">
        <f t="shared" si="0"/>
        <v/>
      </c>
      <c r="AB5" s="81" t="str">
        <f t="shared" si="0"/>
        <v/>
      </c>
      <c r="AC5" s="81" t="str">
        <f t="shared" si="0"/>
        <v/>
      </c>
    </row>
    <row r="6" spans="1:29" x14ac:dyDescent="0.25">
      <c r="A6" s="84">
        <v>1</v>
      </c>
      <c r="B6" s="79" t="s">
        <v>88</v>
      </c>
      <c r="C6" s="79" t="s">
        <v>7</v>
      </c>
      <c r="D6" s="86">
        <v>1000</v>
      </c>
      <c r="E6" s="80">
        <f t="shared" ref="E6:E15" si="1">MATCH(B6&amp;"."&amp;C6,listScenTopics,0)</f>
        <v>8</v>
      </c>
      <c r="F6" t="str">
        <f>C6</f>
        <v>REFA-Daekningsbidrag</v>
      </c>
      <c r="G6" s="82" cm="1">
        <f t="array" aca="1" ref="G6:H6" ca="1">IF(A6=0,"",OFFSET(scenTopicsHeader,E6-1,3,1,Nscen)/D6)</f>
        <v>-2440.9401017176415</v>
      </c>
      <c r="H6" s="82">
        <f ca="1"/>
        <v>-569.60969719764967</v>
      </c>
    </row>
    <row r="7" spans="1:29" x14ac:dyDescent="0.25">
      <c r="A7" s="84">
        <v>1</v>
      </c>
      <c r="B7" s="79" t="s">
        <v>88</v>
      </c>
      <c r="C7" s="79" t="s">
        <v>8</v>
      </c>
      <c r="D7" s="86">
        <v>1000</v>
      </c>
      <c r="E7" s="80">
        <f t="shared" si="1"/>
        <v>9</v>
      </c>
      <c r="F7" t="str">
        <f>C7</f>
        <v>REFA-Total-Var-Indkomst</v>
      </c>
      <c r="G7" s="82" cm="1">
        <f t="array" aca="1" ref="G7:H7" ca="1">IF(A7=0,"",OFFSET(scenTopicsHeader,E7-1,3,1,Nscen)/D7)</f>
        <v>7018.1756688673531</v>
      </c>
      <c r="H7" s="82">
        <f ca="1"/>
        <v>7050.4128298098531</v>
      </c>
    </row>
    <row r="8" spans="1:29" x14ac:dyDescent="0.25">
      <c r="A8" s="84">
        <v>1</v>
      </c>
      <c r="B8" s="79" t="s">
        <v>88</v>
      </c>
      <c r="C8" s="79" t="s">
        <v>12</v>
      </c>
      <c r="D8" s="86">
        <v>1000</v>
      </c>
      <c r="E8" s="80">
        <f t="shared" si="1"/>
        <v>14</v>
      </c>
      <c r="F8" t="str">
        <f>C8</f>
        <v>REFA-Total-Var-Omkostning</v>
      </c>
      <c r="G8" s="82" cm="1">
        <f t="array" aca="1" ref="G8:H8" ca="1">IF(A8=0,"",OFFSET(scenTopicsHeader,E8-1,3,1,Nscen)/D8)</f>
        <v>9459.1157705849946</v>
      </c>
      <c r="H8" s="82">
        <f ca="1"/>
        <v>7620.0225270075025</v>
      </c>
    </row>
    <row r="9" spans="1:29" x14ac:dyDescent="0.25">
      <c r="A9" s="84">
        <v>1</v>
      </c>
      <c r="B9" s="79" t="s">
        <v>88</v>
      </c>
      <c r="C9" s="79" t="s">
        <v>15</v>
      </c>
      <c r="D9" s="86">
        <v>1000</v>
      </c>
      <c r="E9" s="80">
        <f t="shared" si="1"/>
        <v>17</v>
      </c>
      <c r="F9" t="str">
        <f>C9</f>
        <v>REFA-Afgifter</v>
      </c>
      <c r="G9" s="82" cm="1">
        <f t="array" aca="1" ref="G9:H9" ca="1">IF(A9=0,"",OFFSET(scenTopicsHeader,E9-1,3,1,Nscen)/D9)</f>
        <v>5860.0276890179421</v>
      </c>
      <c r="H9" s="82">
        <f ca="1"/>
        <v>5860.0276890179421</v>
      </c>
    </row>
    <row r="10" spans="1:29" x14ac:dyDescent="0.25">
      <c r="A10" s="84">
        <v>1</v>
      </c>
      <c r="B10" s="79" t="s">
        <v>88</v>
      </c>
      <c r="C10" s="79" t="s">
        <v>16</v>
      </c>
      <c r="D10" s="86">
        <v>1000</v>
      </c>
      <c r="E10" s="80">
        <f t="shared" si="1"/>
        <v>18</v>
      </c>
      <c r="F10" t="str">
        <f>C10</f>
        <v>REFA-CO2-Kvoteomk</v>
      </c>
      <c r="G10" s="82" cm="1">
        <f t="array" aca="1" ref="G10:H10" ca="1">IF(A10=0,"",OFFSET(scenTopicsHeader,E10-1,3,1,Nscen)/D10)</f>
        <v>1848.1139339199938</v>
      </c>
      <c r="H10" s="82">
        <f ca="1"/>
        <v>9.0206903425014939</v>
      </c>
    </row>
    <row r="11" spans="1:29" x14ac:dyDescent="0.25">
      <c r="A11" s="84">
        <v>0</v>
      </c>
      <c r="B11" s="79" t="s">
        <v>88</v>
      </c>
      <c r="C11" s="79" t="s">
        <v>16</v>
      </c>
      <c r="D11" s="86">
        <v>1000</v>
      </c>
      <c r="E11" s="80">
        <f t="shared" si="1"/>
        <v>18</v>
      </c>
      <c r="F11" t="str">
        <f t="shared" ref="F11:F15" si="2">C11</f>
        <v>REFA-CO2-Kvoteomk</v>
      </c>
      <c r="G11" s="82" t="str" cm="1">
        <f t="array" aca="1" ref="G11" ca="1">IF(A11=0,"",OFFSET(scenTopicsHeader,E11-1,3,1,Nscen)/D11)</f>
        <v/>
      </c>
    </row>
    <row r="12" spans="1:29" x14ac:dyDescent="0.25">
      <c r="A12" s="84">
        <v>0</v>
      </c>
      <c r="B12" s="79" t="s">
        <v>88</v>
      </c>
      <c r="C12" s="79" t="s">
        <v>16</v>
      </c>
      <c r="D12" s="86">
        <v>1000</v>
      </c>
      <c r="E12" s="80">
        <f t="shared" si="1"/>
        <v>18</v>
      </c>
      <c r="F12" t="str">
        <f t="shared" si="2"/>
        <v>REFA-CO2-Kvoteomk</v>
      </c>
      <c r="G12" s="82" t="str" cm="1">
        <f t="array" aca="1" ref="G12" ca="1">IF(A12=0,"",OFFSET(scenTopicsHeader,E12-1,3,1,Nscen)/D12)</f>
        <v/>
      </c>
    </row>
    <row r="13" spans="1:29" x14ac:dyDescent="0.25">
      <c r="A13" s="84">
        <v>0</v>
      </c>
      <c r="B13" s="79" t="s">
        <v>88</v>
      </c>
      <c r="C13" s="79" t="s">
        <v>16</v>
      </c>
      <c r="D13" s="86">
        <v>1000</v>
      </c>
      <c r="E13" s="80">
        <f t="shared" si="1"/>
        <v>18</v>
      </c>
      <c r="F13" t="str">
        <f t="shared" si="2"/>
        <v>REFA-CO2-Kvoteomk</v>
      </c>
      <c r="G13" s="82" t="str" cm="1">
        <f t="array" aca="1" ref="G13" ca="1">IF(A13=0,"",OFFSET(scenTopicsHeader,E13-1,3,1,Nscen)/D13)</f>
        <v/>
      </c>
    </row>
    <row r="14" spans="1:29" x14ac:dyDescent="0.25">
      <c r="A14" s="84">
        <v>0</v>
      </c>
      <c r="B14" s="79" t="s">
        <v>88</v>
      </c>
      <c r="C14" s="79" t="s">
        <v>16</v>
      </c>
      <c r="D14" s="86">
        <v>1000</v>
      </c>
      <c r="E14" s="80">
        <f t="shared" si="1"/>
        <v>18</v>
      </c>
      <c r="F14" t="str">
        <f t="shared" si="2"/>
        <v>REFA-CO2-Kvoteomk</v>
      </c>
      <c r="G14" s="82" t="str" cm="1">
        <f t="array" aca="1" ref="G14" ca="1">IF(A14=0,"",OFFSET(scenTopicsHeader,E14-1,3,1,Nscen)/D14)</f>
        <v/>
      </c>
    </row>
    <row r="15" spans="1:29" x14ac:dyDescent="0.25">
      <c r="A15" s="84">
        <v>0</v>
      </c>
      <c r="B15" s="79" t="s">
        <v>88</v>
      </c>
      <c r="C15" s="79" t="s">
        <v>16</v>
      </c>
      <c r="D15" s="86">
        <v>1000</v>
      </c>
      <c r="E15" s="80">
        <f t="shared" si="1"/>
        <v>18</v>
      </c>
      <c r="F15" t="str">
        <f t="shared" si="2"/>
        <v>REFA-CO2-Kvoteomk</v>
      </c>
      <c r="G15" s="82" t="str" cm="1">
        <f t="array" aca="1" ref="G15" ca="1">IF(A15=0,"",OFFSET(scenTopicsHeader,E15-1,3,1,Nscen)/D15)</f>
        <v/>
      </c>
    </row>
  </sheetData>
  <mergeCells count="1">
    <mergeCell ref="B3:C3"/>
  </mergeCells>
  <conditionalFormatting sqref="A6:A15">
    <cfRule type="iconSet" priority="1">
      <iconSet>
        <cfvo type="percent" val="0"/>
        <cfvo type="percent" val="33"/>
        <cfvo type="percent" val="67"/>
      </iconSet>
    </cfRule>
  </conditionalFormatting>
  <dataValidations count="3">
    <dataValidation type="list" allowBlank="1" showInputMessage="1" showErrorMessage="1" sqref="B6:B15" xr:uid="{D3DDF137-E67F-48B9-98BC-33E3A7408901}">
      <formula1>listKategori</formula1>
    </dataValidation>
    <dataValidation type="list" allowBlank="1" showInputMessage="1" showErrorMessage="1" sqref="C6:C15 E6:E15" xr:uid="{C2A692C2-3D6D-424F-8D77-D516B2A67503}">
      <formula1>listdynEmner</formula1>
    </dataValidation>
    <dataValidation type="whole" allowBlank="1" showInputMessage="1" showErrorMessage="1" sqref="A6:A15" xr:uid="{DE08E23B-0825-42E7-A9AE-A72A1F855AB7}">
      <formula1>0</formula1>
      <formula2>1</formula2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C00C4-308E-4153-B42C-8063E7B6668D}">
  <dimension ref="A1:AM59"/>
  <sheetViews>
    <sheetView zoomScale="70" zoomScaleNormal="70" workbookViewId="0">
      <selection activeCell="M19" sqref="M19"/>
    </sheetView>
  </sheetViews>
  <sheetFormatPr defaultRowHeight="15" x14ac:dyDescent="0.25"/>
  <cols>
    <col min="2" max="2" width="12.5703125" bestFit="1" customWidth="1"/>
    <col min="3" max="3" width="17.28515625" bestFit="1" customWidth="1"/>
    <col min="4" max="4" width="10.140625" bestFit="1" customWidth="1"/>
    <col min="5" max="5" width="12" customWidth="1"/>
    <col min="6" max="6" width="15.85546875" customWidth="1"/>
    <col min="7" max="7" width="12.5703125" bestFit="1" customWidth="1"/>
    <col min="8" max="9" width="14.5703125" bestFit="1" customWidth="1"/>
    <col min="10" max="10" width="8.5703125" bestFit="1" customWidth="1"/>
    <col min="11" max="11" width="11" bestFit="1" customWidth="1"/>
    <col min="12" max="12" width="13.28515625" customWidth="1"/>
    <col min="13" max="13" width="14.5703125" customWidth="1"/>
    <col min="14" max="14" width="15" customWidth="1"/>
    <col min="15" max="15" width="17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6" x14ac:dyDescent="0.25">
      <c r="A1" t="s">
        <v>185</v>
      </c>
      <c r="E1">
        <f>COUNTA(E4:E30)</f>
        <v>2</v>
      </c>
      <c r="R1" s="96" t="s">
        <v>186</v>
      </c>
      <c r="S1" t="s">
        <v>187</v>
      </c>
      <c r="T1" s="97" t="s">
        <v>188</v>
      </c>
    </row>
    <row r="2" spans="1:26" x14ac:dyDescent="0.25">
      <c r="B2" s="78" t="s">
        <v>189</v>
      </c>
      <c r="C2" s="78" t="s">
        <v>190</v>
      </c>
      <c r="J2" s="78" t="s">
        <v>191</v>
      </c>
      <c r="O2" s="98" t="s">
        <v>192</v>
      </c>
      <c r="S2" t="s">
        <v>193</v>
      </c>
      <c r="T2" s="97" t="s">
        <v>194</v>
      </c>
    </row>
    <row r="3" spans="1:26" x14ac:dyDescent="0.25">
      <c r="B3" s="99" t="s">
        <v>195</v>
      </c>
      <c r="C3" s="100" t="str" cm="1">
        <f t="array" ref="C3:H3">TRANSPOSE(B4:B9)&amp;"2"</f>
        <v>Control2</v>
      </c>
      <c r="D3" s="100" t="str">
        <v>Plant2</v>
      </c>
      <c r="E3" s="100" t="str">
        <v>Storage2</v>
      </c>
      <c r="F3" s="100" t="str">
        <v>Prognoses2</v>
      </c>
      <c r="G3" s="100" t="str">
        <v>Fuel2</v>
      </c>
      <c r="H3" s="100" t="str">
        <v>FuelBounds2</v>
      </c>
      <c r="I3" s="100"/>
      <c r="J3" s="93" t="str" cm="1">
        <f t="array" ref="J3:O3">TRANSPOSE(B4:B9)&amp;"3"</f>
        <v>Control3</v>
      </c>
      <c r="K3" s="93" t="str">
        <v>Plant3</v>
      </c>
      <c r="L3" s="93" t="str">
        <v>Storage3</v>
      </c>
      <c r="M3" s="93" t="str">
        <v>Prognoses3</v>
      </c>
      <c r="N3" s="93" t="str">
        <v>Fuel3</v>
      </c>
      <c r="O3" s="93" t="str">
        <v>FuelBounds3</v>
      </c>
      <c r="P3" s="93"/>
    </row>
    <row r="4" spans="1:26" x14ac:dyDescent="0.25">
      <c r="B4" t="s">
        <v>122</v>
      </c>
      <c r="C4" t="str" cm="1">
        <f t="array" ref="C4:C13">_xlfn.LET(_xlpm.ran,listDataCtrl,_xlfn._xlws.FILTER(_xlpm.ran,(LEN(_xlpm.ran)&gt;0)))</f>
        <v>RunScenarios</v>
      </c>
      <c r="D4" t="str" cm="1">
        <f t="array" ref="D4:D9">listUnitsName</f>
        <v>Ovn2</v>
      </c>
      <c r="E4" t="str" cm="1">
        <f t="array" ref="E4:E5">_xlfn._xlws.FILTER(listStorageName,LEN(listStorageName)&gt;0)</f>
        <v>sto1</v>
      </c>
      <c r="F4" t="str" cm="1">
        <f t="array" ref="F4:F28">_xlfn.LET(_xlpm.ran,TRANSPOSE(listPrognosisAttr),_xlpm.ran)</f>
        <v>Aktiv</v>
      </c>
      <c r="G4" t="str" cm="1">
        <f t="array" ref="G4:G32">listFuelName</f>
        <v>DepoSort</v>
      </c>
      <c r="H4" t="str" cm="1">
        <f t="array" ref="H4:H32">listFuelName</f>
        <v>DepoSort</v>
      </c>
      <c r="J4" t="s">
        <v>124</v>
      </c>
      <c r="K4" t="str" cm="1">
        <f t="array" ref="K4:K17">_xlfn.LET(_xlpm.ran,TRANSPOSE(listUnitAttr),_xlpm.ran)</f>
        <v>Aktiv</v>
      </c>
      <c r="L4" t="str" cm="1">
        <f t="array" ref="L4:L15">TRANSPOSE(listStorageAttr)</f>
        <v>Aktiv</v>
      </c>
      <c r="M4" t="s">
        <v>124</v>
      </c>
      <c r="N4" t="str" cm="1">
        <f t="array" ref="N4:N19">_xlfn.LET(_xlpm.ran,TRANSPOSE(listFuelAttr),_xlpm.ran)</f>
        <v>Aktiv</v>
      </c>
      <c r="O4" t="s">
        <v>196</v>
      </c>
      <c r="R4" s="78" t="s">
        <v>189</v>
      </c>
      <c r="S4" s="78" t="s">
        <v>190</v>
      </c>
      <c r="T4" s="78" t="s">
        <v>191</v>
      </c>
      <c r="U4" s="78" t="s">
        <v>197</v>
      </c>
      <c r="V4" s="85" t="s">
        <v>198</v>
      </c>
    </row>
    <row r="5" spans="1:26" x14ac:dyDescent="0.25">
      <c r="B5" t="s">
        <v>130</v>
      </c>
      <c r="C5" t="str">
        <v>IncludeGSF</v>
      </c>
      <c r="D5" t="str">
        <v>Ovn3</v>
      </c>
      <c r="E5" t="str">
        <v>sto2</v>
      </c>
      <c r="F5" t="str">
        <v>Ndage</v>
      </c>
      <c r="G5" t="str">
        <v>DepoSmaat</v>
      </c>
      <c r="H5" t="str">
        <v>DepoSmaat</v>
      </c>
      <c r="K5" t="str">
        <v>Ukind</v>
      </c>
      <c r="L5" t="str">
        <v>StoKind</v>
      </c>
      <c r="N5" t="str">
        <v>Fkind</v>
      </c>
      <c r="O5" t="s">
        <v>199</v>
      </c>
      <c r="R5" t="s">
        <v>130</v>
      </c>
      <c r="S5" t="s">
        <v>40</v>
      </c>
      <c r="T5" t="s">
        <v>111</v>
      </c>
      <c r="U5" s="101">
        <v>44197</v>
      </c>
      <c r="V5" s="102"/>
      <c r="X5" t="str" cm="1">
        <f t="array" aca="1" ref="X5:X15" ca="1">_xlfn.LET(_xlpm.a,MATCH($R5&amp;"2",listHeaders,0)-1,_xlpm.b,OFFSET($B$3,1,_xlpm.a,40,1),OFFSET($B$3,1,_xlpm.a,COUNTA(_xlpm.b)-COUNTIF(_xlpm.b,"=0"),1))</f>
        <v>Ovn2</v>
      </c>
      <c r="Z5" t="str" cm="1">
        <f t="array" aca="1" ref="Z5:Z24" ca="1">OFFSET($B$3,1,3,20,1)</f>
        <v>sto1</v>
      </c>
    </row>
    <row r="6" spans="1:26" x14ac:dyDescent="0.25">
      <c r="B6" t="s">
        <v>152</v>
      </c>
      <c r="C6" t="str">
        <v>VirtuelVarme</v>
      </c>
      <c r="D6" t="str">
        <v>FlisK</v>
      </c>
      <c r="F6" t="str">
        <v>Ovn2</v>
      </c>
      <c r="G6" t="str">
        <v>DepoNedd</v>
      </c>
      <c r="H6" t="str">
        <v>DepoNedd</v>
      </c>
      <c r="K6" t="str">
        <v>Prioritet</v>
      </c>
      <c r="L6" t="str">
        <v>LoadInit</v>
      </c>
      <c r="N6" t="str">
        <v>Lagerbar</v>
      </c>
      <c r="O6" t="s">
        <v>139</v>
      </c>
      <c r="R6" t="s">
        <v>130</v>
      </c>
      <c r="S6" t="s">
        <v>40</v>
      </c>
      <c r="T6" t="s">
        <v>111</v>
      </c>
      <c r="U6" s="101">
        <v>44531</v>
      </c>
      <c r="V6" s="102"/>
      <c r="X6" t="str">
        <f ca="1"/>
        <v>Ovn3</v>
      </c>
      <c r="Z6" t="str">
        <f ca="1"/>
        <v>sto2</v>
      </c>
    </row>
    <row r="7" spans="1:26" x14ac:dyDescent="0.25">
      <c r="B7" t="s">
        <v>133</v>
      </c>
      <c r="C7" t="str">
        <v>VirtuelAffald</v>
      </c>
      <c r="D7" t="str">
        <v>NS</v>
      </c>
      <c r="F7" t="str">
        <v>Ovn3</v>
      </c>
      <c r="G7" t="str">
        <v>Dagren</v>
      </c>
      <c r="H7" t="str">
        <v>Dagren</v>
      </c>
      <c r="K7" t="str">
        <v>MinLhv</v>
      </c>
      <c r="L7" t="str">
        <v>LoadMin</v>
      </c>
      <c r="N7" t="str">
        <v>Fri</v>
      </c>
      <c r="O7" t="s">
        <v>200</v>
      </c>
      <c r="R7" t="s">
        <v>130</v>
      </c>
      <c r="S7" t="s">
        <v>39</v>
      </c>
      <c r="T7" t="s">
        <v>111</v>
      </c>
      <c r="U7" s="101">
        <v>44531</v>
      </c>
      <c r="V7" s="102"/>
      <c r="X7" t="str">
        <f ca="1"/>
        <v>FlisK</v>
      </c>
      <c r="Z7">
        <f ca="1"/>
        <v>0</v>
      </c>
    </row>
    <row r="8" spans="1:26" x14ac:dyDescent="0.25">
      <c r="B8" t="s">
        <v>138</v>
      </c>
      <c r="C8" t="str">
        <v>Skorstensmetode</v>
      </c>
      <c r="D8" t="str">
        <v>Cooler</v>
      </c>
      <c r="F8" t="str">
        <v>FlisK</v>
      </c>
      <c r="G8" t="str">
        <v>AndetBrand</v>
      </c>
      <c r="H8" t="str">
        <v>AndetBrand</v>
      </c>
      <c r="K8" t="str">
        <v>MaxLhv</v>
      </c>
      <c r="L8" t="str">
        <v>LoadMax</v>
      </c>
      <c r="N8" t="str">
        <v>Flex</v>
      </c>
      <c r="O8" t="s">
        <v>201</v>
      </c>
      <c r="R8" t="s">
        <v>130</v>
      </c>
      <c r="U8" s="101">
        <v>44197</v>
      </c>
      <c r="V8" s="102"/>
      <c r="X8" t="str">
        <f ca="1"/>
        <v>NS</v>
      </c>
      <c r="Z8">
        <f ca="1"/>
        <v>0</v>
      </c>
    </row>
    <row r="9" spans="1:26" x14ac:dyDescent="0.25">
      <c r="B9" t="s">
        <v>142</v>
      </c>
      <c r="C9" t="str">
        <v>FixAffald</v>
      </c>
      <c r="D9" t="str">
        <v>PeakK</v>
      </c>
      <c r="F9" t="str">
        <v>NS</v>
      </c>
      <c r="G9" t="str">
        <v>Trae</v>
      </c>
      <c r="H9" t="str">
        <v>Trae</v>
      </c>
      <c r="K9" t="str">
        <v>MinTon</v>
      </c>
      <c r="L9" t="str">
        <v>DLoadMax</v>
      </c>
      <c r="N9" t="str">
        <v>Bortskaf</v>
      </c>
      <c r="O9" t="s">
        <v>143</v>
      </c>
      <c r="R9" t="s">
        <v>152</v>
      </c>
      <c r="S9" t="s">
        <v>202</v>
      </c>
      <c r="U9" s="101">
        <v>44682</v>
      </c>
      <c r="V9" s="102"/>
      <c r="W9" t="b" cm="1">
        <f t="array" aca="1" ref="W9:W14" ca="1">Lister!$A$5=_xlfn.LET(_xlpm.a,MATCH(Lister!$R9&amp;"2",listHeaders,0)-1,_xlpm.b,OFFSET(Lister!$B$3,1,_xlpm.a,40,1),OFFSET(Lister!$B$3,1,_xlpm.a,COUNTA(_xlpm.b)-COUNTIF(_xlpm.b,"=0"),1))</f>
        <v>0</v>
      </c>
      <c r="X9" t="str">
        <f ca="1"/>
        <v>Cooler</v>
      </c>
      <c r="Z9">
        <f ca="1"/>
        <v>0</v>
      </c>
    </row>
    <row r="10" spans="1:26" x14ac:dyDescent="0.25">
      <c r="C10" t="str">
        <v>RgkRabatSats</v>
      </c>
      <c r="F10" t="str">
        <v>Cooler</v>
      </c>
      <c r="G10" t="str">
        <v>DagrenRast</v>
      </c>
      <c r="H10" t="str">
        <v>DagrenRast</v>
      </c>
      <c r="K10" t="str">
        <v>MaxTon</v>
      </c>
      <c r="L10" t="str">
        <v>LossRate</v>
      </c>
      <c r="N10" t="str">
        <v>TilOvn2</v>
      </c>
      <c r="O10" t="s">
        <v>203</v>
      </c>
      <c r="R10" t="s">
        <v>130</v>
      </c>
      <c r="S10" t="s">
        <v>39</v>
      </c>
      <c r="U10" s="101">
        <v>47665</v>
      </c>
      <c r="V10" s="102"/>
      <c r="W10" t="b">
        <f ca="1"/>
        <v>0</v>
      </c>
      <c r="X10" t="str">
        <f ca="1"/>
        <v>PeakK</v>
      </c>
      <c r="Z10">
        <f ca="1"/>
        <v>0</v>
      </c>
    </row>
    <row r="11" spans="1:26" x14ac:dyDescent="0.25">
      <c r="C11" t="str">
        <v>RgkAndelRabat</v>
      </c>
      <c r="F11" t="str">
        <v>PeakK</v>
      </c>
      <c r="G11" t="str">
        <v>DagrenInst</v>
      </c>
      <c r="H11" t="str">
        <v>DagrenInst</v>
      </c>
      <c r="K11" t="str">
        <v>KapQNom</v>
      </c>
      <c r="L11" t="str">
        <v>LoadCost</v>
      </c>
      <c r="N11" t="str">
        <v>TilOvn3</v>
      </c>
      <c r="R11" t="s">
        <v>130</v>
      </c>
      <c r="U11" s="101"/>
      <c r="V11" s="102"/>
      <c r="W11" t="b">
        <f ca="1"/>
        <v>1</v>
      </c>
      <c r="X11">
        <f ca="1"/>
        <v>0</v>
      </c>
      <c r="Z11">
        <f ca="1"/>
        <v>0</v>
      </c>
    </row>
    <row r="12" spans="1:26" x14ac:dyDescent="0.25">
      <c r="C12" t="str">
        <v>Varmesalgspris</v>
      </c>
      <c r="F12" t="str">
        <v>Turbine</v>
      </c>
      <c r="G12" t="str">
        <v>DagrenHandel</v>
      </c>
      <c r="H12" t="str">
        <v>DagrenHandel</v>
      </c>
      <c r="K12" t="str">
        <v>KapRgk</v>
      </c>
      <c r="L12" t="str">
        <v>DLoadCost</v>
      </c>
      <c r="N12" t="str">
        <v>MinTonnage</v>
      </c>
      <c r="R12" t="s">
        <v>130</v>
      </c>
      <c r="S12" t="s">
        <v>44</v>
      </c>
      <c r="U12" s="101"/>
      <c r="V12" s="102"/>
      <c r="W12" t="b">
        <f ca="1"/>
        <v>1</v>
      </c>
      <c r="X12">
        <f ca="1"/>
        <v>0</v>
      </c>
      <c r="Z12">
        <f ca="1"/>
        <v>0</v>
      </c>
    </row>
    <row r="13" spans="1:26" x14ac:dyDescent="0.25">
      <c r="C13" t="str">
        <v>EgetforbrugKVV</v>
      </c>
      <c r="F13" t="str">
        <v>Varmebehov</v>
      </c>
      <c r="G13" t="str">
        <v>DagrenRestau</v>
      </c>
      <c r="H13" t="str">
        <v>DagrenRestau</v>
      </c>
      <c r="K13" t="str">
        <v>KapE</v>
      </c>
      <c r="L13" t="str">
        <v>ResetFirst</v>
      </c>
      <c r="N13" t="str">
        <v>MaxTonnage</v>
      </c>
      <c r="R13" t="s">
        <v>130</v>
      </c>
      <c r="S13" t="s">
        <v>44</v>
      </c>
      <c r="U13" s="101"/>
      <c r="V13" s="102"/>
      <c r="W13" t="b">
        <f ca="1"/>
        <v>1</v>
      </c>
      <c r="X13">
        <f ca="1"/>
        <v>0</v>
      </c>
      <c r="Z13">
        <f ca="1"/>
        <v>0</v>
      </c>
    </row>
    <row r="14" spans="1:26" x14ac:dyDescent="0.25">
      <c r="F14" t="str">
        <v>NSprod</v>
      </c>
      <c r="G14" t="str">
        <v>Erhverv</v>
      </c>
      <c r="H14" t="str">
        <v>Erhverv</v>
      </c>
      <c r="K14" t="str">
        <v>EtaE</v>
      </c>
      <c r="L14" t="str">
        <v>ResetIntv</v>
      </c>
      <c r="N14" t="str">
        <v>InitSto1</v>
      </c>
      <c r="R14" t="s">
        <v>130</v>
      </c>
      <c r="U14" s="101"/>
      <c r="V14" s="102"/>
      <c r="W14" t="b">
        <f ca="1"/>
        <v>1</v>
      </c>
      <c r="X14">
        <f ca="1"/>
        <v>0</v>
      </c>
      <c r="Z14">
        <f ca="1"/>
        <v>0</v>
      </c>
    </row>
    <row r="15" spans="1:26" x14ac:dyDescent="0.25">
      <c r="F15" t="str">
        <v>ELprod</v>
      </c>
      <c r="G15" t="str">
        <v>DagrenErhverv</v>
      </c>
      <c r="H15" t="str">
        <v>DagrenErhverv</v>
      </c>
      <c r="K15" t="str">
        <v>EtaQ</v>
      </c>
      <c r="L15" t="str">
        <v>ResetLast</v>
      </c>
      <c r="N15" t="str">
        <v>InitSto2</v>
      </c>
      <c r="R15" t="s">
        <v>130</v>
      </c>
      <c r="U15" s="101"/>
      <c r="V15" s="102"/>
      <c r="X15">
        <f ca="1"/>
        <v>0</v>
      </c>
      <c r="Z15">
        <f ca="1"/>
        <v>0</v>
      </c>
    </row>
    <row r="16" spans="1:26" x14ac:dyDescent="0.25">
      <c r="F16" t="str">
        <v>Bypass</v>
      </c>
      <c r="G16" t="str">
        <v>HandelKontor</v>
      </c>
      <c r="H16" t="str">
        <v>HandelKontor</v>
      </c>
      <c r="K16" t="str">
        <v>DVMWhq</v>
      </c>
      <c r="N16" t="str">
        <v>Pris</v>
      </c>
      <c r="R16" t="s">
        <v>130</v>
      </c>
      <c r="U16" s="101"/>
      <c r="V16" s="102"/>
      <c r="Z16">
        <f ca="1"/>
        <v>0</v>
      </c>
    </row>
    <row r="17" spans="2:26" x14ac:dyDescent="0.25">
      <c r="F17" t="str">
        <v>Elpris</v>
      </c>
      <c r="G17" t="str">
        <v>Privat</v>
      </c>
      <c r="H17" t="str">
        <v>Privat</v>
      </c>
      <c r="K17" t="str">
        <v>DVtime</v>
      </c>
      <c r="N17" t="str">
        <v>LHV</v>
      </c>
      <c r="U17" s="101"/>
      <c r="V17" s="102"/>
      <c r="Z17">
        <f ca="1"/>
        <v>0</v>
      </c>
    </row>
    <row r="18" spans="2:26" x14ac:dyDescent="0.25">
      <c r="F18" t="str">
        <v>ETS</v>
      </c>
      <c r="G18" t="str">
        <v>TyskRest</v>
      </c>
      <c r="H18" t="str">
        <v>TyskRest</v>
      </c>
      <c r="N18" t="str">
        <v>NOxKgTon</v>
      </c>
      <c r="U18" s="101"/>
      <c r="V18" s="102"/>
      <c r="Z18">
        <f ca="1"/>
        <v>0</v>
      </c>
    </row>
    <row r="19" spans="2:26" x14ac:dyDescent="0.25">
      <c r="F19" t="str">
        <v>AFV</v>
      </c>
      <c r="G19" t="str">
        <v>PolskRest</v>
      </c>
      <c r="H19" t="str">
        <v>PolskRest</v>
      </c>
      <c r="N19" t="str">
        <v>CO2kgGJ</v>
      </c>
      <c r="U19" s="101"/>
      <c r="V19" s="102"/>
      <c r="Z19">
        <f ca="1"/>
        <v>0</v>
      </c>
    </row>
    <row r="20" spans="2:26" x14ac:dyDescent="0.25">
      <c r="F20" t="str">
        <v>ATL</v>
      </c>
      <c r="G20" t="str">
        <v>PcbTrae</v>
      </c>
      <c r="H20" t="str">
        <v>PcbTrae</v>
      </c>
      <c r="U20" s="101"/>
      <c r="V20" s="102"/>
      <c r="Z20">
        <f ca="1"/>
        <v>0</v>
      </c>
    </row>
    <row r="21" spans="2:26" x14ac:dyDescent="0.25">
      <c r="F21" t="str">
        <v>CO2aff</v>
      </c>
      <c r="G21" t="str">
        <v>TraeRekv</v>
      </c>
      <c r="H21" t="str">
        <v>TraeRekv</v>
      </c>
      <c r="U21" s="101"/>
      <c r="V21" s="102"/>
      <c r="Z21">
        <f ca="1"/>
        <v>0</v>
      </c>
    </row>
    <row r="22" spans="2:26" x14ac:dyDescent="0.25">
      <c r="B22" t="s">
        <v>204</v>
      </c>
      <c r="F22" t="str">
        <v>ETSaff</v>
      </c>
      <c r="G22" t="str">
        <v>Halm</v>
      </c>
      <c r="H22" t="str">
        <v>Halm</v>
      </c>
      <c r="U22" s="101"/>
      <c r="V22" s="102"/>
      <c r="Z22">
        <f ca="1"/>
        <v>0</v>
      </c>
    </row>
    <row r="23" spans="2:26" x14ac:dyDescent="0.25">
      <c r="F23" t="str">
        <v>CO2afgAff</v>
      </c>
      <c r="G23" t="str">
        <v>Pulver</v>
      </c>
      <c r="H23" t="str">
        <v>Pulver</v>
      </c>
      <c r="U23" s="101"/>
      <c r="V23" s="102"/>
      <c r="Z23">
        <f ca="1"/>
        <v>0</v>
      </c>
    </row>
    <row r="24" spans="2:26" x14ac:dyDescent="0.25">
      <c r="F24" t="str">
        <v>NOxAff</v>
      </c>
      <c r="G24" t="str">
        <v>FlisAffald</v>
      </c>
      <c r="H24" t="str">
        <v>FlisAffald</v>
      </c>
      <c r="U24" s="101"/>
      <c r="V24" s="102"/>
      <c r="Z24">
        <f ca="1"/>
        <v>0</v>
      </c>
    </row>
    <row r="25" spans="2:26" x14ac:dyDescent="0.25">
      <c r="F25" t="str">
        <v>NOxFlis</v>
      </c>
      <c r="G25" t="str">
        <v>NyAff1</v>
      </c>
      <c r="H25" t="str">
        <v>NyAff1</v>
      </c>
      <c r="U25" s="101"/>
      <c r="V25" s="102"/>
    </row>
    <row r="26" spans="2:26" x14ac:dyDescent="0.25">
      <c r="F26" t="str">
        <v>EnrPeak</v>
      </c>
      <c r="G26" t="str">
        <v>NyAff2</v>
      </c>
      <c r="H26" t="str">
        <v>NyAff2</v>
      </c>
      <c r="U26" s="101"/>
      <c r="V26" s="102"/>
    </row>
    <row r="27" spans="2:26" x14ac:dyDescent="0.25">
      <c r="F27" t="str">
        <v>CO2peak</v>
      </c>
      <c r="G27" t="str">
        <v>NyAff3</v>
      </c>
      <c r="H27" t="str">
        <v>NyAff3</v>
      </c>
      <c r="U27" s="101"/>
      <c r="V27" s="102"/>
    </row>
    <row r="28" spans="2:26" x14ac:dyDescent="0.25">
      <c r="F28" t="str">
        <v>NOxPeak</v>
      </c>
      <c r="G28" t="str">
        <v>NyAff4</v>
      </c>
      <c r="H28" t="str">
        <v>NyAff4</v>
      </c>
      <c r="U28" s="101"/>
      <c r="V28" s="102"/>
    </row>
    <row r="29" spans="2:26" x14ac:dyDescent="0.25">
      <c r="G29" t="str">
        <v>NyAff5</v>
      </c>
      <c r="H29" t="str">
        <v>NyAff5</v>
      </c>
      <c r="U29" s="101"/>
      <c r="V29" s="102"/>
    </row>
    <row r="30" spans="2:26" x14ac:dyDescent="0.25">
      <c r="G30" t="str">
        <v>Flis</v>
      </c>
      <c r="H30" t="str">
        <v>Flis</v>
      </c>
      <c r="U30" s="101"/>
      <c r="V30" s="102"/>
    </row>
    <row r="31" spans="2:26" x14ac:dyDescent="0.25">
      <c r="G31" t="str">
        <v>NSvarme</v>
      </c>
      <c r="H31" t="str">
        <v>NSvarme</v>
      </c>
      <c r="U31" s="101"/>
      <c r="V31" s="102"/>
    </row>
    <row r="32" spans="2:26" x14ac:dyDescent="0.25">
      <c r="G32" t="str">
        <v>PeakFuel</v>
      </c>
      <c r="H32" t="str">
        <v>PeakFuel</v>
      </c>
      <c r="U32" s="101"/>
      <c r="V32" s="102"/>
    </row>
    <row r="33" spans="1:31" x14ac:dyDescent="0.25">
      <c r="U33" s="101"/>
      <c r="V33" s="102"/>
    </row>
    <row r="34" spans="1:31" x14ac:dyDescent="0.25">
      <c r="U34" s="101"/>
      <c r="V34" s="102"/>
    </row>
    <row r="35" spans="1:31" x14ac:dyDescent="0.25">
      <c r="U35" s="101"/>
      <c r="V35" s="102"/>
    </row>
    <row r="36" spans="1:31" x14ac:dyDescent="0.25">
      <c r="U36" s="101"/>
      <c r="V36" s="102"/>
    </row>
    <row r="37" spans="1:31" x14ac:dyDescent="0.25">
      <c r="U37" s="101"/>
      <c r="V37" s="102"/>
    </row>
    <row r="38" spans="1:31" x14ac:dyDescent="0.25">
      <c r="A38" t="s">
        <v>205</v>
      </c>
      <c r="B38" s="78" t="s">
        <v>114</v>
      </c>
      <c r="U38" s="101"/>
      <c r="V38" s="102"/>
    </row>
    <row r="39" spans="1:31" x14ac:dyDescent="0.25">
      <c r="A39" s="80">
        <f>COUNTA(_xlfn.ANCHORARRAY(C39))</f>
        <v>10</v>
      </c>
      <c r="B39" t="str">
        <f>B4</f>
        <v>Control</v>
      </c>
      <c r="C39" t="str" cm="1">
        <f t="array" ref="C39:L39">TRANSPOSE(_xlfn.ANCHORARRAY(C4))</f>
        <v>RunScenarios</v>
      </c>
      <c r="D39" t="str">
        <v>IncludeGSF</v>
      </c>
      <c r="E39" t="str">
        <v>VirtuelVarme</v>
      </c>
      <c r="F39" t="str">
        <v>VirtuelAffald</v>
      </c>
      <c r="G39" t="str">
        <v>Skorstensmetode</v>
      </c>
      <c r="H39" t="str">
        <v>FixAffald</v>
      </c>
      <c r="I39" t="str">
        <v>RgkRabatSats</v>
      </c>
      <c r="J39" t="str">
        <v>RgkAndelRabat</v>
      </c>
      <c r="K39" t="str">
        <v>Varmesalgspris</v>
      </c>
      <c r="L39" t="str">
        <v>EgetforbrugKVV</v>
      </c>
      <c r="U39" s="101"/>
      <c r="V39" s="102"/>
    </row>
    <row r="40" spans="1:31" x14ac:dyDescent="0.25">
      <c r="A40" s="80">
        <f t="shared" ref="A40:A44" si="0">COUNTA(_xlfn.ANCHORARRAY(C40))</f>
        <v>6</v>
      </c>
      <c r="B40" t="str">
        <f t="shared" ref="B40:B44" si="1">B5</f>
        <v>Plant</v>
      </c>
      <c r="C40" t="str" cm="1">
        <f t="array" ref="C40:H40">TRANSPOSE(_xlfn.ANCHORARRAY(D4))</f>
        <v>Ovn2</v>
      </c>
      <c r="D40" t="str">
        <v>Ovn3</v>
      </c>
      <c r="E40" t="str">
        <v>FlisK</v>
      </c>
      <c r="F40" t="str">
        <v>NS</v>
      </c>
      <c r="G40" t="str">
        <v>Cooler</v>
      </c>
      <c r="H40" t="str">
        <v>PeakK</v>
      </c>
      <c r="U40" s="101"/>
      <c r="V40" s="102"/>
    </row>
    <row r="41" spans="1:31" x14ac:dyDescent="0.25">
      <c r="A41" s="80">
        <f t="shared" si="0"/>
        <v>2</v>
      </c>
      <c r="B41" t="str">
        <f t="shared" si="1"/>
        <v>Storage</v>
      </c>
      <c r="C41" t="str" cm="1">
        <f t="array" ref="C41:D41">TRANSPOSE(_xlfn.ANCHORARRAY(E4))</f>
        <v>sto1</v>
      </c>
      <c r="D41" t="str">
        <v>sto2</v>
      </c>
    </row>
    <row r="42" spans="1:31" x14ac:dyDescent="0.25">
      <c r="A42" s="80">
        <f t="shared" si="0"/>
        <v>25</v>
      </c>
      <c r="B42" t="str">
        <f t="shared" si="1"/>
        <v>Prognoses</v>
      </c>
      <c r="C42" t="str" cm="1">
        <f t="array" ref="C42:AA42">TRANSPOSE(_xlfn.ANCHORARRAY(F4))</f>
        <v>Aktiv</v>
      </c>
      <c r="D42" t="str">
        <v>Ndage</v>
      </c>
      <c r="E42" t="str">
        <v>Ovn2</v>
      </c>
      <c r="F42" t="str">
        <v>Ovn3</v>
      </c>
      <c r="G42" t="str">
        <v>FlisK</v>
      </c>
      <c r="H42" t="str">
        <v>NS</v>
      </c>
      <c r="I42" t="str">
        <v>Cooler</v>
      </c>
      <c r="J42" t="str">
        <v>PeakK</v>
      </c>
      <c r="K42" t="str">
        <v>Turbine</v>
      </c>
      <c r="L42" t="str">
        <v>Varmebehov</v>
      </c>
      <c r="M42" t="str">
        <v>NSprod</v>
      </c>
      <c r="N42" t="str">
        <v>ELprod</v>
      </c>
      <c r="O42" t="str">
        <v>Bypass</v>
      </c>
      <c r="P42" t="str">
        <v>Elpris</v>
      </c>
      <c r="Q42" t="str">
        <v>ETS</v>
      </c>
      <c r="R42" t="str">
        <v>AFV</v>
      </c>
      <c r="S42" t="str">
        <v>ATL</v>
      </c>
      <c r="T42" t="str">
        <v>CO2aff</v>
      </c>
      <c r="U42" t="str">
        <v>ETSaff</v>
      </c>
      <c r="V42" t="str">
        <v>CO2afgAff</v>
      </c>
      <c r="W42" t="str">
        <v>NOxAff</v>
      </c>
      <c r="X42" t="str">
        <v>NOxFlis</v>
      </c>
      <c r="Y42" t="str">
        <v>EnrPeak</v>
      </c>
      <c r="Z42" t="str">
        <v>CO2peak</v>
      </c>
      <c r="AA42" t="str">
        <v>NOxPeak</v>
      </c>
    </row>
    <row r="43" spans="1:31" x14ac:dyDescent="0.25">
      <c r="A43" s="80">
        <f t="shared" si="0"/>
        <v>29</v>
      </c>
      <c r="B43" t="str">
        <f t="shared" si="1"/>
        <v>Fuel</v>
      </c>
      <c r="C43" t="str" cm="1">
        <f t="array" ref="C43:AE43">TRANSPOSE(_xlfn.ANCHORARRAY(G4))</f>
        <v>DepoSort</v>
      </c>
      <c r="D43" t="str">
        <v>DepoSmaat</v>
      </c>
      <c r="E43" t="str">
        <v>DepoNedd</v>
      </c>
      <c r="F43" t="str">
        <v>Dagren</v>
      </c>
      <c r="G43" t="str">
        <v>AndetBrand</v>
      </c>
      <c r="H43" t="str">
        <v>Trae</v>
      </c>
      <c r="I43" t="str">
        <v>DagrenRast</v>
      </c>
      <c r="J43" t="str">
        <v>DagrenInst</v>
      </c>
      <c r="K43" t="str">
        <v>DagrenHandel</v>
      </c>
      <c r="L43" t="str">
        <v>DagrenRestau</v>
      </c>
      <c r="M43" t="str">
        <v>Erhverv</v>
      </c>
      <c r="N43" t="str">
        <v>DagrenErhverv</v>
      </c>
      <c r="O43" t="str">
        <v>HandelKontor</v>
      </c>
      <c r="P43" t="str">
        <v>Privat</v>
      </c>
      <c r="Q43" t="str">
        <v>TyskRest</v>
      </c>
      <c r="R43" t="str">
        <v>PolskRest</v>
      </c>
      <c r="S43" t="str">
        <v>PcbTrae</v>
      </c>
      <c r="T43" t="str">
        <v>TraeRekv</v>
      </c>
      <c r="U43" t="str">
        <v>Halm</v>
      </c>
      <c r="V43" t="str">
        <v>Pulver</v>
      </c>
      <c r="W43" t="str">
        <v>FlisAffald</v>
      </c>
      <c r="X43" t="str">
        <v>NyAff1</v>
      </c>
      <c r="Y43" t="str">
        <v>NyAff2</v>
      </c>
      <c r="Z43" t="str">
        <v>NyAff3</v>
      </c>
      <c r="AA43" t="str">
        <v>NyAff4</v>
      </c>
      <c r="AB43" t="str">
        <v>NyAff5</v>
      </c>
      <c r="AC43" t="str">
        <v>Flis</v>
      </c>
      <c r="AD43" t="str">
        <v>NSvarme</v>
      </c>
      <c r="AE43" t="str">
        <v>PeakFuel</v>
      </c>
    </row>
    <row r="44" spans="1:31" x14ac:dyDescent="0.25">
      <c r="A44" s="80">
        <f t="shared" si="0"/>
        <v>29</v>
      </c>
      <c r="B44" t="str">
        <f t="shared" si="1"/>
        <v>FuelBounds</v>
      </c>
      <c r="C44" t="str" cm="1">
        <f t="array" ref="C44:AE44">TRANSPOSE(_xlfn.ANCHORARRAY(H4))</f>
        <v>DepoSort</v>
      </c>
      <c r="D44" t="str">
        <v>DepoSmaat</v>
      </c>
      <c r="E44" t="str">
        <v>DepoNedd</v>
      </c>
      <c r="F44" t="str">
        <v>Dagren</v>
      </c>
      <c r="G44" t="str">
        <v>AndetBrand</v>
      </c>
      <c r="H44" t="str">
        <v>Trae</v>
      </c>
      <c r="I44" t="str">
        <v>DagrenRast</v>
      </c>
      <c r="J44" t="str">
        <v>DagrenInst</v>
      </c>
      <c r="K44" t="str">
        <v>DagrenHandel</v>
      </c>
      <c r="L44" t="str">
        <v>DagrenRestau</v>
      </c>
      <c r="M44" t="str">
        <v>Erhverv</v>
      </c>
      <c r="N44" t="str">
        <v>DagrenErhverv</v>
      </c>
      <c r="O44" t="str">
        <v>HandelKontor</v>
      </c>
      <c r="P44" t="str">
        <v>Privat</v>
      </c>
      <c r="Q44" t="str">
        <v>TyskRest</v>
      </c>
      <c r="R44" t="str">
        <v>PolskRest</v>
      </c>
      <c r="S44" t="str">
        <v>PcbTrae</v>
      </c>
      <c r="T44" t="str">
        <v>TraeRekv</v>
      </c>
      <c r="U44" t="str">
        <v>Halm</v>
      </c>
      <c r="V44" t="str">
        <v>Pulver</v>
      </c>
      <c r="W44" t="str">
        <v>FlisAffald</v>
      </c>
      <c r="X44" t="str">
        <v>NyAff1</v>
      </c>
      <c r="Y44" t="str">
        <v>NyAff2</v>
      </c>
      <c r="Z44" t="str">
        <v>NyAff3</v>
      </c>
      <c r="AA44" t="str">
        <v>NyAff4</v>
      </c>
      <c r="AB44" t="str">
        <v>NyAff5</v>
      </c>
      <c r="AC44" t="str">
        <v>Flis</v>
      </c>
      <c r="AD44" t="str">
        <v>NSvarme</v>
      </c>
      <c r="AE44" t="str">
        <v>PeakFuel</v>
      </c>
    </row>
    <row r="45" spans="1:31" x14ac:dyDescent="0.25">
      <c r="A45" s="80"/>
    </row>
    <row r="46" spans="1:31" x14ac:dyDescent="0.25">
      <c r="A46" s="80"/>
    </row>
    <row r="47" spans="1:31" x14ac:dyDescent="0.25">
      <c r="A47" s="80"/>
      <c r="B47" s="78" t="s">
        <v>115</v>
      </c>
    </row>
    <row r="48" spans="1:31" x14ac:dyDescent="0.25">
      <c r="A48" s="80"/>
      <c r="B48" t="str">
        <f>B4</f>
        <v>Control</v>
      </c>
      <c r="C48" t="s">
        <v>124</v>
      </c>
    </row>
    <row r="49" spans="1:39" x14ac:dyDescent="0.25">
      <c r="A49" s="80">
        <f>COUNTA(_xlfn.ANCHORARRAY(C49))</f>
        <v>14</v>
      </c>
      <c r="B49" t="str">
        <f t="shared" ref="B49:B53" si="2">B5</f>
        <v>Plant</v>
      </c>
      <c r="C49" t="str" cm="1">
        <f t="array" ref="C49:P49">TRANSPOSE(_xlfn.ANCHORARRAY(K4))</f>
        <v>Aktiv</v>
      </c>
      <c r="D49" t="str">
        <v>Ukind</v>
      </c>
      <c r="E49" t="str">
        <v>Prioritet</v>
      </c>
      <c r="F49" t="str">
        <v>MinLhv</v>
      </c>
      <c r="G49" t="str">
        <v>MaxLhv</v>
      </c>
      <c r="H49" t="str">
        <v>MinTon</v>
      </c>
      <c r="I49" t="str">
        <v>MaxTon</v>
      </c>
      <c r="J49" t="str">
        <v>KapQNom</v>
      </c>
      <c r="K49" t="str">
        <v>KapRgk</v>
      </c>
      <c r="L49" t="str">
        <v>KapE</v>
      </c>
      <c r="M49" t="str">
        <v>EtaE</v>
      </c>
      <c r="N49" t="str">
        <v>EtaQ</v>
      </c>
      <c r="O49" t="str">
        <v>DVMWhq</v>
      </c>
      <c r="P49" t="str">
        <v>DVtime</v>
      </c>
    </row>
    <row r="50" spans="1:39" x14ac:dyDescent="0.25">
      <c r="A50" s="80">
        <f t="shared" ref="A50:A53" si="3">COUNTA(_xlfn.ANCHORARRAY(C50))</f>
        <v>12</v>
      </c>
      <c r="B50" t="str">
        <f t="shared" si="2"/>
        <v>Storage</v>
      </c>
      <c r="C50" t="str" cm="1">
        <f t="array" ref="C50:N50">TRANSPOSE(_xlfn.ANCHORARRAY(L4))</f>
        <v>Aktiv</v>
      </c>
      <c r="D50" t="str">
        <v>StoKind</v>
      </c>
      <c r="E50" t="str">
        <v>LoadInit</v>
      </c>
      <c r="F50" t="str">
        <v>LoadMin</v>
      </c>
      <c r="G50" t="str">
        <v>LoadMax</v>
      </c>
      <c r="H50" t="str">
        <v>DLoadMax</v>
      </c>
      <c r="I50" t="str">
        <v>LossRate</v>
      </c>
      <c r="J50" t="str">
        <v>LoadCost</v>
      </c>
      <c r="K50" t="str">
        <v>DLoadCost</v>
      </c>
      <c r="L50" t="str">
        <v>ResetFirst</v>
      </c>
      <c r="M50" t="str">
        <v>ResetIntv</v>
      </c>
      <c r="N50" t="str">
        <v>ResetLast</v>
      </c>
    </row>
    <row r="51" spans="1:39" x14ac:dyDescent="0.25">
      <c r="A51" s="80">
        <f t="shared" si="3"/>
        <v>1</v>
      </c>
      <c r="B51" t="str">
        <f t="shared" si="2"/>
        <v>Prognoses</v>
      </c>
      <c r="C51" t="s">
        <v>124</v>
      </c>
    </row>
    <row r="52" spans="1:39" x14ac:dyDescent="0.25">
      <c r="A52" s="80">
        <f t="shared" si="3"/>
        <v>16</v>
      </c>
      <c r="B52" t="str">
        <f t="shared" si="2"/>
        <v>Fuel</v>
      </c>
      <c r="C52" t="str" cm="1">
        <f t="array" ref="C52:R52">TRANSPOSE(_xlfn.ANCHORARRAY(N4))</f>
        <v>Aktiv</v>
      </c>
      <c r="D52" t="str">
        <v>Fkind</v>
      </c>
      <c r="E52" t="str">
        <v>Lagerbar</v>
      </c>
      <c r="F52" t="str">
        <v>Fri</v>
      </c>
      <c r="G52" t="str">
        <v>Flex</v>
      </c>
      <c r="H52" t="str">
        <v>Bortskaf</v>
      </c>
      <c r="I52" t="str">
        <v>TilOvn2</v>
      </c>
      <c r="J52" t="str">
        <v>TilOvn3</v>
      </c>
      <c r="K52" t="str">
        <v>MinTonnage</v>
      </c>
      <c r="L52" t="str">
        <v>MaxTonnage</v>
      </c>
      <c r="M52" t="str">
        <v>InitSto1</v>
      </c>
      <c r="N52" t="str">
        <v>InitSto2</v>
      </c>
      <c r="O52" t="str">
        <v>Pris</v>
      </c>
      <c r="P52" t="str">
        <v>LHV</v>
      </c>
      <c r="Q52" t="str">
        <v>NOxKgTon</v>
      </c>
      <c r="R52" t="str">
        <v>CO2kgGJ</v>
      </c>
    </row>
    <row r="53" spans="1:39" x14ac:dyDescent="0.25">
      <c r="A53" s="80">
        <f t="shared" si="3"/>
        <v>7</v>
      </c>
      <c r="B53" t="str">
        <f t="shared" si="2"/>
        <v>FuelBounds</v>
      </c>
      <c r="C53" t="str" cm="1">
        <f t="array" ref="C53:I53">TRANSPOSE(O4:O10)</f>
        <v>TilOvn2</v>
      </c>
      <c r="D53" t="str">
        <v>TilOvn3</v>
      </c>
      <c r="E53" t="str">
        <v>MinTonnage</v>
      </c>
      <c r="F53" t="str">
        <v>MaxTonnage</v>
      </c>
      <c r="G53" t="str">
        <v>Pris</v>
      </c>
      <c r="H53" t="str">
        <v>LHV</v>
      </c>
      <c r="I53" t="str">
        <v>CO2kgGJ</v>
      </c>
    </row>
    <row r="54" spans="1:39" x14ac:dyDescent="0.25">
      <c r="A54" s="80"/>
    </row>
    <row r="56" spans="1:39" x14ac:dyDescent="0.25">
      <c r="A56" t="s">
        <v>206</v>
      </c>
      <c r="B56">
        <v>5</v>
      </c>
    </row>
    <row r="57" spans="1:39" x14ac:dyDescent="0.25">
      <c r="B57">
        <f ca="1">OFFSET(OfzNiveau2,B56+1,COLUMNS(arrNiv2))</f>
        <v>0</v>
      </c>
    </row>
    <row r="59" spans="1:39" x14ac:dyDescent="0.25">
      <c r="B59" t="str" cm="1">
        <f t="array" aca="1" ref="B59:AM59" ca="1">OFFSET(OfzNiveau2,B56+1,1,1,COLUMNS(arrNiv2))</f>
        <v>DepoSort</v>
      </c>
      <c r="C59" t="str">
        <f ca="1"/>
        <v>DepoSmaat</v>
      </c>
      <c r="D59" t="str">
        <f ca="1"/>
        <v>DepoNedd</v>
      </c>
      <c r="E59" t="str">
        <f ca="1"/>
        <v>Dagren</v>
      </c>
      <c r="F59" t="str">
        <f ca="1"/>
        <v>AndetBrand</v>
      </c>
      <c r="G59" t="str">
        <f ca="1"/>
        <v>Trae</v>
      </c>
      <c r="H59" t="str">
        <f ca="1"/>
        <v>DagrenRast</v>
      </c>
      <c r="I59" t="str">
        <f ca="1"/>
        <v>DagrenInst</v>
      </c>
      <c r="J59" t="str">
        <f ca="1"/>
        <v>DagrenHandel</v>
      </c>
      <c r="K59" t="str">
        <f ca="1"/>
        <v>DagrenRestau</v>
      </c>
      <c r="L59" t="str">
        <f ca="1"/>
        <v>Erhverv</v>
      </c>
      <c r="M59" t="str">
        <f ca="1"/>
        <v>DagrenErhverv</v>
      </c>
      <c r="N59" t="str">
        <f ca="1"/>
        <v>HandelKontor</v>
      </c>
      <c r="O59" t="str">
        <f ca="1"/>
        <v>Privat</v>
      </c>
      <c r="P59" t="str">
        <f ca="1"/>
        <v>TyskRest</v>
      </c>
      <c r="Q59" t="str">
        <f ca="1"/>
        <v>PolskRest</v>
      </c>
      <c r="R59" t="str">
        <f ca="1"/>
        <v>PcbTrae</v>
      </c>
      <c r="S59" t="str">
        <f ca="1"/>
        <v>TraeRekv</v>
      </c>
      <c r="T59" t="str">
        <f ca="1"/>
        <v>Halm</v>
      </c>
      <c r="U59" t="str">
        <f ca="1"/>
        <v>Pulver</v>
      </c>
      <c r="V59" t="str">
        <f ca="1"/>
        <v>FlisAffald</v>
      </c>
      <c r="W59" t="str">
        <f ca="1"/>
        <v>NyAff1</v>
      </c>
      <c r="X59" t="str">
        <f ca="1"/>
        <v>NyAff2</v>
      </c>
      <c r="Y59" t="str">
        <f ca="1"/>
        <v>NyAff3</v>
      </c>
      <c r="Z59" t="str">
        <f ca="1"/>
        <v>NyAff4</v>
      </c>
      <c r="AA59" t="str">
        <f ca="1"/>
        <v>NyAff5</v>
      </c>
      <c r="AB59" t="str">
        <f ca="1"/>
        <v>Flis</v>
      </c>
      <c r="AC59" t="str">
        <f ca="1"/>
        <v>NSvarme</v>
      </c>
      <c r="AD59" t="str">
        <f ca="1"/>
        <v>PeakFuel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</row>
  </sheetData>
  <dataValidations count="4">
    <dataValidation type="date" allowBlank="1" showInputMessage="1" showErrorMessage="1" sqref="U5:U39" xr:uid="{FAED36B8-3833-4928-A668-83778DD32ECB}">
      <formula1>40179</formula1>
      <formula2>47848</formula2>
    </dataValidation>
    <dataValidation type="list" allowBlank="1" showInputMessage="1" showErrorMessage="1" sqref="T5:T40" xr:uid="{4655BEED-A948-4FFE-9684-D5F3DF768B3B}">
      <formula1>DropDown3</formula1>
    </dataValidation>
    <dataValidation type="list" allowBlank="1" showInputMessage="1" showErrorMessage="1" sqref="S5:S40" xr:uid="{7104787F-C65B-4C49-8D0C-6DEF19F95528}">
      <formula1>DropDown2</formula1>
    </dataValidation>
    <dataValidation type="list" allowBlank="1" showInputMessage="1" showErrorMessage="1" sqref="R5:R40" xr:uid="{3C0CB5CF-3F0D-4AC4-AFF9-39B37F70728C}">
      <formula1>listRoot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692D6-5F90-4CE4-B2E4-3DE71D5CDD2D}">
  <dimension ref="B2:I108"/>
  <sheetViews>
    <sheetView zoomScale="85" zoomScaleNormal="85" workbookViewId="0">
      <selection activeCell="I3" sqref="I3"/>
    </sheetView>
  </sheetViews>
  <sheetFormatPr defaultRowHeight="15" x14ac:dyDescent="0.25"/>
  <cols>
    <col min="2" max="2" width="21.7109375" bestFit="1" customWidth="1"/>
    <col min="3" max="3" width="32" bestFit="1" customWidth="1"/>
    <col min="5" max="5" width="40.42578125" bestFit="1" customWidth="1"/>
    <col min="6" max="6" width="18.85546875" bestFit="1" customWidth="1"/>
  </cols>
  <sheetData>
    <row r="2" spans="2:9" x14ac:dyDescent="0.25">
      <c r="B2" s="78" t="s">
        <v>89</v>
      </c>
      <c r="C2" s="79" t="str">
        <f>valgtKategori</f>
        <v>Nøgletal</v>
      </c>
      <c r="E2" s="78" t="s">
        <v>91</v>
      </c>
      <c r="H2" t="s">
        <v>92</v>
      </c>
    </row>
    <row r="3" spans="2:9" ht="15.75" x14ac:dyDescent="0.25">
      <c r="B3" s="77" t="str" cm="1">
        <f t="array" ref="B3:B6">_xlfn.UNIQUE(LEFT(_xlfn.ANCHORARRAY(E3),FIND(".",_xlfn.ANCHORARRAY(E3))-1))</f>
        <v>Nøgletal</v>
      </c>
      <c r="C3" t="str" cm="1">
        <f t="array" ref="C3:C44">_xlfn.LET(_xlpm.res,_xlfn._xlws.FILTER(_xlfn.ANCHORARRAY(E3),LEFT(_xlfn.ANCHORARRAY(E3),LEN($C$2))=$C$2),MID(_xlpm.res,LEN($C$2)+2,999))</f>
        <v>FJV-behov</v>
      </c>
      <c r="E3" t="str" cm="1">
        <f t="array" ref="E3:E108">_xlfn._xlws.FILTER(listScenTopics,LEN(listScenTopics)&gt;0,)</f>
        <v>Nøgletal.FJV-behov</v>
      </c>
      <c r="F3" t="str" cm="1">
        <f t="array" ref="F3:F6">_xlfn.UNIQUE(LEFT(_xlfn.ANCHORARRAY(E3),FIND(".",_xlfn.ANCHORARRAY(E3))-1))</f>
        <v>Nøgletal</v>
      </c>
      <c r="H3" t="s">
        <v>93</v>
      </c>
      <c r="I3" cm="1">
        <f t="array" ref="I3">MATCH(TRUE,ISBLANK(Overblik!$D$4:$AD$4),0)-1</f>
        <v>2</v>
      </c>
    </row>
    <row r="4" spans="2:9" ht="15.75" x14ac:dyDescent="0.25">
      <c r="B4" s="77" t="str">
        <v>Varmemålinder</v>
      </c>
      <c r="C4" t="str">
        <v>Total-NPV</v>
      </c>
      <c r="E4" t="str">
        <v>Nøgletal.Total-NPV</v>
      </c>
      <c r="F4" t="str">
        <v>Varmemålinder</v>
      </c>
    </row>
    <row r="5" spans="2:9" ht="15.75" x14ac:dyDescent="0.25">
      <c r="B5" s="77" t="str">
        <v>Brændselsforbrug</v>
      </c>
      <c r="C5" t="str">
        <v>Total-Var-Varmeproduktions-Omk</v>
      </c>
      <c r="E5" t="str">
        <v>Nøgletal.Total-Var-Varmeproduktions-Omk</v>
      </c>
      <c r="F5" t="str">
        <v>Brændselsforbrug</v>
      </c>
    </row>
    <row r="6" spans="2:9" ht="15.75" x14ac:dyDescent="0.25">
      <c r="B6" s="77" t="str">
        <v>Brændselsindkomst</v>
      </c>
      <c r="C6" t="str">
        <v>REFA-NPV</v>
      </c>
      <c r="E6" t="str">
        <v>Nøgletal.REFA-NPV</v>
      </c>
      <c r="F6" t="str">
        <v>Brændselsindkomst</v>
      </c>
    </row>
    <row r="7" spans="2:9" ht="15.75" x14ac:dyDescent="0.25">
      <c r="B7" s="77"/>
      <c r="C7" t="str">
        <v>REFA-Var-Varmeproduktions-Omk</v>
      </c>
      <c r="E7" t="str">
        <v>Nøgletal.REFA-Var-Varmeproduktions-Omk</v>
      </c>
    </row>
    <row r="8" spans="2:9" ht="15.75" x14ac:dyDescent="0.25">
      <c r="B8" s="77"/>
      <c r="C8" t="str">
        <v>REFA-Daekningsbidrag</v>
      </c>
      <c r="E8" t="str">
        <v>Nøgletal.REFA-Daekningsbidrag</v>
      </c>
    </row>
    <row r="9" spans="2:9" ht="15.75" x14ac:dyDescent="0.25">
      <c r="B9" s="77"/>
      <c r="C9" t="str">
        <v>REFA-Total-Var-Indkomst</v>
      </c>
      <c r="E9" t="str">
        <v>Nøgletal.REFA-Total-Var-Indkomst</v>
      </c>
    </row>
    <row r="10" spans="2:9" ht="15.75" x14ac:dyDescent="0.25">
      <c r="B10" s="77"/>
      <c r="C10" t="str">
        <v>REFA-Affald-Modtagelse</v>
      </c>
      <c r="E10" t="str">
        <v>Nøgletal.REFA-Affald-Modtagelse</v>
      </c>
    </row>
    <row r="11" spans="2:9" ht="15.75" x14ac:dyDescent="0.25">
      <c r="B11" s="77"/>
      <c r="C11" t="str">
        <v>REFA-RGK-Rabat</v>
      </c>
      <c r="E11" t="str">
        <v>Nøgletal.REFA-RGK-Rabat</v>
      </c>
    </row>
    <row r="12" spans="2:9" ht="15.75" x14ac:dyDescent="0.25">
      <c r="B12" s="77"/>
      <c r="C12" t="str">
        <v>REFA-Elsalg</v>
      </c>
      <c r="E12" t="str">
        <v>Nøgletal.REFA-Elsalg</v>
      </c>
    </row>
    <row r="13" spans="2:9" x14ac:dyDescent="0.25">
      <c r="C13" t="str">
        <v>REFA-Varmesalg</v>
      </c>
      <c r="E13" t="str">
        <v>Nøgletal.REFA-Varmesalg</v>
      </c>
    </row>
    <row r="14" spans="2:9" x14ac:dyDescent="0.25">
      <c r="C14" t="str">
        <v>REFA-Total-Var-Omkostning</v>
      </c>
      <c r="E14" t="str">
        <v>Nøgletal.REFA-Total-Var-Omkostning</v>
      </c>
    </row>
    <row r="15" spans="2:9" x14ac:dyDescent="0.25">
      <c r="C15" t="str">
        <v>REFA-AnlaegsVarOmk</v>
      </c>
      <c r="E15" t="str">
        <v>Nøgletal.REFA-AnlaegsVarOmk</v>
      </c>
    </row>
    <row r="16" spans="2:9" x14ac:dyDescent="0.25">
      <c r="C16" t="str">
        <v>REFA-BraendselOmk</v>
      </c>
      <c r="E16" t="str">
        <v>Nøgletal.REFA-BraendselOmk</v>
      </c>
    </row>
    <row r="17" spans="3:5" x14ac:dyDescent="0.25">
      <c r="C17" t="str">
        <v>REFA-Afgifter</v>
      </c>
      <c r="E17" t="str">
        <v>Nøgletal.REFA-Afgifter</v>
      </c>
    </row>
    <row r="18" spans="3:5" x14ac:dyDescent="0.25">
      <c r="C18" t="str">
        <v>REFA-CO2-Kvoteomk</v>
      </c>
      <c r="E18" t="str">
        <v>Nøgletal.REFA-CO2-Kvoteomk</v>
      </c>
    </row>
    <row r="19" spans="3:5" x14ac:dyDescent="0.25">
      <c r="C19" t="str">
        <v>REFA-Lageromkostning</v>
      </c>
      <c r="E19" t="str">
        <v>Nøgletal.REFA-Lageromkostning</v>
      </c>
    </row>
    <row r="20" spans="3:5" x14ac:dyDescent="0.25">
      <c r="C20" t="str">
        <v>REFA-CO2-Emission-Afgift</v>
      </c>
      <c r="E20" t="str">
        <v>Nøgletal.REFA-CO2-Emission-Afgift</v>
      </c>
    </row>
    <row r="21" spans="3:5" x14ac:dyDescent="0.25">
      <c r="C21" t="str">
        <v>REFA-CO2-Emission-Kvote</v>
      </c>
      <c r="E21" t="str">
        <v>Nøgletal.REFA-CO2-Emission-Kvote</v>
      </c>
    </row>
    <row r="22" spans="3:5" x14ac:dyDescent="0.25">
      <c r="C22" t="str">
        <v>REFA-El-produktion-Brutto</v>
      </c>
      <c r="E22" t="str">
        <v>Nøgletal.REFA-El-produktion-Brutto</v>
      </c>
    </row>
    <row r="23" spans="3:5" x14ac:dyDescent="0.25">
      <c r="C23" t="str">
        <v>REFA-El-produktion-Netto</v>
      </c>
      <c r="E23" t="str">
        <v>Nøgletal.REFA-El-produktion-Netto</v>
      </c>
    </row>
    <row r="24" spans="3:5" x14ac:dyDescent="0.25">
      <c r="C24" t="str">
        <v>REFA-Total-Affald-Raadighed</v>
      </c>
      <c r="E24" t="str">
        <v>Nøgletal.REFA-Total-Affald-Raadighed</v>
      </c>
    </row>
    <row r="25" spans="3:5" x14ac:dyDescent="0.25">
      <c r="C25" t="str">
        <v>REFA-Affald-anvendt</v>
      </c>
      <c r="E25" t="str">
        <v>Nøgletal.REFA-Affald-anvendt</v>
      </c>
    </row>
    <row r="26" spans="3:5" x14ac:dyDescent="0.25">
      <c r="C26" t="str">
        <v>REFA-Affald-Uudnyttet</v>
      </c>
      <c r="E26" t="str">
        <v>Nøgletal.REFA-Affald-Uudnyttet</v>
      </c>
    </row>
    <row r="27" spans="3:5" x14ac:dyDescent="0.25">
      <c r="C27" t="str">
        <v>REFA-Affald-Lagret</v>
      </c>
      <c r="E27" t="str">
        <v>Nøgletal.REFA-Affald-Lagret</v>
      </c>
    </row>
    <row r="28" spans="3:5" x14ac:dyDescent="0.25">
      <c r="C28" t="str">
        <v>REFA-Total-Varme-Produktion</v>
      </c>
      <c r="E28" t="str">
        <v>Nøgletal.REFA-Total-Varme-Produktion</v>
      </c>
    </row>
    <row r="29" spans="3:5" x14ac:dyDescent="0.25">
      <c r="C29" t="str">
        <v>REFA-Leveret-Varme</v>
      </c>
      <c r="E29" t="str">
        <v>Nøgletal.REFA-Leveret-Varme</v>
      </c>
    </row>
    <row r="30" spans="3:5" x14ac:dyDescent="0.25">
      <c r="C30" t="str">
        <v>REFA-Modtryk-Varme</v>
      </c>
      <c r="E30" t="str">
        <v>Nøgletal.REFA-Modtryk-Varme</v>
      </c>
    </row>
    <row r="31" spans="3:5" x14ac:dyDescent="0.25">
      <c r="C31" t="str">
        <v>REFA-Bypass-Varme</v>
      </c>
      <c r="E31" t="str">
        <v>Nøgletal.REFA-Bypass-Varme</v>
      </c>
    </row>
    <row r="32" spans="3:5" x14ac:dyDescent="0.25">
      <c r="C32" t="str">
        <v>REFA-RGK-Varme</v>
      </c>
      <c r="E32" t="str">
        <v>Nøgletal.REFA-RGK-Varme</v>
      </c>
    </row>
    <row r="33" spans="3:5" x14ac:dyDescent="0.25">
      <c r="C33" t="str">
        <v>REFA-Bortkoelet-Varme</v>
      </c>
      <c r="E33" t="str">
        <v>Nøgletal.REFA-Bortkoelet-Varme</v>
      </c>
    </row>
    <row r="34" spans="3:5" x14ac:dyDescent="0.25">
      <c r="C34" t="str">
        <v>GSF-Total-Var-Omkostning</v>
      </c>
      <c r="E34" t="str">
        <v>Nøgletal.GSF-Total-Var-Omkostning</v>
      </c>
    </row>
    <row r="35" spans="3:5" x14ac:dyDescent="0.25">
      <c r="C35" t="str">
        <v>GSF-AnlaegsVarOmk</v>
      </c>
      <c r="E35" t="str">
        <v>Nøgletal.GSF-AnlaegsVarOmk</v>
      </c>
    </row>
    <row r="36" spans="3:5" x14ac:dyDescent="0.25">
      <c r="C36" t="str">
        <v>GSF-BraendselOmk</v>
      </c>
      <c r="E36" t="str">
        <v>Nøgletal.GSF-BraendselOmk</v>
      </c>
    </row>
    <row r="37" spans="3:5" x14ac:dyDescent="0.25">
      <c r="C37" t="str">
        <v>GSF-Afgifter</v>
      </c>
      <c r="E37" t="str">
        <v>Nøgletal.GSF-Afgifter</v>
      </c>
    </row>
    <row r="38" spans="3:5" x14ac:dyDescent="0.25">
      <c r="C38" t="str">
        <v>GSF-CO2-Emission</v>
      </c>
      <c r="E38" t="str">
        <v>Nøgletal.GSF-CO2-Emission</v>
      </c>
    </row>
    <row r="39" spans="3:5" x14ac:dyDescent="0.25">
      <c r="C39" t="str">
        <v>GSF-Total-Varme-Produktion</v>
      </c>
      <c r="E39" t="str">
        <v>Nøgletal.GSF-Total-Varme-Produktion</v>
      </c>
    </row>
    <row r="40" spans="3:5" x14ac:dyDescent="0.25">
      <c r="C40" t="str">
        <v>NS-Total-Varme-Produktion</v>
      </c>
      <c r="E40" t="str">
        <v>Nøgletal.NS-Total-Varme-Produktion</v>
      </c>
    </row>
    <row r="41" spans="3:5" x14ac:dyDescent="0.25">
      <c r="C41" t="str">
        <v>Virtuel-Varme-Kilde</v>
      </c>
      <c r="E41" t="str">
        <v>Nøgletal.Virtuel-Varme-Kilde</v>
      </c>
    </row>
    <row r="42" spans="3:5" x14ac:dyDescent="0.25">
      <c r="C42" t="str">
        <v>Virtuel-Varme-Draen</v>
      </c>
      <c r="E42" t="str">
        <v>Nøgletal.Virtuel-Varme-Draen</v>
      </c>
    </row>
    <row r="43" spans="3:5" x14ac:dyDescent="0.25">
      <c r="C43" t="str">
        <v>Virtuel-Affaldstonnage-Kilde</v>
      </c>
      <c r="E43" t="str">
        <v>Nøgletal.Virtuel-Affaldstonnage-Kilde</v>
      </c>
    </row>
    <row r="44" spans="3:5" x14ac:dyDescent="0.25">
      <c r="C44" t="str">
        <v>Virtuel-Affaldstonnage-Draen</v>
      </c>
      <c r="E44" t="str">
        <v>Nøgletal.Virtuel-Affaldstonnage-Draen</v>
      </c>
    </row>
    <row r="45" spans="3:5" x14ac:dyDescent="0.25">
      <c r="E45" t="str">
        <v>Varmemålinder.Ovn2</v>
      </c>
    </row>
    <row r="46" spans="3:5" x14ac:dyDescent="0.25">
      <c r="E46" t="str">
        <v>Varmemålinder.Ovn3</v>
      </c>
    </row>
    <row r="47" spans="3:5" x14ac:dyDescent="0.25">
      <c r="E47" t="str">
        <v>Varmemålinder.FlisK</v>
      </c>
    </row>
    <row r="48" spans="3:5" x14ac:dyDescent="0.25">
      <c r="E48" t="str">
        <v>Varmemålinder.NS</v>
      </c>
    </row>
    <row r="49" spans="5:5" x14ac:dyDescent="0.25">
      <c r="E49" t="str">
        <v>Varmemålinder.Cooler</v>
      </c>
    </row>
    <row r="50" spans="5:5" x14ac:dyDescent="0.25">
      <c r="E50" t="str">
        <v>Varmemålinder.PeakK</v>
      </c>
    </row>
    <row r="51" spans="5:5" x14ac:dyDescent="0.25">
      <c r="E51" t="str">
        <v>Brændselsforbrug.DepoSort</v>
      </c>
    </row>
    <row r="52" spans="5:5" x14ac:dyDescent="0.25">
      <c r="E52" t="str">
        <v>Brændselsforbrug.DepoSmaat</v>
      </c>
    </row>
    <row r="53" spans="5:5" x14ac:dyDescent="0.25">
      <c r="E53" t="str">
        <v>Brændselsforbrug.DepoNedd</v>
      </c>
    </row>
    <row r="54" spans="5:5" x14ac:dyDescent="0.25">
      <c r="E54" t="str">
        <v>Brændselsforbrug.Dagren</v>
      </c>
    </row>
    <row r="55" spans="5:5" x14ac:dyDescent="0.25">
      <c r="E55" t="str">
        <v>Brændselsforbrug.AndetBrand</v>
      </c>
    </row>
    <row r="56" spans="5:5" x14ac:dyDescent="0.25">
      <c r="E56" t="str">
        <v>Brændselsforbrug.Trae</v>
      </c>
    </row>
    <row r="57" spans="5:5" x14ac:dyDescent="0.25">
      <c r="E57" t="str">
        <v>Brændselsforbrug.DagrenRast</v>
      </c>
    </row>
    <row r="58" spans="5:5" x14ac:dyDescent="0.25">
      <c r="E58" t="str">
        <v>Brændselsforbrug.DagrenInst</v>
      </c>
    </row>
    <row r="59" spans="5:5" x14ac:dyDescent="0.25">
      <c r="E59" t="str">
        <v>Brændselsforbrug.DagrenHandel</v>
      </c>
    </row>
    <row r="60" spans="5:5" x14ac:dyDescent="0.25">
      <c r="E60" t="str">
        <v>Brændselsforbrug.DagrenRestau</v>
      </c>
    </row>
    <row r="61" spans="5:5" x14ac:dyDescent="0.25">
      <c r="E61" t="str">
        <v>Brændselsforbrug.Erhverv</v>
      </c>
    </row>
    <row r="62" spans="5:5" x14ac:dyDescent="0.25">
      <c r="E62" t="str">
        <v>Brændselsforbrug.DagrenErhverv</v>
      </c>
    </row>
    <row r="63" spans="5:5" x14ac:dyDescent="0.25">
      <c r="E63" t="str">
        <v>Brændselsforbrug.HandelKontor</v>
      </c>
    </row>
    <row r="64" spans="5:5" x14ac:dyDescent="0.25">
      <c r="E64" t="str">
        <v>Brændselsforbrug.Privat</v>
      </c>
    </row>
    <row r="65" spans="5:5" x14ac:dyDescent="0.25">
      <c r="E65" t="str">
        <v>Brændselsforbrug.TyskRest</v>
      </c>
    </row>
    <row r="66" spans="5:5" x14ac:dyDescent="0.25">
      <c r="E66" t="str">
        <v>Brændselsforbrug.PolskRest</v>
      </c>
    </row>
    <row r="67" spans="5:5" x14ac:dyDescent="0.25">
      <c r="E67" t="str">
        <v>Brændselsforbrug.PcbTrae</v>
      </c>
    </row>
    <row r="68" spans="5:5" x14ac:dyDescent="0.25">
      <c r="E68" t="str">
        <v>Brændselsforbrug.TraeRekv</v>
      </c>
    </row>
    <row r="69" spans="5:5" x14ac:dyDescent="0.25">
      <c r="E69" t="str">
        <v>Brændselsforbrug.Halm</v>
      </c>
    </row>
    <row r="70" spans="5:5" x14ac:dyDescent="0.25">
      <c r="E70" t="str">
        <v>Brændselsforbrug.Pulver</v>
      </c>
    </row>
    <row r="71" spans="5:5" x14ac:dyDescent="0.25">
      <c r="E71" t="str">
        <v>Brændselsforbrug.FlisAffald</v>
      </c>
    </row>
    <row r="72" spans="5:5" x14ac:dyDescent="0.25">
      <c r="E72" t="str">
        <v>Brændselsforbrug.NyAff1</v>
      </c>
    </row>
    <row r="73" spans="5:5" x14ac:dyDescent="0.25">
      <c r="E73" t="str">
        <v>Brændselsforbrug.NyAff2</v>
      </c>
    </row>
    <row r="74" spans="5:5" x14ac:dyDescent="0.25">
      <c r="E74" t="str">
        <v>Brændselsforbrug.NyAff3</v>
      </c>
    </row>
    <row r="75" spans="5:5" x14ac:dyDescent="0.25">
      <c r="E75" t="str">
        <v>Brændselsforbrug.NyAff4</v>
      </c>
    </row>
    <row r="76" spans="5:5" x14ac:dyDescent="0.25">
      <c r="E76" t="str">
        <v>Brændselsforbrug.NyAff5</v>
      </c>
    </row>
    <row r="77" spans="5:5" x14ac:dyDescent="0.25">
      <c r="E77" t="str">
        <v>Brændselsforbrug.Flis</v>
      </c>
    </row>
    <row r="78" spans="5:5" x14ac:dyDescent="0.25">
      <c r="E78" t="str">
        <v>Brændselsforbrug.NSvarme</v>
      </c>
    </row>
    <row r="79" spans="5:5" x14ac:dyDescent="0.25">
      <c r="E79" t="str">
        <v>Brændselsforbrug.PeakFuel</v>
      </c>
    </row>
    <row r="80" spans="5:5" x14ac:dyDescent="0.25">
      <c r="E80" t="str">
        <v>Brændselsindkomst.DepoSort</v>
      </c>
    </row>
    <row r="81" spans="5:5" x14ac:dyDescent="0.25">
      <c r="E81" t="str">
        <v>Brændselsindkomst.DepoSmaat</v>
      </c>
    </row>
    <row r="82" spans="5:5" x14ac:dyDescent="0.25">
      <c r="E82" t="str">
        <v>Brændselsindkomst.DepoNedd</v>
      </c>
    </row>
    <row r="83" spans="5:5" x14ac:dyDescent="0.25">
      <c r="E83" t="str">
        <v>Brændselsindkomst.Dagren</v>
      </c>
    </row>
    <row r="84" spans="5:5" x14ac:dyDescent="0.25">
      <c r="E84" t="str">
        <v>Brændselsindkomst.AndetBrand</v>
      </c>
    </row>
    <row r="85" spans="5:5" x14ac:dyDescent="0.25">
      <c r="E85" t="str">
        <v>Brændselsindkomst.Trae</v>
      </c>
    </row>
    <row r="86" spans="5:5" x14ac:dyDescent="0.25">
      <c r="E86" t="str">
        <v>Brændselsindkomst.DagrenRast</v>
      </c>
    </row>
    <row r="87" spans="5:5" x14ac:dyDescent="0.25">
      <c r="E87" t="str">
        <v>Brændselsindkomst.DagrenInst</v>
      </c>
    </row>
    <row r="88" spans="5:5" x14ac:dyDescent="0.25">
      <c r="E88" t="str">
        <v>Brændselsindkomst.DagrenHandel</v>
      </c>
    </row>
    <row r="89" spans="5:5" x14ac:dyDescent="0.25">
      <c r="E89" t="str">
        <v>Brændselsindkomst.DagrenRestau</v>
      </c>
    </row>
    <row r="90" spans="5:5" x14ac:dyDescent="0.25">
      <c r="E90" t="str">
        <v>Brændselsindkomst.Erhverv</v>
      </c>
    </row>
    <row r="91" spans="5:5" x14ac:dyDescent="0.25">
      <c r="E91" t="str">
        <v>Brændselsindkomst.DagrenErhverv</v>
      </c>
    </row>
    <row r="92" spans="5:5" x14ac:dyDescent="0.25">
      <c r="E92" t="str">
        <v>Brændselsindkomst.HandelKontor</v>
      </c>
    </row>
    <row r="93" spans="5:5" x14ac:dyDescent="0.25">
      <c r="E93" t="str">
        <v>Brændselsindkomst.Privat</v>
      </c>
    </row>
    <row r="94" spans="5:5" x14ac:dyDescent="0.25">
      <c r="E94" t="str">
        <v>Brændselsindkomst.TyskRest</v>
      </c>
    </row>
    <row r="95" spans="5:5" x14ac:dyDescent="0.25">
      <c r="E95" t="str">
        <v>Brændselsindkomst.PolskRest</v>
      </c>
    </row>
    <row r="96" spans="5:5" x14ac:dyDescent="0.25">
      <c r="E96" t="str">
        <v>Brændselsindkomst.PcbTrae</v>
      </c>
    </row>
    <row r="97" spans="5:5" x14ac:dyDescent="0.25">
      <c r="E97" t="str">
        <v>Brændselsindkomst.TraeRekv</v>
      </c>
    </row>
    <row r="98" spans="5:5" x14ac:dyDescent="0.25">
      <c r="E98" t="str">
        <v>Brændselsindkomst.Halm</v>
      </c>
    </row>
    <row r="99" spans="5:5" x14ac:dyDescent="0.25">
      <c r="E99" t="str">
        <v>Brændselsindkomst.Pulver</v>
      </c>
    </row>
    <row r="100" spans="5:5" x14ac:dyDescent="0.25">
      <c r="E100" t="str">
        <v>Brændselsindkomst.FlisAffald</v>
      </c>
    </row>
    <row r="101" spans="5:5" x14ac:dyDescent="0.25">
      <c r="E101" t="str">
        <v>Brændselsindkomst.NyAff1</v>
      </c>
    </row>
    <row r="102" spans="5:5" x14ac:dyDescent="0.25">
      <c r="E102" t="str">
        <v>Brændselsindkomst.NyAff2</v>
      </c>
    </row>
    <row r="103" spans="5:5" x14ac:dyDescent="0.25">
      <c r="E103" t="str">
        <v>Brændselsindkomst.NyAff3</v>
      </c>
    </row>
    <row r="104" spans="5:5" x14ac:dyDescent="0.25">
      <c r="E104" t="str">
        <v>Brændselsindkomst.NyAff4</v>
      </c>
    </row>
    <row r="105" spans="5:5" x14ac:dyDescent="0.25">
      <c r="E105" t="str">
        <v>Brændselsindkomst.NyAff5</v>
      </c>
    </row>
    <row r="106" spans="5:5" x14ac:dyDescent="0.25">
      <c r="E106" t="str">
        <v>Brændselsindkomst.Flis</v>
      </c>
    </row>
    <row r="107" spans="5:5" x14ac:dyDescent="0.25">
      <c r="E107" t="str">
        <v>Brændselsindkomst.NSvarme</v>
      </c>
    </row>
    <row r="108" spans="5:5" x14ac:dyDescent="0.25">
      <c r="E108" t="str">
        <v>Brændselsindkomst.PeakFuel</v>
      </c>
    </row>
  </sheetData>
  <dataValidations count="1">
    <dataValidation type="list" allowBlank="1" showInputMessage="1" showErrorMessage="1" sqref="C2" xr:uid="{8F7B67C0-C570-47CF-A382-F352CB44410F}">
      <formula1>listKategori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4832D-E449-4790-9E70-36A245834D5C}">
  <sheetPr>
    <tabColor theme="1" tint="0.499984740745262"/>
  </sheetPr>
  <dimension ref="B2:Y21"/>
  <sheetViews>
    <sheetView zoomScale="85" zoomScaleNormal="85" workbookViewId="0">
      <selection activeCell="P21" sqref="P21"/>
    </sheetView>
  </sheetViews>
  <sheetFormatPr defaultRowHeight="15" outlineLevelCol="1" x14ac:dyDescent="0.25"/>
  <cols>
    <col min="2" max="2" width="10" style="5" customWidth="1" outlineLevel="1"/>
    <col min="3" max="4" width="9.140625" style="80" outlineLevel="1"/>
    <col min="5" max="7" width="8.85546875" style="80" customWidth="1" outlineLevel="1"/>
    <col min="8" max="8" width="10.7109375" style="80" customWidth="1" outlineLevel="1"/>
    <col min="9" max="9" width="10.28515625" style="80" customWidth="1" outlineLevel="1"/>
    <col min="10" max="10" width="10" customWidth="1" outlineLevel="1"/>
    <col min="11" max="11" width="9.5703125" customWidth="1" outlineLevel="1"/>
    <col min="13" max="13" width="17.5703125" customWidth="1"/>
  </cols>
  <sheetData>
    <row r="2" spans="2:25" x14ac:dyDescent="0.25">
      <c r="B2" s="87" t="s">
        <v>101</v>
      </c>
    </row>
    <row r="4" spans="2:25" x14ac:dyDescent="0.25">
      <c r="E4" s="80" t="s">
        <v>106</v>
      </c>
      <c r="F4" s="80" t="s">
        <v>107</v>
      </c>
      <c r="G4" s="80" t="s">
        <v>108</v>
      </c>
      <c r="N4" t="s">
        <v>109</v>
      </c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</row>
    <row r="5" spans="2:25" x14ac:dyDescent="0.25">
      <c r="B5" s="92" t="s">
        <v>110</v>
      </c>
      <c r="C5" s="91" t="s">
        <v>111</v>
      </c>
      <c r="D5" s="91" t="s">
        <v>112</v>
      </c>
      <c r="E5" s="91" t="s">
        <v>113</v>
      </c>
      <c r="F5" s="91" t="s">
        <v>114</v>
      </c>
      <c r="G5" s="91" t="s">
        <v>115</v>
      </c>
      <c r="H5" s="91" t="s">
        <v>116</v>
      </c>
      <c r="I5" s="91" t="s">
        <v>117</v>
      </c>
      <c r="J5" s="91" t="s">
        <v>118</v>
      </c>
      <c r="K5" s="91" t="s">
        <v>119</v>
      </c>
      <c r="N5" s="94">
        <v>1</v>
      </c>
      <c r="O5" s="94">
        <v>2</v>
      </c>
      <c r="P5" s="94">
        <v>3</v>
      </c>
      <c r="Q5" s="94">
        <v>4</v>
      </c>
      <c r="R5" s="94">
        <v>5</v>
      </c>
      <c r="S5" s="94">
        <v>6</v>
      </c>
      <c r="T5" s="94">
        <v>7</v>
      </c>
      <c r="U5" s="94">
        <v>8</v>
      </c>
      <c r="V5" s="94">
        <v>9</v>
      </c>
      <c r="W5" s="94">
        <v>10</v>
      </c>
      <c r="X5" s="94">
        <v>11</v>
      </c>
      <c r="Y5" s="94">
        <v>12</v>
      </c>
    </row>
    <row r="6" spans="2:25" x14ac:dyDescent="0.25">
      <c r="B6" s="5" t="s">
        <v>125</v>
      </c>
      <c r="C6" s="95">
        <v>1</v>
      </c>
      <c r="D6" s="85">
        <v>1</v>
      </c>
      <c r="E6" s="85">
        <v>1</v>
      </c>
      <c r="F6" s="85">
        <v>6</v>
      </c>
      <c r="G6" s="85">
        <v>1</v>
      </c>
      <c r="H6" s="85">
        <v>0</v>
      </c>
      <c r="I6" s="85">
        <v>0</v>
      </c>
      <c r="J6">
        <v>0</v>
      </c>
      <c r="K6" t="s">
        <v>207</v>
      </c>
      <c r="N6" t="str">
        <f>IF(OR(N$5&lt;$H6,N$5&gt;$I6),"",$J6+(N$5-$H6)*($K6-$J6)/($I6-$H6))</f>
        <v/>
      </c>
      <c r="O6" t="str">
        <f t="shared" ref="O6:Y21" si="0">IF(OR(O$5&lt;$H6,O$5&gt;$I6),"",$J6+(O$5-$H6)*($K6-$J6)/($I6-$H6))</f>
        <v/>
      </c>
      <c r="P6" t="str">
        <f t="shared" si="0"/>
        <v/>
      </c>
      <c r="Q6" t="str">
        <f t="shared" si="0"/>
        <v/>
      </c>
      <c r="R6" t="str">
        <f t="shared" si="0"/>
        <v/>
      </c>
      <c r="S6" t="str">
        <f t="shared" si="0"/>
        <v/>
      </c>
      <c r="T6" t="str">
        <f t="shared" si="0"/>
        <v/>
      </c>
      <c r="U6" t="str">
        <f t="shared" si="0"/>
        <v/>
      </c>
      <c r="V6" t="str">
        <f t="shared" si="0"/>
        <v/>
      </c>
      <c r="W6" t="str">
        <f t="shared" si="0"/>
        <v/>
      </c>
      <c r="X6" t="str">
        <f t="shared" si="0"/>
        <v/>
      </c>
      <c r="Y6" t="str">
        <f t="shared" si="0"/>
        <v/>
      </c>
    </row>
    <row r="7" spans="2:25" x14ac:dyDescent="0.25">
      <c r="B7" s="5" t="s">
        <v>128</v>
      </c>
      <c r="C7" s="95">
        <v>1</v>
      </c>
      <c r="D7" s="85">
        <v>1</v>
      </c>
      <c r="E7" s="85">
        <v>1</v>
      </c>
      <c r="F7" s="85">
        <v>10</v>
      </c>
      <c r="G7" s="85">
        <v>1</v>
      </c>
      <c r="H7" s="85">
        <v>0</v>
      </c>
      <c r="I7" s="85">
        <v>0</v>
      </c>
      <c r="J7">
        <v>22.22</v>
      </c>
      <c r="K7" t="s">
        <v>207</v>
      </c>
      <c r="N7" t="str">
        <f t="shared" ref="N7:N21" si="1">IF(OR(N$5&lt;$H7,N$5&gt;$I7),"",$J7+(N$5-$H7)*($K7-$J7)/($I7-$H7))</f>
        <v/>
      </c>
      <c r="O7" t="str">
        <f t="shared" si="0"/>
        <v/>
      </c>
      <c r="P7" t="str">
        <f t="shared" si="0"/>
        <v/>
      </c>
      <c r="Q7" t="str">
        <f t="shared" si="0"/>
        <v/>
      </c>
      <c r="R7" t="str">
        <f t="shared" si="0"/>
        <v/>
      </c>
      <c r="S7" t="str">
        <f t="shared" si="0"/>
        <v/>
      </c>
      <c r="T7" t="str">
        <f t="shared" si="0"/>
        <v/>
      </c>
      <c r="U7" t="str">
        <f t="shared" si="0"/>
        <v/>
      </c>
      <c r="V7" t="str">
        <f t="shared" si="0"/>
        <v/>
      </c>
      <c r="W7" t="str">
        <f t="shared" si="0"/>
        <v/>
      </c>
      <c r="X7" t="str">
        <f t="shared" si="0"/>
        <v/>
      </c>
      <c r="Y7" t="str">
        <f t="shared" si="0"/>
        <v/>
      </c>
    </row>
    <row r="8" spans="2:25" x14ac:dyDescent="0.25">
      <c r="B8" s="5" t="s">
        <v>131</v>
      </c>
      <c r="C8" s="95">
        <v>1</v>
      </c>
      <c r="D8" s="85">
        <v>1</v>
      </c>
      <c r="E8" s="85">
        <v>2</v>
      </c>
      <c r="F8" s="85">
        <v>3</v>
      </c>
      <c r="G8" s="85">
        <v>1</v>
      </c>
      <c r="H8" s="85">
        <v>0</v>
      </c>
      <c r="I8" s="85">
        <v>0</v>
      </c>
      <c r="J8">
        <v>0</v>
      </c>
      <c r="K8" t="s">
        <v>207</v>
      </c>
      <c r="N8" t="str">
        <f t="shared" si="1"/>
        <v/>
      </c>
      <c r="O8" t="str">
        <f t="shared" si="0"/>
        <v/>
      </c>
      <c r="P8" t="str">
        <f t="shared" si="0"/>
        <v/>
      </c>
      <c r="Q8" t="str">
        <f t="shared" si="0"/>
        <v/>
      </c>
      <c r="R8" t="str">
        <f t="shared" si="0"/>
        <v/>
      </c>
      <c r="S8" t="str">
        <f t="shared" si="0"/>
        <v/>
      </c>
      <c r="T8" t="str">
        <f t="shared" si="0"/>
        <v/>
      </c>
      <c r="U8" t="str">
        <f t="shared" si="0"/>
        <v/>
      </c>
      <c r="V8" t="str">
        <f t="shared" si="0"/>
        <v/>
      </c>
      <c r="W8" t="str">
        <f t="shared" si="0"/>
        <v/>
      </c>
      <c r="X8" t="str">
        <f t="shared" si="0"/>
        <v/>
      </c>
      <c r="Y8" t="str">
        <f t="shared" si="0"/>
        <v/>
      </c>
    </row>
    <row r="9" spans="2:25" x14ac:dyDescent="0.25">
      <c r="B9" s="5" t="s">
        <v>134</v>
      </c>
      <c r="C9" s="95">
        <v>1</v>
      </c>
      <c r="D9" s="85">
        <v>1</v>
      </c>
      <c r="E9" s="85">
        <v>4</v>
      </c>
      <c r="F9" s="85">
        <v>14</v>
      </c>
      <c r="G9" s="85">
        <v>1</v>
      </c>
      <c r="H9" s="85">
        <v>1</v>
      </c>
      <c r="I9" s="85">
        <v>4</v>
      </c>
      <c r="J9">
        <v>555</v>
      </c>
      <c r="K9">
        <v>855</v>
      </c>
      <c r="N9">
        <f t="shared" si="1"/>
        <v>555</v>
      </c>
      <c r="O9">
        <f t="shared" si="0"/>
        <v>655</v>
      </c>
      <c r="P9">
        <f t="shared" si="0"/>
        <v>755</v>
      </c>
      <c r="Q9">
        <f t="shared" si="0"/>
        <v>855</v>
      </c>
      <c r="R9" t="str">
        <f t="shared" si="0"/>
        <v/>
      </c>
      <c r="S9" t="str">
        <f t="shared" si="0"/>
        <v/>
      </c>
      <c r="T9" t="str">
        <f t="shared" si="0"/>
        <v/>
      </c>
      <c r="U9" t="str">
        <f t="shared" si="0"/>
        <v/>
      </c>
      <c r="V9" t="str">
        <f t="shared" si="0"/>
        <v/>
      </c>
      <c r="W9" t="str">
        <f t="shared" si="0"/>
        <v/>
      </c>
      <c r="X9" t="str">
        <f t="shared" si="0"/>
        <v/>
      </c>
      <c r="Y9" t="str">
        <f t="shared" si="0"/>
        <v/>
      </c>
    </row>
    <row r="10" spans="2:25" x14ac:dyDescent="0.25">
      <c r="B10" s="5" t="s">
        <v>136</v>
      </c>
      <c r="C10" s="95">
        <v>1</v>
      </c>
      <c r="D10" s="85">
        <v>1</v>
      </c>
      <c r="E10" s="85">
        <v>4</v>
      </c>
      <c r="F10" s="85">
        <v>15</v>
      </c>
      <c r="G10" s="85">
        <v>1</v>
      </c>
      <c r="H10" s="85">
        <v>2</v>
      </c>
      <c r="I10" s="85">
        <v>6</v>
      </c>
      <c r="J10">
        <v>444</v>
      </c>
      <c r="K10">
        <v>944</v>
      </c>
      <c r="N10" t="str">
        <f t="shared" si="1"/>
        <v/>
      </c>
      <c r="O10">
        <f t="shared" si="0"/>
        <v>444</v>
      </c>
      <c r="P10">
        <f t="shared" si="0"/>
        <v>569</v>
      </c>
      <c r="Q10">
        <f t="shared" si="0"/>
        <v>694</v>
      </c>
      <c r="R10">
        <f t="shared" si="0"/>
        <v>819</v>
      </c>
      <c r="S10">
        <f t="shared" si="0"/>
        <v>944</v>
      </c>
      <c r="T10" t="str">
        <f t="shared" si="0"/>
        <v/>
      </c>
      <c r="U10" t="str">
        <f t="shared" si="0"/>
        <v/>
      </c>
      <c r="V10" t="str">
        <f t="shared" si="0"/>
        <v/>
      </c>
      <c r="W10" t="str">
        <f t="shared" si="0"/>
        <v/>
      </c>
      <c r="X10" t="str">
        <f t="shared" si="0"/>
        <v/>
      </c>
      <c r="Y10" t="str">
        <f t="shared" si="0"/>
        <v/>
      </c>
    </row>
    <row r="11" spans="2:25" x14ac:dyDescent="0.25">
      <c r="B11" s="5" t="s">
        <v>140</v>
      </c>
      <c r="C11" s="95">
        <v>1</v>
      </c>
      <c r="D11" s="85">
        <v>1</v>
      </c>
      <c r="E11" s="85">
        <v>5</v>
      </c>
      <c r="F11" s="85">
        <v>22</v>
      </c>
      <c r="G11" s="85">
        <v>9</v>
      </c>
      <c r="H11" s="85">
        <v>0</v>
      </c>
      <c r="I11" s="85">
        <v>0</v>
      </c>
      <c r="J11">
        <v>99999</v>
      </c>
      <c r="K11" t="s">
        <v>207</v>
      </c>
      <c r="N11" t="str">
        <f t="shared" si="1"/>
        <v/>
      </c>
      <c r="O11" t="str">
        <f t="shared" si="0"/>
        <v/>
      </c>
      <c r="P11" t="str">
        <f t="shared" si="0"/>
        <v/>
      </c>
      <c r="Q11" t="str">
        <f t="shared" si="0"/>
        <v/>
      </c>
      <c r="R11" t="str">
        <f t="shared" si="0"/>
        <v/>
      </c>
      <c r="S11" t="str">
        <f t="shared" si="0"/>
        <v/>
      </c>
      <c r="T11" t="str">
        <f t="shared" si="0"/>
        <v/>
      </c>
      <c r="U11" t="str">
        <f t="shared" si="0"/>
        <v/>
      </c>
      <c r="V11" t="str">
        <f t="shared" si="0"/>
        <v/>
      </c>
      <c r="W11" t="str">
        <f t="shared" si="0"/>
        <v/>
      </c>
      <c r="X11" t="str">
        <f t="shared" si="0"/>
        <v/>
      </c>
      <c r="Y11" t="str">
        <f t="shared" si="0"/>
        <v/>
      </c>
    </row>
    <row r="12" spans="2:25" x14ac:dyDescent="0.25">
      <c r="B12" s="5" t="s">
        <v>144</v>
      </c>
      <c r="C12" s="95">
        <v>1</v>
      </c>
      <c r="D12" s="85">
        <v>1</v>
      </c>
      <c r="E12" s="85">
        <v>6</v>
      </c>
      <c r="F12" s="85">
        <v>22</v>
      </c>
      <c r="G12" s="85">
        <v>6</v>
      </c>
      <c r="H12" s="85">
        <v>6</v>
      </c>
      <c r="I12" s="85">
        <v>36</v>
      </c>
      <c r="J12">
        <v>9.8765400000000003</v>
      </c>
      <c r="K12">
        <v>12.345677999999999</v>
      </c>
      <c r="N12" t="str">
        <f t="shared" si="1"/>
        <v/>
      </c>
      <c r="O12" t="str">
        <f t="shared" si="0"/>
        <v/>
      </c>
      <c r="P12" t="str">
        <f t="shared" si="0"/>
        <v/>
      </c>
      <c r="Q12" t="str">
        <f t="shared" si="0"/>
        <v/>
      </c>
      <c r="R12" t="str">
        <f t="shared" si="0"/>
        <v/>
      </c>
      <c r="S12">
        <f t="shared" si="0"/>
        <v>9.8765400000000003</v>
      </c>
      <c r="T12">
        <f t="shared" si="0"/>
        <v>9.9588446000000008</v>
      </c>
      <c r="U12">
        <f t="shared" si="0"/>
        <v>10.0411492</v>
      </c>
      <c r="V12">
        <f t="shared" si="0"/>
        <v>10.1234538</v>
      </c>
      <c r="W12">
        <f t="shared" si="0"/>
        <v>10.205758400000001</v>
      </c>
      <c r="X12">
        <f t="shared" si="0"/>
        <v>10.288063000000001</v>
      </c>
      <c r="Y12">
        <f t="shared" si="0"/>
        <v>10.3703676</v>
      </c>
    </row>
    <row r="13" spans="2:25" x14ac:dyDescent="0.25">
      <c r="B13" s="5" t="s">
        <v>146</v>
      </c>
      <c r="C13" s="95">
        <v>0</v>
      </c>
      <c r="D13" s="85">
        <v>1</v>
      </c>
      <c r="E13" s="85">
        <v>1</v>
      </c>
      <c r="F13" s="85" t="s">
        <v>207</v>
      </c>
      <c r="G13" s="85" t="s">
        <v>207</v>
      </c>
      <c r="H13" s="85">
        <v>0</v>
      </c>
      <c r="I13" s="85">
        <v>0</v>
      </c>
      <c r="J13" t="s">
        <v>207</v>
      </c>
      <c r="K13" t="s">
        <v>207</v>
      </c>
      <c r="N13" t="str">
        <f t="shared" si="1"/>
        <v/>
      </c>
      <c r="O13" t="str">
        <f t="shared" si="0"/>
        <v/>
      </c>
      <c r="P13" t="str">
        <f t="shared" si="0"/>
        <v/>
      </c>
      <c r="Q13" t="str">
        <f t="shared" si="0"/>
        <v/>
      </c>
      <c r="R13" t="str">
        <f t="shared" si="0"/>
        <v/>
      </c>
      <c r="S13" t="str">
        <f t="shared" si="0"/>
        <v/>
      </c>
      <c r="T13" t="str">
        <f t="shared" si="0"/>
        <v/>
      </c>
      <c r="U13" t="str">
        <f t="shared" si="0"/>
        <v/>
      </c>
      <c r="V13" t="str">
        <f t="shared" si="0"/>
        <v/>
      </c>
      <c r="W13" t="str">
        <f t="shared" si="0"/>
        <v/>
      </c>
      <c r="X13" t="str">
        <f t="shared" si="0"/>
        <v/>
      </c>
      <c r="Y13" t="str">
        <f t="shared" si="0"/>
        <v/>
      </c>
    </row>
    <row r="14" spans="2:25" x14ac:dyDescent="0.25">
      <c r="B14" s="5" t="s">
        <v>148</v>
      </c>
      <c r="C14" s="95">
        <v>0</v>
      </c>
      <c r="D14" s="85">
        <v>1</v>
      </c>
      <c r="E14" s="85">
        <v>2</v>
      </c>
      <c r="F14" s="85" t="s">
        <v>207</v>
      </c>
      <c r="G14" s="85" t="s">
        <v>207</v>
      </c>
      <c r="H14" s="85">
        <v>0</v>
      </c>
      <c r="I14" s="85">
        <v>0</v>
      </c>
      <c r="J14" t="s">
        <v>207</v>
      </c>
      <c r="K14" t="s">
        <v>207</v>
      </c>
      <c r="N14" t="str">
        <f t="shared" si="1"/>
        <v/>
      </c>
      <c r="O14" t="str">
        <f t="shared" si="0"/>
        <v/>
      </c>
      <c r="P14" t="str">
        <f t="shared" si="0"/>
        <v/>
      </c>
      <c r="Q14" t="str">
        <f t="shared" si="0"/>
        <v/>
      </c>
      <c r="R14" t="str">
        <f t="shared" si="0"/>
        <v/>
      </c>
      <c r="S14" t="str">
        <f t="shared" si="0"/>
        <v/>
      </c>
      <c r="T14" t="str">
        <f t="shared" si="0"/>
        <v/>
      </c>
      <c r="U14" t="str">
        <f t="shared" si="0"/>
        <v/>
      </c>
      <c r="V14" t="str">
        <f t="shared" si="0"/>
        <v/>
      </c>
      <c r="W14" t="str">
        <f t="shared" si="0"/>
        <v/>
      </c>
      <c r="X14" t="str">
        <f t="shared" si="0"/>
        <v/>
      </c>
      <c r="Y14" t="str">
        <f t="shared" si="0"/>
        <v/>
      </c>
    </row>
    <row r="15" spans="2:25" x14ac:dyDescent="0.25">
      <c r="B15" s="5" t="s">
        <v>150</v>
      </c>
      <c r="C15" s="95">
        <v>0</v>
      </c>
      <c r="D15" s="85">
        <v>1</v>
      </c>
      <c r="E15" s="85">
        <v>2</v>
      </c>
      <c r="F15" s="85" t="s">
        <v>207</v>
      </c>
      <c r="G15" s="85" t="s">
        <v>207</v>
      </c>
      <c r="H15" s="85">
        <v>0</v>
      </c>
      <c r="I15" s="85">
        <v>0</v>
      </c>
      <c r="J15" t="s">
        <v>207</v>
      </c>
      <c r="K15" t="s">
        <v>207</v>
      </c>
      <c r="N15" t="str">
        <f t="shared" si="1"/>
        <v/>
      </c>
      <c r="O15" t="str">
        <f t="shared" si="0"/>
        <v/>
      </c>
      <c r="P15" t="str">
        <f t="shared" si="0"/>
        <v/>
      </c>
      <c r="Q15" t="str">
        <f t="shared" si="0"/>
        <v/>
      </c>
      <c r="R15" t="str">
        <f t="shared" si="0"/>
        <v/>
      </c>
      <c r="S15" t="str">
        <f t="shared" si="0"/>
        <v/>
      </c>
      <c r="T15" t="str">
        <f t="shared" si="0"/>
        <v/>
      </c>
      <c r="U15" t="str">
        <f t="shared" si="0"/>
        <v/>
      </c>
      <c r="V15" t="str">
        <f t="shared" si="0"/>
        <v/>
      </c>
      <c r="W15" t="str">
        <f t="shared" si="0"/>
        <v/>
      </c>
      <c r="X15" t="str">
        <f t="shared" si="0"/>
        <v/>
      </c>
      <c r="Y15" t="str">
        <f t="shared" si="0"/>
        <v/>
      </c>
    </row>
    <row r="16" spans="2:25" x14ac:dyDescent="0.25">
      <c r="B16" s="5" t="s">
        <v>153</v>
      </c>
      <c r="C16" s="95">
        <v>0</v>
      </c>
      <c r="D16" s="80">
        <v>1</v>
      </c>
      <c r="E16" s="80">
        <v>3</v>
      </c>
      <c r="F16" s="80" t="s">
        <v>207</v>
      </c>
      <c r="G16" s="80" t="s">
        <v>207</v>
      </c>
      <c r="H16" s="80">
        <v>0</v>
      </c>
      <c r="I16" s="80">
        <v>0</v>
      </c>
      <c r="J16" t="s">
        <v>207</v>
      </c>
      <c r="K16" t="s">
        <v>207</v>
      </c>
      <c r="N16" t="str">
        <f t="shared" si="1"/>
        <v/>
      </c>
      <c r="O16" t="str">
        <f t="shared" si="0"/>
        <v/>
      </c>
      <c r="P16" t="str">
        <f t="shared" si="0"/>
        <v/>
      </c>
      <c r="Q16" t="str">
        <f t="shared" si="0"/>
        <v/>
      </c>
      <c r="R16" t="str">
        <f t="shared" si="0"/>
        <v/>
      </c>
      <c r="S16" t="str">
        <f t="shared" si="0"/>
        <v/>
      </c>
      <c r="T16" t="str">
        <f t="shared" si="0"/>
        <v/>
      </c>
      <c r="U16" t="str">
        <f t="shared" si="0"/>
        <v/>
      </c>
      <c r="V16" t="str">
        <f t="shared" si="0"/>
        <v/>
      </c>
      <c r="W16" t="str">
        <f t="shared" si="0"/>
        <v/>
      </c>
      <c r="X16" t="str">
        <f t="shared" si="0"/>
        <v/>
      </c>
      <c r="Y16" t="str">
        <f t="shared" si="0"/>
        <v/>
      </c>
    </row>
    <row r="17" spans="2:25" x14ac:dyDescent="0.25">
      <c r="B17" s="5" t="s">
        <v>155</v>
      </c>
      <c r="C17" s="95">
        <v>0</v>
      </c>
      <c r="D17" s="80">
        <v>1</v>
      </c>
      <c r="E17" s="80">
        <v>4</v>
      </c>
      <c r="F17" s="80" t="s">
        <v>207</v>
      </c>
      <c r="G17" s="80" t="s">
        <v>207</v>
      </c>
      <c r="H17" s="80">
        <v>0</v>
      </c>
      <c r="I17" s="80">
        <v>0</v>
      </c>
      <c r="J17" t="s">
        <v>207</v>
      </c>
      <c r="K17" t="s">
        <v>207</v>
      </c>
      <c r="N17" t="str">
        <f t="shared" si="1"/>
        <v/>
      </c>
      <c r="O17" t="str">
        <f t="shared" si="0"/>
        <v/>
      </c>
      <c r="P17" t="str">
        <f t="shared" si="0"/>
        <v/>
      </c>
      <c r="Q17" t="str">
        <f t="shared" si="0"/>
        <v/>
      </c>
      <c r="R17" t="str">
        <f t="shared" si="0"/>
        <v/>
      </c>
      <c r="S17" t="str">
        <f t="shared" si="0"/>
        <v/>
      </c>
      <c r="T17" t="str">
        <f t="shared" si="0"/>
        <v/>
      </c>
      <c r="U17" t="str">
        <f t="shared" si="0"/>
        <v/>
      </c>
      <c r="V17" t="str">
        <f t="shared" si="0"/>
        <v/>
      </c>
      <c r="W17" t="str">
        <f t="shared" si="0"/>
        <v/>
      </c>
      <c r="X17" t="str">
        <f t="shared" si="0"/>
        <v/>
      </c>
      <c r="Y17" t="str">
        <f t="shared" si="0"/>
        <v/>
      </c>
    </row>
    <row r="18" spans="2:25" x14ac:dyDescent="0.25">
      <c r="B18" s="5" t="s">
        <v>157</v>
      </c>
      <c r="C18" s="80">
        <v>0</v>
      </c>
      <c r="D18" s="80">
        <v>1</v>
      </c>
      <c r="E18" s="80">
        <v>5</v>
      </c>
      <c r="F18" s="80" t="s">
        <v>207</v>
      </c>
      <c r="G18" s="80" t="s">
        <v>207</v>
      </c>
      <c r="H18" s="80">
        <v>0</v>
      </c>
      <c r="I18" s="80">
        <v>0</v>
      </c>
      <c r="J18" t="s">
        <v>207</v>
      </c>
      <c r="K18" t="s">
        <v>207</v>
      </c>
      <c r="N18" t="str">
        <f t="shared" si="1"/>
        <v/>
      </c>
      <c r="O18" t="str">
        <f t="shared" si="0"/>
        <v/>
      </c>
      <c r="P18" t="str">
        <f t="shared" si="0"/>
        <v/>
      </c>
      <c r="Q18" t="str">
        <f t="shared" si="0"/>
        <v/>
      </c>
      <c r="R18" t="str">
        <f t="shared" si="0"/>
        <v/>
      </c>
      <c r="S18" t="str">
        <f t="shared" si="0"/>
        <v/>
      </c>
      <c r="T18" t="str">
        <f t="shared" si="0"/>
        <v/>
      </c>
      <c r="U18" t="str">
        <f t="shared" si="0"/>
        <v/>
      </c>
      <c r="V18" t="str">
        <f t="shared" si="0"/>
        <v/>
      </c>
      <c r="W18" t="str">
        <f t="shared" si="0"/>
        <v/>
      </c>
      <c r="X18" t="str">
        <f t="shared" si="0"/>
        <v/>
      </c>
      <c r="Y18" t="str">
        <f t="shared" si="0"/>
        <v/>
      </c>
    </row>
    <row r="19" spans="2:25" x14ac:dyDescent="0.25">
      <c r="B19" s="5" t="s">
        <v>159</v>
      </c>
      <c r="C19" s="80">
        <v>0</v>
      </c>
      <c r="D19" s="80">
        <v>1</v>
      </c>
      <c r="E19" s="80">
        <v>5</v>
      </c>
      <c r="F19" s="80" t="s">
        <v>207</v>
      </c>
      <c r="G19" s="80" t="s">
        <v>207</v>
      </c>
      <c r="H19" s="80">
        <v>0</v>
      </c>
      <c r="I19" s="80">
        <v>0</v>
      </c>
      <c r="J19" t="s">
        <v>207</v>
      </c>
      <c r="K19" t="s">
        <v>207</v>
      </c>
      <c r="N19" t="str">
        <f t="shared" si="1"/>
        <v/>
      </c>
      <c r="O19" t="str">
        <f t="shared" si="0"/>
        <v/>
      </c>
      <c r="P19" t="str">
        <f t="shared" si="0"/>
        <v/>
      </c>
      <c r="Q19" t="str">
        <f t="shared" si="0"/>
        <v/>
      </c>
      <c r="R19" t="str">
        <f t="shared" si="0"/>
        <v/>
      </c>
      <c r="S19" t="str">
        <f t="shared" si="0"/>
        <v/>
      </c>
      <c r="T19" t="str">
        <f t="shared" si="0"/>
        <v/>
      </c>
      <c r="U19" t="str">
        <f t="shared" si="0"/>
        <v/>
      </c>
      <c r="V19" t="str">
        <f t="shared" si="0"/>
        <v/>
      </c>
      <c r="W19" t="str">
        <f t="shared" si="0"/>
        <v/>
      </c>
      <c r="X19" t="str">
        <f t="shared" si="0"/>
        <v/>
      </c>
      <c r="Y19" t="str">
        <f t="shared" si="0"/>
        <v/>
      </c>
    </row>
    <row r="20" spans="2:25" x14ac:dyDescent="0.25">
      <c r="B20" s="5" t="s">
        <v>161</v>
      </c>
      <c r="C20" s="80">
        <v>0</v>
      </c>
      <c r="D20" s="80">
        <v>2</v>
      </c>
      <c r="E20" s="80">
        <v>1</v>
      </c>
      <c r="F20" s="80" t="s">
        <v>207</v>
      </c>
      <c r="G20" s="80" t="s">
        <v>207</v>
      </c>
      <c r="H20" s="80">
        <v>0</v>
      </c>
      <c r="I20" s="80">
        <v>0</v>
      </c>
      <c r="J20" t="s">
        <v>207</v>
      </c>
      <c r="K20" t="s">
        <v>207</v>
      </c>
      <c r="N20" t="str">
        <f t="shared" si="1"/>
        <v/>
      </c>
      <c r="O20" t="str">
        <f t="shared" si="0"/>
        <v/>
      </c>
      <c r="P20" t="str">
        <f t="shared" si="0"/>
        <v/>
      </c>
      <c r="Q20" t="str">
        <f t="shared" si="0"/>
        <v/>
      </c>
      <c r="R20" t="str">
        <f t="shared" si="0"/>
        <v/>
      </c>
      <c r="S20" t="str">
        <f t="shared" si="0"/>
        <v/>
      </c>
      <c r="T20" t="str">
        <f t="shared" si="0"/>
        <v/>
      </c>
      <c r="U20" t="str">
        <f t="shared" si="0"/>
        <v/>
      </c>
      <c r="V20" t="str">
        <f t="shared" si="0"/>
        <v/>
      </c>
      <c r="W20" t="str">
        <f t="shared" si="0"/>
        <v/>
      </c>
      <c r="X20" t="str">
        <f t="shared" si="0"/>
        <v/>
      </c>
      <c r="Y20" t="str">
        <f t="shared" si="0"/>
        <v/>
      </c>
    </row>
    <row r="21" spans="2:25" x14ac:dyDescent="0.25">
      <c r="B21" s="5" t="s">
        <v>163</v>
      </c>
      <c r="C21" s="80">
        <v>0</v>
      </c>
      <c r="D21" s="80">
        <v>2</v>
      </c>
      <c r="E21" s="80">
        <v>3</v>
      </c>
      <c r="F21" s="80" t="s">
        <v>207</v>
      </c>
      <c r="G21" s="80" t="s">
        <v>207</v>
      </c>
      <c r="H21" s="80">
        <v>0</v>
      </c>
      <c r="I21" s="80">
        <v>0</v>
      </c>
      <c r="J21" t="s">
        <v>207</v>
      </c>
      <c r="K21" t="s">
        <v>207</v>
      </c>
      <c r="N21" t="str">
        <f t="shared" si="1"/>
        <v/>
      </c>
      <c r="O21" t="str">
        <f t="shared" si="0"/>
        <v/>
      </c>
      <c r="P21" t="str">
        <f t="shared" si="0"/>
        <v/>
      </c>
      <c r="Q21" t="str">
        <f t="shared" si="0"/>
        <v/>
      </c>
      <c r="R21" t="str">
        <f t="shared" si="0"/>
        <v/>
      </c>
      <c r="S21" t="str">
        <f t="shared" si="0"/>
        <v/>
      </c>
      <c r="T21" t="str">
        <f t="shared" si="0"/>
        <v/>
      </c>
      <c r="U21" t="str">
        <f t="shared" si="0"/>
        <v/>
      </c>
      <c r="V21" t="str">
        <f t="shared" si="0"/>
        <v/>
      </c>
      <c r="W21" t="str">
        <f t="shared" si="0"/>
        <v/>
      </c>
      <c r="X21" t="str">
        <f t="shared" si="0"/>
        <v/>
      </c>
      <c r="Y21" t="str">
        <f t="shared" si="0"/>
        <v/>
      </c>
    </row>
  </sheetData>
  <conditionalFormatting sqref="C6:C17">
    <cfRule type="cellIs" dxfId="11" priority="9" operator="equal">
      <formula>NaN</formula>
    </cfRule>
  </conditionalFormatting>
  <conditionalFormatting sqref="C6:C42">
    <cfRule type="cellIs" dxfId="10" priority="8" operator="equal">
      <formula>0</formula>
    </cfRule>
  </conditionalFormatting>
  <conditionalFormatting sqref="C6:C42">
    <cfRule type="cellIs" dxfId="9" priority="7" operator="greaterThan">
      <formula>0.5</formula>
    </cfRule>
  </conditionalFormatting>
  <conditionalFormatting sqref="E6:E42">
    <cfRule type="colorScale" priority="6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F6:F42">
    <cfRule type="colorScale" priority="5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G6:G42">
    <cfRule type="colorScale" priority="4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H6:H42">
    <cfRule type="colorScale" priority="3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I6:I42">
    <cfRule type="colorScale" priority="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D6:D42">
    <cfRule type="colorScale" priority="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35912D76-7FDC-4103-AD05-E2FCCE89552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SletMig!N6:Y6</xm:f>
              <xm:sqref>M6</xm:sqref>
            </x14:sparkline>
            <x14:sparkline>
              <xm:f>SletMig!N7:Y7</xm:f>
              <xm:sqref>M7</xm:sqref>
            </x14:sparkline>
            <x14:sparkline>
              <xm:f>SletMig!N8:Y8</xm:f>
              <xm:sqref>M8</xm:sqref>
            </x14:sparkline>
            <x14:sparkline>
              <xm:f>SletMig!N9:Y9</xm:f>
              <xm:sqref>M9</xm:sqref>
            </x14:sparkline>
            <x14:sparkline>
              <xm:f>SletMig!N10:Y10</xm:f>
              <xm:sqref>M10</xm:sqref>
            </x14:sparkline>
            <x14:sparkline>
              <xm:f>SletMig!N11:Y11</xm:f>
              <xm:sqref>M11</xm:sqref>
            </x14:sparkline>
            <x14:sparkline>
              <xm:f>SletMig!N12:Y12</xm:f>
              <xm:sqref>M12</xm:sqref>
            </x14:sparkline>
            <x14:sparkline>
              <xm:f>SletMig!N13:Y13</xm:f>
              <xm:sqref>M13</xm:sqref>
            </x14:sparkline>
            <x14:sparkline>
              <xm:f>SletMig!N14:Y14</xm:f>
              <xm:sqref>M14</xm:sqref>
            </x14:sparkline>
            <x14:sparkline>
              <xm:f>SletMig!N15:Y15</xm:f>
              <xm:sqref>M15</xm:sqref>
            </x14:sparkline>
            <x14:sparkline>
              <xm:f>SletMig!N16:Y16</xm:f>
              <xm:sqref>M16</xm:sqref>
            </x14:sparkline>
            <x14:sparkline>
              <xm:f>SletMig!N17:Y17</xm:f>
              <xm:sqref>M17</xm:sqref>
            </x14:sparkline>
            <x14:sparkline>
              <xm:f>SletMig!N18:Y18</xm:f>
              <xm:sqref>M18</xm:sqref>
            </x14:sparkline>
            <x14:sparkline>
              <xm:f>SletMig!N19:Y19</xm:f>
              <xm:sqref>M19</xm:sqref>
            </x14:sparkline>
            <x14:sparkline>
              <xm:f>SletMig!N20:Y20</xm:f>
              <xm:sqref>M20</xm:sqref>
            </x14:sparkline>
            <x14:sparkline>
              <xm:f>SletMig!N21:Y21</xm:f>
              <xm:sqref>M21</xm:sqref>
            </x14:sparkline>
          </x14:sparklines>
        </x14:sparklineGroup>
      </x14:sparklineGroup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5CEFA-7CBA-4443-A759-14860C793C0A}">
  <sheetPr>
    <tabColor theme="1" tint="0.499984740745262"/>
  </sheetPr>
  <dimension ref="B2:AY43"/>
  <sheetViews>
    <sheetView zoomScale="85" zoomScaleNormal="85" workbookViewId="0">
      <selection activeCell="G44" sqref="G44"/>
    </sheetView>
  </sheetViews>
  <sheetFormatPr defaultRowHeight="15" outlineLevelCol="1" x14ac:dyDescent="0.25"/>
  <cols>
    <col min="1" max="1" width="3.5703125" customWidth="1"/>
    <col min="3" max="3" width="9.140625" customWidth="1" outlineLevel="1"/>
    <col min="4" max="4" width="8.140625" customWidth="1" outlineLevel="1"/>
    <col min="5" max="5" width="13.5703125" customWidth="1" outlineLevel="1"/>
    <col min="6" max="6" width="16" customWidth="1" outlineLevel="1"/>
    <col min="7" max="7" width="14.28515625" customWidth="1" outlineLevel="1"/>
    <col min="8" max="8" width="10.7109375" customWidth="1" outlineLevel="1"/>
    <col min="9" max="9" width="10.28515625" customWidth="1" outlineLevel="1"/>
    <col min="10" max="10" width="10" customWidth="1" outlineLevel="1"/>
    <col min="11" max="11" width="9.5703125" customWidth="1" outlineLevel="1"/>
    <col min="12" max="12" width="12.5703125" customWidth="1" outlineLevel="1"/>
    <col min="13" max="13" width="5" style="88" customWidth="1"/>
    <col min="14" max="14" width="9.140625" style="5" customWidth="1" outlineLevel="1"/>
    <col min="15" max="16" width="9.140625" style="80" customWidth="1" outlineLevel="1"/>
    <col min="17" max="19" width="8.85546875" style="80" customWidth="1" outlineLevel="1"/>
    <col min="20" max="20" width="10.7109375" style="80" customWidth="1" outlineLevel="1"/>
    <col min="21" max="21" width="10.28515625" style="80" customWidth="1" outlineLevel="1"/>
    <col min="22" max="22" width="10" customWidth="1" outlineLevel="1"/>
    <col min="23" max="23" width="9.5703125" customWidth="1" outlineLevel="1"/>
    <col min="24" max="24" width="15.42578125" style="89" customWidth="1"/>
    <col min="25" max="25" width="23.7109375" customWidth="1"/>
  </cols>
  <sheetData>
    <row r="2" spans="2:51" x14ac:dyDescent="0.25">
      <c r="B2" s="78" t="s">
        <v>100</v>
      </c>
      <c r="N2" s="87" t="s">
        <v>101</v>
      </c>
    </row>
    <row r="3" spans="2:51" x14ac:dyDescent="0.25">
      <c r="H3" s="78" t="s">
        <v>102</v>
      </c>
    </row>
    <row r="4" spans="2:51" x14ac:dyDescent="0.25">
      <c r="C4" s="90" t="s">
        <v>103</v>
      </c>
      <c r="H4" s="80" t="s">
        <v>104</v>
      </c>
      <c r="I4" s="80" t="s">
        <v>104</v>
      </c>
      <c r="J4" s="80" t="s">
        <v>105</v>
      </c>
      <c r="K4" s="80" t="s">
        <v>105</v>
      </c>
      <c r="Q4" s="80" t="s">
        <v>106</v>
      </c>
      <c r="R4" s="80" t="s">
        <v>107</v>
      </c>
      <c r="S4" s="80" t="s">
        <v>108</v>
      </c>
      <c r="Z4" t="s">
        <v>109</v>
      </c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  <c r="AW4" s="74"/>
      <c r="AX4" s="74"/>
      <c r="AY4" s="74"/>
    </row>
    <row r="5" spans="2:51" x14ac:dyDescent="0.25">
      <c r="B5" s="91" t="s">
        <v>110</v>
      </c>
      <c r="C5" s="91" t="s">
        <v>111</v>
      </c>
      <c r="D5" s="92" t="s">
        <v>112</v>
      </c>
      <c r="E5" s="91" t="s">
        <v>113</v>
      </c>
      <c r="F5" s="91" t="s">
        <v>114</v>
      </c>
      <c r="G5" s="91" t="s">
        <v>115</v>
      </c>
      <c r="H5" s="91" t="s">
        <v>116</v>
      </c>
      <c r="I5" s="91" t="s">
        <v>117</v>
      </c>
      <c r="J5" s="91" t="s">
        <v>118</v>
      </c>
      <c r="K5" s="91" t="s">
        <v>119</v>
      </c>
      <c r="L5" s="93" t="s">
        <v>120</v>
      </c>
      <c r="N5" s="92" t="s">
        <v>110</v>
      </c>
      <c r="O5" s="91" t="s">
        <v>111</v>
      </c>
      <c r="P5" s="91" t="s">
        <v>112</v>
      </c>
      <c r="Q5" s="91" t="s">
        <v>113</v>
      </c>
      <c r="R5" s="91" t="s">
        <v>114</v>
      </c>
      <c r="S5" s="91" t="s">
        <v>115</v>
      </c>
      <c r="T5" s="91" t="str">
        <f>H5</f>
        <v>FirstPeriod</v>
      </c>
      <c r="U5" s="91" t="str">
        <f>I5</f>
        <v>LastPeriod</v>
      </c>
      <c r="V5" s="91" t="str">
        <f>J5</f>
        <v>FirstValue</v>
      </c>
      <c r="W5" s="91" t="str">
        <f>K5</f>
        <v>LastValue</v>
      </c>
      <c r="Z5" s="94">
        <v>1</v>
      </c>
      <c r="AA5" s="94">
        <v>2</v>
      </c>
      <c r="AB5" s="94">
        <v>3</v>
      </c>
      <c r="AC5" s="94">
        <v>4</v>
      </c>
      <c r="AD5" s="94">
        <v>5</v>
      </c>
      <c r="AE5" s="94">
        <v>6</v>
      </c>
      <c r="AF5" s="94">
        <v>7</v>
      </c>
      <c r="AG5" s="94">
        <v>8</v>
      </c>
      <c r="AH5" s="94">
        <v>9</v>
      </c>
      <c r="AI5" s="94">
        <v>10</v>
      </c>
      <c r="AJ5" s="94">
        <v>11</v>
      </c>
      <c r="AK5" s="94">
        <v>12</v>
      </c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  <c r="AW5" s="74"/>
      <c r="AX5" s="74"/>
      <c r="AY5" s="74"/>
    </row>
    <row r="6" spans="2:51" x14ac:dyDescent="0.25">
      <c r="B6" s="95" t="s">
        <v>121</v>
      </c>
      <c r="C6" s="95">
        <v>1</v>
      </c>
      <c r="D6" s="85">
        <v>1</v>
      </c>
      <c r="E6" s="5" t="s">
        <v>122</v>
      </c>
      <c r="F6" s="5" t="s">
        <v>123</v>
      </c>
      <c r="G6" s="5" t="s">
        <v>124</v>
      </c>
      <c r="H6" s="80"/>
      <c r="I6" s="80"/>
      <c r="J6">
        <v>0</v>
      </c>
      <c r="N6" s="5" t="s">
        <v>125</v>
      </c>
      <c r="O6" s="95">
        <f>C6</f>
        <v>1</v>
      </c>
      <c r="P6" s="85">
        <f>D6</f>
        <v>1</v>
      </c>
      <c r="Q6" s="85">
        <f t="shared" ref="Q6:Q21" si="0">IFERROR(MATCH(E6,listRoot,0),IF(C6=0,"",-1))</f>
        <v>1</v>
      </c>
      <c r="R6" s="85">
        <f t="shared" ref="R6:R21" ca="1" si="1">_xlfn.LET(_xlpm.ran,OFFSET(OfzNiveau2,Q6,1,1,COLUMNS(arrNiv2)),IFERROR(MATCH(F6,_xlpm.ran,0),IF(C6=0,"",-1)))</f>
        <v>6</v>
      </c>
      <c r="S6" s="85">
        <f t="shared" ref="S6:S21" ca="1" si="2">_xlfn.LET(_xlpm.ran,OFFSET(OfzNiveau3,Q6,1,1,COLUMNS(arrNiv3)),IFERROR(MATCH(G6,_xlpm.ran,0),IF(C6=0,"",-1)))</f>
        <v>1</v>
      </c>
      <c r="T6" s="85">
        <f t="shared" ref="T6:U8" si="3">H6</f>
        <v>0</v>
      </c>
      <c r="U6" s="85">
        <f t="shared" si="3"/>
        <v>0</v>
      </c>
      <c r="V6">
        <f>IF(ISBLANK(J6),"",J6)</f>
        <v>0</v>
      </c>
      <c r="W6" t="str">
        <f>IF(ISBLANK(K6),"",K6)</f>
        <v/>
      </c>
      <c r="Y6" t="str">
        <f>IF(C6=0,"",E6&amp;"."&amp;F6&amp;"."&amp;G6)</f>
        <v>Control.FixAffald.VOID</v>
      </c>
      <c r="Z6" t="str">
        <f>IF(OR(Z$5&lt;$T6,Z$5&gt;$U6),"",$V6+(Z$5-$T6)*($W6-$V6)/($U6-$T6))</f>
        <v/>
      </c>
      <c r="AA6" t="str">
        <f t="shared" ref="AA6:AK21" si="4">IF(OR(AA$5&lt;$T6,AA$5&gt;$U6),"",$V6+(AA$5-$T6)*($W6-$V6)/($U6-$T6))</f>
        <v/>
      </c>
      <c r="AB6" t="str">
        <f t="shared" si="4"/>
        <v/>
      </c>
      <c r="AC6" t="str">
        <f t="shared" si="4"/>
        <v/>
      </c>
      <c r="AD6" t="str">
        <f t="shared" si="4"/>
        <v/>
      </c>
      <c r="AE6" t="str">
        <f t="shared" si="4"/>
        <v/>
      </c>
      <c r="AF6" t="str">
        <f t="shared" si="4"/>
        <v/>
      </c>
      <c r="AG6" t="str">
        <f t="shared" si="4"/>
        <v/>
      </c>
      <c r="AH6" t="str">
        <f t="shared" si="4"/>
        <v/>
      </c>
      <c r="AI6" t="str">
        <f t="shared" si="4"/>
        <v/>
      </c>
      <c r="AJ6" t="str">
        <f t="shared" si="4"/>
        <v/>
      </c>
      <c r="AK6" t="str">
        <f t="shared" si="4"/>
        <v/>
      </c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74"/>
      <c r="AX6" s="74"/>
      <c r="AY6" s="74"/>
    </row>
    <row r="7" spans="2:51" x14ac:dyDescent="0.25">
      <c r="B7" s="95" t="s">
        <v>126</v>
      </c>
      <c r="C7" s="95">
        <v>1</v>
      </c>
      <c r="D7" s="85">
        <v>1</v>
      </c>
      <c r="E7" s="5" t="s">
        <v>122</v>
      </c>
      <c r="F7" s="5" t="s">
        <v>127</v>
      </c>
      <c r="G7" s="5" t="s">
        <v>124</v>
      </c>
      <c r="H7" s="80"/>
      <c r="I7" s="80"/>
      <c r="J7">
        <v>22.22</v>
      </c>
      <c r="N7" s="5" t="s">
        <v>128</v>
      </c>
      <c r="O7" s="95">
        <f>C7</f>
        <v>1</v>
      </c>
      <c r="P7" s="85">
        <f t="shared" ref="P7:P21" si="5">D7</f>
        <v>1</v>
      </c>
      <c r="Q7" s="85">
        <f t="shared" si="0"/>
        <v>1</v>
      </c>
      <c r="R7" s="85">
        <f t="shared" ca="1" si="1"/>
        <v>10</v>
      </c>
      <c r="S7" s="85">
        <f t="shared" ca="1" si="2"/>
        <v>1</v>
      </c>
      <c r="T7" s="85">
        <f t="shared" si="3"/>
        <v>0</v>
      </c>
      <c r="U7" s="85">
        <f t="shared" si="3"/>
        <v>0</v>
      </c>
      <c r="V7">
        <f t="shared" ref="V7:W43" si="6">IF(ISBLANK(J7),"",J7)</f>
        <v>22.22</v>
      </c>
      <c r="W7" t="str">
        <f t="shared" si="6"/>
        <v/>
      </c>
      <c r="Y7" t="str">
        <f t="shared" ref="Y7:Y21" si="7">IF(C7=0,"",E7&amp;"."&amp;F7&amp;"."&amp;G7)</f>
        <v>Control.EgetforbrugKVV.VOID</v>
      </c>
      <c r="Z7" t="str">
        <f t="shared" ref="Z7:Z21" si="8">IF(OR(Z$5&lt;$T7,Z$5&gt;$U7),"",$V7+(Z$5-$T7)*($W7-$V7)/($U7-$T7))</f>
        <v/>
      </c>
      <c r="AA7" t="str">
        <f t="shared" si="4"/>
        <v/>
      </c>
      <c r="AB7" t="str">
        <f t="shared" si="4"/>
        <v/>
      </c>
      <c r="AC7" t="str">
        <f t="shared" si="4"/>
        <v/>
      </c>
      <c r="AD7" t="str">
        <f t="shared" si="4"/>
        <v/>
      </c>
      <c r="AE7" t="str">
        <f t="shared" si="4"/>
        <v/>
      </c>
      <c r="AF7" t="str">
        <f t="shared" si="4"/>
        <v/>
      </c>
      <c r="AG7" t="str">
        <f t="shared" si="4"/>
        <v/>
      </c>
      <c r="AH7" t="str">
        <f t="shared" si="4"/>
        <v/>
      </c>
      <c r="AI7" t="str">
        <f t="shared" si="4"/>
        <v/>
      </c>
      <c r="AJ7" t="str">
        <f t="shared" si="4"/>
        <v/>
      </c>
      <c r="AK7" t="str">
        <f t="shared" si="4"/>
        <v/>
      </c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  <c r="AW7" s="74"/>
      <c r="AX7" s="74"/>
      <c r="AY7" s="74"/>
    </row>
    <row r="8" spans="2:51" x14ac:dyDescent="0.25">
      <c r="B8" s="95" t="s">
        <v>129</v>
      </c>
      <c r="C8" s="95">
        <v>1</v>
      </c>
      <c r="D8" s="85">
        <v>1</v>
      </c>
      <c r="E8" s="5" t="s">
        <v>130</v>
      </c>
      <c r="F8" s="5" t="s">
        <v>41</v>
      </c>
      <c r="G8" s="5" t="s">
        <v>111</v>
      </c>
      <c r="H8" s="80"/>
      <c r="I8" s="80"/>
      <c r="J8">
        <v>0</v>
      </c>
      <c r="N8" s="5" t="s">
        <v>131</v>
      </c>
      <c r="O8" s="95">
        <f>C8</f>
        <v>1</v>
      </c>
      <c r="P8" s="85">
        <f t="shared" si="5"/>
        <v>1</v>
      </c>
      <c r="Q8" s="85">
        <f t="shared" si="0"/>
        <v>2</v>
      </c>
      <c r="R8" s="85">
        <f t="shared" ca="1" si="1"/>
        <v>3</v>
      </c>
      <c r="S8" s="85">
        <f t="shared" ca="1" si="2"/>
        <v>1</v>
      </c>
      <c r="T8" s="85">
        <f t="shared" si="3"/>
        <v>0</v>
      </c>
      <c r="U8" s="85">
        <f t="shared" si="3"/>
        <v>0</v>
      </c>
      <c r="V8">
        <f t="shared" si="6"/>
        <v>0</v>
      </c>
      <c r="W8" t="str">
        <f t="shared" si="6"/>
        <v/>
      </c>
      <c r="Y8" t="str">
        <f t="shared" si="7"/>
        <v>Plant.FlisK.Aktiv</v>
      </c>
      <c r="Z8" t="str">
        <f t="shared" si="8"/>
        <v/>
      </c>
      <c r="AA8" t="str">
        <f t="shared" si="4"/>
        <v/>
      </c>
      <c r="AB8" t="str">
        <f t="shared" si="4"/>
        <v/>
      </c>
      <c r="AC8" t="str">
        <f t="shared" si="4"/>
        <v/>
      </c>
      <c r="AD8" t="str">
        <f t="shared" si="4"/>
        <v/>
      </c>
      <c r="AE8" t="str">
        <f t="shared" si="4"/>
        <v/>
      </c>
      <c r="AF8" t="str">
        <f t="shared" si="4"/>
        <v/>
      </c>
      <c r="AG8" t="str">
        <f t="shared" si="4"/>
        <v/>
      </c>
      <c r="AH8" t="str">
        <f t="shared" si="4"/>
        <v/>
      </c>
      <c r="AI8" t="str">
        <f t="shared" si="4"/>
        <v/>
      </c>
      <c r="AJ8" t="str">
        <f t="shared" si="4"/>
        <v/>
      </c>
      <c r="AK8" t="str">
        <f t="shared" si="4"/>
        <v/>
      </c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  <c r="AW8" s="74"/>
      <c r="AX8" s="74"/>
      <c r="AY8" s="74"/>
    </row>
    <row r="9" spans="2:51" x14ac:dyDescent="0.25">
      <c r="B9" s="95" t="s">
        <v>132</v>
      </c>
      <c r="C9" s="95">
        <v>1</v>
      </c>
      <c r="D9" s="85">
        <v>1</v>
      </c>
      <c r="E9" s="5" t="s">
        <v>133</v>
      </c>
      <c r="F9" s="5" t="s">
        <v>86</v>
      </c>
      <c r="G9" s="5" t="s">
        <v>124</v>
      </c>
      <c r="H9" s="80">
        <v>1</v>
      </c>
      <c r="I9" s="80">
        <v>4</v>
      </c>
      <c r="J9">
        <v>555</v>
      </c>
      <c r="K9">
        <v>855</v>
      </c>
      <c r="N9" s="5" t="s">
        <v>134</v>
      </c>
      <c r="O9" s="95">
        <f>C9</f>
        <v>1</v>
      </c>
      <c r="P9" s="85">
        <f t="shared" si="5"/>
        <v>1</v>
      </c>
      <c r="Q9" s="85">
        <f t="shared" si="0"/>
        <v>4</v>
      </c>
      <c r="R9" s="85">
        <f t="shared" ca="1" si="1"/>
        <v>14</v>
      </c>
      <c r="S9" s="85">
        <f t="shared" ca="1" si="2"/>
        <v>1</v>
      </c>
      <c r="T9" s="85">
        <f>H9</f>
        <v>1</v>
      </c>
      <c r="U9" s="85">
        <f t="shared" ref="U9:U21" si="9">I9</f>
        <v>4</v>
      </c>
      <c r="V9">
        <f t="shared" si="6"/>
        <v>555</v>
      </c>
      <c r="W9">
        <f t="shared" si="6"/>
        <v>855</v>
      </c>
      <c r="Y9" t="str">
        <f t="shared" si="7"/>
        <v>Prognoses.Elpris.VOID</v>
      </c>
      <c r="Z9">
        <f t="shared" si="8"/>
        <v>555</v>
      </c>
      <c r="AA9">
        <f t="shared" si="4"/>
        <v>655</v>
      </c>
      <c r="AB9">
        <f t="shared" si="4"/>
        <v>755</v>
      </c>
      <c r="AC9">
        <f t="shared" si="4"/>
        <v>855</v>
      </c>
      <c r="AD9" t="str">
        <f t="shared" si="4"/>
        <v/>
      </c>
      <c r="AE9" t="str">
        <f t="shared" si="4"/>
        <v/>
      </c>
      <c r="AF9" t="str">
        <f t="shared" si="4"/>
        <v/>
      </c>
      <c r="AG9" t="str">
        <f t="shared" si="4"/>
        <v/>
      </c>
      <c r="AH9" t="str">
        <f t="shared" si="4"/>
        <v/>
      </c>
      <c r="AI9" t="str">
        <f t="shared" si="4"/>
        <v/>
      </c>
      <c r="AJ9" t="str">
        <f t="shared" si="4"/>
        <v/>
      </c>
      <c r="AK9" t="str">
        <f t="shared" si="4"/>
        <v/>
      </c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</row>
    <row r="10" spans="2:51" x14ac:dyDescent="0.25">
      <c r="B10" s="95" t="s">
        <v>135</v>
      </c>
      <c r="C10" s="95">
        <v>1</v>
      </c>
      <c r="D10" s="85">
        <v>1</v>
      </c>
      <c r="E10" s="5" t="s">
        <v>133</v>
      </c>
      <c r="F10" s="5" t="s">
        <v>87</v>
      </c>
      <c r="G10" s="5" t="s">
        <v>124</v>
      </c>
      <c r="H10" s="80">
        <v>6</v>
      </c>
      <c r="I10" s="80">
        <v>10</v>
      </c>
      <c r="J10">
        <v>444</v>
      </c>
      <c r="K10">
        <v>944</v>
      </c>
      <c r="N10" s="5" t="s">
        <v>136</v>
      </c>
      <c r="O10" s="95">
        <f t="shared" ref="O10:O21" si="10">C10</f>
        <v>1</v>
      </c>
      <c r="P10" s="85">
        <f t="shared" si="5"/>
        <v>1</v>
      </c>
      <c r="Q10" s="85">
        <f t="shared" si="0"/>
        <v>4</v>
      </c>
      <c r="R10" s="85">
        <f t="shared" ca="1" si="1"/>
        <v>15</v>
      </c>
      <c r="S10" s="85">
        <f t="shared" ca="1" si="2"/>
        <v>1</v>
      </c>
      <c r="T10" s="85">
        <v>2</v>
      </c>
      <c r="U10" s="85">
        <v>6</v>
      </c>
      <c r="V10">
        <f t="shared" si="6"/>
        <v>444</v>
      </c>
      <c r="W10">
        <f t="shared" si="6"/>
        <v>944</v>
      </c>
      <c r="Y10" t="str">
        <f t="shared" si="7"/>
        <v>Prognoses.ETS.VOID</v>
      </c>
      <c r="Z10" t="str">
        <f t="shared" si="8"/>
        <v/>
      </c>
      <c r="AA10">
        <f t="shared" si="4"/>
        <v>444</v>
      </c>
      <c r="AB10">
        <f t="shared" si="4"/>
        <v>569</v>
      </c>
      <c r="AC10">
        <f t="shared" si="4"/>
        <v>694</v>
      </c>
      <c r="AD10">
        <f t="shared" si="4"/>
        <v>819</v>
      </c>
      <c r="AE10">
        <f t="shared" si="4"/>
        <v>944</v>
      </c>
      <c r="AF10" t="str">
        <f t="shared" si="4"/>
        <v/>
      </c>
      <c r="AG10" t="str">
        <f t="shared" si="4"/>
        <v/>
      </c>
      <c r="AH10" t="str">
        <f t="shared" si="4"/>
        <v/>
      </c>
      <c r="AI10" t="str">
        <f t="shared" si="4"/>
        <v/>
      </c>
      <c r="AJ10" t="str">
        <f t="shared" si="4"/>
        <v/>
      </c>
      <c r="AK10" t="str">
        <f t="shared" si="4"/>
        <v/>
      </c>
    </row>
    <row r="11" spans="2:51" x14ac:dyDescent="0.25">
      <c r="B11" s="95" t="s">
        <v>137</v>
      </c>
      <c r="C11" s="95">
        <v>1</v>
      </c>
      <c r="D11" s="85">
        <v>1</v>
      </c>
      <c r="E11" s="5" t="s">
        <v>138</v>
      </c>
      <c r="F11" s="5" t="s">
        <v>66</v>
      </c>
      <c r="G11" s="5" t="s">
        <v>139</v>
      </c>
      <c r="H11" s="80"/>
      <c r="I11" s="90"/>
      <c r="J11">
        <v>99999</v>
      </c>
      <c r="N11" s="5" t="s">
        <v>140</v>
      </c>
      <c r="O11" s="95">
        <f t="shared" si="10"/>
        <v>1</v>
      </c>
      <c r="P11" s="85">
        <f t="shared" si="5"/>
        <v>1</v>
      </c>
      <c r="Q11" s="85">
        <f t="shared" si="0"/>
        <v>5</v>
      </c>
      <c r="R11" s="85">
        <f t="shared" ca="1" si="1"/>
        <v>22</v>
      </c>
      <c r="S11" s="85">
        <f t="shared" ca="1" si="2"/>
        <v>9</v>
      </c>
      <c r="T11" s="85">
        <f t="shared" ref="T11:T21" si="11">H11</f>
        <v>0</v>
      </c>
      <c r="U11" s="85">
        <f t="shared" si="9"/>
        <v>0</v>
      </c>
      <c r="V11">
        <f t="shared" si="6"/>
        <v>99999</v>
      </c>
      <c r="W11" t="str">
        <f t="shared" si="6"/>
        <v/>
      </c>
      <c r="Y11" t="str">
        <f t="shared" si="7"/>
        <v>Fuel.NyAff1.MinTonnage</v>
      </c>
      <c r="Z11" t="str">
        <f t="shared" si="8"/>
        <v/>
      </c>
      <c r="AA11" t="str">
        <f t="shared" si="4"/>
        <v/>
      </c>
      <c r="AB11" t="str">
        <f t="shared" si="4"/>
        <v/>
      </c>
      <c r="AC11" t="str">
        <f t="shared" si="4"/>
        <v/>
      </c>
      <c r="AD11" t="str">
        <f t="shared" si="4"/>
        <v/>
      </c>
      <c r="AE11" t="str">
        <f t="shared" si="4"/>
        <v/>
      </c>
      <c r="AF11" t="str">
        <f t="shared" si="4"/>
        <v/>
      </c>
      <c r="AG11" t="str">
        <f t="shared" si="4"/>
        <v/>
      </c>
      <c r="AH11" t="str">
        <f t="shared" si="4"/>
        <v/>
      </c>
      <c r="AI11" t="str">
        <f t="shared" si="4"/>
        <v/>
      </c>
      <c r="AJ11" t="str">
        <f t="shared" si="4"/>
        <v/>
      </c>
      <c r="AK11" t="str">
        <f t="shared" si="4"/>
        <v/>
      </c>
    </row>
    <row r="12" spans="2:51" x14ac:dyDescent="0.25">
      <c r="B12" s="95" t="s">
        <v>141</v>
      </c>
      <c r="C12" s="95">
        <v>1</v>
      </c>
      <c r="D12" s="85">
        <v>1</v>
      </c>
      <c r="E12" s="5" t="s">
        <v>142</v>
      </c>
      <c r="F12" s="5" t="s">
        <v>66</v>
      </c>
      <c r="G12" s="5" t="s">
        <v>143</v>
      </c>
      <c r="H12" s="80">
        <v>6</v>
      </c>
      <c r="I12" s="80">
        <v>36</v>
      </c>
      <c r="J12">
        <v>9.8765400000000003</v>
      </c>
      <c r="K12">
        <v>12.345677999999999</v>
      </c>
      <c r="N12" s="5" t="s">
        <v>144</v>
      </c>
      <c r="O12" s="95">
        <f t="shared" si="10"/>
        <v>1</v>
      </c>
      <c r="P12" s="85">
        <f t="shared" si="5"/>
        <v>1</v>
      </c>
      <c r="Q12" s="85">
        <f t="shared" si="0"/>
        <v>6</v>
      </c>
      <c r="R12" s="85">
        <f t="shared" ca="1" si="1"/>
        <v>22</v>
      </c>
      <c r="S12" s="85">
        <f t="shared" ca="1" si="2"/>
        <v>6</v>
      </c>
      <c r="T12" s="85">
        <f t="shared" si="11"/>
        <v>6</v>
      </c>
      <c r="U12" s="85">
        <f t="shared" si="9"/>
        <v>36</v>
      </c>
      <c r="V12">
        <f t="shared" si="6"/>
        <v>9.8765400000000003</v>
      </c>
      <c r="W12">
        <f t="shared" si="6"/>
        <v>12.345677999999999</v>
      </c>
      <c r="Y12" t="str">
        <f t="shared" si="7"/>
        <v>FuelBounds.NyAff1.LHV</v>
      </c>
      <c r="Z12" t="str">
        <f t="shared" si="8"/>
        <v/>
      </c>
      <c r="AA12" t="str">
        <f t="shared" si="4"/>
        <v/>
      </c>
      <c r="AB12" t="str">
        <f t="shared" si="4"/>
        <v/>
      </c>
      <c r="AC12" t="str">
        <f t="shared" si="4"/>
        <v/>
      </c>
      <c r="AD12" t="str">
        <f t="shared" si="4"/>
        <v/>
      </c>
      <c r="AE12">
        <f t="shared" si="4"/>
        <v>9.8765400000000003</v>
      </c>
      <c r="AF12">
        <f t="shared" si="4"/>
        <v>9.9588446000000008</v>
      </c>
      <c r="AG12">
        <f t="shared" si="4"/>
        <v>10.0411492</v>
      </c>
      <c r="AH12">
        <f t="shared" si="4"/>
        <v>10.1234538</v>
      </c>
      <c r="AI12">
        <f t="shared" si="4"/>
        <v>10.205758400000001</v>
      </c>
      <c r="AJ12">
        <f t="shared" si="4"/>
        <v>10.288063000000001</v>
      </c>
      <c r="AK12">
        <f t="shared" si="4"/>
        <v>10.3703676</v>
      </c>
    </row>
    <row r="13" spans="2:51" x14ac:dyDescent="0.25">
      <c r="B13" s="95" t="s">
        <v>145</v>
      </c>
      <c r="C13" s="95">
        <v>0</v>
      </c>
      <c r="D13" s="85">
        <v>1</v>
      </c>
      <c r="E13" s="5" t="s">
        <v>122</v>
      </c>
      <c r="F13" s="5"/>
      <c r="G13" s="5"/>
      <c r="H13" s="80"/>
      <c r="I13" s="80"/>
      <c r="N13" s="5" t="s">
        <v>146</v>
      </c>
      <c r="O13" s="95">
        <f t="shared" si="10"/>
        <v>0</v>
      </c>
      <c r="P13" s="85">
        <f t="shared" si="5"/>
        <v>1</v>
      </c>
      <c r="Q13" s="85">
        <f t="shared" si="0"/>
        <v>1</v>
      </c>
      <c r="R13" s="85" t="str">
        <f t="shared" ca="1" si="1"/>
        <v/>
      </c>
      <c r="S13" s="85" t="str">
        <f t="shared" ca="1" si="2"/>
        <v/>
      </c>
      <c r="T13" s="85">
        <f t="shared" si="11"/>
        <v>0</v>
      </c>
      <c r="U13" s="85">
        <f t="shared" si="9"/>
        <v>0</v>
      </c>
      <c r="V13" t="str">
        <f t="shared" si="6"/>
        <v/>
      </c>
      <c r="W13" t="str">
        <f t="shared" si="6"/>
        <v/>
      </c>
      <c r="Y13" t="str">
        <f t="shared" si="7"/>
        <v/>
      </c>
      <c r="Z13" t="str">
        <f t="shared" si="8"/>
        <v/>
      </c>
      <c r="AA13" t="str">
        <f t="shared" si="4"/>
        <v/>
      </c>
      <c r="AB13" t="str">
        <f t="shared" si="4"/>
        <v/>
      </c>
      <c r="AC13" t="str">
        <f t="shared" si="4"/>
        <v/>
      </c>
      <c r="AD13" t="str">
        <f t="shared" si="4"/>
        <v/>
      </c>
      <c r="AE13" t="str">
        <f t="shared" si="4"/>
        <v/>
      </c>
      <c r="AF13" t="str">
        <f t="shared" si="4"/>
        <v/>
      </c>
      <c r="AG13" t="str">
        <f t="shared" si="4"/>
        <v/>
      </c>
      <c r="AH13" t="str">
        <f t="shared" si="4"/>
        <v/>
      </c>
      <c r="AI13" t="str">
        <f t="shared" si="4"/>
        <v/>
      </c>
      <c r="AJ13" t="str">
        <f t="shared" si="4"/>
        <v/>
      </c>
      <c r="AK13" t="str">
        <f t="shared" si="4"/>
        <v/>
      </c>
    </row>
    <row r="14" spans="2:51" x14ac:dyDescent="0.25">
      <c r="B14" s="95" t="s">
        <v>147</v>
      </c>
      <c r="C14" s="95">
        <v>0</v>
      </c>
      <c r="D14" s="85">
        <v>1</v>
      </c>
      <c r="E14" s="5" t="s">
        <v>130</v>
      </c>
      <c r="F14" s="5"/>
      <c r="G14" s="5"/>
      <c r="H14" s="80"/>
      <c r="I14" s="80"/>
      <c r="N14" s="5" t="s">
        <v>148</v>
      </c>
      <c r="O14" s="95">
        <f t="shared" si="10"/>
        <v>0</v>
      </c>
      <c r="P14" s="85">
        <f t="shared" si="5"/>
        <v>1</v>
      </c>
      <c r="Q14" s="85">
        <f t="shared" si="0"/>
        <v>2</v>
      </c>
      <c r="R14" s="85" t="str">
        <f t="shared" ca="1" si="1"/>
        <v/>
      </c>
      <c r="S14" s="85" t="str">
        <f t="shared" ca="1" si="2"/>
        <v/>
      </c>
      <c r="T14" s="85">
        <f t="shared" si="11"/>
        <v>0</v>
      </c>
      <c r="U14" s="85">
        <f t="shared" si="9"/>
        <v>0</v>
      </c>
      <c r="V14" t="str">
        <f t="shared" si="6"/>
        <v/>
      </c>
      <c r="W14" t="str">
        <f t="shared" si="6"/>
        <v/>
      </c>
      <c r="Y14" t="str">
        <f t="shared" si="7"/>
        <v/>
      </c>
      <c r="Z14" t="str">
        <f t="shared" si="8"/>
        <v/>
      </c>
      <c r="AA14" t="str">
        <f t="shared" si="4"/>
        <v/>
      </c>
      <c r="AB14" t="str">
        <f t="shared" si="4"/>
        <v/>
      </c>
      <c r="AC14" t="str">
        <f t="shared" si="4"/>
        <v/>
      </c>
      <c r="AD14" t="str">
        <f t="shared" si="4"/>
        <v/>
      </c>
      <c r="AE14" t="str">
        <f t="shared" si="4"/>
        <v/>
      </c>
      <c r="AF14" t="str">
        <f t="shared" si="4"/>
        <v/>
      </c>
      <c r="AG14" t="str">
        <f t="shared" si="4"/>
        <v/>
      </c>
      <c r="AH14" t="str">
        <f t="shared" si="4"/>
        <v/>
      </c>
      <c r="AI14" t="str">
        <f t="shared" si="4"/>
        <v/>
      </c>
      <c r="AJ14" t="str">
        <f t="shared" si="4"/>
        <v/>
      </c>
      <c r="AK14" t="str">
        <f t="shared" si="4"/>
        <v/>
      </c>
    </row>
    <row r="15" spans="2:51" x14ac:dyDescent="0.25">
      <c r="B15" s="95" t="s">
        <v>149</v>
      </c>
      <c r="C15" s="95">
        <v>0</v>
      </c>
      <c r="D15" s="85">
        <v>1</v>
      </c>
      <c r="E15" s="5" t="s">
        <v>130</v>
      </c>
      <c r="F15" s="5"/>
      <c r="G15" s="5"/>
      <c r="H15" s="80"/>
      <c r="I15" s="80"/>
      <c r="N15" s="5" t="s">
        <v>150</v>
      </c>
      <c r="O15" s="95">
        <f t="shared" si="10"/>
        <v>0</v>
      </c>
      <c r="P15" s="85">
        <f t="shared" si="5"/>
        <v>1</v>
      </c>
      <c r="Q15" s="85">
        <f t="shared" si="0"/>
        <v>2</v>
      </c>
      <c r="R15" s="85" t="str">
        <f t="shared" ca="1" si="1"/>
        <v/>
      </c>
      <c r="S15" s="85" t="str">
        <f t="shared" ca="1" si="2"/>
        <v/>
      </c>
      <c r="T15" s="85">
        <f t="shared" si="11"/>
        <v>0</v>
      </c>
      <c r="U15" s="85">
        <f t="shared" si="9"/>
        <v>0</v>
      </c>
      <c r="V15" t="str">
        <f t="shared" si="6"/>
        <v/>
      </c>
      <c r="W15" t="str">
        <f t="shared" si="6"/>
        <v/>
      </c>
      <c r="Y15" t="str">
        <f t="shared" si="7"/>
        <v/>
      </c>
      <c r="Z15" t="str">
        <f t="shared" si="8"/>
        <v/>
      </c>
      <c r="AA15" t="str">
        <f t="shared" si="4"/>
        <v/>
      </c>
      <c r="AB15" t="str">
        <f t="shared" si="4"/>
        <v/>
      </c>
      <c r="AC15" t="str">
        <f t="shared" si="4"/>
        <v/>
      </c>
      <c r="AD15" t="str">
        <f t="shared" si="4"/>
        <v/>
      </c>
      <c r="AE15" t="str">
        <f t="shared" si="4"/>
        <v/>
      </c>
      <c r="AF15" t="str">
        <f t="shared" si="4"/>
        <v/>
      </c>
      <c r="AG15" t="str">
        <f t="shared" si="4"/>
        <v/>
      </c>
      <c r="AH15" t="str">
        <f t="shared" si="4"/>
        <v/>
      </c>
      <c r="AI15" t="str">
        <f t="shared" si="4"/>
        <v/>
      </c>
      <c r="AJ15" t="str">
        <f t="shared" si="4"/>
        <v/>
      </c>
      <c r="AK15" t="str">
        <f t="shared" si="4"/>
        <v/>
      </c>
    </row>
    <row r="16" spans="2:51" x14ac:dyDescent="0.25">
      <c r="B16" s="95" t="s">
        <v>151</v>
      </c>
      <c r="C16" s="95">
        <v>0</v>
      </c>
      <c r="D16" s="80">
        <v>1</v>
      </c>
      <c r="E16" s="5" t="s">
        <v>152</v>
      </c>
      <c r="F16" s="5"/>
      <c r="G16" s="5"/>
      <c r="N16" s="5" t="s">
        <v>153</v>
      </c>
      <c r="O16" s="95">
        <f t="shared" si="10"/>
        <v>0</v>
      </c>
      <c r="P16" s="80">
        <f t="shared" si="5"/>
        <v>1</v>
      </c>
      <c r="Q16" s="80">
        <f t="shared" si="0"/>
        <v>3</v>
      </c>
      <c r="R16" s="80" t="str">
        <f t="shared" ca="1" si="1"/>
        <v/>
      </c>
      <c r="S16" s="80" t="str">
        <f t="shared" ca="1" si="2"/>
        <v/>
      </c>
      <c r="T16" s="80">
        <f t="shared" si="11"/>
        <v>0</v>
      </c>
      <c r="U16" s="80">
        <f t="shared" si="9"/>
        <v>0</v>
      </c>
      <c r="V16" t="str">
        <f t="shared" si="6"/>
        <v/>
      </c>
      <c r="W16" t="str">
        <f t="shared" si="6"/>
        <v/>
      </c>
      <c r="Y16" t="str">
        <f t="shared" si="7"/>
        <v/>
      </c>
      <c r="Z16" t="str">
        <f t="shared" si="8"/>
        <v/>
      </c>
      <c r="AA16" t="str">
        <f t="shared" si="4"/>
        <v/>
      </c>
      <c r="AB16" t="str">
        <f t="shared" si="4"/>
        <v/>
      </c>
      <c r="AC16" t="str">
        <f t="shared" si="4"/>
        <v/>
      </c>
      <c r="AD16" t="str">
        <f t="shared" si="4"/>
        <v/>
      </c>
      <c r="AE16" t="str">
        <f t="shared" si="4"/>
        <v/>
      </c>
      <c r="AF16" t="str">
        <f t="shared" si="4"/>
        <v/>
      </c>
      <c r="AG16" t="str">
        <f t="shared" si="4"/>
        <v/>
      </c>
      <c r="AH16" t="str">
        <f t="shared" si="4"/>
        <v/>
      </c>
      <c r="AI16" t="str">
        <f t="shared" si="4"/>
        <v/>
      </c>
      <c r="AJ16" t="str">
        <f t="shared" si="4"/>
        <v/>
      </c>
      <c r="AK16" t="str">
        <f t="shared" si="4"/>
        <v/>
      </c>
    </row>
    <row r="17" spans="2:37" x14ac:dyDescent="0.25">
      <c r="B17" s="95" t="s">
        <v>154</v>
      </c>
      <c r="C17" s="95">
        <v>0</v>
      </c>
      <c r="D17" s="80">
        <v>1</v>
      </c>
      <c r="E17" s="5" t="s">
        <v>133</v>
      </c>
      <c r="F17" s="5"/>
      <c r="G17" s="5"/>
      <c r="N17" s="5" t="s">
        <v>155</v>
      </c>
      <c r="O17" s="95">
        <f t="shared" si="10"/>
        <v>0</v>
      </c>
      <c r="P17" s="80">
        <f t="shared" si="5"/>
        <v>1</v>
      </c>
      <c r="Q17" s="80">
        <f t="shared" si="0"/>
        <v>4</v>
      </c>
      <c r="R17" s="80" t="str">
        <f t="shared" ca="1" si="1"/>
        <v/>
      </c>
      <c r="S17" s="80" t="str">
        <f t="shared" ca="1" si="2"/>
        <v/>
      </c>
      <c r="T17" s="80">
        <f t="shared" si="11"/>
        <v>0</v>
      </c>
      <c r="U17" s="80">
        <f t="shared" si="9"/>
        <v>0</v>
      </c>
      <c r="V17" t="str">
        <f t="shared" si="6"/>
        <v/>
      </c>
      <c r="W17" t="str">
        <f t="shared" si="6"/>
        <v/>
      </c>
      <c r="Y17" t="str">
        <f t="shared" si="7"/>
        <v/>
      </c>
      <c r="Z17" t="str">
        <f t="shared" si="8"/>
        <v/>
      </c>
      <c r="AA17" t="str">
        <f t="shared" si="4"/>
        <v/>
      </c>
      <c r="AB17" t="str">
        <f t="shared" si="4"/>
        <v/>
      </c>
      <c r="AC17" t="str">
        <f t="shared" si="4"/>
        <v/>
      </c>
      <c r="AD17" t="str">
        <f t="shared" si="4"/>
        <v/>
      </c>
      <c r="AE17" t="str">
        <f t="shared" si="4"/>
        <v/>
      </c>
      <c r="AF17" t="str">
        <f t="shared" si="4"/>
        <v/>
      </c>
      <c r="AG17" t="str">
        <f t="shared" si="4"/>
        <v/>
      </c>
      <c r="AH17" t="str">
        <f t="shared" si="4"/>
        <v/>
      </c>
      <c r="AI17" t="str">
        <f t="shared" si="4"/>
        <v/>
      </c>
      <c r="AJ17" t="str">
        <f t="shared" si="4"/>
        <v/>
      </c>
      <c r="AK17" t="str">
        <f t="shared" si="4"/>
        <v/>
      </c>
    </row>
    <row r="18" spans="2:37" x14ac:dyDescent="0.25">
      <c r="B18" s="95" t="s">
        <v>156</v>
      </c>
      <c r="D18" s="80">
        <v>1</v>
      </c>
      <c r="E18" s="5" t="s">
        <v>138</v>
      </c>
      <c r="F18" s="5"/>
      <c r="G18" s="5"/>
      <c r="N18" s="5" t="s">
        <v>157</v>
      </c>
      <c r="O18" s="80">
        <f t="shared" si="10"/>
        <v>0</v>
      </c>
      <c r="P18" s="80">
        <f t="shared" si="5"/>
        <v>1</v>
      </c>
      <c r="Q18" s="80">
        <f t="shared" si="0"/>
        <v>5</v>
      </c>
      <c r="R18" s="80" t="str">
        <f t="shared" ca="1" si="1"/>
        <v/>
      </c>
      <c r="S18" s="80" t="str">
        <f t="shared" ca="1" si="2"/>
        <v/>
      </c>
      <c r="T18" s="80">
        <f t="shared" si="11"/>
        <v>0</v>
      </c>
      <c r="U18" s="80">
        <f t="shared" si="9"/>
        <v>0</v>
      </c>
      <c r="V18" t="str">
        <f t="shared" si="6"/>
        <v/>
      </c>
      <c r="W18" t="str">
        <f t="shared" si="6"/>
        <v/>
      </c>
      <c r="Y18" t="str">
        <f t="shared" si="7"/>
        <v/>
      </c>
      <c r="Z18" t="str">
        <f t="shared" si="8"/>
        <v/>
      </c>
      <c r="AA18" t="str">
        <f t="shared" si="4"/>
        <v/>
      </c>
      <c r="AB18" t="str">
        <f t="shared" si="4"/>
        <v/>
      </c>
      <c r="AC18" t="str">
        <f t="shared" si="4"/>
        <v/>
      </c>
      <c r="AD18" t="str">
        <f t="shared" si="4"/>
        <v/>
      </c>
      <c r="AE18" t="str">
        <f t="shared" si="4"/>
        <v/>
      </c>
      <c r="AF18" t="str">
        <f t="shared" si="4"/>
        <v/>
      </c>
      <c r="AG18" t="str">
        <f t="shared" si="4"/>
        <v/>
      </c>
      <c r="AH18" t="str">
        <f t="shared" si="4"/>
        <v/>
      </c>
      <c r="AI18" t="str">
        <f t="shared" si="4"/>
        <v/>
      </c>
      <c r="AJ18" t="str">
        <f t="shared" si="4"/>
        <v/>
      </c>
      <c r="AK18" t="str">
        <f t="shared" si="4"/>
        <v/>
      </c>
    </row>
    <row r="19" spans="2:37" x14ac:dyDescent="0.25">
      <c r="B19" s="95" t="s">
        <v>158</v>
      </c>
      <c r="D19" s="80">
        <v>1</v>
      </c>
      <c r="E19" s="5" t="s">
        <v>138</v>
      </c>
      <c r="N19" s="5" t="s">
        <v>159</v>
      </c>
      <c r="O19" s="80">
        <f t="shared" si="10"/>
        <v>0</v>
      </c>
      <c r="P19" s="80">
        <f t="shared" si="5"/>
        <v>1</v>
      </c>
      <c r="Q19" s="80">
        <f t="shared" si="0"/>
        <v>5</v>
      </c>
      <c r="R19" s="80" t="str">
        <f t="shared" ca="1" si="1"/>
        <v/>
      </c>
      <c r="S19" s="80" t="str">
        <f t="shared" ca="1" si="2"/>
        <v/>
      </c>
      <c r="T19" s="80">
        <f t="shared" si="11"/>
        <v>0</v>
      </c>
      <c r="U19" s="80">
        <f t="shared" si="9"/>
        <v>0</v>
      </c>
      <c r="V19" t="str">
        <f t="shared" si="6"/>
        <v/>
      </c>
      <c r="W19" t="str">
        <f t="shared" si="6"/>
        <v/>
      </c>
      <c r="Y19" t="str">
        <f t="shared" si="7"/>
        <v/>
      </c>
      <c r="Z19" t="str">
        <f t="shared" si="8"/>
        <v/>
      </c>
      <c r="AA19" t="str">
        <f t="shared" si="4"/>
        <v/>
      </c>
      <c r="AB19" t="str">
        <f t="shared" si="4"/>
        <v/>
      </c>
      <c r="AC19" t="str">
        <f t="shared" si="4"/>
        <v/>
      </c>
      <c r="AD19" t="str">
        <f t="shared" si="4"/>
        <v/>
      </c>
      <c r="AE19" t="str">
        <f t="shared" si="4"/>
        <v/>
      </c>
      <c r="AF19" t="str">
        <f t="shared" si="4"/>
        <v/>
      </c>
      <c r="AG19" t="str">
        <f t="shared" si="4"/>
        <v/>
      </c>
      <c r="AH19" t="str">
        <f t="shared" si="4"/>
        <v/>
      </c>
      <c r="AI19" t="str">
        <f t="shared" si="4"/>
        <v/>
      </c>
      <c r="AJ19" t="str">
        <f t="shared" si="4"/>
        <v/>
      </c>
      <c r="AK19" t="str">
        <f t="shared" si="4"/>
        <v/>
      </c>
    </row>
    <row r="20" spans="2:37" x14ac:dyDescent="0.25">
      <c r="B20" s="95" t="s">
        <v>160</v>
      </c>
      <c r="D20" s="80">
        <v>2</v>
      </c>
      <c r="E20" s="5" t="s">
        <v>122</v>
      </c>
      <c r="N20" s="5" t="s">
        <v>161</v>
      </c>
      <c r="O20" s="80">
        <f t="shared" si="10"/>
        <v>0</v>
      </c>
      <c r="P20" s="80">
        <f t="shared" si="5"/>
        <v>2</v>
      </c>
      <c r="Q20" s="80">
        <f t="shared" si="0"/>
        <v>1</v>
      </c>
      <c r="R20" s="80" t="str">
        <f t="shared" ca="1" si="1"/>
        <v/>
      </c>
      <c r="S20" s="80" t="str">
        <f t="shared" ca="1" si="2"/>
        <v/>
      </c>
      <c r="T20" s="80">
        <f t="shared" si="11"/>
        <v>0</v>
      </c>
      <c r="U20" s="80">
        <f t="shared" si="9"/>
        <v>0</v>
      </c>
      <c r="V20" t="str">
        <f t="shared" si="6"/>
        <v/>
      </c>
      <c r="W20" t="str">
        <f t="shared" si="6"/>
        <v/>
      </c>
      <c r="Y20" t="str">
        <f t="shared" si="7"/>
        <v/>
      </c>
      <c r="Z20" t="str">
        <f t="shared" si="8"/>
        <v/>
      </c>
      <c r="AA20" t="str">
        <f t="shared" si="4"/>
        <v/>
      </c>
      <c r="AB20" t="str">
        <f t="shared" si="4"/>
        <v/>
      </c>
      <c r="AC20" t="str">
        <f t="shared" si="4"/>
        <v/>
      </c>
      <c r="AD20" t="str">
        <f t="shared" si="4"/>
        <v/>
      </c>
      <c r="AE20" t="str">
        <f t="shared" si="4"/>
        <v/>
      </c>
      <c r="AF20" t="str">
        <f t="shared" si="4"/>
        <v/>
      </c>
      <c r="AG20" t="str">
        <f t="shared" si="4"/>
        <v/>
      </c>
      <c r="AH20" t="str">
        <f t="shared" si="4"/>
        <v/>
      </c>
      <c r="AI20" t="str">
        <f t="shared" si="4"/>
        <v/>
      </c>
      <c r="AJ20" t="str">
        <f t="shared" si="4"/>
        <v/>
      </c>
      <c r="AK20" t="str">
        <f t="shared" si="4"/>
        <v/>
      </c>
    </row>
    <row r="21" spans="2:37" x14ac:dyDescent="0.25">
      <c r="B21" s="95" t="s">
        <v>162</v>
      </c>
      <c r="D21" s="80">
        <v>2</v>
      </c>
      <c r="E21" s="5" t="s">
        <v>152</v>
      </c>
      <c r="N21" s="5" t="s">
        <v>163</v>
      </c>
      <c r="O21" s="80">
        <f t="shared" si="10"/>
        <v>0</v>
      </c>
      <c r="P21" s="80">
        <f t="shared" si="5"/>
        <v>2</v>
      </c>
      <c r="Q21" s="80">
        <f t="shared" si="0"/>
        <v>3</v>
      </c>
      <c r="R21" s="80" t="str">
        <f t="shared" ca="1" si="1"/>
        <v/>
      </c>
      <c r="S21" s="80" t="str">
        <f t="shared" ca="1" si="2"/>
        <v/>
      </c>
      <c r="T21" s="80">
        <f t="shared" si="11"/>
        <v>0</v>
      </c>
      <c r="U21" s="80">
        <f t="shared" si="9"/>
        <v>0</v>
      </c>
      <c r="V21" t="str">
        <f t="shared" si="6"/>
        <v/>
      </c>
      <c r="W21" t="str">
        <f t="shared" si="6"/>
        <v/>
      </c>
      <c r="Y21" t="str">
        <f t="shared" si="7"/>
        <v/>
      </c>
      <c r="Z21" t="str">
        <f t="shared" si="8"/>
        <v/>
      </c>
      <c r="AA21" t="str">
        <f t="shared" si="4"/>
        <v/>
      </c>
      <c r="AB21" t="str">
        <f t="shared" si="4"/>
        <v/>
      </c>
      <c r="AC21" t="str">
        <f t="shared" si="4"/>
        <v/>
      </c>
      <c r="AD21" t="str">
        <f t="shared" si="4"/>
        <v/>
      </c>
      <c r="AE21" t="str">
        <f t="shared" si="4"/>
        <v/>
      </c>
      <c r="AF21" t="str">
        <f t="shared" si="4"/>
        <v/>
      </c>
      <c r="AG21" t="str">
        <f t="shared" si="4"/>
        <v/>
      </c>
      <c r="AH21" t="str">
        <f t="shared" si="4"/>
        <v/>
      </c>
      <c r="AI21" t="str">
        <f t="shared" si="4"/>
        <v/>
      </c>
      <c r="AJ21" t="str">
        <f t="shared" si="4"/>
        <v/>
      </c>
      <c r="AK21" t="str">
        <f t="shared" si="4"/>
        <v/>
      </c>
    </row>
    <row r="22" spans="2:37" x14ac:dyDescent="0.25">
      <c r="B22" s="95" t="s">
        <v>164</v>
      </c>
      <c r="D22" s="80"/>
      <c r="V22" t="str">
        <f t="shared" si="6"/>
        <v/>
      </c>
      <c r="W22" t="str">
        <f t="shared" si="6"/>
        <v/>
      </c>
    </row>
    <row r="23" spans="2:37" x14ac:dyDescent="0.25">
      <c r="B23" s="95" t="s">
        <v>165</v>
      </c>
      <c r="D23" s="80"/>
      <c r="V23" t="str">
        <f t="shared" si="6"/>
        <v/>
      </c>
      <c r="W23" t="str">
        <f t="shared" si="6"/>
        <v/>
      </c>
    </row>
    <row r="24" spans="2:37" x14ac:dyDescent="0.25">
      <c r="B24" s="95" t="s">
        <v>166</v>
      </c>
      <c r="D24" s="80"/>
      <c r="V24" t="str">
        <f t="shared" si="6"/>
        <v/>
      </c>
      <c r="W24" t="str">
        <f t="shared" si="6"/>
        <v/>
      </c>
    </row>
    <row r="25" spans="2:37" x14ac:dyDescent="0.25">
      <c r="B25" s="95" t="s">
        <v>167</v>
      </c>
      <c r="D25" s="80"/>
      <c r="V25" t="str">
        <f t="shared" si="6"/>
        <v/>
      </c>
      <c r="W25" t="str">
        <f t="shared" si="6"/>
        <v/>
      </c>
    </row>
    <row r="26" spans="2:37" x14ac:dyDescent="0.25">
      <c r="B26" s="95" t="s">
        <v>168</v>
      </c>
      <c r="D26" s="80"/>
      <c r="V26" t="str">
        <f t="shared" si="6"/>
        <v/>
      </c>
      <c r="W26" t="str">
        <f t="shared" si="6"/>
        <v/>
      </c>
    </row>
    <row r="27" spans="2:37" x14ac:dyDescent="0.25">
      <c r="B27" s="95" t="s">
        <v>169</v>
      </c>
      <c r="D27" s="80"/>
      <c r="V27" t="str">
        <f t="shared" si="6"/>
        <v/>
      </c>
      <c r="W27" t="str">
        <f t="shared" si="6"/>
        <v/>
      </c>
    </row>
    <row r="28" spans="2:37" x14ac:dyDescent="0.25">
      <c r="B28" s="95" t="s">
        <v>170</v>
      </c>
      <c r="D28" s="80"/>
      <c r="V28" t="str">
        <f t="shared" si="6"/>
        <v/>
      </c>
      <c r="W28" t="str">
        <f t="shared" si="6"/>
        <v/>
      </c>
    </row>
    <row r="29" spans="2:37" x14ac:dyDescent="0.25">
      <c r="B29" s="95" t="s">
        <v>171</v>
      </c>
      <c r="D29" s="80"/>
      <c r="V29" t="str">
        <f t="shared" si="6"/>
        <v/>
      </c>
      <c r="W29" t="str">
        <f t="shared" si="6"/>
        <v/>
      </c>
    </row>
    <row r="30" spans="2:37" x14ac:dyDescent="0.25">
      <c r="B30" s="95" t="s">
        <v>172</v>
      </c>
      <c r="D30" s="80"/>
      <c r="V30" t="str">
        <f t="shared" si="6"/>
        <v/>
      </c>
      <c r="W30" t="str">
        <f t="shared" si="6"/>
        <v/>
      </c>
    </row>
    <row r="31" spans="2:37" x14ac:dyDescent="0.25">
      <c r="B31" s="95" t="s">
        <v>173</v>
      </c>
      <c r="D31" s="80"/>
      <c r="V31" t="str">
        <f t="shared" si="6"/>
        <v/>
      </c>
      <c r="W31" t="str">
        <f t="shared" si="6"/>
        <v/>
      </c>
    </row>
    <row r="32" spans="2:37" x14ac:dyDescent="0.25">
      <c r="B32" s="95" t="s">
        <v>174</v>
      </c>
      <c r="D32" s="80"/>
      <c r="V32" t="str">
        <f t="shared" si="6"/>
        <v/>
      </c>
      <c r="W32" t="str">
        <f t="shared" si="6"/>
        <v/>
      </c>
    </row>
    <row r="33" spans="2:23" x14ac:dyDescent="0.25">
      <c r="B33" s="95" t="s">
        <v>175</v>
      </c>
      <c r="D33" s="80"/>
      <c r="V33" t="str">
        <f t="shared" si="6"/>
        <v/>
      </c>
      <c r="W33" t="str">
        <f t="shared" si="6"/>
        <v/>
      </c>
    </row>
    <row r="34" spans="2:23" x14ac:dyDescent="0.25">
      <c r="B34" s="95" t="s">
        <v>176</v>
      </c>
      <c r="D34" s="80"/>
      <c r="V34" t="str">
        <f t="shared" si="6"/>
        <v/>
      </c>
      <c r="W34" t="str">
        <f t="shared" si="6"/>
        <v/>
      </c>
    </row>
    <row r="35" spans="2:23" x14ac:dyDescent="0.25">
      <c r="B35" s="95" t="s">
        <v>177</v>
      </c>
      <c r="D35" s="80"/>
      <c r="V35" t="str">
        <f t="shared" si="6"/>
        <v/>
      </c>
      <c r="W35" t="str">
        <f t="shared" si="6"/>
        <v/>
      </c>
    </row>
    <row r="36" spans="2:23" x14ac:dyDescent="0.25">
      <c r="B36" s="95" t="s">
        <v>178</v>
      </c>
      <c r="D36" s="80"/>
      <c r="V36" t="str">
        <f t="shared" si="6"/>
        <v/>
      </c>
      <c r="W36" t="str">
        <f t="shared" si="6"/>
        <v/>
      </c>
    </row>
    <row r="37" spans="2:23" x14ac:dyDescent="0.25">
      <c r="B37" s="95" t="s">
        <v>179</v>
      </c>
      <c r="D37" s="80"/>
      <c r="V37" t="str">
        <f t="shared" si="6"/>
        <v/>
      </c>
      <c r="W37" t="str">
        <f t="shared" si="6"/>
        <v/>
      </c>
    </row>
    <row r="38" spans="2:23" x14ac:dyDescent="0.25">
      <c r="B38" s="95" t="s">
        <v>180</v>
      </c>
      <c r="D38" s="80"/>
      <c r="V38" t="str">
        <f t="shared" si="6"/>
        <v/>
      </c>
      <c r="W38" t="str">
        <f t="shared" si="6"/>
        <v/>
      </c>
    </row>
    <row r="39" spans="2:23" x14ac:dyDescent="0.25">
      <c r="B39" s="95" t="s">
        <v>181</v>
      </c>
      <c r="D39" s="80"/>
      <c r="V39" t="str">
        <f t="shared" si="6"/>
        <v/>
      </c>
      <c r="W39" t="str">
        <f t="shared" si="6"/>
        <v/>
      </c>
    </row>
    <row r="40" spans="2:23" x14ac:dyDescent="0.25">
      <c r="B40" s="95" t="s">
        <v>182</v>
      </c>
      <c r="D40" s="80"/>
      <c r="V40" t="str">
        <f t="shared" si="6"/>
        <v/>
      </c>
      <c r="W40" t="str">
        <f t="shared" si="6"/>
        <v/>
      </c>
    </row>
    <row r="41" spans="2:23" x14ac:dyDescent="0.25">
      <c r="B41" s="95" t="s">
        <v>183</v>
      </c>
      <c r="D41" s="80"/>
      <c r="V41" t="str">
        <f t="shared" si="6"/>
        <v/>
      </c>
      <c r="W41" t="str">
        <f t="shared" si="6"/>
        <v/>
      </c>
    </row>
    <row r="42" spans="2:23" x14ac:dyDescent="0.25">
      <c r="B42" s="95" t="s">
        <v>184</v>
      </c>
      <c r="D42" s="80"/>
      <c r="V42" t="str">
        <f t="shared" si="6"/>
        <v/>
      </c>
      <c r="W42" t="str">
        <f t="shared" si="6"/>
        <v/>
      </c>
    </row>
    <row r="43" spans="2:23" x14ac:dyDescent="0.25">
      <c r="V43" t="str">
        <f t="shared" si="6"/>
        <v/>
      </c>
      <c r="W43" t="str">
        <f t="shared" si="6"/>
        <v/>
      </c>
    </row>
  </sheetData>
  <conditionalFormatting sqref="E6:L6 E7:E12 G7:L15 F7:F17 C6:C17">
    <cfRule type="cellIs" dxfId="8" priority="16" operator="equal">
      <formula>NaN</formula>
    </cfRule>
  </conditionalFormatting>
  <conditionalFormatting sqref="B6:C42">
    <cfRule type="cellIs" dxfId="7" priority="15" operator="equal">
      <formula>0</formula>
    </cfRule>
  </conditionalFormatting>
  <conditionalFormatting sqref="D6:D42">
    <cfRule type="colorScale" priority="14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E13:E19">
    <cfRule type="cellIs" dxfId="6" priority="13" operator="equal">
      <formula>NaN</formula>
    </cfRule>
  </conditionalFormatting>
  <conditionalFormatting sqref="E20:E21">
    <cfRule type="cellIs" dxfId="5" priority="12" operator="equal">
      <formula>NaN</formula>
    </cfRule>
  </conditionalFormatting>
  <conditionalFormatting sqref="H6:I21">
    <cfRule type="expression" dxfId="4" priority="11">
      <formula>OR($E6="Fuel",$G6="Aktiv")</formula>
    </cfRule>
  </conditionalFormatting>
  <conditionalFormatting sqref="C6:C42">
    <cfRule type="cellIs" dxfId="3" priority="10" operator="greaterThan">
      <formula>0.5</formula>
    </cfRule>
  </conditionalFormatting>
  <conditionalFormatting sqref="O6:O17">
    <cfRule type="cellIs" dxfId="2" priority="9" operator="equal">
      <formula>NaN</formula>
    </cfRule>
  </conditionalFormatting>
  <conditionalFormatting sqref="O6:O42">
    <cfRule type="cellIs" dxfId="1" priority="8" operator="equal">
      <formula>0</formula>
    </cfRule>
  </conditionalFormatting>
  <conditionalFormatting sqref="O6:O42">
    <cfRule type="cellIs" dxfId="0" priority="7" operator="greaterThan">
      <formula>0.5</formula>
    </cfRule>
  </conditionalFormatting>
  <conditionalFormatting sqref="Q6:Q42">
    <cfRule type="colorScale" priority="6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R6:R42">
    <cfRule type="colorScale" priority="5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S6:S42">
    <cfRule type="colorScale" priority="4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T6:T42">
    <cfRule type="colorScale" priority="3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U6:U42">
    <cfRule type="colorScale" priority="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P6:P42">
    <cfRule type="colorScale" priority="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dataValidations count="3">
    <dataValidation type="list" allowBlank="1" showInputMessage="1" showErrorMessage="1" sqref="F6:F17" xr:uid="{84C69FA0-7140-4E92-8462-BF8D001246E4}">
      <formula1>DropDownScen2</formula1>
    </dataValidation>
    <dataValidation type="list" allowBlank="1" showInputMessage="1" showErrorMessage="1" sqref="G6:G17" xr:uid="{C8140801-2291-48E3-809C-7E81EEBB137F}">
      <formula1>DropDownScen3</formula1>
    </dataValidation>
    <dataValidation type="list" allowBlank="1" showInputMessage="1" showErrorMessage="1" sqref="E6:E21" xr:uid="{B0BA80C9-6A33-49DD-8AEE-77612A0333F4}">
      <formula1>listRoot</formula1>
    </dataValidation>
  </dataValidations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9A72BD80-C438-4B05-8064-CC8403A6511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SletMigOgså!Z6:AK6</xm:f>
              <xm:sqref>X6</xm:sqref>
            </x14:sparkline>
            <x14:sparkline>
              <xm:f>SletMigOgså!Z7:AK7</xm:f>
              <xm:sqref>X7</xm:sqref>
            </x14:sparkline>
            <x14:sparkline>
              <xm:f>SletMigOgså!Z8:AK8</xm:f>
              <xm:sqref>X8</xm:sqref>
            </x14:sparkline>
            <x14:sparkline>
              <xm:f>SletMigOgså!Z9:AK9</xm:f>
              <xm:sqref>X9</xm:sqref>
            </x14:sparkline>
            <x14:sparkline>
              <xm:f>SletMigOgså!Z10:AK10</xm:f>
              <xm:sqref>X10</xm:sqref>
            </x14:sparkline>
            <x14:sparkline>
              <xm:f>SletMigOgså!Z11:AK11</xm:f>
              <xm:sqref>X11</xm:sqref>
            </x14:sparkline>
            <x14:sparkline>
              <xm:f>SletMigOgså!Z12:AK12</xm:f>
              <xm:sqref>X12</xm:sqref>
            </x14:sparkline>
            <x14:sparkline>
              <xm:f>SletMigOgså!Z13:AK13</xm:f>
              <xm:sqref>X13</xm:sqref>
            </x14:sparkline>
            <x14:sparkline>
              <xm:f>SletMigOgså!Z14:AK14</xm:f>
              <xm:sqref>X14</xm:sqref>
            </x14:sparkline>
            <x14:sparkline>
              <xm:f>SletMigOgså!Z15:AK15</xm:f>
              <xm:sqref>X15</xm:sqref>
            </x14:sparkline>
            <x14:sparkline>
              <xm:f>SletMigOgså!Z16:AK16</xm:f>
              <xm:sqref>X16</xm:sqref>
            </x14:sparkline>
            <x14:sparkline>
              <xm:f>SletMigOgså!Z17:AK17</xm:f>
              <xm:sqref>X17</xm:sqref>
            </x14:sparkline>
            <x14:sparkline>
              <xm:f>SletMigOgså!Z18:AK18</xm:f>
              <xm:sqref>X18</xm:sqref>
            </x14:sparkline>
            <x14:sparkline>
              <xm:f>SletMigOgså!Z19:AK19</xm:f>
              <xm:sqref>X19</xm:sqref>
            </x14:sparkline>
            <x14:sparkline>
              <xm:f>SletMigOgså!Z20:AK20</xm:f>
              <xm:sqref>X20</xm:sqref>
            </x14:sparkline>
            <x14:sparkline>
              <xm:f>SletMigOgså!Z21:AK21</xm:f>
              <xm:sqref>X21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ScenInput</vt:lpstr>
      <vt:lpstr>Overblik</vt:lpstr>
      <vt:lpstr>Charts</vt:lpstr>
      <vt:lpstr>Lister</vt:lpstr>
      <vt:lpstr>Lister1</vt:lpstr>
      <vt:lpstr>SletMig</vt:lpstr>
      <vt:lpstr>SletMigOgså</vt:lpstr>
      <vt:lpstr>arrNiv2</vt:lpstr>
      <vt:lpstr>arrNiv3</vt:lpstr>
      <vt:lpstr>listFuelBounds</vt:lpstr>
      <vt:lpstr>listHeaders</vt:lpstr>
      <vt:lpstr>listRoot</vt:lpstr>
      <vt:lpstr>listScenTopics</vt:lpstr>
      <vt:lpstr>Nscen</vt:lpstr>
      <vt:lpstr>OfzNiveau2</vt:lpstr>
      <vt:lpstr>OfzNiveau3</vt:lpstr>
      <vt:lpstr>scenTopicsHeader</vt:lpstr>
      <vt:lpstr>valgtKategori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2022-01-21T15:24:22Z</dcterms:created>
  <dcterms:modified xsi:type="dcterms:W3CDTF">2022-02-03T08:43:01Z</dcterms:modified>
</cp:coreProperties>
</file>