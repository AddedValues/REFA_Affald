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3993C7E6-346C-4AA2-8F72-FC3F58B405EE}" xr6:coauthVersionLast="47" xr6:coauthVersionMax="47" xr10:uidLastSave="{00000000-0000-0000-0000-000000000000}"/>
  <bookViews>
    <workbookView xWindow="30240" yWindow="1065" windowWidth="20745" windowHeight="13230" xr2:uid="{43F97B8D-A1C5-4A28-82B2-29FE10E7B610}"/>
  </bookViews>
  <sheets>
    <sheet name="Overblik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" i="1" l="1"/>
  <c r="A46" i="1"/>
  <c r="A45" i="1"/>
  <c r="A44" i="1"/>
  <c r="A43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5" i="1"/>
  <c r="A54" i="1"/>
  <c r="A53" i="1"/>
  <c r="A52" i="1"/>
  <c r="A51" i="1"/>
  <c r="A5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A55" authorId="0" shapeId="0" xr:uid="{6E8AECF2-8A4B-430F-87C3-3BF9134E435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Kølevarme er med negativt fortegn aht. grafvisning.</t>
        </r>
      </text>
    </comment>
  </commentList>
</comments>
</file>

<file path=xl/sharedStrings.xml><?xml version="1.0" encoding="utf-8"?>
<sst xmlns="http://schemas.openxmlformats.org/spreadsheetml/2006/main" count="233" uniqueCount="91">
  <si>
    <t>Tidsstempel</t>
  </si>
  <si>
    <t>Periode</t>
  </si>
  <si>
    <t>tDKK</t>
  </si>
  <si>
    <t>Nøgletal</t>
  </si>
  <si>
    <t>Enhed</t>
  </si>
  <si>
    <t>MWhq</t>
  </si>
  <si>
    <t>FJV-behov</t>
  </si>
  <si>
    <t>DKK/MWhq</t>
  </si>
  <si>
    <t>Var-Varmeproduktions-Omk-Total</t>
  </si>
  <si>
    <t>Var-Varmeproduktions-Omk-REFA</t>
  </si>
  <si>
    <t>REFA-Daekningsbidrag</t>
  </si>
  <si>
    <t>REFA-Total-Var-Indkomst</t>
  </si>
  <si>
    <t>REFA-Affald-Modtagelse</t>
  </si>
  <si>
    <t>REFA-RGK-Rabat</t>
  </si>
  <si>
    <t>REFA-Elsalg</t>
  </si>
  <si>
    <t>REFA-Total-Var-Omkostning</t>
  </si>
  <si>
    <t>REFA-AnlaegsVarOmk</t>
  </si>
  <si>
    <t>REFA-BraendselOmk</t>
  </si>
  <si>
    <t>REFA-Afgifter</t>
  </si>
  <si>
    <t>REFA-CO2-Kvoteomk</t>
  </si>
  <si>
    <t>REFA-Lageromkostning</t>
  </si>
  <si>
    <t>ton</t>
  </si>
  <si>
    <t>REFA-CO2-Emission-Afgift</t>
  </si>
  <si>
    <t>REFA-CO2-Emission-Kvote</t>
  </si>
  <si>
    <t>MWhe</t>
  </si>
  <si>
    <t>REFA-El-produktion-Brutto</t>
  </si>
  <si>
    <t>REFA-El-produktion-Netto</t>
  </si>
  <si>
    <t>REFA-Total-Affald-Raadighed</t>
  </si>
  <si>
    <t>REFA-Affald-anvendt</t>
  </si>
  <si>
    <t>REFA-Affald-Uudnyttet</t>
  </si>
  <si>
    <t>REFA-Affald-Lagret</t>
  </si>
  <si>
    <t>REFA-Total-Varme-Produktion</t>
  </si>
  <si>
    <t>REFA-Modtryk-Varme</t>
  </si>
  <si>
    <t>REFA-Bypass-Varme</t>
  </si>
  <si>
    <t>REFA-RGK-Varme</t>
  </si>
  <si>
    <t>REFA-Bortkoelet-Varme</t>
  </si>
  <si>
    <t>GSF-Total-Var-Omkostning</t>
  </si>
  <si>
    <t>GSF-AnlaegsVarOmk</t>
  </si>
  <si>
    <t>GSF-BraendselOmk</t>
  </si>
  <si>
    <t>GSF-Afgifter</t>
  </si>
  <si>
    <t>GSF-CO2-Emission</t>
  </si>
  <si>
    <t>GSF-Total-Varme-Produktion</t>
  </si>
  <si>
    <t>Varmemængder</t>
  </si>
  <si>
    <t>Ovn2</t>
  </si>
  <si>
    <t>Ovn3</t>
  </si>
  <si>
    <t>FlisK</t>
  </si>
  <si>
    <t>NS</t>
  </si>
  <si>
    <t>Cooler</t>
  </si>
  <si>
    <t>PeakK</t>
  </si>
  <si>
    <t>Brændselsforbrug</t>
  </si>
  <si>
    <t>DepoSort</t>
  </si>
  <si>
    <t>DepoSmaat</t>
  </si>
  <si>
    <t>DepoNedd</t>
  </si>
  <si>
    <t>Dagren</t>
  </si>
  <si>
    <t>AndetBrand</t>
  </si>
  <si>
    <t>Trae</t>
  </si>
  <si>
    <t>DagrenRast</t>
  </si>
  <si>
    <t>DagrenInst</t>
  </si>
  <si>
    <t>DagrenHandel</t>
  </si>
  <si>
    <t>DagrenRestau</t>
  </si>
  <si>
    <t>Erhverv</t>
  </si>
  <si>
    <t>DagrenErhverv</t>
  </si>
  <si>
    <t>HandelKontor</t>
  </si>
  <si>
    <t>Privat</t>
  </si>
  <si>
    <t>TyskRest</t>
  </si>
  <si>
    <t>PolskRest</t>
  </si>
  <si>
    <t>PcbTrae</t>
  </si>
  <si>
    <t>TraeRekv</t>
  </si>
  <si>
    <t>Halm</t>
  </si>
  <si>
    <t>Pulver</t>
  </si>
  <si>
    <t>FlisAffald</t>
  </si>
  <si>
    <t>NyAff1</t>
  </si>
  <si>
    <t>NyAff2</t>
  </si>
  <si>
    <t>NyAff3</t>
  </si>
  <si>
    <t>NyAff4</t>
  </si>
  <si>
    <t>NyAff5</t>
  </si>
  <si>
    <t>Flis</t>
  </si>
  <si>
    <t>NSvarme</t>
  </si>
  <si>
    <t>PeakFuel</t>
  </si>
  <si>
    <t>Brændselsindkomst</t>
  </si>
  <si>
    <t>scen0</t>
  </si>
  <si>
    <t>scen1</t>
  </si>
  <si>
    <t>OverView</t>
  </si>
  <si>
    <t>NS-Total-Varme-Produktion</t>
  </si>
  <si>
    <t>NPV_Total</t>
  </si>
  <si>
    <t>NPV_REFA</t>
  </si>
  <si>
    <t>REFA-Leveret-Varme</t>
  </si>
  <si>
    <t>Virtuel-Varme-Dræn</t>
  </si>
  <si>
    <t>Virtuel-Varme-Kilde</t>
  </si>
  <si>
    <t>Virtuel-Affaldstonnage-Kilde</t>
  </si>
  <si>
    <t>Virtuel-Affaldstonnage-Dræn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</si>
</sst>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3" formatCode="_-* #,##0.00_-;\-* #,##0.00_-;_-* &quot;-&quot;??_-;_-@_-"/>
    <numFmt numFmtId="164" formatCode="yyyy\ mmm\ dd\,\ hh:mm;@"/>
    <numFmt numFmtId="165" formatCode="yy\'mmm"/>
    <numFmt numFmtId="166" formatCode="_-#,##0,_-;\-#,##0,_-;_-* &quot;-&quot;??_-;_-@_-"/>
    <numFmt numFmtId="167" formatCode="_-#,##0_-;\-#,##0_-;_-* &quot;-&quot;??_-;_-@_-"/>
    <numFmt numFmtId="168" formatCode="_-* #,##0_-;\-* #,##0_-;_-* &quot;-&quot;??_-;_-@_-"/>
    <numFmt numFmtId="169" formatCode="_-#,##0.00_-;\-#,##0.00_-;_-* &quot;-&quot;??_-;_-@_-"/>
    <numFmt numFmtId="170" formatCode="0.0\ %\ "/>
    <numFmt numFmtId="171" formatCode="_-* #,##0_-;\-#,##0_-;_-* &quot;-&quot;??_-;_-@_-"/>
    <numFmt numFmtId="172" formatCode="_-#,##0,\ ;\-#,##0,\ ;_-* &quot;-&quot;??\ _k_r_._-;_-@_-"/>
    <numFmt numFmtId="173" formatCode="[$-F400]h:mm:ss\ AM/PM"/>
    <numFmt numFmtId="174" formatCode="yyyy/mm/dd\ hh:mm;@"/>
    <numFmt numFmtId="175" formatCode="&quot;ERROR&quot;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7">
    <xf numFmtId="0" fontId="0" fillId="0" borderId="0" xfId="0"/>
    <xf numFmtId="0" fontId="2" fillId="2" borderId="1" xfId="0" applyFont="1" applyFill="1" applyBorder="1" applyAlignment="1">
      <alignment horizontal="left" indent="1"/>
    </xf>
    <xf numFmtId="164" fontId="0" fillId="0" borderId="3" xfId="0" applyNumberFormat="1" applyBorder="1" applyAlignment="1">
      <alignment horizontal="left" indent="1"/>
    </xf>
    <xf numFmtId="0" fontId="2" fillId="2" borderId="4" xfId="0" applyFont="1" applyFill="1" applyBorder="1" applyAlignment="1">
      <alignment horizontal="left" indent="1"/>
    </xf>
    <xf numFmtId="165" fontId="0" fillId="0" borderId="0" xfId="0" applyNumberFormat="1" applyAlignment="1">
      <alignment horizontal="center"/>
    </xf>
    <xf numFmtId="165" fontId="0" fillId="0" borderId="5" xfId="0" applyNumberFormat="1" applyBorder="1" applyAlignment="1">
      <alignment horizontal="left" indent="1"/>
    </xf>
    <xf numFmtId="0" fontId="0" fillId="0" borderId="0" xfId="0" applyAlignment="1">
      <alignment horizontal="left" indent="1"/>
    </xf>
    <xf numFmtId="0" fontId="4" fillId="0" borderId="0" xfId="0" applyFont="1"/>
    <xf numFmtId="167" fontId="0" fillId="0" borderId="0" xfId="1" applyNumberFormat="1" applyFont="1"/>
    <xf numFmtId="168" fontId="0" fillId="0" borderId="0" xfId="1" applyNumberFormat="1" applyFont="1" applyAlignment="1">
      <alignment horizontal="left"/>
    </xf>
    <xf numFmtId="0" fontId="0" fillId="0" borderId="0" xfId="0" quotePrefix="1" applyAlignment="1">
      <alignment horizontal="left" indent="1"/>
    </xf>
    <xf numFmtId="2" fontId="0" fillId="0" borderId="0" xfId="0" applyNumberFormat="1"/>
    <xf numFmtId="169" fontId="0" fillId="0" borderId="0" xfId="1" applyNumberFormat="1" applyFont="1"/>
    <xf numFmtId="166" fontId="0" fillId="0" borderId="0" xfId="1" applyNumberFormat="1" applyFont="1"/>
    <xf numFmtId="166" fontId="0" fillId="0" borderId="0" xfId="1" applyNumberFormat="1" applyFont="1" applyAlignment="1">
      <alignment horizontal="left"/>
    </xf>
    <xf numFmtId="0" fontId="0" fillId="2" borderId="0" xfId="0" quotePrefix="1" applyFill="1" applyAlignment="1">
      <alignment horizontal="left" indent="1"/>
    </xf>
    <xf numFmtId="166" fontId="2" fillId="0" borderId="0" xfId="1" applyNumberFormat="1" applyFont="1"/>
    <xf numFmtId="0" fontId="2" fillId="2" borderId="0" xfId="0" quotePrefix="1" applyFont="1" applyFill="1" applyAlignment="1">
      <alignment horizontal="left" indent="1"/>
    </xf>
    <xf numFmtId="0" fontId="0" fillId="2" borderId="0" xfId="0" quotePrefix="1" applyFill="1" applyAlignment="1">
      <alignment horizontal="left" indent="2"/>
    </xf>
    <xf numFmtId="168" fontId="0" fillId="0" borderId="0" xfId="1" applyNumberFormat="1" applyFont="1"/>
    <xf numFmtId="168" fontId="2" fillId="0" borderId="0" xfId="1" applyNumberFormat="1" applyFont="1"/>
    <xf numFmtId="168" fontId="1" fillId="0" borderId="0" xfId="1" applyNumberFormat="1" applyFont="1"/>
    <xf numFmtId="170" fontId="0" fillId="0" borderId="0" xfId="2" applyNumberFormat="1" applyFont="1"/>
    <xf numFmtId="0" fontId="0" fillId="3" borderId="0" xfId="0" quotePrefix="1" applyFill="1" applyAlignment="1">
      <alignment horizontal="left" indent="2"/>
    </xf>
    <xf numFmtId="0" fontId="0" fillId="3" borderId="0" xfId="0" quotePrefix="1" applyFill="1" applyAlignment="1">
      <alignment horizontal="left" indent="1"/>
    </xf>
    <xf numFmtId="0" fontId="0" fillId="0" borderId="0" xfId="0" applyAlignment="1">
      <alignment horizontal="left"/>
    </xf>
    <xf numFmtId="0" fontId="3" fillId="0" borderId="0" xfId="0" applyFont="1"/>
    <xf numFmtId="0" fontId="2" fillId="3" borderId="0" xfId="0" quotePrefix="1" applyFont="1" applyFill="1" applyAlignment="1">
      <alignment horizontal="left" indent="1"/>
    </xf>
    <xf numFmtId="171" fontId="0" fillId="0" borderId="6" xfId="1" applyNumberFormat="1" applyFont="1" applyBorder="1"/>
    <xf numFmtId="0" fontId="0" fillId="0" borderId="0" xfId="0" quotePrefix="1" applyAlignment="1">
      <alignment horizontal="right" indent="1"/>
    </xf>
    <xf numFmtId="43" fontId="0" fillId="0" borderId="0" xfId="1" applyFont="1"/>
    <xf numFmtId="43" fontId="0" fillId="0" borderId="0" xfId="1" applyFont="1" applyAlignment="1">
      <alignment horizontal="left" indent="1"/>
    </xf>
    <xf numFmtId="43" fontId="0" fillId="0" borderId="0" xfId="1" quotePrefix="1" applyFont="1"/>
    <xf numFmtId="168" fontId="0" fillId="0" borderId="6" xfId="1" applyNumberFormat="1" applyFont="1" applyBorder="1"/>
    <xf numFmtId="168" fontId="0" fillId="0" borderId="0" xfId="1" applyNumberFormat="1" applyFont="1" applyBorder="1" applyAlignment="1">
      <alignment horizontal="left"/>
    </xf>
    <xf numFmtId="168" fontId="0" fillId="0" borderId="0" xfId="0" quotePrefix="1" applyNumberFormat="1" applyAlignment="1">
      <alignment horizontal="right" indent="1"/>
    </xf>
    <xf numFmtId="0" fontId="0" fillId="0" borderId="0" xfId="0" applyAlignment="1">
      <alignment horizontal="right" indent="1"/>
    </xf>
    <xf numFmtId="172" fontId="0" fillId="0" borderId="6" xfId="1" applyNumberFormat="1" applyFont="1" applyBorder="1"/>
    <xf numFmtId="172" fontId="0" fillId="0" borderId="0" xfId="1" applyNumberFormat="1" applyFont="1" applyBorder="1" applyAlignment="1">
      <alignment horizontal="left"/>
    </xf>
    <xf numFmtId="0" fontId="0" fillId="0" borderId="0" xfId="0" quotePrefix="1"/>
    <xf numFmtId="0" fontId="8" fillId="2" borderId="2" xfId="0" quotePrefix="1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left" indent="1"/>
    </xf>
    <xf numFmtId="0" fontId="0" fillId="3" borderId="0" xfId="0" quotePrefix="1" applyFont="1" applyFill="1" applyAlignment="1">
      <alignment horizontal="left" indent="2"/>
    </xf>
    <xf numFmtId="0" fontId="2" fillId="4" borderId="0" xfId="0" quotePrefix="1" applyFont="1" applyFill="1" applyAlignment="1">
      <alignment horizontal="left" indent="1"/>
    </xf>
    <xf numFmtId="0" fontId="0" fillId="0" borderId="0" xfId="0" applyAlignment="1"/>
    <xf numFmtId="173" fontId="0" fillId="0" borderId="0" xfId="0" applyNumberFormat="1"/>
    <xf numFmtId="173" fontId="0" fillId="0" borderId="0" xfId="0" applyNumberFormat="1" applyAlignment="1">
      <alignment horizontal="center"/>
    </xf>
    <xf numFmtId="164" fontId="10" fillId="0" borderId="4" xfId="0" quotePrefix="1" applyNumberFormat="1" applyFont="1" applyBorder="1" applyAlignment="1">
      <alignment horizontal="center"/>
    </xf>
    <xf numFmtId="164" fontId="10" fillId="0" borderId="0" xfId="0" quotePrefix="1" applyNumberFormat="1" applyFont="1" applyBorder="1" applyAlignment="1">
      <alignment horizontal="center"/>
    </xf>
    <xf numFmtId="164" fontId="10" fillId="0" borderId="0" xfId="0" applyNumberFormat="1" applyFont="1" applyBorder="1" applyAlignment="1">
      <alignment horizontal="center"/>
    </xf>
    <xf numFmtId="168" fontId="0" fillId="0" borderId="2" xfId="1" applyNumberFormat="1" applyFont="1" applyBorder="1"/>
    <xf numFmtId="168" fontId="0" fillId="0" borderId="2" xfId="1" applyNumberFormat="1" applyFont="1" applyBorder="1" applyAlignment="1">
      <alignment horizontal="left"/>
    </xf>
    <xf numFmtId="0" fontId="0" fillId="5" borderId="2" xfId="0" applyFill="1" applyBorder="1" applyAlignment="1">
      <alignment horizontal="left" indent="1"/>
    </xf>
    <xf numFmtId="0" fontId="0" fillId="0" borderId="2" xfId="0" applyBorder="1"/>
    <xf numFmtId="0" fontId="0" fillId="5" borderId="0" xfId="0" applyFill="1" applyAlignment="1">
      <alignment horizontal="left" indent="1"/>
    </xf>
    <xf numFmtId="174" fontId="11" fillId="0" borderId="0" xfId="0" applyNumberFormat="1" applyFont="1"/>
    <xf numFmtId="175" fontId="11" fillId="0" borderId="2" xfId="0" applyNumberFormat="1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97"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74745-1B14-41C3-9396-BB0150FBA63C}">
  <sheetPr>
    <tabColor theme="4"/>
  </sheetPr>
  <dimension ref="A1:AB202"/>
  <sheetViews>
    <sheetView tabSelected="1" zoomScale="85" zoomScaleNormal="85" workbookViewId="0">
      <pane xSplit="3" ySplit="3" topLeftCell="J4" activePane="bottomRight" state="frozen"/>
      <selection pane="topRight" activeCell="D1" sqref="D1"/>
      <selection pane="bottomLeft" activeCell="A6" sqref="A6"/>
      <selection pane="bottomRight" activeCell="B1" sqref="B1"/>
    </sheetView>
  </sheetViews>
  <sheetFormatPr defaultRowHeight="15" outlineLevelRow="1" outlineLevelCol="1" x14ac:dyDescent="0.25"/>
  <cols>
    <col min="1" max="1" width="27.28515625" bestFit="1" customWidth="1"/>
    <col min="2" max="2" width="12.7109375" style="6" bestFit="1" customWidth="1"/>
    <col min="3" max="3" width="34.140625" bestFit="1" customWidth="1"/>
    <col min="4" max="27" width="10.7109375" customWidth="1" outlineLevel="1"/>
    <col min="28" max="29" width="9.7109375" customWidth="1"/>
  </cols>
  <sheetData>
    <row r="1" spans="1:27" x14ac:dyDescent="0.25">
      <c r="A1" s="1" t="s">
        <v>0</v>
      </c>
      <c r="B1" s="56"/>
      <c r="C1" s="2">
        <v>44584.398895995371</v>
      </c>
      <c r="D1" s="47"/>
      <c r="E1" s="48"/>
      <c r="F1" s="48"/>
      <c r="G1" s="49"/>
      <c r="H1" s="49"/>
      <c r="I1" s="49"/>
      <c r="J1" s="55" t="str">
        <f>IF($B$1&gt;0,"Virtuelle ressourcer er blevet brugt","")</f>
        <v/>
      </c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</row>
    <row r="2" spans="1:27" s="44" customFormat="1" x14ac:dyDescent="0.25">
      <c r="A2" s="3" t="s">
        <v>1</v>
      </c>
      <c r="B2" s="4">
        <v>44562</v>
      </c>
      <c r="C2" s="5">
        <v>44896</v>
      </c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</row>
    <row r="3" spans="1:27" x14ac:dyDescent="0.25">
      <c r="D3" s="45"/>
    </row>
    <row r="4" spans="1:27" s="26" customFormat="1" ht="18.75" x14ac:dyDescent="0.3">
      <c r="A4" s="41" t="s">
        <v>3</v>
      </c>
      <c r="B4" s="41" t="s">
        <v>4</v>
      </c>
      <c r="C4" s="41" t="s">
        <v>82</v>
      </c>
      <c r="D4" s="40" t="s">
        <v>80</v>
      </c>
      <c r="E4" s="40" t="s">
        <v>81</v>
      </c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</row>
    <row r="5" spans="1:27" outlineLevel="1" x14ac:dyDescent="0.25">
      <c r="A5" s="8"/>
      <c r="B5" s="14"/>
      <c r="C5" s="10" t="s">
        <v>0</v>
      </c>
      <c r="D5" s="46">
        <v>0.39880509259091923</v>
      </c>
      <c r="E5" s="46">
        <v>0.39885663194581866</v>
      </c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</row>
    <row r="6" spans="1:27" outlineLevel="1" x14ac:dyDescent="0.25">
      <c r="A6" s="8"/>
      <c r="B6" s="9" t="s">
        <v>5</v>
      </c>
      <c r="C6" s="10" t="s">
        <v>6</v>
      </c>
      <c r="D6" s="8">
        <v>240000</v>
      </c>
      <c r="E6" s="8">
        <v>240000</v>
      </c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</row>
    <row r="7" spans="1:27" outlineLevel="1" x14ac:dyDescent="0.25">
      <c r="A7" s="8"/>
      <c r="B7" s="14" t="s">
        <v>2</v>
      </c>
      <c r="C7" s="10" t="s">
        <v>84</v>
      </c>
      <c r="D7" s="13">
        <v>-31251923.976194404</v>
      </c>
      <c r="E7" s="13">
        <v>-38061439.668193288</v>
      </c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</row>
    <row r="8" spans="1:27" outlineLevel="1" x14ac:dyDescent="0.25">
      <c r="A8" s="11"/>
      <c r="B8" s="9" t="s">
        <v>7</v>
      </c>
      <c r="C8" s="10" t="s">
        <v>8</v>
      </c>
      <c r="D8" s="12">
        <v>3362.9285972087619</v>
      </c>
      <c r="E8" s="12">
        <v>3867.032840523395</v>
      </c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</row>
    <row r="9" spans="1:27" outlineLevel="1" x14ac:dyDescent="0.25">
      <c r="A9" s="8"/>
      <c r="B9" s="14" t="s">
        <v>2</v>
      </c>
      <c r="C9" s="15" t="s">
        <v>85</v>
      </c>
      <c r="D9" s="13">
        <v>-22977804.63700518</v>
      </c>
      <c r="E9" s="13">
        <v>-31617202.10253714</v>
      </c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</row>
    <row r="10" spans="1:27" outlineLevel="1" x14ac:dyDescent="0.25">
      <c r="A10" s="11"/>
      <c r="B10" s="9" t="s">
        <v>7</v>
      </c>
      <c r="C10" s="15" t="s">
        <v>9</v>
      </c>
      <c r="D10" s="12">
        <v>3287.1348275516812</v>
      </c>
      <c r="E10" s="12">
        <v>3848.0778476236233</v>
      </c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</row>
    <row r="11" spans="1:27" outlineLevel="1" x14ac:dyDescent="0.25">
      <c r="A11" s="13"/>
      <c r="B11" s="14" t="s">
        <v>2</v>
      </c>
      <c r="C11" s="15" t="s">
        <v>10</v>
      </c>
      <c r="D11" s="13">
        <v>-56137068.286917686</v>
      </c>
      <c r="E11" s="13">
        <v>-65253352.051850632</v>
      </c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</row>
    <row r="12" spans="1:27" outlineLevel="1" x14ac:dyDescent="0.25">
      <c r="A12" s="16"/>
      <c r="B12" s="14" t="s">
        <v>2</v>
      </c>
      <c r="C12" s="17" t="s">
        <v>11</v>
      </c>
      <c r="D12" s="13">
        <v>63401986.311446503</v>
      </c>
      <c r="E12" s="13">
        <v>54013371.492596924</v>
      </c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</row>
    <row r="13" spans="1:27" outlineLevel="1" x14ac:dyDescent="0.25">
      <c r="A13" s="13"/>
      <c r="B13" s="14" t="s">
        <v>2</v>
      </c>
      <c r="C13" s="18" t="s">
        <v>12</v>
      </c>
      <c r="D13" s="13">
        <v>43867967.202584147</v>
      </c>
      <c r="E13" s="13">
        <v>43867433.869250819</v>
      </c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</row>
    <row r="14" spans="1:27" outlineLevel="1" x14ac:dyDescent="0.25">
      <c r="A14" s="13"/>
      <c r="B14" s="14" t="s">
        <v>2</v>
      </c>
      <c r="C14" s="18" t="s">
        <v>13</v>
      </c>
      <c r="D14" s="13">
        <v>2120464.4949871656</v>
      </c>
      <c r="E14" s="13">
        <v>2150960.3611409464</v>
      </c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</row>
    <row r="15" spans="1:27" outlineLevel="1" x14ac:dyDescent="0.25">
      <c r="A15" s="13"/>
      <c r="B15" s="14" t="s">
        <v>2</v>
      </c>
      <c r="C15" s="18" t="s">
        <v>14</v>
      </c>
      <c r="D15" s="13">
        <v>17413554.613875188</v>
      </c>
      <c r="E15" s="13">
        <v>7994977.262205163</v>
      </c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</row>
    <row r="16" spans="1:27" outlineLevel="1" x14ac:dyDescent="0.25">
      <c r="A16" s="16"/>
      <c r="B16" s="14" t="s">
        <v>2</v>
      </c>
      <c r="C16" s="17" t="s">
        <v>15</v>
      </c>
      <c r="D16" s="13">
        <v>119539054.59836417</v>
      </c>
      <c r="E16" s="13">
        <v>119266723.54444754</v>
      </c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</row>
    <row r="17" spans="1:27" outlineLevel="1" x14ac:dyDescent="0.25">
      <c r="A17" s="13"/>
      <c r="B17" s="14" t="s">
        <v>2</v>
      </c>
      <c r="C17" s="18" t="s">
        <v>16</v>
      </c>
      <c r="D17" s="13">
        <v>11373974.40498396</v>
      </c>
      <c r="E17" s="13">
        <v>11374433.322303059</v>
      </c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</row>
    <row r="18" spans="1:27" outlineLevel="1" x14ac:dyDescent="0.25">
      <c r="A18" s="13"/>
      <c r="B18" s="14" t="s">
        <v>2</v>
      </c>
      <c r="C18" s="18" t="s">
        <v>17</v>
      </c>
      <c r="D18" s="13">
        <v>10109064.552386843</v>
      </c>
      <c r="E18" s="13">
        <v>10109091.685098041</v>
      </c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</row>
    <row r="19" spans="1:27" outlineLevel="1" x14ac:dyDescent="0.25">
      <c r="A19" s="13"/>
      <c r="B19" s="14" t="s">
        <v>2</v>
      </c>
      <c r="C19" s="18" t="s">
        <v>18</v>
      </c>
      <c r="D19" s="13">
        <v>72982304.957722604</v>
      </c>
      <c r="E19" s="13">
        <v>74026402.620244786</v>
      </c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</row>
    <row r="20" spans="1:27" outlineLevel="1" x14ac:dyDescent="0.25">
      <c r="A20" s="13"/>
      <c r="B20" s="14" t="s">
        <v>2</v>
      </c>
      <c r="C20" s="18" t="s">
        <v>19</v>
      </c>
      <c r="D20" s="13">
        <v>25073710.683270779</v>
      </c>
      <c r="E20" s="13">
        <v>23756795.916801676</v>
      </c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</row>
    <row r="21" spans="1:27" outlineLevel="1" x14ac:dyDescent="0.25">
      <c r="A21" s="13"/>
      <c r="B21" s="14" t="s">
        <v>2</v>
      </c>
      <c r="C21" s="18" t="s">
        <v>20</v>
      </c>
      <c r="D21" s="13">
        <v>1.1999999999999997E-13</v>
      </c>
      <c r="E21" s="13">
        <v>1.1999999999999997E-13</v>
      </c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</row>
    <row r="22" spans="1:27" outlineLevel="1" x14ac:dyDescent="0.25">
      <c r="A22" s="19"/>
      <c r="B22" s="9" t="s">
        <v>21</v>
      </c>
      <c r="C22" s="15" t="s">
        <v>22</v>
      </c>
      <c r="D22" s="19">
        <v>34471.184423251441</v>
      </c>
      <c r="E22" s="19">
        <v>34470.645055751447</v>
      </c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</row>
    <row r="23" spans="1:27" outlineLevel="1" x14ac:dyDescent="0.25">
      <c r="A23" s="19"/>
      <c r="B23" s="9" t="s">
        <v>21</v>
      </c>
      <c r="C23" s="15" t="s">
        <v>23</v>
      </c>
      <c r="D23" s="19">
        <v>39595.279405086112</v>
      </c>
      <c r="E23" s="19">
        <v>39594.659861336106</v>
      </c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</row>
    <row r="24" spans="1:27" outlineLevel="1" x14ac:dyDescent="0.25">
      <c r="A24" s="19"/>
      <c r="B24" s="9" t="s">
        <v>24</v>
      </c>
      <c r="C24" s="15" t="s">
        <v>25</v>
      </c>
      <c r="D24" s="19">
        <v>52398.622762311075</v>
      </c>
      <c r="E24" s="19">
        <v>49215.700317373281</v>
      </c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</row>
    <row r="25" spans="1:27" outlineLevel="1" x14ac:dyDescent="0.25">
      <c r="A25" s="19"/>
      <c r="B25" s="9" t="s">
        <v>24</v>
      </c>
      <c r="C25" s="15" t="s">
        <v>26</v>
      </c>
      <c r="D25" s="19">
        <v>43973.622762311083</v>
      </c>
      <c r="E25" s="19">
        <v>40790.700317373281</v>
      </c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</row>
    <row r="26" spans="1:27" outlineLevel="1" x14ac:dyDescent="0.25">
      <c r="A26" s="20"/>
      <c r="B26" s="9" t="s">
        <v>21</v>
      </c>
      <c r="C26" s="17" t="s">
        <v>27</v>
      </c>
      <c r="D26" s="8">
        <v>98231.999999999985</v>
      </c>
      <c r="E26" s="8">
        <v>98231.999999999985</v>
      </c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</row>
    <row r="27" spans="1:27" outlineLevel="1" x14ac:dyDescent="0.25">
      <c r="A27" s="19"/>
      <c r="B27" s="9" t="s">
        <v>21</v>
      </c>
      <c r="C27" s="18" t="s">
        <v>28</v>
      </c>
      <c r="D27" s="8">
        <v>93250.010108890448</v>
      </c>
      <c r="E27" s="8">
        <v>93248.635525557125</v>
      </c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</row>
    <row r="28" spans="1:27" outlineLevel="1" x14ac:dyDescent="0.25">
      <c r="A28" s="19"/>
      <c r="B28" s="9" t="s">
        <v>21</v>
      </c>
      <c r="C28" s="18" t="s">
        <v>29</v>
      </c>
      <c r="D28" s="8">
        <v>4990.9394911095433</v>
      </c>
      <c r="E28" s="8">
        <v>4990.9394911095433</v>
      </c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</row>
    <row r="29" spans="1:27" outlineLevel="1" x14ac:dyDescent="0.25">
      <c r="A29" s="19"/>
      <c r="B29" s="9" t="s">
        <v>21</v>
      </c>
      <c r="C29" s="18" t="s">
        <v>30</v>
      </c>
      <c r="D29" s="8">
        <v>1.1999999999999997E-13</v>
      </c>
      <c r="E29" s="8">
        <v>1.1999999999999997E-13</v>
      </c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</row>
    <row r="30" spans="1:27" outlineLevel="1" x14ac:dyDescent="0.25">
      <c r="A30" s="20"/>
      <c r="B30" s="9" t="s">
        <v>5</v>
      </c>
      <c r="C30" s="17" t="s">
        <v>31</v>
      </c>
      <c r="D30" s="8">
        <v>249557.88773128763</v>
      </c>
      <c r="E30" s="8">
        <v>252168.4206370083</v>
      </c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</row>
    <row r="31" spans="1:27" outlineLevel="1" x14ac:dyDescent="0.25">
      <c r="A31" s="21"/>
      <c r="B31" s="9" t="s">
        <v>5</v>
      </c>
      <c r="C31" s="18" t="s">
        <v>86</v>
      </c>
      <c r="D31" s="8">
        <v>217083.30036524625</v>
      </c>
      <c r="E31" s="8">
        <v>219696.64957921064</v>
      </c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</row>
    <row r="32" spans="1:27" outlineLevel="1" x14ac:dyDescent="0.25">
      <c r="A32" s="21"/>
      <c r="B32" s="9" t="s">
        <v>5</v>
      </c>
      <c r="C32" s="18" t="s">
        <v>32</v>
      </c>
      <c r="D32" s="8">
        <v>179017.25410034135</v>
      </c>
      <c r="E32" s="8">
        <v>181407.39416504567</v>
      </c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</row>
    <row r="33" spans="1:28" outlineLevel="1" x14ac:dyDescent="0.25">
      <c r="A33" s="19"/>
      <c r="B33" s="9" t="s">
        <v>5</v>
      </c>
      <c r="C33" s="18" t="s">
        <v>33</v>
      </c>
      <c r="D33" s="8">
        <v>1.1999999999999997E-13</v>
      </c>
      <c r="E33" s="8">
        <v>1.1999999999999997E-13</v>
      </c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</row>
    <row r="34" spans="1:28" outlineLevel="1" x14ac:dyDescent="0.25">
      <c r="A34" s="19"/>
      <c r="B34" s="9" t="s">
        <v>5</v>
      </c>
      <c r="C34" s="18" t="s">
        <v>34</v>
      </c>
      <c r="D34" s="8">
        <v>32774.185899188989</v>
      </c>
      <c r="E34" s="8">
        <v>32994.447868721887</v>
      </c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</row>
    <row r="35" spans="1:28" outlineLevel="1" x14ac:dyDescent="0.25">
      <c r="A35" s="19"/>
      <c r="B35" s="9" t="s">
        <v>5</v>
      </c>
      <c r="C35" s="18" t="s">
        <v>35</v>
      </c>
      <c r="D35" s="8">
        <v>32474.587366041371</v>
      </c>
      <c r="E35" s="8">
        <v>32471.771057797643</v>
      </c>
      <c r="F35" s="8"/>
      <c r="G35" s="22"/>
      <c r="H35" s="22"/>
      <c r="I35" s="22"/>
      <c r="J35" s="22"/>
      <c r="K35" s="22"/>
      <c r="L35" s="22"/>
      <c r="M35" s="22"/>
      <c r="N35" s="22"/>
      <c r="O35" s="22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</row>
    <row r="36" spans="1:28" outlineLevel="1" x14ac:dyDescent="0.25">
      <c r="A36" s="20"/>
      <c r="B36" s="14" t="s">
        <v>2</v>
      </c>
      <c r="C36" s="27" t="s">
        <v>36</v>
      </c>
      <c r="D36" s="13">
        <v>8274119.3391892221</v>
      </c>
      <c r="E36" s="13">
        <v>6444237.5656561498</v>
      </c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</row>
    <row r="37" spans="1:28" outlineLevel="1" x14ac:dyDescent="0.25">
      <c r="A37" s="16"/>
      <c r="B37" s="14" t="s">
        <v>2</v>
      </c>
      <c r="C37" s="42" t="s">
        <v>37</v>
      </c>
      <c r="D37" s="13">
        <v>118167.03634753752</v>
      </c>
      <c r="E37" s="13">
        <v>92033.534207893521</v>
      </c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</row>
    <row r="38" spans="1:28" outlineLevel="1" x14ac:dyDescent="0.25">
      <c r="A38" s="13"/>
      <c r="B38" s="14" t="s">
        <v>2</v>
      </c>
      <c r="C38" s="23" t="s">
        <v>38</v>
      </c>
      <c r="D38" s="13">
        <v>4834104.3960356265</v>
      </c>
      <c r="E38" s="13">
        <v>3765006.9903229168</v>
      </c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</row>
    <row r="39" spans="1:28" outlineLevel="1" x14ac:dyDescent="0.25">
      <c r="A39" s="13"/>
      <c r="B39" s="14" t="s">
        <v>2</v>
      </c>
      <c r="C39" s="23" t="s">
        <v>39</v>
      </c>
      <c r="D39" s="13">
        <v>3321847.9068060587</v>
      </c>
      <c r="E39" s="13">
        <v>2587197.0411253381</v>
      </c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</row>
    <row r="40" spans="1:28" outlineLevel="1" x14ac:dyDescent="0.25">
      <c r="A40" s="19"/>
      <c r="B40" s="9" t="s">
        <v>21</v>
      </c>
      <c r="C40" s="23" t="s">
        <v>40</v>
      </c>
      <c r="D40" s="13">
        <v>3093.8268134628006</v>
      </c>
      <c r="E40" s="13">
        <v>2409.6044738066671</v>
      </c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</row>
    <row r="41" spans="1:28" outlineLevel="1" x14ac:dyDescent="0.25">
      <c r="A41" s="19"/>
      <c r="B41" s="9" t="s">
        <v>5</v>
      </c>
      <c r="C41" s="24" t="s">
        <v>41</v>
      </c>
      <c r="D41" s="19">
        <v>11816.699634753752</v>
      </c>
      <c r="E41" s="19">
        <v>9203.3504207893529</v>
      </c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</row>
    <row r="42" spans="1:28" outlineLevel="1" x14ac:dyDescent="0.25">
      <c r="A42" s="19"/>
      <c r="B42" s="9" t="s">
        <v>5</v>
      </c>
      <c r="C42" s="43" t="s">
        <v>83</v>
      </c>
      <c r="D42" s="19">
        <v>11100</v>
      </c>
      <c r="E42" s="19">
        <v>11100</v>
      </c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</row>
    <row r="43" spans="1:28" s="53" customFormat="1" outlineLevel="1" x14ac:dyDescent="0.25">
      <c r="A43" s="50">
        <f t="shared" ref="A43:A46" si="0">SUM(D43:AA43)</f>
        <v>0</v>
      </c>
      <c r="B43" s="51" t="s">
        <v>5</v>
      </c>
      <c r="C43" s="52" t="s">
        <v>87</v>
      </c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50"/>
      <c r="V43" s="50"/>
      <c r="W43" s="50"/>
      <c r="X43" s="50"/>
      <c r="Y43" s="50"/>
      <c r="Z43" s="50"/>
      <c r="AA43" s="50"/>
    </row>
    <row r="44" spans="1:28" outlineLevel="1" x14ac:dyDescent="0.25">
      <c r="A44" s="19">
        <f t="shared" si="0"/>
        <v>0</v>
      </c>
      <c r="B44" s="9" t="s">
        <v>5</v>
      </c>
      <c r="C44" s="54" t="s">
        <v>88</v>
      </c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</row>
    <row r="45" spans="1:28" outlineLevel="1" x14ac:dyDescent="0.25">
      <c r="A45" s="19">
        <f t="shared" si="0"/>
        <v>0</v>
      </c>
      <c r="B45" s="9" t="s">
        <v>21</v>
      </c>
      <c r="C45" s="54" t="s">
        <v>89</v>
      </c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</row>
    <row r="46" spans="1:28" outlineLevel="1" x14ac:dyDescent="0.25">
      <c r="A46" s="19">
        <f t="shared" si="0"/>
        <v>0</v>
      </c>
      <c r="B46" s="9" t="s">
        <v>21</v>
      </c>
      <c r="C46" s="54" t="s">
        <v>90</v>
      </c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9"/>
      <c r="AA46" s="19"/>
    </row>
    <row r="47" spans="1:28" outlineLevel="1" x14ac:dyDescent="0.25">
      <c r="B47"/>
    </row>
    <row r="48" spans="1:28" s="7" customFormat="1" ht="18.75" x14ac:dyDescent="0.3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</row>
    <row r="49" spans="1:27" s="26" customFormat="1" ht="18.75" x14ac:dyDescent="0.3">
      <c r="A49" s="41" t="s">
        <v>42</v>
      </c>
      <c r="B49" s="41" t="s">
        <v>4</v>
      </c>
      <c r="C49" s="41" t="s">
        <v>42</v>
      </c>
      <c r="D49" s="40" t="s">
        <v>80</v>
      </c>
      <c r="E49" s="40" t="s">
        <v>81</v>
      </c>
      <c r="F49" s="40"/>
      <c r="G49" s="40"/>
      <c r="H49" s="40"/>
      <c r="I49" s="40"/>
      <c r="J49" s="40"/>
      <c r="K49" s="40"/>
      <c r="L49" s="40"/>
      <c r="M49" s="40"/>
      <c r="N49" s="40"/>
      <c r="O49" s="40"/>
      <c r="P49" s="40"/>
      <c r="Q49" s="40"/>
      <c r="R49" s="40"/>
      <c r="S49" s="40"/>
      <c r="T49" s="40"/>
      <c r="U49" s="40"/>
      <c r="V49" s="40"/>
      <c r="W49" s="40"/>
      <c r="X49" s="40"/>
      <c r="Y49" s="40"/>
      <c r="Z49" s="40"/>
      <c r="AA49" s="40"/>
    </row>
    <row r="50" spans="1:27" outlineLevel="1" x14ac:dyDescent="0.25">
      <c r="A50" s="28">
        <f t="shared" ref="A50:A86" si="1">SUM(D50:O50)</f>
        <v>109904.63369912156</v>
      </c>
      <c r="B50" s="9" t="s">
        <v>5</v>
      </c>
      <c r="C50" s="29" t="s">
        <v>43</v>
      </c>
      <c r="D50" s="28">
        <v>48450.502194690103</v>
      </c>
      <c r="E50" s="28">
        <v>61454.131504431469</v>
      </c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</row>
    <row r="51" spans="1:27" outlineLevel="1" x14ac:dyDescent="0.25">
      <c r="A51" s="28">
        <f t="shared" si="1"/>
        <v>316288.64833417628</v>
      </c>
      <c r="B51" s="9" t="s">
        <v>5</v>
      </c>
      <c r="C51" s="29" t="s">
        <v>44</v>
      </c>
      <c r="D51" s="28">
        <v>163340.93780484018</v>
      </c>
      <c r="E51" s="28">
        <v>152947.71052933609</v>
      </c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/>
    </row>
    <row r="52" spans="1:27" outlineLevel="1" x14ac:dyDescent="0.25">
      <c r="A52" s="28">
        <f t="shared" si="1"/>
        <v>75533.026334998067</v>
      </c>
      <c r="B52" s="9" t="s">
        <v>5</v>
      </c>
      <c r="C52" s="29" t="s">
        <v>45</v>
      </c>
      <c r="D52" s="28">
        <v>37766.447731757318</v>
      </c>
      <c r="E52" s="28">
        <v>37766.578603240749</v>
      </c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8"/>
    </row>
    <row r="53" spans="1:27" outlineLevel="1" x14ac:dyDescent="0.25">
      <c r="A53" s="28">
        <f t="shared" si="1"/>
        <v>22200</v>
      </c>
      <c r="B53" s="9" t="s">
        <v>5</v>
      </c>
      <c r="C53" s="29" t="s">
        <v>46</v>
      </c>
      <c r="D53" s="28">
        <v>11100</v>
      </c>
      <c r="E53" s="28">
        <v>11100</v>
      </c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8"/>
    </row>
    <row r="54" spans="1:27" outlineLevel="1" x14ac:dyDescent="0.25">
      <c r="A54" s="28">
        <f t="shared" si="1"/>
        <v>-64946.358423839018</v>
      </c>
      <c r="B54" s="9" t="s">
        <v>5</v>
      </c>
      <c r="C54" s="29" t="s">
        <v>47</v>
      </c>
      <c r="D54" s="28">
        <v>-32474.587366041371</v>
      </c>
      <c r="E54" s="28">
        <v>-32471.771057797643</v>
      </c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8"/>
    </row>
    <row r="55" spans="1:27" outlineLevel="1" x14ac:dyDescent="0.25">
      <c r="A55" s="28">
        <f t="shared" si="1"/>
        <v>21020.050055543106</v>
      </c>
      <c r="B55" s="9" t="s">
        <v>5</v>
      </c>
      <c r="C55" s="29" t="s">
        <v>48</v>
      </c>
      <c r="D55" s="28">
        <v>11816.699634753752</v>
      </c>
      <c r="E55" s="28">
        <v>9203.3504207893529</v>
      </c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8"/>
    </row>
    <row r="56" spans="1:27" outlineLevel="1" x14ac:dyDescent="0.25">
      <c r="A56" s="30"/>
      <c r="B56" s="31"/>
      <c r="D56" s="32"/>
      <c r="E56" s="32"/>
      <c r="F56" s="32"/>
      <c r="G56" s="32"/>
      <c r="H56" s="32"/>
      <c r="I56" s="32"/>
      <c r="J56" s="32"/>
      <c r="K56" s="32"/>
      <c r="L56" s="32"/>
      <c r="M56" s="32"/>
      <c r="N56" s="32"/>
      <c r="O56" s="32"/>
      <c r="P56" s="30"/>
      <c r="Q56" s="30"/>
      <c r="R56" s="30"/>
      <c r="S56" s="30"/>
      <c r="T56" s="30"/>
      <c r="U56" s="30"/>
      <c r="V56" s="30"/>
      <c r="W56" s="30"/>
      <c r="X56" s="30"/>
      <c r="Y56" s="30"/>
      <c r="Z56" s="30"/>
      <c r="AA56" s="30"/>
    </row>
    <row r="57" spans="1:27" s="26" customFormat="1" ht="18.75" x14ac:dyDescent="0.3">
      <c r="A57" s="41" t="s">
        <v>49</v>
      </c>
      <c r="B57" s="41" t="s">
        <v>4</v>
      </c>
      <c r="C57" s="41" t="s">
        <v>49</v>
      </c>
      <c r="D57" s="40" t="s">
        <v>80</v>
      </c>
      <c r="E57" s="40" t="s">
        <v>81</v>
      </c>
      <c r="F57" s="40"/>
      <c r="G57" s="40"/>
      <c r="H57" s="40"/>
      <c r="I57" s="40"/>
      <c r="J57" s="40"/>
      <c r="K57" s="40"/>
      <c r="L57" s="40"/>
      <c r="M57" s="40"/>
      <c r="N57" s="40"/>
      <c r="O57" s="40"/>
      <c r="P57" s="40"/>
      <c r="Q57" s="40"/>
      <c r="R57" s="40"/>
      <c r="S57" s="40"/>
      <c r="T57" s="40"/>
      <c r="U57" s="40"/>
      <c r="V57" s="40"/>
      <c r="W57" s="40"/>
      <c r="X57" s="40"/>
      <c r="Y57" s="40"/>
      <c r="Z57" s="40"/>
      <c r="AA57" s="40"/>
    </row>
    <row r="58" spans="1:27" outlineLevel="1" x14ac:dyDescent="0.25">
      <c r="A58" s="33">
        <f t="shared" si="1"/>
        <v>16672.167050000004</v>
      </c>
      <c r="B58" s="34" t="s">
        <v>21</v>
      </c>
      <c r="C58" s="35" t="s">
        <v>50</v>
      </c>
      <c r="D58" s="33">
        <v>8336.0835250000018</v>
      </c>
      <c r="E58" s="33">
        <v>8336.0835250000018</v>
      </c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/>
    </row>
    <row r="59" spans="1:27" outlineLevel="1" x14ac:dyDescent="0.25">
      <c r="A59" s="33">
        <f t="shared" si="1"/>
        <v>2.3999999999999994E-13</v>
      </c>
      <c r="B59" s="34" t="s">
        <v>21</v>
      </c>
      <c r="C59" s="35" t="s">
        <v>51</v>
      </c>
      <c r="D59" s="33">
        <v>1.1999999999999997E-13</v>
      </c>
      <c r="E59" s="33">
        <v>1.1999999999999997E-13</v>
      </c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</row>
    <row r="60" spans="1:27" outlineLevel="1" x14ac:dyDescent="0.25">
      <c r="A60" s="33">
        <f t="shared" si="1"/>
        <v>2.3999999999999994E-13</v>
      </c>
      <c r="B60" s="34" t="s">
        <v>21</v>
      </c>
      <c r="C60" s="35" t="s">
        <v>52</v>
      </c>
      <c r="D60" s="33">
        <v>1.1999999999999997E-13</v>
      </c>
      <c r="E60" s="33">
        <v>1.1999999999999997E-13</v>
      </c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</row>
    <row r="61" spans="1:27" outlineLevel="1" x14ac:dyDescent="0.25">
      <c r="A61" s="33">
        <f t="shared" si="1"/>
        <v>57743.292649999996</v>
      </c>
      <c r="B61" s="34" t="s">
        <v>21</v>
      </c>
      <c r="C61" s="35" t="s">
        <v>53</v>
      </c>
      <c r="D61" s="33">
        <v>28871.646324999998</v>
      </c>
      <c r="E61" s="33">
        <v>28871.646324999998</v>
      </c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  <c r="AA61" s="33"/>
    </row>
    <row r="62" spans="1:27" outlineLevel="1" x14ac:dyDescent="0.25">
      <c r="A62" s="33">
        <f t="shared" si="1"/>
        <v>6909.2626844475808</v>
      </c>
      <c r="B62" s="34" t="s">
        <v>21</v>
      </c>
      <c r="C62" s="35" t="s">
        <v>54</v>
      </c>
      <c r="D62" s="33">
        <v>3454.6313422237904</v>
      </c>
      <c r="E62" s="33">
        <v>3454.6313422237904</v>
      </c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</row>
    <row r="63" spans="1:27" outlineLevel="1" x14ac:dyDescent="0.25">
      <c r="A63" s="33">
        <f t="shared" si="1"/>
        <v>2.3999999999999994E-13</v>
      </c>
      <c r="B63" s="34" t="s">
        <v>21</v>
      </c>
      <c r="C63" s="35" t="s">
        <v>55</v>
      </c>
      <c r="D63" s="33">
        <v>1.1999999999999997E-13</v>
      </c>
      <c r="E63" s="33">
        <v>1.1999999999999997E-13</v>
      </c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/>
    </row>
    <row r="64" spans="1:27" outlineLevel="1" x14ac:dyDescent="0.25">
      <c r="A64" s="33">
        <f t="shared" si="1"/>
        <v>2.3999999999999994E-13</v>
      </c>
      <c r="B64" s="34" t="s">
        <v>21</v>
      </c>
      <c r="C64" s="35" t="s">
        <v>56</v>
      </c>
      <c r="D64" s="33">
        <v>1.1999999999999997E-13</v>
      </c>
      <c r="E64" s="33">
        <v>1.1999999999999997E-13</v>
      </c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</row>
    <row r="65" spans="1:27" outlineLevel="1" x14ac:dyDescent="0.25">
      <c r="A65" s="33">
        <f t="shared" si="1"/>
        <v>15601.429999999995</v>
      </c>
      <c r="B65" s="34" t="s">
        <v>21</v>
      </c>
      <c r="C65" s="35" t="s">
        <v>57</v>
      </c>
      <c r="D65" s="33">
        <v>7800.7149999999974</v>
      </c>
      <c r="E65" s="33">
        <v>7800.7149999999974</v>
      </c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/>
    </row>
    <row r="66" spans="1:27" outlineLevel="1" x14ac:dyDescent="0.25">
      <c r="A66" s="33">
        <f t="shared" si="1"/>
        <v>2.3999999999999994E-13</v>
      </c>
      <c r="B66" s="34" t="s">
        <v>21</v>
      </c>
      <c r="C66" s="35" t="s">
        <v>58</v>
      </c>
      <c r="D66" s="33">
        <v>1.1999999999999997E-13</v>
      </c>
      <c r="E66" s="33">
        <v>1.1999999999999997E-13</v>
      </c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  <c r="AA66" s="33"/>
    </row>
    <row r="67" spans="1:27" outlineLevel="1" x14ac:dyDescent="0.25">
      <c r="A67" s="33">
        <f t="shared" si="1"/>
        <v>2.3999999999999994E-13</v>
      </c>
      <c r="B67" s="34" t="s">
        <v>21</v>
      </c>
      <c r="C67" s="35" t="s">
        <v>59</v>
      </c>
      <c r="D67" s="33">
        <v>1.1999999999999997E-13</v>
      </c>
      <c r="E67" s="33">
        <v>1.1999999999999997E-13</v>
      </c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</row>
    <row r="68" spans="1:27" outlineLevel="1" x14ac:dyDescent="0.25">
      <c r="A68" s="33">
        <f t="shared" si="1"/>
        <v>10400.953333333335</v>
      </c>
      <c r="B68" s="34" t="s">
        <v>21</v>
      </c>
      <c r="C68" s="35" t="s">
        <v>60</v>
      </c>
      <c r="D68" s="33">
        <v>5200.4766666666674</v>
      </c>
      <c r="E68" s="33">
        <v>5200.4766666666674</v>
      </c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</row>
    <row r="69" spans="1:27" outlineLevel="1" x14ac:dyDescent="0.25">
      <c r="A69" s="33">
        <f t="shared" si="1"/>
        <v>2.3999999999999994E-13</v>
      </c>
      <c r="B69" s="34" t="s">
        <v>21</v>
      </c>
      <c r="C69" s="35" t="s">
        <v>61</v>
      </c>
      <c r="D69" s="33">
        <v>1.1999999999999997E-13</v>
      </c>
      <c r="E69" s="33">
        <v>1.1999999999999997E-13</v>
      </c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/>
    </row>
    <row r="70" spans="1:27" outlineLevel="1" x14ac:dyDescent="0.25">
      <c r="A70" s="33">
        <f t="shared" si="1"/>
        <v>2.3999999999999994E-13</v>
      </c>
      <c r="B70" s="34" t="s">
        <v>21</v>
      </c>
      <c r="C70" s="35" t="s">
        <v>62</v>
      </c>
      <c r="D70" s="33">
        <v>1.1999999999999997E-13</v>
      </c>
      <c r="E70" s="33">
        <v>1.1999999999999997E-13</v>
      </c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/>
    </row>
    <row r="71" spans="1:27" outlineLevel="1" x14ac:dyDescent="0.25">
      <c r="A71" s="33">
        <f t="shared" si="1"/>
        <v>2.3999999999999994E-13</v>
      </c>
      <c r="B71" s="34" t="s">
        <v>21</v>
      </c>
      <c r="C71" s="35" t="s">
        <v>63</v>
      </c>
      <c r="D71" s="33">
        <v>1.1999999999999997E-13</v>
      </c>
      <c r="E71" s="33">
        <v>1.1999999999999997E-13</v>
      </c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</row>
    <row r="72" spans="1:27" outlineLevel="1" x14ac:dyDescent="0.25">
      <c r="A72" s="33">
        <f t="shared" si="1"/>
        <v>73339.333333333328</v>
      </c>
      <c r="B72" s="34" t="s">
        <v>21</v>
      </c>
      <c r="C72" s="35" t="s">
        <v>64</v>
      </c>
      <c r="D72" s="33">
        <v>36670.333333333336</v>
      </c>
      <c r="E72" s="33">
        <v>36668.999999999993</v>
      </c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/>
    </row>
    <row r="73" spans="1:27" outlineLevel="1" x14ac:dyDescent="0.25">
      <c r="A73" s="33">
        <f t="shared" si="1"/>
        <v>3667.0333333333333</v>
      </c>
      <c r="B73" s="34" t="s">
        <v>21</v>
      </c>
      <c r="C73" s="35" t="s">
        <v>65</v>
      </c>
      <c r="D73" s="33">
        <v>1833.5166666666667</v>
      </c>
      <c r="E73" s="33">
        <v>1833.5166666666667</v>
      </c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  <c r="Z73" s="33"/>
      <c r="AA73" s="33"/>
    </row>
    <row r="74" spans="1:27" outlineLevel="1" x14ac:dyDescent="0.25">
      <c r="A74" s="33">
        <f t="shared" si="1"/>
        <v>2.3999999999999994E-13</v>
      </c>
      <c r="B74" s="34" t="s">
        <v>21</v>
      </c>
      <c r="C74" s="35" t="s">
        <v>66</v>
      </c>
      <c r="D74" s="33">
        <v>1.1999999999999997E-13</v>
      </c>
      <c r="E74" s="33">
        <v>1.1999999999999997E-13</v>
      </c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</row>
    <row r="75" spans="1:27" outlineLevel="1" x14ac:dyDescent="0.25">
      <c r="A75" s="33">
        <f t="shared" si="1"/>
        <v>1750.1375000000003</v>
      </c>
      <c r="B75" s="34" t="s">
        <v>21</v>
      </c>
      <c r="C75" s="35" t="s">
        <v>67</v>
      </c>
      <c r="D75" s="33">
        <v>875.08750000000009</v>
      </c>
      <c r="E75" s="33">
        <v>875.05000000000007</v>
      </c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</row>
    <row r="76" spans="1:27" outlineLevel="1" x14ac:dyDescent="0.25">
      <c r="A76" s="33">
        <f t="shared" si="1"/>
        <v>2.3999999999999994E-13</v>
      </c>
      <c r="B76" s="34" t="s">
        <v>21</v>
      </c>
      <c r="C76" s="35" t="s">
        <v>68</v>
      </c>
      <c r="D76" s="33">
        <v>1.1999999999999997E-13</v>
      </c>
      <c r="E76" s="33">
        <v>1.1999999999999997E-13</v>
      </c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/>
      <c r="Z76" s="33"/>
      <c r="AA76" s="33"/>
    </row>
    <row r="77" spans="1:27" outlineLevel="1" x14ac:dyDescent="0.25">
      <c r="A77" s="33">
        <f t="shared" si="1"/>
        <v>240.02200000000005</v>
      </c>
      <c r="B77" s="34" t="s">
        <v>21</v>
      </c>
      <c r="C77" s="35" t="s">
        <v>69</v>
      </c>
      <c r="D77" s="33">
        <v>120.01100000000002</v>
      </c>
      <c r="E77" s="33">
        <v>120.01100000000002</v>
      </c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</row>
    <row r="78" spans="1:27" outlineLevel="1" x14ac:dyDescent="0.25">
      <c r="A78" s="33">
        <f t="shared" si="1"/>
        <v>175.01375000000007</v>
      </c>
      <c r="B78" s="34" t="s">
        <v>21</v>
      </c>
      <c r="C78" s="35" t="s">
        <v>70</v>
      </c>
      <c r="D78" s="33">
        <v>87.508750000000035</v>
      </c>
      <c r="E78" s="33">
        <v>87.505000000000038</v>
      </c>
      <c r="F78" s="33"/>
      <c r="G78" s="33"/>
      <c r="H78" s="33"/>
      <c r="I78" s="33"/>
      <c r="J78" s="33"/>
      <c r="K78" s="33"/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</row>
    <row r="79" spans="1:27" outlineLevel="1" x14ac:dyDescent="0.25">
      <c r="A79" s="33">
        <f t="shared" si="1"/>
        <v>2.3999999999999994E-13</v>
      </c>
      <c r="B79" s="34" t="s">
        <v>21</v>
      </c>
      <c r="C79" s="35" t="s">
        <v>71</v>
      </c>
      <c r="D79" s="33">
        <v>1.1999999999999997E-13</v>
      </c>
      <c r="E79" s="33">
        <v>1.1999999999999997E-13</v>
      </c>
      <c r="F79" s="33"/>
      <c r="G79" s="33"/>
      <c r="H79" s="33"/>
      <c r="I79" s="33"/>
      <c r="J79" s="33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  <c r="AA79" s="33"/>
    </row>
    <row r="80" spans="1:27" outlineLevel="1" x14ac:dyDescent="0.25">
      <c r="A80" s="33">
        <f t="shared" si="1"/>
        <v>2.3999999999999994E-13</v>
      </c>
      <c r="B80" s="34" t="s">
        <v>21</v>
      </c>
      <c r="C80" s="35" t="s">
        <v>72</v>
      </c>
      <c r="D80" s="33">
        <v>1.1999999999999997E-13</v>
      </c>
      <c r="E80" s="33">
        <v>1.1999999999999997E-13</v>
      </c>
      <c r="F80" s="33"/>
      <c r="G80" s="33"/>
      <c r="H80" s="33"/>
      <c r="I80" s="33"/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3"/>
    </row>
    <row r="81" spans="1:27" outlineLevel="1" x14ac:dyDescent="0.25">
      <c r="A81" s="33">
        <f t="shared" si="1"/>
        <v>2.3999999999999994E-13</v>
      </c>
      <c r="B81" s="34" t="s">
        <v>21</v>
      </c>
      <c r="C81" s="35" t="s">
        <v>73</v>
      </c>
      <c r="D81" s="33">
        <v>1.1999999999999997E-13</v>
      </c>
      <c r="E81" s="33">
        <v>1.1999999999999997E-13</v>
      </c>
      <c r="F81" s="33"/>
      <c r="G81" s="33"/>
      <c r="H81" s="33"/>
      <c r="I81" s="33"/>
      <c r="J81" s="33"/>
      <c r="K81" s="33"/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  <c r="Z81" s="33"/>
      <c r="AA81" s="33"/>
    </row>
    <row r="82" spans="1:27" outlineLevel="1" x14ac:dyDescent="0.25">
      <c r="A82" s="33">
        <f t="shared" si="1"/>
        <v>2.3999999999999994E-13</v>
      </c>
      <c r="B82" s="34" t="s">
        <v>21</v>
      </c>
      <c r="C82" s="35" t="s">
        <v>74</v>
      </c>
      <c r="D82" s="33">
        <v>1.1999999999999997E-13</v>
      </c>
      <c r="E82" s="33">
        <v>1.1999999999999997E-13</v>
      </c>
      <c r="F82" s="33"/>
      <c r="G82" s="33"/>
      <c r="H82" s="33"/>
      <c r="I82" s="33"/>
      <c r="J82" s="33"/>
      <c r="K82" s="33"/>
      <c r="L82" s="33"/>
      <c r="M82" s="33"/>
      <c r="N82" s="33"/>
      <c r="O82" s="33"/>
      <c r="P82" s="33"/>
      <c r="Q82" s="33"/>
      <c r="R82" s="33"/>
      <c r="S82" s="33"/>
      <c r="T82" s="33"/>
      <c r="U82" s="33"/>
      <c r="V82" s="33"/>
      <c r="W82" s="33"/>
      <c r="X82" s="33"/>
      <c r="Y82" s="33"/>
      <c r="Z82" s="33"/>
      <c r="AA82" s="33"/>
    </row>
    <row r="83" spans="1:27" outlineLevel="1" x14ac:dyDescent="0.25">
      <c r="A83" s="33">
        <f t="shared" si="1"/>
        <v>2.3999999999999994E-13</v>
      </c>
      <c r="B83" s="34" t="s">
        <v>21</v>
      </c>
      <c r="C83" s="35" t="s">
        <v>75</v>
      </c>
      <c r="D83" s="33">
        <v>1.1999999999999997E-13</v>
      </c>
      <c r="E83" s="33">
        <v>1.1999999999999997E-13</v>
      </c>
      <c r="F83" s="33"/>
      <c r="G83" s="33"/>
      <c r="H83" s="33"/>
      <c r="I83" s="33"/>
      <c r="J83" s="33"/>
      <c r="K83" s="33"/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/>
      <c r="AA83" s="33"/>
    </row>
    <row r="84" spans="1:27" outlineLevel="1" x14ac:dyDescent="0.25">
      <c r="A84" s="33">
        <f t="shared" si="1"/>
        <v>34032.402353691235</v>
      </c>
      <c r="B84" s="34" t="s">
        <v>21</v>
      </c>
      <c r="C84" s="35" t="s">
        <v>76</v>
      </c>
      <c r="D84" s="33">
        <v>17016.171693908174</v>
      </c>
      <c r="E84" s="33">
        <v>17016.230659783061</v>
      </c>
      <c r="F84" s="33"/>
      <c r="G84" s="33"/>
      <c r="H84" s="33"/>
      <c r="I84" s="33"/>
      <c r="J84" s="33"/>
      <c r="K84" s="33"/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</row>
    <row r="85" spans="1:27" outlineLevel="1" x14ac:dyDescent="0.25">
      <c r="A85" s="33">
        <f t="shared" si="1"/>
        <v>22200</v>
      </c>
      <c r="B85" s="34" t="s">
        <v>21</v>
      </c>
      <c r="C85" s="35" t="s">
        <v>77</v>
      </c>
      <c r="D85" s="33">
        <v>11100</v>
      </c>
      <c r="E85" s="33">
        <v>11100</v>
      </c>
      <c r="F85" s="33"/>
      <c r="G85" s="33"/>
      <c r="H85" s="33"/>
      <c r="I85" s="33"/>
      <c r="J85" s="33"/>
      <c r="K85" s="33"/>
      <c r="L85" s="33"/>
      <c r="M85" s="33"/>
      <c r="N85" s="33"/>
      <c r="O85" s="33"/>
      <c r="P85" s="33"/>
      <c r="Q85" s="33"/>
      <c r="R85" s="33"/>
      <c r="S85" s="33"/>
      <c r="T85" s="33"/>
      <c r="U85" s="33"/>
      <c r="V85" s="33"/>
      <c r="W85" s="33"/>
      <c r="X85" s="33"/>
      <c r="Y85" s="33"/>
      <c r="Z85" s="33"/>
      <c r="AA85" s="33"/>
    </row>
    <row r="86" spans="1:27" outlineLevel="1" x14ac:dyDescent="0.25">
      <c r="A86" s="33">
        <f t="shared" si="1"/>
        <v>1719.8222772717086</v>
      </c>
      <c r="B86" s="34" t="s">
        <v>21</v>
      </c>
      <c r="C86" s="35" t="s">
        <v>78</v>
      </c>
      <c r="D86" s="33">
        <v>966.82087920712513</v>
      </c>
      <c r="E86" s="33">
        <v>753.00139806458344</v>
      </c>
      <c r="F86" s="33"/>
      <c r="G86" s="33"/>
      <c r="H86" s="33"/>
      <c r="I86" s="33"/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33"/>
    </row>
    <row r="87" spans="1:27" outlineLevel="1" x14ac:dyDescent="0.25">
      <c r="A87" s="19"/>
      <c r="B87" s="34"/>
      <c r="C87" s="35"/>
      <c r="D87" s="33"/>
      <c r="E87" s="33"/>
      <c r="F87" s="33"/>
      <c r="G87" s="33"/>
      <c r="H87" s="33"/>
      <c r="I87" s="33"/>
      <c r="J87" s="33"/>
      <c r="K87" s="33"/>
      <c r="L87" s="33"/>
      <c r="M87" s="33"/>
      <c r="N87" s="33"/>
      <c r="O87" s="33"/>
      <c r="P87" s="33"/>
      <c r="Q87" s="33"/>
      <c r="R87" s="33"/>
      <c r="S87" s="33"/>
      <c r="T87" s="33"/>
      <c r="U87" s="33"/>
      <c r="V87" s="33"/>
      <c r="W87" s="33"/>
      <c r="X87" s="33"/>
      <c r="Y87" s="33"/>
      <c r="Z87" s="33"/>
      <c r="AA87" s="33"/>
    </row>
    <row r="88" spans="1:27" outlineLevel="1" x14ac:dyDescent="0.25">
      <c r="A88" s="19"/>
      <c r="B88" s="9"/>
      <c r="C88" s="36"/>
      <c r="D88" s="32"/>
      <c r="E88" s="32"/>
      <c r="F88" s="32"/>
      <c r="G88" s="32"/>
      <c r="H88" s="32"/>
      <c r="I88" s="32"/>
      <c r="J88" s="32"/>
      <c r="K88" s="32"/>
      <c r="L88" s="32"/>
      <c r="M88" s="32"/>
      <c r="N88" s="32"/>
      <c r="O88" s="32"/>
      <c r="P88" s="30"/>
      <c r="Q88" s="30"/>
      <c r="R88" s="30"/>
      <c r="S88" s="30"/>
      <c r="T88" s="30"/>
      <c r="U88" s="30"/>
      <c r="V88" s="30"/>
      <c r="W88" s="30"/>
      <c r="X88" s="30"/>
      <c r="Y88" s="30"/>
      <c r="Z88" s="30"/>
      <c r="AA88" s="30"/>
    </row>
    <row r="89" spans="1:27" s="26" customFormat="1" ht="18.75" x14ac:dyDescent="0.3">
      <c r="A89" s="41" t="s">
        <v>79</v>
      </c>
      <c r="B89" s="41" t="s">
        <v>4</v>
      </c>
      <c r="C89" s="41" t="s">
        <v>79</v>
      </c>
      <c r="D89" s="40" t="s">
        <v>80</v>
      </c>
      <c r="E89" s="40" t="s">
        <v>81</v>
      </c>
      <c r="F89" s="40"/>
      <c r="G89" s="40"/>
      <c r="H89" s="40"/>
      <c r="I89" s="40"/>
      <c r="J89" s="40"/>
      <c r="K89" s="40"/>
      <c r="L89" s="40"/>
      <c r="M89" s="40"/>
      <c r="N89" s="40"/>
      <c r="O89" s="40"/>
      <c r="P89" s="40"/>
      <c r="Q89" s="40"/>
      <c r="R89" s="40"/>
      <c r="S89" s="40"/>
      <c r="T89" s="40"/>
      <c r="U89" s="40"/>
      <c r="V89" s="40"/>
      <c r="W89" s="40"/>
      <c r="X89" s="40"/>
      <c r="Y89" s="40"/>
      <c r="Z89" s="40"/>
      <c r="AA89" s="40"/>
    </row>
    <row r="90" spans="1:27" outlineLevel="1" x14ac:dyDescent="0.25">
      <c r="A90" s="37">
        <f t="shared" ref="A90:A118" si="2">SUM(D90:O90)</f>
        <v>8752887.7012499981</v>
      </c>
      <c r="B90" s="38" t="s">
        <v>2</v>
      </c>
      <c r="C90" s="35" t="s">
        <v>50</v>
      </c>
      <c r="D90" s="37">
        <v>4376443.850624999</v>
      </c>
      <c r="E90" s="37">
        <v>4376443.850624999</v>
      </c>
      <c r="F90" s="37"/>
      <c r="G90" s="37"/>
      <c r="H90" s="37"/>
      <c r="I90" s="37"/>
      <c r="J90" s="37"/>
      <c r="K90" s="37"/>
      <c r="L90" s="37"/>
      <c r="M90" s="37"/>
      <c r="N90" s="37"/>
      <c r="O90" s="37"/>
      <c r="P90" s="37"/>
      <c r="Q90" s="37"/>
      <c r="R90" s="37"/>
      <c r="S90" s="37"/>
      <c r="T90" s="37"/>
      <c r="U90" s="37"/>
      <c r="V90" s="37"/>
      <c r="W90" s="37"/>
      <c r="X90" s="37"/>
      <c r="Y90" s="37"/>
      <c r="Z90" s="37"/>
      <c r="AA90" s="37"/>
    </row>
    <row r="91" spans="1:27" outlineLevel="1" x14ac:dyDescent="0.25">
      <c r="A91" s="37">
        <f t="shared" si="2"/>
        <v>2.3999999999999994E-13</v>
      </c>
      <c r="B91" s="38" t="s">
        <v>2</v>
      </c>
      <c r="C91" s="35" t="s">
        <v>51</v>
      </c>
      <c r="D91" s="37">
        <v>1.1999999999999997E-13</v>
      </c>
      <c r="E91" s="37">
        <v>1.1999999999999997E-13</v>
      </c>
      <c r="F91" s="37"/>
      <c r="G91" s="37"/>
      <c r="H91" s="37"/>
      <c r="I91" s="37"/>
      <c r="J91" s="37"/>
      <c r="K91" s="37"/>
      <c r="L91" s="37"/>
      <c r="M91" s="37"/>
      <c r="N91" s="37"/>
      <c r="O91" s="37"/>
      <c r="P91" s="37"/>
      <c r="Q91" s="37"/>
      <c r="R91" s="37"/>
      <c r="S91" s="37"/>
      <c r="T91" s="37"/>
      <c r="U91" s="37"/>
      <c r="V91" s="37"/>
      <c r="W91" s="37"/>
      <c r="X91" s="37"/>
      <c r="Y91" s="37"/>
      <c r="Z91" s="37"/>
      <c r="AA91" s="37"/>
    </row>
    <row r="92" spans="1:27" outlineLevel="1" x14ac:dyDescent="0.25">
      <c r="A92" s="37">
        <f t="shared" si="2"/>
        <v>2.3999999999999994E-13</v>
      </c>
      <c r="B92" s="38" t="s">
        <v>2</v>
      </c>
      <c r="C92" s="35" t="s">
        <v>52</v>
      </c>
      <c r="D92" s="37">
        <v>1.1999999999999997E-13</v>
      </c>
      <c r="E92" s="37">
        <v>1.1999999999999997E-13</v>
      </c>
      <c r="F92" s="37"/>
      <c r="G92" s="37"/>
      <c r="H92" s="37"/>
      <c r="I92" s="37"/>
      <c r="J92" s="37"/>
      <c r="K92" s="37"/>
      <c r="L92" s="37"/>
      <c r="M92" s="37"/>
      <c r="N92" s="37"/>
      <c r="O92" s="37"/>
      <c r="P92" s="37"/>
      <c r="Q92" s="37"/>
      <c r="R92" s="37"/>
      <c r="S92" s="37"/>
      <c r="T92" s="37"/>
      <c r="U92" s="37"/>
      <c r="V92" s="37"/>
      <c r="W92" s="37"/>
      <c r="X92" s="37"/>
      <c r="Y92" s="37"/>
      <c r="Z92" s="37"/>
      <c r="AA92" s="37"/>
    </row>
    <row r="93" spans="1:27" outlineLevel="1" x14ac:dyDescent="0.25">
      <c r="A93" s="37">
        <f t="shared" si="2"/>
        <v>30315228.641249992</v>
      </c>
      <c r="B93" s="38" t="s">
        <v>2</v>
      </c>
      <c r="C93" s="35" t="s">
        <v>53</v>
      </c>
      <c r="D93" s="37">
        <v>15157614.320624996</v>
      </c>
      <c r="E93" s="37">
        <v>15157614.320624996</v>
      </c>
      <c r="F93" s="37"/>
      <c r="G93" s="37"/>
      <c r="H93" s="37"/>
      <c r="I93" s="37"/>
      <c r="J93" s="37"/>
      <c r="K93" s="37"/>
      <c r="L93" s="37"/>
      <c r="M93" s="37"/>
      <c r="N93" s="37"/>
      <c r="O93" s="37"/>
      <c r="P93" s="37"/>
      <c r="Q93" s="37"/>
      <c r="R93" s="37"/>
      <c r="S93" s="37"/>
      <c r="T93" s="37"/>
      <c r="U93" s="37"/>
      <c r="V93" s="37"/>
      <c r="W93" s="37"/>
      <c r="X93" s="37"/>
      <c r="Y93" s="37"/>
      <c r="Z93" s="37"/>
      <c r="AA93" s="37"/>
    </row>
    <row r="94" spans="1:27" outlineLevel="1" x14ac:dyDescent="0.25">
      <c r="A94" s="37">
        <f t="shared" si="2"/>
        <v>3627362.9093349809</v>
      </c>
      <c r="B94" s="38" t="s">
        <v>2</v>
      </c>
      <c r="C94" s="35" t="s">
        <v>54</v>
      </c>
      <c r="D94" s="37">
        <v>1813681.4546674904</v>
      </c>
      <c r="E94" s="37">
        <v>1813681.4546674904</v>
      </c>
      <c r="F94" s="37"/>
      <c r="G94" s="37"/>
      <c r="H94" s="37"/>
      <c r="I94" s="37"/>
      <c r="J94" s="37"/>
      <c r="K94" s="37"/>
      <c r="L94" s="37"/>
      <c r="M94" s="37"/>
      <c r="N94" s="37"/>
      <c r="O94" s="37"/>
      <c r="P94" s="37"/>
      <c r="Q94" s="37"/>
      <c r="R94" s="37"/>
      <c r="S94" s="37"/>
      <c r="T94" s="37"/>
      <c r="U94" s="37"/>
      <c r="V94" s="37"/>
      <c r="W94" s="37"/>
      <c r="X94" s="37"/>
      <c r="Y94" s="37"/>
      <c r="Z94" s="37"/>
      <c r="AA94" s="37"/>
    </row>
    <row r="95" spans="1:27" outlineLevel="1" x14ac:dyDescent="0.25">
      <c r="A95" s="37">
        <f t="shared" si="2"/>
        <v>2.3999999999999994E-13</v>
      </c>
      <c r="B95" s="38" t="s">
        <v>2</v>
      </c>
      <c r="C95" s="35" t="s">
        <v>55</v>
      </c>
      <c r="D95" s="37">
        <v>1.1999999999999997E-13</v>
      </c>
      <c r="E95" s="37">
        <v>1.1999999999999997E-13</v>
      </c>
      <c r="F95" s="37"/>
      <c r="G95" s="37"/>
      <c r="H95" s="37"/>
      <c r="I95" s="37"/>
      <c r="J95" s="37"/>
      <c r="K95" s="37"/>
      <c r="L95" s="37"/>
      <c r="M95" s="37"/>
      <c r="N95" s="37"/>
      <c r="O95" s="37"/>
      <c r="P95" s="37"/>
      <c r="Q95" s="37"/>
      <c r="R95" s="37"/>
      <c r="S95" s="37"/>
      <c r="T95" s="37"/>
      <c r="U95" s="37"/>
      <c r="V95" s="37"/>
      <c r="W95" s="37"/>
      <c r="X95" s="37"/>
      <c r="Y95" s="37"/>
      <c r="Z95" s="37"/>
      <c r="AA95" s="37"/>
    </row>
    <row r="96" spans="1:27" outlineLevel="1" x14ac:dyDescent="0.25">
      <c r="A96" s="37">
        <f t="shared" si="2"/>
        <v>2.3999999999999994E-13</v>
      </c>
      <c r="B96" s="38" t="s">
        <v>2</v>
      </c>
      <c r="C96" s="35" t="s">
        <v>56</v>
      </c>
      <c r="D96" s="37">
        <v>1.1999999999999997E-13</v>
      </c>
      <c r="E96" s="37">
        <v>1.1999999999999997E-13</v>
      </c>
      <c r="F96" s="37"/>
      <c r="G96" s="37"/>
      <c r="H96" s="37"/>
      <c r="I96" s="37"/>
      <c r="J96" s="37"/>
      <c r="K96" s="37"/>
      <c r="L96" s="37"/>
      <c r="M96" s="37"/>
      <c r="N96" s="37"/>
      <c r="O96" s="37"/>
      <c r="P96" s="37"/>
      <c r="Q96" s="37"/>
      <c r="R96" s="37"/>
      <c r="S96" s="37"/>
      <c r="T96" s="37"/>
      <c r="U96" s="37"/>
      <c r="V96" s="37"/>
      <c r="W96" s="37"/>
      <c r="X96" s="37"/>
      <c r="Y96" s="37"/>
      <c r="Z96" s="37"/>
      <c r="AA96" s="37"/>
    </row>
    <row r="97" spans="1:27" outlineLevel="1" x14ac:dyDescent="0.25">
      <c r="A97" s="37">
        <f t="shared" si="2"/>
        <v>8190750.7499999991</v>
      </c>
      <c r="B97" s="38" t="s">
        <v>2</v>
      </c>
      <c r="C97" s="35" t="s">
        <v>57</v>
      </c>
      <c r="D97" s="37">
        <v>4095375.3749999995</v>
      </c>
      <c r="E97" s="37">
        <v>4095375.3749999995</v>
      </c>
      <c r="F97" s="37"/>
      <c r="G97" s="37"/>
      <c r="H97" s="37"/>
      <c r="I97" s="37"/>
      <c r="J97" s="37"/>
      <c r="K97" s="37"/>
      <c r="L97" s="37"/>
      <c r="M97" s="37"/>
      <c r="N97" s="37"/>
      <c r="O97" s="37"/>
      <c r="P97" s="37"/>
      <c r="Q97" s="37"/>
      <c r="R97" s="37"/>
      <c r="S97" s="37"/>
      <c r="T97" s="37"/>
      <c r="U97" s="37"/>
      <c r="V97" s="37"/>
      <c r="W97" s="37"/>
      <c r="X97" s="37"/>
      <c r="Y97" s="37"/>
      <c r="Z97" s="37"/>
      <c r="AA97" s="37"/>
    </row>
    <row r="98" spans="1:27" outlineLevel="1" x14ac:dyDescent="0.25">
      <c r="A98" s="37">
        <f t="shared" si="2"/>
        <v>2.3999999999999994E-13</v>
      </c>
      <c r="B98" s="38" t="s">
        <v>2</v>
      </c>
      <c r="C98" s="35" t="s">
        <v>58</v>
      </c>
      <c r="D98" s="37">
        <v>1.1999999999999997E-13</v>
      </c>
      <c r="E98" s="37">
        <v>1.1999999999999997E-13</v>
      </c>
      <c r="F98" s="37"/>
      <c r="G98" s="37"/>
      <c r="H98" s="37"/>
      <c r="I98" s="37"/>
      <c r="J98" s="37"/>
      <c r="K98" s="37"/>
      <c r="L98" s="37"/>
      <c r="M98" s="37"/>
      <c r="N98" s="37"/>
      <c r="O98" s="37"/>
      <c r="P98" s="37"/>
      <c r="Q98" s="37"/>
      <c r="R98" s="37"/>
      <c r="S98" s="37"/>
      <c r="T98" s="37"/>
      <c r="U98" s="37"/>
      <c r="V98" s="37"/>
      <c r="W98" s="37"/>
      <c r="X98" s="37"/>
      <c r="Y98" s="37"/>
      <c r="Z98" s="37"/>
      <c r="AA98" s="37"/>
    </row>
    <row r="99" spans="1:27" outlineLevel="1" x14ac:dyDescent="0.25">
      <c r="A99" s="37">
        <f t="shared" si="2"/>
        <v>2.3999999999999994E-13</v>
      </c>
      <c r="B99" s="38" t="s">
        <v>2</v>
      </c>
      <c r="C99" s="35" t="s">
        <v>59</v>
      </c>
      <c r="D99" s="37">
        <v>1.1999999999999997E-13</v>
      </c>
      <c r="E99" s="37">
        <v>1.1999999999999997E-13</v>
      </c>
      <c r="F99" s="37"/>
      <c r="G99" s="37"/>
      <c r="H99" s="37"/>
      <c r="I99" s="37"/>
      <c r="J99" s="37"/>
      <c r="K99" s="37"/>
      <c r="L99" s="37"/>
      <c r="M99" s="37"/>
      <c r="N99" s="37"/>
      <c r="O99" s="37"/>
      <c r="P99" s="37"/>
      <c r="Q99" s="37"/>
      <c r="R99" s="37"/>
      <c r="S99" s="37"/>
      <c r="T99" s="37"/>
      <c r="U99" s="37"/>
      <c r="V99" s="37"/>
      <c r="W99" s="37"/>
      <c r="X99" s="37"/>
      <c r="Y99" s="37"/>
      <c r="Z99" s="37"/>
      <c r="AA99" s="37"/>
    </row>
    <row r="100" spans="1:27" outlineLevel="1" x14ac:dyDescent="0.25">
      <c r="A100" s="37">
        <f t="shared" si="2"/>
        <v>5460500.5</v>
      </c>
      <c r="B100" s="38" t="s">
        <v>2</v>
      </c>
      <c r="C100" s="35" t="s">
        <v>60</v>
      </c>
      <c r="D100" s="37">
        <v>2730250.25</v>
      </c>
      <c r="E100" s="37">
        <v>2730250.25</v>
      </c>
      <c r="F100" s="37"/>
      <c r="G100" s="37"/>
      <c r="H100" s="37"/>
      <c r="I100" s="37"/>
      <c r="J100" s="37"/>
      <c r="K100" s="37"/>
      <c r="L100" s="37"/>
      <c r="M100" s="37"/>
      <c r="N100" s="37"/>
      <c r="O100" s="37"/>
      <c r="P100" s="37"/>
      <c r="Q100" s="37"/>
      <c r="R100" s="37"/>
      <c r="S100" s="37"/>
      <c r="T100" s="37"/>
      <c r="U100" s="37"/>
      <c r="V100" s="37"/>
      <c r="W100" s="37"/>
      <c r="X100" s="37"/>
      <c r="Y100" s="37"/>
      <c r="Z100" s="37"/>
      <c r="AA100" s="37"/>
    </row>
    <row r="101" spans="1:27" outlineLevel="1" x14ac:dyDescent="0.25">
      <c r="A101" s="37">
        <f t="shared" si="2"/>
        <v>2.3999999999999994E-13</v>
      </c>
      <c r="B101" s="38" t="s">
        <v>2</v>
      </c>
      <c r="C101" s="35" t="s">
        <v>61</v>
      </c>
      <c r="D101" s="37">
        <v>1.1999999999999997E-13</v>
      </c>
      <c r="E101" s="37">
        <v>1.1999999999999997E-13</v>
      </c>
      <c r="F101" s="37"/>
      <c r="G101" s="37"/>
      <c r="H101" s="37"/>
      <c r="I101" s="37"/>
      <c r="J101" s="37"/>
      <c r="K101" s="37"/>
      <c r="L101" s="37"/>
      <c r="M101" s="37"/>
      <c r="N101" s="37"/>
      <c r="O101" s="37"/>
      <c r="P101" s="37"/>
      <c r="Q101" s="37"/>
      <c r="R101" s="37"/>
      <c r="S101" s="37"/>
      <c r="T101" s="37"/>
      <c r="U101" s="37"/>
      <c r="V101" s="37"/>
      <c r="W101" s="37"/>
      <c r="X101" s="37"/>
      <c r="Y101" s="37"/>
      <c r="Z101" s="37"/>
      <c r="AA101" s="37"/>
    </row>
    <row r="102" spans="1:27" outlineLevel="1" x14ac:dyDescent="0.25">
      <c r="A102" s="37">
        <f t="shared" si="2"/>
        <v>2.3999999999999994E-13</v>
      </c>
      <c r="B102" s="38" t="s">
        <v>2</v>
      </c>
      <c r="C102" s="35" t="s">
        <v>62</v>
      </c>
      <c r="D102" s="37">
        <v>1.1999999999999997E-13</v>
      </c>
      <c r="E102" s="37">
        <v>1.1999999999999997E-13</v>
      </c>
      <c r="F102" s="37"/>
      <c r="G102" s="37"/>
      <c r="H102" s="37"/>
      <c r="I102" s="37"/>
      <c r="J102" s="37"/>
      <c r="K102" s="37"/>
      <c r="L102" s="37"/>
      <c r="M102" s="37"/>
      <c r="N102" s="37"/>
      <c r="O102" s="37"/>
      <c r="P102" s="37"/>
      <c r="Q102" s="37"/>
      <c r="R102" s="37"/>
      <c r="S102" s="37"/>
      <c r="T102" s="37"/>
      <c r="U102" s="37"/>
      <c r="V102" s="37"/>
      <c r="W102" s="37"/>
      <c r="X102" s="37"/>
      <c r="Y102" s="37"/>
      <c r="Z102" s="37"/>
      <c r="AA102" s="37"/>
    </row>
    <row r="103" spans="1:27" outlineLevel="1" x14ac:dyDescent="0.25">
      <c r="A103" s="37">
        <f t="shared" si="2"/>
        <v>2.3999999999999994E-13</v>
      </c>
      <c r="B103" s="38" t="s">
        <v>2</v>
      </c>
      <c r="C103" s="35" t="s">
        <v>63</v>
      </c>
      <c r="D103" s="37">
        <v>1.1999999999999997E-13</v>
      </c>
      <c r="E103" s="37">
        <v>1.1999999999999997E-13</v>
      </c>
      <c r="F103" s="37"/>
      <c r="G103" s="37"/>
      <c r="H103" s="37"/>
      <c r="I103" s="37"/>
      <c r="J103" s="37"/>
      <c r="K103" s="37"/>
      <c r="L103" s="37"/>
      <c r="M103" s="37"/>
      <c r="N103" s="37"/>
      <c r="O103" s="37"/>
      <c r="P103" s="37"/>
      <c r="Q103" s="37"/>
      <c r="R103" s="37"/>
      <c r="S103" s="37"/>
      <c r="T103" s="37"/>
      <c r="U103" s="37"/>
      <c r="V103" s="37"/>
      <c r="W103" s="37"/>
      <c r="X103" s="37"/>
      <c r="Y103" s="37"/>
      <c r="Z103" s="37"/>
      <c r="AA103" s="37"/>
    </row>
    <row r="104" spans="1:27" outlineLevel="1" x14ac:dyDescent="0.25">
      <c r="A104" s="37">
        <f t="shared" si="2"/>
        <v>29335733.333333332</v>
      </c>
      <c r="B104" s="38" t="s">
        <v>2</v>
      </c>
      <c r="C104" s="35" t="s">
        <v>64</v>
      </c>
      <c r="D104" s="37">
        <v>14668133.333333332</v>
      </c>
      <c r="E104" s="37">
        <v>14667600</v>
      </c>
      <c r="F104" s="37"/>
      <c r="G104" s="37"/>
      <c r="H104" s="37"/>
      <c r="I104" s="37"/>
      <c r="J104" s="37"/>
      <c r="K104" s="37"/>
      <c r="L104" s="37"/>
      <c r="M104" s="37"/>
      <c r="N104" s="37"/>
      <c r="O104" s="37"/>
      <c r="P104" s="37"/>
      <c r="Q104" s="37"/>
      <c r="R104" s="37"/>
      <c r="S104" s="37"/>
      <c r="T104" s="37"/>
      <c r="U104" s="37"/>
      <c r="V104" s="37"/>
      <c r="W104" s="37"/>
      <c r="X104" s="37"/>
      <c r="Y104" s="37"/>
      <c r="Z104" s="37"/>
      <c r="AA104" s="37"/>
    </row>
    <row r="105" spans="1:27" outlineLevel="1" x14ac:dyDescent="0.25">
      <c r="A105" s="37">
        <f t="shared" si="2"/>
        <v>1888522.166666666</v>
      </c>
      <c r="B105" s="38" t="s">
        <v>2</v>
      </c>
      <c r="C105" s="35" t="s">
        <v>65</v>
      </c>
      <c r="D105" s="37">
        <v>944261.08333333302</v>
      </c>
      <c r="E105" s="37">
        <v>944261.08333333302</v>
      </c>
      <c r="F105" s="37"/>
      <c r="G105" s="37"/>
      <c r="H105" s="37"/>
      <c r="I105" s="37"/>
      <c r="J105" s="37"/>
      <c r="K105" s="37"/>
      <c r="L105" s="37"/>
      <c r="M105" s="37"/>
      <c r="N105" s="37"/>
      <c r="O105" s="37"/>
      <c r="P105" s="37"/>
      <c r="Q105" s="37"/>
      <c r="R105" s="37"/>
      <c r="S105" s="37"/>
      <c r="T105" s="37"/>
      <c r="U105" s="37"/>
      <c r="V105" s="37"/>
      <c r="W105" s="37"/>
      <c r="X105" s="37"/>
      <c r="Y105" s="37"/>
      <c r="Z105" s="37"/>
      <c r="AA105" s="37"/>
    </row>
    <row r="106" spans="1:27" outlineLevel="1" x14ac:dyDescent="0.25">
      <c r="A106" s="37">
        <f t="shared" si="2"/>
        <v>2.3999999999999994E-13</v>
      </c>
      <c r="B106" s="38" t="s">
        <v>2</v>
      </c>
      <c r="C106" s="35" t="s">
        <v>66</v>
      </c>
      <c r="D106" s="37">
        <v>1.1999999999999997E-13</v>
      </c>
      <c r="E106" s="37">
        <v>1.1999999999999997E-13</v>
      </c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</row>
    <row r="107" spans="1:27" outlineLevel="1" x14ac:dyDescent="0.25">
      <c r="A107" s="37">
        <f t="shared" si="2"/>
        <v>2.3999999999999994E-13</v>
      </c>
      <c r="B107" s="38" t="s">
        <v>2</v>
      </c>
      <c r="C107" s="35" t="s">
        <v>67</v>
      </c>
      <c r="D107" s="37">
        <v>1.1999999999999997E-13</v>
      </c>
      <c r="E107" s="37">
        <v>1.1999999999999997E-13</v>
      </c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</row>
    <row r="108" spans="1:27" outlineLevel="1" x14ac:dyDescent="0.25">
      <c r="A108" s="37">
        <f t="shared" si="2"/>
        <v>2.3999999999999994E-13</v>
      </c>
      <c r="B108" s="38" t="s">
        <v>2</v>
      </c>
      <c r="C108" s="35" t="s">
        <v>68</v>
      </c>
      <c r="D108" s="37">
        <v>1.1999999999999997E-13</v>
      </c>
      <c r="E108" s="37">
        <v>1.1999999999999997E-13</v>
      </c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</row>
    <row r="109" spans="1:27" outlineLevel="1" x14ac:dyDescent="0.25">
      <c r="A109" s="37">
        <f t="shared" si="2"/>
        <v>164415.06999999998</v>
      </c>
      <c r="B109" s="38" t="s">
        <v>2</v>
      </c>
      <c r="C109" s="35" t="s">
        <v>69</v>
      </c>
      <c r="D109" s="37">
        <v>82207.534999999989</v>
      </c>
      <c r="E109" s="37">
        <v>82207.534999999989</v>
      </c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</row>
    <row r="110" spans="1:27" outlineLevel="1" x14ac:dyDescent="0.25">
      <c r="A110" s="37">
        <f t="shared" si="2"/>
        <v>-27127.131249999999</v>
      </c>
      <c r="B110" s="38" t="s">
        <v>2</v>
      </c>
      <c r="C110" s="35" t="s">
        <v>70</v>
      </c>
      <c r="D110" s="37">
        <v>-13563.856250000001</v>
      </c>
      <c r="E110" s="37">
        <v>-13563.275</v>
      </c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</row>
    <row r="111" spans="1:27" outlineLevel="1" x14ac:dyDescent="0.25">
      <c r="A111" s="37">
        <f t="shared" si="2"/>
        <v>2.3999999999999994E-13</v>
      </c>
      <c r="B111" s="38" t="s">
        <v>2</v>
      </c>
      <c r="C111" s="35" t="s">
        <v>71</v>
      </c>
      <c r="D111" s="37">
        <v>1.1999999999999997E-13</v>
      </c>
      <c r="E111" s="37">
        <v>1.1999999999999997E-13</v>
      </c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</row>
    <row r="112" spans="1:27" outlineLevel="1" x14ac:dyDescent="0.25">
      <c r="A112" s="37">
        <f t="shared" si="2"/>
        <v>2.3999999999999994E-13</v>
      </c>
      <c r="B112" s="38" t="s">
        <v>2</v>
      </c>
      <c r="C112" s="35" t="s">
        <v>72</v>
      </c>
      <c r="D112" s="37">
        <v>1.1999999999999997E-13</v>
      </c>
      <c r="E112" s="37">
        <v>1.1999999999999997E-13</v>
      </c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</row>
    <row r="113" spans="1:27" outlineLevel="1" x14ac:dyDescent="0.25">
      <c r="A113" s="37">
        <f t="shared" si="2"/>
        <v>2.3999999999999994E-13</v>
      </c>
      <c r="B113" s="38" t="s">
        <v>2</v>
      </c>
      <c r="C113" s="35" t="s">
        <v>73</v>
      </c>
      <c r="D113" s="37">
        <v>1.1999999999999997E-13</v>
      </c>
      <c r="E113" s="37">
        <v>1.1999999999999997E-13</v>
      </c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</row>
    <row r="114" spans="1:27" outlineLevel="1" x14ac:dyDescent="0.25">
      <c r="A114" s="37">
        <f t="shared" si="2"/>
        <v>2.3999999999999994E-13</v>
      </c>
      <c r="B114" s="38" t="s">
        <v>2</v>
      </c>
      <c r="C114" s="35" t="s">
        <v>74</v>
      </c>
      <c r="D114" s="37">
        <v>1.1999999999999997E-13</v>
      </c>
      <c r="E114" s="37">
        <v>1.1999999999999997E-13</v>
      </c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</row>
    <row r="115" spans="1:27" outlineLevel="1" x14ac:dyDescent="0.25">
      <c r="A115" s="37">
        <f t="shared" si="2"/>
        <v>2.3999999999999994E-13</v>
      </c>
      <c r="B115" s="38" t="s">
        <v>2</v>
      </c>
      <c r="C115" s="35" t="s">
        <v>75</v>
      </c>
      <c r="D115" s="37">
        <v>1.1999999999999997E-13</v>
      </c>
      <c r="E115" s="37">
        <v>1.1999999999999997E-13</v>
      </c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</row>
    <row r="116" spans="1:27" outlineLevel="1" x14ac:dyDescent="0.25">
      <c r="A116" s="37">
        <f t="shared" si="2"/>
        <v>-15995229.106234882</v>
      </c>
      <c r="B116" s="38" t="s">
        <v>2</v>
      </c>
      <c r="C116" s="35" t="s">
        <v>76</v>
      </c>
      <c r="D116" s="37">
        <v>-7997600.6961368416</v>
      </c>
      <c r="E116" s="37">
        <v>-7997628.4100980395</v>
      </c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</row>
    <row r="117" spans="1:27" outlineLevel="1" x14ac:dyDescent="0.25">
      <c r="A117" s="37">
        <f t="shared" si="2"/>
        <v>-4195800</v>
      </c>
      <c r="B117" s="38" t="s">
        <v>2</v>
      </c>
      <c r="C117" s="35" t="s">
        <v>77</v>
      </c>
      <c r="D117" s="37">
        <v>-2097900</v>
      </c>
      <c r="E117" s="37">
        <v>-2097900</v>
      </c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</row>
    <row r="118" spans="1:27" outlineLevel="1" x14ac:dyDescent="0.25">
      <c r="A118" s="37">
        <f t="shared" si="2"/>
        <v>-8599111.3863585442</v>
      </c>
      <c r="B118" s="38" t="s">
        <v>2</v>
      </c>
      <c r="C118" s="35" t="s">
        <v>78</v>
      </c>
      <c r="D118" s="37">
        <v>-4834104.3960356265</v>
      </c>
      <c r="E118" s="37">
        <v>-3765006.9903229168</v>
      </c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</row>
    <row r="119" spans="1:27" outlineLevel="1" x14ac:dyDescent="0.25">
      <c r="B119" s="25"/>
      <c r="C119" s="39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</row>
    <row r="120" spans="1:27" outlineLevel="1" x14ac:dyDescent="0.25">
      <c r="B120" s="25"/>
      <c r="C120" s="39"/>
      <c r="D120" s="39"/>
      <c r="E120" s="39"/>
      <c r="F120" s="39"/>
      <c r="G120" s="39"/>
      <c r="H120" s="39"/>
      <c r="I120" s="39"/>
      <c r="J120" s="39"/>
      <c r="K120" s="39"/>
      <c r="L120" s="39"/>
      <c r="M120" s="39"/>
      <c r="N120" s="39"/>
      <c r="O120" s="39"/>
    </row>
    <row r="121" spans="1:27" outlineLevel="1" x14ac:dyDescent="0.25">
      <c r="B121"/>
    </row>
    <row r="122" spans="1:27" outlineLevel="1" x14ac:dyDescent="0.25">
      <c r="B122"/>
    </row>
    <row r="123" spans="1:27" outlineLevel="1" x14ac:dyDescent="0.25">
      <c r="B123"/>
    </row>
    <row r="124" spans="1:27" outlineLevel="1" x14ac:dyDescent="0.25">
      <c r="B124"/>
    </row>
    <row r="125" spans="1:27" outlineLevel="1" x14ac:dyDescent="0.25">
      <c r="B125"/>
    </row>
    <row r="126" spans="1:27" outlineLevel="1" x14ac:dyDescent="0.25">
      <c r="B126"/>
    </row>
    <row r="127" spans="1:27" outlineLevel="1" x14ac:dyDescent="0.25">
      <c r="B127"/>
    </row>
    <row r="128" spans="1:27" outlineLevel="1" x14ac:dyDescent="0.25">
      <c r="B128"/>
    </row>
    <row r="129" spans="2:2" outlineLevel="1" x14ac:dyDescent="0.25">
      <c r="B129"/>
    </row>
    <row r="130" spans="2:2" outlineLevel="1" x14ac:dyDescent="0.25">
      <c r="B130"/>
    </row>
    <row r="131" spans="2:2" outlineLevel="1" x14ac:dyDescent="0.25">
      <c r="B131"/>
    </row>
    <row r="132" spans="2:2" outlineLevel="1" x14ac:dyDescent="0.25">
      <c r="B132"/>
    </row>
    <row r="133" spans="2:2" outlineLevel="1" x14ac:dyDescent="0.25">
      <c r="B133"/>
    </row>
    <row r="134" spans="2:2" outlineLevel="1" x14ac:dyDescent="0.25">
      <c r="B134"/>
    </row>
    <row r="135" spans="2:2" outlineLevel="1" x14ac:dyDescent="0.25">
      <c r="B135"/>
    </row>
    <row r="136" spans="2:2" outlineLevel="1" x14ac:dyDescent="0.25">
      <c r="B136"/>
    </row>
    <row r="137" spans="2:2" outlineLevel="1" x14ac:dyDescent="0.25">
      <c r="B137"/>
    </row>
    <row r="138" spans="2:2" outlineLevel="1" x14ac:dyDescent="0.25">
      <c r="B138"/>
    </row>
    <row r="139" spans="2:2" outlineLevel="1" x14ac:dyDescent="0.25">
      <c r="B139"/>
    </row>
    <row r="140" spans="2:2" outlineLevel="1" x14ac:dyDescent="0.25">
      <c r="B140"/>
    </row>
    <row r="141" spans="2:2" outlineLevel="1" x14ac:dyDescent="0.25">
      <c r="B141"/>
    </row>
    <row r="142" spans="2:2" outlineLevel="1" x14ac:dyDescent="0.25">
      <c r="B142"/>
    </row>
    <row r="143" spans="2:2" outlineLevel="1" x14ac:dyDescent="0.25">
      <c r="B143"/>
    </row>
    <row r="144" spans="2:2" outlineLevel="1" x14ac:dyDescent="0.25">
      <c r="B144"/>
    </row>
    <row r="145" spans="2:2" outlineLevel="1" x14ac:dyDescent="0.25">
      <c r="B145"/>
    </row>
    <row r="146" spans="2:2" outlineLevel="1" x14ac:dyDescent="0.25">
      <c r="B146"/>
    </row>
    <row r="147" spans="2:2" outlineLevel="1" x14ac:dyDescent="0.25">
      <c r="B147"/>
    </row>
    <row r="148" spans="2:2" outlineLevel="1" x14ac:dyDescent="0.25">
      <c r="B148"/>
    </row>
    <row r="149" spans="2:2" outlineLevel="1" x14ac:dyDescent="0.25">
      <c r="B149"/>
    </row>
    <row r="150" spans="2:2" outlineLevel="1" x14ac:dyDescent="0.25">
      <c r="B150"/>
    </row>
    <row r="151" spans="2:2" outlineLevel="1" x14ac:dyDescent="0.25">
      <c r="B151"/>
    </row>
    <row r="152" spans="2:2" x14ac:dyDescent="0.25">
      <c r="B152"/>
    </row>
    <row r="153" spans="2:2" x14ac:dyDescent="0.25">
      <c r="B153"/>
    </row>
    <row r="154" spans="2:2" x14ac:dyDescent="0.25">
      <c r="B154"/>
    </row>
    <row r="155" spans="2:2" x14ac:dyDescent="0.25">
      <c r="B155"/>
    </row>
    <row r="156" spans="2:2" x14ac:dyDescent="0.25">
      <c r="B156"/>
    </row>
    <row r="157" spans="2:2" x14ac:dyDescent="0.25">
      <c r="B157"/>
    </row>
    <row r="158" spans="2:2" x14ac:dyDescent="0.25">
      <c r="B158"/>
    </row>
    <row r="159" spans="2:2" x14ac:dyDescent="0.25">
      <c r="B159"/>
    </row>
    <row r="160" spans="2:2" x14ac:dyDescent="0.25">
      <c r="B160"/>
    </row>
    <row r="161" spans="2:2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  <row r="193" spans="2:2" x14ac:dyDescent="0.25">
      <c r="B193"/>
    </row>
    <row r="194" spans="2:2" x14ac:dyDescent="0.25">
      <c r="B194"/>
    </row>
    <row r="195" spans="2:2" x14ac:dyDescent="0.25">
      <c r="B195"/>
    </row>
    <row r="196" spans="2:2" x14ac:dyDescent="0.25">
      <c r="B196"/>
    </row>
    <row r="197" spans="2:2" x14ac:dyDescent="0.25">
      <c r="B197"/>
    </row>
    <row r="198" spans="2:2" x14ac:dyDescent="0.25">
      <c r="B198"/>
    </row>
    <row r="199" spans="2:2" x14ac:dyDescent="0.25">
      <c r="B199"/>
    </row>
    <row r="200" spans="2:2" x14ac:dyDescent="0.25">
      <c r="B200"/>
    </row>
    <row r="201" spans="2:2" x14ac:dyDescent="0.25">
      <c r="B201"/>
    </row>
    <row r="202" spans="2:2" x14ac:dyDescent="0.25">
      <c r="B202"/>
    </row>
  </sheetData>
  <phoneticPr fontId="5" type="noConversion"/>
  <conditionalFormatting sqref="A6 E23:AA23 A23 A25 D25:AA25 D32:AA33 A32:A33 A11:A20 G35:AA35 A35:A42 D37:AA42 D8:AA20 D6:AA6">
    <cfRule type="cellIs" dxfId="96" priority="140" operator="between">
      <formula>-0.0000000000001</formula>
      <formula>0.0000000000001</formula>
    </cfRule>
  </conditionalFormatting>
  <conditionalFormatting sqref="A6 A23 E23:AA23 D25:AA25 A25 A32:A33 D32:AA33 A11:A20 G35:AA35 A35:A42 D37:AA42">
    <cfRule type="cellIs" dxfId="95" priority="134" operator="between">
      <formula>-0.0000000000001</formula>
      <formula>0.0000000000001</formula>
    </cfRule>
  </conditionalFormatting>
  <conditionalFormatting sqref="A15 C15:O15">
    <cfRule type="cellIs" dxfId="94" priority="133" operator="between">
      <formula>-0.0000000000001</formula>
      <formula>0.0000000000001</formula>
    </cfRule>
  </conditionalFormatting>
  <conditionalFormatting sqref="P15:AA15">
    <cfRule type="cellIs" dxfId="93" priority="132" operator="between">
      <formula>-0.0000000000001</formula>
      <formula>0.0000000000001</formula>
    </cfRule>
  </conditionalFormatting>
  <conditionalFormatting sqref="C6:O6 A6">
    <cfRule type="cellIs" dxfId="92" priority="131" operator="between">
      <formula>-0.0000000000001</formula>
      <formula>0.0000000000001</formula>
    </cfRule>
  </conditionalFormatting>
  <conditionalFormatting sqref="P6:AA6">
    <cfRule type="cellIs" dxfId="91" priority="130" operator="between">
      <formula>-0.0000000000001</formula>
      <formula>0.0000000000001</formula>
    </cfRule>
  </conditionalFormatting>
  <conditionalFormatting sqref="C13">
    <cfRule type="cellIs" dxfId="90" priority="129" operator="between">
      <formula>-0.0000000000001</formula>
      <formula>0.0000000000001</formula>
    </cfRule>
  </conditionalFormatting>
  <conditionalFormatting sqref="C14">
    <cfRule type="cellIs" dxfId="89" priority="128" operator="between">
      <formula>-0.0000000000001</formula>
      <formula>0.0000000000001</formula>
    </cfRule>
  </conditionalFormatting>
  <conditionalFormatting sqref="A14 C14:O14">
    <cfRule type="cellIs" dxfId="88" priority="127" operator="between">
      <formula>-0.0000000000001</formula>
      <formula>0.0000000000001</formula>
    </cfRule>
  </conditionalFormatting>
  <conditionalFormatting sqref="P14:AA14">
    <cfRule type="cellIs" dxfId="87" priority="126" operator="between">
      <formula>-0.0000000000001</formula>
      <formula>0.0000000000001</formula>
    </cfRule>
  </conditionalFormatting>
  <conditionalFormatting sqref="C19:O20 A19:A20">
    <cfRule type="cellIs" dxfId="86" priority="125" operator="between">
      <formula>-0.0000000000001</formula>
      <formula>0.0000000000001</formula>
    </cfRule>
  </conditionalFormatting>
  <conditionalFormatting sqref="P19:AA20">
    <cfRule type="cellIs" dxfId="85" priority="124" operator="between">
      <formula>-0.0000000000001</formula>
      <formula>0.0000000000001</formula>
    </cfRule>
  </conditionalFormatting>
  <conditionalFormatting sqref="C40:O40 C42:AA42 C39:AA39 D38:AA38 A38:A42 D41:O42">
    <cfRule type="cellIs" dxfId="84" priority="123" operator="between">
      <formula>-0.0000000000001</formula>
      <formula>0.0000000000001</formula>
    </cfRule>
  </conditionalFormatting>
  <conditionalFormatting sqref="P40:AA40">
    <cfRule type="cellIs" dxfId="83" priority="122" operator="between">
      <formula>-0.0000000000001</formula>
      <formula>0.0000000000001</formula>
    </cfRule>
  </conditionalFormatting>
  <conditionalFormatting sqref="C41:O41 D42:O42">
    <cfRule type="cellIs" dxfId="82" priority="121" operator="between">
      <formula>-0.0000000000001</formula>
      <formula>0.0000000000001</formula>
    </cfRule>
  </conditionalFormatting>
  <conditionalFormatting sqref="P41:AA42">
    <cfRule type="cellIs" dxfId="81" priority="120" operator="between">
      <formula>-0.0000000000001</formula>
      <formula>0.0000000000001</formula>
    </cfRule>
  </conditionalFormatting>
  <conditionalFormatting sqref="C11:O11">
    <cfRule type="cellIs" dxfId="80" priority="119" operator="between">
      <formula>-0.0000000000001</formula>
      <formula>0.0000000000001</formula>
    </cfRule>
  </conditionalFormatting>
  <conditionalFormatting sqref="P11:AA11">
    <cfRule type="cellIs" dxfId="79" priority="118" operator="between">
      <formula>-0.0000000000001</formula>
      <formula>0.0000000000001</formula>
    </cfRule>
  </conditionalFormatting>
  <conditionalFormatting sqref="C11">
    <cfRule type="cellIs" dxfId="78" priority="117" operator="between">
      <formula>-0.0000000000001</formula>
      <formula>0.0000000000001</formula>
    </cfRule>
  </conditionalFormatting>
  <conditionalFormatting sqref="C12:O12 A12">
    <cfRule type="cellIs" dxfId="77" priority="114" operator="between">
      <formula>-0.0000000000001</formula>
      <formula>0.0000000000001</formula>
    </cfRule>
  </conditionalFormatting>
  <conditionalFormatting sqref="P12:AA12">
    <cfRule type="cellIs" dxfId="76" priority="113" operator="between">
      <formula>-0.0000000000001</formula>
      <formula>0.0000000000001</formula>
    </cfRule>
  </conditionalFormatting>
  <conditionalFormatting sqref="C12">
    <cfRule type="cellIs" dxfId="75" priority="112" operator="between">
      <formula>-0.0000000000001</formula>
      <formula>0.0000000000001</formula>
    </cfRule>
  </conditionalFormatting>
  <conditionalFormatting sqref="C16:O16 A16">
    <cfRule type="cellIs" dxfId="74" priority="111" operator="between">
      <formula>-0.0000000000001</formula>
      <formula>0.0000000000001</formula>
    </cfRule>
  </conditionalFormatting>
  <conditionalFormatting sqref="P16:AA16">
    <cfRule type="cellIs" dxfId="73" priority="110" operator="between">
      <formula>-0.0000000000001</formula>
      <formula>0.0000000000001</formula>
    </cfRule>
  </conditionalFormatting>
  <conditionalFormatting sqref="C16">
    <cfRule type="cellIs" dxfId="72" priority="109" operator="between">
      <formula>-0.0000000000001</formula>
      <formula>0.0000000000001</formula>
    </cfRule>
  </conditionalFormatting>
  <conditionalFormatting sqref="A38 C38:AA38">
    <cfRule type="cellIs" dxfId="71" priority="108" operator="between">
      <formula>-0.0000000000001</formula>
      <formula>0.0000000000001</formula>
    </cfRule>
  </conditionalFormatting>
  <conditionalFormatting sqref="D10:O10">
    <cfRule type="cellIs" dxfId="70" priority="106" operator="between">
      <formula>-0.0000000000001</formula>
      <formula>0.0000000000001</formula>
    </cfRule>
  </conditionalFormatting>
  <conditionalFormatting sqref="P10:AA10">
    <cfRule type="cellIs" dxfId="69" priority="105" operator="between">
      <formula>-0.0000000000001</formula>
      <formula>0.0000000000001</formula>
    </cfRule>
  </conditionalFormatting>
  <conditionalFormatting sqref="C33:AA33 A33">
    <cfRule type="cellIs" dxfId="68" priority="104" operator="between">
      <formula>-0.0000000000001</formula>
      <formula>0.0000000000001</formula>
    </cfRule>
  </conditionalFormatting>
  <conditionalFormatting sqref="P33:AA33">
    <cfRule type="cellIs" dxfId="67" priority="103" operator="between">
      <formula>-0.0000000000001</formula>
      <formula>0.0000000000001</formula>
    </cfRule>
  </conditionalFormatting>
  <conditionalFormatting sqref="C10">
    <cfRule type="cellIs" dxfId="66" priority="101" operator="between">
      <formula>-0.0000000000001</formula>
      <formula>0.0000000000001</formula>
    </cfRule>
  </conditionalFormatting>
  <conditionalFormatting sqref="A11">
    <cfRule type="cellIs" dxfId="65" priority="100" operator="between">
      <formula>-0.0000000000001</formula>
      <formula>0.0000000000001</formula>
    </cfRule>
  </conditionalFormatting>
  <conditionalFormatting sqref="A21 D21:AA21">
    <cfRule type="cellIs" dxfId="64" priority="97" operator="between">
      <formula>-0.0000000000001</formula>
      <formula>0.0000000000001</formula>
    </cfRule>
  </conditionalFormatting>
  <conditionalFormatting sqref="D21:AA21 A21">
    <cfRule type="cellIs" dxfId="63" priority="96" operator="between">
      <formula>-0.0000000000001</formula>
      <formula>0.0000000000001</formula>
    </cfRule>
  </conditionalFormatting>
  <conditionalFormatting sqref="C21:O21 A21">
    <cfRule type="cellIs" dxfId="62" priority="95" operator="between">
      <formula>-0.0000000000001</formula>
      <formula>0.0000000000001</formula>
    </cfRule>
  </conditionalFormatting>
  <conditionalFormatting sqref="P21:AA21">
    <cfRule type="cellIs" dxfId="61" priority="94" operator="between">
      <formula>-0.0000000000001</formula>
      <formula>0.0000000000001</formula>
    </cfRule>
  </conditionalFormatting>
  <conditionalFormatting sqref="E22:AA22 A22">
    <cfRule type="cellIs" dxfId="60" priority="78" operator="between">
      <formula>-0.0000000000001</formula>
      <formula>0.0000000000001</formula>
    </cfRule>
  </conditionalFormatting>
  <conditionalFormatting sqref="A22 E22:AA22">
    <cfRule type="cellIs" dxfId="59" priority="77" operator="between">
      <formula>-0.0000000000001</formula>
      <formula>0.0000000000001</formula>
    </cfRule>
  </conditionalFormatting>
  <conditionalFormatting sqref="D24:AA24 A24">
    <cfRule type="cellIs" dxfId="58" priority="76" operator="between">
      <formula>-0.0000000000001</formula>
      <formula>0.0000000000001</formula>
    </cfRule>
  </conditionalFormatting>
  <conditionalFormatting sqref="A24 D24:AA24">
    <cfRule type="cellIs" dxfId="57" priority="75" operator="between">
      <formula>-0.0000000000001</formula>
      <formula>0.0000000000001</formula>
    </cfRule>
  </conditionalFormatting>
  <conditionalFormatting sqref="A34 D34:AA34 D35:F35">
    <cfRule type="cellIs" dxfId="56" priority="74" operator="between">
      <formula>-0.0000000000001</formula>
      <formula>0.0000000000001</formula>
    </cfRule>
  </conditionalFormatting>
  <conditionalFormatting sqref="D34:AA34 A34 D35:F35">
    <cfRule type="cellIs" dxfId="55" priority="73" operator="between">
      <formula>-0.0000000000001</formula>
      <formula>0.0000000000001</formula>
    </cfRule>
  </conditionalFormatting>
  <conditionalFormatting sqref="A26:A27 D26:AA28 D30:AA30 A30">
    <cfRule type="cellIs" dxfId="54" priority="70" operator="between">
      <formula>-0.0000000000001</formula>
      <formula>0.0000000000001</formula>
    </cfRule>
  </conditionalFormatting>
  <conditionalFormatting sqref="D26:AA28 A26:A27 A30 D30:AA30">
    <cfRule type="cellIs" dxfId="53" priority="69" operator="between">
      <formula>-0.0000000000001</formula>
      <formula>0.0000000000001</formula>
    </cfRule>
  </conditionalFormatting>
  <conditionalFormatting sqref="C27:AA28 A27">
    <cfRule type="cellIs" dxfId="52" priority="68" operator="between">
      <formula>-0.0000000000001</formula>
      <formula>0.0000000000001</formula>
    </cfRule>
  </conditionalFormatting>
  <conditionalFormatting sqref="P27:AA28">
    <cfRule type="cellIs" dxfId="51" priority="67" operator="between">
      <formula>-0.0000000000001</formula>
      <formula>0.0000000000001</formula>
    </cfRule>
  </conditionalFormatting>
  <conditionalFormatting sqref="A29 D29:AA29">
    <cfRule type="cellIs" dxfId="50" priority="66" operator="between">
      <formula>-0.0000000000001</formula>
      <formula>0.0000000000001</formula>
    </cfRule>
  </conditionalFormatting>
  <conditionalFormatting sqref="D29:AA29 A29">
    <cfRule type="cellIs" dxfId="49" priority="65" operator="between">
      <formula>-0.0000000000001</formula>
      <formula>0.0000000000001</formula>
    </cfRule>
  </conditionalFormatting>
  <conditionalFormatting sqref="D40:O40">
    <cfRule type="cellIs" dxfId="48" priority="64" operator="between">
      <formula>-0.0000000000001</formula>
      <formula>0.0000000000001</formula>
    </cfRule>
  </conditionalFormatting>
  <conditionalFormatting sqref="D37:AA37">
    <cfRule type="cellIs" dxfId="47" priority="63" operator="between">
      <formula>-0.0000000000001</formula>
      <formula>0.0000000000001</formula>
    </cfRule>
  </conditionalFormatting>
  <conditionalFormatting sqref="A28">
    <cfRule type="cellIs" dxfId="46" priority="62" operator="between">
      <formula>-0.0000000000001</formula>
      <formula>0.0000000000001</formula>
    </cfRule>
  </conditionalFormatting>
  <conditionalFormatting sqref="A28">
    <cfRule type="cellIs" dxfId="45" priority="61" operator="between">
      <formula>-0.0000000000001</formula>
      <formula>0.0000000000001</formula>
    </cfRule>
  </conditionalFormatting>
  <conditionalFormatting sqref="A36">
    <cfRule type="cellIs" dxfId="44" priority="60" operator="between">
      <formula>-0.0000000000001</formula>
      <formula>0.0000000000001</formula>
    </cfRule>
  </conditionalFormatting>
  <conditionalFormatting sqref="A36">
    <cfRule type="cellIs" dxfId="43" priority="59" operator="between">
      <formula>-0.0000000000001</formula>
      <formula>0.0000000000001</formula>
    </cfRule>
  </conditionalFormatting>
  <conditionalFormatting sqref="A41">
    <cfRule type="cellIs" dxfId="42" priority="58" operator="between">
      <formula>-0.0000000000001</formula>
      <formula>0.0000000000001</formula>
    </cfRule>
  </conditionalFormatting>
  <conditionalFormatting sqref="A41">
    <cfRule type="cellIs" dxfId="41" priority="57" operator="between">
      <formula>-0.0000000000001</formula>
      <formula>0.0000000000001</formula>
    </cfRule>
  </conditionalFormatting>
  <conditionalFormatting sqref="D23">
    <cfRule type="cellIs" dxfId="40" priority="56" operator="between">
      <formula>-0.0000000000001</formula>
      <formula>0.0000000000001</formula>
    </cfRule>
  </conditionalFormatting>
  <conditionalFormatting sqref="D23">
    <cfRule type="cellIs" dxfId="39" priority="55" operator="between">
      <formula>-0.0000000000001</formula>
      <formula>0.0000000000001</formula>
    </cfRule>
  </conditionalFormatting>
  <conditionalFormatting sqref="D22">
    <cfRule type="cellIs" dxfId="38" priority="54" operator="between">
      <formula>-0.0000000000001</formula>
      <formula>0.0000000000001</formula>
    </cfRule>
  </conditionalFormatting>
  <conditionalFormatting sqref="D22">
    <cfRule type="cellIs" dxfId="37" priority="53" operator="between">
      <formula>-0.0000000000001</formula>
      <formula>0.0000000000001</formula>
    </cfRule>
  </conditionalFormatting>
  <conditionalFormatting sqref="A8:A10">
    <cfRule type="cellIs" dxfId="36" priority="51" operator="between">
      <formula>-0.0000000000001</formula>
      <formula>0.0000000000001</formula>
    </cfRule>
  </conditionalFormatting>
  <conditionalFormatting sqref="A8:A10">
    <cfRule type="cellIs" dxfId="35" priority="50" operator="between">
      <formula>-0.0000000000001</formula>
      <formula>0.0000000000001</formula>
    </cfRule>
  </conditionalFormatting>
  <conditionalFormatting sqref="A5:A6">
    <cfRule type="cellIs" dxfId="34" priority="44" operator="between">
      <formula>-0.0000000000001</formula>
      <formula>0.0000000000001</formula>
    </cfRule>
  </conditionalFormatting>
  <conditionalFormatting sqref="A5:A6">
    <cfRule type="cellIs" dxfId="33" priority="43" operator="between">
      <formula>-0.0000000000001</formula>
      <formula>0.0000000000001</formula>
    </cfRule>
  </conditionalFormatting>
  <conditionalFormatting sqref="C5:C6 A5:A6">
    <cfRule type="cellIs" dxfId="32" priority="42" operator="between">
      <formula>-0.0000000000001</formula>
      <formula>0.0000000000001</formula>
    </cfRule>
  </conditionalFormatting>
  <conditionalFormatting sqref="A9">
    <cfRule type="cellIs" dxfId="31" priority="40" operator="between">
      <formula>-0.0000000000001</formula>
      <formula>0.0000000000001</formula>
    </cfRule>
  </conditionalFormatting>
  <conditionalFormatting sqref="A9">
    <cfRule type="cellIs" dxfId="30" priority="39" operator="between">
      <formula>-0.0000000000001</formula>
      <formula>0.0000000000001</formula>
    </cfRule>
  </conditionalFormatting>
  <conditionalFormatting sqref="C9 A9">
    <cfRule type="cellIs" dxfId="29" priority="38" operator="between">
      <formula>-0.0000000000001</formula>
      <formula>0.0000000000001</formula>
    </cfRule>
  </conditionalFormatting>
  <conditionalFormatting sqref="D50:AA55">
    <cfRule type="colorScale" priority="35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D58:AA88">
    <cfRule type="colorScale" priority="36">
      <colorScale>
        <cfvo type="min"/>
        <cfvo type="max"/>
        <color rgb="FFFCFCFF"/>
        <color rgb="FF63BE7B"/>
      </colorScale>
    </cfRule>
  </conditionalFormatting>
  <conditionalFormatting sqref="A58:A86">
    <cfRule type="colorScale" priority="34">
      <colorScale>
        <cfvo type="min"/>
        <cfvo type="max"/>
        <color rgb="FFFCFCFF"/>
        <color rgb="FF63BE7B"/>
      </colorScale>
    </cfRule>
  </conditionalFormatting>
  <conditionalFormatting sqref="A50:A55">
    <cfRule type="colorScale" priority="33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58:A88 D58:AA88">
    <cfRule type="cellIs" dxfId="28" priority="32" operator="between">
      <formula>-0.0000000000001</formula>
      <formula>0.0000000000001</formula>
    </cfRule>
  </conditionalFormatting>
  <conditionalFormatting sqref="A90:A120">
    <cfRule type="colorScale" priority="31">
      <colorScale>
        <cfvo type="min"/>
        <cfvo type="percentile" val="50"/>
        <cfvo type="max"/>
        <color theme="0"/>
        <color rgb="FFFCFCFF"/>
        <color theme="4" tint="0.59999389629810485"/>
      </colorScale>
    </cfRule>
  </conditionalFormatting>
  <conditionalFormatting sqref="D9:AA9">
    <cfRule type="cellIs" dxfId="27" priority="30" operator="between">
      <formula>-0.0000000000001</formula>
      <formula>0.0000000000001</formula>
    </cfRule>
  </conditionalFormatting>
  <conditionalFormatting sqref="D9:AA9">
    <cfRule type="cellIs" dxfId="26" priority="29" operator="between">
      <formula>-0.0000000000001</formula>
      <formula>0.0000000000001</formula>
    </cfRule>
  </conditionalFormatting>
  <conditionalFormatting sqref="D36:AA36">
    <cfRule type="cellIs" dxfId="25" priority="26" operator="between">
      <formula>-0.0000000000001</formula>
      <formula>0.0000000000001</formula>
    </cfRule>
  </conditionalFormatting>
  <conditionalFormatting sqref="D36:AA36">
    <cfRule type="cellIs" dxfId="24" priority="25" operator="between">
      <formula>-0.0000000000001</formula>
      <formula>0.0000000000001</formula>
    </cfRule>
  </conditionalFormatting>
  <conditionalFormatting sqref="D36:AA36">
    <cfRule type="cellIs" dxfId="23" priority="24" operator="between">
      <formula>-0.0000000000001</formula>
      <formula>0.0000000000001</formula>
    </cfRule>
  </conditionalFormatting>
  <conditionalFormatting sqref="A37">
    <cfRule type="cellIs" dxfId="22" priority="23" operator="between">
      <formula>-0.0000000000001</formula>
      <formula>0.0000000000001</formula>
    </cfRule>
  </conditionalFormatting>
  <conditionalFormatting sqref="A35">
    <cfRule type="cellIs" dxfId="21" priority="22" operator="between">
      <formula>-0.0000000000001</formula>
      <formula>0.0000000000001</formula>
    </cfRule>
  </conditionalFormatting>
  <conditionalFormatting sqref="A35">
    <cfRule type="cellIs" dxfId="20" priority="21" operator="between">
      <formula>-0.0000000000001</formula>
      <formula>0.0000000000001</formula>
    </cfRule>
  </conditionalFormatting>
  <conditionalFormatting sqref="A40">
    <cfRule type="cellIs" dxfId="19" priority="20" operator="between">
      <formula>-0.0000000000001</formula>
      <formula>0.0000000000001</formula>
    </cfRule>
  </conditionalFormatting>
  <conditionalFormatting sqref="A40">
    <cfRule type="cellIs" dxfId="18" priority="19" operator="between">
      <formula>-0.0000000000001</formula>
      <formula>0.0000000000001</formula>
    </cfRule>
  </conditionalFormatting>
  <conditionalFormatting sqref="A7">
    <cfRule type="cellIs" dxfId="17" priority="18" operator="between">
      <formula>-0.0000000000001</formula>
      <formula>0.0000000000001</formula>
    </cfRule>
  </conditionalFormatting>
  <conditionalFormatting sqref="A7">
    <cfRule type="cellIs" dxfId="16" priority="17" operator="between">
      <formula>-0.0000000000001</formula>
      <formula>0.0000000000001</formula>
    </cfRule>
  </conditionalFormatting>
  <conditionalFormatting sqref="C7 A7">
    <cfRule type="cellIs" dxfId="15" priority="16" operator="between">
      <formula>-0.0000000000001</formula>
      <formula>0.0000000000001</formula>
    </cfRule>
  </conditionalFormatting>
  <conditionalFormatting sqref="D7:AA7">
    <cfRule type="cellIs" dxfId="14" priority="15" operator="between">
      <formula>-0.0000000000001</formula>
      <formula>0.0000000000001</formula>
    </cfRule>
  </conditionalFormatting>
  <conditionalFormatting sqref="D7:AA7">
    <cfRule type="cellIs" dxfId="13" priority="14" operator="between">
      <formula>-0.0000000000001</formula>
      <formula>0.0000000000001</formula>
    </cfRule>
  </conditionalFormatting>
  <conditionalFormatting sqref="D7:O7">
    <cfRule type="cellIs" dxfId="12" priority="13" operator="between">
      <formula>-0.0000000000001</formula>
      <formula>0.0000000000001</formula>
    </cfRule>
  </conditionalFormatting>
  <conditionalFormatting sqref="P7:AA7">
    <cfRule type="cellIs" dxfId="11" priority="12" operator="between">
      <formula>-0.0000000000001</formula>
      <formula>0.0000000000001</formula>
    </cfRule>
  </conditionalFormatting>
  <conditionalFormatting sqref="D31:AA31 A31">
    <cfRule type="cellIs" dxfId="10" priority="11" operator="between">
      <formula>-0.0000000000001</formula>
      <formula>0.0000000000001</formula>
    </cfRule>
  </conditionalFormatting>
  <conditionalFormatting sqref="A31 D31:AA31">
    <cfRule type="cellIs" dxfId="9" priority="10" operator="between">
      <formula>-0.0000000000001</formula>
      <formula>0.0000000000001</formula>
    </cfRule>
  </conditionalFormatting>
  <conditionalFormatting sqref="A43:A46">
    <cfRule type="cellIs" dxfId="8" priority="6" operator="greaterThan">
      <formula>0.0000000000001</formula>
    </cfRule>
    <cfRule type="cellIs" dxfId="7" priority="9" operator="between">
      <formula>-0.0000000000001</formula>
      <formula>0.0000000000001</formula>
    </cfRule>
  </conditionalFormatting>
  <conditionalFormatting sqref="A43:A46">
    <cfRule type="cellIs" dxfId="6" priority="8" operator="between">
      <formula>-0.0000000000001</formula>
      <formula>0.0000000000001</formula>
    </cfRule>
  </conditionalFormatting>
  <conditionalFormatting sqref="A43:A46">
    <cfRule type="cellIs" dxfId="5" priority="7" operator="between">
      <formula>-0.0000000000001</formula>
      <formula>0.0000000000001</formula>
    </cfRule>
  </conditionalFormatting>
  <conditionalFormatting sqref="D43:AA46">
    <cfRule type="cellIs" dxfId="4" priority="2" operator="greaterThan">
      <formula>0.000000000001</formula>
    </cfRule>
    <cfRule type="cellIs" dxfId="3" priority="5" operator="between">
      <formula>-0.0000000000001</formula>
      <formula>0.0000000000001</formula>
    </cfRule>
  </conditionalFormatting>
  <conditionalFormatting sqref="D43:AA46">
    <cfRule type="cellIs" dxfId="2" priority="4" operator="between">
      <formula>-0.0000000000001</formula>
      <formula>0.0000000000001</formula>
    </cfRule>
  </conditionalFormatting>
  <conditionalFormatting sqref="D43:AA46">
    <cfRule type="cellIs" dxfId="1" priority="3" operator="between">
      <formula>-0.0000000000001</formula>
      <formula>0.0000000000001</formula>
    </cfRule>
  </conditionalFormatting>
  <conditionalFormatting sqref="B1">
    <cfRule type="cellIs" dxfId="0" priority="1" operator="greaterThan">
      <formula>0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Overblik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dcterms:created xsi:type="dcterms:W3CDTF">2022-01-21T15:24:22Z</dcterms:created>
  <dcterms:modified xsi:type="dcterms:W3CDTF">2022-01-24T12:53:57Z</dcterms:modified>
</cp:coreProperties>
</file>