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E672F507-63BC-4A4C-A064-4AB404944AF2}" xr6:coauthVersionLast="47" xr6:coauthVersionMax="47" xr10:uidLastSave="{00000000-0000-0000-0000-000000000000}"/>
  <bookViews>
    <workbookView xWindow="28680" yWindow="-120" windowWidth="29040" windowHeight="17790" xr2:uid="{43F97B8D-A1C5-4A28-82B2-29FE10E7B610}"/>
  </bookViews>
  <sheets>
    <sheet name="Overblik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A57" i="1"/>
  <c r="A56" i="1"/>
  <c r="A55" i="1"/>
  <c r="A54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5" i="1"/>
  <c r="A64" i="1"/>
  <c r="A63" i="1"/>
  <c r="A62" i="1"/>
  <c r="A61" i="1"/>
  <c r="A6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5" authorId="0" shapeId="0" xr:uid="{6E8AECF2-8A4B-430F-87C3-3BF9134E43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<sst xmlns="http://schemas.openxmlformats.org/spreadsheetml/2006/main" count="243" uniqueCount="94">
  <si>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</si>
  <si>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</si>
  <si>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</si>
  <si>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</si>
  <si>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</si>
  <si>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</si>
  <si>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</si>
  <si>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</si>
  <si>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</si>
  <si>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</si>
  <si>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</si>
  <si>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</si>
  <si>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</si>
  <si>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</si>
  <si>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</si>
  <si>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</si>
  <si>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</si>
  <si>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</si>
  <si>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</si>
  <si>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</si>
  <si>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</si>
  <si>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</si>
  <si>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</si>
  <si>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</si>
  <si>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</si>
  <si>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</si>
  <si>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</si>
  <si>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</si>
  <si>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</si>
  <si>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</si>
  <si>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</si>
  <si>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</si>
  <si>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</si>
  <si>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</si>
  <si>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</si>
  <si>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</si>
  <si>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</si>
  <si>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</si>
  <si>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</si>
  <si>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Varmemængder</t>
  </si>
  <si>
    <t>Ovn2</t>
  </si>
  <si>
    <t>Ovn3</t>
  </si>
  <si>
    <t>FlisK</t>
  </si>
  <si>
    <t>NS</t>
  </si>
  <si>
    <t>Cooler</t>
  </si>
  <si>
    <t>PeakK</t>
  </si>
  <si>
    <t>Brændselsforbrug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</si>
  <si>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</si>
  <si>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</si>
  <si>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</si>
  <si>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</si>
  <si>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</si>
  <si>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</si>
  <si>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</si>
  <si>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</si>
  <si>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</si>
  <si>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</si>
  <si>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</si>
  <si>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</si>
  <si>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</si>
  <si>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</si>
  <si>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</si>
  <si>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</si>
  <si>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</si>
  <si>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</si>
  <si>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</si>
  <si>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</si>
  <si>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</si>
  <si>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</si>
  <si>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</si>
  <si>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</si>
  <si>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</si>
  <si>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</si>
  <si>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</si>
  <si>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</si>
  <si>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</si>
  <si>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Brændselsindkomst</t>
  </si>
  <si>
    <t>scen0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</si>
  <si>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</si>
  <si>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</si>
  <si>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</si>
  <si>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</si>
  <si>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</si>
  <si>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</si>
  <si>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</si>
  <si>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</si>
  <si>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</si>
  <si>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</si>
  <si>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</si>
  <si>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</si>
  <si>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scen2</t>
  </si>
  <si>
    <t>Elpris</t>
  </si>
  <si>
    <t>ETS</t>
  </si>
  <si>
    <t>Nøgletal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</si>
</sst>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0.0\ %\ "/>
    <numFmt numFmtId="171" formatCode="_-* #,##0_-;\-#,##0_-;_-* &quot;-&quot;??_-;_-@_-"/>
    <numFmt numFmtId="172" formatCode="_-#,##0,\ ;\-#,##0,\ ;_-* &quot;-&quot;??\ _k_r_._-;_-@_-"/>
    <numFmt numFmtId="173" formatCode="[$-F400]h:mm:ss\ AM/PM"/>
    <numFmt numFmtId="174" formatCode="yyyy/mm/dd\ hh:mm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2" fillId="2" borderId="1" xfId="0" applyFont="1" applyFill="1" applyBorder="1" applyAlignment="1">
      <alignment horizontal="left" indent="1"/>
    </xf>
    <xf numFmtId="164" fontId="0" fillId="0" borderId="3" xfId="0" applyNumberFormat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2" fontId="0" fillId="0" borderId="0" xfId="0" applyNumberFormat="1"/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166" fontId="2" fillId="0" borderId="0" xfId="1" applyNumberFormat="1" applyFont="1"/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168" fontId="2" fillId="0" borderId="0" xfId="1" applyNumberFormat="1" applyFont="1"/>
    <xf numFmtId="168" fontId="1" fillId="0" borderId="0" xfId="1" applyNumberFormat="1" applyFont="1"/>
    <xf numFmtId="170" fontId="0" fillId="0" borderId="0" xfId="2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1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2" fontId="0" fillId="0" borderId="6" xfId="1" applyNumberFormat="1" applyFont="1" applyBorder="1"/>
    <xf numFmtId="172" fontId="0" fillId="0" borderId="0" xfId="1" applyNumberFormat="1" applyFont="1" applyBorder="1" applyAlignment="1">
      <alignment horizontal="left"/>
    </xf>
    <xf numFmtId="0" fontId="0" fillId="0" borderId="0" xfId="0" quotePrefix="1"/>
    <xf numFmtId="0" fontId="8" fillId="2" borderId="2" xfId="0" quotePrefix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3" fontId="0" fillId="0" borderId="0" xfId="0" applyNumberFormat="1"/>
    <xf numFmtId="173" fontId="0" fillId="0" borderId="0" xfId="0" applyNumberFormat="1" applyAlignment="1">
      <alignment horizontal="center"/>
    </xf>
    <xf numFmtId="164" fontId="10" fillId="0" borderId="4" xfId="0" quotePrefix="1" applyNumberFormat="1" applyFont="1" applyBorder="1" applyAlignment="1">
      <alignment horizontal="center"/>
    </xf>
    <xf numFmtId="164" fontId="10" fillId="0" borderId="0" xfId="0" quotePrefix="1" applyNumberFormat="1" applyFont="1" applyBorder="1" applyAlignment="1">
      <alignment horizontal="center"/>
    </xf>
    <xf numFmtId="164" fontId="10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4" fontId="11" fillId="0" borderId="0" xfId="0" applyNumberFormat="1" applyFont="1"/>
    <xf numFmtId="2" fontId="12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2" fontId="0" fillId="0" borderId="0" xfId="0" applyNumberFormat="1" applyAlignment="1">
      <alignment horizontal="left" indent="1"/>
    </xf>
    <xf numFmtId="2" fontId="0" fillId="0" borderId="0" xfId="0" quotePrefix="1" applyNumberFormat="1"/>
  </cellXfs>
  <cellStyles count="3">
    <cellStyle name="Comma" xfId="1" builtinId="3"/>
    <cellStyle name="Normal" xfId="0" builtinId="0"/>
    <cellStyle name="Percent" xfId="2" builtinId="5"/>
  </cellStyles>
  <dxfs count="101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12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C8" sqref="C8"/>
    </sheetView>
  </sheetViews>
  <sheetFormatPr defaultRowHeight="15" outlineLevelRow="1" outlineLevelCol="1" x14ac:dyDescent="0.25"/>
  <cols>
    <col min="1" max="1" width="27.28515625" bestFit="1" customWidth="1"/>
    <col min="2" max="2" width="12.7109375" style="6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54">
        <v>0</v>
      </c>
      <c r="C1" s="2">
        <v>44586.949067314818</v>
      </c>
      <c r="D1" s="47"/>
      <c r="E1" s="48"/>
      <c r="F1" s="48"/>
      <c r="G1" s="49"/>
      <c r="H1" s="49"/>
      <c r="I1" s="49"/>
      <c r="J1" s="53" t="str">
        <f>IF($B$1&gt;0,"Virtuelle ressourcer er blevet brugt","")</f>
        <v/>
      </c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</row>
    <row r="2" spans="1:27" s="44" customFormat="1" x14ac:dyDescent="0.25">
      <c r="A2" s="3" t="s">
        <v>1</v>
      </c>
      <c r="B2" s="4">
        <v>44197</v>
      </c>
      <c r="C2" s="5">
        <v>44531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</row>
    <row r="3" spans="1:27" x14ac:dyDescent="0.25">
      <c r="D3" s="45"/>
    </row>
    <row r="4" spans="1:27" s="26" customFormat="1" ht="18.75" x14ac:dyDescent="0.3">
      <c r="A4" s="41"/>
      <c r="B4" s="41" t="s">
        <v>3</v>
      </c>
      <c r="C4" s="41"/>
      <c r="D4" s="40" t="s">
        <v>78</v>
      </c>
      <c r="E4" s="40" t="s">
        <v>90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s="11" customFormat="1" outlineLevel="1" x14ac:dyDescent="0.25">
      <c r="B5" s="57"/>
      <c r="C5" s="58" t="s">
        <v>91</v>
      </c>
      <c r="D5" s="11">
        <v>200</v>
      </c>
      <c r="E5" s="11">
        <v>400</v>
      </c>
    </row>
    <row r="6" spans="1:27" s="11" customFormat="1" outlineLevel="1" x14ac:dyDescent="0.25">
      <c r="B6" s="57"/>
      <c r="C6" s="58" t="s">
        <v>92</v>
      </c>
      <c r="D6" s="11">
        <v>600</v>
      </c>
      <c r="E6" s="11">
        <v>600</v>
      </c>
    </row>
    <row r="7" spans="1:27" outlineLevel="1" x14ac:dyDescent="0.25">
      <c r="D7" s="45"/>
    </row>
    <row r="8" spans="1:27" outlineLevel="1" x14ac:dyDescent="0.25">
      <c r="D8" s="45"/>
    </row>
    <row r="9" spans="1:27" outlineLevel="1" x14ac:dyDescent="0.25">
      <c r="D9" s="45"/>
    </row>
    <row r="10" spans="1:27" outlineLevel="1" x14ac:dyDescent="0.25">
      <c r="D10" s="45"/>
    </row>
    <row r="11" spans="1:27" outlineLevel="1" x14ac:dyDescent="0.25">
      <c r="D11" s="45"/>
    </row>
    <row r="12" spans="1:27" outlineLevel="1" x14ac:dyDescent="0.25">
      <c r="D12" s="45"/>
    </row>
    <row r="13" spans="1:27" outlineLevel="1" x14ac:dyDescent="0.25">
      <c r="D13" s="45"/>
    </row>
    <row r="14" spans="1:27" s="26" customFormat="1" ht="18.75" x14ac:dyDescent="0.3">
      <c r="A14" s="41"/>
      <c r="B14" s="41" t="s">
        <v>3</v>
      </c>
      <c r="C14" s="41" t="s">
        <v>93</v>
      </c>
      <c r="D14" s="40" t="s">
        <v>77</v>
      </c>
      <c r="E14" s="40" t="s">
        <v>78</v>
      </c>
      <c r="F14" s="40" t="s">
        <v>90</v>
      </c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outlineLevel="1" x14ac:dyDescent="0.25">
      <c r="A15" s="8"/>
      <c r="B15" s="14"/>
      <c r="C15" s="10" t="s">
        <v>0</v>
      </c>
      <c r="D15" s="46">
        <v>0.94889931713260012</v>
      </c>
      <c r="E15" s="46">
        <v>0.94895116898260312</v>
      </c>
      <c r="F15" s="46">
        <v>0.94903787037037546</v>
      </c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  <row r="16" spans="1:27" outlineLevel="1" x14ac:dyDescent="0.25">
      <c r="A16" s="8"/>
      <c r="B16" s="9" t="s">
        <v>4</v>
      </c>
      <c r="C16" s="10" t="s">
        <v>5</v>
      </c>
      <c r="D16" s="8">
        <v>240000</v>
      </c>
      <c r="E16" s="8">
        <v>240000</v>
      </c>
      <c r="F16" s="8">
        <v>240000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</row>
    <row r="17" spans="1:27" outlineLevel="1" x14ac:dyDescent="0.25">
      <c r="A17" s="8"/>
      <c r="B17" s="14" t="s">
        <v>2</v>
      </c>
      <c r="C17" s="10" t="s">
        <v>83</v>
      </c>
      <c r="D17" s="13">
        <v>-4682864.7861977071</v>
      </c>
      <c r="E17" s="13">
        <v>-30305011.959347531</v>
      </c>
      <c r="F17" s="13">
        <v>-23536018.065758906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1:27" outlineLevel="1" x14ac:dyDescent="0.25">
      <c r="A18" s="11"/>
      <c r="B18" s="9" t="s">
        <v>6</v>
      </c>
      <c r="C18" s="10" t="s">
        <v>84</v>
      </c>
      <c r="D18" s="12">
        <v>169.08166929284999</v>
      </c>
      <c r="E18" s="12">
        <v>1486.392250798822</v>
      </c>
      <c r="F18" s="12">
        <v>1170.2240833642757</v>
      </c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1:27" outlineLevel="1" x14ac:dyDescent="0.25">
      <c r="A19" s="8"/>
      <c r="B19" s="14" t="s">
        <v>2</v>
      </c>
      <c r="C19" s="15" t="s">
        <v>85</v>
      </c>
      <c r="D19" s="13">
        <v>-2868464.7861977071</v>
      </c>
      <c r="E19" s="13">
        <v>-28490611.959347531</v>
      </c>
      <c r="F19" s="13">
        <v>-21721618.065758906</v>
      </c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1:27" outlineLevel="1" x14ac:dyDescent="0.25">
      <c r="A20" s="11"/>
      <c r="B20" s="9" t="s">
        <v>6</v>
      </c>
      <c r="C20" s="15" t="s">
        <v>86</v>
      </c>
      <c r="D20" s="12">
        <v>103.71799206238117</v>
      </c>
      <c r="E20" s="12">
        <v>1468.1000686751115</v>
      </c>
      <c r="F20" s="12">
        <v>1143.0247654894333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outlineLevel="1" x14ac:dyDescent="0.25">
      <c r="A21" s="13"/>
      <c r="B21" s="14" t="s">
        <v>2</v>
      </c>
      <c r="C21" s="15" t="s">
        <v>7</v>
      </c>
      <c r="D21" s="13">
        <v>-2605328.0313742533</v>
      </c>
      <c r="E21" s="13">
        <v>-28245728.28982823</v>
      </c>
      <c r="F21" s="13">
        <v>-21486615.164495297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1:27" outlineLevel="1" x14ac:dyDescent="0.25">
      <c r="A22" s="16"/>
      <c r="B22" s="14" t="s">
        <v>2</v>
      </c>
      <c r="C22" s="17" t="s">
        <v>8</v>
      </c>
      <c r="D22" s="13">
        <v>72815599.037176222</v>
      </c>
      <c r="E22" s="13">
        <v>53544160.060197391</v>
      </c>
      <c r="F22" s="13">
        <v>60214880.529439546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outlineLevel="1" x14ac:dyDescent="0.25">
      <c r="A23" s="13"/>
      <c r="B23" s="14" t="s">
        <v>2</v>
      </c>
      <c r="C23" s="18" t="s">
        <v>9</v>
      </c>
      <c r="D23" s="13">
        <v>45659736.761599891</v>
      </c>
      <c r="E23" s="13">
        <v>45659736.761599891</v>
      </c>
      <c r="F23" s="13">
        <v>45659736.761599891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1:27" outlineLevel="1" x14ac:dyDescent="0.25">
      <c r="A24" s="13"/>
      <c r="B24" s="14" t="s">
        <v>2</v>
      </c>
      <c r="C24" s="18" t="s">
        <v>10</v>
      </c>
      <c r="D24" s="13">
        <v>1484169.5771052877</v>
      </c>
      <c r="E24" s="13">
        <v>1566909.6299864633</v>
      </c>
      <c r="F24" s="13">
        <v>1545082.2431990837</v>
      </c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1:27" outlineLevel="1" x14ac:dyDescent="0.25">
      <c r="A25" s="13"/>
      <c r="B25" s="14" t="s">
        <v>2</v>
      </c>
      <c r="C25" s="18" t="s">
        <v>11</v>
      </c>
      <c r="D25" s="13">
        <v>25671692.698471051</v>
      </c>
      <c r="E25" s="13">
        <v>6317513.6686110487</v>
      </c>
      <c r="F25" s="13">
        <v>13010061.524640577</v>
      </c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1:27" outlineLevel="1" x14ac:dyDescent="0.25">
      <c r="A26" s="13"/>
      <c r="B26" s="14" t="s">
        <v>2</v>
      </c>
      <c r="C26" s="18" t="s">
        <v>87</v>
      </c>
      <c r="D26" s="13">
        <v>1.1999999999999997E-13</v>
      </c>
      <c r="E26" s="13">
        <v>1.1999999999999997E-13</v>
      </c>
      <c r="F26" s="13">
        <v>1.1999999999999997E-13</v>
      </c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27" outlineLevel="1" x14ac:dyDescent="0.25">
      <c r="A27" s="16"/>
      <c r="B27" s="14" t="s">
        <v>2</v>
      </c>
      <c r="C27" s="17" t="s">
        <v>12</v>
      </c>
      <c r="D27" s="13">
        <v>75420927.068550482</v>
      </c>
      <c r="E27" s="13">
        <v>81789888.350025624</v>
      </c>
      <c r="F27" s="13">
        <v>81701495.693934843</v>
      </c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1:27" outlineLevel="1" x14ac:dyDescent="0.25">
      <c r="A28" s="13"/>
      <c r="B28" s="14" t="s">
        <v>2</v>
      </c>
      <c r="C28" s="18" t="s">
        <v>13</v>
      </c>
      <c r="D28" s="13">
        <v>11182847.286072511</v>
      </c>
      <c r="E28" s="13">
        <v>10651308.992985878</v>
      </c>
      <c r="F28" s="13">
        <v>10688500.367810223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outlineLevel="1" x14ac:dyDescent="0.25">
      <c r="A29" s="13"/>
      <c r="B29" s="14" t="s">
        <v>2</v>
      </c>
      <c r="C29" s="18" t="s">
        <v>14</v>
      </c>
      <c r="D29" s="13">
        <v>7526126.9488813384</v>
      </c>
      <c r="E29" s="13">
        <v>6831552.3446933515</v>
      </c>
      <c r="F29" s="13">
        <v>6996191.9482796714</v>
      </c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1:27" outlineLevel="1" x14ac:dyDescent="0.25">
      <c r="A30" s="13"/>
      <c r="B30" s="14" t="s">
        <v>2</v>
      </c>
      <c r="C30" s="18" t="s">
        <v>15</v>
      </c>
      <c r="D30" s="13">
        <v>41826817.360398546</v>
      </c>
      <c r="E30" s="13">
        <v>42510611.4323126</v>
      </c>
      <c r="F30" s="13">
        <v>42220387.797811151</v>
      </c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outlineLevel="1" x14ac:dyDescent="0.25">
      <c r="A31" s="13"/>
      <c r="B31" s="14" t="s">
        <v>2</v>
      </c>
      <c r="C31" s="18" t="s">
        <v>16</v>
      </c>
      <c r="D31" s="13">
        <v>14885135.473198075</v>
      </c>
      <c r="E31" s="13">
        <v>21796415.580033787</v>
      </c>
      <c r="F31" s="13">
        <v>21796415.58003379</v>
      </c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1:27" outlineLevel="1" x14ac:dyDescent="0.25">
      <c r="A32" s="13"/>
      <c r="B32" s="14" t="s">
        <v>2</v>
      </c>
      <c r="C32" s="18" t="s">
        <v>17</v>
      </c>
      <c r="D32" s="13">
        <v>1.1999999999999997E-13</v>
      </c>
      <c r="E32" s="13">
        <v>1.1999999999999997E-13</v>
      </c>
      <c r="F32" s="13">
        <v>1.1999999999999997E-13</v>
      </c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outlineLevel="1" x14ac:dyDescent="0.25">
      <c r="A33" s="19"/>
      <c r="B33" s="9" t="s">
        <v>18</v>
      </c>
      <c r="C33" s="15" t="s">
        <v>19</v>
      </c>
      <c r="D33" s="19">
        <v>36327.359300056312</v>
      </c>
      <c r="E33" s="19">
        <v>36327.359300056312</v>
      </c>
      <c r="F33" s="19">
        <v>36327.359300056312</v>
      </c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</row>
    <row r="34" spans="1:27" outlineLevel="1" x14ac:dyDescent="0.25">
      <c r="A34" s="19"/>
      <c r="B34" s="9" t="s">
        <v>18</v>
      </c>
      <c r="C34" s="15" t="s">
        <v>20</v>
      </c>
      <c r="D34" s="19">
        <v>36327.359300056312</v>
      </c>
      <c r="E34" s="19">
        <v>36327.359300056312</v>
      </c>
      <c r="F34" s="19">
        <v>36327.359300056312</v>
      </c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</row>
    <row r="35" spans="1:27" outlineLevel="1" x14ac:dyDescent="0.25">
      <c r="A35" s="19"/>
      <c r="B35" s="9" t="s">
        <v>21</v>
      </c>
      <c r="C35" s="15" t="s">
        <v>22</v>
      </c>
      <c r="D35" s="19">
        <v>42219.454013338989</v>
      </c>
      <c r="E35" s="19">
        <v>39193.41815050989</v>
      </c>
      <c r="F35" s="19">
        <v>39814.896274344894</v>
      </c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outlineLevel="1" x14ac:dyDescent="0.25">
      <c r="A36" s="19"/>
      <c r="B36" s="9" t="s">
        <v>21</v>
      </c>
      <c r="C36" s="15" t="s">
        <v>23</v>
      </c>
      <c r="D36" s="19">
        <v>35258.248457783433</v>
      </c>
      <c r="E36" s="19">
        <v>32232.212594954333</v>
      </c>
      <c r="F36" s="19">
        <v>32853.690718789338</v>
      </c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1:27" outlineLevel="1" x14ac:dyDescent="0.25">
      <c r="A37" s="20"/>
      <c r="B37" s="9" t="s">
        <v>18</v>
      </c>
      <c r="C37" s="17" t="s">
        <v>24</v>
      </c>
      <c r="D37" s="8">
        <v>658232</v>
      </c>
      <c r="E37" s="8">
        <v>658232</v>
      </c>
      <c r="F37" s="8">
        <v>658232</v>
      </c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</row>
    <row r="38" spans="1:27" outlineLevel="1" x14ac:dyDescent="0.25">
      <c r="A38" s="19"/>
      <c r="B38" s="9" t="s">
        <v>18</v>
      </c>
      <c r="C38" s="18" t="s">
        <v>25</v>
      </c>
      <c r="D38" s="8">
        <v>103730.29232804905</v>
      </c>
      <c r="E38" s="8">
        <v>97977.759015854128</v>
      </c>
      <c r="F38" s="8">
        <v>99058.590535567171</v>
      </c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</row>
    <row r="39" spans="1:27" outlineLevel="1" x14ac:dyDescent="0.25">
      <c r="A39" s="19"/>
      <c r="B39" s="9" t="s">
        <v>18</v>
      </c>
      <c r="C39" s="18" t="s">
        <v>26</v>
      </c>
      <c r="D39" s="8">
        <v>254.33298847917408</v>
      </c>
      <c r="E39" s="8">
        <v>254.33298847917408</v>
      </c>
      <c r="F39" s="8">
        <v>254.33298847917408</v>
      </c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</row>
    <row r="40" spans="1:27" outlineLevel="1" x14ac:dyDescent="0.25">
      <c r="A40" s="19"/>
      <c r="B40" s="9" t="s">
        <v>18</v>
      </c>
      <c r="C40" s="18" t="s">
        <v>27</v>
      </c>
      <c r="D40" s="8">
        <v>1.1999999999999997E-13</v>
      </c>
      <c r="E40" s="8">
        <v>1.1999999999999997E-13</v>
      </c>
      <c r="F40" s="8">
        <v>1.1999999999999997E-13</v>
      </c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</row>
    <row r="41" spans="1:27" outlineLevel="1" x14ac:dyDescent="0.25">
      <c r="A41" s="20"/>
      <c r="B41" s="9" t="s">
        <v>4</v>
      </c>
      <c r="C41" s="17" t="s">
        <v>28</v>
      </c>
      <c r="D41" s="8">
        <v>252531.74792919576</v>
      </c>
      <c r="E41" s="8">
        <v>245511.76627908394</v>
      </c>
      <c r="F41" s="8">
        <v>245511.76627908394</v>
      </c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</row>
    <row r="42" spans="1:27" outlineLevel="1" x14ac:dyDescent="0.25">
      <c r="A42" s="21"/>
      <c r="B42" s="9" t="s">
        <v>4</v>
      </c>
      <c r="C42" s="18" t="s">
        <v>80</v>
      </c>
      <c r="D42" s="8">
        <v>230400</v>
      </c>
      <c r="E42" s="8">
        <v>230400</v>
      </c>
      <c r="F42" s="8">
        <v>230400</v>
      </c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outlineLevel="1" x14ac:dyDescent="0.25">
      <c r="A43" s="21"/>
      <c r="B43" s="9" t="s">
        <v>4</v>
      </c>
      <c r="C43" s="18" t="s">
        <v>29</v>
      </c>
      <c r="D43" s="8">
        <v>201611.83662954724</v>
      </c>
      <c r="E43" s="8">
        <v>188763.29103276823</v>
      </c>
      <c r="F43" s="8">
        <v>191028.23352852245</v>
      </c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:27" outlineLevel="1" x14ac:dyDescent="0.25">
      <c r="A44" s="19"/>
      <c r="B44" s="9" t="s">
        <v>4</v>
      </c>
      <c r="C44" s="18" t="s">
        <v>30</v>
      </c>
      <c r="D44" s="8">
        <v>4568.5159207230936</v>
      </c>
      <c r="E44" s="8">
        <v>4568.5159207230936</v>
      </c>
      <c r="F44" s="8">
        <v>4568.5159207230936</v>
      </c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</row>
    <row r="45" spans="1:27" outlineLevel="1" x14ac:dyDescent="0.25">
      <c r="A45" s="19"/>
      <c r="B45" s="9" t="s">
        <v>4</v>
      </c>
      <c r="C45" s="18" t="s">
        <v>31</v>
      </c>
      <c r="D45" s="8">
        <v>21745.15956162287</v>
      </c>
      <c r="E45" s="8">
        <v>19919.851031207334</v>
      </c>
      <c r="F45" s="8">
        <v>18931.774205638954</v>
      </c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outlineLevel="1" x14ac:dyDescent="0.25">
      <c r="A46" s="19"/>
      <c r="B46" s="9" t="s">
        <v>4</v>
      </c>
      <c r="C46" s="18" t="s">
        <v>32</v>
      </c>
      <c r="D46" s="8">
        <v>22131.747929195764</v>
      </c>
      <c r="E46" s="8">
        <v>15111.766279083944</v>
      </c>
      <c r="F46" s="8">
        <v>15111.766279083946</v>
      </c>
      <c r="G46" s="22"/>
      <c r="H46" s="22"/>
      <c r="I46" s="22"/>
      <c r="J46" s="22"/>
      <c r="K46" s="22"/>
      <c r="L46" s="22"/>
      <c r="M46" s="22"/>
      <c r="N46" s="22"/>
      <c r="O46" s="22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outlineLevel="1" x14ac:dyDescent="0.25">
      <c r="A47" s="20"/>
      <c r="B47" s="14" t="s">
        <v>2</v>
      </c>
      <c r="C47" s="27" t="s">
        <v>33</v>
      </c>
      <c r="D47" s="13">
        <v>1814400</v>
      </c>
      <c r="E47" s="13">
        <v>1814400</v>
      </c>
      <c r="F47" s="13">
        <v>1814400</v>
      </c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1:27" outlineLevel="1" x14ac:dyDescent="0.25">
      <c r="A48" s="16"/>
      <c r="B48" s="14" t="s">
        <v>2</v>
      </c>
      <c r="C48" s="42" t="s">
        <v>34</v>
      </c>
      <c r="D48" s="13">
        <v>1.1999999999999997E-13</v>
      </c>
      <c r="E48" s="13">
        <v>1.1999999999999997E-13</v>
      </c>
      <c r="F48" s="13">
        <v>1.1999999999999997E-13</v>
      </c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8" outlineLevel="1" x14ac:dyDescent="0.25">
      <c r="A49" s="13"/>
      <c r="B49" s="14" t="s">
        <v>2</v>
      </c>
      <c r="C49" s="23" t="s">
        <v>35</v>
      </c>
      <c r="D49" s="13">
        <v>1814400</v>
      </c>
      <c r="E49" s="13">
        <v>1814400</v>
      </c>
      <c r="F49" s="13">
        <v>1814400</v>
      </c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1:28" outlineLevel="1" x14ac:dyDescent="0.25">
      <c r="A50" s="13"/>
      <c r="B50" s="14" t="s">
        <v>2</v>
      </c>
      <c r="C50" s="23" t="s">
        <v>36</v>
      </c>
      <c r="D50" s="13">
        <v>1.1999999999999997E-13</v>
      </c>
      <c r="E50" s="13">
        <v>1.1999999999999997E-13</v>
      </c>
      <c r="F50" s="13">
        <v>1.1999999999999997E-13</v>
      </c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8" outlineLevel="1" x14ac:dyDescent="0.25">
      <c r="A51" s="19"/>
      <c r="B51" s="9" t="s">
        <v>18</v>
      </c>
      <c r="C51" s="23" t="s">
        <v>37</v>
      </c>
      <c r="D51" s="13">
        <v>1.1999999999999997E-13</v>
      </c>
      <c r="E51" s="13">
        <v>1.1999999999999997E-13</v>
      </c>
      <c r="F51" s="13">
        <v>1.1999999999999997E-13</v>
      </c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8" outlineLevel="1" x14ac:dyDescent="0.25">
      <c r="A52" s="19"/>
      <c r="B52" s="9" t="s">
        <v>4</v>
      </c>
      <c r="C52" s="24" t="s">
        <v>38</v>
      </c>
      <c r="D52" s="19">
        <v>1.1999999999999997E-13</v>
      </c>
      <c r="E52" s="19">
        <v>1.1999999999999997E-13</v>
      </c>
      <c r="F52" s="19">
        <v>1.1999999999999997E-13</v>
      </c>
      <c r="G52" s="19"/>
      <c r="H52" s="19"/>
      <c r="I52" s="19"/>
      <c r="J52" s="19"/>
      <c r="K52" s="19"/>
      <c r="L52" s="19"/>
      <c r="M52" s="19"/>
      <c r="N52" s="19"/>
      <c r="O52" s="1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8" outlineLevel="1" x14ac:dyDescent="0.25">
      <c r="A53" s="19"/>
      <c r="B53" s="9" t="s">
        <v>4</v>
      </c>
      <c r="C53" s="43" t="s">
        <v>79</v>
      </c>
      <c r="D53" s="19">
        <v>9600</v>
      </c>
      <c r="E53" s="19">
        <v>9600</v>
      </c>
      <c r="F53" s="19">
        <v>9600</v>
      </c>
      <c r="G53" s="19"/>
      <c r="H53" s="19"/>
      <c r="I53" s="19"/>
      <c r="J53" s="19"/>
      <c r="K53" s="19"/>
      <c r="L53" s="19"/>
      <c r="M53" s="19"/>
      <c r="N53" s="19"/>
      <c r="O53" s="1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8" s="52" customFormat="1" outlineLevel="1" x14ac:dyDescent="0.25">
      <c r="A54" s="50">
        <f t="shared" ref="A54:A57" si="0">SUM(D54:AA54)</f>
        <v>3.5999999999999988E-13</v>
      </c>
      <c r="B54" s="51" t="s">
        <v>4</v>
      </c>
      <c r="C54" s="55" t="s">
        <v>81</v>
      </c>
      <c r="D54" s="50">
        <v>1.1999999999999997E-13</v>
      </c>
      <c r="E54" s="50">
        <v>1.1999999999999997E-13</v>
      </c>
      <c r="F54" s="50">
        <v>1.1999999999999997E-13</v>
      </c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</row>
    <row r="55" spans="1:28" outlineLevel="1" x14ac:dyDescent="0.25">
      <c r="A55" s="19">
        <f t="shared" si="0"/>
        <v>3.5999999999999988E-13</v>
      </c>
      <c r="B55" s="9" t="s">
        <v>4</v>
      </c>
      <c r="C55" s="56" t="s">
        <v>88</v>
      </c>
      <c r="D55" s="19">
        <v>1.1999999999999997E-13</v>
      </c>
      <c r="E55" s="19">
        <v>1.1999999999999997E-13</v>
      </c>
      <c r="F55" s="19">
        <v>1.1999999999999997E-13</v>
      </c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</row>
    <row r="56" spans="1:28" outlineLevel="1" x14ac:dyDescent="0.25">
      <c r="A56" s="19">
        <f t="shared" si="0"/>
        <v>3.5999999999999988E-13</v>
      </c>
      <c r="B56" s="9" t="s">
        <v>18</v>
      </c>
      <c r="C56" s="56" t="s">
        <v>82</v>
      </c>
      <c r="D56" s="19">
        <v>1.1999999999999997E-13</v>
      </c>
      <c r="E56" s="19">
        <v>1.1999999999999997E-13</v>
      </c>
      <c r="F56" s="19">
        <v>1.1999999999999997E-13</v>
      </c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</row>
    <row r="57" spans="1:28" outlineLevel="1" x14ac:dyDescent="0.25">
      <c r="A57" s="19">
        <f t="shared" si="0"/>
        <v>3.5999999999999988E-13</v>
      </c>
      <c r="B57" s="9" t="s">
        <v>18</v>
      </c>
      <c r="C57" s="56" t="s">
        <v>89</v>
      </c>
      <c r="D57" s="19">
        <v>1.1999999999999997E-13</v>
      </c>
      <c r="E57" s="19">
        <v>1.1999999999999997E-13</v>
      </c>
      <c r="F57" s="19">
        <v>1.1999999999999997E-13</v>
      </c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</row>
    <row r="58" spans="1:28" s="7" customFormat="1" ht="18.75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26" customFormat="1" ht="18.75" x14ac:dyDescent="0.3">
      <c r="A59" s="41" t="s">
        <v>39</v>
      </c>
      <c r="B59" s="41" t="s">
        <v>3</v>
      </c>
      <c r="C59" s="41" t="s">
        <v>39</v>
      </c>
      <c r="D59" s="40" t="s">
        <v>77</v>
      </c>
      <c r="E59" s="40" t="s">
        <v>78</v>
      </c>
      <c r="F59" s="40" t="s">
        <v>90</v>
      </c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</row>
    <row r="60" spans="1:28" outlineLevel="1" x14ac:dyDescent="0.25">
      <c r="A60" s="28">
        <f t="shared" ref="A60:A96" si="1">SUM(D60:O60)</f>
        <v>149121.07569880114</v>
      </c>
      <c r="B60" s="9" t="s">
        <v>4</v>
      </c>
      <c r="C60" s="29" t="s">
        <v>40</v>
      </c>
      <c r="D60" s="28">
        <v>52495.101212333422</v>
      </c>
      <c r="E60" s="28">
        <v>48444.730819976307</v>
      </c>
      <c r="F60" s="28">
        <v>48181.243666491413</v>
      </c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</row>
    <row r="61" spans="1:28" outlineLevel="1" x14ac:dyDescent="0.25">
      <c r="A61" s="28">
        <f t="shared" si="1"/>
        <v>506584.61805267527</v>
      </c>
      <c r="B61" s="9" t="s">
        <v>4</v>
      </c>
      <c r="C61" s="29" t="s">
        <v>41</v>
      </c>
      <c r="D61" s="28">
        <v>175430.41089955979</v>
      </c>
      <c r="E61" s="28">
        <v>164806.92716472235</v>
      </c>
      <c r="F61" s="28">
        <v>166347.2799883931</v>
      </c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</row>
    <row r="62" spans="1:28" outlineLevel="1" x14ac:dyDescent="0.25">
      <c r="A62" s="28">
        <f t="shared" si="1"/>
        <v>87849.58673588722</v>
      </c>
      <c r="B62" s="9" t="s">
        <v>4</v>
      </c>
      <c r="C62" s="29" t="s">
        <v>42</v>
      </c>
      <c r="D62" s="28">
        <v>24606.235817302535</v>
      </c>
      <c r="E62" s="28">
        <v>32260.108294385271</v>
      </c>
      <c r="F62" s="28">
        <v>30983.242624199418</v>
      </c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</row>
    <row r="63" spans="1:28" outlineLevel="1" x14ac:dyDescent="0.25">
      <c r="A63" s="28">
        <f t="shared" si="1"/>
        <v>28800</v>
      </c>
      <c r="B63" s="9" t="s">
        <v>4</v>
      </c>
      <c r="C63" s="29" t="s">
        <v>43</v>
      </c>
      <c r="D63" s="28">
        <v>9600</v>
      </c>
      <c r="E63" s="28">
        <v>9600</v>
      </c>
      <c r="F63" s="28">
        <v>9600</v>
      </c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</row>
    <row r="64" spans="1:28" outlineLevel="1" x14ac:dyDescent="0.25">
      <c r="A64" s="28">
        <f t="shared" si="1"/>
        <v>-52355.280487363656</v>
      </c>
      <c r="B64" s="9" t="s">
        <v>4</v>
      </c>
      <c r="C64" s="29" t="s">
        <v>44</v>
      </c>
      <c r="D64" s="28">
        <v>-22131.747929195764</v>
      </c>
      <c r="E64" s="28">
        <v>-15111.766279083944</v>
      </c>
      <c r="F64" s="28">
        <v>-15111.766279083946</v>
      </c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</row>
    <row r="65" spans="1:27" outlineLevel="1" x14ac:dyDescent="0.25">
      <c r="A65" s="28">
        <f t="shared" si="1"/>
        <v>3.5999999999999988E-13</v>
      </c>
      <c r="B65" s="9" t="s">
        <v>4</v>
      </c>
      <c r="C65" s="29" t="s">
        <v>45</v>
      </c>
      <c r="D65" s="28">
        <v>1.1999999999999997E-13</v>
      </c>
      <c r="E65" s="28">
        <v>1.1999999999999997E-13</v>
      </c>
      <c r="F65" s="28">
        <v>1.1999999999999997E-13</v>
      </c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</row>
    <row r="66" spans="1:27" outlineLevel="1" x14ac:dyDescent="0.25">
      <c r="A66" s="30"/>
      <c r="B66" s="31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</row>
    <row r="67" spans="1:27" s="26" customFormat="1" ht="18.75" x14ac:dyDescent="0.3">
      <c r="A67" s="41" t="s">
        <v>46</v>
      </c>
      <c r="B67" s="41" t="s">
        <v>3</v>
      </c>
      <c r="C67" s="41" t="s">
        <v>46</v>
      </c>
      <c r="D67" s="40" t="s">
        <v>77</v>
      </c>
      <c r="E67" s="40" t="s">
        <v>78</v>
      </c>
      <c r="F67" s="40" t="s">
        <v>90</v>
      </c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</row>
    <row r="68" spans="1:27" outlineLevel="1" x14ac:dyDescent="0.25">
      <c r="A68" s="33">
        <f t="shared" si="1"/>
        <v>27279.025005750002</v>
      </c>
      <c r="B68" s="34" t="s">
        <v>18</v>
      </c>
      <c r="C68" s="35" t="s">
        <v>47</v>
      </c>
      <c r="D68" s="33">
        <v>9093.0083352500005</v>
      </c>
      <c r="E68" s="33">
        <v>9093.0083352500005</v>
      </c>
      <c r="F68" s="33">
        <v>9093.0083352500005</v>
      </c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:27" outlineLevel="1" x14ac:dyDescent="0.25">
      <c r="A69" s="33">
        <f t="shared" si="1"/>
        <v>3.5999999999999988E-13</v>
      </c>
      <c r="B69" s="34" t="s">
        <v>18</v>
      </c>
      <c r="C69" s="35" t="s">
        <v>48</v>
      </c>
      <c r="D69" s="33">
        <v>1.1999999999999997E-13</v>
      </c>
      <c r="E69" s="33">
        <v>1.1999999999999997E-13</v>
      </c>
      <c r="F69" s="33">
        <v>1.1999999999999997E-13</v>
      </c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:27" outlineLevel="1" x14ac:dyDescent="0.25">
      <c r="A70" s="33">
        <f t="shared" si="1"/>
        <v>3.5999999999999988E-13</v>
      </c>
      <c r="B70" s="34" t="s">
        <v>18</v>
      </c>
      <c r="C70" s="35" t="s">
        <v>49</v>
      </c>
      <c r="D70" s="33">
        <v>1.1999999999999997E-13</v>
      </c>
      <c r="E70" s="33">
        <v>1.1999999999999997E-13</v>
      </c>
      <c r="F70" s="33">
        <v>1.1999999999999997E-13</v>
      </c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:27" outlineLevel="1" x14ac:dyDescent="0.25">
      <c r="A71" s="33">
        <f t="shared" si="1"/>
        <v>86607.079389750026</v>
      </c>
      <c r="B71" s="34" t="s">
        <v>18</v>
      </c>
      <c r="C71" s="35" t="s">
        <v>50</v>
      </c>
      <c r="D71" s="33">
        <v>28869.026463250008</v>
      </c>
      <c r="E71" s="33">
        <v>28869.026463250008</v>
      </c>
      <c r="F71" s="33">
        <v>28869.026463250008</v>
      </c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:27" outlineLevel="1" x14ac:dyDescent="0.25">
      <c r="A72" s="33">
        <f t="shared" si="1"/>
        <v>10500.009624999999</v>
      </c>
      <c r="B72" s="34" t="s">
        <v>18</v>
      </c>
      <c r="C72" s="35" t="s">
        <v>51</v>
      </c>
      <c r="D72" s="33">
        <v>3500.0032083333331</v>
      </c>
      <c r="E72" s="33">
        <v>3500.0032083333331</v>
      </c>
      <c r="F72" s="33">
        <v>3500.0032083333331</v>
      </c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:27" outlineLevel="1" x14ac:dyDescent="0.25">
      <c r="A73" s="33">
        <f t="shared" si="1"/>
        <v>3.5999999999999988E-13</v>
      </c>
      <c r="B73" s="34" t="s">
        <v>18</v>
      </c>
      <c r="C73" s="35" t="s">
        <v>52</v>
      </c>
      <c r="D73" s="33">
        <v>1.1999999999999997E-13</v>
      </c>
      <c r="E73" s="33">
        <v>1.1999999999999997E-13</v>
      </c>
      <c r="F73" s="33">
        <v>1.1999999999999997E-13</v>
      </c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:27" outlineLevel="1" x14ac:dyDescent="0.25">
      <c r="A74" s="33">
        <f t="shared" si="1"/>
        <v>3.5999999999999988E-13</v>
      </c>
      <c r="B74" s="34" t="s">
        <v>18</v>
      </c>
      <c r="C74" s="35" t="s">
        <v>53</v>
      </c>
      <c r="D74" s="33">
        <v>1.1999999999999997E-13</v>
      </c>
      <c r="E74" s="33">
        <v>1.1999999999999997E-13</v>
      </c>
      <c r="F74" s="33">
        <v>1.1999999999999997E-13</v>
      </c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:27" outlineLevel="1" x14ac:dyDescent="0.25">
      <c r="A75" s="33">
        <f t="shared" si="1"/>
        <v>23400.02145</v>
      </c>
      <c r="B75" s="34" t="s">
        <v>18</v>
      </c>
      <c r="C75" s="35" t="s">
        <v>54</v>
      </c>
      <c r="D75" s="33">
        <v>7800.0071499999995</v>
      </c>
      <c r="E75" s="33">
        <v>7800.0071499999995</v>
      </c>
      <c r="F75" s="33">
        <v>7800.0071499999995</v>
      </c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:27" outlineLevel="1" x14ac:dyDescent="0.25">
      <c r="A76" s="33">
        <f t="shared" si="1"/>
        <v>3.5999999999999988E-13</v>
      </c>
      <c r="B76" s="34" t="s">
        <v>18</v>
      </c>
      <c r="C76" s="35" t="s">
        <v>55</v>
      </c>
      <c r="D76" s="33">
        <v>1.1999999999999997E-13</v>
      </c>
      <c r="E76" s="33">
        <v>1.1999999999999997E-13</v>
      </c>
      <c r="F76" s="33">
        <v>1.1999999999999997E-13</v>
      </c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:27" outlineLevel="1" x14ac:dyDescent="0.25">
      <c r="A77" s="33">
        <f t="shared" si="1"/>
        <v>3.5999999999999988E-13</v>
      </c>
      <c r="B77" s="34" t="s">
        <v>18</v>
      </c>
      <c r="C77" s="35" t="s">
        <v>56</v>
      </c>
      <c r="D77" s="33">
        <v>1.1999999999999997E-13</v>
      </c>
      <c r="E77" s="33">
        <v>1.1999999999999997E-13</v>
      </c>
      <c r="F77" s="33">
        <v>1.1999999999999997E-13</v>
      </c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:27" outlineLevel="1" x14ac:dyDescent="0.25">
      <c r="A78" s="33">
        <f t="shared" si="1"/>
        <v>15600.014300000001</v>
      </c>
      <c r="B78" s="34" t="s">
        <v>18</v>
      </c>
      <c r="C78" s="35" t="s">
        <v>57</v>
      </c>
      <c r="D78" s="33">
        <v>5200.0047666666669</v>
      </c>
      <c r="E78" s="33">
        <v>5200.0047666666669</v>
      </c>
      <c r="F78" s="33">
        <v>5200.0047666666669</v>
      </c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:27" outlineLevel="1" x14ac:dyDescent="0.25">
      <c r="A79" s="33">
        <f t="shared" si="1"/>
        <v>3.5999999999999988E-13</v>
      </c>
      <c r="B79" s="34" t="s">
        <v>18</v>
      </c>
      <c r="C79" s="35" t="s">
        <v>58</v>
      </c>
      <c r="D79" s="33">
        <v>1.1999999999999997E-13</v>
      </c>
      <c r="E79" s="33">
        <v>1.1999999999999997E-13</v>
      </c>
      <c r="F79" s="33">
        <v>1.1999999999999997E-13</v>
      </c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:27" outlineLevel="1" x14ac:dyDescent="0.25">
      <c r="A80" s="33">
        <f t="shared" si="1"/>
        <v>3.5999999999999988E-13</v>
      </c>
      <c r="B80" s="34" t="s">
        <v>18</v>
      </c>
      <c r="C80" s="35" t="s">
        <v>59</v>
      </c>
      <c r="D80" s="33">
        <v>1.1999999999999997E-13</v>
      </c>
      <c r="E80" s="33">
        <v>1.1999999999999997E-13</v>
      </c>
      <c r="F80" s="33">
        <v>1.1999999999999997E-13</v>
      </c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:27" outlineLevel="1" x14ac:dyDescent="0.25">
      <c r="A81" s="33">
        <f t="shared" si="1"/>
        <v>3.5999999999999988E-13</v>
      </c>
      <c r="B81" s="34" t="s">
        <v>18</v>
      </c>
      <c r="C81" s="35" t="s">
        <v>60</v>
      </c>
      <c r="D81" s="33">
        <v>1.1999999999999997E-13</v>
      </c>
      <c r="E81" s="33">
        <v>1.1999999999999997E-13</v>
      </c>
      <c r="F81" s="33">
        <v>1.1999999999999997E-13</v>
      </c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:27" outlineLevel="1" x14ac:dyDescent="0.25">
      <c r="A82" s="33">
        <f t="shared" si="1"/>
        <v>120000.11999999998</v>
      </c>
      <c r="B82" s="34" t="s">
        <v>18</v>
      </c>
      <c r="C82" s="35" t="s">
        <v>61</v>
      </c>
      <c r="D82" s="33">
        <v>40000.039999999994</v>
      </c>
      <c r="E82" s="33">
        <v>40000.039999999986</v>
      </c>
      <c r="F82" s="33">
        <v>40000.039999999994</v>
      </c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:27" outlineLevel="1" x14ac:dyDescent="0.25">
      <c r="A83" s="33">
        <f t="shared" si="1"/>
        <v>5642.0065345624753</v>
      </c>
      <c r="B83" s="34" t="s">
        <v>18</v>
      </c>
      <c r="C83" s="35" t="s">
        <v>62</v>
      </c>
      <c r="D83" s="33">
        <v>1880.6688448541586</v>
      </c>
      <c r="E83" s="33">
        <v>1880.6688448541586</v>
      </c>
      <c r="F83" s="33">
        <v>1880.6688448541586</v>
      </c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:27" outlineLevel="1" x14ac:dyDescent="0.25">
      <c r="A84" s="33">
        <f t="shared" si="1"/>
        <v>3.5999999999999988E-13</v>
      </c>
      <c r="B84" s="34" t="s">
        <v>18</v>
      </c>
      <c r="C84" s="35" t="s">
        <v>63</v>
      </c>
      <c r="D84" s="33">
        <v>1.1999999999999997E-13</v>
      </c>
      <c r="E84" s="33">
        <v>1.1999999999999997E-13</v>
      </c>
      <c r="F84" s="33">
        <v>1.1999999999999997E-13</v>
      </c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  <row r="85" spans="1:27" outlineLevel="1" x14ac:dyDescent="0.25">
      <c r="A85" s="33">
        <f t="shared" si="1"/>
        <v>4125</v>
      </c>
      <c r="B85" s="34" t="s">
        <v>18</v>
      </c>
      <c r="C85" s="35" t="s">
        <v>64</v>
      </c>
      <c r="D85" s="33">
        <v>1375</v>
      </c>
      <c r="E85" s="33">
        <v>1375</v>
      </c>
      <c r="F85" s="33">
        <v>1375</v>
      </c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</row>
    <row r="86" spans="1:27" outlineLevel="1" x14ac:dyDescent="0.25">
      <c r="A86" s="33">
        <f t="shared" si="1"/>
        <v>3.5999999999999988E-13</v>
      </c>
      <c r="B86" s="34" t="s">
        <v>18</v>
      </c>
      <c r="C86" s="35" t="s">
        <v>65</v>
      </c>
      <c r="D86" s="33">
        <v>1.1999999999999997E-13</v>
      </c>
      <c r="E86" s="33">
        <v>1.1999999999999997E-13</v>
      </c>
      <c r="F86" s="33">
        <v>1.1999999999999997E-13</v>
      </c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</row>
    <row r="87" spans="1:27" outlineLevel="1" x14ac:dyDescent="0.25">
      <c r="A87" s="33">
        <f t="shared" si="1"/>
        <v>330.00033000000008</v>
      </c>
      <c r="B87" s="34" t="s">
        <v>18</v>
      </c>
      <c r="C87" s="35" t="s">
        <v>66</v>
      </c>
      <c r="D87" s="33">
        <v>110.00011000000002</v>
      </c>
      <c r="E87" s="33">
        <v>110.00011000000002</v>
      </c>
      <c r="F87" s="33">
        <v>110.00011000000002</v>
      </c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</row>
    <row r="88" spans="1:27" outlineLevel="1" x14ac:dyDescent="0.25">
      <c r="A88" s="33">
        <f t="shared" si="1"/>
        <v>450.00041249999992</v>
      </c>
      <c r="B88" s="34" t="s">
        <v>18</v>
      </c>
      <c r="C88" s="35" t="s">
        <v>67</v>
      </c>
      <c r="D88" s="33">
        <v>150.00013749999997</v>
      </c>
      <c r="E88" s="33">
        <v>150.00013749999997</v>
      </c>
      <c r="F88" s="33">
        <v>150.00013749999997</v>
      </c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</row>
    <row r="89" spans="1:27" outlineLevel="1" x14ac:dyDescent="0.25">
      <c r="A89" s="33">
        <f t="shared" si="1"/>
        <v>6833.3648319079502</v>
      </c>
      <c r="B89" s="34" t="s">
        <v>18</v>
      </c>
      <c r="C89" s="35" t="s">
        <v>68</v>
      </c>
      <c r="D89" s="33">
        <v>5752.5333121949043</v>
      </c>
      <c r="E89" s="33">
        <v>1.1999999999999997E-13</v>
      </c>
      <c r="F89" s="33">
        <v>1080.831519713046</v>
      </c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</row>
    <row r="90" spans="1:27" outlineLevel="1" x14ac:dyDescent="0.25">
      <c r="A90" s="33">
        <f t="shared" si="1"/>
        <v>3.5999999999999988E-13</v>
      </c>
      <c r="B90" s="34" t="s">
        <v>18</v>
      </c>
      <c r="C90" s="35" t="s">
        <v>69</v>
      </c>
      <c r="D90" s="33">
        <v>1.1999999999999997E-13</v>
      </c>
      <c r="E90" s="33">
        <v>1.1999999999999997E-13</v>
      </c>
      <c r="F90" s="33">
        <v>1.1999999999999997E-13</v>
      </c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outlineLevel="1" x14ac:dyDescent="0.25">
      <c r="A91" s="33">
        <f t="shared" si="1"/>
        <v>3.5999999999999988E-13</v>
      </c>
      <c r="B91" s="34" t="s">
        <v>18</v>
      </c>
      <c r="C91" s="35" t="s">
        <v>70</v>
      </c>
      <c r="D91" s="33">
        <v>1.1999999999999997E-13</v>
      </c>
      <c r="E91" s="33">
        <v>1.1999999999999997E-13</v>
      </c>
      <c r="F91" s="33">
        <v>1.1999999999999997E-13</v>
      </c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</row>
    <row r="92" spans="1:27" outlineLevel="1" x14ac:dyDescent="0.25">
      <c r="A92" s="33">
        <f t="shared" si="1"/>
        <v>3.5999999999999988E-13</v>
      </c>
      <c r="B92" s="34" t="s">
        <v>18</v>
      </c>
      <c r="C92" s="35" t="s">
        <v>71</v>
      </c>
      <c r="D92" s="33">
        <v>1.1999999999999997E-13</v>
      </c>
      <c r="E92" s="33">
        <v>1.1999999999999997E-13</v>
      </c>
      <c r="F92" s="33">
        <v>1.1999999999999997E-13</v>
      </c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</row>
    <row r="93" spans="1:27" outlineLevel="1" x14ac:dyDescent="0.25">
      <c r="A93" s="33">
        <f t="shared" si="1"/>
        <v>3.5999999999999988E-13</v>
      </c>
      <c r="B93" s="34" t="s">
        <v>18</v>
      </c>
      <c r="C93" s="35" t="s">
        <v>72</v>
      </c>
      <c r="D93" s="33">
        <v>1.1999999999999997E-13</v>
      </c>
      <c r="E93" s="33">
        <v>1.1999999999999997E-13</v>
      </c>
      <c r="F93" s="33">
        <v>1.1999999999999997E-13</v>
      </c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</row>
    <row r="94" spans="1:27" outlineLevel="1" x14ac:dyDescent="0.25">
      <c r="A94" s="33">
        <f t="shared" si="1"/>
        <v>39581.791270237045</v>
      </c>
      <c r="B94" s="34" t="s">
        <v>18</v>
      </c>
      <c r="C94" s="35" t="s">
        <v>73</v>
      </c>
      <c r="D94" s="33">
        <v>11086.664448346573</v>
      </c>
      <c r="E94" s="33">
        <v>14535.217754666706</v>
      </c>
      <c r="F94" s="33">
        <v>13959.909067223767</v>
      </c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</row>
    <row r="95" spans="1:27" outlineLevel="1" x14ac:dyDescent="0.25">
      <c r="A95" s="33">
        <f t="shared" si="1"/>
        <v>28800</v>
      </c>
      <c r="B95" s="34" t="s">
        <v>18</v>
      </c>
      <c r="C95" s="35" t="s">
        <v>74</v>
      </c>
      <c r="D95" s="33">
        <v>9600</v>
      </c>
      <c r="E95" s="33">
        <v>9600</v>
      </c>
      <c r="F95" s="33">
        <v>9600</v>
      </c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</row>
    <row r="96" spans="1:27" outlineLevel="1" x14ac:dyDescent="0.25">
      <c r="A96" s="33">
        <f t="shared" si="1"/>
        <v>3.5999999999999988E-13</v>
      </c>
      <c r="B96" s="34" t="s">
        <v>18</v>
      </c>
      <c r="C96" s="35" t="s">
        <v>75</v>
      </c>
      <c r="D96" s="33">
        <v>1.1999999999999997E-13</v>
      </c>
      <c r="E96" s="33">
        <v>1.1999999999999997E-13</v>
      </c>
      <c r="F96" s="33">
        <v>1.1999999999999997E-13</v>
      </c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</row>
    <row r="97" spans="1:27" outlineLevel="1" x14ac:dyDescent="0.25">
      <c r="A97" s="19"/>
      <c r="B97" s="34"/>
      <c r="C97" s="35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</row>
    <row r="98" spans="1:27" outlineLevel="1" x14ac:dyDescent="0.25">
      <c r="A98" s="19"/>
      <c r="B98" s="9"/>
      <c r="C98" s="36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</row>
    <row r="99" spans="1:27" s="26" customFormat="1" ht="18.75" x14ac:dyDescent="0.3">
      <c r="A99" s="41" t="s">
        <v>76</v>
      </c>
      <c r="B99" s="41" t="s">
        <v>3</v>
      </c>
      <c r="C99" s="41" t="s">
        <v>76</v>
      </c>
      <c r="D99" s="40" t="s">
        <v>77</v>
      </c>
      <c r="E99" s="40" t="s">
        <v>78</v>
      </c>
      <c r="F99" s="40" t="s">
        <v>90</v>
      </c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</row>
    <row r="100" spans="1:27" outlineLevel="1" x14ac:dyDescent="0.25">
      <c r="A100" s="37">
        <f t="shared" ref="A100:A128" si="2">SUM(D100:O100)</f>
        <v>14321488.128018744</v>
      </c>
      <c r="B100" s="38" t="s">
        <v>2</v>
      </c>
      <c r="C100" s="35" t="s">
        <v>47</v>
      </c>
      <c r="D100" s="37">
        <v>4773829.3760062484</v>
      </c>
      <c r="E100" s="37">
        <v>4773829.3760062484</v>
      </c>
      <c r="F100" s="37">
        <v>4773829.3760062484</v>
      </c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</row>
    <row r="101" spans="1:27" outlineLevel="1" x14ac:dyDescent="0.25">
      <c r="A101" s="37">
        <f t="shared" si="2"/>
        <v>3.5999999999999988E-13</v>
      </c>
      <c r="B101" s="38" t="s">
        <v>2</v>
      </c>
      <c r="C101" s="35" t="s">
        <v>48</v>
      </c>
      <c r="D101" s="37">
        <v>1.1999999999999997E-13</v>
      </c>
      <c r="E101" s="37">
        <v>1.1999999999999997E-13</v>
      </c>
      <c r="F101" s="37">
        <v>1.1999999999999997E-13</v>
      </c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</row>
    <row r="102" spans="1:27" outlineLevel="1" x14ac:dyDescent="0.25">
      <c r="A102" s="37">
        <f t="shared" si="2"/>
        <v>3.5999999999999988E-13</v>
      </c>
      <c r="B102" s="38" t="s">
        <v>2</v>
      </c>
      <c r="C102" s="35" t="s">
        <v>49</v>
      </c>
      <c r="D102" s="37">
        <v>1.1999999999999997E-13</v>
      </c>
      <c r="E102" s="37">
        <v>1.1999999999999997E-13</v>
      </c>
      <c r="F102" s="37">
        <v>1.1999999999999997E-13</v>
      </c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</row>
    <row r="103" spans="1:27" outlineLevel="1" x14ac:dyDescent="0.25">
      <c r="A103" s="37">
        <f t="shared" si="2"/>
        <v>45468716.679618746</v>
      </c>
      <c r="B103" s="38" t="s">
        <v>2</v>
      </c>
      <c r="C103" s="35" t="s">
        <v>50</v>
      </c>
      <c r="D103" s="37">
        <v>15156238.893206248</v>
      </c>
      <c r="E103" s="37">
        <v>15156238.893206248</v>
      </c>
      <c r="F103" s="37">
        <v>15156238.893206248</v>
      </c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</row>
    <row r="104" spans="1:27" outlineLevel="1" x14ac:dyDescent="0.25">
      <c r="A104" s="37">
        <f t="shared" si="2"/>
        <v>5512505.0531249996</v>
      </c>
      <c r="B104" s="38" t="s">
        <v>2</v>
      </c>
      <c r="C104" s="35" t="s">
        <v>51</v>
      </c>
      <c r="D104" s="37">
        <v>1837501.6843749997</v>
      </c>
      <c r="E104" s="37">
        <v>1837501.6843749997</v>
      </c>
      <c r="F104" s="37">
        <v>1837501.6843749997</v>
      </c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</row>
    <row r="105" spans="1:27" outlineLevel="1" x14ac:dyDescent="0.25">
      <c r="A105" s="37">
        <f t="shared" si="2"/>
        <v>3.5999999999999988E-13</v>
      </c>
      <c r="B105" s="38" t="s">
        <v>2</v>
      </c>
      <c r="C105" s="35" t="s">
        <v>52</v>
      </c>
      <c r="D105" s="37">
        <v>1.1999999999999997E-13</v>
      </c>
      <c r="E105" s="37">
        <v>1.1999999999999997E-13</v>
      </c>
      <c r="F105" s="37">
        <v>1.1999999999999997E-13</v>
      </c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</row>
    <row r="106" spans="1:27" outlineLevel="1" x14ac:dyDescent="0.25">
      <c r="A106" s="37">
        <f t="shared" si="2"/>
        <v>3.5999999999999988E-13</v>
      </c>
      <c r="B106" s="38" t="s">
        <v>2</v>
      </c>
      <c r="C106" s="35" t="s">
        <v>53</v>
      </c>
      <c r="D106" s="37">
        <v>1.1999999999999997E-13</v>
      </c>
      <c r="E106" s="37">
        <v>1.1999999999999997E-13</v>
      </c>
      <c r="F106" s="37">
        <v>1.1999999999999997E-13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</row>
    <row r="107" spans="1:27" outlineLevel="1" x14ac:dyDescent="0.25">
      <c r="A107" s="37">
        <f t="shared" si="2"/>
        <v>12285011.26125</v>
      </c>
      <c r="B107" s="38" t="s">
        <v>2</v>
      </c>
      <c r="C107" s="35" t="s">
        <v>54</v>
      </c>
      <c r="D107" s="37">
        <v>4095003.7537500001</v>
      </c>
      <c r="E107" s="37">
        <v>4095003.7537500001</v>
      </c>
      <c r="F107" s="37">
        <v>4095003.7537500001</v>
      </c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</row>
    <row r="108" spans="1:27" outlineLevel="1" x14ac:dyDescent="0.25">
      <c r="A108" s="37">
        <f t="shared" si="2"/>
        <v>3.5999999999999988E-13</v>
      </c>
      <c r="B108" s="38" t="s">
        <v>2</v>
      </c>
      <c r="C108" s="35" t="s">
        <v>55</v>
      </c>
      <c r="D108" s="37">
        <v>1.1999999999999997E-13</v>
      </c>
      <c r="E108" s="37">
        <v>1.1999999999999997E-13</v>
      </c>
      <c r="F108" s="37">
        <v>1.1999999999999997E-13</v>
      </c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</row>
    <row r="109" spans="1:27" outlineLevel="1" x14ac:dyDescent="0.25">
      <c r="A109" s="37">
        <f t="shared" si="2"/>
        <v>3.5999999999999988E-13</v>
      </c>
      <c r="B109" s="38" t="s">
        <v>2</v>
      </c>
      <c r="C109" s="35" t="s">
        <v>56</v>
      </c>
      <c r="D109" s="37">
        <v>1.1999999999999997E-13</v>
      </c>
      <c r="E109" s="37">
        <v>1.1999999999999997E-13</v>
      </c>
      <c r="F109" s="37">
        <v>1.1999999999999997E-13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</row>
    <row r="110" spans="1:27" outlineLevel="1" x14ac:dyDescent="0.25">
      <c r="A110" s="37">
        <f t="shared" si="2"/>
        <v>8190007.5075000003</v>
      </c>
      <c r="B110" s="38" t="s">
        <v>2</v>
      </c>
      <c r="C110" s="35" t="s">
        <v>57</v>
      </c>
      <c r="D110" s="37">
        <v>2730002.5024999999</v>
      </c>
      <c r="E110" s="37">
        <v>2730002.5024999999</v>
      </c>
      <c r="F110" s="37">
        <v>2730002.5024999999</v>
      </c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</row>
    <row r="111" spans="1:27" outlineLevel="1" x14ac:dyDescent="0.25">
      <c r="A111" s="37">
        <f t="shared" si="2"/>
        <v>3.5999999999999988E-13</v>
      </c>
      <c r="B111" s="38" t="s">
        <v>2</v>
      </c>
      <c r="C111" s="35" t="s">
        <v>58</v>
      </c>
      <c r="D111" s="37">
        <v>1.1999999999999997E-13</v>
      </c>
      <c r="E111" s="37">
        <v>1.1999999999999997E-13</v>
      </c>
      <c r="F111" s="37">
        <v>1.1999999999999997E-13</v>
      </c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</row>
    <row r="112" spans="1:27" outlineLevel="1" x14ac:dyDescent="0.25">
      <c r="A112" s="37">
        <f t="shared" si="2"/>
        <v>3.5999999999999988E-13</v>
      </c>
      <c r="B112" s="38" t="s">
        <v>2</v>
      </c>
      <c r="C112" s="35" t="s">
        <v>59</v>
      </c>
      <c r="D112" s="37">
        <v>1.1999999999999997E-13</v>
      </c>
      <c r="E112" s="37">
        <v>1.1999999999999997E-13</v>
      </c>
      <c r="F112" s="37">
        <v>1.1999999999999997E-13</v>
      </c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</row>
    <row r="113" spans="1:27" outlineLevel="1" x14ac:dyDescent="0.25">
      <c r="A113" s="37">
        <f t="shared" si="2"/>
        <v>3.5999999999999988E-13</v>
      </c>
      <c r="B113" s="38" t="s">
        <v>2</v>
      </c>
      <c r="C113" s="35" t="s">
        <v>60</v>
      </c>
      <c r="D113" s="37">
        <v>1.1999999999999997E-13</v>
      </c>
      <c r="E113" s="37">
        <v>1.1999999999999997E-13</v>
      </c>
      <c r="F113" s="37">
        <v>1.1999999999999997E-13</v>
      </c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</row>
    <row r="114" spans="1:27" outlineLevel="1" x14ac:dyDescent="0.25">
      <c r="A114" s="37">
        <f t="shared" si="2"/>
        <v>48000048</v>
      </c>
      <c r="B114" s="38" t="s">
        <v>2</v>
      </c>
      <c r="C114" s="35" t="s">
        <v>61</v>
      </c>
      <c r="D114" s="37">
        <v>16000016</v>
      </c>
      <c r="E114" s="37">
        <v>16000015.999999996</v>
      </c>
      <c r="F114" s="37">
        <v>16000016</v>
      </c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</row>
    <row r="115" spans="1:27" outlineLevel="1" x14ac:dyDescent="0.25">
      <c r="A115" s="37">
        <f t="shared" si="2"/>
        <v>2905633.3652996761</v>
      </c>
      <c r="B115" s="38" t="s">
        <v>2</v>
      </c>
      <c r="C115" s="35" t="s">
        <v>62</v>
      </c>
      <c r="D115" s="37">
        <v>968544.45509989199</v>
      </c>
      <c r="E115" s="37">
        <v>968544.45509989199</v>
      </c>
      <c r="F115" s="37">
        <v>968544.45509989199</v>
      </c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</row>
    <row r="116" spans="1:27" outlineLevel="1" x14ac:dyDescent="0.25">
      <c r="A116" s="37">
        <f t="shared" si="2"/>
        <v>3.5999999999999988E-13</v>
      </c>
      <c r="B116" s="38" t="s">
        <v>2</v>
      </c>
      <c r="C116" s="35" t="s">
        <v>63</v>
      </c>
      <c r="D116" s="37">
        <v>1.1999999999999997E-13</v>
      </c>
      <c r="E116" s="37">
        <v>1.1999999999999997E-13</v>
      </c>
      <c r="F116" s="37">
        <v>1.1999999999999997E-13</v>
      </c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</row>
    <row r="117" spans="1:27" outlineLevel="1" x14ac:dyDescent="0.25">
      <c r="A117" s="37">
        <f t="shared" si="2"/>
        <v>3.5999999999999988E-13</v>
      </c>
      <c r="B117" s="38" t="s">
        <v>2</v>
      </c>
      <c r="C117" s="35" t="s">
        <v>64</v>
      </c>
      <c r="D117" s="37">
        <v>1.1999999999999997E-13</v>
      </c>
      <c r="E117" s="37">
        <v>1.1999999999999997E-13</v>
      </c>
      <c r="F117" s="37">
        <v>1.1999999999999997E-13</v>
      </c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</row>
    <row r="118" spans="1:27" outlineLevel="1" x14ac:dyDescent="0.25">
      <c r="A118" s="37">
        <f t="shared" si="2"/>
        <v>3.5999999999999988E-13</v>
      </c>
      <c r="B118" s="38" t="s">
        <v>2</v>
      </c>
      <c r="C118" s="35" t="s">
        <v>65</v>
      </c>
      <c r="D118" s="37">
        <v>1.1999999999999997E-13</v>
      </c>
      <c r="E118" s="37">
        <v>1.1999999999999997E-13</v>
      </c>
      <c r="F118" s="37">
        <v>1.1999999999999997E-13</v>
      </c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</row>
    <row r="119" spans="1:27" outlineLevel="1" x14ac:dyDescent="0.25">
      <c r="A119" s="37">
        <f t="shared" si="2"/>
        <v>226050.22605</v>
      </c>
      <c r="B119" s="38" t="s">
        <v>2</v>
      </c>
      <c r="C119" s="35" t="s">
        <v>66</v>
      </c>
      <c r="D119" s="37">
        <v>75350.075349999999</v>
      </c>
      <c r="E119" s="37">
        <v>75350.075349999999</v>
      </c>
      <c r="F119" s="37">
        <v>75350.075349999999</v>
      </c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</row>
    <row r="120" spans="1:27" outlineLevel="1" x14ac:dyDescent="0.25">
      <c r="A120" s="37">
        <f t="shared" si="2"/>
        <v>69750.063937500003</v>
      </c>
      <c r="B120" s="38" t="s">
        <v>2</v>
      </c>
      <c r="C120" s="35" t="s">
        <v>67</v>
      </c>
      <c r="D120" s="37">
        <v>23250.021312500001</v>
      </c>
      <c r="E120" s="37">
        <v>23250.021312500001</v>
      </c>
      <c r="F120" s="37">
        <v>23250.021312500001</v>
      </c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</row>
    <row r="121" spans="1:27" outlineLevel="1" x14ac:dyDescent="0.25">
      <c r="A121" s="37">
        <f t="shared" si="2"/>
        <v>-2750429.3448429494</v>
      </c>
      <c r="B121" s="38" t="s">
        <v>2</v>
      </c>
      <c r="C121" s="35" t="s">
        <v>68</v>
      </c>
      <c r="D121" s="37">
        <v>-2315394.6581584485</v>
      </c>
      <c r="E121" s="37">
        <v>1.1999999999999997E-13</v>
      </c>
      <c r="F121" s="37">
        <v>-435034.68668450101</v>
      </c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</row>
    <row r="122" spans="1:27" outlineLevel="1" x14ac:dyDescent="0.25">
      <c r="A122" s="37">
        <f t="shared" si="2"/>
        <v>3.5999999999999988E-13</v>
      </c>
      <c r="B122" s="38" t="s">
        <v>2</v>
      </c>
      <c r="C122" s="35" t="s">
        <v>69</v>
      </c>
      <c r="D122" s="37">
        <v>1.1999999999999997E-13</v>
      </c>
      <c r="E122" s="37">
        <v>1.1999999999999997E-13</v>
      </c>
      <c r="F122" s="37">
        <v>1.1999999999999997E-13</v>
      </c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</row>
    <row r="123" spans="1:27" outlineLevel="1" x14ac:dyDescent="0.25">
      <c r="A123" s="37">
        <f t="shared" si="2"/>
        <v>3.5999999999999988E-13</v>
      </c>
      <c r="B123" s="38" t="s">
        <v>2</v>
      </c>
      <c r="C123" s="35" t="s">
        <v>70</v>
      </c>
      <c r="D123" s="37">
        <v>1.1999999999999997E-13</v>
      </c>
      <c r="E123" s="37">
        <v>1.1999999999999997E-13</v>
      </c>
      <c r="F123" s="37">
        <v>1.1999999999999997E-13</v>
      </c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</row>
    <row r="124" spans="1:27" outlineLevel="1" x14ac:dyDescent="0.25">
      <c r="A124" s="37">
        <f t="shared" si="2"/>
        <v>3.5999999999999988E-13</v>
      </c>
      <c r="B124" s="38" t="s">
        <v>2</v>
      </c>
      <c r="C124" s="35" t="s">
        <v>71</v>
      </c>
      <c r="D124" s="37">
        <v>1.1999999999999997E-13</v>
      </c>
      <c r="E124" s="37">
        <v>1.1999999999999997E-13</v>
      </c>
      <c r="F124" s="37">
        <v>1.1999999999999997E-13</v>
      </c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</row>
    <row r="125" spans="1:27" outlineLevel="1" x14ac:dyDescent="0.25">
      <c r="A125" s="37">
        <f t="shared" si="2"/>
        <v>3.5999999999999988E-13</v>
      </c>
      <c r="B125" s="38" t="s">
        <v>2</v>
      </c>
      <c r="C125" s="35" t="s">
        <v>72</v>
      </c>
      <c r="D125" s="37">
        <v>1.1999999999999997E-13</v>
      </c>
      <c r="E125" s="37">
        <v>1.1999999999999997E-13</v>
      </c>
      <c r="F125" s="37">
        <v>1.1999999999999997E-13</v>
      </c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</row>
    <row r="126" spans="1:27" outlineLevel="1" x14ac:dyDescent="0.25">
      <c r="A126" s="37">
        <f t="shared" si="2"/>
        <v>-18603441.89701141</v>
      </c>
      <c r="B126" s="38" t="s">
        <v>2</v>
      </c>
      <c r="C126" s="35" t="s">
        <v>73</v>
      </c>
      <c r="D126" s="37">
        <v>-5210732.2907228889</v>
      </c>
      <c r="E126" s="37">
        <v>-6831552.3446933515</v>
      </c>
      <c r="F126" s="37">
        <v>-6561157.26159517</v>
      </c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</row>
    <row r="127" spans="1:27" outlineLevel="1" x14ac:dyDescent="0.25">
      <c r="A127" s="37">
        <f t="shared" si="2"/>
        <v>-5443200</v>
      </c>
      <c r="B127" s="38" t="s">
        <v>2</v>
      </c>
      <c r="C127" s="35" t="s">
        <v>74</v>
      </c>
      <c r="D127" s="37">
        <v>-1814400</v>
      </c>
      <c r="E127" s="37">
        <v>-1814400</v>
      </c>
      <c r="F127" s="37">
        <v>-1814400</v>
      </c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</row>
    <row r="128" spans="1:27" outlineLevel="1" x14ac:dyDescent="0.25">
      <c r="A128" s="37">
        <f t="shared" si="2"/>
        <v>3.5999999999999988E-13</v>
      </c>
      <c r="B128" s="38" t="s">
        <v>2</v>
      </c>
      <c r="C128" s="35" t="s">
        <v>75</v>
      </c>
      <c r="D128" s="37">
        <v>1.1999999999999997E-13</v>
      </c>
      <c r="E128" s="37">
        <v>1.1999999999999997E-13</v>
      </c>
      <c r="F128" s="37">
        <v>1.1999999999999997E-13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</row>
    <row r="129" spans="2:27" outlineLevel="1" x14ac:dyDescent="0.25">
      <c r="B129" s="25"/>
      <c r="C129" s="39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</row>
    <row r="130" spans="2:27" outlineLevel="1" x14ac:dyDescent="0.25">
      <c r="B130" s="25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</row>
    <row r="131" spans="2:27" outlineLevel="1" x14ac:dyDescent="0.25">
      <c r="B131"/>
    </row>
    <row r="132" spans="2:27" outlineLevel="1" x14ac:dyDescent="0.25">
      <c r="B132"/>
    </row>
    <row r="133" spans="2:27" outlineLevel="1" x14ac:dyDescent="0.25">
      <c r="B133"/>
    </row>
    <row r="134" spans="2:27" outlineLevel="1" x14ac:dyDescent="0.25">
      <c r="B134"/>
    </row>
    <row r="135" spans="2:27" outlineLevel="1" x14ac:dyDescent="0.25">
      <c r="B135"/>
    </row>
    <row r="136" spans="2:27" outlineLevel="1" x14ac:dyDescent="0.25">
      <c r="B136"/>
    </row>
    <row r="137" spans="2:27" outlineLevel="1" x14ac:dyDescent="0.25">
      <c r="B137"/>
    </row>
    <row r="138" spans="2:27" outlineLevel="1" x14ac:dyDescent="0.25">
      <c r="B138"/>
    </row>
    <row r="139" spans="2:27" outlineLevel="1" x14ac:dyDescent="0.25">
      <c r="B139"/>
    </row>
    <row r="140" spans="2:27" outlineLevel="1" x14ac:dyDescent="0.25">
      <c r="B140"/>
    </row>
    <row r="141" spans="2:27" outlineLevel="1" x14ac:dyDescent="0.25">
      <c r="B141"/>
    </row>
    <row r="142" spans="2:27" outlineLevel="1" x14ac:dyDescent="0.25">
      <c r="B142"/>
    </row>
    <row r="143" spans="2:27" outlineLevel="1" x14ac:dyDescent="0.25">
      <c r="B143"/>
    </row>
    <row r="144" spans="2:27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outlineLevel="1" x14ac:dyDescent="0.25">
      <c r="B158"/>
    </row>
    <row r="159" spans="2:2" outlineLevel="1" x14ac:dyDescent="0.25">
      <c r="B159"/>
    </row>
    <row r="160" spans="2:2" outlineLevel="1" x14ac:dyDescent="0.25">
      <c r="B160"/>
    </row>
    <row r="161" spans="2:2" outlineLevel="1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</sheetData>
  <phoneticPr fontId="5" type="noConversion"/>
  <conditionalFormatting sqref="A16 E34:AA34 A34 A36 D36:AA36 D43:AA44 A43:A44 A21:A24 G46:AA46 A46:A53 D48:AA53 D18:AA24 D16:AA16 D26:AA31 A26:A31">
    <cfRule type="cellIs" dxfId="100" priority="144" operator="between">
      <formula>-0.0000000000001</formula>
      <formula>0.0000000000001</formula>
    </cfRule>
  </conditionalFormatting>
  <conditionalFormatting sqref="A16 A34 E34:AA34 D36:AA36 A36 A43:A44 D43:AA44 A21:A24 G46:AA46 A46:A53 D48:AA53 A26:A31">
    <cfRule type="cellIs" dxfId="99" priority="138" operator="between">
      <formula>-0.0000000000001</formula>
      <formula>0.0000000000001</formula>
    </cfRule>
  </conditionalFormatting>
  <conditionalFormatting sqref="A26 C26:O26">
    <cfRule type="cellIs" dxfId="98" priority="137" operator="between">
      <formula>-0.0000000000001</formula>
      <formula>0.0000000000001</formula>
    </cfRule>
  </conditionalFormatting>
  <conditionalFormatting sqref="P26:AA26">
    <cfRule type="cellIs" dxfId="97" priority="136" operator="between">
      <formula>-0.0000000000001</formula>
      <formula>0.0000000000001</formula>
    </cfRule>
  </conditionalFormatting>
  <conditionalFormatting sqref="C16:O16 A16">
    <cfRule type="cellIs" dxfId="96" priority="135" operator="between">
      <formula>-0.0000000000001</formula>
      <formula>0.0000000000001</formula>
    </cfRule>
  </conditionalFormatting>
  <conditionalFormatting sqref="P16:AA16">
    <cfRule type="cellIs" dxfId="95" priority="134" operator="between">
      <formula>-0.0000000000001</formula>
      <formula>0.0000000000001</formula>
    </cfRule>
  </conditionalFormatting>
  <conditionalFormatting sqref="C23">
    <cfRule type="cellIs" dxfId="94" priority="133" operator="between">
      <formula>-0.0000000000001</formula>
      <formula>0.0000000000001</formula>
    </cfRule>
  </conditionalFormatting>
  <conditionalFormatting sqref="C24">
    <cfRule type="cellIs" dxfId="93" priority="132" operator="between">
      <formula>-0.0000000000001</formula>
      <formula>0.0000000000001</formula>
    </cfRule>
  </conditionalFormatting>
  <conditionalFormatting sqref="A24 C24:O24">
    <cfRule type="cellIs" dxfId="92" priority="131" operator="between">
      <formula>-0.0000000000001</formula>
      <formula>0.0000000000001</formula>
    </cfRule>
  </conditionalFormatting>
  <conditionalFormatting sqref="P24:AA24">
    <cfRule type="cellIs" dxfId="91" priority="130" operator="between">
      <formula>-0.0000000000001</formula>
      <formula>0.0000000000001</formula>
    </cfRule>
  </conditionalFormatting>
  <conditionalFormatting sqref="C30:O31 A30:A31">
    <cfRule type="cellIs" dxfId="90" priority="129" operator="between">
      <formula>-0.0000000000001</formula>
      <formula>0.0000000000001</formula>
    </cfRule>
  </conditionalFormatting>
  <conditionalFormatting sqref="P30:AA31">
    <cfRule type="cellIs" dxfId="89" priority="128" operator="between">
      <formula>-0.0000000000001</formula>
      <formula>0.0000000000001</formula>
    </cfRule>
  </conditionalFormatting>
  <conditionalFormatting sqref="C51:O51 C53:AA53 C50:AA50 D49:AA49 A49:A53 D52:O53">
    <cfRule type="cellIs" dxfId="88" priority="127" operator="between">
      <formula>-0.0000000000001</formula>
      <formula>0.0000000000001</formula>
    </cfRule>
  </conditionalFormatting>
  <conditionalFormatting sqref="P51:AA51">
    <cfRule type="cellIs" dxfId="87" priority="126" operator="between">
      <formula>-0.0000000000001</formula>
      <formula>0.0000000000001</formula>
    </cfRule>
  </conditionalFormatting>
  <conditionalFormatting sqref="C52:O52 D53:O53">
    <cfRule type="cellIs" dxfId="86" priority="125" operator="between">
      <formula>-0.0000000000001</formula>
      <formula>0.0000000000001</formula>
    </cfRule>
  </conditionalFormatting>
  <conditionalFormatting sqref="P52:AA53">
    <cfRule type="cellIs" dxfId="85" priority="124" operator="between">
      <formula>-0.0000000000001</formula>
      <formula>0.0000000000001</formula>
    </cfRule>
  </conditionalFormatting>
  <conditionalFormatting sqref="C21:O21">
    <cfRule type="cellIs" dxfId="84" priority="123" operator="between">
      <formula>-0.0000000000001</formula>
      <formula>0.0000000000001</formula>
    </cfRule>
  </conditionalFormatting>
  <conditionalFormatting sqref="P21:AA21">
    <cfRule type="cellIs" dxfId="83" priority="122" operator="between">
      <formula>-0.0000000000001</formula>
      <formula>0.0000000000001</formula>
    </cfRule>
  </conditionalFormatting>
  <conditionalFormatting sqref="C21">
    <cfRule type="cellIs" dxfId="82" priority="121" operator="between">
      <formula>-0.0000000000001</formula>
      <formula>0.0000000000001</formula>
    </cfRule>
  </conditionalFormatting>
  <conditionalFormatting sqref="C22:O22 A22">
    <cfRule type="cellIs" dxfId="81" priority="118" operator="between">
      <formula>-0.0000000000001</formula>
      <formula>0.0000000000001</formula>
    </cfRule>
  </conditionalFormatting>
  <conditionalFormatting sqref="P22:AA22">
    <cfRule type="cellIs" dxfId="80" priority="117" operator="between">
      <formula>-0.0000000000001</formula>
      <formula>0.0000000000001</formula>
    </cfRule>
  </conditionalFormatting>
  <conditionalFormatting sqref="C22">
    <cfRule type="cellIs" dxfId="79" priority="116" operator="between">
      <formula>-0.0000000000001</formula>
      <formula>0.0000000000001</formula>
    </cfRule>
  </conditionalFormatting>
  <conditionalFormatting sqref="C27:O27 A27">
    <cfRule type="cellIs" dxfId="78" priority="115" operator="between">
      <formula>-0.0000000000001</formula>
      <formula>0.0000000000001</formula>
    </cfRule>
  </conditionalFormatting>
  <conditionalFormatting sqref="P27:AA27">
    <cfRule type="cellIs" dxfId="77" priority="114" operator="between">
      <formula>-0.0000000000001</formula>
      <formula>0.0000000000001</formula>
    </cfRule>
  </conditionalFormatting>
  <conditionalFormatting sqref="C27">
    <cfRule type="cellIs" dxfId="76" priority="113" operator="between">
      <formula>-0.0000000000001</formula>
      <formula>0.0000000000001</formula>
    </cfRule>
  </conditionalFormatting>
  <conditionalFormatting sqref="A49 C49:AA49">
    <cfRule type="cellIs" dxfId="75" priority="112" operator="between">
      <formula>-0.0000000000001</formula>
      <formula>0.0000000000001</formula>
    </cfRule>
  </conditionalFormatting>
  <conditionalFormatting sqref="D20:O20">
    <cfRule type="cellIs" dxfId="74" priority="110" operator="between">
      <formula>-0.0000000000001</formula>
      <formula>0.0000000000001</formula>
    </cfRule>
  </conditionalFormatting>
  <conditionalFormatting sqref="P20:AA20">
    <cfRule type="cellIs" dxfId="73" priority="109" operator="between">
      <formula>-0.0000000000001</formula>
      <formula>0.0000000000001</formula>
    </cfRule>
  </conditionalFormatting>
  <conditionalFormatting sqref="C44:AA44 A44">
    <cfRule type="cellIs" dxfId="72" priority="108" operator="between">
      <formula>-0.0000000000001</formula>
      <formula>0.0000000000001</formula>
    </cfRule>
  </conditionalFormatting>
  <conditionalFormatting sqref="P44:AA44">
    <cfRule type="cellIs" dxfId="71" priority="107" operator="between">
      <formula>-0.0000000000001</formula>
      <formula>0.0000000000001</formula>
    </cfRule>
  </conditionalFormatting>
  <conditionalFormatting sqref="C20">
    <cfRule type="cellIs" dxfId="70" priority="105" operator="between">
      <formula>-0.0000000000001</formula>
      <formula>0.0000000000001</formula>
    </cfRule>
  </conditionalFormatting>
  <conditionalFormatting sqref="A21">
    <cfRule type="cellIs" dxfId="69" priority="104" operator="between">
      <formula>-0.0000000000001</formula>
      <formula>0.0000000000001</formula>
    </cfRule>
  </conditionalFormatting>
  <conditionalFormatting sqref="A32 D32:AA32">
    <cfRule type="cellIs" dxfId="68" priority="101" operator="between">
      <formula>-0.0000000000001</formula>
      <formula>0.0000000000001</formula>
    </cfRule>
  </conditionalFormatting>
  <conditionalFormatting sqref="D32:AA32 A32">
    <cfRule type="cellIs" dxfId="67" priority="100" operator="between">
      <formula>-0.0000000000001</formula>
      <formula>0.0000000000001</formula>
    </cfRule>
  </conditionalFormatting>
  <conditionalFormatting sqref="C32:O32 A32">
    <cfRule type="cellIs" dxfId="66" priority="99" operator="between">
      <formula>-0.0000000000001</formula>
      <formula>0.0000000000001</formula>
    </cfRule>
  </conditionalFormatting>
  <conditionalFormatting sqref="P32:AA32">
    <cfRule type="cellIs" dxfId="65" priority="98" operator="between">
      <formula>-0.0000000000001</formula>
      <formula>0.0000000000001</formula>
    </cfRule>
  </conditionalFormatting>
  <conditionalFormatting sqref="E33:AA33 A33">
    <cfRule type="cellIs" dxfId="64" priority="82" operator="between">
      <formula>-0.0000000000001</formula>
      <formula>0.0000000000001</formula>
    </cfRule>
  </conditionalFormatting>
  <conditionalFormatting sqref="A33 E33:AA33">
    <cfRule type="cellIs" dxfId="63" priority="81" operator="between">
      <formula>-0.0000000000001</formula>
      <formula>0.0000000000001</formula>
    </cfRule>
  </conditionalFormatting>
  <conditionalFormatting sqref="D35:AA35 A35">
    <cfRule type="cellIs" dxfId="62" priority="80" operator="between">
      <formula>-0.0000000000001</formula>
      <formula>0.0000000000001</formula>
    </cfRule>
  </conditionalFormatting>
  <conditionalFormatting sqref="A35 D35:AA35">
    <cfRule type="cellIs" dxfId="61" priority="79" operator="between">
      <formula>-0.0000000000001</formula>
      <formula>0.0000000000001</formula>
    </cfRule>
  </conditionalFormatting>
  <conditionalFormatting sqref="A45 D45:AA45 D46:F46">
    <cfRule type="cellIs" dxfId="60" priority="78" operator="between">
      <formula>-0.0000000000001</formula>
      <formula>0.0000000000001</formula>
    </cfRule>
  </conditionalFormatting>
  <conditionalFormatting sqref="D45:AA45 A45 D46:F46">
    <cfRule type="cellIs" dxfId="59" priority="77" operator="between">
      <formula>-0.0000000000001</formula>
      <formula>0.0000000000001</formula>
    </cfRule>
  </conditionalFormatting>
  <conditionalFormatting sqref="A37:A38 D37:AA39 D41:AA41 A41">
    <cfRule type="cellIs" dxfId="58" priority="74" operator="between">
      <formula>-0.0000000000001</formula>
      <formula>0.0000000000001</formula>
    </cfRule>
  </conditionalFormatting>
  <conditionalFormatting sqref="D37:AA39 A37:A38 A41 D41:AA41">
    <cfRule type="cellIs" dxfId="57" priority="73" operator="between">
      <formula>-0.0000000000001</formula>
      <formula>0.0000000000001</formula>
    </cfRule>
  </conditionalFormatting>
  <conditionalFormatting sqref="C38:AA39 A38">
    <cfRule type="cellIs" dxfId="56" priority="72" operator="between">
      <formula>-0.0000000000001</formula>
      <formula>0.0000000000001</formula>
    </cfRule>
  </conditionalFormatting>
  <conditionalFormatting sqref="P38:AA39">
    <cfRule type="cellIs" dxfId="55" priority="71" operator="between">
      <formula>-0.0000000000001</formula>
      <formula>0.0000000000001</formula>
    </cfRule>
  </conditionalFormatting>
  <conditionalFormatting sqref="A40 D40:AA40">
    <cfRule type="cellIs" dxfId="54" priority="70" operator="between">
      <formula>-0.0000000000001</formula>
      <formula>0.0000000000001</formula>
    </cfRule>
  </conditionalFormatting>
  <conditionalFormatting sqref="D40:AA40 A40">
    <cfRule type="cellIs" dxfId="53" priority="69" operator="between">
      <formula>-0.0000000000001</formula>
      <formula>0.0000000000001</formula>
    </cfRule>
  </conditionalFormatting>
  <conditionalFormatting sqref="D51:O51">
    <cfRule type="cellIs" dxfId="52" priority="68" operator="between">
      <formula>-0.0000000000001</formula>
      <formula>0.0000000000001</formula>
    </cfRule>
  </conditionalFormatting>
  <conditionalFormatting sqref="D48:AA48">
    <cfRule type="cellIs" dxfId="51" priority="67" operator="between">
      <formula>-0.0000000000001</formula>
      <formula>0.0000000000001</formula>
    </cfRule>
  </conditionalFormatting>
  <conditionalFormatting sqref="A39">
    <cfRule type="cellIs" dxfId="50" priority="66" operator="between">
      <formula>-0.0000000000001</formula>
      <formula>0.0000000000001</formula>
    </cfRule>
  </conditionalFormatting>
  <conditionalFormatting sqref="A39">
    <cfRule type="cellIs" dxfId="49" priority="65" operator="between">
      <formula>-0.0000000000001</formula>
      <formula>0.0000000000001</formula>
    </cfRule>
  </conditionalFormatting>
  <conditionalFormatting sqref="A47">
    <cfRule type="cellIs" dxfId="48" priority="64" operator="between">
      <formula>-0.0000000000001</formula>
      <formula>0.0000000000001</formula>
    </cfRule>
  </conditionalFormatting>
  <conditionalFormatting sqref="A47">
    <cfRule type="cellIs" dxfId="47" priority="63" operator="between">
      <formula>-0.0000000000001</formula>
      <formula>0.0000000000001</formula>
    </cfRule>
  </conditionalFormatting>
  <conditionalFormatting sqref="A52">
    <cfRule type="cellIs" dxfId="46" priority="62" operator="between">
      <formula>-0.0000000000001</formula>
      <formula>0.0000000000001</formula>
    </cfRule>
  </conditionalFormatting>
  <conditionalFormatting sqref="A52">
    <cfRule type="cellIs" dxfId="45" priority="61" operator="between">
      <formula>-0.0000000000001</formula>
      <formula>0.0000000000001</formula>
    </cfRule>
  </conditionalFormatting>
  <conditionalFormatting sqref="D34">
    <cfRule type="cellIs" dxfId="44" priority="60" operator="between">
      <formula>-0.0000000000001</formula>
      <formula>0.0000000000001</formula>
    </cfRule>
  </conditionalFormatting>
  <conditionalFormatting sqref="D34">
    <cfRule type="cellIs" dxfId="43" priority="59" operator="between">
      <formula>-0.0000000000001</formula>
      <formula>0.0000000000001</formula>
    </cfRule>
  </conditionalFormatting>
  <conditionalFormatting sqref="D33">
    <cfRule type="cellIs" dxfId="42" priority="58" operator="between">
      <formula>-0.0000000000001</formula>
      <formula>0.0000000000001</formula>
    </cfRule>
  </conditionalFormatting>
  <conditionalFormatting sqref="D33">
    <cfRule type="cellIs" dxfId="41" priority="57" operator="between">
      <formula>-0.0000000000001</formula>
      <formula>0.0000000000001</formula>
    </cfRule>
  </conditionalFormatting>
  <conditionalFormatting sqref="A18:A20">
    <cfRule type="cellIs" dxfId="40" priority="55" operator="between">
      <formula>-0.0000000000001</formula>
      <formula>0.0000000000001</formula>
    </cfRule>
  </conditionalFormatting>
  <conditionalFormatting sqref="A18:A20">
    <cfRule type="cellIs" dxfId="39" priority="54" operator="between">
      <formula>-0.0000000000001</formula>
      <formula>0.0000000000001</formula>
    </cfRule>
  </conditionalFormatting>
  <conditionalFormatting sqref="A15:A16">
    <cfRule type="cellIs" dxfId="38" priority="48" operator="between">
      <formula>-0.0000000000001</formula>
      <formula>0.0000000000001</formula>
    </cfRule>
  </conditionalFormatting>
  <conditionalFormatting sqref="A15:A16">
    <cfRule type="cellIs" dxfId="37" priority="47" operator="between">
      <formula>-0.0000000000001</formula>
      <formula>0.0000000000001</formula>
    </cfRule>
  </conditionalFormatting>
  <conditionalFormatting sqref="C15:C16 A15:A16">
    <cfRule type="cellIs" dxfId="36" priority="46" operator="between">
      <formula>-0.0000000000001</formula>
      <formula>0.0000000000001</formula>
    </cfRule>
  </conditionalFormatting>
  <conditionalFormatting sqref="A19">
    <cfRule type="cellIs" dxfId="35" priority="44" operator="between">
      <formula>-0.0000000000001</formula>
      <formula>0.0000000000001</formula>
    </cfRule>
  </conditionalFormatting>
  <conditionalFormatting sqref="A19">
    <cfRule type="cellIs" dxfId="34" priority="43" operator="between">
      <formula>-0.0000000000001</formula>
      <formula>0.0000000000001</formula>
    </cfRule>
  </conditionalFormatting>
  <conditionalFormatting sqref="C19 A19">
    <cfRule type="cellIs" dxfId="33" priority="42" operator="between">
      <formula>-0.0000000000001</formula>
      <formula>0.0000000000001</formula>
    </cfRule>
  </conditionalFormatting>
  <conditionalFormatting sqref="D60:AA65">
    <cfRule type="colorScale" priority="3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8:AA98">
    <cfRule type="colorScale" priority="40">
      <colorScale>
        <cfvo type="min"/>
        <cfvo type="max"/>
        <color rgb="FFFCFCFF"/>
        <color rgb="FF63BE7B"/>
      </colorScale>
    </cfRule>
  </conditionalFormatting>
  <conditionalFormatting sqref="A68:A96">
    <cfRule type="colorScale" priority="38">
      <colorScale>
        <cfvo type="min"/>
        <cfvo type="max"/>
        <color rgb="FFFCFCFF"/>
        <color rgb="FF63BE7B"/>
      </colorScale>
    </cfRule>
  </conditionalFormatting>
  <conditionalFormatting sqref="A60:A65">
    <cfRule type="colorScale" priority="3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8:A98 D68:AA98">
    <cfRule type="cellIs" dxfId="32" priority="36" operator="between">
      <formula>-0.0000000000001</formula>
      <formula>0.0000000000001</formula>
    </cfRule>
  </conditionalFormatting>
  <conditionalFormatting sqref="A100:A130">
    <cfRule type="colorScale" priority="35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D19:AA19">
    <cfRule type="cellIs" dxfId="31" priority="34" operator="between">
      <formula>-0.0000000000001</formula>
      <formula>0.0000000000001</formula>
    </cfRule>
  </conditionalFormatting>
  <conditionalFormatting sqref="D19:AA19">
    <cfRule type="cellIs" dxfId="30" priority="33" operator="between">
      <formula>-0.0000000000001</formula>
      <formula>0.0000000000001</formula>
    </cfRule>
  </conditionalFormatting>
  <conditionalFormatting sqref="D47:AA47">
    <cfRule type="cellIs" dxfId="29" priority="30" operator="between">
      <formula>-0.0000000000001</formula>
      <formula>0.0000000000001</formula>
    </cfRule>
  </conditionalFormatting>
  <conditionalFormatting sqref="D47:AA47">
    <cfRule type="cellIs" dxfId="28" priority="29" operator="between">
      <formula>-0.0000000000001</formula>
      <formula>0.0000000000001</formula>
    </cfRule>
  </conditionalFormatting>
  <conditionalFormatting sqref="D47:AA47">
    <cfRule type="cellIs" dxfId="27" priority="28" operator="between">
      <formula>-0.0000000000001</formula>
      <formula>0.0000000000001</formula>
    </cfRule>
  </conditionalFormatting>
  <conditionalFormatting sqref="A48">
    <cfRule type="cellIs" dxfId="26" priority="27" operator="between">
      <formula>-0.0000000000001</formula>
      <formula>0.0000000000001</formula>
    </cfRule>
  </conditionalFormatting>
  <conditionalFormatting sqref="A46">
    <cfRule type="cellIs" dxfId="25" priority="26" operator="between">
      <formula>-0.0000000000001</formula>
      <formula>0.0000000000001</formula>
    </cfRule>
  </conditionalFormatting>
  <conditionalFormatting sqref="A46">
    <cfRule type="cellIs" dxfId="24" priority="25" operator="between">
      <formula>-0.0000000000001</formula>
      <formula>0.0000000000001</formula>
    </cfRule>
  </conditionalFormatting>
  <conditionalFormatting sqref="A51">
    <cfRule type="cellIs" dxfId="23" priority="24" operator="between">
      <formula>-0.0000000000001</formula>
      <formula>0.0000000000001</formula>
    </cfRule>
  </conditionalFormatting>
  <conditionalFormatting sqref="A51">
    <cfRule type="cellIs" dxfId="22" priority="23" operator="between">
      <formula>-0.0000000000001</formula>
      <formula>0.0000000000001</formula>
    </cfRule>
  </conditionalFormatting>
  <conditionalFormatting sqref="A17">
    <cfRule type="cellIs" dxfId="21" priority="22" operator="between">
      <formula>-0.0000000000001</formula>
      <formula>0.0000000000001</formula>
    </cfRule>
  </conditionalFormatting>
  <conditionalFormatting sqref="A17">
    <cfRule type="cellIs" dxfId="20" priority="21" operator="between">
      <formula>-0.0000000000001</formula>
      <formula>0.0000000000001</formula>
    </cfRule>
  </conditionalFormatting>
  <conditionalFormatting sqref="C17 A17">
    <cfRule type="cellIs" dxfId="19" priority="20" operator="between">
      <formula>-0.0000000000001</formula>
      <formula>0.0000000000001</formula>
    </cfRule>
  </conditionalFormatting>
  <conditionalFormatting sqref="D17:AA17">
    <cfRule type="cellIs" dxfId="18" priority="19" operator="between">
      <formula>-0.0000000000001</formula>
      <formula>0.0000000000001</formula>
    </cfRule>
  </conditionalFormatting>
  <conditionalFormatting sqref="D17:AA17">
    <cfRule type="cellIs" dxfId="17" priority="18" operator="between">
      <formula>-0.0000000000001</formula>
      <formula>0.0000000000001</formula>
    </cfRule>
  </conditionalFormatting>
  <conditionalFormatting sqref="D17:O17">
    <cfRule type="cellIs" dxfId="16" priority="17" operator="between">
      <formula>-0.0000000000001</formula>
      <formula>0.0000000000001</formula>
    </cfRule>
  </conditionalFormatting>
  <conditionalFormatting sqref="P17:AA17">
    <cfRule type="cellIs" dxfId="15" priority="16" operator="between">
      <formula>-0.0000000000001</formula>
      <formula>0.0000000000001</formula>
    </cfRule>
  </conditionalFormatting>
  <conditionalFormatting sqref="D42:AA42 A42">
    <cfRule type="cellIs" dxfId="14" priority="15" operator="between">
      <formula>-0.0000000000001</formula>
      <formula>0.0000000000001</formula>
    </cfRule>
  </conditionalFormatting>
  <conditionalFormatting sqref="A42 D42:AA42">
    <cfRule type="cellIs" dxfId="13" priority="14" operator="between">
      <formula>-0.0000000000001</formula>
      <formula>0.0000000000001</formula>
    </cfRule>
  </conditionalFormatting>
  <conditionalFormatting sqref="A54:A57">
    <cfRule type="cellIs" dxfId="12" priority="10" operator="greaterThan">
      <formula>0.000000000001</formula>
    </cfRule>
    <cfRule type="cellIs" dxfId="11" priority="13" operator="between">
      <formula>-0.0000000000001</formula>
      <formula>0.0000000000001</formula>
    </cfRule>
  </conditionalFormatting>
  <conditionalFormatting sqref="A54:A57">
    <cfRule type="cellIs" dxfId="10" priority="12" operator="between">
      <formula>-0.0000000000001</formula>
      <formula>0.0000000000001</formula>
    </cfRule>
  </conditionalFormatting>
  <conditionalFormatting sqref="A54:A57">
    <cfRule type="cellIs" dxfId="9" priority="11" operator="between">
      <formula>-0.0000000000001</formula>
      <formula>0.0000000000001</formula>
    </cfRule>
  </conditionalFormatting>
  <conditionalFormatting sqref="D54:AA57">
    <cfRule type="cellIs" dxfId="8" priority="6" operator="greaterThan">
      <formula>0.000000000001</formula>
    </cfRule>
    <cfRule type="cellIs" dxfId="7" priority="9" operator="between">
      <formula>-0.0000000000001</formula>
      <formula>0.0000000000001</formula>
    </cfRule>
  </conditionalFormatting>
  <conditionalFormatting sqref="D54:AA57">
    <cfRule type="cellIs" dxfId="6" priority="8" operator="between">
      <formula>-0.0000000000001</formula>
      <formula>0.0000000000001</formula>
    </cfRule>
  </conditionalFormatting>
  <conditionalFormatting sqref="D54:AA57">
    <cfRule type="cellIs" dxfId="5" priority="7" operator="between">
      <formula>-0.0000000000001</formula>
      <formula>0.0000000000001</formula>
    </cfRule>
  </conditionalFormatting>
  <conditionalFormatting sqref="B1">
    <cfRule type="cellIs" dxfId="4" priority="5" operator="greaterThan">
      <formula>0</formula>
    </cfRule>
  </conditionalFormatting>
  <conditionalFormatting sqref="A25 D25:AA25">
    <cfRule type="cellIs" dxfId="3" priority="4" operator="between">
      <formula>-0.0000000000001</formula>
      <formula>0.0000000000001</formula>
    </cfRule>
  </conditionalFormatting>
  <conditionalFormatting sqref="A25">
    <cfRule type="cellIs" dxfId="2" priority="3" operator="between">
      <formula>-0.0000000000001</formula>
      <formula>0.0000000000001</formula>
    </cfRule>
  </conditionalFormatting>
  <conditionalFormatting sqref="A25 C25:O25">
    <cfRule type="cellIs" dxfId="1" priority="2" operator="between">
      <formula>-0.0000000000001</formula>
      <formula>0.0000000000001</formula>
    </cfRule>
  </conditionalFormatting>
  <conditionalFormatting sqref="P25:AA25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Overblik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2022-01-26T21:47:38Z</dcterms:modified>
</cp:coreProperties>
</file>