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F4D73A5-16A8-47B8-83A8-23F843EFE01B}" xr6:coauthVersionLast="47" xr6:coauthVersionMax="47" xr10:uidLastSave="{00000000-0000-0000-0000-000000000000}"/>
  <bookViews>
    <workbookView xWindow="28680" yWindow="-120" windowWidth="29040" windowHeight="17790" activeTab="2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_xlfn.ANCHORARRAY(Lister1!$C$3)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Topics">Overblik!$A$4:$A$124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#REF!</definedName>
    <definedName name="nFuelA">[2]ModelParms!#REF!</definedName>
    <definedName name="NotANumber">Lister1!$I$6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Lister1!$I$5</definedName>
    <definedName name="PerStart">[2]DataU!$D$6</definedName>
    <definedName name="PerStart2">Lister1!$I$4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1" l="1"/>
  <c r="A21" i="1"/>
  <c r="A22" i="1"/>
  <c r="A23" i="1"/>
  <c r="A24" i="1"/>
  <c r="G7" i="7" l="1" a="1"/>
  <c r="G7" i="7" s="1"/>
  <c r="G8" i="7" a="1"/>
  <c r="G8" i="7" s="1"/>
  <c r="G9" i="7" a="1"/>
  <c r="G9" i="7" s="1"/>
  <c r="G10" i="7" a="1"/>
  <c r="G10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J4" i="7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R4" i="7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Q4" i="7"/>
  <c r="AQ5" i="7" s="1"/>
  <c r="AR4" i="7"/>
  <c r="AR5" i="7" s="1"/>
  <c r="J5" i="7"/>
  <c r="Q5" i="7"/>
  <c r="R5" i="7"/>
  <c r="Z5" i="7"/>
  <c r="AH5" i="7"/>
  <c r="AP5" i="7"/>
  <c r="I4" i="7"/>
  <c r="I5" i="7" s="1"/>
  <c r="I4" i="3" a="1"/>
  <c r="I4" i="3" s="1"/>
  <c r="I5" i="3" a="1"/>
  <c r="I5" i="3" s="1"/>
  <c r="D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I3" i="3" a="1"/>
  <c r="I3" i="3" s="1"/>
  <c r="F14" i="7" a="1"/>
  <c r="F14" i="7" s="1"/>
  <c r="F22" i="7" a="1"/>
  <c r="F22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C2" i="3"/>
  <c r="A92" i="1"/>
  <c r="A93" i="1"/>
  <c r="A124" i="1"/>
  <c r="A125" i="1"/>
  <c r="A126" i="1"/>
  <c r="A127" i="1"/>
  <c r="A128" i="1"/>
  <c r="A129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95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63" i="1"/>
  <c r="A56" i="1"/>
  <c r="A57" i="1"/>
  <c r="A58" i="1"/>
  <c r="A59" i="1"/>
  <c r="A60" i="1"/>
  <c r="A61" i="1"/>
  <c r="A5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3" i="1"/>
  <c r="J1" i="1"/>
  <c r="F21" i="7" l="1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O14" i="7"/>
  <c r="AD28" i="7"/>
  <c r="Y19" i="7"/>
  <c r="V38" i="7"/>
  <c r="Q18" i="7"/>
  <c r="H10" i="7"/>
  <c r="I10" i="7" s="1"/>
  <c r="V10" i="7"/>
  <c r="AM10" i="7"/>
  <c r="R10" i="7"/>
  <c r="AJ10" i="7"/>
  <c r="AR10" i="7"/>
  <c r="AJ42" i="7"/>
  <c r="K38" i="7"/>
  <c r="AJ37" i="7"/>
  <c r="G13" i="7" a="1"/>
  <c r="G13" i="7" s="1"/>
  <c r="G12" i="7" a="1"/>
  <c r="G12" i="7" s="1"/>
  <c r="G11" i="7" a="1"/>
  <c r="G11" i="7" s="1"/>
  <c r="H31" i="7"/>
  <c r="K31" i="7" s="1"/>
  <c r="H12" i="7"/>
  <c r="W12" i="7" s="1"/>
  <c r="H30" i="7"/>
  <c r="AD30" i="7" s="1"/>
  <c r="H6" i="7"/>
  <c r="N6" i="7" s="1"/>
  <c r="H7" i="7"/>
  <c r="H28" i="7"/>
  <c r="AL28" i="7" s="1"/>
  <c r="H20" i="7"/>
  <c r="Y20" i="7" s="1"/>
  <c r="H26" i="7"/>
  <c r="AI26" i="7" s="1"/>
  <c r="H23" i="7"/>
  <c r="Q23" i="7" s="1"/>
  <c r="H42" i="7"/>
  <c r="V42" i="7" s="1"/>
  <c r="H22" i="7"/>
  <c r="I22" i="7" s="1"/>
  <c r="H39" i="7"/>
  <c r="AL39" i="7" s="1"/>
  <c r="H18" i="7"/>
  <c r="AD18" i="7" s="1"/>
  <c r="H38" i="7"/>
  <c r="L38" i="7" s="1"/>
  <c r="H15" i="7"/>
  <c r="I15" i="7" s="1"/>
  <c r="H34" i="7"/>
  <c r="H14" i="7"/>
  <c r="AH14" i="7" s="1"/>
  <c r="H37" i="7"/>
  <c r="Q37" i="7" s="1"/>
  <c r="H29" i="7"/>
  <c r="AP29" i="7" s="1"/>
  <c r="H21" i="7"/>
  <c r="AH21" i="7" s="1"/>
  <c r="H13" i="7"/>
  <c r="Z13" i="7" s="1"/>
  <c r="H36" i="7"/>
  <c r="H35" i="7"/>
  <c r="T35" i="7" s="1"/>
  <c r="H27" i="7"/>
  <c r="S27" i="7" s="1"/>
  <c r="H19" i="7"/>
  <c r="L19" i="7" s="1"/>
  <c r="H11" i="7"/>
  <c r="O11" i="7" s="1"/>
  <c r="H41" i="7"/>
  <c r="W41" i="7" s="1"/>
  <c r="H33" i="7"/>
  <c r="AB33" i="7" s="1"/>
  <c r="H25" i="7"/>
  <c r="AJ25" i="7" s="1"/>
  <c r="H17" i="7"/>
  <c r="H9" i="7"/>
  <c r="AN9" i="7" s="1"/>
  <c r="H40" i="7"/>
  <c r="AP40" i="7" s="1"/>
  <c r="H32" i="7"/>
  <c r="J32" i="7" s="1"/>
  <c r="H24" i="7"/>
  <c r="P24" i="7" s="1"/>
  <c r="H16" i="7"/>
  <c r="AM16" i="7" s="1"/>
  <c r="H8" i="7"/>
  <c r="AE8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E3" i="3" a="1"/>
  <c r="E3" i="3" s="1"/>
  <c r="F3" i="3" s="1" a="1"/>
  <c r="F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X5" i="6" a="1"/>
  <c r="X5" i="6" s="1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AN18" i="7" l="1"/>
  <c r="AN41" i="7"/>
  <c r="Q6" i="7"/>
  <c r="AM42" i="7"/>
  <c r="AO14" i="7"/>
  <c r="AB42" i="7"/>
  <c r="AB10" i="7"/>
  <c r="N10" i="7"/>
  <c r="O18" i="7"/>
  <c r="M42" i="7"/>
  <c r="AF6" i="7"/>
  <c r="AC13" i="7"/>
  <c r="AN30" i="7"/>
  <c r="AC25" i="7"/>
  <c r="AL18" i="7"/>
  <c r="R11" i="7"/>
  <c r="AK25" i="7"/>
  <c r="U13" i="7"/>
  <c r="AF30" i="7"/>
  <c r="AD32" i="7"/>
  <c r="AR42" i="7"/>
  <c r="J10" i="7"/>
  <c r="AK18" i="7"/>
  <c r="Z23" i="7"/>
  <c r="J11" i="7"/>
  <c r="K12" i="7"/>
  <c r="AE29" i="7"/>
  <c r="P15" i="7"/>
  <c r="M33" i="7"/>
  <c r="AI10" i="7"/>
  <c r="AO10" i="7"/>
  <c r="R18" i="7"/>
  <c r="AG24" i="7"/>
  <c r="M11" i="7"/>
  <c r="AP12" i="7"/>
  <c r="W29" i="7"/>
  <c r="AM8" i="7"/>
  <c r="Z33" i="7"/>
  <c r="AA10" i="7"/>
  <c r="X10" i="7"/>
  <c r="AR18" i="7"/>
  <c r="AK33" i="7"/>
  <c r="L11" i="7"/>
  <c r="S20" i="7"/>
  <c r="AJ28" i="7"/>
  <c r="S10" i="7"/>
  <c r="P10" i="7"/>
  <c r="AJ18" i="7"/>
  <c r="AO19" i="7"/>
  <c r="AN34" i="7"/>
  <c r="AP34" i="7"/>
  <c r="AD34" i="7"/>
  <c r="N34" i="7"/>
  <c r="AF34" i="7"/>
  <c r="R34" i="7"/>
  <c r="V34" i="7"/>
  <c r="AO34" i="7"/>
  <c r="J34" i="7"/>
  <c r="AE34" i="7"/>
  <c r="AC34" i="7"/>
  <c r="AH34" i="7"/>
  <c r="AB34" i="7"/>
  <c r="I34" i="7"/>
  <c r="Q34" i="7"/>
  <c r="X34" i="7"/>
  <c r="AK34" i="7"/>
  <c r="Y34" i="7"/>
  <c r="AA34" i="7"/>
  <c r="U34" i="7"/>
  <c r="O34" i="7"/>
  <c r="AL34" i="7"/>
  <c r="T26" i="7"/>
  <c r="T40" i="7"/>
  <c r="S35" i="7"/>
  <c r="AC35" i="7"/>
  <c r="AM35" i="7"/>
  <c r="O35" i="7"/>
  <c r="AL35" i="7"/>
  <c r="AB35" i="7"/>
  <c r="AJ35" i="7"/>
  <c r="R35" i="7"/>
  <c r="L35" i="7"/>
  <c r="AH35" i="7"/>
  <c r="AF35" i="7"/>
  <c r="V35" i="7"/>
  <c r="AN35" i="7"/>
  <c r="AI35" i="7"/>
  <c r="Q35" i="7"/>
  <c r="W35" i="7"/>
  <c r="Y35" i="7"/>
  <c r="M35" i="7"/>
  <c r="Z35" i="7"/>
  <c r="AO35" i="7"/>
  <c r="Z26" i="7"/>
  <c r="AD35" i="7"/>
  <c r="Q17" i="7"/>
  <c r="AP17" i="7"/>
  <c r="AB17" i="7"/>
  <c r="X17" i="7"/>
  <c r="AL17" i="7"/>
  <c r="Y17" i="7"/>
  <c r="K17" i="7"/>
  <c r="AJ17" i="7"/>
  <c r="AC17" i="7"/>
  <c r="AG17" i="7"/>
  <c r="S17" i="7"/>
  <c r="AR17" i="7"/>
  <c r="AD17" i="7"/>
  <c r="U17" i="7"/>
  <c r="AO17" i="7"/>
  <c r="AA17" i="7"/>
  <c r="O17" i="7"/>
  <c r="M17" i="7"/>
  <c r="J17" i="7"/>
  <c r="AI17" i="7"/>
  <c r="W17" i="7"/>
  <c r="AF17" i="7"/>
  <c r="R17" i="7"/>
  <c r="AQ17" i="7"/>
  <c r="AE17" i="7"/>
  <c r="N17" i="7"/>
  <c r="Z17" i="7"/>
  <c r="AH17" i="7"/>
  <c r="L17" i="7"/>
  <c r="T17" i="7"/>
  <c r="AM17" i="7"/>
  <c r="V17" i="7"/>
  <c r="I17" i="7"/>
  <c r="Z36" i="7"/>
  <c r="O36" i="7"/>
  <c r="W36" i="7"/>
  <c r="P36" i="7"/>
  <c r="I36" i="7"/>
  <c r="AR36" i="7"/>
  <c r="AH36" i="7"/>
  <c r="X36" i="7"/>
  <c r="L36" i="7"/>
  <c r="AF36" i="7"/>
  <c r="M36" i="7"/>
  <c r="J36" i="7"/>
  <c r="AJ36" i="7"/>
  <c r="T36" i="7"/>
  <c r="U36" i="7"/>
  <c r="AN36" i="7"/>
  <c r="AI36" i="7"/>
  <c r="AQ36" i="7"/>
  <c r="AC36" i="7"/>
  <c r="Y36" i="7"/>
  <c r="AG36" i="7"/>
  <c r="AK36" i="7"/>
  <c r="R36" i="7"/>
  <c r="K36" i="7"/>
  <c r="N36" i="7"/>
  <c r="AO36" i="7"/>
  <c r="V36" i="7"/>
  <c r="AE36" i="7"/>
  <c r="J38" i="7"/>
  <c r="T38" i="7"/>
  <c r="AD38" i="7"/>
  <c r="AM38" i="7"/>
  <c r="R38" i="7"/>
  <c r="AC38" i="7"/>
  <c r="AR38" i="7"/>
  <c r="S38" i="7"/>
  <c r="AJ38" i="7"/>
  <c r="AA38" i="7"/>
  <c r="O38" i="7"/>
  <c r="W38" i="7"/>
  <c r="AK38" i="7"/>
  <c r="AE38" i="7"/>
  <c r="AQ38" i="7"/>
  <c r="M38" i="7"/>
  <c r="AL38" i="7"/>
  <c r="AI38" i="7"/>
  <c r="Z38" i="7"/>
  <c r="AO38" i="7"/>
  <c r="N38" i="7"/>
  <c r="AG38" i="7"/>
  <c r="AB38" i="7"/>
  <c r="P38" i="7"/>
  <c r="X38" i="7"/>
  <c r="AP38" i="7"/>
  <c r="AI28" i="7"/>
  <c r="I28" i="7"/>
  <c r="AQ28" i="7"/>
  <c r="K28" i="7"/>
  <c r="S28" i="7"/>
  <c r="M28" i="7"/>
  <c r="O28" i="7"/>
  <c r="Q28" i="7"/>
  <c r="AP28" i="7"/>
  <c r="U28" i="7"/>
  <c r="W28" i="7"/>
  <c r="Y28" i="7"/>
  <c r="AC28" i="7"/>
  <c r="AE28" i="7"/>
  <c r="AG28" i="7"/>
  <c r="AK28" i="7"/>
  <c r="AM28" i="7"/>
  <c r="AO28" i="7"/>
  <c r="N28" i="7"/>
  <c r="P28" i="7"/>
  <c r="J28" i="7"/>
  <c r="V28" i="7"/>
  <c r="X28" i="7"/>
  <c r="R28" i="7"/>
  <c r="AB28" i="7"/>
  <c r="W27" i="7"/>
  <c r="AP35" i="7"/>
  <c r="U38" i="7"/>
  <c r="AH40" i="7"/>
  <c r="AI18" i="7"/>
  <c r="AB18" i="7"/>
  <c r="AF18" i="7"/>
  <c r="AE26" i="7"/>
  <c r="AC26" i="7"/>
  <c r="AQ26" i="7"/>
  <c r="L34" i="7"/>
  <c r="U35" i="7"/>
  <c r="AD39" i="7"/>
  <c r="AM11" i="7"/>
  <c r="AQ11" i="7"/>
  <c r="N19" i="7"/>
  <c r="AR27" i="7"/>
  <c r="P27" i="7"/>
  <c r="V6" i="7"/>
  <c r="R33" i="7"/>
  <c r="N42" i="7"/>
  <c r="Y12" i="7"/>
  <c r="AG20" i="7"/>
  <c r="AL36" i="7"/>
  <c r="AP36" i="7"/>
  <c r="R21" i="7"/>
  <c r="AR29" i="7"/>
  <c r="AM34" i="7"/>
  <c r="V14" i="7"/>
  <c r="AA35" i="7"/>
  <c r="W23" i="7"/>
  <c r="J16" i="7"/>
  <c r="P17" i="7"/>
  <c r="L25" i="7"/>
  <c r="N25" i="7"/>
  <c r="P25" i="7"/>
  <c r="AB25" i="7"/>
  <c r="I25" i="7"/>
  <c r="V25" i="7"/>
  <c r="X25" i="7"/>
  <c r="Z25" i="7"/>
  <c r="AD25" i="7"/>
  <c r="AF25" i="7"/>
  <c r="AH25" i="7"/>
  <c r="U25" i="7"/>
  <c r="AL25" i="7"/>
  <c r="AN25" i="7"/>
  <c r="AP25" i="7"/>
  <c r="M25" i="7"/>
  <c r="O25" i="7"/>
  <c r="S25" i="7"/>
  <c r="Q25" i="7"/>
  <c r="W25" i="7"/>
  <c r="Y25" i="7"/>
  <c r="AA25" i="7"/>
  <c r="J25" i="7"/>
  <c r="R25" i="7"/>
  <c r="K25" i="7"/>
  <c r="AE25" i="7"/>
  <c r="AR25" i="7"/>
  <c r="AM25" i="7"/>
  <c r="T25" i="7"/>
  <c r="AG25" i="7"/>
  <c r="AO25" i="7"/>
  <c r="I13" i="7"/>
  <c r="N13" i="7"/>
  <c r="P13" i="7"/>
  <c r="K13" i="7"/>
  <c r="AJ13" i="7"/>
  <c r="AK13" i="7"/>
  <c r="X13" i="7"/>
  <c r="AA13" i="7"/>
  <c r="AH13" i="7"/>
  <c r="V13" i="7"/>
  <c r="AF13" i="7"/>
  <c r="AI13" i="7"/>
  <c r="AP13" i="7"/>
  <c r="AD13" i="7"/>
  <c r="AN13" i="7"/>
  <c r="AQ13" i="7"/>
  <c r="J13" i="7"/>
  <c r="AL13" i="7"/>
  <c r="Q13" i="7"/>
  <c r="L13" i="7"/>
  <c r="O13" i="7"/>
  <c r="Y13" i="7"/>
  <c r="T13" i="7"/>
  <c r="M13" i="7"/>
  <c r="W13" i="7"/>
  <c r="AG13" i="7"/>
  <c r="AB13" i="7"/>
  <c r="AA18" i="7"/>
  <c r="I18" i="7"/>
  <c r="AM7" i="7"/>
  <c r="AO7" i="7"/>
  <c r="AA7" i="7"/>
  <c r="V7" i="7"/>
  <c r="P7" i="7"/>
  <c r="J7" i="7"/>
  <c r="AI7" i="7"/>
  <c r="AD7" i="7"/>
  <c r="X7" i="7"/>
  <c r="R7" i="7"/>
  <c r="AQ7" i="7"/>
  <c r="AL7" i="7"/>
  <c r="AF7" i="7"/>
  <c r="Z7" i="7"/>
  <c r="M7" i="7"/>
  <c r="AR7" i="7"/>
  <c r="AN7" i="7"/>
  <c r="AH7" i="7"/>
  <c r="U7" i="7"/>
  <c r="L7" i="7"/>
  <c r="O7" i="7"/>
  <c r="Q7" i="7"/>
  <c r="AP7" i="7"/>
  <c r="AC7" i="7"/>
  <c r="T7" i="7"/>
  <c r="Y7" i="7"/>
  <c r="I7" i="7"/>
  <c r="AG7" i="7"/>
  <c r="K7" i="7"/>
  <c r="S7" i="7"/>
  <c r="AK7" i="7"/>
  <c r="N7" i="7"/>
  <c r="AJ7" i="7"/>
  <c r="T28" i="7"/>
  <c r="AJ33" i="7"/>
  <c r="Q36" i="7"/>
  <c r="AF38" i="7"/>
  <c r="I14" i="7"/>
  <c r="K10" i="7"/>
  <c r="T10" i="7"/>
  <c r="AG10" i="7"/>
  <c r="AE10" i="7"/>
  <c r="Z18" i="7"/>
  <c r="M18" i="7"/>
  <c r="T18" i="7"/>
  <c r="X18" i="7"/>
  <c r="V18" i="7"/>
  <c r="W26" i="7"/>
  <c r="U26" i="7"/>
  <c r="AQ34" i="7"/>
  <c r="AA28" i="7"/>
  <c r="AE35" i="7"/>
  <c r="I23" i="7"/>
  <c r="AE11" i="7"/>
  <c r="AA11" i="7"/>
  <c r="AK19" i="7"/>
  <c r="AQ27" i="7"/>
  <c r="AG35" i="7"/>
  <c r="Q12" i="7"/>
  <c r="AD36" i="7"/>
  <c r="AR13" i="7"/>
  <c r="AJ29" i="7"/>
  <c r="N35" i="7"/>
  <c r="N14" i="7"/>
  <c r="AK35" i="7"/>
  <c r="O23" i="7"/>
  <c r="AK17" i="7"/>
  <c r="I40" i="7"/>
  <c r="Q40" i="7"/>
  <c r="Y40" i="7"/>
  <c r="AG40" i="7"/>
  <c r="AO40" i="7"/>
  <c r="J40" i="7"/>
  <c r="X40" i="7"/>
  <c r="AL40" i="7"/>
  <c r="P40" i="7"/>
  <c r="AD40" i="7"/>
  <c r="V40" i="7"/>
  <c r="AM40" i="7"/>
  <c r="AE40" i="7"/>
  <c r="AK40" i="7"/>
  <c r="L40" i="7"/>
  <c r="AC40" i="7"/>
  <c r="AQ40" i="7"/>
  <c r="W40" i="7"/>
  <c r="N40" i="7"/>
  <c r="U40" i="7"/>
  <c r="AI40" i="7"/>
  <c r="O40" i="7"/>
  <c r="M40" i="7"/>
  <c r="AA40" i="7"/>
  <c r="AR40" i="7"/>
  <c r="AJ40" i="7"/>
  <c r="R26" i="7"/>
  <c r="J26" i="7"/>
  <c r="AG26" i="7"/>
  <c r="AP26" i="7"/>
  <c r="AO26" i="7"/>
  <c r="Q26" i="7"/>
  <c r="I26" i="7"/>
  <c r="Y26" i="7"/>
  <c r="AH9" i="7"/>
  <c r="T9" i="7"/>
  <c r="O9" i="7"/>
  <c r="AL9" i="7"/>
  <c r="Q9" i="7"/>
  <c r="AP9" i="7"/>
  <c r="AB9" i="7"/>
  <c r="W9" i="7"/>
  <c r="N9" i="7"/>
  <c r="Y9" i="7"/>
  <c r="K9" i="7"/>
  <c r="AJ9" i="7"/>
  <c r="AE9" i="7"/>
  <c r="V9" i="7"/>
  <c r="AG9" i="7"/>
  <c r="S9" i="7"/>
  <c r="AR9" i="7"/>
  <c r="AM9" i="7"/>
  <c r="AO9" i="7"/>
  <c r="AA9" i="7"/>
  <c r="M9" i="7"/>
  <c r="P9" i="7"/>
  <c r="J9" i="7"/>
  <c r="AI9" i="7"/>
  <c r="U9" i="7"/>
  <c r="X9" i="7"/>
  <c r="R9" i="7"/>
  <c r="AD9" i="7"/>
  <c r="Z9" i="7"/>
  <c r="AQ9" i="7"/>
  <c r="L9" i="7"/>
  <c r="AC9" i="7"/>
  <c r="AK9" i="7"/>
  <c r="X15" i="7"/>
  <c r="R15" i="7"/>
  <c r="U15" i="7"/>
  <c r="AI15" i="7"/>
  <c r="AF15" i="7"/>
  <c r="Z15" i="7"/>
  <c r="AC15" i="7"/>
  <c r="AJ15" i="7"/>
  <c r="AN15" i="7"/>
  <c r="AH15" i="7"/>
  <c r="AK15" i="7"/>
  <c r="AL15" i="7"/>
  <c r="O15" i="7"/>
  <c r="Q15" i="7"/>
  <c r="AP15" i="7"/>
  <c r="N15" i="7"/>
  <c r="AQ15" i="7"/>
  <c r="W15" i="7"/>
  <c r="Y15" i="7"/>
  <c r="K15" i="7"/>
  <c r="V15" i="7"/>
  <c r="AR15" i="7"/>
  <c r="AE15" i="7"/>
  <c r="AG15" i="7"/>
  <c r="S15" i="7"/>
  <c r="AD15" i="7"/>
  <c r="AO15" i="7"/>
  <c r="J15" i="7"/>
  <c r="AA15" i="7"/>
  <c r="M15" i="7"/>
  <c r="T15" i="7"/>
  <c r="L15" i="7"/>
  <c r="AB15" i="7"/>
  <c r="U20" i="7"/>
  <c r="AR20" i="7"/>
  <c r="I20" i="7"/>
  <c r="AO20" i="7"/>
  <c r="AA20" i="7"/>
  <c r="AB20" i="7"/>
  <c r="T20" i="7"/>
  <c r="P20" i="7"/>
  <c r="J20" i="7"/>
  <c r="AI20" i="7"/>
  <c r="AC20" i="7"/>
  <c r="AM20" i="7"/>
  <c r="X20" i="7"/>
  <c r="R20" i="7"/>
  <c r="AQ20" i="7"/>
  <c r="L20" i="7"/>
  <c r="AF20" i="7"/>
  <c r="Z20" i="7"/>
  <c r="N20" i="7"/>
  <c r="AE20" i="7"/>
  <c r="AN20" i="7"/>
  <c r="AH20" i="7"/>
  <c r="V20" i="7"/>
  <c r="M20" i="7"/>
  <c r="Q20" i="7"/>
  <c r="AP20" i="7"/>
  <c r="AD20" i="7"/>
  <c r="AJ20" i="7"/>
  <c r="Z40" i="7"/>
  <c r="AK26" i="7"/>
  <c r="AH26" i="7"/>
  <c r="K20" i="7"/>
  <c r="Z34" i="7"/>
  <c r="AM15" i="7"/>
  <c r="AF9" i="7"/>
  <c r="I8" i="7"/>
  <c r="T8" i="7"/>
  <c r="N8" i="7"/>
  <c r="P8" i="7"/>
  <c r="AP8" i="7"/>
  <c r="AG8" i="7"/>
  <c r="AB8" i="7"/>
  <c r="V8" i="7"/>
  <c r="X8" i="7"/>
  <c r="K8" i="7"/>
  <c r="AO8" i="7"/>
  <c r="AJ8" i="7"/>
  <c r="AD8" i="7"/>
  <c r="AF8" i="7"/>
  <c r="S8" i="7"/>
  <c r="AR8" i="7"/>
  <c r="AL8" i="7"/>
  <c r="AN8" i="7"/>
  <c r="AA8" i="7"/>
  <c r="M8" i="7"/>
  <c r="O8" i="7"/>
  <c r="J8" i="7"/>
  <c r="AI8" i="7"/>
  <c r="U8" i="7"/>
  <c r="W8" i="7"/>
  <c r="R8" i="7"/>
  <c r="AQ8" i="7"/>
  <c r="Z8" i="7"/>
  <c r="AH8" i="7"/>
  <c r="Q8" i="7"/>
  <c r="L8" i="7"/>
  <c r="Y8" i="7"/>
  <c r="AC8" i="7"/>
  <c r="AK8" i="7"/>
  <c r="W33" i="7"/>
  <c r="L33" i="7"/>
  <c r="AH33" i="7"/>
  <c r="AP33" i="7"/>
  <c r="AE33" i="7"/>
  <c r="X33" i="7"/>
  <c r="AM33" i="7"/>
  <c r="K33" i="7"/>
  <c r="T33" i="7"/>
  <c r="N33" i="7"/>
  <c r="Q33" i="7"/>
  <c r="V33" i="7"/>
  <c r="J33" i="7"/>
  <c r="AQ33" i="7"/>
  <c r="AD33" i="7"/>
  <c r="AG33" i="7"/>
  <c r="U33" i="7"/>
  <c r="AO33" i="7"/>
  <c r="AC33" i="7"/>
  <c r="AI33" i="7"/>
  <c r="AF33" i="7"/>
  <c r="S33" i="7"/>
  <c r="Y33" i="7"/>
  <c r="AA33" i="7"/>
  <c r="I33" i="7"/>
  <c r="AR33" i="7"/>
  <c r="AN33" i="7"/>
  <c r="I21" i="7"/>
  <c r="N21" i="7"/>
  <c r="P21" i="7"/>
  <c r="AR21" i="7"/>
  <c r="AJ21" i="7"/>
  <c r="AP21" i="7"/>
  <c r="AA21" i="7"/>
  <c r="O21" i="7"/>
  <c r="S21" i="7"/>
  <c r="AI21" i="7"/>
  <c r="M21" i="7"/>
  <c r="W21" i="7"/>
  <c r="J21" i="7"/>
  <c r="T21" i="7"/>
  <c r="U21" i="7"/>
  <c r="AE21" i="7"/>
  <c r="AB21" i="7"/>
  <c r="Y21" i="7"/>
  <c r="AC21" i="7"/>
  <c r="AM21" i="7"/>
  <c r="L21" i="7"/>
  <c r="AO21" i="7"/>
  <c r="AK21" i="7"/>
  <c r="X21" i="7"/>
  <c r="AG21" i="7"/>
  <c r="Z21" i="7"/>
  <c r="V21" i="7"/>
  <c r="AF21" i="7"/>
  <c r="Q21" i="7"/>
  <c r="L39" i="7"/>
  <c r="T39" i="7"/>
  <c r="AB39" i="7"/>
  <c r="AJ39" i="7"/>
  <c r="AR39" i="7"/>
  <c r="AP39" i="7"/>
  <c r="AH39" i="7"/>
  <c r="AQ39" i="7"/>
  <c r="Z39" i="7"/>
  <c r="M39" i="7"/>
  <c r="AI39" i="7"/>
  <c r="R39" i="7"/>
  <c r="AA39" i="7"/>
  <c r="J39" i="7"/>
  <c r="S39" i="7"/>
  <c r="K39" i="7"/>
  <c r="V39" i="7"/>
  <c r="AM39" i="7"/>
  <c r="N39" i="7"/>
  <c r="AE39" i="7"/>
  <c r="AO39" i="7"/>
  <c r="W39" i="7"/>
  <c r="AG39" i="7"/>
  <c r="AN39" i="7"/>
  <c r="O39" i="7"/>
  <c r="Y39" i="7"/>
  <c r="AF39" i="7"/>
  <c r="I6" i="7"/>
  <c r="K6" i="7"/>
  <c r="AJ6" i="7"/>
  <c r="AD6" i="7"/>
  <c r="AG6" i="7"/>
  <c r="S6" i="7"/>
  <c r="AR6" i="7"/>
  <c r="AL6" i="7"/>
  <c r="AO6" i="7"/>
  <c r="AA6" i="7"/>
  <c r="M6" i="7"/>
  <c r="P6" i="7"/>
  <c r="O6" i="7"/>
  <c r="J6" i="7"/>
  <c r="AI6" i="7"/>
  <c r="U6" i="7"/>
  <c r="X6" i="7"/>
  <c r="W6" i="7"/>
  <c r="R6" i="7"/>
  <c r="AQ6" i="7"/>
  <c r="AC6" i="7"/>
  <c r="Z6" i="7"/>
  <c r="L6" i="7"/>
  <c r="AK6" i="7"/>
  <c r="AN6" i="7"/>
  <c r="AM6" i="7"/>
  <c r="AN17" i="7"/>
  <c r="Q29" i="7"/>
  <c r="M34" i="7"/>
  <c r="AA36" i="7"/>
  <c r="AN38" i="7"/>
  <c r="AK10" i="7"/>
  <c r="L10" i="7"/>
  <c r="Y10" i="7"/>
  <c r="W10" i="7"/>
  <c r="AQ18" i="7"/>
  <c r="AH18" i="7"/>
  <c r="L18" i="7"/>
  <c r="P18" i="7"/>
  <c r="N18" i="7"/>
  <c r="O26" i="7"/>
  <c r="M26" i="7"/>
  <c r="AA26" i="7"/>
  <c r="AI34" i="7"/>
  <c r="R31" i="7"/>
  <c r="AQ35" i="7"/>
  <c r="K40" i="7"/>
  <c r="I31" i="7"/>
  <c r="W11" i="7"/>
  <c r="AE19" i="7"/>
  <c r="U19" i="7"/>
  <c r="AI27" i="7"/>
  <c r="X35" i="7"/>
  <c r="AB6" i="7"/>
  <c r="AR35" i="7"/>
  <c r="AE12" i="7"/>
  <c r="AK20" i="7"/>
  <c r="AH28" i="7"/>
  <c r="R13" i="7"/>
  <c r="P39" i="7"/>
  <c r="S13" i="7"/>
  <c r="K21" i="7"/>
  <c r="Q38" i="7"/>
  <c r="S14" i="7"/>
  <c r="I35" i="7"/>
  <c r="L28" i="7"/>
  <c r="Z24" i="7"/>
  <c r="AQ25" i="7"/>
  <c r="AM26" i="7"/>
  <c r="L26" i="7"/>
  <c r="T34" i="7"/>
  <c r="K35" i="7"/>
  <c r="U27" i="7"/>
  <c r="X27" i="7"/>
  <c r="AB40" i="7"/>
  <c r="I9" i="7"/>
  <c r="I16" i="7"/>
  <c r="AB16" i="7"/>
  <c r="V16" i="7"/>
  <c r="R16" i="7"/>
  <c r="S16" i="7"/>
  <c r="AJ16" i="7"/>
  <c r="AD16" i="7"/>
  <c r="Z16" i="7"/>
  <c r="AO16" i="7"/>
  <c r="AR16" i="7"/>
  <c r="AL16" i="7"/>
  <c r="AH16" i="7"/>
  <c r="X16" i="7"/>
  <c r="K16" i="7"/>
  <c r="M16" i="7"/>
  <c r="O16" i="7"/>
  <c r="AP16" i="7"/>
  <c r="AQ16" i="7"/>
  <c r="U16" i="7"/>
  <c r="W16" i="7"/>
  <c r="P16" i="7"/>
  <c r="Y16" i="7"/>
  <c r="AC16" i="7"/>
  <c r="AE16" i="7"/>
  <c r="AI16" i="7"/>
  <c r="AA16" i="7"/>
  <c r="AG16" i="7"/>
  <c r="Q16" i="7"/>
  <c r="AN16" i="7"/>
  <c r="L16" i="7"/>
  <c r="AF16" i="7"/>
  <c r="T16" i="7"/>
  <c r="AK16" i="7"/>
  <c r="N16" i="7"/>
  <c r="AJ41" i="7"/>
  <c r="AB41" i="7"/>
  <c r="AK41" i="7"/>
  <c r="T41" i="7"/>
  <c r="AL41" i="7"/>
  <c r="AC41" i="7"/>
  <c r="L41" i="7"/>
  <c r="AD41" i="7"/>
  <c r="U41" i="7"/>
  <c r="V41" i="7"/>
  <c r="M41" i="7"/>
  <c r="N41" i="7"/>
  <c r="S41" i="7"/>
  <c r="AO41" i="7"/>
  <c r="P41" i="7"/>
  <c r="AR41" i="7"/>
  <c r="K41" i="7"/>
  <c r="AG41" i="7"/>
  <c r="Y41" i="7"/>
  <c r="I41" i="7"/>
  <c r="AP41" i="7"/>
  <c r="Q41" i="7"/>
  <c r="AH41" i="7"/>
  <c r="O41" i="7"/>
  <c r="AQ41" i="7"/>
  <c r="Z41" i="7"/>
  <c r="I29" i="7"/>
  <c r="AA29" i="7"/>
  <c r="M29" i="7"/>
  <c r="O29" i="7"/>
  <c r="AN29" i="7"/>
  <c r="R29" i="7"/>
  <c r="AQ29" i="7"/>
  <c r="AC29" i="7"/>
  <c r="P29" i="7"/>
  <c r="AG29" i="7"/>
  <c r="AO29" i="7"/>
  <c r="K29" i="7"/>
  <c r="U29" i="7"/>
  <c r="AM29" i="7"/>
  <c r="S29" i="7"/>
  <c r="AK29" i="7"/>
  <c r="X29" i="7"/>
  <c r="AI29" i="7"/>
  <c r="N29" i="7"/>
  <c r="L29" i="7"/>
  <c r="V29" i="7"/>
  <c r="J29" i="7"/>
  <c r="T29" i="7"/>
  <c r="AD29" i="7"/>
  <c r="Y29" i="7"/>
  <c r="Z29" i="7"/>
  <c r="AB29" i="7"/>
  <c r="AL29" i="7"/>
  <c r="K22" i="7"/>
  <c r="L22" i="7"/>
  <c r="X22" i="7"/>
  <c r="S22" i="7"/>
  <c r="V22" i="7"/>
  <c r="AJ22" i="7"/>
  <c r="AM22" i="7"/>
  <c r="AA22" i="7"/>
  <c r="AF22" i="7"/>
  <c r="O22" i="7"/>
  <c r="J22" i="7"/>
  <c r="AI22" i="7"/>
  <c r="AN22" i="7"/>
  <c r="R22" i="7"/>
  <c r="AQ22" i="7"/>
  <c r="M22" i="7"/>
  <c r="AK22" i="7"/>
  <c r="Z22" i="7"/>
  <c r="U22" i="7"/>
  <c r="W22" i="7"/>
  <c r="P22" i="7"/>
  <c r="AR22" i="7"/>
  <c r="AG22" i="7"/>
  <c r="N22" i="7"/>
  <c r="T22" i="7"/>
  <c r="Y22" i="7"/>
  <c r="AD22" i="7"/>
  <c r="AH22" i="7"/>
  <c r="AB22" i="7"/>
  <c r="AP22" i="7"/>
  <c r="AL22" i="7"/>
  <c r="AC22" i="7"/>
  <c r="O30" i="7"/>
  <c r="Q30" i="7"/>
  <c r="AP30" i="7"/>
  <c r="AB30" i="7"/>
  <c r="AK30" i="7"/>
  <c r="W30" i="7"/>
  <c r="Y30" i="7"/>
  <c r="K30" i="7"/>
  <c r="AJ30" i="7"/>
  <c r="AE30" i="7"/>
  <c r="AG30" i="7"/>
  <c r="S30" i="7"/>
  <c r="AR30" i="7"/>
  <c r="M30" i="7"/>
  <c r="AM30" i="7"/>
  <c r="AO30" i="7"/>
  <c r="AA30" i="7"/>
  <c r="AL30" i="7"/>
  <c r="P30" i="7"/>
  <c r="J30" i="7"/>
  <c r="AI30" i="7"/>
  <c r="X30" i="7"/>
  <c r="R30" i="7"/>
  <c r="AQ30" i="7"/>
  <c r="Z30" i="7"/>
  <c r="U30" i="7"/>
  <c r="AH30" i="7"/>
  <c r="L30" i="7"/>
  <c r="T30" i="7"/>
  <c r="V30" i="7"/>
  <c r="AQ21" i="7"/>
  <c r="N30" i="7"/>
  <c r="W34" i="7"/>
  <c r="AM36" i="7"/>
  <c r="U39" i="7"/>
  <c r="AE41" i="7"/>
  <c r="I30" i="7"/>
  <c r="AC10" i="7"/>
  <c r="AP10" i="7"/>
  <c r="Q10" i="7"/>
  <c r="O10" i="7"/>
  <c r="U18" i="7"/>
  <c r="K18" i="7"/>
  <c r="AO18" i="7"/>
  <c r="AM18" i="7"/>
  <c r="AN26" i="7"/>
  <c r="AL26" i="7"/>
  <c r="AR26" i="7"/>
  <c r="S26" i="7"/>
  <c r="S34" i="7"/>
  <c r="AQ31" i="7"/>
  <c r="AB36" i="7"/>
  <c r="S40" i="7"/>
  <c r="I39" i="7"/>
  <c r="Z19" i="7"/>
  <c r="T19" i="7"/>
  <c r="P35" i="7"/>
  <c r="T6" i="7"/>
  <c r="S36" i="7"/>
  <c r="O20" i="7"/>
  <c r="Z28" i="7"/>
  <c r="AH19" i="7"/>
  <c r="X39" i="7"/>
  <c r="AO13" i="7"/>
  <c r="AN21" i="7"/>
  <c r="AH29" i="7"/>
  <c r="Q39" i="7"/>
  <c r="AB7" i="7"/>
  <c r="AR28" i="7"/>
  <c r="AI25" i="7"/>
  <c r="O27" i="7"/>
  <c r="I27" i="7"/>
  <c r="AM27" i="7"/>
  <c r="N27" i="7"/>
  <c r="AL27" i="7"/>
  <c r="AF27" i="7"/>
  <c r="Z27" i="7"/>
  <c r="L27" i="7"/>
  <c r="AK27" i="7"/>
  <c r="AN27" i="7"/>
  <c r="AH27" i="7"/>
  <c r="T27" i="7"/>
  <c r="AE27" i="7"/>
  <c r="Q27" i="7"/>
  <c r="AP27" i="7"/>
  <c r="AB27" i="7"/>
  <c r="Y27" i="7"/>
  <c r="K27" i="7"/>
  <c r="AJ27" i="7"/>
  <c r="AD27" i="7"/>
  <c r="V27" i="7"/>
  <c r="AO27" i="7"/>
  <c r="AA27" i="7"/>
  <c r="M27" i="7"/>
  <c r="P26" i="7"/>
  <c r="I24" i="7"/>
  <c r="U24" i="7"/>
  <c r="AL24" i="7"/>
  <c r="AE24" i="7"/>
  <c r="K24" i="7"/>
  <c r="AC24" i="7"/>
  <c r="Q24" i="7"/>
  <c r="AO24" i="7"/>
  <c r="W24" i="7"/>
  <c r="L24" i="7"/>
  <c r="AK24" i="7"/>
  <c r="AA24" i="7"/>
  <c r="J24" i="7"/>
  <c r="T24" i="7"/>
  <c r="O24" i="7"/>
  <c r="AM24" i="7"/>
  <c r="V24" i="7"/>
  <c r="N24" i="7"/>
  <c r="AB24" i="7"/>
  <c r="Y24" i="7"/>
  <c r="R24" i="7"/>
  <c r="AF24" i="7"/>
  <c r="AJ24" i="7"/>
  <c r="AI24" i="7"/>
  <c r="AD24" i="7"/>
  <c r="AP24" i="7"/>
  <c r="AN24" i="7"/>
  <c r="AH24" i="7"/>
  <c r="S24" i="7"/>
  <c r="AQ24" i="7"/>
  <c r="AR24" i="7"/>
  <c r="M24" i="7"/>
  <c r="X11" i="7"/>
  <c r="I11" i="7"/>
  <c r="T11" i="7"/>
  <c r="N11" i="7"/>
  <c r="Q11" i="7"/>
  <c r="AP11" i="7"/>
  <c r="AB11" i="7"/>
  <c r="V11" i="7"/>
  <c r="Y11" i="7"/>
  <c r="AF11" i="7"/>
  <c r="K11" i="7"/>
  <c r="AJ11" i="7"/>
  <c r="AD11" i="7"/>
  <c r="AG11" i="7"/>
  <c r="AN11" i="7"/>
  <c r="S11" i="7"/>
  <c r="AR11" i="7"/>
  <c r="AL11" i="7"/>
  <c r="AO11" i="7"/>
  <c r="P11" i="7"/>
  <c r="AI11" i="7"/>
  <c r="U11" i="7"/>
  <c r="M37" i="7"/>
  <c r="W37" i="7"/>
  <c r="AG37" i="7"/>
  <c r="I37" i="7"/>
  <c r="AE37" i="7"/>
  <c r="R37" i="7"/>
  <c r="AQ37" i="7"/>
  <c r="U37" i="7"/>
  <c r="AR37" i="7"/>
  <c r="AH37" i="7"/>
  <c r="AF37" i="7"/>
  <c r="T37" i="7"/>
  <c r="V37" i="7"/>
  <c r="L37" i="7"/>
  <c r="AN37" i="7"/>
  <c r="K37" i="7"/>
  <c r="O37" i="7"/>
  <c r="AD37" i="7"/>
  <c r="S37" i="7"/>
  <c r="AL37" i="7"/>
  <c r="AA37" i="7"/>
  <c r="AB37" i="7"/>
  <c r="AI37" i="7"/>
  <c r="P37" i="7"/>
  <c r="AM37" i="7"/>
  <c r="AO37" i="7"/>
  <c r="J37" i="7"/>
  <c r="AC37" i="7"/>
  <c r="AL42" i="7"/>
  <c r="K42" i="7"/>
  <c r="S42" i="7"/>
  <c r="AA42" i="7"/>
  <c r="AI42" i="7"/>
  <c r="AQ42" i="7"/>
  <c r="R42" i="7"/>
  <c r="AF42" i="7"/>
  <c r="J42" i="7"/>
  <c r="X42" i="7"/>
  <c r="L42" i="7"/>
  <c r="P42" i="7"/>
  <c r="AO42" i="7"/>
  <c r="AG42" i="7"/>
  <c r="AP42" i="7"/>
  <c r="Y42" i="7"/>
  <c r="Q42" i="7"/>
  <c r="I42" i="7"/>
  <c r="AE42" i="7"/>
  <c r="W42" i="7"/>
  <c r="AK42" i="7"/>
  <c r="O42" i="7"/>
  <c r="AC42" i="7"/>
  <c r="U42" i="7"/>
  <c r="AH42" i="7"/>
  <c r="AN42" i="7"/>
  <c r="Z42" i="7"/>
  <c r="AD42" i="7"/>
  <c r="I12" i="7"/>
  <c r="AG12" i="7"/>
  <c r="S12" i="7"/>
  <c r="AR12" i="7"/>
  <c r="AM12" i="7"/>
  <c r="AO12" i="7"/>
  <c r="AA12" i="7"/>
  <c r="N12" i="7"/>
  <c r="M12" i="7"/>
  <c r="P12" i="7"/>
  <c r="J12" i="7"/>
  <c r="AI12" i="7"/>
  <c r="V12" i="7"/>
  <c r="U12" i="7"/>
  <c r="X12" i="7"/>
  <c r="R12" i="7"/>
  <c r="AQ12" i="7"/>
  <c r="AD12" i="7"/>
  <c r="AC12" i="7"/>
  <c r="AF12" i="7"/>
  <c r="Z12" i="7"/>
  <c r="L12" i="7"/>
  <c r="AL12" i="7"/>
  <c r="AK12" i="7"/>
  <c r="AN12" i="7"/>
  <c r="AH12" i="7"/>
  <c r="T12" i="7"/>
  <c r="O12" i="7"/>
  <c r="AG34" i="7"/>
  <c r="N37" i="7"/>
  <c r="AC39" i="7"/>
  <c r="AM41" i="7"/>
  <c r="I38" i="7"/>
  <c r="U10" i="7"/>
  <c r="AH10" i="7"/>
  <c r="AN10" i="7"/>
  <c r="AL10" i="7"/>
  <c r="AP18" i="7"/>
  <c r="AC18" i="7"/>
  <c r="AG18" i="7"/>
  <c r="AE18" i="7"/>
  <c r="AF26" i="7"/>
  <c r="AD26" i="7"/>
  <c r="AJ26" i="7"/>
  <c r="K26" i="7"/>
  <c r="K34" i="7"/>
  <c r="AE32" i="7"/>
  <c r="Y37" i="7"/>
  <c r="X41" i="7"/>
  <c r="AH11" i="7"/>
  <c r="AK11" i="7"/>
  <c r="AP19" i="7"/>
  <c r="R27" i="7"/>
  <c r="AE6" i="7"/>
  <c r="AP6" i="7"/>
  <c r="Y38" i="7"/>
  <c r="AJ12" i="7"/>
  <c r="W20" i="7"/>
  <c r="AN28" i="7"/>
  <c r="AF29" i="7"/>
  <c r="J41" i="7"/>
  <c r="AM13" i="7"/>
  <c r="AL21" i="7"/>
  <c r="AP37" i="7"/>
  <c r="AA41" i="7"/>
  <c r="AO22" i="7"/>
  <c r="AE7" i="7"/>
  <c r="AF40" i="7"/>
  <c r="O33" i="7"/>
  <c r="R40" i="7"/>
  <c r="N26" i="7"/>
  <c r="AJ34" i="7"/>
  <c r="AC27" i="7"/>
  <c r="AG27" i="7"/>
  <c r="P34" i="7"/>
  <c r="I32" i="7"/>
  <c r="R32" i="7"/>
  <c r="AQ32" i="7"/>
  <c r="AC32" i="7"/>
  <c r="V32" i="7"/>
  <c r="X32" i="7"/>
  <c r="Z32" i="7"/>
  <c r="L32" i="7"/>
  <c r="AK32" i="7"/>
  <c r="AH32" i="7"/>
  <c r="T32" i="7"/>
  <c r="Q32" i="7"/>
  <c r="AP32" i="7"/>
  <c r="AB32" i="7"/>
  <c r="W32" i="7"/>
  <c r="Y32" i="7"/>
  <c r="K32" i="7"/>
  <c r="AJ32" i="7"/>
  <c r="AG32" i="7"/>
  <c r="S32" i="7"/>
  <c r="AR32" i="7"/>
  <c r="AA32" i="7"/>
  <c r="AF32" i="7"/>
  <c r="AI32" i="7"/>
  <c r="AN32" i="7"/>
  <c r="N32" i="7"/>
  <c r="M32" i="7"/>
  <c r="U32" i="7"/>
  <c r="AM32" i="7"/>
  <c r="AL32" i="7"/>
  <c r="P32" i="7"/>
  <c r="O32" i="7"/>
  <c r="I19" i="7"/>
  <c r="AB19" i="7"/>
  <c r="V19" i="7"/>
  <c r="AM19" i="7"/>
  <c r="J19" i="7"/>
  <c r="K19" i="7"/>
  <c r="AJ19" i="7"/>
  <c r="AD19" i="7"/>
  <c r="R19" i="7"/>
  <c r="AF19" i="7"/>
  <c r="S19" i="7"/>
  <c r="AR19" i="7"/>
  <c r="AL19" i="7"/>
  <c r="AN19" i="7"/>
  <c r="O19" i="7"/>
  <c r="AA19" i="7"/>
  <c r="M19" i="7"/>
  <c r="Q19" i="7"/>
  <c r="W19" i="7"/>
  <c r="AQ19" i="7"/>
  <c r="AC19" i="7"/>
  <c r="AG19" i="7"/>
  <c r="X19" i="7"/>
  <c r="J14" i="7"/>
  <c r="AI14" i="7"/>
  <c r="U14" i="7"/>
  <c r="X14" i="7"/>
  <c r="W14" i="7"/>
  <c r="R14" i="7"/>
  <c r="AQ14" i="7"/>
  <c r="AC14" i="7"/>
  <c r="AF14" i="7"/>
  <c r="AE14" i="7"/>
  <c r="Z14" i="7"/>
  <c r="L14" i="7"/>
  <c r="AK14" i="7"/>
  <c r="AN14" i="7"/>
  <c r="AM14" i="7"/>
  <c r="AP14" i="7"/>
  <c r="K14" i="7"/>
  <c r="AA14" i="7"/>
  <c r="AD14" i="7"/>
  <c r="T14" i="7"/>
  <c r="AL14" i="7"/>
  <c r="AB14" i="7"/>
  <c r="P14" i="7"/>
  <c r="AJ14" i="7"/>
  <c r="Q14" i="7"/>
  <c r="AR14" i="7"/>
  <c r="Y14" i="7"/>
  <c r="M14" i="7"/>
  <c r="AG14" i="7"/>
  <c r="AE23" i="7"/>
  <c r="AL23" i="7"/>
  <c r="K23" i="7"/>
  <c r="M23" i="7"/>
  <c r="AM23" i="7"/>
  <c r="S23" i="7"/>
  <c r="U23" i="7"/>
  <c r="Y23" i="7"/>
  <c r="P23" i="7"/>
  <c r="AC23" i="7"/>
  <c r="AG23" i="7"/>
  <c r="AI23" i="7"/>
  <c r="N23" i="7"/>
  <c r="X23" i="7"/>
  <c r="AO23" i="7"/>
  <c r="AQ23" i="7"/>
  <c r="AF23" i="7"/>
  <c r="J23" i="7"/>
  <c r="L23" i="7"/>
  <c r="AN23" i="7"/>
  <c r="T23" i="7"/>
  <c r="V23" i="7"/>
  <c r="R23" i="7"/>
  <c r="AB23" i="7"/>
  <c r="AA23" i="7"/>
  <c r="AD23" i="7"/>
  <c r="AK23" i="7"/>
  <c r="AP23" i="7"/>
  <c r="AH23" i="7"/>
  <c r="AJ23" i="7"/>
  <c r="AR23" i="7"/>
  <c r="AB31" i="7"/>
  <c r="V31" i="7"/>
  <c r="X31" i="7"/>
  <c r="AI31" i="7"/>
  <c r="AO31" i="7"/>
  <c r="AJ31" i="7"/>
  <c r="AD31" i="7"/>
  <c r="AF31" i="7"/>
  <c r="AH31" i="7"/>
  <c r="J31" i="7"/>
  <c r="AR31" i="7"/>
  <c r="AL31" i="7"/>
  <c r="AN31" i="7"/>
  <c r="M31" i="7"/>
  <c r="O31" i="7"/>
  <c r="Q31" i="7"/>
  <c r="U31" i="7"/>
  <c r="W31" i="7"/>
  <c r="Y31" i="7"/>
  <c r="AC31" i="7"/>
  <c r="AE31" i="7"/>
  <c r="AG31" i="7"/>
  <c r="L31" i="7"/>
  <c r="T31" i="7"/>
  <c r="AK31" i="7"/>
  <c r="S31" i="7"/>
  <c r="N31" i="7"/>
  <c r="AM31" i="7"/>
  <c r="P31" i="7"/>
  <c r="AA31" i="7"/>
  <c r="Z31" i="7"/>
  <c r="X24" i="7"/>
  <c r="AP31" i="7"/>
  <c r="J35" i="7"/>
  <c r="X37" i="7"/>
  <c r="AK39" i="7"/>
  <c r="T42" i="7"/>
  <c r="AQ10" i="7"/>
  <c r="M10" i="7"/>
  <c r="Z10" i="7"/>
  <c r="AF10" i="7"/>
  <c r="AD10" i="7"/>
  <c r="S18" i="7"/>
  <c r="J18" i="7"/>
  <c r="Y18" i="7"/>
  <c r="W18" i="7"/>
  <c r="X26" i="7"/>
  <c r="V26" i="7"/>
  <c r="AB26" i="7"/>
  <c r="AR34" i="7"/>
  <c r="Q22" i="7"/>
  <c r="P33" i="7"/>
  <c r="AK37" i="7"/>
  <c r="AF41" i="7"/>
  <c r="Z11" i="7"/>
  <c r="AC11" i="7"/>
  <c r="P19" i="7"/>
  <c r="AI19" i="7"/>
  <c r="J27" i="7"/>
  <c r="Y6" i="7"/>
  <c r="AH6" i="7"/>
  <c r="AH38" i="7"/>
  <c r="AB12" i="7"/>
  <c r="AL20" i="7"/>
  <c r="AF28" i="7"/>
  <c r="AC30" i="7"/>
  <c r="R41" i="7"/>
  <c r="AE13" i="7"/>
  <c r="AD21" i="7"/>
  <c r="Z37" i="7"/>
  <c r="AI41" i="7"/>
  <c r="AE22" i="7"/>
  <c r="W7" i="7"/>
  <c r="AN40" i="7"/>
  <c r="AO32" i="7"/>
  <c r="AL33" i="7"/>
  <c r="B3" i="3" a="1"/>
  <c r="B3" i="3" s="1"/>
  <c r="C3" i="3" a="1"/>
  <c r="C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<sst xmlns="http://schemas.openxmlformats.org/spreadsheetml/2006/main" count="422" uniqueCount="195">
  <si>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</si>
  <si>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</si>
  <si>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</si>
  <si>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</si>
  <si>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</si>
  <si>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</si>
  <si>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</si>
  <si>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</si>
  <si>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</si>
  <si>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</si>
  <si>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</si>
  <si>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</si>
  <si>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</si>
  <si>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</si>
  <si>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</si>
  <si>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</si>
  <si>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</si>
  <si>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</si>
  <si>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</si>
  <si>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</si>
  <si>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</si>
  <si>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</si>
  <si>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</si>
  <si>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</si>
  <si>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</si>
  <si>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</si>
  <si>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</si>
  <si>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</si>
  <si>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</si>
  <si>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</si>
  <si>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</si>
  <si>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</si>
  <si>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</si>
  <si>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</si>
  <si>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</si>
  <si>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</si>
  <si>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</si>
  <si>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</si>
  <si>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</si>
  <si>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</si>
  <si>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</si>
  <si>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</si>
  <si>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</si>
  <si>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</si>
  <si>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</si>
  <si>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</si>
  <si>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</si>
  <si>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</si>
  <si>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</si>
  <si>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</si>
  <si>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</si>
  <si>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</si>
  <si>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</si>
  <si>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</si>
  <si>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</si>
  <si>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</si>
  <si>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</si>
  <si>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</si>
  <si>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</si>
  <si>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</si>
  <si>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</si>
  <si>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</si>
  <si>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</si>
  <si>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</si>
  <si>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</si>
  <si>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</si>
  <si>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</si>
  <si>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</si>
  <si>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</si>
  <si>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</si>
  <si>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</si>
  <si>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</si>
  <si>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</si>
  <si>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</si>
  <si>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</si>
  <si>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</si>
  <si>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</si>
  <si>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</si>
  <si>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</si>
  <si>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</si>
  <si>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</si>
  <si>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</si>
  <si>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</si>
  <si>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</si>
  <si>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</si>
  <si>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</si>
  <si>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</si>
  <si>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</si>
  <si>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</si>
  <si>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</si>
  <si>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</si>
  <si>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</si>
  <si>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</si>
  <si>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</si>
  <si>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</si>
  <si>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</si>
  <si>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</si>
  <si>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</si>
  <si>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</si>
  <si>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</si>
  <si>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</si>
  <si>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</si>
  <si>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</si>
  <si>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</si>
  <si>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</si>
  <si>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</si>
  <si>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</si>
  <si>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</si>
  <si>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</si>
  <si>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</si>
  <si>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</si>
  <si>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screc1</t>
  </si>
  <si>
    <t>screc2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</si>
  <si>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</si>
  <si>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</si>
  <si>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</si>
  <si>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</si>
  <si>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</si>
  <si>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</si>
  <si>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</si>
  <si>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</si>
  <si>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</si>
  <si>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</si>
  <si>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</si>
  <si>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</si>
  <si>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</si>
  <si>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</si>
  <si>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</si>
  <si>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</si>
  <si>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</si>
  <si>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</si>
  <si>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</si>
  <si>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</si>
  <si>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</si>
  <si>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</si>
  <si>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</si>
  <si>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</si>
  <si>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</si>
  <si>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</si>
  <si>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</si>
  <si>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</si>
  <si>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</si>
  <si>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</si>
  <si>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</si>
  <si>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</si>
  <si>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</si>
  <si>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</si>
  <si>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</si>
  <si>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</si>
  <si>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</si>
  <si>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</si>
  <si>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</si>
  <si>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</si>
  <si>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</si>
  <si>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</si>
  <si>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</si>
  <si>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</si>
  <si>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</si>
  <si>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</si>
  <si>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</si>
  <si>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</si>
  <si>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</si>
  <si>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</si>
  <si>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</si>
  <si>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</si>
  <si>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</si>
  <si>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screc13</t>
  </si>
  <si>
    <t>screc14</t>
  </si>
  <si>
    <t>screc15</t>
  </si>
  <si>
    <t>screc16</t>
  </si>
  <si>
    <t>screc17</t>
  </si>
  <si>
    <t>screc18</t>
  </si>
  <si>
    <t>screc19</t>
  </si>
  <si>
    <t>screc20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</si>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</sst>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9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0" fontId="0" fillId="8" borderId="10" xfId="0" quotePrefix="1" applyFill="1" applyBorder="1"/>
    <xf numFmtId="0" fontId="2" fillId="8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8" borderId="0" xfId="0" quotePrefix="1" applyFont="1" applyFill="1" applyAlignment="1">
      <alignment horizontal="center"/>
    </xf>
    <xf numFmtId="178" fontId="24" fillId="8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8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-3073.6043153825431</c:v>
                </c:pt>
                <c:pt idx="1">
                  <c:v>-21014.543709275065</c:v>
                </c:pt>
                <c:pt idx="2">
                  <c:v>-14396.809853603367</c:v>
                </c:pt>
                <c:pt idx="3">
                  <c:v>-7773.5276819031833</c:v>
                </c:pt>
                <c:pt idx="4">
                  <c:v>-133.36026747948117</c:v>
                </c:pt>
                <c:pt idx="5">
                  <c:v>8282.1357048311475</c:v>
                </c:pt>
                <c:pt idx="6">
                  <c:v>-36709.266742507963</c:v>
                </c:pt>
                <c:pt idx="7">
                  <c:v>-30091.532886836259</c:v>
                </c:pt>
                <c:pt idx="8">
                  <c:v>-23468.250715550683</c:v>
                </c:pt>
                <c:pt idx="9">
                  <c:v>-15828.083291945324</c:v>
                </c:pt>
                <c:pt idx="10">
                  <c:v>-7529.4605042757785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73063.024262572784</c:v>
                </c:pt>
                <c:pt idx="1">
                  <c:v>54083.285205070351</c:v>
                </c:pt>
                <c:pt idx="2">
                  <c:v>60701.019060742066</c:v>
                </c:pt>
                <c:pt idx="3">
                  <c:v>67431.513028818576</c:v>
                </c:pt>
                <c:pt idx="4">
                  <c:v>75620.709429423674</c:v>
                </c:pt>
                <c:pt idx="5">
                  <c:v>85178.234374990774</c:v>
                </c:pt>
                <c:pt idx="6">
                  <c:v>54083.28346753287</c:v>
                </c:pt>
                <c:pt idx="7">
                  <c:v>60701.017323204585</c:v>
                </c:pt>
                <c:pt idx="8">
                  <c:v>67431.511272697637</c:v>
                </c:pt>
                <c:pt idx="9">
                  <c:v>75620.707689314091</c:v>
                </c:pt>
                <c:pt idx="10">
                  <c:v>85279.514232233196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76136.628577955315</c:v>
                </c:pt>
                <c:pt idx="1">
                  <c:v>75097.828914345431</c:v>
                </c:pt>
                <c:pt idx="2">
                  <c:v>75097.828914345417</c:v>
                </c:pt>
                <c:pt idx="3">
                  <c:v>75205.040710721747</c:v>
                </c:pt>
                <c:pt idx="4">
                  <c:v>75754.069696903156</c:v>
                </c:pt>
                <c:pt idx="5">
                  <c:v>76896.098670159612</c:v>
                </c:pt>
                <c:pt idx="6">
                  <c:v>90792.550210040834</c:v>
                </c:pt>
                <c:pt idx="7">
                  <c:v>90792.550210040834</c:v>
                </c:pt>
                <c:pt idx="8">
                  <c:v>90899.761988248327</c:v>
                </c:pt>
                <c:pt idx="9">
                  <c:v>91448.790981259415</c:v>
                </c:pt>
                <c:pt idx="10">
                  <c:v>92808.974736508972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46018.902794791342</c:v>
                </c:pt>
                <c:pt idx="1">
                  <c:v>46771.384049445318</c:v>
                </c:pt>
                <c:pt idx="2">
                  <c:v>46771.384049445325</c:v>
                </c:pt>
                <c:pt idx="3">
                  <c:v>46835.032481301503</c:v>
                </c:pt>
                <c:pt idx="4">
                  <c:v>46018.902795881979</c:v>
                </c:pt>
                <c:pt idx="5">
                  <c:v>44834.485951072063</c:v>
                </c:pt>
                <c:pt idx="6">
                  <c:v>46771.383186443622</c:v>
                </c:pt>
                <c:pt idx="7">
                  <c:v>46771.383186443622</c:v>
                </c:pt>
                <c:pt idx="8">
                  <c:v>46835.031608681136</c:v>
                </c:pt>
                <c:pt idx="9">
                  <c:v>46018.901908471205</c:v>
                </c:pt>
                <c:pt idx="10">
                  <c:v>45052.639844654412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16077.282269601745</c:v>
                </c:pt>
                <c:pt idx="1">
                  <c:v>15694.723383711904</c:v>
                </c:pt>
                <c:pt idx="2">
                  <c:v>15694.723383711907</c:v>
                </c:pt>
                <c:pt idx="3">
                  <c:v>15694.723386329966</c:v>
                </c:pt>
                <c:pt idx="4">
                  <c:v>15694.723387522781</c:v>
                </c:pt>
                <c:pt idx="5">
                  <c:v>15694.723387522781</c:v>
                </c:pt>
                <c:pt idx="6">
                  <c:v>31389.445834393446</c:v>
                </c:pt>
                <c:pt idx="7">
                  <c:v>31389.445834393446</c:v>
                </c:pt>
                <c:pt idx="8">
                  <c:v>31389.445834393449</c:v>
                </c:pt>
                <c:pt idx="9">
                  <c:v>31389.445834393446</c:v>
                </c:pt>
                <c:pt idx="10">
                  <c:v>31389.445834393446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E-V"/>
      <sheetName val="Lister"/>
      <sheetName val="Resultater"/>
      <sheetName val="OptimDump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Prognoses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>
        <row r="6">
          <cell r="D6" t="str">
            <v>Fel</v>
          </cell>
        </row>
      </sheetData>
      <sheetData sheetId="7">
        <row r="6">
          <cell r="D6" t="str">
            <v>FlisK</v>
          </cell>
        </row>
      </sheetData>
      <sheetData sheetId="8">
        <row r="6">
          <cell r="D6" t="str">
            <v>jan</v>
          </cell>
          <cell r="E6" t="str">
            <v>feb</v>
          </cell>
        </row>
      </sheetData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H11" sqref="H11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8" customWidth="1"/>
    <col min="46" max="47" width="11.28515625" style="5" customWidth="1" outlineLevel="1"/>
    <col min="48" max="49" width="9.140625" style="80" customWidth="1" outlineLevel="1"/>
    <col min="50" max="50" width="10.5703125" style="80" bestFit="1" customWidth="1" outlineLevel="1"/>
    <col min="51" max="52" width="11" style="80" bestFit="1" customWidth="1" outlineLevel="1"/>
    <col min="53" max="53" width="10.7109375" style="80" customWidth="1" outlineLevel="1"/>
  </cols>
  <sheetData>
    <row r="1" spans="2:89" x14ac:dyDescent="0.25">
      <c r="I1" s="89"/>
      <c r="U1" s="89"/>
      <c r="AG1" s="89"/>
    </row>
    <row r="2" spans="2:89" x14ac:dyDescent="0.25">
      <c r="B2" s="78" t="s">
        <v>98</v>
      </c>
      <c r="I2" s="89"/>
      <c r="U2" s="89"/>
      <c r="AG2" s="89"/>
      <c r="AT2" s="87" t="s">
        <v>142</v>
      </c>
      <c r="AU2" s="87"/>
    </row>
    <row r="3" spans="2:89" x14ac:dyDescent="0.25">
      <c r="H3" s="78"/>
      <c r="I3" s="114"/>
      <c r="J3" s="107"/>
      <c r="K3" s="107"/>
      <c r="L3" s="107"/>
      <c r="M3" s="107"/>
      <c r="N3" s="107"/>
      <c r="O3" s="107"/>
      <c r="P3" s="107"/>
      <c r="Q3" s="107"/>
      <c r="U3" s="89"/>
      <c r="AG3" s="89"/>
    </row>
    <row r="4" spans="2:89" x14ac:dyDescent="0.25">
      <c r="C4" s="90" t="s">
        <v>99</v>
      </c>
      <c r="H4" s="80"/>
      <c r="I4" s="113">
        <f t="shared" ref="I4:AR4" si="0">DATE(YEAR(PerStart),COLUMN(I4)-COLUMN($I$4)+1,1)</f>
        <v>44197</v>
      </c>
      <c r="J4" s="110">
        <f t="shared" si="0"/>
        <v>44228</v>
      </c>
      <c r="K4" s="110">
        <f t="shared" si="0"/>
        <v>44256</v>
      </c>
      <c r="L4" s="110">
        <f t="shared" si="0"/>
        <v>44287</v>
      </c>
      <c r="M4" s="110">
        <f t="shared" si="0"/>
        <v>44317</v>
      </c>
      <c r="N4" s="110">
        <f t="shared" si="0"/>
        <v>44348</v>
      </c>
      <c r="O4" s="110">
        <f t="shared" si="0"/>
        <v>44378</v>
      </c>
      <c r="P4" s="110">
        <f t="shared" si="0"/>
        <v>44409</v>
      </c>
      <c r="Q4" s="110">
        <f t="shared" si="0"/>
        <v>44440</v>
      </c>
      <c r="R4" s="110">
        <f t="shared" si="0"/>
        <v>44470</v>
      </c>
      <c r="S4" s="110">
        <f t="shared" si="0"/>
        <v>44501</v>
      </c>
      <c r="T4" s="110">
        <f t="shared" si="0"/>
        <v>44531</v>
      </c>
      <c r="U4" s="113">
        <f t="shared" si="0"/>
        <v>44562</v>
      </c>
      <c r="V4" s="110">
        <f t="shared" si="0"/>
        <v>44593</v>
      </c>
      <c r="W4" s="110">
        <f t="shared" si="0"/>
        <v>44621</v>
      </c>
      <c r="X4" s="110">
        <f t="shared" si="0"/>
        <v>44652</v>
      </c>
      <c r="Y4" s="110">
        <f t="shared" si="0"/>
        <v>44682</v>
      </c>
      <c r="Z4" s="110">
        <f t="shared" si="0"/>
        <v>44713</v>
      </c>
      <c r="AA4" s="110">
        <f t="shared" si="0"/>
        <v>44743</v>
      </c>
      <c r="AB4" s="110">
        <f t="shared" si="0"/>
        <v>44774</v>
      </c>
      <c r="AC4" s="110">
        <f t="shared" si="0"/>
        <v>44805</v>
      </c>
      <c r="AD4" s="110">
        <f t="shared" si="0"/>
        <v>44835</v>
      </c>
      <c r="AE4" s="110">
        <f t="shared" si="0"/>
        <v>44866</v>
      </c>
      <c r="AF4" s="110">
        <f t="shared" si="0"/>
        <v>44896</v>
      </c>
      <c r="AG4" s="113">
        <f t="shared" si="0"/>
        <v>44927</v>
      </c>
      <c r="AH4" s="110">
        <f t="shared" si="0"/>
        <v>44958</v>
      </c>
      <c r="AI4" s="110">
        <f t="shared" si="0"/>
        <v>44986</v>
      </c>
      <c r="AJ4" s="110">
        <f t="shared" si="0"/>
        <v>45017</v>
      </c>
      <c r="AK4" s="110">
        <f t="shared" si="0"/>
        <v>45047</v>
      </c>
      <c r="AL4" s="110">
        <f t="shared" si="0"/>
        <v>45078</v>
      </c>
      <c r="AM4" s="110">
        <f t="shared" si="0"/>
        <v>45108</v>
      </c>
      <c r="AN4" s="110">
        <f t="shared" si="0"/>
        <v>45139</v>
      </c>
      <c r="AO4" s="110">
        <f t="shared" si="0"/>
        <v>45170</v>
      </c>
      <c r="AP4" s="110">
        <f t="shared" si="0"/>
        <v>45200</v>
      </c>
      <c r="AQ4" s="110">
        <f t="shared" si="0"/>
        <v>45231</v>
      </c>
      <c r="AR4" s="110">
        <f t="shared" si="0"/>
        <v>45261</v>
      </c>
      <c r="AX4" s="80" t="s">
        <v>100</v>
      </c>
      <c r="AY4" s="80" t="s">
        <v>101</v>
      </c>
      <c r="AZ4" s="80" t="s">
        <v>102</v>
      </c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</row>
    <row r="5" spans="2:89" x14ac:dyDescent="0.25">
      <c r="B5" s="91" t="s">
        <v>103</v>
      </c>
      <c r="C5" s="91" t="s">
        <v>104</v>
      </c>
      <c r="D5" s="91" t="s">
        <v>105</v>
      </c>
      <c r="E5" s="91" t="s">
        <v>106</v>
      </c>
      <c r="F5" s="91" t="s">
        <v>107</v>
      </c>
      <c r="G5" s="91" t="s">
        <v>108</v>
      </c>
      <c r="H5" s="91" t="s">
        <v>146</v>
      </c>
      <c r="I5" s="109" t="str">
        <f>UPPER(TEXT(I4,"mmm'åå"))</f>
        <v>JAN'21</v>
      </c>
      <c r="J5" s="109" t="str">
        <f t="shared" ref="J5:AR5" si="1">UPPER(TEXT(J4,"mmm'åå"))</f>
        <v>FEB'21</v>
      </c>
      <c r="K5" s="109" t="str">
        <f t="shared" si="1"/>
        <v>MAR'21</v>
      </c>
      <c r="L5" s="109" t="str">
        <f t="shared" si="1"/>
        <v>APR'21</v>
      </c>
      <c r="M5" s="109" t="str">
        <f t="shared" si="1"/>
        <v>MAJ'21</v>
      </c>
      <c r="N5" s="109" t="str">
        <f t="shared" si="1"/>
        <v>JUN'21</v>
      </c>
      <c r="O5" s="109" t="str">
        <f t="shared" si="1"/>
        <v>JUL'21</v>
      </c>
      <c r="P5" s="109" t="str">
        <f t="shared" si="1"/>
        <v>AUG'21</v>
      </c>
      <c r="Q5" s="109" t="str">
        <f t="shared" si="1"/>
        <v>SEP'21</v>
      </c>
      <c r="R5" s="109" t="str">
        <f t="shared" si="1"/>
        <v>OKT'21</v>
      </c>
      <c r="S5" s="109" t="str">
        <f t="shared" si="1"/>
        <v>NOV'21</v>
      </c>
      <c r="T5" s="109" t="str">
        <f t="shared" si="1"/>
        <v>DEC'21</v>
      </c>
      <c r="U5" s="109" t="str">
        <f t="shared" si="1"/>
        <v>JAN'22</v>
      </c>
      <c r="V5" s="109" t="str">
        <f t="shared" si="1"/>
        <v>FEB'22</v>
      </c>
      <c r="W5" s="109" t="str">
        <f t="shared" si="1"/>
        <v>MAR'22</v>
      </c>
      <c r="X5" s="109" t="str">
        <f t="shared" si="1"/>
        <v>APR'22</v>
      </c>
      <c r="Y5" s="109" t="str">
        <f t="shared" si="1"/>
        <v>MAJ'22</v>
      </c>
      <c r="Z5" s="109" t="str">
        <f t="shared" si="1"/>
        <v>JUN'22</v>
      </c>
      <c r="AA5" s="109" t="str">
        <f t="shared" si="1"/>
        <v>JUL'22</v>
      </c>
      <c r="AB5" s="109" t="str">
        <f t="shared" si="1"/>
        <v>AUG'22</v>
      </c>
      <c r="AC5" s="109" t="str">
        <f t="shared" si="1"/>
        <v>SEP'22</v>
      </c>
      <c r="AD5" s="109" t="str">
        <f t="shared" si="1"/>
        <v>OKT'22</v>
      </c>
      <c r="AE5" s="109" t="str">
        <f t="shared" si="1"/>
        <v>NOV'22</v>
      </c>
      <c r="AF5" s="109" t="str">
        <f t="shared" si="1"/>
        <v>DEC'22</v>
      </c>
      <c r="AG5" s="109" t="str">
        <f t="shared" si="1"/>
        <v>JAN'23</v>
      </c>
      <c r="AH5" s="109" t="str">
        <f t="shared" si="1"/>
        <v>FEB'23</v>
      </c>
      <c r="AI5" s="109" t="str">
        <f t="shared" si="1"/>
        <v>MAR'23</v>
      </c>
      <c r="AJ5" s="109" t="str">
        <f t="shared" si="1"/>
        <v>APR'23</v>
      </c>
      <c r="AK5" s="109" t="str">
        <f t="shared" si="1"/>
        <v>MAJ'23</v>
      </c>
      <c r="AL5" s="109" t="str">
        <f t="shared" si="1"/>
        <v>JUN'23</v>
      </c>
      <c r="AM5" s="109" t="str">
        <f t="shared" si="1"/>
        <v>JUL'23</v>
      </c>
      <c r="AN5" s="109" t="str">
        <f t="shared" si="1"/>
        <v>AUG'23</v>
      </c>
      <c r="AO5" s="109" t="str">
        <f t="shared" si="1"/>
        <v>SEP'23</v>
      </c>
      <c r="AP5" s="109" t="str">
        <f t="shared" si="1"/>
        <v>OKT'23</v>
      </c>
      <c r="AQ5" s="109" t="str">
        <f t="shared" si="1"/>
        <v>NOV'23</v>
      </c>
      <c r="AR5" s="109" t="str">
        <f t="shared" si="1"/>
        <v>DEC'23</v>
      </c>
      <c r="AS5" s="105"/>
      <c r="AT5" s="106"/>
      <c r="AU5" s="112" t="s">
        <v>149</v>
      </c>
      <c r="AV5" s="104" t="s">
        <v>105</v>
      </c>
      <c r="AW5" s="104" t="s">
        <v>104</v>
      </c>
      <c r="AX5" s="104" t="s">
        <v>106</v>
      </c>
      <c r="AY5" s="104" t="s">
        <v>107</v>
      </c>
      <c r="AZ5" s="104" t="s">
        <v>108</v>
      </c>
      <c r="BA5" s="104" t="s">
        <v>146</v>
      </c>
      <c r="BB5" s="108" t="s">
        <v>174</v>
      </c>
      <c r="BC5" s="108" t="s">
        <v>175</v>
      </c>
      <c r="BD5" s="108" t="s">
        <v>176</v>
      </c>
      <c r="BE5" s="108" t="s">
        <v>177</v>
      </c>
      <c r="BF5" s="108" t="s">
        <v>178</v>
      </c>
      <c r="BG5" s="108" t="s">
        <v>179</v>
      </c>
      <c r="BH5" s="108" t="s">
        <v>180</v>
      </c>
      <c r="BI5" s="108" t="s">
        <v>181</v>
      </c>
      <c r="BJ5" s="108" t="s">
        <v>182</v>
      </c>
      <c r="BK5" s="108" t="s">
        <v>183</v>
      </c>
      <c r="BL5" s="108" t="s">
        <v>184</v>
      </c>
      <c r="BM5" s="108" t="s">
        <v>185</v>
      </c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</row>
    <row r="6" spans="2:89" x14ac:dyDescent="0.25">
      <c r="B6" s="93" t="str">
        <f>IF(ISBLANK(AT6),"",AT6)</f>
        <v>screc1</v>
      </c>
      <c r="C6" s="93">
        <f>IF(ISBLANK(AW6),0,AW6)</f>
        <v>1</v>
      </c>
      <c r="D6" s="85">
        <f>IF(ISBLANK(AV6),"",AV6)</f>
        <v>1</v>
      </c>
      <c r="E6" s="5" t="str" cm="1">
        <f t="array" ref="E6">IF(AX6&lt;=0,"",INDEX(listRoot,AX6))</f>
        <v>Prognoses</v>
      </c>
      <c r="F6" s="5" t="str" cm="1">
        <f t="array" ref="F6">IF(AY6&lt;=0.000000000001,"",INDEX(Lister!$C$4:$H$100,AY6,$AX6))</f>
        <v>Elpris</v>
      </c>
      <c r="G6" s="5" t="str" cm="1">
        <f t="array" ref="G6">IF(OR(AZ6=1,AZ6&lt;=0.000000000001),"",INDEX(Lister!$J$4:$O$100,AZ6,$AX6))</f>
        <v/>
      </c>
      <c r="H6" s="80">
        <f t="shared" ref="H6:H42" si="2">IF(C6=0,"",BA6)</f>
        <v>200</v>
      </c>
      <c r="I6" t="str">
        <f t="shared" ref="I6:I42" si="3">IF(OR($C6=0,$H6&lt;&gt;NotANumber),"",BB6)</f>
        <v/>
      </c>
      <c r="J6" t="str">
        <f t="shared" ref="J6:J42" si="4">IF(OR($C6=0,$H6&lt;&gt;NotANumber),"",BC6)</f>
        <v/>
      </c>
      <c r="K6" t="str">
        <f t="shared" ref="K6:K42" si="5">IF(OR($C6=0,$H6&lt;&gt;NotANumber),"",BD6)</f>
        <v/>
      </c>
      <c r="L6" t="str">
        <f t="shared" ref="L6:L42" si="6">IF(OR($C6=0,$H6&lt;&gt;NotANumber),"",BE6)</f>
        <v/>
      </c>
      <c r="M6" t="str">
        <f t="shared" ref="M6:M42" si="7">IF(OR($C6=0,$H6&lt;&gt;NotANumber),"",BF6)</f>
        <v/>
      </c>
      <c r="N6" t="str">
        <f t="shared" ref="N6:N42" si="8">IF(OR($C6=0,$H6&lt;&gt;NotANumber),"",BG6)</f>
        <v/>
      </c>
      <c r="O6" t="str">
        <f t="shared" ref="O6:O42" si="9">IF(OR($C6=0,$H6&lt;&gt;NotANumber),"",BH6)</f>
        <v/>
      </c>
      <c r="P6" t="str">
        <f t="shared" ref="P6:P42" si="10">IF(OR($C6=0,$H6&lt;&gt;NotANumber),"",BI6)</f>
        <v/>
      </c>
      <c r="Q6" t="str">
        <f t="shared" ref="Q6:Q42" si="11">IF(OR($C6=0,$H6&lt;&gt;NotANumber),"",BJ6)</f>
        <v/>
      </c>
      <c r="R6" t="str">
        <f t="shared" ref="R6:R42" si="12">IF(OR($C6=0,$H6&lt;&gt;NotANumber),"",BK6)</f>
        <v/>
      </c>
      <c r="S6" t="str">
        <f t="shared" ref="S6:S42" si="13">IF(OR($C6=0,$H6&lt;&gt;NotANumber),"",BL6)</f>
        <v/>
      </c>
      <c r="T6" t="str">
        <f t="shared" ref="T6:T42" si="14">IF(OR($C6=0,$H6&lt;&gt;NotANumber),"",BM6)</f>
        <v/>
      </c>
      <c r="U6" s="89" t="str">
        <f t="shared" ref="U6:U42" si="15">IF(OR($C6=0,$H6&lt;&gt;NotANumber),"",BN6)</f>
        <v/>
      </c>
      <c r="V6" t="str">
        <f t="shared" ref="V6:V42" si="16">IF(OR($C6=0,$H6&lt;&gt;NotANumber),"",BO6)</f>
        <v/>
      </c>
      <c r="W6" t="str">
        <f t="shared" ref="W6:W42" si="17">IF(OR($C6=0,$H6&lt;&gt;NotANumber),"",BP6)</f>
        <v/>
      </c>
      <c r="X6" t="str">
        <f t="shared" ref="X6:X42" si="18">IF(OR($C6=0,$H6&lt;&gt;NotANumber),"",BQ6)</f>
        <v/>
      </c>
      <c r="Y6" t="str">
        <f t="shared" ref="Y6:Y42" si="19">IF(OR($C6=0,$H6&lt;&gt;NotANumber),"",BR6)</f>
        <v/>
      </c>
      <c r="Z6" t="str">
        <f t="shared" ref="Z6:Z42" si="20">IF(OR($C6=0,$H6&lt;&gt;NotANumber),"",BS6)</f>
        <v/>
      </c>
      <c r="AA6" t="str">
        <f t="shared" ref="AA6:AA42" si="21">IF(OR($C6=0,$H6&lt;&gt;NotANumber),"",BT6)</f>
        <v/>
      </c>
      <c r="AB6" t="str">
        <f t="shared" ref="AB6:AB42" si="22">IF(OR($C6=0,$H6&lt;&gt;NotANumber),"",BU6)</f>
        <v/>
      </c>
      <c r="AC6" t="str">
        <f t="shared" ref="AC6:AC42" si="23">IF(OR($C6=0,$H6&lt;&gt;NotANumber),"",BV6)</f>
        <v/>
      </c>
      <c r="AD6" t="str">
        <f t="shared" ref="AD6:AD42" si="24">IF(OR($C6=0,$H6&lt;&gt;NotANumber),"",BW6)</f>
        <v/>
      </c>
      <c r="AE6" t="str">
        <f t="shared" ref="AE6:AE42" si="25">IF(OR($C6=0,$H6&lt;&gt;NotANumber),"",BX6)</f>
        <v/>
      </c>
      <c r="AF6" t="str">
        <f t="shared" ref="AF6:AF42" si="26">IF(OR($C6=0,$H6&lt;&gt;NotANumber),"",BY6)</f>
        <v/>
      </c>
      <c r="AG6" s="89" t="str">
        <f t="shared" ref="AG6:AG42" si="27">IF(OR($C6=0,$H6&lt;&gt;NotANumber),"",BZ6)</f>
        <v/>
      </c>
      <c r="AH6" t="str">
        <f t="shared" ref="AH6:AH42" si="28">IF(OR($C6=0,$H6&lt;&gt;NotANumber),"",CA6)</f>
        <v/>
      </c>
      <c r="AI6" t="str">
        <f t="shared" ref="AI6:AI42" si="29">IF(OR($C6=0,$H6&lt;&gt;NotANumber),"",CB6)</f>
        <v/>
      </c>
      <c r="AJ6" t="str">
        <f t="shared" ref="AJ6:AJ42" si="30">IF(OR($C6=0,$H6&lt;&gt;NotANumber),"",CC6)</f>
        <v/>
      </c>
      <c r="AK6" t="str">
        <f t="shared" ref="AK6:AK42" si="31">IF(OR($C6=0,$H6&lt;&gt;NotANumber),"",CD6)</f>
        <v/>
      </c>
      <c r="AL6" t="str">
        <f t="shared" ref="AL6:AL42" si="32">IF(OR($C6=0,$H6&lt;&gt;NotANumber),"",CE6)</f>
        <v/>
      </c>
      <c r="AM6" t="str">
        <f t="shared" ref="AM6:AM42" si="33">IF(OR($C6=0,$H6&lt;&gt;NotANumber),"",CF6)</f>
        <v/>
      </c>
      <c r="AN6" t="str">
        <f t="shared" ref="AN6:AN42" si="34">IF(OR($C6=0,$H6&lt;&gt;NotANumber),"",CG6)</f>
        <v/>
      </c>
      <c r="AO6" t="str">
        <f t="shared" ref="AO6:AO42" si="35">IF(OR($C6=0,$H6&lt;&gt;NotANumber),"",CH6)</f>
        <v/>
      </c>
      <c r="AP6" t="str">
        <f t="shared" ref="AP6:AP42" si="36">IF(OR($C6=0,$H6&lt;&gt;NotANumber),"",CI6)</f>
        <v/>
      </c>
      <c r="AQ6" t="str">
        <f t="shared" ref="AQ6:AQ42" si="37">IF(OR($C6=0,$H6&lt;&gt;NotANumber),"",CJ6)</f>
        <v/>
      </c>
      <c r="AR6" t="str">
        <f t="shared" ref="AR6:AR42" si="38">IF(OR($C6=0,$H6&lt;&gt;NotANumber),"",CK6)</f>
        <v/>
      </c>
      <c r="AT6" s="9" t="s">
        <v>111</v>
      </c>
      <c r="AU6" s="80">
        <v>1</v>
      </c>
      <c r="AV6" s="93">
        <v>1</v>
      </c>
      <c r="AW6" s="85">
        <v>1</v>
      </c>
      <c r="AX6" s="85">
        <v>4</v>
      </c>
      <c r="AY6" s="85">
        <v>14</v>
      </c>
      <c r="AZ6" s="85">
        <v>1</v>
      </c>
      <c r="BA6" s="80">
        <v>200</v>
      </c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2:89" x14ac:dyDescent="0.25">
      <c r="B7" s="93" t="str">
        <f t="shared" ref="B7:B45" si="39">IF(ISBLANK(AT7),"",AT7)</f>
        <v>screc2</v>
      </c>
      <c r="C7" s="93">
        <f t="shared" ref="C7:C42" si="40">IF(ISBLANK(AW7),0,AW7)</f>
        <v>1</v>
      </c>
      <c r="D7" s="85">
        <f t="shared" ref="D7:D21" si="41">IF(ISBLANK(AW7),"",AW7)</f>
        <v>1</v>
      </c>
      <c r="E7" s="5" t="str" cm="1">
        <f t="array" ref="E7">IF(AX7&lt;=0,"",INDEX(listRoot,AX7))</f>
        <v>Prognoses</v>
      </c>
      <c r="F7" s="5" t="str" cm="1">
        <f t="array" ref="F7">IF(AY7&lt;=0.000000000001,"",INDEX(Lister!$C$4:$H$100,AY7,$AX7))</f>
        <v>ETS</v>
      </c>
      <c r="G7" s="5" t="str" cm="1">
        <f t="array" ref="G7">IF(OR(AZ7=1,AZ7&lt;=0.000000000001),"",INDEX(Lister!$J$4:$O$100,AZ7,$AX7))</f>
        <v/>
      </c>
      <c r="H7" s="80">
        <f t="shared" si="2"/>
        <v>400</v>
      </c>
      <c r="I7" t="str">
        <f t="shared" si="3"/>
        <v/>
      </c>
      <c r="J7" t="str">
        <f t="shared" si="4"/>
        <v/>
      </c>
      <c r="K7" t="str">
        <f t="shared" si="5"/>
        <v/>
      </c>
      <c r="L7" t="str">
        <f t="shared" si="6"/>
        <v/>
      </c>
      <c r="M7" t="str">
        <f t="shared" si="7"/>
        <v/>
      </c>
      <c r="N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R7" t="str">
        <f t="shared" si="12"/>
        <v/>
      </c>
      <c r="S7" t="str">
        <f t="shared" si="13"/>
        <v/>
      </c>
      <c r="T7" t="str">
        <f t="shared" si="14"/>
        <v/>
      </c>
      <c r="U7" s="89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9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112</v>
      </c>
      <c r="AU7" s="80">
        <v>1</v>
      </c>
      <c r="AV7" s="93">
        <v>1</v>
      </c>
      <c r="AW7" s="85">
        <v>1</v>
      </c>
      <c r="AX7" s="85">
        <v>4</v>
      </c>
      <c r="AY7" s="85">
        <v>15</v>
      </c>
      <c r="AZ7" s="85">
        <v>1</v>
      </c>
      <c r="BA7" s="80">
        <v>400</v>
      </c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2:89" x14ac:dyDescent="0.25">
      <c r="B8" s="93" t="str">
        <f t="shared" si="39"/>
        <v>screc3</v>
      </c>
      <c r="C8" s="93">
        <f t="shared" si="40"/>
        <v>1</v>
      </c>
      <c r="D8" s="85">
        <f t="shared" si="41"/>
        <v>1</v>
      </c>
      <c r="E8" s="5" t="str" cm="1">
        <f t="array" ref="E8">IF(AX8&lt;=0,"",INDEX(listRoot,AX8))</f>
        <v>Prognoses</v>
      </c>
      <c r="F8" s="5" t="str" cm="1">
        <f t="array" ref="F8">IF(AY8&lt;=0.000000000001,"",INDEX(Lister!$C$4:$H$100,AY8,$AX8))</f>
        <v>Elpris</v>
      </c>
      <c r="G8" s="5" t="str" cm="1">
        <f t="array" ref="G8">IF(OR(AZ8=1,AZ8&lt;=0.000000000001),"",INDEX(Lister!$J$4:$O$100,AZ8,$AX8))</f>
        <v/>
      </c>
      <c r="H8" s="80">
        <f t="shared" si="2"/>
        <v>400</v>
      </c>
      <c r="I8" t="str">
        <f t="shared" si="3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N8" t="str">
        <f t="shared" si="8"/>
        <v/>
      </c>
      <c r="O8" t="str">
        <f t="shared" si="9"/>
        <v/>
      </c>
      <c r="P8" t="str">
        <f t="shared" si="10"/>
        <v/>
      </c>
      <c r="Q8" t="str">
        <f t="shared" si="11"/>
        <v/>
      </c>
      <c r="R8" t="str">
        <f t="shared" si="12"/>
        <v/>
      </c>
      <c r="S8" t="str">
        <f t="shared" si="13"/>
        <v/>
      </c>
      <c r="T8" t="str">
        <f t="shared" si="14"/>
        <v/>
      </c>
      <c r="U8" s="89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9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156</v>
      </c>
      <c r="AU8" s="80">
        <v>1</v>
      </c>
      <c r="AV8" s="93">
        <v>2</v>
      </c>
      <c r="AW8" s="85">
        <v>1</v>
      </c>
      <c r="AX8" s="85">
        <v>4</v>
      </c>
      <c r="AY8" s="85">
        <v>14</v>
      </c>
      <c r="AZ8" s="85">
        <v>1</v>
      </c>
      <c r="BA8" s="80">
        <v>400</v>
      </c>
      <c r="BB8" s="74">
        <v>1</v>
      </c>
      <c r="BC8" s="74">
        <v>1</v>
      </c>
      <c r="BD8" s="74">
        <v>1</v>
      </c>
      <c r="BE8" s="74">
        <v>1</v>
      </c>
      <c r="BF8" s="74">
        <v>1</v>
      </c>
      <c r="BG8" s="74">
        <v>1</v>
      </c>
      <c r="BH8" s="74">
        <v>1</v>
      </c>
      <c r="BI8" s="74">
        <v>1</v>
      </c>
      <c r="BJ8" s="74">
        <v>1</v>
      </c>
      <c r="BK8" s="74">
        <v>1</v>
      </c>
      <c r="BL8" s="74">
        <v>1</v>
      </c>
      <c r="BM8" s="74">
        <v>1</v>
      </c>
      <c r="BN8" s="74"/>
    </row>
    <row r="9" spans="2:89" x14ac:dyDescent="0.25">
      <c r="B9" s="93" t="str">
        <f t="shared" si="39"/>
        <v>screc4</v>
      </c>
      <c r="C9" s="93">
        <f t="shared" si="40"/>
        <v>1</v>
      </c>
      <c r="D9" s="85">
        <f t="shared" si="41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ETS</v>
      </c>
      <c r="G9" s="5" t="str" cm="1">
        <f t="array" ref="G9">IF(OR(AZ9=1,AZ9&lt;=0.000000000001),"",INDEX(Lister!$J$4:$O$100,AZ9,$AX9))</f>
        <v/>
      </c>
      <c r="H9" s="80">
        <f t="shared" si="2"/>
        <v>400</v>
      </c>
      <c r="I9" t="str">
        <f t="shared" si="3"/>
        <v/>
      </c>
      <c r="J9" t="str">
        <f t="shared" si="4"/>
        <v/>
      </c>
      <c r="K9" t="str">
        <f t="shared" si="5"/>
        <v/>
      </c>
      <c r="L9" t="str">
        <f t="shared" si="6"/>
        <v/>
      </c>
      <c r="M9" t="str">
        <f t="shared" si="7"/>
        <v/>
      </c>
      <c r="N9" t="str">
        <f t="shared" si="8"/>
        <v/>
      </c>
      <c r="O9" t="str">
        <f t="shared" si="9"/>
        <v/>
      </c>
      <c r="P9" t="str">
        <f t="shared" si="10"/>
        <v/>
      </c>
      <c r="Q9" t="str">
        <f t="shared" si="11"/>
        <v/>
      </c>
      <c r="R9" t="str">
        <f t="shared" si="12"/>
        <v/>
      </c>
      <c r="S9" t="str">
        <f t="shared" si="13"/>
        <v/>
      </c>
      <c r="T9" t="str">
        <f t="shared" si="14"/>
        <v/>
      </c>
      <c r="U9" s="89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9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157</v>
      </c>
      <c r="AU9" s="80">
        <v>1</v>
      </c>
      <c r="AV9" s="93">
        <v>2</v>
      </c>
      <c r="AW9" s="85">
        <v>1</v>
      </c>
      <c r="AX9" s="85">
        <v>4</v>
      </c>
      <c r="AY9" s="85">
        <v>15</v>
      </c>
      <c r="AZ9" s="85">
        <v>1</v>
      </c>
      <c r="BA9" s="80">
        <v>400</v>
      </c>
      <c r="BB9" s="74">
        <v>378.33708333333323</v>
      </c>
      <c r="BC9" s="74">
        <v>356.0961527777776</v>
      </c>
      <c r="BD9" s="74">
        <v>347.18100806451616</v>
      </c>
      <c r="BE9" s="74">
        <v>356.0961527777776</v>
      </c>
      <c r="BF9" s="74">
        <v>410.46177419354831</v>
      </c>
      <c r="BG9" s="74">
        <v>547.42162499999972</v>
      </c>
      <c r="BH9" s="74">
        <v>605.37407258064457</v>
      </c>
      <c r="BI9" s="74">
        <v>627.85237903225811</v>
      </c>
      <c r="BJ9" s="74">
        <v>920.7574305555554</v>
      </c>
      <c r="BK9" s="74">
        <v>794.33760752688215</v>
      </c>
      <c r="BL9" s="74">
        <v>1014.278430555556</v>
      </c>
      <c r="BM9" s="74">
        <v>1420.7891397849471</v>
      </c>
      <c r="BN9" s="74"/>
    </row>
    <row r="10" spans="2:89" x14ac:dyDescent="0.25">
      <c r="B10" s="93" t="str">
        <f t="shared" si="39"/>
        <v>screc5</v>
      </c>
      <c r="C10" s="93">
        <f t="shared" si="40"/>
        <v>1</v>
      </c>
      <c r="D10" s="85">
        <f t="shared" si="41"/>
        <v>1</v>
      </c>
      <c r="E10" s="5" t="str" cm="1">
        <f t="array" ref="E10">IF(AX10&lt;=0,"",INDEX(listRoot,AX10))</f>
        <v>Prognoses</v>
      </c>
      <c r="F10" s="5" t="str" cm="1">
        <f t="array" ref="F10">IF(AY10&lt;=0.000000000001,"",INDEX(Lister!$C$4:$H$100,AY10,$AX10))</f>
        <v>Elpris</v>
      </c>
      <c r="G10" s="5" t="str" cm="1">
        <f t="array" ref="G10">IF(OR(AZ10=1,AZ10&lt;=0.000000000001),"",INDEX(Lister!$J$4:$O$100,AZ10,$AX10))</f>
        <v/>
      </c>
      <c r="H10" s="80">
        <f t="shared" si="2"/>
        <v>600</v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11"/>
        <v/>
      </c>
      <c r="R10" t="str">
        <f t="shared" si="12"/>
        <v/>
      </c>
      <c r="S10" t="str">
        <f t="shared" si="13"/>
        <v/>
      </c>
      <c r="T10" t="str">
        <f t="shared" si="14"/>
        <v/>
      </c>
      <c r="U10" s="89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9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158</v>
      </c>
      <c r="AU10" s="80">
        <v>1</v>
      </c>
      <c r="AV10" s="93">
        <v>3</v>
      </c>
      <c r="AW10" s="85">
        <v>1</v>
      </c>
      <c r="AX10" s="85">
        <v>4</v>
      </c>
      <c r="AY10" s="85">
        <v>14</v>
      </c>
      <c r="AZ10" s="85">
        <v>1</v>
      </c>
      <c r="BA10" s="80">
        <v>600</v>
      </c>
    </row>
    <row r="11" spans="2:89" x14ac:dyDescent="0.25">
      <c r="B11" s="93" t="str">
        <f t="shared" si="39"/>
        <v>screc6</v>
      </c>
      <c r="C11" s="93">
        <f t="shared" si="40"/>
        <v>1</v>
      </c>
      <c r="D11" s="85">
        <f t="shared" si="41"/>
        <v>1</v>
      </c>
      <c r="E11" s="5" t="str" cm="1">
        <f t="array" ref="E11">IF(AX11&lt;=0,"",INDEX(listRoot,AX11))</f>
        <v>Prognoses</v>
      </c>
      <c r="F11" s="5" t="str" cm="1">
        <f t="array" ref="F11">IF(AY11&lt;=0.000000000001,"",INDEX(Lister!$C$4:$H$100,AY11,$AX11))</f>
        <v>ETS</v>
      </c>
      <c r="G11" s="5" t="str" cm="1">
        <f t="array" ref="G11">IF(OR(AZ11=1,AZ11&lt;=0.000000000001),"",INDEX(Lister!$J$4:$O$100,AZ11,$AX11))</f>
        <v/>
      </c>
      <c r="H11" s="80">
        <f t="shared" si="2"/>
        <v>400</v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11"/>
        <v/>
      </c>
      <c r="R11" t="str">
        <f t="shared" si="12"/>
        <v/>
      </c>
      <c r="S11" t="str">
        <f t="shared" si="13"/>
        <v/>
      </c>
      <c r="T11" t="str">
        <f t="shared" si="14"/>
        <v/>
      </c>
      <c r="U11" s="89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9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159</v>
      </c>
      <c r="AU11" s="80">
        <v>1</v>
      </c>
      <c r="AV11" s="93">
        <v>3</v>
      </c>
      <c r="AW11" s="85">
        <v>1</v>
      </c>
      <c r="AX11" s="85">
        <v>4</v>
      </c>
      <c r="AY11" s="85">
        <v>15</v>
      </c>
      <c r="AZ11" s="85">
        <v>1</v>
      </c>
      <c r="BA11" s="80">
        <v>400</v>
      </c>
    </row>
    <row r="12" spans="2:89" x14ac:dyDescent="0.25">
      <c r="B12" s="93" t="str">
        <f t="shared" si="39"/>
        <v>screc7</v>
      </c>
      <c r="C12" s="93">
        <f t="shared" si="40"/>
        <v>1</v>
      </c>
      <c r="D12" s="85">
        <f t="shared" si="41"/>
        <v>1</v>
      </c>
      <c r="E12" s="5" t="str" cm="1">
        <f t="array" ref="E12">IF(AX12&lt;=0,"",INDEX(listRoot,AX12))</f>
        <v>Prognoses</v>
      </c>
      <c r="F12" s="5" t="str" cm="1">
        <f t="array" ref="F12">IF(AY12&lt;=0.000000000001,"",INDEX(Lister!$C$4:$H$100,AY12,$AX12))</f>
        <v>Elpris</v>
      </c>
      <c r="G12" s="5" t="str" cm="1">
        <f t="array" ref="G12">IF(OR(AZ12=1,AZ12&lt;=0.000000000001),"",INDEX(Lister!$J$4:$O$100,AZ12,$AX12))</f>
        <v/>
      </c>
      <c r="H12" s="80">
        <f t="shared" si="2"/>
        <v>800</v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 t="shared" si="10"/>
        <v/>
      </c>
      <c r="Q12" t="str">
        <f t="shared" si="11"/>
        <v/>
      </c>
      <c r="R12" t="str">
        <f t="shared" si="12"/>
        <v/>
      </c>
      <c r="S12" t="str">
        <f t="shared" si="13"/>
        <v/>
      </c>
      <c r="T12" t="str">
        <f t="shared" si="14"/>
        <v/>
      </c>
      <c r="U12" s="89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9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160</v>
      </c>
      <c r="AU12" s="80">
        <v>1</v>
      </c>
      <c r="AV12" s="93">
        <v>4</v>
      </c>
      <c r="AW12" s="85">
        <v>1</v>
      </c>
      <c r="AX12" s="85">
        <v>4</v>
      </c>
      <c r="AY12" s="85">
        <v>14</v>
      </c>
      <c r="AZ12" s="85">
        <v>1</v>
      </c>
      <c r="BA12" s="80">
        <v>800</v>
      </c>
      <c r="BB12">
        <v>10.500999999999999</v>
      </c>
      <c r="BC12">
        <v>10.500999999999999</v>
      </c>
      <c r="BD12">
        <v>10.500999999999999</v>
      </c>
      <c r="BE12">
        <v>10.500999999999999</v>
      </c>
      <c r="BF12">
        <v>10.500999999999999</v>
      </c>
      <c r="BG12">
        <v>10.500999999999999</v>
      </c>
      <c r="BH12">
        <v>10.500999999999999</v>
      </c>
      <c r="BI12">
        <v>10.500999999999999</v>
      </c>
      <c r="BJ12">
        <v>10.500999999999999</v>
      </c>
      <c r="BK12">
        <v>10.500999999999999</v>
      </c>
      <c r="BL12">
        <v>10.500999999999999</v>
      </c>
      <c r="BM12">
        <v>10.500999999999999</v>
      </c>
    </row>
    <row r="13" spans="2:89" x14ac:dyDescent="0.25">
      <c r="B13" s="93" t="str">
        <f t="shared" si="39"/>
        <v>screc8</v>
      </c>
      <c r="C13" s="93">
        <f t="shared" si="40"/>
        <v>1</v>
      </c>
      <c r="D13" s="85">
        <f t="shared" si="41"/>
        <v>1</v>
      </c>
      <c r="E13" s="5" t="str" cm="1">
        <f t="array" ref="E13">IF(AX13&lt;=0,"",INDEX(listRoot,AX13))</f>
        <v>Prognoses</v>
      </c>
      <c r="F13" s="5" t="str" cm="1">
        <f t="array" ref="F13">IF(AY13&lt;=0.000000000001,"",INDEX(Lister!$C$4:$H$100,AY13,$AX13))</f>
        <v>ETS</v>
      </c>
      <c r="G13" s="5" t="str" cm="1">
        <f t="array" ref="G13">IF(OR(AZ13=1,AZ13&lt;=0.000000000001),"",INDEX(Lister!$J$4:$O$100,AZ13,$AX13))</f>
        <v/>
      </c>
      <c r="H13" s="80">
        <f t="shared" si="2"/>
        <v>400</v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 t="shared" si="10"/>
        <v/>
      </c>
      <c r="Q13" t="str">
        <f t="shared" si="11"/>
        <v/>
      </c>
      <c r="R13" t="str">
        <f t="shared" si="12"/>
        <v/>
      </c>
      <c r="S13" t="str">
        <f t="shared" si="13"/>
        <v/>
      </c>
      <c r="T13" t="str">
        <f t="shared" si="14"/>
        <v/>
      </c>
      <c r="U13" s="89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9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161</v>
      </c>
      <c r="AU13" s="80">
        <v>1</v>
      </c>
      <c r="AV13" s="93">
        <v>4</v>
      </c>
      <c r="AW13" s="85">
        <v>1</v>
      </c>
      <c r="AX13" s="85">
        <v>4</v>
      </c>
      <c r="AY13" s="101">
        <v>15</v>
      </c>
      <c r="AZ13" s="101">
        <v>1</v>
      </c>
      <c r="BA13" s="80">
        <v>400</v>
      </c>
      <c r="BB13">
        <v>401</v>
      </c>
      <c r="BC13">
        <v>401</v>
      </c>
      <c r="BD13">
        <v>401</v>
      </c>
      <c r="BE13">
        <v>401</v>
      </c>
      <c r="BF13">
        <v>401</v>
      </c>
      <c r="BG13">
        <v>401</v>
      </c>
      <c r="BH13">
        <v>401</v>
      </c>
      <c r="BI13">
        <v>401</v>
      </c>
      <c r="BJ13">
        <v>401</v>
      </c>
      <c r="BK13">
        <v>401</v>
      </c>
      <c r="BL13">
        <v>401</v>
      </c>
      <c r="BM13">
        <v>401</v>
      </c>
    </row>
    <row r="14" spans="2:89" x14ac:dyDescent="0.25">
      <c r="B14" s="93" t="str">
        <f t="shared" si="39"/>
        <v>screc9</v>
      </c>
      <c r="C14" s="93">
        <f t="shared" si="40"/>
        <v>1</v>
      </c>
      <c r="D14" s="85">
        <f t="shared" si="41"/>
        <v>1</v>
      </c>
      <c r="E14" s="5" t="str" cm="1">
        <f t="array" ref="E14">IF(AX14&lt;=0,"",INDEX(listRoot,AX14))</f>
        <v>Prognoses</v>
      </c>
      <c r="F14" s="5" t="str" cm="1">
        <f t="array" ref="F14">IF(AY14&lt;=0.000000000001,"",INDEX(Lister!$C$4:$H$100,AY14,$AX14))</f>
        <v>Elpris</v>
      </c>
      <c r="G14" s="5" t="str" cm="1">
        <f t="array" ref="G14">IF(OR(AZ14=1,AZ14&lt;=0.000000000001),"",INDEX(Lister!$J$4:$O$100,AZ14,$AX14))</f>
        <v/>
      </c>
      <c r="H14" s="80">
        <f t="shared" si="2"/>
        <v>1000</v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 t="shared" si="10"/>
        <v/>
      </c>
      <c r="Q14" t="str">
        <f t="shared" si="11"/>
        <v/>
      </c>
      <c r="R14" t="str">
        <f t="shared" si="12"/>
        <v/>
      </c>
      <c r="S14" t="str">
        <f t="shared" si="13"/>
        <v/>
      </c>
      <c r="T14" t="str">
        <f t="shared" si="14"/>
        <v/>
      </c>
      <c r="U14" s="89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9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162</v>
      </c>
      <c r="AU14" s="80">
        <v>1</v>
      </c>
      <c r="AV14" s="93">
        <v>5</v>
      </c>
      <c r="AW14" s="85">
        <v>1</v>
      </c>
      <c r="AX14" s="85">
        <v>4</v>
      </c>
      <c r="AY14" s="101">
        <v>14</v>
      </c>
      <c r="AZ14" s="101">
        <v>1</v>
      </c>
      <c r="BA14" s="80">
        <v>1000</v>
      </c>
    </row>
    <row r="15" spans="2:89" x14ac:dyDescent="0.25">
      <c r="B15" s="93" t="str">
        <f t="shared" si="39"/>
        <v>screc10</v>
      </c>
      <c r="C15" s="93">
        <f t="shared" si="40"/>
        <v>1</v>
      </c>
      <c r="D15" s="85">
        <f t="shared" si="41"/>
        <v>1</v>
      </c>
      <c r="E15" s="5" t="str" cm="1">
        <f t="array" ref="E15">IF(AX15&lt;=0,"",INDEX(listRoot,AX15))</f>
        <v>Prognoses</v>
      </c>
      <c r="F15" s="5" t="str" cm="1">
        <f t="array" ref="F15">IF(AY15&lt;=0.000000000001,"",INDEX(Lister!$C$4:$H$100,AY15,$AX15))</f>
        <v>ETS</v>
      </c>
      <c r="G15" s="5" t="str" cm="1">
        <f t="array" ref="G15">IF(OR(AZ15=1,AZ15&lt;=0.000000000001),"",INDEX(Lister!$J$4:$O$100,AZ15,$AX15))</f>
        <v/>
      </c>
      <c r="H15" s="80">
        <f t="shared" si="2"/>
        <v>400</v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9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9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 t="s">
        <v>163</v>
      </c>
      <c r="AU15" s="80">
        <v>1</v>
      </c>
      <c r="AV15" s="93">
        <v>5</v>
      </c>
      <c r="AW15" s="85">
        <v>1</v>
      </c>
      <c r="AX15" s="85">
        <v>4</v>
      </c>
      <c r="AY15" s="101">
        <v>15</v>
      </c>
      <c r="AZ15" s="101">
        <v>1</v>
      </c>
      <c r="BA15" s="80">
        <v>400</v>
      </c>
    </row>
    <row r="16" spans="2:89" x14ac:dyDescent="0.25">
      <c r="B16" s="93" t="str">
        <f t="shared" si="39"/>
        <v>screc11</v>
      </c>
      <c r="C16" s="93">
        <f t="shared" si="40"/>
        <v>1</v>
      </c>
      <c r="D16" s="80">
        <f t="shared" si="41"/>
        <v>1</v>
      </c>
      <c r="E16" s="5" t="str" cm="1">
        <f t="array" ref="E16">IF(AX16&lt;=0,"",INDEX(listRoot,AX16))</f>
        <v>Prognoses</v>
      </c>
      <c r="F16" s="5" t="str" cm="1">
        <f t="array" ref="F16">IF(AY16&lt;=0.000000000001,"",INDEX(Lister!$C$4:$H$100,AY16,$AX16))</f>
        <v>Elpris</v>
      </c>
      <c r="G16" s="5" t="str" cm="1">
        <f t="array" ref="G16">IF(OR(AZ16=1,AZ16&lt;=0.000000000001),"",INDEX(Lister!$J$4:$O$100,AZ16,$AX16))</f>
        <v/>
      </c>
      <c r="H16" s="80">
        <f t="shared" si="2"/>
        <v>200</v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9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9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 t="s">
        <v>164</v>
      </c>
      <c r="AU16" s="80">
        <v>1</v>
      </c>
      <c r="AV16" s="93">
        <v>6</v>
      </c>
      <c r="AW16" s="80">
        <v>1</v>
      </c>
      <c r="AX16" s="80">
        <v>4</v>
      </c>
      <c r="AY16" s="102">
        <v>14</v>
      </c>
      <c r="AZ16" s="102">
        <v>1</v>
      </c>
      <c r="BA16" s="80">
        <v>200</v>
      </c>
    </row>
    <row r="17" spans="2:53" x14ac:dyDescent="0.25">
      <c r="B17" s="93" t="str">
        <f t="shared" si="39"/>
        <v>screc12</v>
      </c>
      <c r="C17" s="93">
        <f t="shared" si="40"/>
        <v>1</v>
      </c>
      <c r="D17" s="80">
        <f t="shared" si="41"/>
        <v>1</v>
      </c>
      <c r="E17" s="5" t="str" cm="1">
        <f t="array" ref="E17">IF(AX17&lt;=0,"",INDEX(listRoot,AX17))</f>
        <v>Prognoses</v>
      </c>
      <c r="F17" s="5" t="str" cm="1">
        <f t="array" ref="F17">IF(AY17&lt;=0.000000000001,"",INDEX(Lister!$C$4:$H$100,AY17,$AX17))</f>
        <v>ETS</v>
      </c>
      <c r="G17" s="5" t="str" cm="1">
        <f t="array" ref="G17">IF(OR(AZ17=1,AZ17&lt;=0.000000000001),"",INDEX(Lister!$J$4:$O$100,AZ17,$AX17))</f>
        <v/>
      </c>
      <c r="H17" s="80">
        <f t="shared" si="2"/>
        <v>800</v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9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9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 t="s">
        <v>165</v>
      </c>
      <c r="AU17" s="80">
        <v>1</v>
      </c>
      <c r="AV17" s="93">
        <v>6</v>
      </c>
      <c r="AW17" s="80">
        <v>1</v>
      </c>
      <c r="AX17" s="80">
        <v>4</v>
      </c>
      <c r="AY17" s="102">
        <v>15</v>
      </c>
      <c r="AZ17" s="102">
        <v>1</v>
      </c>
      <c r="BA17" s="80">
        <v>800</v>
      </c>
    </row>
    <row r="18" spans="2:53" x14ac:dyDescent="0.25">
      <c r="B18" s="93" t="str">
        <f t="shared" si="39"/>
        <v>screc13</v>
      </c>
      <c r="C18" s="93">
        <f t="shared" si="40"/>
        <v>1</v>
      </c>
      <c r="D18" s="80">
        <f t="shared" si="41"/>
        <v>1</v>
      </c>
      <c r="E18" s="5" t="str" cm="1">
        <f t="array" ref="E18">IF(AX18&lt;=0,"",INDEX(listRoot,AX18))</f>
        <v>Prognoses</v>
      </c>
      <c r="F18" s="5" t="str" cm="1">
        <f t="array" ref="F18">IF(AY18&lt;=0.000000000001,"",INDEX(Lister!$C$4:$H$100,AY18,$AX18))</f>
        <v>Elpris</v>
      </c>
      <c r="G18" s="5" t="str" cm="1">
        <f t="array" ref="G18">IF(OR(AZ18=1,AZ18&lt;=0.000000000001),"",INDEX(Lister!$J$4:$O$100,AZ18,$AX18))</f>
        <v/>
      </c>
      <c r="H18" s="80">
        <f t="shared" si="2"/>
        <v>400</v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9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9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 t="s">
        <v>166</v>
      </c>
      <c r="AU18" s="80">
        <v>1</v>
      </c>
      <c r="AV18" s="80">
        <v>7</v>
      </c>
      <c r="AW18" s="80">
        <v>1</v>
      </c>
      <c r="AX18" s="80">
        <v>4</v>
      </c>
      <c r="AY18" s="102">
        <v>14</v>
      </c>
      <c r="AZ18" s="102">
        <v>1</v>
      </c>
      <c r="BA18" s="80">
        <v>400</v>
      </c>
    </row>
    <row r="19" spans="2:53" x14ac:dyDescent="0.25">
      <c r="B19" s="93" t="str">
        <f t="shared" si="39"/>
        <v>screc14</v>
      </c>
      <c r="C19" s="93">
        <f t="shared" si="40"/>
        <v>1</v>
      </c>
      <c r="D19" s="80">
        <f t="shared" si="41"/>
        <v>1</v>
      </c>
      <c r="E19" s="5" t="str" cm="1">
        <f t="array" ref="E19">IF(AX19&lt;=0,"",INDEX(listRoot,AX19))</f>
        <v>Prognoses</v>
      </c>
      <c r="F19" s="5" t="str" cm="1">
        <f t="array" ref="F19">IF(AY19&lt;=0.000000000001,"",INDEX(Lister!$C$4:$H$100,AY19,$AX19))</f>
        <v>ETS</v>
      </c>
      <c r="G19" s="5" t="str" cm="1">
        <f t="array" ref="G19">IF(OR(AZ19=1,AZ19&lt;=0.000000000001),"",INDEX(Lister!$J$4:$O$100,AZ19,$AX19))</f>
        <v/>
      </c>
      <c r="H19" s="80">
        <f t="shared" si="2"/>
        <v>800</v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9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 t="s">
        <v>167</v>
      </c>
      <c r="AU19" s="80">
        <v>1</v>
      </c>
      <c r="AV19" s="80">
        <v>7</v>
      </c>
      <c r="AW19" s="80">
        <v>1</v>
      </c>
      <c r="AX19" s="80">
        <v>4</v>
      </c>
      <c r="AY19" s="102">
        <v>15</v>
      </c>
      <c r="AZ19" s="102">
        <v>1</v>
      </c>
      <c r="BA19" s="80">
        <v>800</v>
      </c>
    </row>
    <row r="20" spans="2:53" x14ac:dyDescent="0.25">
      <c r="B20" s="93" t="str">
        <f t="shared" si="39"/>
        <v>screc15</v>
      </c>
      <c r="C20" s="93">
        <f t="shared" si="40"/>
        <v>1</v>
      </c>
      <c r="D20" s="80">
        <f t="shared" si="41"/>
        <v>1</v>
      </c>
      <c r="E20" s="5" t="str" cm="1">
        <f t="array" ref="E20">IF(AX20&lt;=0,"",INDEX(listRoot,AX20))</f>
        <v>Prognoses</v>
      </c>
      <c r="F20" s="5" t="str" cm="1">
        <f t="array" ref="F20">IF(AY20&lt;=0.000000000001,"",INDEX(Lister!$C$4:$H$100,AY20,$AX20))</f>
        <v>Elpris</v>
      </c>
      <c r="G20" s="5" t="str" cm="1">
        <f t="array" ref="G20">IF(OR(AZ20=1,AZ20&lt;=0.000000000001),"",INDEX(Lister!$J$4:$O$100,AZ20,$AX20))</f>
        <v/>
      </c>
      <c r="H20" s="80">
        <f t="shared" si="2"/>
        <v>600</v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9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9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 t="s">
        <v>168</v>
      </c>
      <c r="AU20" s="80">
        <v>1</v>
      </c>
      <c r="AV20" s="80">
        <v>8</v>
      </c>
      <c r="AW20" s="80">
        <v>1</v>
      </c>
      <c r="AX20" s="80">
        <v>4</v>
      </c>
      <c r="AY20" s="102">
        <v>14</v>
      </c>
      <c r="AZ20" s="102">
        <v>1</v>
      </c>
      <c r="BA20" s="80">
        <v>600</v>
      </c>
    </row>
    <row r="21" spans="2:53" x14ac:dyDescent="0.25">
      <c r="B21" s="93" t="str">
        <f t="shared" si="39"/>
        <v>screc16</v>
      </c>
      <c r="C21" s="93">
        <f t="shared" si="40"/>
        <v>1</v>
      </c>
      <c r="D21" s="80">
        <f t="shared" si="41"/>
        <v>1</v>
      </c>
      <c r="E21" s="5" t="str" cm="1">
        <f t="array" ref="E21">IF(AX21&lt;=0,"",INDEX(listRoot,AX21))</f>
        <v>Prognoses</v>
      </c>
      <c r="F21" s="5" t="str" cm="1">
        <f t="array" ref="F21">IF(AY21&lt;=0.000000000001,"",INDEX(Lister!$C$4:$H$100,AY21,$AX21))</f>
        <v>ETS</v>
      </c>
      <c r="G21" s="5" t="str" cm="1">
        <f t="array" ref="G21">IF(OR(AZ21=1,AZ21&lt;=0.000000000001),"",INDEX(Lister!$J$4:$O$100,AZ21,$AX21))</f>
        <v/>
      </c>
      <c r="H21" s="80">
        <f t="shared" si="2"/>
        <v>800</v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9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9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 t="s">
        <v>169</v>
      </c>
      <c r="AU21" s="80">
        <v>1</v>
      </c>
      <c r="AV21" s="80">
        <v>8</v>
      </c>
      <c r="AW21" s="80">
        <v>1</v>
      </c>
      <c r="AX21" s="80">
        <v>4</v>
      </c>
      <c r="AY21" s="102">
        <v>15</v>
      </c>
      <c r="AZ21" s="102">
        <v>1</v>
      </c>
      <c r="BA21" s="80">
        <v>800</v>
      </c>
    </row>
    <row r="22" spans="2:53" x14ac:dyDescent="0.25">
      <c r="B22" s="93" t="str">
        <f t="shared" si="39"/>
        <v>screc17</v>
      </c>
      <c r="C22" s="93">
        <f t="shared" si="40"/>
        <v>1</v>
      </c>
      <c r="D22" s="80">
        <f t="shared" ref="D22:D45" si="42">IF(ISBLANK(AW22),"",AW22)</f>
        <v>1</v>
      </c>
      <c r="E22" s="5" t="str" cm="1">
        <f t="array" ref="E22">IF(AX22&lt;=0,"",INDEX(listRoot,AX22))</f>
        <v>Prognoses</v>
      </c>
      <c r="F22" s="5" t="str" cm="1">
        <f t="array" ref="F22">IF(AY22&lt;=0.000000000001,"",INDEX(Lister!$C$4:$H$100,AY22,$AX22))</f>
        <v>Elpris</v>
      </c>
      <c r="G22" s="5" t="str" cm="1">
        <f t="array" ref="G22">IF(OR(AZ22=1,AZ22&lt;=0.000000000001),"",INDEX(Lister!$J$4:$O$100,AZ22,$AX22))</f>
        <v/>
      </c>
      <c r="H22" s="80">
        <f t="shared" si="2"/>
        <v>800</v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9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9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 t="s">
        <v>170</v>
      </c>
      <c r="AU22" s="80">
        <v>1</v>
      </c>
      <c r="AV22" s="80">
        <v>9</v>
      </c>
      <c r="AW22" s="80">
        <v>1</v>
      </c>
      <c r="AX22" s="80">
        <v>4</v>
      </c>
      <c r="AY22" s="80">
        <v>14</v>
      </c>
      <c r="AZ22" s="80">
        <v>1</v>
      </c>
      <c r="BA22" s="80">
        <v>800</v>
      </c>
    </row>
    <row r="23" spans="2:53" x14ac:dyDescent="0.25">
      <c r="B23" s="93" t="str">
        <f t="shared" si="39"/>
        <v>screc18</v>
      </c>
      <c r="C23" s="93">
        <f t="shared" si="40"/>
        <v>1</v>
      </c>
      <c r="D23" s="80">
        <f t="shared" si="42"/>
        <v>1</v>
      </c>
      <c r="E23" s="5" t="str" cm="1">
        <f t="array" ref="E23">IF(AX23&lt;=0,"",INDEX(listRoot,AX23))</f>
        <v>Prognoses</v>
      </c>
      <c r="F23" s="5" t="str" cm="1">
        <f t="array" ref="F23">IF(AY23&lt;=0.000000000001,"",INDEX(Lister!$C$4:$H$100,AY23,$AX23))</f>
        <v>ETS</v>
      </c>
      <c r="G23" s="5" t="str" cm="1">
        <f t="array" ref="G23">IF(OR(AZ23=1,AZ23&lt;=0.000000000001),"",INDEX(Lister!$J$4:$O$100,AZ23,$AX23))</f>
        <v/>
      </c>
      <c r="H23" s="80">
        <f t="shared" si="2"/>
        <v>800</v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9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9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 t="s">
        <v>171</v>
      </c>
      <c r="AU23" s="80">
        <v>1</v>
      </c>
      <c r="AV23" s="80">
        <v>9</v>
      </c>
      <c r="AW23" s="80">
        <v>1</v>
      </c>
      <c r="AX23" s="80">
        <v>4</v>
      </c>
      <c r="AY23" s="80">
        <v>15</v>
      </c>
      <c r="AZ23" s="80">
        <v>1</v>
      </c>
      <c r="BA23" s="80">
        <v>800</v>
      </c>
    </row>
    <row r="24" spans="2:53" x14ac:dyDescent="0.25">
      <c r="B24" s="93" t="str">
        <f t="shared" si="39"/>
        <v>screc19</v>
      </c>
      <c r="C24" s="93">
        <f t="shared" si="40"/>
        <v>1</v>
      </c>
      <c r="D24" s="80">
        <f t="shared" si="42"/>
        <v>1</v>
      </c>
      <c r="E24" s="5" t="str" cm="1">
        <f t="array" ref="E24">IF(AX24&lt;=0,"",INDEX(listRoot,AX24))</f>
        <v>Prognoses</v>
      </c>
      <c r="F24" s="5" t="str" cm="1">
        <f t="array" ref="F24">IF(AY24&lt;=0.000000000001,"",INDEX(Lister!$C$4:$H$100,AY24,$AX24))</f>
        <v>Elpris</v>
      </c>
      <c r="G24" s="5" t="str" cm="1">
        <f t="array" ref="G24">IF(OR(AZ24=1,AZ24&lt;=0.000000000001),"",INDEX(Lister!$J$4:$O$100,AZ24,$AX24))</f>
        <v/>
      </c>
      <c r="H24" s="80">
        <f t="shared" si="2"/>
        <v>1000</v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9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9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 t="s">
        <v>172</v>
      </c>
      <c r="AU24" s="80">
        <v>1</v>
      </c>
      <c r="AV24" s="80">
        <v>10</v>
      </c>
      <c r="AW24" s="80">
        <v>1</v>
      </c>
      <c r="AX24" s="80">
        <v>4</v>
      </c>
      <c r="AY24" s="80">
        <v>14</v>
      </c>
      <c r="AZ24" s="80">
        <v>1</v>
      </c>
      <c r="BA24" s="80">
        <v>1000</v>
      </c>
    </row>
    <row r="25" spans="2:53" x14ac:dyDescent="0.25">
      <c r="B25" s="93" t="str">
        <f t="shared" si="39"/>
        <v>screc20</v>
      </c>
      <c r="C25" s="93">
        <f t="shared" si="40"/>
        <v>1</v>
      </c>
      <c r="D25" s="80">
        <f t="shared" si="42"/>
        <v>1</v>
      </c>
      <c r="E25" s="5" t="str" cm="1">
        <f t="array" ref="E25">IF(AX25&lt;=0,"",INDEX(listRoot,AX25))</f>
        <v>Prognoses</v>
      </c>
      <c r="F25" s="5" t="str" cm="1">
        <f t="array" ref="F25">IF(AY25&lt;=0.000000000001,"",INDEX(Lister!$C$4:$H$100,AY25,$AX25))</f>
        <v>ETS</v>
      </c>
      <c r="G25" s="5" t="str" cm="1">
        <f t="array" ref="G25">IF(OR(AZ25=1,AZ25&lt;=0.000000000001),"",INDEX(Lister!$J$4:$O$100,AZ25,$AX25))</f>
        <v/>
      </c>
      <c r="H25" s="80">
        <f t="shared" si="2"/>
        <v>800</v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9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9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 t="s">
        <v>173</v>
      </c>
      <c r="AU25" s="80">
        <v>1</v>
      </c>
      <c r="AV25" s="80">
        <v>10</v>
      </c>
      <c r="AW25" s="80">
        <v>1</v>
      </c>
      <c r="AX25" s="80">
        <v>4</v>
      </c>
      <c r="AY25" s="80">
        <v>15</v>
      </c>
      <c r="AZ25" s="80">
        <v>1</v>
      </c>
      <c r="BA25" s="80">
        <v>800</v>
      </c>
    </row>
    <row r="26" spans="2:53" x14ac:dyDescent="0.25">
      <c r="B26" s="93" t="str">
        <f t="shared" si="39"/>
        <v/>
      </c>
      <c r="C26" s="93">
        <f t="shared" si="40"/>
        <v>0</v>
      </c>
      <c r="D26" s="80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80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9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9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80"/>
    </row>
    <row r="27" spans="2:53" x14ac:dyDescent="0.25">
      <c r="B27" s="93" t="str">
        <f t="shared" si="39"/>
        <v/>
      </c>
      <c r="C27" s="93">
        <f t="shared" si="40"/>
        <v>0</v>
      </c>
      <c r="D27" s="80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80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9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9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80"/>
    </row>
    <row r="28" spans="2:53" x14ac:dyDescent="0.25">
      <c r="B28" s="93" t="str">
        <f t="shared" si="39"/>
        <v/>
      </c>
      <c r="C28" s="93">
        <f t="shared" si="40"/>
        <v>0</v>
      </c>
      <c r="D28" s="80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80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9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9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80"/>
    </row>
    <row r="29" spans="2:53" x14ac:dyDescent="0.25">
      <c r="B29" s="93" t="str">
        <f t="shared" si="39"/>
        <v/>
      </c>
      <c r="C29" s="93">
        <f t="shared" si="40"/>
        <v>0</v>
      </c>
      <c r="D29" s="80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80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9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80"/>
    </row>
    <row r="30" spans="2:53" x14ac:dyDescent="0.25">
      <c r="B30" s="93" t="str">
        <f t="shared" si="39"/>
        <v/>
      </c>
      <c r="C30" s="93">
        <f t="shared" si="40"/>
        <v>0</v>
      </c>
      <c r="D30" s="80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8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9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9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80"/>
    </row>
    <row r="31" spans="2:53" x14ac:dyDescent="0.25">
      <c r="B31" s="93" t="str">
        <f t="shared" si="39"/>
        <v/>
      </c>
      <c r="C31" s="93">
        <f t="shared" si="40"/>
        <v>0</v>
      </c>
      <c r="D31" s="80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80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9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9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80"/>
    </row>
    <row r="32" spans="2:53" x14ac:dyDescent="0.25">
      <c r="B32" s="93" t="str">
        <f t="shared" si="39"/>
        <v/>
      </c>
      <c r="C32" s="93">
        <f t="shared" si="40"/>
        <v>0</v>
      </c>
      <c r="D32" s="80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80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9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9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80"/>
    </row>
    <row r="33" spans="2:47" x14ac:dyDescent="0.25">
      <c r="B33" s="93" t="str">
        <f t="shared" si="39"/>
        <v/>
      </c>
      <c r="C33" s="93">
        <f t="shared" si="40"/>
        <v>0</v>
      </c>
      <c r="D33" s="80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80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9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9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80"/>
    </row>
    <row r="34" spans="2:47" x14ac:dyDescent="0.25">
      <c r="B34" s="93" t="str">
        <f t="shared" si="39"/>
        <v/>
      </c>
      <c r="C34" s="93">
        <f t="shared" si="40"/>
        <v>0</v>
      </c>
      <c r="D34" s="80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80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9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9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80"/>
    </row>
    <row r="35" spans="2:47" x14ac:dyDescent="0.25">
      <c r="B35" s="93" t="str">
        <f t="shared" si="39"/>
        <v/>
      </c>
      <c r="C35" s="93">
        <f t="shared" si="40"/>
        <v>0</v>
      </c>
      <c r="D35" s="80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80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9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9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80"/>
    </row>
    <row r="36" spans="2:47" x14ac:dyDescent="0.25">
      <c r="B36" s="93" t="str">
        <f t="shared" si="39"/>
        <v/>
      </c>
      <c r="C36" s="93">
        <f t="shared" si="40"/>
        <v>0</v>
      </c>
      <c r="D36" s="80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80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9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9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80"/>
    </row>
    <row r="37" spans="2:47" x14ac:dyDescent="0.25">
      <c r="B37" s="93" t="str">
        <f t="shared" si="39"/>
        <v/>
      </c>
      <c r="C37" s="93">
        <f t="shared" si="40"/>
        <v>0</v>
      </c>
      <c r="D37" s="80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80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9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9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80"/>
    </row>
    <row r="38" spans="2:47" x14ac:dyDescent="0.25">
      <c r="B38" s="93" t="str">
        <f t="shared" si="39"/>
        <v/>
      </c>
      <c r="C38" s="93">
        <f t="shared" si="40"/>
        <v>0</v>
      </c>
      <c r="D38" s="80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80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9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9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80"/>
    </row>
    <row r="39" spans="2:47" x14ac:dyDescent="0.25">
      <c r="B39" s="93" t="str">
        <f t="shared" si="39"/>
        <v/>
      </c>
      <c r="C39" s="93">
        <f t="shared" si="40"/>
        <v>0</v>
      </c>
      <c r="D39" s="80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80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9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80"/>
    </row>
    <row r="40" spans="2:47" x14ac:dyDescent="0.25">
      <c r="B40" s="93" t="str">
        <f t="shared" si="39"/>
        <v/>
      </c>
      <c r="C40" s="93">
        <f t="shared" si="40"/>
        <v>0</v>
      </c>
      <c r="D40" s="80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8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9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9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80"/>
    </row>
    <row r="41" spans="2:47" x14ac:dyDescent="0.25">
      <c r="B41" s="93" t="str">
        <f t="shared" si="39"/>
        <v/>
      </c>
      <c r="C41" s="93">
        <f t="shared" si="40"/>
        <v>0</v>
      </c>
      <c r="D41" s="80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80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9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9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80"/>
    </row>
    <row r="42" spans="2:47" x14ac:dyDescent="0.25">
      <c r="B42" s="93" t="str">
        <f t="shared" si="39"/>
        <v/>
      </c>
      <c r="C42" s="93">
        <f t="shared" si="40"/>
        <v>0</v>
      </c>
      <c r="D42" s="80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80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9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9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80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9"/>
      <c r="AG43" s="89"/>
      <c r="AU43" s="80"/>
    </row>
    <row r="44" spans="2:47" x14ac:dyDescent="0.25">
      <c r="B44" s="93" t="str">
        <f t="shared" si="39"/>
        <v/>
      </c>
      <c r="C44" t="str">
        <f t="shared" si="43"/>
        <v/>
      </c>
      <c r="D44" t="str">
        <f t="shared" si="42"/>
        <v/>
      </c>
      <c r="U44" s="89"/>
      <c r="AG44" s="89"/>
      <c r="AU44" s="80"/>
    </row>
    <row r="45" spans="2:47" x14ac:dyDescent="0.25">
      <c r="B45" s="93" t="str">
        <f t="shared" si="39"/>
        <v/>
      </c>
      <c r="C45" t="str">
        <f t="shared" si="43"/>
        <v/>
      </c>
      <c r="D45" t="str">
        <f t="shared" si="42"/>
        <v/>
      </c>
      <c r="U45" s="89"/>
      <c r="AG45" s="89"/>
      <c r="AU45" s="80"/>
    </row>
    <row r="46" spans="2:47" x14ac:dyDescent="0.25">
      <c r="U46" s="89"/>
      <c r="AG46" s="89"/>
      <c r="AU46" s="80"/>
    </row>
    <row r="47" spans="2:47" x14ac:dyDescent="0.25">
      <c r="U47" s="89"/>
      <c r="AG47" s="89"/>
      <c r="AU47" s="80"/>
    </row>
    <row r="48" spans="2:47" x14ac:dyDescent="0.25">
      <c r="U48" s="89"/>
      <c r="AG48" s="89"/>
      <c r="AU48" s="80"/>
    </row>
    <row r="49" spans="21:47" x14ac:dyDescent="0.25">
      <c r="U49" s="89"/>
      <c r="AG49" s="89"/>
      <c r="AU49" s="80"/>
    </row>
    <row r="50" spans="21:47" x14ac:dyDescent="0.25">
      <c r="U50" s="89"/>
      <c r="AG50" s="89"/>
      <c r="AU50" s="80"/>
    </row>
    <row r="51" spans="21:47" x14ac:dyDescent="0.25">
      <c r="U51" s="89"/>
      <c r="AG51" s="89"/>
      <c r="AU51" s="80"/>
    </row>
    <row r="52" spans="21:47" x14ac:dyDescent="0.25">
      <c r="U52" s="89"/>
      <c r="AG52" s="89"/>
      <c r="AU52" s="80"/>
    </row>
    <row r="53" spans="21:47" x14ac:dyDescent="0.25">
      <c r="U53" s="89"/>
      <c r="AG53" s="89"/>
      <c r="AU53" s="80"/>
    </row>
    <row r="54" spans="21:47" x14ac:dyDescent="0.25">
      <c r="U54" s="89"/>
      <c r="AG54" s="89"/>
      <c r="AU54" s="80"/>
    </row>
  </sheetData>
  <phoneticPr fontId="5" type="noConversion"/>
  <conditionalFormatting sqref="C6:C42 E6:H42">
    <cfRule type="cellIs" dxfId="129" priority="22" operator="equal">
      <formula>NaN</formula>
    </cfRule>
  </conditionalFormatting>
  <conditionalFormatting sqref="B6:C42 B44:B45">
    <cfRule type="cellIs" dxfId="128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7" priority="16" operator="greaterThan">
      <formula>0.5</formula>
    </cfRule>
  </conditionalFormatting>
  <conditionalFormatting sqref="AV6:AV17">
    <cfRule type="cellIs" dxfId="126" priority="15" operator="equal">
      <formula>NaN</formula>
    </cfRule>
  </conditionalFormatting>
  <conditionalFormatting sqref="AV6:AV42">
    <cfRule type="cellIs" dxfId="125" priority="14" operator="lessThan">
      <formula>0.000000000001</formula>
    </cfRule>
  </conditionalFormatting>
  <conditionalFormatting sqref="AV6:AV42">
    <cfRule type="cellIs" dxfId="124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3" priority="6" operator="equal">
      <formula>NaN</formula>
    </cfRule>
  </conditionalFormatting>
  <conditionalFormatting sqref="I5:AR5">
    <cfRule type="expression" dxfId="122" priority="4">
      <formula>OR(I4&lt;PerStart2,I4&gt;PerSlut2)</formula>
    </cfRule>
  </conditionalFormatting>
  <conditionalFormatting sqref="AU6:AU42">
    <cfRule type="cellIs" dxfId="121" priority="3" operator="equal">
      <formula>NaN</formula>
    </cfRule>
  </conditionalFormatting>
  <conditionalFormatting sqref="B6:B42 H6:H42">
    <cfRule type="expression" dxfId="120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7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4" sqref="D4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44597.638116087961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86</v>
      </c>
      <c r="D4" s="32" t="s">
        <v>143</v>
      </c>
      <c r="E4" s="32" t="s">
        <v>74</v>
      </c>
      <c r="F4" s="32" t="s">
        <v>186</v>
      </c>
      <c r="G4" s="32" t="s">
        <v>187</v>
      </c>
      <c r="H4" s="32" t="s">
        <v>188</v>
      </c>
      <c r="I4" s="32" t="s">
        <v>189</v>
      </c>
      <c r="J4" s="32" t="s">
        <v>190</v>
      </c>
      <c r="K4" s="32" t="s">
        <v>191</v>
      </c>
      <c r="L4" s="32" t="s">
        <v>192</v>
      </c>
      <c r="M4" s="32" t="s">
        <v>193</v>
      </c>
      <c r="N4" s="32" t="s">
        <v>194</v>
      </c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0.63755744213267462</v>
      </c>
      <c r="E5" s="38">
        <v>0.63759648147970438</v>
      </c>
      <c r="F5" s="38">
        <v>0.63764094907674007</v>
      </c>
      <c r="G5" s="38">
        <v>0.63768502314633224</v>
      </c>
      <c r="H5" s="38">
        <v>0.63776550925831543</v>
      </c>
      <c r="I5" s="38">
        <v>0.63782614583033137</v>
      </c>
      <c r="J5" s="38">
        <v>0.63786776620690944</v>
      </c>
      <c r="K5" s="38">
        <v>0.63790922454063548</v>
      </c>
      <c r="L5" s="38">
        <v>0.63795478008978534</v>
      </c>
      <c r="M5" s="38">
        <v>0.63800386573711876</v>
      </c>
      <c r="N5" s="38">
        <v>0.63808831018832279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53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>
        <v>240000</v>
      </c>
      <c r="I6" s="7">
        <v>240000</v>
      </c>
      <c r="J6" s="7">
        <v>240000</v>
      </c>
      <c r="K6" s="7">
        <v>240000</v>
      </c>
      <c r="L6" s="7">
        <v>240000</v>
      </c>
      <c r="M6" s="7">
        <v>240000</v>
      </c>
      <c r="N6" s="7">
        <v>240000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-5228607.9374880427</v>
      </c>
      <c r="E7" s="11">
        <v>-23162927.853978008</v>
      </c>
      <c r="F7" s="11">
        <v>-16545193.998306297</v>
      </c>
      <c r="G7" s="11">
        <v>-9929018.2091592029</v>
      </c>
      <c r="H7" s="11">
        <v>-2288363.8895849995</v>
      </c>
      <c r="I7" s="11">
        <v>6144379.2567203585</v>
      </c>
      <c r="J7" s="11">
        <v>-38857650.887872234</v>
      </c>
      <c r="K7" s="11">
        <v>-32239917.032200526</v>
      </c>
      <c r="L7" s="11">
        <v>-25623741.242816046</v>
      </c>
      <c r="M7" s="11">
        <v>-17983086.914057828</v>
      </c>
      <c r="N7" s="11">
        <v>-9667216.9523935523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Nøgletal.Total-Var-Varmeproduktions-Omk</v>
      </c>
      <c r="B8" s="8" t="s">
        <v>6</v>
      </c>
      <c r="C8" s="9" t="s">
        <v>80</v>
      </c>
      <c r="D8" s="10">
        <v>112.04834268674655</v>
      </c>
      <c r="E8" s="10">
        <v>1106.0752244079506</v>
      </c>
      <c r="F8" s="10">
        <v>799.42581334222905</v>
      </c>
      <c r="G8" s="10">
        <v>481.57091106172874</v>
      </c>
      <c r="H8" s="10">
        <v>48.223421472378831</v>
      </c>
      <c r="I8" s="10">
        <v>-490.96573274747084</v>
      </c>
      <c r="J8" s="10">
        <v>2018.4771198092428</v>
      </c>
      <c r="K8" s="10">
        <v>1670.78520147222</v>
      </c>
      <c r="L8" s="10">
        <v>1394.7114922398835</v>
      </c>
      <c r="M8" s="10">
        <v>958.96561620663715</v>
      </c>
      <c r="N8" s="10">
        <v>437.05884526098527</v>
      </c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81</v>
      </c>
      <c r="D9" s="11">
        <v>-3414207.9374880427</v>
      </c>
      <c r="E9" s="11">
        <v>-21348527.853978008</v>
      </c>
      <c r="F9" s="11">
        <v>-14730793.998306297</v>
      </c>
      <c r="G9" s="11">
        <v>-8114618.2091592029</v>
      </c>
      <c r="H9" s="11">
        <v>-473963.88958499953</v>
      </c>
      <c r="I9" s="11">
        <v>7958779.2567203585</v>
      </c>
      <c r="J9" s="11">
        <v>-37043250.887872234</v>
      </c>
      <c r="K9" s="11">
        <v>-30425517.032200526</v>
      </c>
      <c r="L9" s="11">
        <v>-23809341.242816046</v>
      </c>
      <c r="M9" s="11">
        <v>-16168686.914057828</v>
      </c>
      <c r="N9" s="11">
        <v>-7852816.9523935523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Nøgletal.REFA-Var-Varmeproduktions-Omk</v>
      </c>
      <c r="B10" s="8" t="s">
        <v>6</v>
      </c>
      <c r="C10" s="13" t="s">
        <v>82</v>
      </c>
      <c r="D10" s="10">
        <v>47.713561191095778</v>
      </c>
      <c r="E10" s="10">
        <v>1079.48278219086</v>
      </c>
      <c r="F10" s="10">
        <v>763.48353146754357</v>
      </c>
      <c r="G10" s="10">
        <v>438.95964683393163</v>
      </c>
      <c r="H10" s="10">
        <v>-3.8799324200074068</v>
      </c>
      <c r="I10" s="10">
        <v>-553.09466730988152</v>
      </c>
      <c r="J10" s="10">
        <v>2008.983762321202</v>
      </c>
      <c r="K10" s="10">
        <v>1654.1553535477656</v>
      </c>
      <c r="L10" s="10">
        <v>1366.4514211869109</v>
      </c>
      <c r="M10" s="10">
        <v>924.1568426109435</v>
      </c>
      <c r="N10" s="10">
        <v>393.89725870787038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Nøgletal.REFA-Daekningsbidrag</v>
      </c>
      <c r="B11" s="57" t="s">
        <v>2</v>
      </c>
      <c r="C11" s="58" t="s">
        <v>7</v>
      </c>
      <c r="D11" s="56">
        <v>-3073604.315382543</v>
      </c>
      <c r="E11" s="56">
        <v>-21014543.709275067</v>
      </c>
      <c r="F11" s="56">
        <v>-14396809.853603367</v>
      </c>
      <c r="G11" s="56">
        <v>-7773527.6819031835</v>
      </c>
      <c r="H11" s="56">
        <v>-133360.26747948118</v>
      </c>
      <c r="I11" s="56">
        <v>8282135.7048311476</v>
      </c>
      <c r="J11" s="56">
        <v>-36709266.742507964</v>
      </c>
      <c r="K11" s="56">
        <v>-30091532.886836261</v>
      </c>
      <c r="L11" s="56">
        <v>-23468250.715550683</v>
      </c>
      <c r="M11" s="56">
        <v>-15828083.291945323</v>
      </c>
      <c r="N11" s="56">
        <v>-7529460.5042757783</v>
      </c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Nøgletal.REFA-Total-Var-Indkomst</v>
      </c>
      <c r="B12" s="12" t="s">
        <v>2</v>
      </c>
      <c r="C12" s="14" t="s">
        <v>8</v>
      </c>
      <c r="D12" s="11">
        <v>73063024.26257278</v>
      </c>
      <c r="E12" s="11">
        <v>54083285.205070354</v>
      </c>
      <c r="F12" s="11">
        <v>60701019.060742065</v>
      </c>
      <c r="G12" s="11">
        <v>67431513.028818578</v>
      </c>
      <c r="H12" s="11">
        <v>75620709.429423675</v>
      </c>
      <c r="I12" s="11">
        <v>85178234.374990776</v>
      </c>
      <c r="J12" s="11">
        <v>54083283.467532873</v>
      </c>
      <c r="K12" s="11">
        <v>60701017.323204584</v>
      </c>
      <c r="L12" s="11">
        <v>67431511.272697642</v>
      </c>
      <c r="M12" s="11">
        <v>75620707.689314097</v>
      </c>
      <c r="N12" s="11">
        <v>85279514.232233196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Nøgletal.REFA-Affald-Modtagelse</v>
      </c>
      <c r="B13" s="12" t="s">
        <v>2</v>
      </c>
      <c r="C13" s="15" t="s">
        <v>9</v>
      </c>
      <c r="D13" s="11">
        <v>46087280.829558991</v>
      </c>
      <c r="E13" s="11">
        <v>46087280.828697436</v>
      </c>
      <c r="F13" s="11">
        <v>46087280.828697443</v>
      </c>
      <c r="G13" s="11">
        <v>46087280.829558991</v>
      </c>
      <c r="H13" s="11">
        <v>46087280.830420531</v>
      </c>
      <c r="I13" s="11">
        <v>46087280.830420531</v>
      </c>
      <c r="J13" s="11">
        <v>46087279.09115997</v>
      </c>
      <c r="K13" s="11">
        <v>46087279.09115997</v>
      </c>
      <c r="L13" s="11">
        <v>46087279.09115997</v>
      </c>
      <c r="M13" s="11">
        <v>46087279.09115997</v>
      </c>
      <c r="N13" s="11">
        <v>46087279.09115997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Nøgletal.REFA-RGK-Rabat</v>
      </c>
      <c r="B14" s="12" t="s">
        <v>2</v>
      </c>
      <c r="C14" s="15" t="s">
        <v>10</v>
      </c>
      <c r="D14" s="11">
        <v>1510625.197832284</v>
      </c>
      <c r="E14" s="11">
        <v>1510625.1978146448</v>
      </c>
      <c r="F14" s="11">
        <v>1510625.1978146448</v>
      </c>
      <c r="G14" s="11">
        <v>1510625.1978146448</v>
      </c>
      <c r="H14" s="11">
        <v>1510625.1978146448</v>
      </c>
      <c r="I14" s="11">
        <v>1245191.318188834</v>
      </c>
      <c r="J14" s="11">
        <v>1510625.1978146448</v>
      </c>
      <c r="K14" s="11">
        <v>1510625.1978146448</v>
      </c>
      <c r="L14" s="11">
        <v>1510625.1978146448</v>
      </c>
      <c r="M14" s="11">
        <v>1510625.1978146448</v>
      </c>
      <c r="N14" s="11">
        <v>1346472.9146700087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Nøgletal.REFA-Elsalg</v>
      </c>
      <c r="B15" s="12" t="s">
        <v>2</v>
      </c>
      <c r="C15" s="15" t="s">
        <v>11</v>
      </c>
      <c r="D15" s="11">
        <v>25465118.23518151</v>
      </c>
      <c r="E15" s="11">
        <v>6485379.1785582667</v>
      </c>
      <c r="F15" s="11">
        <v>13103113.034229968</v>
      </c>
      <c r="G15" s="11">
        <v>19833607.00144494</v>
      </c>
      <c r="H15" s="11">
        <v>28022803.4011885</v>
      </c>
      <c r="I15" s="11">
        <v>37845762.226381414</v>
      </c>
      <c r="J15" s="11">
        <v>6485379.1785582667</v>
      </c>
      <c r="K15" s="11">
        <v>13103113.034229968</v>
      </c>
      <c r="L15" s="11">
        <v>19833606.983723033</v>
      </c>
      <c r="M15" s="11">
        <v>28022803.400339484</v>
      </c>
      <c r="N15" s="11">
        <v>37845762.226403229</v>
      </c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Nøgletal.REFA-Varmesalg</v>
      </c>
      <c r="B16" s="12" t="s">
        <v>2</v>
      </c>
      <c r="C16" s="15" t="s">
        <v>83</v>
      </c>
      <c r="D16" s="11">
        <v>1.1999999999999997E-13</v>
      </c>
      <c r="E16" s="11">
        <v>1.1999999999999997E-13</v>
      </c>
      <c r="F16" s="11">
        <v>1.1999999999999997E-13</v>
      </c>
      <c r="G16" s="11">
        <v>1.1999999999999997E-13</v>
      </c>
      <c r="H16" s="11">
        <v>1.1999999999999997E-13</v>
      </c>
      <c r="I16" s="11">
        <v>1.1999999999999997E-13</v>
      </c>
      <c r="J16" s="11">
        <v>1.1999999999999997E-13</v>
      </c>
      <c r="K16" s="11">
        <v>1.1999999999999997E-13</v>
      </c>
      <c r="L16" s="11">
        <v>1.1999999999999997E-13</v>
      </c>
      <c r="M16" s="11">
        <v>1.1999999999999997E-13</v>
      </c>
      <c r="N16" s="11">
        <v>1.1999999999999997E-13</v>
      </c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Nøgletal.REFA-Total-Var-Omkostning</v>
      </c>
      <c r="B17" s="12" t="s">
        <v>2</v>
      </c>
      <c r="C17" s="14" t="s">
        <v>12</v>
      </c>
      <c r="D17" s="11">
        <v>76136628.57795532</v>
      </c>
      <c r="E17" s="11">
        <v>75097828.914345428</v>
      </c>
      <c r="F17" s="11">
        <v>75097828.914345413</v>
      </c>
      <c r="G17" s="11">
        <v>75205040.710721746</v>
      </c>
      <c r="H17" s="11">
        <v>75754069.696903154</v>
      </c>
      <c r="I17" s="11">
        <v>76896098.670159608</v>
      </c>
      <c r="J17" s="11">
        <v>90792550.210040838</v>
      </c>
      <c r="K17" s="11">
        <v>90792550.210040838</v>
      </c>
      <c r="L17" s="11">
        <v>90899761.988248333</v>
      </c>
      <c r="M17" s="11">
        <v>91448790.981259421</v>
      </c>
      <c r="N17" s="11">
        <v>92808974.736508965</v>
      </c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Nøgletal.REFA-AnlaegsVarOmk</v>
      </c>
      <c r="B18" s="12" t="s">
        <v>2</v>
      </c>
      <c r="C18" s="15" t="s">
        <v>13</v>
      </c>
      <c r="D18" s="11">
        <v>11414073.35541611</v>
      </c>
      <c r="E18" s="11">
        <v>11047721.481188193</v>
      </c>
      <c r="F18" s="11">
        <v>11047721.481188193</v>
      </c>
      <c r="G18" s="11">
        <v>11091284.843090286</v>
      </c>
      <c r="H18" s="11">
        <v>11414073.355651451</v>
      </c>
      <c r="I18" s="11">
        <v>11895985.881120279</v>
      </c>
      <c r="J18" s="11">
        <v>11047721.189203776</v>
      </c>
      <c r="K18" s="11">
        <v>11047721.189203776</v>
      </c>
      <c r="L18" s="11">
        <v>11091284.545173744</v>
      </c>
      <c r="M18" s="11">
        <v>11414073.062502634</v>
      </c>
      <c r="N18" s="11">
        <v>11895985.588209484</v>
      </c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Nøgletal.REFA-BraendselOmk</v>
      </c>
      <c r="B19" s="12" t="s">
        <v>2</v>
      </c>
      <c r="C19" s="15" t="s">
        <v>14</v>
      </c>
      <c r="D19" s="11">
        <v>2626370.1581461299</v>
      </c>
      <c r="E19" s="11">
        <v>1584000</v>
      </c>
      <c r="F19" s="11">
        <v>1584000</v>
      </c>
      <c r="G19" s="11">
        <v>1584000</v>
      </c>
      <c r="H19" s="11">
        <v>2626370.1578469388</v>
      </c>
      <c r="I19" s="11">
        <v>4470903.4504444897</v>
      </c>
      <c r="J19" s="11">
        <v>1584000</v>
      </c>
      <c r="K19" s="11">
        <v>1584000</v>
      </c>
      <c r="L19" s="11">
        <v>1584000</v>
      </c>
      <c r="M19" s="11">
        <v>2626370.1758921333</v>
      </c>
      <c r="N19" s="11">
        <v>4470903.4692516364</v>
      </c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Nøgletal.REFA-Afgifter</v>
      </c>
      <c r="B20" s="12" t="s">
        <v>2</v>
      </c>
      <c r="C20" s="115" t="s">
        <v>15</v>
      </c>
      <c r="D20" s="11">
        <v>46018902.794791341</v>
      </c>
      <c r="E20" s="11">
        <v>46771384.049445316</v>
      </c>
      <c r="F20" s="11">
        <v>46771384.049445324</v>
      </c>
      <c r="G20" s="11">
        <v>46835032.481301501</v>
      </c>
      <c r="H20" s="11">
        <v>46018902.795881979</v>
      </c>
      <c r="I20" s="11">
        <v>44834485.951072067</v>
      </c>
      <c r="J20" s="11">
        <v>46771383.186443619</v>
      </c>
      <c r="K20" s="11">
        <v>46771383.186443619</v>
      </c>
      <c r="L20" s="11">
        <v>46835031.608681135</v>
      </c>
      <c r="M20" s="11">
        <v>46018901.908471204</v>
      </c>
      <c r="N20" s="11">
        <v>45052639.844654411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Nøgletal.REFA-Affaldvarme-afgift</v>
      </c>
      <c r="B21" s="12" t="s">
        <v>2</v>
      </c>
      <c r="C21" s="116" t="s">
        <v>151</v>
      </c>
      <c r="D21" s="11">
        <v>20009808.285028238</v>
      </c>
      <c r="E21" s="11">
        <v>20662927.644118082</v>
      </c>
      <c r="F21" s="11">
        <v>20662927.644118082</v>
      </c>
      <c r="G21" s="11">
        <v>20662927.644118082</v>
      </c>
      <c r="H21" s="11">
        <v>20009808.285215706</v>
      </c>
      <c r="I21" s="11">
        <v>18854076.425025295</v>
      </c>
      <c r="J21" s="11">
        <v>20662927.644118082</v>
      </c>
      <c r="K21" s="11">
        <v>20662927.644118082</v>
      </c>
      <c r="L21" s="11">
        <v>20662927.644118082</v>
      </c>
      <c r="M21" s="11">
        <v>20009808.273909099</v>
      </c>
      <c r="N21" s="11">
        <v>18854076.413241275</v>
      </c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Nøgletal.REFA-Tillaegs-Afgift</v>
      </c>
      <c r="B22" s="12" t="s">
        <v>2</v>
      </c>
      <c r="C22" s="116" t="s">
        <v>152</v>
      </c>
      <c r="D22" s="11">
        <v>20704026.559076682</v>
      </c>
      <c r="E22" s="11">
        <v>20786300.987372406</v>
      </c>
      <c r="F22" s="11">
        <v>20786300.987372406</v>
      </c>
      <c r="G22" s="11">
        <v>20839003.668834493</v>
      </c>
      <c r="H22" s="11">
        <v>20704026.559790615</v>
      </c>
      <c r="I22" s="11">
        <v>20723685.102693282</v>
      </c>
      <c r="J22" s="11">
        <v>20786300.288825795</v>
      </c>
      <c r="K22" s="11">
        <v>20786300.288825795</v>
      </c>
      <c r="L22" s="11">
        <v>20839002.962396678</v>
      </c>
      <c r="M22" s="11">
        <v>20704025.850494944</v>
      </c>
      <c r="N22" s="11">
        <v>20901324.002570905</v>
      </c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7" t="str">
        <f t="shared" si="0"/>
        <v>Nøgletal.REFA-CO2-Afgift</v>
      </c>
      <c r="B23" s="12" t="s">
        <v>2</v>
      </c>
      <c r="C23" s="116" t="s">
        <v>153</v>
      </c>
      <c r="D23" s="11">
        <v>4723058.7858569715</v>
      </c>
      <c r="E23" s="11">
        <v>4740146.2532420047</v>
      </c>
      <c r="F23" s="11">
        <v>4740146.2532420047</v>
      </c>
      <c r="G23" s="11">
        <v>4751092.0035475511</v>
      </c>
      <c r="H23" s="11">
        <v>4723058.7860418819</v>
      </c>
      <c r="I23" s="11">
        <v>4674715.2585197166</v>
      </c>
      <c r="J23" s="11">
        <v>4740146.1081617819</v>
      </c>
      <c r="K23" s="11">
        <v>4740146.1081617819</v>
      </c>
      <c r="L23" s="11">
        <v>4751091.8568284148</v>
      </c>
      <c r="M23" s="11">
        <v>4723058.6387292016</v>
      </c>
      <c r="N23" s="11">
        <v>4715230.2835042747</v>
      </c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7" t="str">
        <f t="shared" si="0"/>
        <v>Nøgletal.REFA-NOx-Afgift</v>
      </c>
      <c r="B24" s="12" t="s">
        <v>2</v>
      </c>
      <c r="C24" s="116" t="s">
        <v>154</v>
      </c>
      <c r="D24" s="11">
        <v>582009.16482944239</v>
      </c>
      <c r="E24" s="11">
        <v>582009.164712823</v>
      </c>
      <c r="F24" s="11">
        <v>582009.164712823</v>
      </c>
      <c r="G24" s="11">
        <v>582009.16480137093</v>
      </c>
      <c r="H24" s="11">
        <v>582009.16483377607</v>
      </c>
      <c r="I24" s="11">
        <v>582009.16483377619</v>
      </c>
      <c r="J24" s="11">
        <v>582009.14533795044</v>
      </c>
      <c r="K24" s="11">
        <v>582009.14533795044</v>
      </c>
      <c r="L24" s="11">
        <v>582009.14533795055</v>
      </c>
      <c r="M24" s="11">
        <v>582009.14533795044</v>
      </c>
      <c r="N24" s="11">
        <v>582009.14533795044</v>
      </c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7" t="str">
        <f t="shared" si="0"/>
        <v>Nøgletal.REFA-CO2-Kvoteomk</v>
      </c>
      <c r="B25" s="12" t="s">
        <v>2</v>
      </c>
      <c r="C25" s="15" t="s">
        <v>16</v>
      </c>
      <c r="D25" s="11">
        <v>16077282.269601746</v>
      </c>
      <c r="E25" s="11">
        <v>15694723.383711904</v>
      </c>
      <c r="F25" s="11">
        <v>15694723.383711908</v>
      </c>
      <c r="G25" s="11">
        <v>15694723.386329966</v>
      </c>
      <c r="H25" s="11">
        <v>15694723.387522781</v>
      </c>
      <c r="I25" s="11">
        <v>15694723.387522781</v>
      </c>
      <c r="J25" s="11">
        <v>31389445.834393445</v>
      </c>
      <c r="K25" s="11">
        <v>31389445.834393445</v>
      </c>
      <c r="L25" s="11">
        <v>31389445.834393449</v>
      </c>
      <c r="M25" s="11">
        <v>31389445.834393445</v>
      </c>
      <c r="N25" s="11">
        <v>31389445.834393445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7" t="str">
        <f t="shared" si="0"/>
        <v>Nøgletal.REFA-Lageromkostning</v>
      </c>
      <c r="B26" s="12" t="s">
        <v>2</v>
      </c>
      <c r="C26" s="15" t="s">
        <v>17</v>
      </c>
      <c r="D26" s="11">
        <v>1.1999999999999997E-13</v>
      </c>
      <c r="E26" s="11">
        <v>1.1999999999999997E-13</v>
      </c>
      <c r="F26" s="11">
        <v>1.1999999999999997E-13</v>
      </c>
      <c r="G26" s="11">
        <v>1.1999999999999997E-13</v>
      </c>
      <c r="H26" s="11">
        <v>1.1999999999999997E-13</v>
      </c>
      <c r="I26" s="11">
        <v>1.1999999999999997E-13</v>
      </c>
      <c r="J26" s="11">
        <v>1.1999999999999997E-13</v>
      </c>
      <c r="K26" s="11">
        <v>1.1999999999999997E-13</v>
      </c>
      <c r="L26" s="11">
        <v>1.1999999999999997E-13</v>
      </c>
      <c r="M26" s="11">
        <v>1.1999999999999997E-13</v>
      </c>
      <c r="N26" s="11">
        <v>1.1999999999999997E-13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8" t="str">
        <f t="shared" si="0"/>
        <v>Nøgletal.REFA-CO2-Emission-Afgift</v>
      </c>
      <c r="B27" s="8" t="s">
        <v>18</v>
      </c>
      <c r="C27" s="13" t="s">
        <v>19</v>
      </c>
      <c r="D27" s="16">
        <v>39236.808467606461</v>
      </c>
      <c r="E27" s="16">
        <v>39236.80845927976</v>
      </c>
      <c r="F27" s="16">
        <v>39236.80845927976</v>
      </c>
      <c r="G27" s="16">
        <v>39236.808465824914</v>
      </c>
      <c r="H27" s="16">
        <v>39236.808468806965</v>
      </c>
      <c r="I27" s="16">
        <v>39236.80846880695</v>
      </c>
      <c r="J27" s="16">
        <v>39236.807292991813</v>
      </c>
      <c r="K27" s="16">
        <v>39236.807292991813</v>
      </c>
      <c r="L27" s="16">
        <v>39236.807292991813</v>
      </c>
      <c r="M27" s="16">
        <v>39236.807292991813</v>
      </c>
      <c r="N27" s="16">
        <v>39236.807292991813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 outlineLevel="1" x14ac:dyDescent="0.25">
      <c r="A28" s="68" t="str">
        <f t="shared" si="0"/>
        <v>Nøgletal.REFA-CO2-Emission-Kvote</v>
      </c>
      <c r="B28" s="8" t="s">
        <v>18</v>
      </c>
      <c r="C28" s="13" t="s">
        <v>20</v>
      </c>
      <c r="D28" s="16">
        <v>39236.808467606461</v>
      </c>
      <c r="E28" s="16">
        <v>39236.80845927976</v>
      </c>
      <c r="F28" s="16">
        <v>39236.80845927976</v>
      </c>
      <c r="G28" s="16">
        <v>39236.808465824914</v>
      </c>
      <c r="H28" s="16">
        <v>39236.808468806965</v>
      </c>
      <c r="I28" s="16">
        <v>39236.80846880695</v>
      </c>
      <c r="J28" s="16">
        <v>39236.807292991813</v>
      </c>
      <c r="K28" s="16">
        <v>39236.807292991813</v>
      </c>
      <c r="L28" s="16">
        <v>39236.807292991813</v>
      </c>
      <c r="M28" s="16">
        <v>39236.807292991813</v>
      </c>
      <c r="N28" s="16">
        <v>39236.807292991813</v>
      </c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8" t="str">
        <f t="shared" si="0"/>
        <v>Nøgletal.REFA-El-produktion-Brutto</v>
      </c>
      <c r="B29" s="8" t="s">
        <v>21</v>
      </c>
      <c r="C29" s="13" t="s">
        <v>22</v>
      </c>
      <c r="D29" s="16">
        <v>42165.732441109627</v>
      </c>
      <c r="E29" s="16">
        <v>40049.874833914058</v>
      </c>
      <c r="F29" s="16">
        <v>40049.874833914058</v>
      </c>
      <c r="G29" s="16">
        <v>40239.069651939673</v>
      </c>
      <c r="H29" s="16">
        <v>42165.732441470755</v>
      </c>
      <c r="I29" s="16">
        <v>44958.958794894315</v>
      </c>
      <c r="J29" s="16">
        <v>40049.874833914058</v>
      </c>
      <c r="K29" s="16">
        <v>40049.874833914058</v>
      </c>
      <c r="L29" s="16">
        <v>40239.06962220493</v>
      </c>
      <c r="M29" s="16">
        <v>42165.73244040415</v>
      </c>
      <c r="N29" s="16">
        <v>44958.958794916223</v>
      </c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8" t="str">
        <f t="shared" si="0"/>
        <v>Nøgletal.REFA-El-produktion-Netto</v>
      </c>
      <c r="B30" s="8" t="s">
        <v>21</v>
      </c>
      <c r="C30" s="13" t="s">
        <v>23</v>
      </c>
      <c r="D30" s="16">
        <v>35204.526885554071</v>
      </c>
      <c r="E30" s="16">
        <v>33088.669278358509</v>
      </c>
      <c r="F30" s="16">
        <v>33088.669278358509</v>
      </c>
      <c r="G30" s="16">
        <v>33277.864096384124</v>
      </c>
      <c r="H30" s="16">
        <v>35204.526885915198</v>
      </c>
      <c r="I30" s="16">
        <v>37997.753239338759</v>
      </c>
      <c r="J30" s="16">
        <v>33088.669278358509</v>
      </c>
      <c r="K30" s="16">
        <v>33088.669278358509</v>
      </c>
      <c r="L30" s="16">
        <v>33277.864066649381</v>
      </c>
      <c r="M30" s="16">
        <v>35204.526884848601</v>
      </c>
      <c r="N30" s="16">
        <v>37997.753239360667</v>
      </c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9" t="str">
        <f t="shared" si="0"/>
        <v>Nøgletal.REFA-Total-Affald-Raadighed</v>
      </c>
      <c r="B31" s="8" t="s">
        <v>18</v>
      </c>
      <c r="C31" s="14" t="s">
        <v>24</v>
      </c>
      <c r="D31" s="7">
        <v>857435.84900000028</v>
      </c>
      <c r="E31" s="7">
        <v>857435.84900000028</v>
      </c>
      <c r="F31" s="7">
        <v>857435.84900000028</v>
      </c>
      <c r="G31" s="7">
        <v>857435.84900000028</v>
      </c>
      <c r="H31" s="7">
        <v>857435.84900000028</v>
      </c>
      <c r="I31" s="7">
        <v>857435.84900000028</v>
      </c>
      <c r="J31" s="7">
        <v>857435.84900000028</v>
      </c>
      <c r="K31" s="7">
        <v>857435.84900000028</v>
      </c>
      <c r="L31" s="7">
        <v>857435.84900000028</v>
      </c>
      <c r="M31" s="7">
        <v>857435.84900000028</v>
      </c>
      <c r="N31" s="7">
        <v>857435.84900000028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Nøgletal.REFA-Affald-anvendt</v>
      </c>
      <c r="B32" s="8" t="s">
        <v>18</v>
      </c>
      <c r="C32" s="15" t="s">
        <v>25</v>
      </c>
      <c r="D32" s="7">
        <v>99702.803816559244</v>
      </c>
      <c r="E32" s="7">
        <v>97113.064273211494</v>
      </c>
      <c r="F32" s="7">
        <v>97113.064273211494</v>
      </c>
      <c r="G32" s="7">
        <v>97113.064288399823</v>
      </c>
      <c r="H32" s="7">
        <v>99702.803816559244</v>
      </c>
      <c r="I32" s="7">
        <v>104285.4952267395</v>
      </c>
      <c r="J32" s="7">
        <v>97113.060949905746</v>
      </c>
      <c r="K32" s="7">
        <v>97113.060949905746</v>
      </c>
      <c r="L32" s="7">
        <v>97113.060949905746</v>
      </c>
      <c r="M32" s="7">
        <v>99702.800517339609</v>
      </c>
      <c r="N32" s="7">
        <v>104285.49192941291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8" t="str">
        <f t="shared" si="0"/>
        <v>Nøgletal.REFA-Affald-Uudnyttet</v>
      </c>
      <c r="B33" s="8" t="s">
        <v>18</v>
      </c>
      <c r="C33" s="15" t="s">
        <v>26</v>
      </c>
      <c r="D33" s="7">
        <v>1.1999999999999997E-13</v>
      </c>
      <c r="E33" s="7">
        <v>1.1999999999999997E-13</v>
      </c>
      <c r="F33" s="7">
        <v>1.1999999999999997E-13</v>
      </c>
      <c r="G33" s="7">
        <v>1.1999999999999997E-13</v>
      </c>
      <c r="H33" s="7">
        <v>1.1999999999999997E-13</v>
      </c>
      <c r="I33" s="7">
        <v>1.1999999999999997E-13</v>
      </c>
      <c r="J33" s="7">
        <v>1.1999999999999997E-13</v>
      </c>
      <c r="K33" s="7">
        <v>1.1999999999999997E-13</v>
      </c>
      <c r="L33" s="7">
        <v>1.1999999999999997E-13</v>
      </c>
      <c r="M33" s="7">
        <v>1.1999999999999997E-13</v>
      </c>
      <c r="N33" s="7">
        <v>1.1999999999999997E-13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8" t="str">
        <f t="shared" si="0"/>
        <v>Nøgletal.REFA-Affald-Lagret</v>
      </c>
      <c r="B34" s="8" t="s">
        <v>18</v>
      </c>
      <c r="C34" s="15" t="s">
        <v>27</v>
      </c>
      <c r="D34" s="7">
        <v>1.1999999999999997E-13</v>
      </c>
      <c r="E34" s="7">
        <v>1.1999999999999997E-13</v>
      </c>
      <c r="F34" s="7">
        <v>1.1999999999999997E-13</v>
      </c>
      <c r="G34" s="7">
        <v>1.1999999999999997E-13</v>
      </c>
      <c r="H34" s="7">
        <v>1.1999999999999997E-13</v>
      </c>
      <c r="I34" s="7">
        <v>1.1999999999999997E-13</v>
      </c>
      <c r="J34" s="7">
        <v>1.1999999999999997E-13</v>
      </c>
      <c r="K34" s="7">
        <v>1.1999999999999997E-13</v>
      </c>
      <c r="L34" s="7">
        <v>1.1999999999999997E-13</v>
      </c>
      <c r="M34" s="7">
        <v>1.1999999999999997E-13</v>
      </c>
      <c r="N34" s="7">
        <v>1.1999999999999997E-13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9" t="str">
        <f t="shared" si="0"/>
        <v>Nøgletal.REFA-Total-Varme-Produktion</v>
      </c>
      <c r="B35" s="8" t="s">
        <v>4</v>
      </c>
      <c r="C35" s="14" t="s">
        <v>28</v>
      </c>
      <c r="D35" s="7">
        <v>253038.4111173487</v>
      </c>
      <c r="E35" s="7">
        <v>247110.94834756062</v>
      </c>
      <c r="F35" s="7">
        <v>247110.94834756062</v>
      </c>
      <c r="G35" s="7">
        <v>247663.29280551401</v>
      </c>
      <c r="H35" s="7">
        <v>253038.41112257415</v>
      </c>
      <c r="I35" s="7">
        <v>260916.97816710151</v>
      </c>
      <c r="J35" s="7">
        <v>247110.94102370128</v>
      </c>
      <c r="K35" s="7">
        <v>247110.94102370125</v>
      </c>
      <c r="L35" s="7">
        <v>247663.28539895185</v>
      </c>
      <c r="M35" s="7">
        <v>253038.40379417097</v>
      </c>
      <c r="N35" s="7">
        <v>260916.97084266535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8" t="str">
        <f t="shared" si="0"/>
        <v>Nøgletal.REFA-Leveret-Varme</v>
      </c>
      <c r="B36" s="8" t="s">
        <v>4</v>
      </c>
      <c r="C36" s="15" t="s">
        <v>76</v>
      </c>
      <c r="D36" s="7">
        <v>230400</v>
      </c>
      <c r="E36" s="7">
        <v>230400</v>
      </c>
      <c r="F36" s="7">
        <v>230400</v>
      </c>
      <c r="G36" s="7">
        <v>230400</v>
      </c>
      <c r="H36" s="7">
        <v>230400</v>
      </c>
      <c r="I36" s="7">
        <v>230400</v>
      </c>
      <c r="J36" s="7">
        <v>230400</v>
      </c>
      <c r="K36" s="7">
        <v>230400</v>
      </c>
      <c r="L36" s="7">
        <v>230400</v>
      </c>
      <c r="M36" s="7">
        <v>230400</v>
      </c>
      <c r="N36" s="7">
        <v>230400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8" t="str">
        <f t="shared" si="0"/>
        <v>Nøgletal.REFA-Modtryk-Varme</v>
      </c>
      <c r="B37" s="8" t="s">
        <v>4</v>
      </c>
      <c r="C37" s="15" t="s">
        <v>29</v>
      </c>
      <c r="D37" s="7">
        <v>211498.04890679801</v>
      </c>
      <c r="E37" s="7">
        <v>206232.53387726689</v>
      </c>
      <c r="F37" s="7">
        <v>206232.53387726689</v>
      </c>
      <c r="G37" s="7">
        <v>206074.24007991172</v>
      </c>
      <c r="H37" s="7">
        <v>211498.04891202349</v>
      </c>
      <c r="I37" s="7">
        <v>221101.33335602342</v>
      </c>
      <c r="J37" s="7">
        <v>206232.52648727415</v>
      </c>
      <c r="K37" s="7">
        <v>206232.52648727418</v>
      </c>
      <c r="L37" s="7">
        <v>206074.23267241579</v>
      </c>
      <c r="M37" s="7">
        <v>211498.04158291995</v>
      </c>
      <c r="N37" s="7">
        <v>221101.32603088685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8" t="str">
        <f t="shared" si="0"/>
        <v>Nøgletal.REFA-Bypass-Varme</v>
      </c>
      <c r="B38" s="8" t="s">
        <v>4</v>
      </c>
      <c r="C38" s="15" t="s">
        <v>30</v>
      </c>
      <c r="D38" s="7">
        <v>4761.7195786982065</v>
      </c>
      <c r="E38" s="7">
        <v>4810.4100946836088</v>
      </c>
      <c r="F38" s="7">
        <v>4810.4100946836088</v>
      </c>
      <c r="G38" s="7">
        <v>4810.410093749817</v>
      </c>
      <c r="H38" s="7">
        <v>4761.7195786982065</v>
      </c>
      <c r="I38" s="7">
        <v>4761.7195786982065</v>
      </c>
      <c r="J38" s="7">
        <v>4810.4100946836088</v>
      </c>
      <c r="K38" s="7">
        <v>4810.4100946836088</v>
      </c>
      <c r="L38" s="7">
        <v>4810.4100946836088</v>
      </c>
      <c r="M38" s="7">
        <v>4761.7195793985484</v>
      </c>
      <c r="N38" s="7">
        <v>4761.7195793985484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8" t="str">
        <f t="shared" si="0"/>
        <v>Nøgletal.REFA-RGK-Varme</v>
      </c>
      <c r="B39" s="8" t="s">
        <v>4</v>
      </c>
      <c r="C39" s="15" t="s">
        <v>31</v>
      </c>
      <c r="D39" s="7">
        <v>29298.642631852505</v>
      </c>
      <c r="E39" s="7">
        <v>28588.004375610137</v>
      </c>
      <c r="F39" s="7">
        <v>28588.004375610137</v>
      </c>
      <c r="G39" s="7">
        <v>29298.642631852508</v>
      </c>
      <c r="H39" s="7">
        <v>29298.642631852508</v>
      </c>
      <c r="I39" s="7">
        <v>27573.925232379941</v>
      </c>
      <c r="J39" s="7">
        <v>28588.004441743517</v>
      </c>
      <c r="K39" s="7">
        <v>28588.004441743517</v>
      </c>
      <c r="L39" s="7">
        <v>29298.642631852508</v>
      </c>
      <c r="M39" s="7">
        <v>29298.642631852508</v>
      </c>
      <c r="N39" s="7">
        <v>27573.925232379941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8" t="str">
        <f t="shared" si="0"/>
        <v>Nøgletal.REFA-Bortkoelet-Varme</v>
      </c>
      <c r="B40" s="8" t="s">
        <v>4</v>
      </c>
      <c r="C40" s="15" t="s">
        <v>32</v>
      </c>
      <c r="D40" s="7">
        <v>22638.411117348711</v>
      </c>
      <c r="E40" s="7">
        <v>16710.948347560625</v>
      </c>
      <c r="F40" s="7">
        <v>16710.948347560625</v>
      </c>
      <c r="G40" s="7">
        <v>17263.292805514022</v>
      </c>
      <c r="H40" s="7">
        <v>22638.411122574173</v>
      </c>
      <c r="I40" s="7">
        <v>30516.978167101544</v>
      </c>
      <c r="J40" s="7">
        <v>16710.941023701263</v>
      </c>
      <c r="K40" s="7">
        <v>16710.941023701263</v>
      </c>
      <c r="L40" s="7">
        <v>17263.285398951866</v>
      </c>
      <c r="M40" s="7">
        <v>22638.403794170983</v>
      </c>
      <c r="N40" s="7">
        <v>30516.970842665367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9" t="str">
        <f t="shared" si="0"/>
        <v>Nøgletal.GSF-Total-Var-Omkostning</v>
      </c>
      <c r="B41" s="12" t="s">
        <v>2</v>
      </c>
      <c r="C41" s="21" t="s">
        <v>33</v>
      </c>
      <c r="D41" s="11">
        <v>1814400</v>
      </c>
      <c r="E41" s="11">
        <v>1814400</v>
      </c>
      <c r="F41" s="11">
        <v>1814400</v>
      </c>
      <c r="G41" s="11">
        <v>1814400</v>
      </c>
      <c r="H41" s="11">
        <v>1814400</v>
      </c>
      <c r="I41" s="11">
        <v>1814400</v>
      </c>
      <c r="J41" s="11">
        <v>1814400</v>
      </c>
      <c r="K41" s="11">
        <v>1814400</v>
      </c>
      <c r="L41" s="11">
        <v>1814400</v>
      </c>
      <c r="M41" s="11">
        <v>1814400</v>
      </c>
      <c r="N41" s="11">
        <v>1814400</v>
      </c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outlineLevel="1" x14ac:dyDescent="0.25">
      <c r="A42" s="66" t="str">
        <f t="shared" si="0"/>
        <v>Nøgletal.GSF-AnlaegsVarOmk</v>
      </c>
      <c r="B42" s="12" t="s">
        <v>2</v>
      </c>
      <c r="C42" s="34" t="s">
        <v>34</v>
      </c>
      <c r="D42" s="11">
        <v>1.1999999999999997E-13</v>
      </c>
      <c r="E42" s="11">
        <v>1.1999999999999997E-13</v>
      </c>
      <c r="F42" s="11">
        <v>1.1999999999999997E-13</v>
      </c>
      <c r="G42" s="11">
        <v>1.1999999999999997E-13</v>
      </c>
      <c r="H42" s="11">
        <v>1.1999999999999997E-13</v>
      </c>
      <c r="I42" s="11">
        <v>1.1999999999999997E-13</v>
      </c>
      <c r="J42" s="11">
        <v>1.1999999999999997E-13</v>
      </c>
      <c r="K42" s="11">
        <v>1.1999999999999997E-13</v>
      </c>
      <c r="L42" s="11">
        <v>1.1999999999999997E-13</v>
      </c>
      <c r="M42" s="11">
        <v>1.1999999999999997E-13</v>
      </c>
      <c r="N42" s="11">
        <v>1.1999999999999997E-13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7" t="str">
        <f t="shared" si="0"/>
        <v>Nøgletal.GSF-BraendselOmk</v>
      </c>
      <c r="B43" s="12" t="s">
        <v>2</v>
      </c>
      <c r="C43" s="17" t="s">
        <v>35</v>
      </c>
      <c r="D43" s="11">
        <v>1814400</v>
      </c>
      <c r="E43" s="11">
        <v>1814400</v>
      </c>
      <c r="F43" s="11">
        <v>1814400</v>
      </c>
      <c r="G43" s="11">
        <v>1814400</v>
      </c>
      <c r="H43" s="11">
        <v>1814400</v>
      </c>
      <c r="I43" s="11">
        <v>1814400</v>
      </c>
      <c r="J43" s="11">
        <v>1814400</v>
      </c>
      <c r="K43" s="11">
        <v>1814400</v>
      </c>
      <c r="L43" s="11">
        <v>1814400</v>
      </c>
      <c r="M43" s="11">
        <v>1814400</v>
      </c>
      <c r="N43" s="11">
        <v>1814400</v>
      </c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7" t="str">
        <f t="shared" si="0"/>
        <v>Nøgletal.GSF-Afgifter</v>
      </c>
      <c r="B44" s="12" t="s">
        <v>2</v>
      </c>
      <c r="C44" s="17" t="s">
        <v>36</v>
      </c>
      <c r="D44" s="11">
        <v>1.1999999999999997E-13</v>
      </c>
      <c r="E44" s="11">
        <v>1.1999999999999997E-13</v>
      </c>
      <c r="F44" s="11">
        <v>1.1999999999999997E-13</v>
      </c>
      <c r="G44" s="11">
        <v>1.1999999999999997E-13</v>
      </c>
      <c r="H44" s="11">
        <v>1.1999999999999997E-13</v>
      </c>
      <c r="I44" s="11">
        <v>1.1999999999999997E-13</v>
      </c>
      <c r="J44" s="11">
        <v>1.1999999999999997E-13</v>
      </c>
      <c r="K44" s="11">
        <v>1.1999999999999997E-13</v>
      </c>
      <c r="L44" s="11">
        <v>1.1999999999999997E-13</v>
      </c>
      <c r="M44" s="11">
        <v>1.1999999999999997E-13</v>
      </c>
      <c r="N44" s="11">
        <v>1.1999999999999997E-13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8" t="str">
        <f t="shared" si="0"/>
        <v>Nøgletal.GSF-CO2-Emission</v>
      </c>
      <c r="B45" s="8" t="s">
        <v>18</v>
      </c>
      <c r="C45" s="17" t="s">
        <v>37</v>
      </c>
      <c r="D45" s="11">
        <v>1.1999999999999997E-13</v>
      </c>
      <c r="E45" s="11">
        <v>1.1999999999999997E-13</v>
      </c>
      <c r="F45" s="11">
        <v>1.1999999999999997E-13</v>
      </c>
      <c r="G45" s="11">
        <v>1.1999999999999997E-13</v>
      </c>
      <c r="H45" s="11">
        <v>1.1999999999999997E-13</v>
      </c>
      <c r="I45" s="11">
        <v>1.1999999999999997E-13</v>
      </c>
      <c r="J45" s="11">
        <v>1.1999999999999997E-13</v>
      </c>
      <c r="K45" s="11">
        <v>1.1999999999999997E-13</v>
      </c>
      <c r="L45" s="11">
        <v>1.1999999999999997E-13</v>
      </c>
      <c r="M45" s="11">
        <v>1.1999999999999997E-13</v>
      </c>
      <c r="N45" s="11">
        <v>1.1999999999999997E-13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8" t="str">
        <f t="shared" si="0"/>
        <v>Nøgletal.GSF-Total-Varme-Produktion</v>
      </c>
      <c r="B46" s="8" t="s">
        <v>4</v>
      </c>
      <c r="C46" s="18" t="s">
        <v>38</v>
      </c>
      <c r="D46" s="16">
        <v>1.1999999999999997E-13</v>
      </c>
      <c r="E46" s="16">
        <v>1.1999999999999997E-13</v>
      </c>
      <c r="F46" s="16">
        <v>1.1999999999999997E-13</v>
      </c>
      <c r="G46" s="16">
        <v>1.1999999999999997E-13</v>
      </c>
      <c r="H46" s="16">
        <v>1.1999999999999997E-13</v>
      </c>
      <c r="I46" s="16">
        <v>1.1999999999999997E-13</v>
      </c>
      <c r="J46" s="16">
        <v>1.1999999999999997E-13</v>
      </c>
      <c r="K46" s="16">
        <v>1.1999999999999997E-13</v>
      </c>
      <c r="L46" s="16">
        <v>1.1999999999999997E-13</v>
      </c>
      <c r="M46" s="16">
        <v>1.1999999999999997E-13</v>
      </c>
      <c r="N46" s="16">
        <v>1.1999999999999997E-13</v>
      </c>
      <c r="O46" s="16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8" t="str">
        <f t="shared" si="0"/>
        <v>Nøgletal.NS-Total-Varme-Produktion</v>
      </c>
      <c r="B47" s="8" t="s">
        <v>4</v>
      </c>
      <c r="C47" s="35" t="s">
        <v>75</v>
      </c>
      <c r="D47" s="16">
        <v>9600</v>
      </c>
      <c r="E47" s="16">
        <v>9600</v>
      </c>
      <c r="F47" s="16">
        <v>9600</v>
      </c>
      <c r="G47" s="16">
        <v>9600</v>
      </c>
      <c r="H47" s="16">
        <v>9600</v>
      </c>
      <c r="I47" s="16">
        <v>9600</v>
      </c>
      <c r="J47" s="16">
        <v>9600</v>
      </c>
      <c r="K47" s="16">
        <v>9600</v>
      </c>
      <c r="L47" s="16">
        <v>9600</v>
      </c>
      <c r="M47" s="16">
        <v>9600</v>
      </c>
      <c r="N47" s="16">
        <v>9600</v>
      </c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s="44" customFormat="1" outlineLevel="1" x14ac:dyDescent="0.25">
      <c r="A48" s="70" t="str">
        <f t="shared" si="0"/>
        <v>Nøgletal.Virtuel-Varme-Kilde</v>
      </c>
      <c r="B48" s="43" t="s">
        <v>4</v>
      </c>
      <c r="C48" s="47" t="s">
        <v>77</v>
      </c>
      <c r="D48" s="42">
        <v>1.1999999999999997E-13</v>
      </c>
      <c r="E48" s="42">
        <v>1.1999999999999997E-13</v>
      </c>
      <c r="F48" s="42">
        <v>1.1999999999999997E-13</v>
      </c>
      <c r="G48" s="42">
        <v>1.1999999999999997E-13</v>
      </c>
      <c r="H48" s="42">
        <v>1.1999999999999997E-13</v>
      </c>
      <c r="I48" s="42">
        <v>1.1999999999999997E-13</v>
      </c>
      <c r="J48" s="42">
        <v>1.1999999999999997E-13</v>
      </c>
      <c r="K48" s="42">
        <v>1.1999999999999997E-13</v>
      </c>
      <c r="L48" s="42">
        <v>1.1999999999999997E-13</v>
      </c>
      <c r="M48" s="42">
        <v>1.1999999999999997E-13</v>
      </c>
      <c r="N48" s="42">
        <v>1.1999999999999997E-13</v>
      </c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8" outlineLevel="1" x14ac:dyDescent="0.25">
      <c r="A49" s="68" t="str">
        <f t="shared" si="0"/>
        <v>Nøgletal.Virtuel-Varme-Draen</v>
      </c>
      <c r="B49" s="8" t="s">
        <v>4</v>
      </c>
      <c r="C49" s="48" t="s">
        <v>84</v>
      </c>
      <c r="D49" s="16">
        <v>1.1999999999999997E-13</v>
      </c>
      <c r="E49" s="16">
        <v>1.1999999999999997E-13</v>
      </c>
      <c r="F49" s="16">
        <v>1.1999999999999997E-13</v>
      </c>
      <c r="G49" s="16">
        <v>1.1999999999999997E-13</v>
      </c>
      <c r="H49" s="16">
        <v>1.1999999999999997E-13</v>
      </c>
      <c r="I49" s="16">
        <v>1.1999999999999997E-13</v>
      </c>
      <c r="J49" s="16">
        <v>1.1999999999999997E-13</v>
      </c>
      <c r="K49" s="16">
        <v>1.1999999999999997E-13</v>
      </c>
      <c r="L49" s="16">
        <v>1.1999999999999997E-13</v>
      </c>
      <c r="M49" s="16">
        <v>1.1999999999999997E-13</v>
      </c>
      <c r="N49" s="16">
        <v>1.1999999999999997E-13</v>
      </c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8" outlineLevel="1" x14ac:dyDescent="0.25">
      <c r="A50" s="68" t="str">
        <f t="shared" si="0"/>
        <v>Nøgletal.Virtuel-Affaldstonnage-Kilde</v>
      </c>
      <c r="B50" s="8" t="s">
        <v>18</v>
      </c>
      <c r="C50" s="48" t="s">
        <v>78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>
        <v>1.1999999999999997E-13</v>
      </c>
      <c r="I50" s="16">
        <v>1.1999999999999997E-13</v>
      </c>
      <c r="J50" s="16">
        <v>1.1999999999999997E-13</v>
      </c>
      <c r="K50" s="16">
        <v>1.1999999999999997E-13</v>
      </c>
      <c r="L50" s="16">
        <v>1.1999999999999997E-13</v>
      </c>
      <c r="M50" s="16">
        <v>1.1999999999999997E-13</v>
      </c>
      <c r="N50" s="16">
        <v>1.1999999999999997E-13</v>
      </c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8" t="str">
        <f t="shared" si="0"/>
        <v>Nøgletal.Virtuel-Affaldstonnage-Draen</v>
      </c>
      <c r="B51" s="8" t="s">
        <v>18</v>
      </c>
      <c r="C51" s="48" t="s">
        <v>85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>
        <v>1.1999999999999997E-13</v>
      </c>
      <c r="I51" s="16">
        <v>1.1999999999999997E-13</v>
      </c>
      <c r="J51" s="16">
        <v>1.1999999999999997E-13</v>
      </c>
      <c r="K51" s="16">
        <v>1.1999999999999997E-13</v>
      </c>
      <c r="L51" s="16">
        <v>1.1999999999999997E-13</v>
      </c>
      <c r="M51" s="16">
        <v>1.1999999999999997E-13</v>
      </c>
      <c r="N51" s="16">
        <v>1.1999999999999997E-13</v>
      </c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s="6" customFormat="1" ht="18.75" x14ac:dyDescent="0.3">
      <c r="A52" s="62" t="str">
        <f t="shared" ref="A52" si="1">IF(B52="Enhed",C52,IF(NOT(ISBLANK(C52)),$C$4&amp;"."&amp;C52,""))</f>
        <v/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6" customFormat="1" ht="18.75" x14ac:dyDescent="0.3">
      <c r="A53" s="62" t="str">
        <f t="shared" si="0"/>
        <v/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20" customFormat="1" ht="18.75" x14ac:dyDescent="0.3">
      <c r="A54" s="63"/>
      <c r="B54" s="33" t="s">
        <v>3</v>
      </c>
      <c r="C54" s="33" t="s">
        <v>155</v>
      </c>
      <c r="D54" s="32" t="s">
        <v>143</v>
      </c>
      <c r="E54" s="32" t="s">
        <v>74</v>
      </c>
      <c r="F54" s="32" t="s">
        <v>186</v>
      </c>
      <c r="G54" s="32" t="s">
        <v>187</v>
      </c>
      <c r="H54" s="32" t="s">
        <v>188</v>
      </c>
      <c r="I54" s="32" t="s">
        <v>189</v>
      </c>
      <c r="J54" s="32" t="s">
        <v>190</v>
      </c>
      <c r="K54" s="32" t="s">
        <v>191</v>
      </c>
      <c r="L54" s="32" t="s">
        <v>192</v>
      </c>
      <c r="M54" s="32" t="s">
        <v>193</v>
      </c>
      <c r="N54" s="32" t="s">
        <v>194</v>
      </c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8" outlineLevel="1" x14ac:dyDescent="0.25">
      <c r="A55" s="67" t="str">
        <f>IF(NOT(ISBLANK(C55)),$C$54&amp;"."&amp;C55,"")</f>
        <v>Varmemængder.Ovn2</v>
      </c>
      <c r="B55" s="8" t="s">
        <v>4</v>
      </c>
      <c r="C55" s="23" t="s">
        <v>39</v>
      </c>
      <c r="D55" s="22">
        <v>63861.581581240593</v>
      </c>
      <c r="E55" s="22">
        <v>64396.786983272119</v>
      </c>
      <c r="F55" s="22">
        <v>64396.786983272126</v>
      </c>
      <c r="G55" s="22">
        <v>63875.652262027725</v>
      </c>
      <c r="H55" s="22">
        <v>63861.58158514995</v>
      </c>
      <c r="I55" s="22">
        <v>63401.656945290597</v>
      </c>
      <c r="J55" s="22">
        <v>64396.779610914957</v>
      </c>
      <c r="K55" s="22">
        <v>64396.779610914957</v>
      </c>
      <c r="L55" s="22">
        <v>63875.644938168363</v>
      </c>
      <c r="M55" s="22">
        <v>63861.574257381231</v>
      </c>
      <c r="N55" s="22">
        <v>63401.649617521878</v>
      </c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8" outlineLevel="1" x14ac:dyDescent="0.25">
      <c r="A56" s="67" t="str">
        <f t="shared" ref="A56:A61" si="2">IF(NOT(ISBLANK(C56)),$C$54&amp;"."&amp;C56,"")</f>
        <v>Varmemængder.Ovn3</v>
      </c>
      <c r="B56" s="8" t="s">
        <v>4</v>
      </c>
      <c r="C56" s="23" t="s">
        <v>40</v>
      </c>
      <c r="D56" s="22">
        <v>181696.82953610813</v>
      </c>
      <c r="E56" s="22">
        <v>175234.16136428851</v>
      </c>
      <c r="F56" s="22">
        <v>175234.16136428851</v>
      </c>
      <c r="G56" s="22">
        <v>176307.64054348631</v>
      </c>
      <c r="H56" s="22">
        <v>181696.82953742423</v>
      </c>
      <c r="I56" s="22">
        <v>190035.32122181097</v>
      </c>
      <c r="J56" s="22">
        <v>175234.16141278631</v>
      </c>
      <c r="K56" s="22">
        <v>175234.16141278631</v>
      </c>
      <c r="L56" s="22">
        <v>176307.64046078353</v>
      </c>
      <c r="M56" s="22">
        <v>181696.82953678974</v>
      </c>
      <c r="N56" s="22">
        <v>190035.3212251435</v>
      </c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8" t="str">
        <f t="shared" si="2"/>
        <v>Varmemængder.FlisK</v>
      </c>
      <c r="B57" s="8" t="s">
        <v>4</v>
      </c>
      <c r="C57" s="23" t="s">
        <v>41</v>
      </c>
      <c r="D57" s="22">
        <v>7480</v>
      </c>
      <c r="E57" s="22">
        <v>7480</v>
      </c>
      <c r="F57" s="22">
        <v>7480</v>
      </c>
      <c r="G57" s="22">
        <v>7480</v>
      </c>
      <c r="H57" s="22">
        <v>7480</v>
      </c>
      <c r="I57" s="22">
        <v>7480</v>
      </c>
      <c r="J57" s="22">
        <v>7480</v>
      </c>
      <c r="K57" s="22">
        <v>7480</v>
      </c>
      <c r="L57" s="22">
        <v>7480</v>
      </c>
      <c r="M57" s="22">
        <v>7480</v>
      </c>
      <c r="N57" s="22">
        <v>7480</v>
      </c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8" t="str">
        <f t="shared" si="2"/>
        <v>Varmemængder.NS</v>
      </c>
      <c r="B58" s="8" t="s">
        <v>4</v>
      </c>
      <c r="C58" s="23" t="s">
        <v>42</v>
      </c>
      <c r="D58" s="49">
        <v>9600</v>
      </c>
      <c r="E58" s="22">
        <v>9600</v>
      </c>
      <c r="F58" s="22">
        <v>9600</v>
      </c>
      <c r="G58" s="22">
        <v>9600</v>
      </c>
      <c r="H58" s="22">
        <v>9600</v>
      </c>
      <c r="I58" s="22">
        <v>9600</v>
      </c>
      <c r="J58" s="22">
        <v>9600</v>
      </c>
      <c r="K58" s="22">
        <v>9600</v>
      </c>
      <c r="L58" s="22">
        <v>9600</v>
      </c>
      <c r="M58" s="22">
        <v>9600</v>
      </c>
      <c r="N58" s="22">
        <v>9600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8" t="str">
        <f t="shared" si="2"/>
        <v>Varmemængder.Cooler</v>
      </c>
      <c r="B59" s="8" t="s">
        <v>4</v>
      </c>
      <c r="C59" s="23" t="s">
        <v>43</v>
      </c>
      <c r="D59" s="22">
        <v>-22638.411117348711</v>
      </c>
      <c r="E59" s="22">
        <v>-16710.948347560625</v>
      </c>
      <c r="F59" s="22">
        <v>-16710.948347560625</v>
      </c>
      <c r="G59" s="22">
        <v>-17263.292805514022</v>
      </c>
      <c r="H59" s="22">
        <v>-22638.411122574173</v>
      </c>
      <c r="I59" s="22">
        <v>-30516.978167101544</v>
      </c>
      <c r="J59" s="22">
        <v>-16710.941023701263</v>
      </c>
      <c r="K59" s="22">
        <v>-16710.941023701263</v>
      </c>
      <c r="L59" s="22">
        <v>-17263.285398951866</v>
      </c>
      <c r="M59" s="22">
        <v>-22638.403794170983</v>
      </c>
      <c r="N59" s="22">
        <v>-30516.970842665367</v>
      </c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8" t="str">
        <f t="shared" si="2"/>
        <v>Varmemængder.PeakK</v>
      </c>
      <c r="B60" s="8" t="s">
        <v>4</v>
      </c>
      <c r="C60" s="23" t="s">
        <v>44</v>
      </c>
      <c r="D60" s="22">
        <v>1.1999999999999997E-13</v>
      </c>
      <c r="E60" s="22">
        <v>1.1999999999999997E-13</v>
      </c>
      <c r="F60" s="22">
        <v>1.1999999999999997E-13</v>
      </c>
      <c r="G60" s="22">
        <v>1.1999999999999997E-13</v>
      </c>
      <c r="H60" s="22">
        <v>1.1999999999999997E-13</v>
      </c>
      <c r="I60" s="22">
        <v>1.1999999999999997E-13</v>
      </c>
      <c r="J60" s="22">
        <v>1.1999999999999997E-13</v>
      </c>
      <c r="K60" s="22">
        <v>1.1999999999999997E-13</v>
      </c>
      <c r="L60" s="22">
        <v>1.1999999999999997E-13</v>
      </c>
      <c r="M60" s="22">
        <v>1.1999999999999997E-13</v>
      </c>
      <c r="N60" s="22">
        <v>1.1999999999999997E-13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71" t="str">
        <f t="shared" si="2"/>
        <v/>
      </c>
      <c r="B61" s="25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</row>
    <row r="62" spans="1:28" s="20" customFormat="1" ht="18.75" x14ac:dyDescent="0.3">
      <c r="A62" s="63"/>
      <c r="B62" s="33" t="s">
        <v>3</v>
      </c>
      <c r="C62" s="33" t="s">
        <v>144</v>
      </c>
      <c r="D62" s="32" t="s">
        <v>143</v>
      </c>
      <c r="E62" s="32" t="s">
        <v>74</v>
      </c>
      <c r="F62" s="32" t="s">
        <v>186</v>
      </c>
      <c r="G62" s="32" t="s">
        <v>187</v>
      </c>
      <c r="H62" s="32" t="s">
        <v>188</v>
      </c>
      <c r="I62" s="32" t="s">
        <v>189</v>
      </c>
      <c r="J62" s="32" t="s">
        <v>190</v>
      </c>
      <c r="K62" s="32" t="s">
        <v>191</v>
      </c>
      <c r="L62" s="32" t="s">
        <v>192</v>
      </c>
      <c r="M62" s="32" t="s">
        <v>193</v>
      </c>
      <c r="N62" s="32" t="s">
        <v>194</v>
      </c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8" outlineLevel="1" x14ac:dyDescent="0.25">
      <c r="A63" s="67" t="str">
        <f>IF(NOT(ISBLANK(C63)),$C$62&amp;"."&amp;C63,"")</f>
        <v>Brændselsforbrug.DepoSort</v>
      </c>
      <c r="B63" s="28" t="s">
        <v>18</v>
      </c>
      <c r="C63" s="29" t="s">
        <v>45</v>
      </c>
      <c r="D63" s="50">
        <v>12915.312915299997</v>
      </c>
      <c r="E63" s="50">
        <v>12915.312915299997</v>
      </c>
      <c r="F63" s="50">
        <v>12915.312915299994</v>
      </c>
      <c r="G63" s="50">
        <v>12915.312915299997</v>
      </c>
      <c r="H63" s="50">
        <v>12915.312915299997</v>
      </c>
      <c r="I63" s="50">
        <v>12915.312915299997</v>
      </c>
      <c r="J63" s="50">
        <v>12915.312915299997</v>
      </c>
      <c r="K63" s="50">
        <v>12915.312915299995</v>
      </c>
      <c r="L63" s="50">
        <v>12915.312915299997</v>
      </c>
      <c r="M63" s="50">
        <v>12915.312915299997</v>
      </c>
      <c r="N63" s="50">
        <v>12915.312915299997</v>
      </c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8" outlineLevel="1" x14ac:dyDescent="0.25">
      <c r="A64" s="72" t="str">
        <f t="shared" ref="A64:A93" si="3">IF(NOT(ISBLANK(C64)),$C$62&amp;"."&amp;C64,"")</f>
        <v>Brændselsforbrug.DepoSmaat</v>
      </c>
      <c r="B64" s="28" t="s">
        <v>18</v>
      </c>
      <c r="C64" s="29" t="s">
        <v>46</v>
      </c>
      <c r="D64" s="50">
        <v>-1.1999999999999997E-13</v>
      </c>
      <c r="E64" s="50">
        <v>-1.1999999999999997E-13</v>
      </c>
      <c r="F64" s="50">
        <v>-1.1999999999999997E-13</v>
      </c>
      <c r="G64" s="50">
        <v>-1.1999999999999997E-13</v>
      </c>
      <c r="H64" s="50">
        <v>-1.1999999999999997E-13</v>
      </c>
      <c r="I64" s="50">
        <v>-1.1999999999999997E-13</v>
      </c>
      <c r="J64" s="50">
        <v>-1.1999999999999997E-13</v>
      </c>
      <c r="K64" s="50">
        <v>-1.1999999999999997E-13</v>
      </c>
      <c r="L64" s="50">
        <v>-1.1999999999999997E-13</v>
      </c>
      <c r="M64" s="50">
        <v>-1.1999999999999997E-13</v>
      </c>
      <c r="N64" s="50">
        <v>-1.1999999999999997E-13</v>
      </c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3"/>
        <v>Brændselsforbrug.DepoNedd</v>
      </c>
      <c r="B65" s="28" t="s">
        <v>18</v>
      </c>
      <c r="C65" s="29" t="s">
        <v>47</v>
      </c>
      <c r="D65" s="50">
        <v>-1.1999999999999997E-13</v>
      </c>
      <c r="E65" s="50">
        <v>-1.1999999999999997E-13</v>
      </c>
      <c r="F65" s="50">
        <v>-1.1999999999999997E-13</v>
      </c>
      <c r="G65" s="50">
        <v>-1.1999999999999997E-13</v>
      </c>
      <c r="H65" s="50">
        <v>-1.1999999999999997E-13</v>
      </c>
      <c r="I65" s="50">
        <v>-1.1999999999999997E-13</v>
      </c>
      <c r="J65" s="50">
        <v>-1.1999999999999997E-13</v>
      </c>
      <c r="K65" s="50">
        <v>-1.1999999999999997E-13</v>
      </c>
      <c r="L65" s="50">
        <v>-1.1999999999999997E-13</v>
      </c>
      <c r="M65" s="50">
        <v>-1.1999999999999997E-13</v>
      </c>
      <c r="N65" s="50">
        <v>-1.1999999999999997E-13</v>
      </c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3"/>
        <v>Brændselsforbrug.Dagren</v>
      </c>
      <c r="B66" s="28" t="s">
        <v>18</v>
      </c>
      <c r="C66" s="29" t="s">
        <v>48</v>
      </c>
      <c r="D66" s="50">
        <v>28766.808766779999</v>
      </c>
      <c r="E66" s="50">
        <v>28766.808766779999</v>
      </c>
      <c r="F66" s="50">
        <v>28766.808766779999</v>
      </c>
      <c r="G66" s="50">
        <v>28766.808766779999</v>
      </c>
      <c r="H66" s="50">
        <v>28766.808766779999</v>
      </c>
      <c r="I66" s="50">
        <v>28766.808766779999</v>
      </c>
      <c r="J66" s="50">
        <v>28766.806369548332</v>
      </c>
      <c r="K66" s="50">
        <v>28766.806369548332</v>
      </c>
      <c r="L66" s="50">
        <v>28766.806369548332</v>
      </c>
      <c r="M66" s="50">
        <v>28766.806369548332</v>
      </c>
      <c r="N66" s="50">
        <v>28766.806369548332</v>
      </c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3"/>
        <v>Brændselsforbrug.AndetBrand</v>
      </c>
      <c r="B67" s="28" t="s">
        <v>18</v>
      </c>
      <c r="C67" s="29" t="s">
        <v>49</v>
      </c>
      <c r="D67" s="50">
        <v>4232.4132324090006</v>
      </c>
      <c r="E67" s="50">
        <v>4232.4132324090006</v>
      </c>
      <c r="F67" s="50">
        <v>4232.4132324090006</v>
      </c>
      <c r="G67" s="50">
        <v>4232.4132324090006</v>
      </c>
      <c r="H67" s="50">
        <v>4232.4132324090006</v>
      </c>
      <c r="I67" s="50">
        <v>4232.4132324090006</v>
      </c>
      <c r="J67" s="50">
        <v>4232.4128797082512</v>
      </c>
      <c r="K67" s="50">
        <v>4232.4128797082512</v>
      </c>
      <c r="L67" s="50">
        <v>4232.4128797082512</v>
      </c>
      <c r="M67" s="50">
        <v>4232.4128797082512</v>
      </c>
      <c r="N67" s="50">
        <v>4232.4128797082512</v>
      </c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3"/>
        <v>Brændselsforbrug.Trae</v>
      </c>
      <c r="B68" s="28" t="s">
        <v>18</v>
      </c>
      <c r="C68" s="29" t="s">
        <v>50</v>
      </c>
      <c r="D68" s="50">
        <v>33.350025012499998</v>
      </c>
      <c r="E68" s="50">
        <v>33.35001945416667</v>
      </c>
      <c r="F68" s="50">
        <v>33.35001945416667</v>
      </c>
      <c r="G68" s="50">
        <v>33.350025012499998</v>
      </c>
      <c r="H68" s="50">
        <v>33.350030570833326</v>
      </c>
      <c r="I68" s="50">
        <v>33.350030570833326</v>
      </c>
      <c r="J68" s="50">
        <v>33.350000000000009</v>
      </c>
      <c r="K68" s="50">
        <v>33.350000000000009</v>
      </c>
      <c r="L68" s="50">
        <v>33.350000000000009</v>
      </c>
      <c r="M68" s="50">
        <v>33.350000000000009</v>
      </c>
      <c r="N68" s="50">
        <v>33.350000000000009</v>
      </c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3"/>
        <v>Brændselsforbrug.DagrenRast</v>
      </c>
      <c r="B69" s="28" t="s">
        <v>18</v>
      </c>
      <c r="C69" s="29" t="s">
        <v>51</v>
      </c>
      <c r="D69" s="50">
        <v>4289.7839322983318</v>
      </c>
      <c r="E69" s="50">
        <v>4289.7839322983318</v>
      </c>
      <c r="F69" s="50">
        <v>4289.7839322983318</v>
      </c>
      <c r="G69" s="50">
        <v>4289.7839322983318</v>
      </c>
      <c r="H69" s="50">
        <v>4289.7839322983318</v>
      </c>
      <c r="I69" s="50">
        <v>4289.7839322983318</v>
      </c>
      <c r="J69" s="50">
        <v>4289.7839322983318</v>
      </c>
      <c r="K69" s="50">
        <v>4289.7839322983318</v>
      </c>
      <c r="L69" s="50">
        <v>4289.7839322983318</v>
      </c>
      <c r="M69" s="50">
        <v>4289.7839322983318</v>
      </c>
      <c r="N69" s="50">
        <v>4289.7839322983318</v>
      </c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3"/>
        <v>Brændselsforbrug.DagrenInst</v>
      </c>
      <c r="B70" s="28" t="s">
        <v>18</v>
      </c>
      <c r="C70" s="29" t="s">
        <v>52</v>
      </c>
      <c r="D70" s="50">
        <v>106.90010689999995</v>
      </c>
      <c r="E70" s="50">
        <v>106.90010689999995</v>
      </c>
      <c r="F70" s="50">
        <v>106.90010689999995</v>
      </c>
      <c r="G70" s="50">
        <v>106.90010689999995</v>
      </c>
      <c r="H70" s="50">
        <v>106.90010689999995</v>
      </c>
      <c r="I70" s="50">
        <v>106.90010689999995</v>
      </c>
      <c r="J70" s="50">
        <v>106.90009799166663</v>
      </c>
      <c r="K70" s="50">
        <v>106.90009799166663</v>
      </c>
      <c r="L70" s="50">
        <v>106.90009799166663</v>
      </c>
      <c r="M70" s="50">
        <v>106.90009799166663</v>
      </c>
      <c r="N70" s="50">
        <v>106.90009799166663</v>
      </c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3"/>
        <v>Brændselsforbrug.DagrenHandel</v>
      </c>
      <c r="B71" s="28" t="s">
        <v>18</v>
      </c>
      <c r="C71" s="29" t="s">
        <v>53</v>
      </c>
      <c r="D71" s="50">
        <v>4266.0139105091657</v>
      </c>
      <c r="E71" s="50">
        <v>4266.0139105091657</v>
      </c>
      <c r="F71" s="50">
        <v>4266.0139105091657</v>
      </c>
      <c r="G71" s="50">
        <v>4266.0139105091657</v>
      </c>
      <c r="H71" s="50">
        <v>4266.0139105091657</v>
      </c>
      <c r="I71" s="50">
        <v>4266.0139105091657</v>
      </c>
      <c r="J71" s="50">
        <v>4266.0139105091657</v>
      </c>
      <c r="K71" s="50">
        <v>4266.0139105091657</v>
      </c>
      <c r="L71" s="50">
        <v>4266.0139105091657</v>
      </c>
      <c r="M71" s="50">
        <v>4266.0139105091657</v>
      </c>
      <c r="N71" s="50">
        <v>4266.0139105091657</v>
      </c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3"/>
        <v>Brændselsforbrug.DagrenRestau</v>
      </c>
      <c r="B72" s="28" t="s">
        <v>18</v>
      </c>
      <c r="C72" s="29" t="s">
        <v>54</v>
      </c>
      <c r="D72" s="50">
        <v>398.46039846000002</v>
      </c>
      <c r="E72" s="50">
        <v>398.46039846000002</v>
      </c>
      <c r="F72" s="50">
        <v>398.46039846000002</v>
      </c>
      <c r="G72" s="50">
        <v>398.46039846000002</v>
      </c>
      <c r="H72" s="50">
        <v>398.46039846000002</v>
      </c>
      <c r="I72" s="50">
        <v>398.46039846000002</v>
      </c>
      <c r="J72" s="50">
        <v>398.460365255</v>
      </c>
      <c r="K72" s="50">
        <v>398.460365255</v>
      </c>
      <c r="L72" s="50">
        <v>398.460365255</v>
      </c>
      <c r="M72" s="50">
        <v>398.460365255</v>
      </c>
      <c r="N72" s="50">
        <v>398.460365255</v>
      </c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3"/>
        <v>Brændselsforbrug.Erhverv</v>
      </c>
      <c r="B73" s="28" t="s">
        <v>18</v>
      </c>
      <c r="C73" s="29" t="s">
        <v>55</v>
      </c>
      <c r="D73" s="50">
        <v>6141.6761416699983</v>
      </c>
      <c r="E73" s="50">
        <v>6141.6761416699983</v>
      </c>
      <c r="F73" s="50">
        <v>6141.6761416699983</v>
      </c>
      <c r="G73" s="50">
        <v>6141.6761416699983</v>
      </c>
      <c r="H73" s="50">
        <v>6141.6761416699983</v>
      </c>
      <c r="I73" s="50">
        <v>6141.6761416699983</v>
      </c>
      <c r="J73" s="50">
        <v>6141.6756298641649</v>
      </c>
      <c r="K73" s="50">
        <v>6141.6756298641649</v>
      </c>
      <c r="L73" s="50">
        <v>6141.6756298641649</v>
      </c>
      <c r="M73" s="50">
        <v>6141.6756298641649</v>
      </c>
      <c r="N73" s="50">
        <v>6141.6756298641649</v>
      </c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3"/>
        <v>Brændselsforbrug.DagrenErhverv</v>
      </c>
      <c r="B74" s="28" t="s">
        <v>18</v>
      </c>
      <c r="C74" s="29" t="s">
        <v>56</v>
      </c>
      <c r="D74" s="50">
        <v>134.19013418999995</v>
      </c>
      <c r="E74" s="50">
        <v>134.19013418999995</v>
      </c>
      <c r="F74" s="50">
        <v>134.19013418999995</v>
      </c>
      <c r="G74" s="50">
        <v>134.19013418999995</v>
      </c>
      <c r="H74" s="50">
        <v>134.19013418999995</v>
      </c>
      <c r="I74" s="50">
        <v>134.19013418999995</v>
      </c>
      <c r="J74" s="50">
        <v>134.19013418999995</v>
      </c>
      <c r="K74" s="50">
        <v>134.19013418999995</v>
      </c>
      <c r="L74" s="50">
        <v>134.19013418999995</v>
      </c>
      <c r="M74" s="50">
        <v>134.19013418999995</v>
      </c>
      <c r="N74" s="50">
        <v>134.19013418999995</v>
      </c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3"/>
        <v>Brændselsforbrug.HandelKontor</v>
      </c>
      <c r="B75" s="28" t="s">
        <v>18</v>
      </c>
      <c r="C75" s="29" t="s">
        <v>57</v>
      </c>
      <c r="D75" s="50">
        <v>57.780014444999992</v>
      </c>
      <c r="E75" s="50">
        <v>57.779999999999994</v>
      </c>
      <c r="F75" s="50">
        <v>57.779999999999994</v>
      </c>
      <c r="G75" s="50">
        <v>57.780009629999995</v>
      </c>
      <c r="H75" s="50">
        <v>57.780009629999995</v>
      </c>
      <c r="I75" s="50">
        <v>57.780009629999995</v>
      </c>
      <c r="J75" s="50">
        <v>57.779999999999994</v>
      </c>
      <c r="K75" s="50">
        <v>57.779999999999994</v>
      </c>
      <c r="L75" s="50">
        <v>57.779999999999994</v>
      </c>
      <c r="M75" s="50">
        <v>57.779999999999994</v>
      </c>
      <c r="N75" s="50">
        <v>57.779999999999994</v>
      </c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3"/>
        <v>Brændselsforbrug.Privat</v>
      </c>
      <c r="B76" s="28" t="s">
        <v>18</v>
      </c>
      <c r="C76" s="29" t="s">
        <v>58</v>
      </c>
      <c r="D76" s="50">
        <v>12.890011815833333</v>
      </c>
      <c r="E76" s="50">
        <v>12.890011815833333</v>
      </c>
      <c r="F76" s="50">
        <v>12.890011815833333</v>
      </c>
      <c r="G76" s="50">
        <v>12.890011815833333</v>
      </c>
      <c r="H76" s="50">
        <v>12.890011815833333</v>
      </c>
      <c r="I76" s="50">
        <v>12.890011815833333</v>
      </c>
      <c r="J76" s="50">
        <v>12.890011815833333</v>
      </c>
      <c r="K76" s="50">
        <v>12.890011815833333</v>
      </c>
      <c r="L76" s="50">
        <v>12.890011815833333</v>
      </c>
      <c r="M76" s="50">
        <v>12.890011815833333</v>
      </c>
      <c r="N76" s="50">
        <v>12.890011815833333</v>
      </c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3"/>
        <v>Brændselsforbrug.TyskRest</v>
      </c>
      <c r="B77" s="28" t="s">
        <v>18</v>
      </c>
      <c r="C77" s="29" t="s">
        <v>59</v>
      </c>
      <c r="D77" s="50">
        <v>34232.724232690001</v>
      </c>
      <c r="E77" s="50">
        <v>34232.724232690001</v>
      </c>
      <c r="F77" s="50">
        <v>34232.724232690001</v>
      </c>
      <c r="G77" s="50">
        <v>34232.724232690009</v>
      </c>
      <c r="H77" s="50">
        <v>34232.724232690001</v>
      </c>
      <c r="I77" s="50">
        <v>34232.724232690009</v>
      </c>
      <c r="J77" s="50">
        <v>34232.724232689994</v>
      </c>
      <c r="K77" s="50">
        <v>34232.724232690001</v>
      </c>
      <c r="L77" s="50">
        <v>34232.724232690001</v>
      </c>
      <c r="M77" s="50">
        <v>34232.724232690001</v>
      </c>
      <c r="N77" s="50">
        <v>34232.724232690001</v>
      </c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3"/>
        <v>Brændselsforbrug.PolskRest</v>
      </c>
      <c r="B78" s="28" t="s">
        <v>18</v>
      </c>
      <c r="C78" s="29" t="s">
        <v>60</v>
      </c>
      <c r="D78" s="50">
        <v>154.09015409</v>
      </c>
      <c r="E78" s="50">
        <v>154.09015409000003</v>
      </c>
      <c r="F78" s="50">
        <v>154.09015409000003</v>
      </c>
      <c r="G78" s="50">
        <v>154.09015409000006</v>
      </c>
      <c r="H78" s="50">
        <v>154.09015409000008</v>
      </c>
      <c r="I78" s="50">
        <v>154.09015409</v>
      </c>
      <c r="J78" s="50">
        <v>154.09015409000003</v>
      </c>
      <c r="K78" s="50">
        <v>154.09015409</v>
      </c>
      <c r="L78" s="50">
        <v>154.09015409000008</v>
      </c>
      <c r="M78" s="50">
        <v>154.09015409000011</v>
      </c>
      <c r="N78" s="50">
        <v>154.09015409000003</v>
      </c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3"/>
        <v>Brændselsforbrug.PcbTrae</v>
      </c>
      <c r="B79" s="28" t="s">
        <v>18</v>
      </c>
      <c r="C79" s="29" t="s">
        <v>61</v>
      </c>
      <c r="D79" s="50">
        <v>-1.1999999999999997E-13</v>
      </c>
      <c r="E79" s="50">
        <v>-1.1999999999999997E-13</v>
      </c>
      <c r="F79" s="50">
        <v>-1.1999999999999997E-13</v>
      </c>
      <c r="G79" s="50">
        <v>-1.1999999999999997E-13</v>
      </c>
      <c r="H79" s="50">
        <v>-1.1999999999999997E-13</v>
      </c>
      <c r="I79" s="50">
        <v>-1.1999999999999997E-13</v>
      </c>
      <c r="J79" s="50">
        <v>-1.1999999999999997E-13</v>
      </c>
      <c r="K79" s="50">
        <v>-1.1999999999999997E-13</v>
      </c>
      <c r="L79" s="50">
        <v>-1.1999999999999997E-13</v>
      </c>
      <c r="M79" s="50">
        <v>-1.1999999999999997E-13</v>
      </c>
      <c r="N79" s="50">
        <v>-1.1999999999999997E-13</v>
      </c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3"/>
        <v>Brændselsforbrug.TraeRekv</v>
      </c>
      <c r="B80" s="28" t="s">
        <v>18</v>
      </c>
      <c r="C80" s="29" t="s">
        <v>62</v>
      </c>
      <c r="D80" s="50">
        <v>1044.53</v>
      </c>
      <c r="E80" s="50">
        <v>1044.53</v>
      </c>
      <c r="F80" s="50">
        <v>1044.53</v>
      </c>
      <c r="G80" s="50">
        <v>1044.53</v>
      </c>
      <c r="H80" s="50">
        <v>1044.53</v>
      </c>
      <c r="I80" s="50">
        <v>1044.53</v>
      </c>
      <c r="J80" s="50">
        <v>1044.53</v>
      </c>
      <c r="K80" s="50">
        <v>1044.53</v>
      </c>
      <c r="L80" s="50">
        <v>1044.53</v>
      </c>
      <c r="M80" s="50">
        <v>1044.53</v>
      </c>
      <c r="N80" s="50">
        <v>1044.53</v>
      </c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3"/>
        <v>Brændselsforbrug.Halm</v>
      </c>
      <c r="B81" s="28" t="s">
        <v>18</v>
      </c>
      <c r="C81" s="29" t="s">
        <v>63</v>
      </c>
      <c r="D81" s="50">
        <v>-1.1999999999999997E-13</v>
      </c>
      <c r="E81" s="50">
        <v>-1.1999999999999997E-13</v>
      </c>
      <c r="F81" s="50">
        <v>-1.1999999999999997E-13</v>
      </c>
      <c r="G81" s="50">
        <v>-1.1999999999999997E-13</v>
      </c>
      <c r="H81" s="50">
        <v>-1.1999999999999997E-13</v>
      </c>
      <c r="I81" s="50">
        <v>-1.1999999999999997E-13</v>
      </c>
      <c r="J81" s="50">
        <v>-1.1999999999999997E-13</v>
      </c>
      <c r="K81" s="50">
        <v>-1.1999999999999997E-13</v>
      </c>
      <c r="L81" s="50">
        <v>-1.1999999999999997E-13</v>
      </c>
      <c r="M81" s="50">
        <v>-1.1999999999999997E-13</v>
      </c>
      <c r="N81" s="50">
        <v>-1.1999999999999997E-13</v>
      </c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3"/>
        <v>Brændselsforbrug.Pulver</v>
      </c>
      <c r="B82" s="28" t="s">
        <v>18</v>
      </c>
      <c r="C82" s="29" t="s">
        <v>64</v>
      </c>
      <c r="D82" s="50">
        <v>113.940104445</v>
      </c>
      <c r="E82" s="50">
        <v>113.940104445</v>
      </c>
      <c r="F82" s="50">
        <v>113.940104445</v>
      </c>
      <c r="G82" s="50">
        <v>113.940104445</v>
      </c>
      <c r="H82" s="50">
        <v>113.940104445</v>
      </c>
      <c r="I82" s="50">
        <v>113.940104445</v>
      </c>
      <c r="J82" s="50">
        <v>113.940104445</v>
      </c>
      <c r="K82" s="50">
        <v>113.940104445</v>
      </c>
      <c r="L82" s="50">
        <v>113.940104445</v>
      </c>
      <c r="M82" s="50">
        <v>113.940104445</v>
      </c>
      <c r="N82" s="50">
        <v>113.940104445</v>
      </c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3"/>
        <v>Brændselsforbrug.FlisAffald</v>
      </c>
      <c r="B83" s="28" t="s">
        <v>18</v>
      </c>
      <c r="C83" s="29" t="s">
        <v>65</v>
      </c>
      <c r="D83" s="50">
        <v>212.20021220000004</v>
      </c>
      <c r="E83" s="50">
        <v>212.20021220000004</v>
      </c>
      <c r="F83" s="50">
        <v>212.20021220000004</v>
      </c>
      <c r="G83" s="50">
        <v>212.20021220000004</v>
      </c>
      <c r="H83" s="50">
        <v>212.20021220000004</v>
      </c>
      <c r="I83" s="50">
        <v>212.20021220000004</v>
      </c>
      <c r="J83" s="50">
        <v>212.20021220000004</v>
      </c>
      <c r="K83" s="50">
        <v>212.20021220000004</v>
      </c>
      <c r="L83" s="50">
        <v>212.20021220000004</v>
      </c>
      <c r="M83" s="50">
        <v>212.20021220000004</v>
      </c>
      <c r="N83" s="50">
        <v>212.20021220000004</v>
      </c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3"/>
        <v>Brændselsforbrug.NyAff1</v>
      </c>
      <c r="B84" s="28" t="s">
        <v>18</v>
      </c>
      <c r="C84" s="29" t="s">
        <v>66</v>
      </c>
      <c r="D84" s="50">
        <v>2589.7395233444227</v>
      </c>
      <c r="E84" s="50">
        <v>1.1999999999999997E-13</v>
      </c>
      <c r="F84" s="50">
        <v>1.1999999999999997E-13</v>
      </c>
      <c r="G84" s="50">
        <v>1.1999999999999997E-13</v>
      </c>
      <c r="H84" s="50">
        <v>2589.7395226010894</v>
      </c>
      <c r="I84" s="50">
        <v>7172.4309327813398</v>
      </c>
      <c r="J84" s="50">
        <v>1.1999999999999997E-13</v>
      </c>
      <c r="K84" s="50">
        <v>1.1999999999999997E-13</v>
      </c>
      <c r="L84" s="50">
        <v>1.1999999999999997E-13</v>
      </c>
      <c r="M84" s="50">
        <v>2589.7395674338718</v>
      </c>
      <c r="N84" s="50">
        <v>7172.4309795071722</v>
      </c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3"/>
        <v>Brændselsforbrug.NyAff2</v>
      </c>
      <c r="B85" s="28" t="s">
        <v>18</v>
      </c>
      <c r="C85" s="29" t="s">
        <v>67</v>
      </c>
      <c r="D85" s="50">
        <v>-1.1999999999999997E-13</v>
      </c>
      <c r="E85" s="50">
        <v>-1.1999999999999997E-13</v>
      </c>
      <c r="F85" s="50">
        <v>-1.1999999999999997E-13</v>
      </c>
      <c r="G85" s="50">
        <v>-1.1999999999999997E-13</v>
      </c>
      <c r="H85" s="50">
        <v>-1.1999999999999997E-13</v>
      </c>
      <c r="I85" s="50">
        <v>-1.1999999999999997E-13</v>
      </c>
      <c r="J85" s="50">
        <v>-1.1999999999999997E-13</v>
      </c>
      <c r="K85" s="50">
        <v>-1.1999999999999997E-13</v>
      </c>
      <c r="L85" s="50">
        <v>-1.1999999999999997E-13</v>
      </c>
      <c r="M85" s="50">
        <v>-1.1999999999999997E-13</v>
      </c>
      <c r="N85" s="50">
        <v>-1.1999999999999997E-13</v>
      </c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3"/>
        <v>Brændselsforbrug.NyAff3</v>
      </c>
      <c r="B86" s="28" t="s">
        <v>18</v>
      </c>
      <c r="C86" s="29" t="s">
        <v>68</v>
      </c>
      <c r="D86" s="50">
        <v>-1.1999999999999997E-13</v>
      </c>
      <c r="E86" s="50">
        <v>-1.1999999999999997E-13</v>
      </c>
      <c r="F86" s="50">
        <v>-1.1999999999999997E-13</v>
      </c>
      <c r="G86" s="50">
        <v>-1.1999999999999997E-13</v>
      </c>
      <c r="H86" s="50">
        <v>-1.1999999999999997E-13</v>
      </c>
      <c r="I86" s="50">
        <v>-1.1999999999999997E-13</v>
      </c>
      <c r="J86" s="50">
        <v>-1.1999999999999997E-13</v>
      </c>
      <c r="K86" s="50">
        <v>-1.1999999999999997E-13</v>
      </c>
      <c r="L86" s="50">
        <v>-1.1999999999999997E-13</v>
      </c>
      <c r="M86" s="50">
        <v>-1.1999999999999997E-13</v>
      </c>
      <c r="N86" s="50">
        <v>-1.1999999999999997E-13</v>
      </c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2" t="str">
        <f t="shared" si="3"/>
        <v>Brændselsforbrug.NyAff4</v>
      </c>
      <c r="B87" s="28" t="s">
        <v>18</v>
      </c>
      <c r="C87" s="29" t="s">
        <v>69</v>
      </c>
      <c r="D87" s="50">
        <v>-1.1999999999999997E-13</v>
      </c>
      <c r="E87" s="50">
        <v>-1.1999999999999997E-13</v>
      </c>
      <c r="F87" s="50">
        <v>-1.1999999999999997E-13</v>
      </c>
      <c r="G87" s="50">
        <v>-1.1999999999999997E-13</v>
      </c>
      <c r="H87" s="50">
        <v>-1.1999999999999997E-13</v>
      </c>
      <c r="I87" s="50">
        <v>-1.1999999999999997E-13</v>
      </c>
      <c r="J87" s="50">
        <v>-1.1999999999999997E-13</v>
      </c>
      <c r="K87" s="50">
        <v>-1.1999999999999997E-13</v>
      </c>
      <c r="L87" s="50">
        <v>-1.1999999999999997E-13</v>
      </c>
      <c r="M87" s="50">
        <v>-1.1999999999999997E-13</v>
      </c>
      <c r="N87" s="50">
        <v>-1.1999999999999997E-13</v>
      </c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</row>
    <row r="88" spans="1:27" outlineLevel="1" x14ac:dyDescent="0.25">
      <c r="A88" s="72" t="str">
        <f t="shared" si="3"/>
        <v>Brændselsforbrug.NyAff5</v>
      </c>
      <c r="B88" s="28" t="s">
        <v>18</v>
      </c>
      <c r="C88" s="29" t="s">
        <v>70</v>
      </c>
      <c r="D88" s="50">
        <v>-1.1999999999999997E-13</v>
      </c>
      <c r="E88" s="50">
        <v>-1.1999999999999997E-13</v>
      </c>
      <c r="F88" s="50">
        <v>-1.1999999999999997E-13</v>
      </c>
      <c r="G88" s="50">
        <v>-1.1999999999999997E-13</v>
      </c>
      <c r="H88" s="50">
        <v>-1.1999999999999997E-13</v>
      </c>
      <c r="I88" s="50">
        <v>-1.1999999999999997E-13</v>
      </c>
      <c r="J88" s="50">
        <v>-1.1999999999999997E-13</v>
      </c>
      <c r="K88" s="50">
        <v>-1.1999999999999997E-13</v>
      </c>
      <c r="L88" s="50">
        <v>-1.1999999999999997E-13</v>
      </c>
      <c r="M88" s="50">
        <v>-1.1999999999999997E-13</v>
      </c>
      <c r="N88" s="50">
        <v>-1.1999999999999997E-13</v>
      </c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</row>
    <row r="89" spans="1:27" outlineLevel="1" x14ac:dyDescent="0.25">
      <c r="A89" s="72" t="str">
        <f t="shared" si="3"/>
        <v>Brændselsforbrug.Flis</v>
      </c>
      <c r="B89" s="28" t="s">
        <v>18</v>
      </c>
      <c r="C89" s="29" t="s">
        <v>71</v>
      </c>
      <c r="D89" s="50">
        <v>3370.2127659574467</v>
      </c>
      <c r="E89" s="50">
        <v>3370.2127659574467</v>
      </c>
      <c r="F89" s="50">
        <v>3370.2127659574467</v>
      </c>
      <c r="G89" s="50">
        <v>3370.2127659574467</v>
      </c>
      <c r="H89" s="50">
        <v>3370.2127659574467</v>
      </c>
      <c r="I89" s="50">
        <v>3370.2127659574467</v>
      </c>
      <c r="J89" s="50">
        <v>3370.2127659574467</v>
      </c>
      <c r="K89" s="50">
        <v>3370.2127659574467</v>
      </c>
      <c r="L89" s="50">
        <v>3370.2127659574467</v>
      </c>
      <c r="M89" s="50">
        <v>3370.2127659574467</v>
      </c>
      <c r="N89" s="50">
        <v>3370.2127659574467</v>
      </c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</row>
    <row r="90" spans="1:27" outlineLevel="1" x14ac:dyDescent="0.25">
      <c r="A90" s="72" t="str">
        <f t="shared" si="3"/>
        <v>Brændselsforbrug.NSvarme</v>
      </c>
      <c r="B90" s="28" t="s">
        <v>18</v>
      </c>
      <c r="C90" s="29" t="s">
        <v>72</v>
      </c>
      <c r="D90" s="50">
        <v>9600</v>
      </c>
      <c r="E90" s="50">
        <v>9600</v>
      </c>
      <c r="F90" s="50">
        <v>9600</v>
      </c>
      <c r="G90" s="50">
        <v>9600</v>
      </c>
      <c r="H90" s="50">
        <v>9600</v>
      </c>
      <c r="I90" s="50">
        <v>9600</v>
      </c>
      <c r="J90" s="50">
        <v>9600</v>
      </c>
      <c r="K90" s="50">
        <v>9600</v>
      </c>
      <c r="L90" s="50">
        <v>9600</v>
      </c>
      <c r="M90" s="50">
        <v>9600</v>
      </c>
      <c r="N90" s="50">
        <v>9600</v>
      </c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</row>
    <row r="91" spans="1:27" outlineLevel="1" x14ac:dyDescent="0.25">
      <c r="A91" s="72" t="str">
        <f t="shared" si="3"/>
        <v>Brændselsforbrug.PeakFuel</v>
      </c>
      <c r="B91" s="28" t="s">
        <v>18</v>
      </c>
      <c r="C91" s="29" t="s">
        <v>73</v>
      </c>
      <c r="D91" s="50">
        <v>1.1999999999999997E-13</v>
      </c>
      <c r="E91" s="50">
        <v>1.1999999999999997E-13</v>
      </c>
      <c r="F91" s="50">
        <v>1.1999999999999997E-13</v>
      </c>
      <c r="G91" s="50">
        <v>1.1999999999999997E-13</v>
      </c>
      <c r="H91" s="50">
        <v>1.1999999999999997E-13</v>
      </c>
      <c r="I91" s="50">
        <v>1.1999999999999997E-13</v>
      </c>
      <c r="J91" s="50">
        <v>1.1999999999999997E-13</v>
      </c>
      <c r="K91" s="50">
        <v>1.1999999999999997E-13</v>
      </c>
      <c r="L91" s="50">
        <v>1.1999999999999997E-13</v>
      </c>
      <c r="M91" s="50">
        <v>1.1999999999999997E-13</v>
      </c>
      <c r="N91" s="50">
        <v>1.1999999999999997E-13</v>
      </c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</row>
    <row r="92" spans="1:27" outlineLevel="1" x14ac:dyDescent="0.25">
      <c r="A92" s="73" t="str">
        <f t="shared" si="3"/>
        <v/>
      </c>
      <c r="B92" s="28"/>
      <c r="C92" s="29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1:27" outlineLevel="1" x14ac:dyDescent="0.25">
      <c r="A93" s="68" t="str">
        <f t="shared" si="3"/>
        <v/>
      </c>
      <c r="B93" s="8"/>
      <c r="C93" s="30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</row>
    <row r="94" spans="1:27" s="20" customFormat="1" ht="18.75" x14ac:dyDescent="0.3">
      <c r="A94" s="63"/>
      <c r="B94" s="33" t="s">
        <v>3</v>
      </c>
      <c r="C94" s="33" t="s">
        <v>145</v>
      </c>
      <c r="D94" s="32" t="s">
        <v>143</v>
      </c>
      <c r="E94" s="32" t="s">
        <v>74</v>
      </c>
      <c r="F94" s="32" t="s">
        <v>186</v>
      </c>
      <c r="G94" s="32" t="s">
        <v>187</v>
      </c>
      <c r="H94" s="32" t="s">
        <v>188</v>
      </c>
      <c r="I94" s="32" t="s">
        <v>189</v>
      </c>
      <c r="J94" s="32" t="s">
        <v>190</v>
      </c>
      <c r="K94" s="32" t="s">
        <v>191</v>
      </c>
      <c r="L94" s="32" t="s">
        <v>192</v>
      </c>
      <c r="M94" s="32" t="s">
        <v>193</v>
      </c>
      <c r="N94" s="32" t="s">
        <v>194</v>
      </c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outlineLevel="1" x14ac:dyDescent="0.25">
      <c r="A95" s="67" t="str">
        <f>IF(NOT(ISBLANK(C95)),$C$94&amp;"."&amp;C95,"")</f>
        <v>Brændselsindkomst.DepoSort</v>
      </c>
      <c r="B95" s="55" t="s">
        <v>2</v>
      </c>
      <c r="C95" s="52" t="s">
        <v>45</v>
      </c>
      <c r="D95" s="51">
        <v>6780539.2805324988</v>
      </c>
      <c r="E95" s="51">
        <v>6780539.2805324979</v>
      </c>
      <c r="F95" s="51">
        <v>6780539.280532497</v>
      </c>
      <c r="G95" s="51">
        <v>6780539.2805324979</v>
      </c>
      <c r="H95" s="51">
        <v>6780539.2805324979</v>
      </c>
      <c r="I95" s="51">
        <v>6780539.2805324979</v>
      </c>
      <c r="J95" s="51">
        <v>6780539.2805324979</v>
      </c>
      <c r="K95" s="51">
        <v>6780539.2805324988</v>
      </c>
      <c r="L95" s="51">
        <v>6780539.2805324979</v>
      </c>
      <c r="M95" s="51">
        <v>6780539.2805324979</v>
      </c>
      <c r="N95" s="51">
        <v>6780539.2805324988</v>
      </c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ref="A96:A129" si="4">IF(NOT(ISBLANK(C96)),$C$94&amp;"."&amp;C96,"")</f>
        <v>Brændselsindkomst.DepoSmaat</v>
      </c>
      <c r="B96" s="55" t="s">
        <v>2</v>
      </c>
      <c r="C96" s="52" t="s">
        <v>46</v>
      </c>
      <c r="D96" s="51">
        <v>-1.1999999999999997E-13</v>
      </c>
      <c r="E96" s="51">
        <v>-1.1999999999999997E-13</v>
      </c>
      <c r="F96" s="51">
        <v>-1.1999999999999997E-13</v>
      </c>
      <c r="G96" s="51">
        <v>-1.1999999999999997E-13</v>
      </c>
      <c r="H96" s="51">
        <v>-1.1999999999999997E-13</v>
      </c>
      <c r="I96" s="51">
        <v>-1.1999999999999997E-13</v>
      </c>
      <c r="J96" s="51">
        <v>-1.1999999999999997E-13</v>
      </c>
      <c r="K96" s="51">
        <v>-1.1999999999999997E-13</v>
      </c>
      <c r="L96" s="51">
        <v>-1.1999999999999997E-13</v>
      </c>
      <c r="M96" s="51">
        <v>-1.1999999999999997E-13</v>
      </c>
      <c r="N96" s="51">
        <v>-1.1999999999999997E-13</v>
      </c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4"/>
        <v>Brændselsindkomst.DepoNedd</v>
      </c>
      <c r="B97" s="55" t="s">
        <v>2</v>
      </c>
      <c r="C97" s="52" t="s">
        <v>47</v>
      </c>
      <c r="D97" s="51">
        <v>-1.1999999999999997E-13</v>
      </c>
      <c r="E97" s="51">
        <v>-1.1999999999999997E-13</v>
      </c>
      <c r="F97" s="51">
        <v>-1.1999999999999997E-13</v>
      </c>
      <c r="G97" s="51">
        <v>-1.1999999999999997E-13</v>
      </c>
      <c r="H97" s="51">
        <v>-1.1999999999999997E-13</v>
      </c>
      <c r="I97" s="51">
        <v>-1.1999999999999997E-13</v>
      </c>
      <c r="J97" s="51">
        <v>-1.1999999999999997E-13</v>
      </c>
      <c r="K97" s="51">
        <v>-1.1999999999999997E-13</v>
      </c>
      <c r="L97" s="51">
        <v>-1.1999999999999997E-13</v>
      </c>
      <c r="M97" s="51">
        <v>-1.1999999999999997E-13</v>
      </c>
      <c r="N97" s="51">
        <v>-1.1999999999999997E-13</v>
      </c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4"/>
        <v>Brændselsindkomst.Dagren</v>
      </c>
      <c r="B98" s="55" t="s">
        <v>2</v>
      </c>
      <c r="C98" s="52" t="s">
        <v>48</v>
      </c>
      <c r="D98" s="51">
        <v>15102574.602559498</v>
      </c>
      <c r="E98" s="51">
        <v>15102574.602559498</v>
      </c>
      <c r="F98" s="51">
        <v>15102574.602559498</v>
      </c>
      <c r="G98" s="51">
        <v>15102574.602559498</v>
      </c>
      <c r="H98" s="51">
        <v>15102574.602559498</v>
      </c>
      <c r="I98" s="51">
        <v>15102574.602559498</v>
      </c>
      <c r="J98" s="51">
        <v>15102573.344012871</v>
      </c>
      <c r="K98" s="51">
        <v>15102573.344012871</v>
      </c>
      <c r="L98" s="51">
        <v>15102573.344012871</v>
      </c>
      <c r="M98" s="51">
        <v>15102573.344012871</v>
      </c>
      <c r="N98" s="51">
        <v>15102573.344012871</v>
      </c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4"/>
        <v>Brændselsindkomst.AndetBrand</v>
      </c>
      <c r="B99" s="55" t="s">
        <v>2</v>
      </c>
      <c r="C99" s="52" t="s">
        <v>49</v>
      </c>
      <c r="D99" s="51">
        <v>2222016.9470147253</v>
      </c>
      <c r="E99" s="51">
        <v>2222016.9470147253</v>
      </c>
      <c r="F99" s="51">
        <v>2222016.9470147253</v>
      </c>
      <c r="G99" s="51">
        <v>2222016.9470147253</v>
      </c>
      <c r="H99" s="51">
        <v>2222016.9470147253</v>
      </c>
      <c r="I99" s="51">
        <v>2222016.9470147253</v>
      </c>
      <c r="J99" s="51">
        <v>2222016.7618468315</v>
      </c>
      <c r="K99" s="51">
        <v>2222016.7618468315</v>
      </c>
      <c r="L99" s="51">
        <v>2222016.7618468315</v>
      </c>
      <c r="M99" s="51">
        <v>2222016.7618468315</v>
      </c>
      <c r="N99" s="51">
        <v>2222016.7618468315</v>
      </c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4"/>
        <v>Brændselsindkomst.Trae</v>
      </c>
      <c r="B100" s="55" t="s">
        <v>2</v>
      </c>
      <c r="C100" s="52" t="s">
        <v>50</v>
      </c>
      <c r="D100" s="51">
        <v>5169.2538769375005</v>
      </c>
      <c r="E100" s="51">
        <v>5169.2530153958342</v>
      </c>
      <c r="F100" s="51">
        <v>5169.2530153958342</v>
      </c>
      <c r="G100" s="51">
        <v>5169.2538769375005</v>
      </c>
      <c r="H100" s="51">
        <v>5169.2547384791669</v>
      </c>
      <c r="I100" s="51">
        <v>5169.2547384791669</v>
      </c>
      <c r="J100" s="51">
        <v>5169.25</v>
      </c>
      <c r="K100" s="51">
        <v>5169.25</v>
      </c>
      <c r="L100" s="51">
        <v>5169.25</v>
      </c>
      <c r="M100" s="51">
        <v>5169.25</v>
      </c>
      <c r="N100" s="51">
        <v>5169.25</v>
      </c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4"/>
        <v>Brændselsindkomst.DagrenRast</v>
      </c>
      <c r="B101" s="55" t="s">
        <v>2</v>
      </c>
      <c r="C101" s="52" t="s">
        <v>51</v>
      </c>
      <c r="D101" s="51">
        <v>2252136.5644566244</v>
      </c>
      <c r="E101" s="51">
        <v>2252136.5644566244</v>
      </c>
      <c r="F101" s="51">
        <v>2252136.5644566244</v>
      </c>
      <c r="G101" s="51">
        <v>2252136.5644566244</v>
      </c>
      <c r="H101" s="51">
        <v>2252136.5644566244</v>
      </c>
      <c r="I101" s="51">
        <v>2252136.5644566244</v>
      </c>
      <c r="J101" s="51">
        <v>2252136.5644566244</v>
      </c>
      <c r="K101" s="51">
        <v>2252136.5644566244</v>
      </c>
      <c r="L101" s="51">
        <v>2252136.5644566244</v>
      </c>
      <c r="M101" s="51">
        <v>2252136.5644566244</v>
      </c>
      <c r="N101" s="51">
        <v>2252136.5644566244</v>
      </c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4"/>
        <v>Brændselsindkomst.DagrenInst</v>
      </c>
      <c r="B102" s="55" t="s">
        <v>2</v>
      </c>
      <c r="C102" s="52" t="s">
        <v>52</v>
      </c>
      <c r="D102" s="51">
        <v>56122.556122499976</v>
      </c>
      <c r="E102" s="51">
        <v>56122.556122499976</v>
      </c>
      <c r="F102" s="51">
        <v>56122.556122499976</v>
      </c>
      <c r="G102" s="51">
        <v>56122.556122499976</v>
      </c>
      <c r="H102" s="51">
        <v>56122.556122499976</v>
      </c>
      <c r="I102" s="51">
        <v>56122.556122499976</v>
      </c>
      <c r="J102" s="51">
        <v>56122.55144562498</v>
      </c>
      <c r="K102" s="51">
        <v>56122.55144562498</v>
      </c>
      <c r="L102" s="51">
        <v>56122.55144562498</v>
      </c>
      <c r="M102" s="51">
        <v>56122.55144562498</v>
      </c>
      <c r="N102" s="51">
        <v>56122.55144562498</v>
      </c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4"/>
        <v>Brændselsindkomst.DagrenHandel</v>
      </c>
      <c r="B103" s="55" t="s">
        <v>2</v>
      </c>
      <c r="C103" s="52" t="s">
        <v>53</v>
      </c>
      <c r="D103" s="51">
        <v>2239657.3030173127</v>
      </c>
      <c r="E103" s="51">
        <v>2239657.3030173127</v>
      </c>
      <c r="F103" s="51">
        <v>2239657.3030173127</v>
      </c>
      <c r="G103" s="51">
        <v>2239657.3030173127</v>
      </c>
      <c r="H103" s="51">
        <v>2239657.3030173127</v>
      </c>
      <c r="I103" s="51">
        <v>2239657.3030173127</v>
      </c>
      <c r="J103" s="51">
        <v>2239657.3030173127</v>
      </c>
      <c r="K103" s="51">
        <v>2239657.3030173127</v>
      </c>
      <c r="L103" s="51">
        <v>2239657.3030173127</v>
      </c>
      <c r="M103" s="51">
        <v>2239657.3030173127</v>
      </c>
      <c r="N103" s="51">
        <v>2239657.3030173127</v>
      </c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4"/>
        <v>Brændselsindkomst.DagrenRestau</v>
      </c>
      <c r="B104" s="55" t="s">
        <v>2</v>
      </c>
      <c r="C104" s="52" t="s">
        <v>54</v>
      </c>
      <c r="D104" s="51">
        <v>209191.70919149995</v>
      </c>
      <c r="E104" s="51">
        <v>209191.70919149995</v>
      </c>
      <c r="F104" s="51">
        <v>209191.70919149995</v>
      </c>
      <c r="G104" s="51">
        <v>209191.70919149995</v>
      </c>
      <c r="H104" s="51">
        <v>209191.70919149995</v>
      </c>
      <c r="I104" s="51">
        <v>209191.70919149995</v>
      </c>
      <c r="J104" s="51">
        <v>209191.69175887495</v>
      </c>
      <c r="K104" s="51">
        <v>209191.69175887495</v>
      </c>
      <c r="L104" s="51">
        <v>209191.69175887495</v>
      </c>
      <c r="M104" s="51">
        <v>209191.69175887495</v>
      </c>
      <c r="N104" s="51">
        <v>209191.69175887495</v>
      </c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4"/>
        <v>Brændselsindkomst.Erhverv</v>
      </c>
      <c r="B105" s="55" t="s">
        <v>2</v>
      </c>
      <c r="C105" s="52" t="s">
        <v>55</v>
      </c>
      <c r="D105" s="51">
        <v>3224379.9743767488</v>
      </c>
      <c r="E105" s="51">
        <v>3224379.9743767488</v>
      </c>
      <c r="F105" s="51">
        <v>3224379.9743767488</v>
      </c>
      <c r="G105" s="51">
        <v>3224379.9743767488</v>
      </c>
      <c r="H105" s="51">
        <v>3224379.9743767488</v>
      </c>
      <c r="I105" s="51">
        <v>3224379.9743767488</v>
      </c>
      <c r="J105" s="51">
        <v>3224379.7056786865</v>
      </c>
      <c r="K105" s="51">
        <v>3224379.7056786865</v>
      </c>
      <c r="L105" s="51">
        <v>3224379.7056786865</v>
      </c>
      <c r="M105" s="51">
        <v>3224379.7056786865</v>
      </c>
      <c r="N105" s="51">
        <v>3224379.7056786865</v>
      </c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4"/>
        <v>Brændselsindkomst.DagrenErhverv</v>
      </c>
      <c r="B106" s="55" t="s">
        <v>2</v>
      </c>
      <c r="C106" s="52" t="s">
        <v>56</v>
      </c>
      <c r="D106" s="51">
        <v>105339.25533915001</v>
      </c>
      <c r="E106" s="51">
        <v>105339.25533915001</v>
      </c>
      <c r="F106" s="51">
        <v>105339.25533915001</v>
      </c>
      <c r="G106" s="51">
        <v>105339.25533915001</v>
      </c>
      <c r="H106" s="51">
        <v>105339.25533915001</v>
      </c>
      <c r="I106" s="51">
        <v>105339.25533915001</v>
      </c>
      <c r="J106" s="51">
        <v>105339.25533915001</v>
      </c>
      <c r="K106" s="51">
        <v>105339.25533915001</v>
      </c>
      <c r="L106" s="51">
        <v>105339.25533915001</v>
      </c>
      <c r="M106" s="51">
        <v>105339.25533915001</v>
      </c>
      <c r="N106" s="51">
        <v>105339.25533915001</v>
      </c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4"/>
        <v>Brændselsindkomst.HandelKontor</v>
      </c>
      <c r="B107" s="55" t="s">
        <v>2</v>
      </c>
      <c r="C107" s="52" t="s">
        <v>57</v>
      </c>
      <c r="D107" s="51">
        <v>1.1999999999999997E-13</v>
      </c>
      <c r="E107" s="51">
        <v>1.1999999999999997E-13</v>
      </c>
      <c r="F107" s="51">
        <v>1.1999999999999997E-13</v>
      </c>
      <c r="G107" s="51">
        <v>1.1999999999999997E-13</v>
      </c>
      <c r="H107" s="51">
        <v>1.1999999999999997E-13</v>
      </c>
      <c r="I107" s="51">
        <v>1.1999999999999997E-13</v>
      </c>
      <c r="J107" s="51">
        <v>1.1999999999999997E-13</v>
      </c>
      <c r="K107" s="51">
        <v>1.1999999999999997E-13</v>
      </c>
      <c r="L107" s="51">
        <v>1.1999999999999997E-13</v>
      </c>
      <c r="M107" s="51">
        <v>1.1999999999999997E-13</v>
      </c>
      <c r="N107" s="51">
        <v>1.1999999999999997E-13</v>
      </c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4"/>
        <v>Brændselsindkomst.Privat</v>
      </c>
      <c r="B108" s="55" t="s">
        <v>2</v>
      </c>
      <c r="C108" s="52" t="s">
        <v>58</v>
      </c>
      <c r="D108" s="51">
        <v>6767.2562033124977</v>
      </c>
      <c r="E108" s="51">
        <v>6767.2562033124977</v>
      </c>
      <c r="F108" s="51">
        <v>6767.2562033124977</v>
      </c>
      <c r="G108" s="51">
        <v>6767.2562033124977</v>
      </c>
      <c r="H108" s="51">
        <v>6767.2562033124977</v>
      </c>
      <c r="I108" s="51">
        <v>6767.2562033124977</v>
      </c>
      <c r="J108" s="51">
        <v>6767.2562033124977</v>
      </c>
      <c r="K108" s="51">
        <v>6767.2562033124977</v>
      </c>
      <c r="L108" s="51">
        <v>6767.2562033124977</v>
      </c>
      <c r="M108" s="51">
        <v>6767.2562033124977</v>
      </c>
      <c r="N108" s="51">
        <v>6767.2562033124977</v>
      </c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4"/>
        <v>Brændselsindkomst.TyskRest</v>
      </c>
      <c r="B109" s="55" t="s">
        <v>2</v>
      </c>
      <c r="C109" s="52" t="s">
        <v>59</v>
      </c>
      <c r="D109" s="51">
        <v>13693089.693076001</v>
      </c>
      <c r="E109" s="51">
        <v>13693089.693076001</v>
      </c>
      <c r="F109" s="51">
        <v>13693089.693076</v>
      </c>
      <c r="G109" s="51">
        <v>13693089.693076001</v>
      </c>
      <c r="H109" s="51">
        <v>13693089.693076001</v>
      </c>
      <c r="I109" s="51">
        <v>13693089.693076003</v>
      </c>
      <c r="J109" s="51">
        <v>13693089.693075996</v>
      </c>
      <c r="K109" s="51">
        <v>13693089.693076</v>
      </c>
      <c r="L109" s="51">
        <v>13693089.693076001</v>
      </c>
      <c r="M109" s="51">
        <v>13693089.693076</v>
      </c>
      <c r="N109" s="51">
        <v>13693089.693076001</v>
      </c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4"/>
        <v>Brændselsindkomst.PolskRest</v>
      </c>
      <c r="B110" s="55" t="s">
        <v>2</v>
      </c>
      <c r="C110" s="52" t="s">
        <v>60</v>
      </c>
      <c r="D110" s="51">
        <v>79356.42935635001</v>
      </c>
      <c r="E110" s="51">
        <v>79356.42935635001</v>
      </c>
      <c r="F110" s="51">
        <v>79356.42935635001</v>
      </c>
      <c r="G110" s="51">
        <v>79356.429356349996</v>
      </c>
      <c r="H110" s="51">
        <v>79356.42935635001</v>
      </c>
      <c r="I110" s="51">
        <v>79356.42935635001</v>
      </c>
      <c r="J110" s="51">
        <v>79356.42935635001</v>
      </c>
      <c r="K110" s="51">
        <v>79356.42935635001</v>
      </c>
      <c r="L110" s="51">
        <v>79356.42935635001</v>
      </c>
      <c r="M110" s="51">
        <v>79356.42935635001</v>
      </c>
      <c r="N110" s="51">
        <v>79356.42935635001</v>
      </c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4"/>
        <v>Brændselsindkomst.PcbTrae</v>
      </c>
      <c r="B111" s="55" t="s">
        <v>2</v>
      </c>
      <c r="C111" s="52" t="s">
        <v>61</v>
      </c>
      <c r="D111" s="51">
        <v>-1.1999999999999997E-13</v>
      </c>
      <c r="E111" s="51">
        <v>-1.1999999999999997E-13</v>
      </c>
      <c r="F111" s="51">
        <v>-1.1999999999999997E-13</v>
      </c>
      <c r="G111" s="51">
        <v>-1.1999999999999997E-13</v>
      </c>
      <c r="H111" s="51">
        <v>-1.1999999999999997E-13</v>
      </c>
      <c r="I111" s="51">
        <v>-1.1999999999999997E-13</v>
      </c>
      <c r="J111" s="51">
        <v>-1.1999999999999997E-13</v>
      </c>
      <c r="K111" s="51">
        <v>-1.1999999999999997E-13</v>
      </c>
      <c r="L111" s="51">
        <v>-1.1999999999999997E-13</v>
      </c>
      <c r="M111" s="51">
        <v>-1.1999999999999997E-13</v>
      </c>
      <c r="N111" s="51">
        <v>-1.1999999999999997E-13</v>
      </c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4"/>
        <v>Brændselsindkomst.TraeRekv</v>
      </c>
      <c r="B112" s="55" t="s">
        <v>2</v>
      </c>
      <c r="C112" s="52" t="s">
        <v>62</v>
      </c>
      <c r="D112" s="51">
        <v>1.1999999999999997E-13</v>
      </c>
      <c r="E112" s="51">
        <v>1.1999999999999997E-13</v>
      </c>
      <c r="F112" s="51">
        <v>1.1999999999999997E-13</v>
      </c>
      <c r="G112" s="51">
        <v>1.1999999999999997E-13</v>
      </c>
      <c r="H112" s="51">
        <v>1.1999999999999997E-13</v>
      </c>
      <c r="I112" s="51">
        <v>1.1999999999999997E-13</v>
      </c>
      <c r="J112" s="51">
        <v>1.1999999999999997E-13</v>
      </c>
      <c r="K112" s="51">
        <v>1.1999999999999997E-13</v>
      </c>
      <c r="L112" s="51">
        <v>1.1999999999999997E-13</v>
      </c>
      <c r="M112" s="51">
        <v>1.1999999999999997E-13</v>
      </c>
      <c r="N112" s="51">
        <v>1.1999999999999997E-13</v>
      </c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4"/>
        <v>Brændselsindkomst.Halm</v>
      </c>
      <c r="B113" s="55" t="s">
        <v>2</v>
      </c>
      <c r="C113" s="52" t="s">
        <v>63</v>
      </c>
      <c r="D113" s="51">
        <v>-1.1999999999999997E-13</v>
      </c>
      <c r="E113" s="51">
        <v>-1.1999999999999997E-13</v>
      </c>
      <c r="F113" s="51">
        <v>-1.1999999999999997E-13</v>
      </c>
      <c r="G113" s="51">
        <v>-1.1999999999999997E-13</v>
      </c>
      <c r="H113" s="51">
        <v>-1.1999999999999997E-13</v>
      </c>
      <c r="I113" s="51">
        <v>-1.1999999999999997E-13</v>
      </c>
      <c r="J113" s="51">
        <v>-1.1999999999999997E-13</v>
      </c>
      <c r="K113" s="51">
        <v>-1.1999999999999997E-13</v>
      </c>
      <c r="L113" s="51">
        <v>-1.1999999999999997E-13</v>
      </c>
      <c r="M113" s="51">
        <v>-1.1999999999999997E-13</v>
      </c>
      <c r="N113" s="51">
        <v>-1.1999999999999997E-13</v>
      </c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4"/>
        <v>Brændselsindkomst.Pulver</v>
      </c>
      <c r="B114" s="55" t="s">
        <v>2</v>
      </c>
      <c r="C114" s="52" t="s">
        <v>64</v>
      </c>
      <c r="D114" s="51">
        <v>78048.971544825006</v>
      </c>
      <c r="E114" s="51">
        <v>78048.971544825006</v>
      </c>
      <c r="F114" s="51">
        <v>78048.971544825006</v>
      </c>
      <c r="G114" s="51">
        <v>78048.971544825006</v>
      </c>
      <c r="H114" s="51">
        <v>78048.971544825006</v>
      </c>
      <c r="I114" s="51">
        <v>78048.971544825006</v>
      </c>
      <c r="J114" s="51">
        <v>78048.971544825006</v>
      </c>
      <c r="K114" s="51">
        <v>78048.971544825006</v>
      </c>
      <c r="L114" s="51">
        <v>78048.971544825006</v>
      </c>
      <c r="M114" s="51">
        <v>78048.971544825006</v>
      </c>
      <c r="N114" s="51">
        <v>78048.971544825006</v>
      </c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4"/>
        <v>Brændselsindkomst.FlisAffald</v>
      </c>
      <c r="B115" s="55" t="s">
        <v>2</v>
      </c>
      <c r="C115" s="52" t="s">
        <v>65</v>
      </c>
      <c r="D115" s="51">
        <v>32891.032891000003</v>
      </c>
      <c r="E115" s="51">
        <v>32891.032891000003</v>
      </c>
      <c r="F115" s="51">
        <v>32891.032891000003</v>
      </c>
      <c r="G115" s="51">
        <v>32891.032891000003</v>
      </c>
      <c r="H115" s="51">
        <v>32891.032891000003</v>
      </c>
      <c r="I115" s="51">
        <v>32891.032891000003</v>
      </c>
      <c r="J115" s="51">
        <v>32891.032891000003</v>
      </c>
      <c r="K115" s="51">
        <v>32891.032891000003</v>
      </c>
      <c r="L115" s="51">
        <v>32891.032891000003</v>
      </c>
      <c r="M115" s="51">
        <v>32891.032891000003</v>
      </c>
      <c r="N115" s="51">
        <v>32891.032891000003</v>
      </c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4"/>
        <v>Brændselsindkomst.NyAff1</v>
      </c>
      <c r="B116" s="55" t="s">
        <v>2</v>
      </c>
      <c r="C116" s="52" t="s">
        <v>66</v>
      </c>
      <c r="D116" s="51">
        <v>-1042370.1581461302</v>
      </c>
      <c r="E116" s="51">
        <v>1.1999999999999997E-13</v>
      </c>
      <c r="F116" s="51">
        <v>1.1999999999999997E-13</v>
      </c>
      <c r="G116" s="51">
        <v>1.1999999999999997E-13</v>
      </c>
      <c r="H116" s="51">
        <v>-1042370.1578469384</v>
      </c>
      <c r="I116" s="51">
        <v>-2886903.4504444897</v>
      </c>
      <c r="J116" s="51">
        <v>1.1999999999999997E-13</v>
      </c>
      <c r="K116" s="51">
        <v>1.1999999999999997E-13</v>
      </c>
      <c r="L116" s="51">
        <v>1.1999999999999997E-13</v>
      </c>
      <c r="M116" s="51">
        <v>-1042370.1758921334</v>
      </c>
      <c r="N116" s="51">
        <v>-2886903.4692516364</v>
      </c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4"/>
        <v>Brændselsindkomst.NyAff2</v>
      </c>
      <c r="B117" s="55" t="s">
        <v>2</v>
      </c>
      <c r="C117" s="52" t="s">
        <v>67</v>
      </c>
      <c r="D117" s="51">
        <v>-1.1999999999999997E-13</v>
      </c>
      <c r="E117" s="51">
        <v>-1.1999999999999997E-13</v>
      </c>
      <c r="F117" s="51">
        <v>-1.1999999999999997E-13</v>
      </c>
      <c r="G117" s="51">
        <v>-1.1999999999999997E-13</v>
      </c>
      <c r="H117" s="51">
        <v>-1.1999999999999997E-13</v>
      </c>
      <c r="I117" s="51">
        <v>-1.1999999999999997E-13</v>
      </c>
      <c r="J117" s="51">
        <v>-1.1999999999999997E-13</v>
      </c>
      <c r="K117" s="51">
        <v>-1.1999999999999997E-13</v>
      </c>
      <c r="L117" s="51">
        <v>-1.1999999999999997E-13</v>
      </c>
      <c r="M117" s="51">
        <v>-1.1999999999999997E-13</v>
      </c>
      <c r="N117" s="51">
        <v>-1.1999999999999997E-13</v>
      </c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4"/>
        <v>Brændselsindkomst.NyAff3</v>
      </c>
      <c r="B118" s="55" t="s">
        <v>2</v>
      </c>
      <c r="C118" s="52" t="s">
        <v>68</v>
      </c>
      <c r="D118" s="51">
        <v>-1.1999999999999997E-13</v>
      </c>
      <c r="E118" s="51">
        <v>-1.1999999999999997E-13</v>
      </c>
      <c r="F118" s="51">
        <v>-1.1999999999999997E-13</v>
      </c>
      <c r="G118" s="51">
        <v>-1.1999999999999997E-13</v>
      </c>
      <c r="H118" s="51">
        <v>-1.1999999999999997E-13</v>
      </c>
      <c r="I118" s="51">
        <v>-1.1999999999999997E-13</v>
      </c>
      <c r="J118" s="51">
        <v>-1.1999999999999997E-13</v>
      </c>
      <c r="K118" s="51">
        <v>-1.1999999999999997E-13</v>
      </c>
      <c r="L118" s="51">
        <v>-1.1999999999999997E-13</v>
      </c>
      <c r="M118" s="51">
        <v>-1.1999999999999997E-13</v>
      </c>
      <c r="N118" s="51">
        <v>-1.1999999999999997E-13</v>
      </c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4"/>
        <v>Brændselsindkomst.NyAff4</v>
      </c>
      <c r="B119" s="55" t="s">
        <v>2</v>
      </c>
      <c r="C119" s="52" t="s">
        <v>69</v>
      </c>
      <c r="D119" s="51">
        <v>-1.1999999999999997E-13</v>
      </c>
      <c r="E119" s="51">
        <v>-1.1999999999999997E-13</v>
      </c>
      <c r="F119" s="51">
        <v>-1.1999999999999997E-13</v>
      </c>
      <c r="G119" s="51">
        <v>-1.1999999999999997E-13</v>
      </c>
      <c r="H119" s="51">
        <v>-1.1999999999999997E-13</v>
      </c>
      <c r="I119" s="51">
        <v>-1.1999999999999997E-13</v>
      </c>
      <c r="J119" s="51">
        <v>-1.1999999999999997E-13</v>
      </c>
      <c r="K119" s="51">
        <v>-1.1999999999999997E-13</v>
      </c>
      <c r="L119" s="51">
        <v>-1.1999999999999997E-13</v>
      </c>
      <c r="M119" s="51">
        <v>-1.1999999999999997E-13</v>
      </c>
      <c r="N119" s="51">
        <v>-1.1999999999999997E-13</v>
      </c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4"/>
        <v>Brændselsindkomst.NyAff5</v>
      </c>
      <c r="B120" s="55" t="s">
        <v>2</v>
      </c>
      <c r="C120" s="52" t="s">
        <v>70</v>
      </c>
      <c r="D120" s="51">
        <v>-1.1999999999999997E-13</v>
      </c>
      <c r="E120" s="51">
        <v>-1.1999999999999997E-13</v>
      </c>
      <c r="F120" s="51">
        <v>-1.1999999999999997E-13</v>
      </c>
      <c r="G120" s="51">
        <v>-1.1999999999999997E-13</v>
      </c>
      <c r="H120" s="51">
        <v>-1.1999999999999997E-13</v>
      </c>
      <c r="I120" s="51">
        <v>-1.1999999999999997E-13</v>
      </c>
      <c r="J120" s="51">
        <v>-1.1999999999999997E-13</v>
      </c>
      <c r="K120" s="51">
        <v>-1.1999999999999997E-13</v>
      </c>
      <c r="L120" s="51">
        <v>-1.1999999999999997E-13</v>
      </c>
      <c r="M120" s="51">
        <v>-1.1999999999999997E-13</v>
      </c>
      <c r="N120" s="51">
        <v>-1.1999999999999997E-13</v>
      </c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</row>
    <row r="121" spans="1:27" outlineLevel="1" x14ac:dyDescent="0.25">
      <c r="A121" s="72" t="str">
        <f t="shared" si="4"/>
        <v>Brændselsindkomst.Flis</v>
      </c>
      <c r="B121" s="55" t="s">
        <v>2</v>
      </c>
      <c r="C121" s="52" t="s">
        <v>71</v>
      </c>
      <c r="D121" s="51">
        <v>-1584000</v>
      </c>
      <c r="E121" s="51">
        <v>-1584000</v>
      </c>
      <c r="F121" s="51">
        <v>-1584000</v>
      </c>
      <c r="G121" s="51">
        <v>-1584000</v>
      </c>
      <c r="H121" s="51">
        <v>-1584000</v>
      </c>
      <c r="I121" s="51">
        <v>-1584000</v>
      </c>
      <c r="J121" s="51">
        <v>-1584000</v>
      </c>
      <c r="K121" s="51">
        <v>-1584000</v>
      </c>
      <c r="L121" s="51">
        <v>-1584000</v>
      </c>
      <c r="M121" s="51">
        <v>-1584000</v>
      </c>
      <c r="N121" s="51">
        <v>-1584000</v>
      </c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</row>
    <row r="122" spans="1:27" outlineLevel="1" x14ac:dyDescent="0.25">
      <c r="A122" s="72" t="str">
        <f t="shared" si="4"/>
        <v>Brændselsindkomst.NSvarme</v>
      </c>
      <c r="B122" s="55" t="s">
        <v>2</v>
      </c>
      <c r="C122" s="52" t="s">
        <v>72</v>
      </c>
      <c r="D122" s="51">
        <v>-1814400</v>
      </c>
      <c r="E122" s="51">
        <v>-1814400</v>
      </c>
      <c r="F122" s="51">
        <v>-1814400</v>
      </c>
      <c r="G122" s="51">
        <v>-1814400</v>
      </c>
      <c r="H122" s="51">
        <v>-1814400</v>
      </c>
      <c r="I122" s="51">
        <v>-1814400</v>
      </c>
      <c r="J122" s="51">
        <v>-1814400</v>
      </c>
      <c r="K122" s="51">
        <v>-1814400</v>
      </c>
      <c r="L122" s="51">
        <v>-1814400</v>
      </c>
      <c r="M122" s="51">
        <v>-1814400</v>
      </c>
      <c r="N122" s="51">
        <v>-1814400</v>
      </c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</row>
    <row r="123" spans="1:27" outlineLevel="1" x14ac:dyDescent="0.25">
      <c r="A123" s="72" t="str">
        <f t="shared" si="4"/>
        <v>Brændselsindkomst.PeakFuel</v>
      </c>
      <c r="B123" s="55" t="s">
        <v>2</v>
      </c>
      <c r="C123" s="52" t="s">
        <v>73</v>
      </c>
      <c r="D123" s="51">
        <v>1.1999999999999997E-13</v>
      </c>
      <c r="E123" s="51">
        <v>1.1999999999999997E-13</v>
      </c>
      <c r="F123" s="51">
        <v>1.1999999999999997E-13</v>
      </c>
      <c r="G123" s="51">
        <v>1.1999999999999997E-13</v>
      </c>
      <c r="H123" s="51">
        <v>1.1999999999999997E-13</v>
      </c>
      <c r="I123" s="51">
        <v>1.1999999999999997E-13</v>
      </c>
      <c r="J123" s="51">
        <v>1.1999999999999997E-13</v>
      </c>
      <c r="K123" s="51">
        <v>1.1999999999999997E-13</v>
      </c>
      <c r="L123" s="51">
        <v>1.1999999999999997E-13</v>
      </c>
      <c r="M123" s="51">
        <v>1.1999999999999997E-13</v>
      </c>
      <c r="N123" s="51">
        <v>1.1999999999999997E-13</v>
      </c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</row>
    <row r="124" spans="1:27" outlineLevel="1" x14ac:dyDescent="0.25">
      <c r="A124" s="72" t="str">
        <f t="shared" si="4"/>
        <v/>
      </c>
      <c r="B124" s="53"/>
      <c r="C124" s="5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</row>
    <row r="125" spans="1:27" outlineLevel="1" x14ac:dyDescent="0.25">
      <c r="A125" s="72" t="str">
        <f t="shared" si="4"/>
        <v/>
      </c>
      <c r="B125" s="19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27" outlineLevel="1" x14ac:dyDescent="0.25">
      <c r="A126" s="72" t="str">
        <f t="shared" si="4"/>
        <v/>
      </c>
      <c r="B126"/>
    </row>
    <row r="127" spans="1:27" outlineLevel="1" x14ac:dyDescent="0.25">
      <c r="A127" s="72" t="str">
        <f t="shared" si="4"/>
        <v/>
      </c>
      <c r="B127"/>
    </row>
    <row r="128" spans="1:27" outlineLevel="1" x14ac:dyDescent="0.25">
      <c r="A128" s="72" t="str">
        <f t="shared" si="4"/>
        <v/>
      </c>
      <c r="B128"/>
    </row>
    <row r="129" spans="1:2" outlineLevel="1" x14ac:dyDescent="0.25">
      <c r="A129" s="72" t="str">
        <f t="shared" si="4"/>
        <v/>
      </c>
      <c r="B129"/>
    </row>
    <row r="130" spans="1:2" outlineLevel="1" x14ac:dyDescent="0.25"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</sheetData>
  <phoneticPr fontId="5" type="noConversion"/>
  <conditionalFormatting sqref="A6 E28:AA28 A28 A30 D30:AA30 D37:AA38 A37:A38 A11:A14 A40:A47 D42:AA47 D8:AA14 D6:AA6 D16:AA25 A16:A25">
    <cfRule type="cellIs" dxfId="119" priority="174" operator="between">
      <formula>-0.0000000000001</formula>
      <formula>0.0000000000001</formula>
    </cfRule>
  </conditionalFormatting>
  <conditionalFormatting sqref="A6 A28 E28:AA28 D30:AA30 A30 A37:A38 D37:AA38 A11:A14 A40:A47 D42:AA47 A16:A25">
    <cfRule type="cellIs" dxfId="118" priority="168" operator="between">
      <formula>-0.0000000000001</formula>
      <formula>0.0000000000001</formula>
    </cfRule>
  </conditionalFormatting>
  <conditionalFormatting sqref="A16 C16:O16">
    <cfRule type="cellIs" dxfId="117" priority="167" operator="between">
      <formula>-0.0000000000001</formula>
      <formula>0.0000000000001</formula>
    </cfRule>
  </conditionalFormatting>
  <conditionalFormatting sqref="P16:AA16">
    <cfRule type="cellIs" dxfId="116" priority="166" operator="between">
      <formula>-0.0000000000001</formula>
      <formula>0.0000000000001</formula>
    </cfRule>
  </conditionalFormatting>
  <conditionalFormatting sqref="C6:O6 A6">
    <cfRule type="cellIs" dxfId="115" priority="165" operator="between">
      <formula>-0.0000000000001</formula>
      <formula>0.0000000000001</formula>
    </cfRule>
  </conditionalFormatting>
  <conditionalFormatting sqref="P6:AA6">
    <cfRule type="cellIs" dxfId="114" priority="164" operator="between">
      <formula>-0.0000000000001</formula>
      <formula>0.0000000000001</formula>
    </cfRule>
  </conditionalFormatting>
  <conditionalFormatting sqref="C13">
    <cfRule type="cellIs" dxfId="113" priority="163" operator="between">
      <formula>-0.0000000000001</formula>
      <formula>0.0000000000001</formula>
    </cfRule>
  </conditionalFormatting>
  <conditionalFormatting sqref="C14">
    <cfRule type="cellIs" dxfId="112" priority="162" operator="between">
      <formula>-0.0000000000001</formula>
      <formula>0.0000000000001</formula>
    </cfRule>
  </conditionalFormatting>
  <conditionalFormatting sqref="A14 C14:O14">
    <cfRule type="cellIs" dxfId="111" priority="161" operator="between">
      <formula>-0.0000000000001</formula>
      <formula>0.0000000000001</formula>
    </cfRule>
  </conditionalFormatting>
  <conditionalFormatting sqref="P14:AA14">
    <cfRule type="cellIs" dxfId="110" priority="160" operator="between">
      <formula>-0.0000000000001</formula>
      <formula>0.0000000000001</formula>
    </cfRule>
  </conditionalFormatting>
  <conditionalFormatting sqref="C20:O20 A20:A25 C25:O25 D21:O24">
    <cfRule type="cellIs" dxfId="109" priority="159" operator="between">
      <formula>-0.0000000000001</formula>
      <formula>0.0000000000001</formula>
    </cfRule>
  </conditionalFormatting>
  <conditionalFormatting sqref="P20:AA25">
    <cfRule type="cellIs" dxfId="108" priority="158" operator="between">
      <formula>-0.0000000000001</formula>
      <formula>0.0000000000001</formula>
    </cfRule>
  </conditionalFormatting>
  <conditionalFormatting sqref="C45:O45 C47:AA47 C44:AA44 D43:AA43 A43:A47 D46:O47">
    <cfRule type="cellIs" dxfId="107" priority="157" operator="between">
      <formula>-0.0000000000001</formula>
      <formula>0.0000000000001</formula>
    </cfRule>
  </conditionalFormatting>
  <conditionalFormatting sqref="P45:AA45">
    <cfRule type="cellIs" dxfId="106" priority="156" operator="between">
      <formula>-0.0000000000001</formula>
      <formula>0.0000000000001</formula>
    </cfRule>
  </conditionalFormatting>
  <conditionalFormatting sqref="C46:O46 D47:O47">
    <cfRule type="cellIs" dxfId="105" priority="155" operator="between">
      <formula>-0.0000000000001</formula>
      <formula>0.0000000000001</formula>
    </cfRule>
  </conditionalFormatting>
  <conditionalFormatting sqref="P46:AA47">
    <cfRule type="cellIs" dxfId="104" priority="154" operator="between">
      <formula>-0.0000000000001</formula>
      <formula>0.0000000000001</formula>
    </cfRule>
  </conditionalFormatting>
  <conditionalFormatting sqref="C11:O11">
    <cfRule type="cellIs" dxfId="103" priority="153" operator="between">
      <formula>-0.0000000000001</formula>
      <formula>0.0000000000001</formula>
    </cfRule>
  </conditionalFormatting>
  <conditionalFormatting sqref="P11:AA11">
    <cfRule type="cellIs" dxfId="102" priority="152" operator="between">
      <formula>-0.0000000000001</formula>
      <formula>0.0000000000001</formula>
    </cfRule>
  </conditionalFormatting>
  <conditionalFormatting sqref="C11">
    <cfRule type="cellIs" dxfId="101" priority="151" operator="between">
      <formula>-0.0000000000001</formula>
      <formula>0.0000000000001</formula>
    </cfRule>
  </conditionalFormatting>
  <conditionalFormatting sqref="C12:O12 A12">
    <cfRule type="cellIs" dxfId="100" priority="148" operator="between">
      <formula>-0.0000000000001</formula>
      <formula>0.0000000000001</formula>
    </cfRule>
  </conditionalFormatting>
  <conditionalFormatting sqref="P12:AA12">
    <cfRule type="cellIs" dxfId="99" priority="147" operator="between">
      <formula>-0.0000000000001</formula>
      <formula>0.0000000000001</formula>
    </cfRule>
  </conditionalFormatting>
  <conditionalFormatting sqref="C12">
    <cfRule type="cellIs" dxfId="98" priority="146" operator="between">
      <formula>-0.0000000000001</formula>
      <formula>0.0000000000001</formula>
    </cfRule>
  </conditionalFormatting>
  <conditionalFormatting sqref="C17:O17 A17">
    <cfRule type="cellIs" dxfId="97" priority="145" operator="between">
      <formula>-0.0000000000001</formula>
      <formula>0.0000000000001</formula>
    </cfRule>
  </conditionalFormatting>
  <conditionalFormatting sqref="P17:AA17">
    <cfRule type="cellIs" dxfId="96" priority="144" operator="between">
      <formula>-0.0000000000001</formula>
      <formula>0.0000000000001</formula>
    </cfRule>
  </conditionalFormatting>
  <conditionalFormatting sqref="C17">
    <cfRule type="cellIs" dxfId="95" priority="143" operator="between">
      <formula>-0.0000000000001</formula>
      <formula>0.0000000000001</formula>
    </cfRule>
  </conditionalFormatting>
  <conditionalFormatting sqref="A43 C43:AA43">
    <cfRule type="cellIs" dxfId="94" priority="142" operator="between">
      <formula>-0.0000000000001</formula>
      <formula>0.0000000000001</formula>
    </cfRule>
  </conditionalFormatting>
  <conditionalFormatting sqref="D10:O10">
    <cfRule type="cellIs" dxfId="93" priority="140" operator="between">
      <formula>-0.0000000000001</formula>
      <formula>0.0000000000001</formula>
    </cfRule>
  </conditionalFormatting>
  <conditionalFormatting sqref="P10:AA10">
    <cfRule type="cellIs" dxfId="92" priority="139" operator="between">
      <formula>-0.0000000000001</formula>
      <formula>0.0000000000001</formula>
    </cfRule>
  </conditionalFormatting>
  <conditionalFormatting sqref="C38:AA38 A38">
    <cfRule type="cellIs" dxfId="91" priority="138" operator="between">
      <formula>-0.0000000000001</formula>
      <formula>0.0000000000001</formula>
    </cfRule>
  </conditionalFormatting>
  <conditionalFormatting sqref="P38:AA38">
    <cfRule type="cellIs" dxfId="90" priority="137" operator="between">
      <formula>-0.0000000000001</formula>
      <formula>0.0000000000001</formula>
    </cfRule>
  </conditionalFormatting>
  <conditionalFormatting sqref="C10">
    <cfRule type="cellIs" dxfId="89" priority="135" operator="between">
      <formula>-0.0000000000001</formula>
      <formula>0.0000000000001</formula>
    </cfRule>
  </conditionalFormatting>
  <conditionalFormatting sqref="A11">
    <cfRule type="cellIs" dxfId="88" priority="134" operator="between">
      <formula>-0.0000000000001</formula>
      <formula>0.0000000000001</formula>
    </cfRule>
  </conditionalFormatting>
  <conditionalFormatting sqref="A26 D26:AA26">
    <cfRule type="cellIs" dxfId="87" priority="131" operator="between">
      <formula>-0.0000000000001</formula>
      <formula>0.0000000000001</formula>
    </cfRule>
  </conditionalFormatting>
  <conditionalFormatting sqref="D26:AA26 A26">
    <cfRule type="cellIs" dxfId="86" priority="130" operator="between">
      <formula>-0.0000000000001</formula>
      <formula>0.0000000000001</formula>
    </cfRule>
  </conditionalFormatting>
  <conditionalFormatting sqref="C26:O26 A26">
    <cfRule type="cellIs" dxfId="85" priority="129" operator="between">
      <formula>-0.0000000000001</formula>
      <formula>0.0000000000001</formula>
    </cfRule>
  </conditionalFormatting>
  <conditionalFormatting sqref="P26:AA26">
    <cfRule type="cellIs" dxfId="84" priority="128" operator="between">
      <formula>-0.0000000000001</formula>
      <formula>0.0000000000001</formula>
    </cfRule>
  </conditionalFormatting>
  <conditionalFormatting sqref="E27:AA27 A27">
    <cfRule type="cellIs" dxfId="83" priority="112" operator="between">
      <formula>-0.0000000000001</formula>
      <formula>0.0000000000001</formula>
    </cfRule>
  </conditionalFormatting>
  <conditionalFormatting sqref="A27 E27:AA27">
    <cfRule type="cellIs" dxfId="82" priority="111" operator="between">
      <formula>-0.0000000000001</formula>
      <formula>0.0000000000001</formula>
    </cfRule>
  </conditionalFormatting>
  <conditionalFormatting sqref="D29:AA29 A29">
    <cfRule type="cellIs" dxfId="81" priority="110" operator="between">
      <formula>-0.0000000000001</formula>
      <formula>0.0000000000001</formula>
    </cfRule>
  </conditionalFormatting>
  <conditionalFormatting sqref="A29 D29:AA29">
    <cfRule type="cellIs" dxfId="80" priority="109" operator="between">
      <formula>-0.0000000000001</formula>
      <formula>0.0000000000001</formula>
    </cfRule>
  </conditionalFormatting>
  <conditionalFormatting sqref="A39 D39:AA40">
    <cfRule type="cellIs" dxfId="79" priority="108" operator="between">
      <formula>-0.0000000000001</formula>
      <formula>0.0000000000001</formula>
    </cfRule>
  </conditionalFormatting>
  <conditionalFormatting sqref="A39 D39:AA40">
    <cfRule type="cellIs" dxfId="78" priority="107" operator="between">
      <formula>-0.0000000000001</formula>
      <formula>0.0000000000001</formula>
    </cfRule>
  </conditionalFormatting>
  <conditionalFormatting sqref="A31:A32 D31:AA33 D35:AA35 A35">
    <cfRule type="cellIs" dxfId="77" priority="104" operator="between">
      <formula>-0.0000000000001</formula>
      <formula>0.0000000000001</formula>
    </cfRule>
  </conditionalFormatting>
  <conditionalFormatting sqref="D31:AA33 A31:A32 A35 D35:AA35">
    <cfRule type="cellIs" dxfId="76" priority="103" operator="between">
      <formula>-0.0000000000001</formula>
      <formula>0.0000000000001</formula>
    </cfRule>
  </conditionalFormatting>
  <conditionalFormatting sqref="C32:AA33 A32">
    <cfRule type="cellIs" dxfId="75" priority="102" operator="between">
      <formula>-0.0000000000001</formula>
      <formula>0.0000000000001</formula>
    </cfRule>
  </conditionalFormatting>
  <conditionalFormatting sqref="P32:AA33">
    <cfRule type="cellIs" dxfId="74" priority="101" operator="between">
      <formula>-0.0000000000001</formula>
      <formula>0.0000000000001</formula>
    </cfRule>
  </conditionalFormatting>
  <conditionalFormatting sqref="A34 D34:AA34">
    <cfRule type="cellIs" dxfId="73" priority="100" operator="between">
      <formula>-0.0000000000001</formula>
      <formula>0.0000000000001</formula>
    </cfRule>
  </conditionalFormatting>
  <conditionalFormatting sqref="D34:AA34 A34">
    <cfRule type="cellIs" dxfId="72" priority="99" operator="between">
      <formula>-0.0000000000001</formula>
      <formula>0.0000000000001</formula>
    </cfRule>
  </conditionalFormatting>
  <conditionalFormatting sqref="D45:O45">
    <cfRule type="cellIs" dxfId="71" priority="98" operator="between">
      <formula>-0.0000000000001</formula>
      <formula>0.0000000000001</formula>
    </cfRule>
  </conditionalFormatting>
  <conditionalFormatting sqref="D42:AA42">
    <cfRule type="cellIs" dxfId="70" priority="97" operator="between">
      <formula>-0.0000000000001</formula>
      <formula>0.0000000000001</formula>
    </cfRule>
  </conditionalFormatting>
  <conditionalFormatting sqref="A33">
    <cfRule type="cellIs" dxfId="69" priority="96" operator="between">
      <formula>-0.0000000000001</formula>
      <formula>0.0000000000001</formula>
    </cfRule>
  </conditionalFormatting>
  <conditionalFormatting sqref="A33">
    <cfRule type="cellIs" dxfId="68" priority="95" operator="between">
      <formula>-0.0000000000001</formula>
      <formula>0.0000000000001</formula>
    </cfRule>
  </conditionalFormatting>
  <conditionalFormatting sqref="A41">
    <cfRule type="cellIs" dxfId="67" priority="94" operator="between">
      <formula>-0.0000000000001</formula>
      <formula>0.0000000000001</formula>
    </cfRule>
  </conditionalFormatting>
  <conditionalFormatting sqref="A41">
    <cfRule type="cellIs" dxfId="66" priority="93" operator="between">
      <formula>-0.0000000000001</formula>
      <formula>0.0000000000001</formula>
    </cfRule>
  </conditionalFormatting>
  <conditionalFormatting sqref="A46">
    <cfRule type="cellIs" dxfId="65" priority="92" operator="between">
      <formula>-0.0000000000001</formula>
      <formula>0.0000000000001</formula>
    </cfRule>
  </conditionalFormatting>
  <conditionalFormatting sqref="A46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D27">
    <cfRule type="cellIs" dxfId="61" priority="88" operator="between">
      <formula>-0.0000000000001</formula>
      <formula>0.0000000000001</formula>
    </cfRule>
  </conditionalFormatting>
  <conditionalFormatting sqref="D27">
    <cfRule type="cellIs" dxfId="60" priority="87" operator="between">
      <formula>-0.0000000000001</formula>
      <formula>0.0000000000001</formula>
    </cfRule>
  </conditionalFormatting>
  <conditionalFormatting sqref="A8:A10">
    <cfRule type="cellIs" dxfId="59" priority="85" operator="between">
      <formula>-0.0000000000001</formula>
      <formula>0.0000000000001</formula>
    </cfRule>
  </conditionalFormatting>
  <conditionalFormatting sqref="A8:A10">
    <cfRule type="cellIs" dxfId="58" priority="84" operator="between">
      <formula>-0.0000000000001</formula>
      <formula>0.0000000000001</formula>
    </cfRule>
  </conditionalFormatting>
  <conditionalFormatting sqref="A5:A6">
    <cfRule type="cellIs" dxfId="57" priority="78" operator="between">
      <formula>-0.0000000000001</formula>
      <formula>0.0000000000001</formula>
    </cfRule>
  </conditionalFormatting>
  <conditionalFormatting sqref="A5:A6">
    <cfRule type="cellIs" dxfId="56" priority="77" operator="between">
      <formula>-0.0000000000001</formula>
      <formula>0.0000000000001</formula>
    </cfRule>
  </conditionalFormatting>
  <conditionalFormatting sqref="C5:C6 A5:A6">
    <cfRule type="cellIs" dxfId="55" priority="76" operator="between">
      <formula>-0.0000000000001</formula>
      <formula>0.0000000000001</formula>
    </cfRule>
  </conditionalFormatting>
  <conditionalFormatting sqref="A9">
    <cfRule type="cellIs" dxfId="54" priority="74" operator="between">
      <formula>-0.0000000000001</formula>
      <formula>0.0000000000001</formula>
    </cfRule>
  </conditionalFormatting>
  <conditionalFormatting sqref="A9">
    <cfRule type="cellIs" dxfId="53" priority="73" operator="between">
      <formula>-0.0000000000001</formula>
      <formula>0.0000000000001</formula>
    </cfRule>
  </conditionalFormatting>
  <conditionalFormatting sqref="C9 A9">
    <cfRule type="cellIs" dxfId="52" priority="72" operator="between">
      <formula>-0.0000000000001</formula>
      <formula>0.0000000000001</formula>
    </cfRule>
  </conditionalFormatting>
  <conditionalFormatting sqref="D93:AA93">
    <cfRule type="colorScale" priority="70">
      <colorScale>
        <cfvo type="min"/>
        <cfvo type="max"/>
        <color rgb="FFFCFCFF"/>
        <color rgb="FF63BE7B"/>
      </colorScale>
    </cfRule>
  </conditionalFormatting>
  <conditionalFormatting sqref="D93:AA93">
    <cfRule type="cellIs" dxfId="51" priority="66" operator="between">
      <formula>-0.0000000000001</formula>
      <formula>0.0000000000001</formula>
    </cfRule>
  </conditionalFormatting>
  <conditionalFormatting sqref="D9:AA9">
    <cfRule type="cellIs" dxfId="50" priority="64" operator="between">
      <formula>-0.0000000000001</formula>
      <formula>0.0000000000001</formula>
    </cfRule>
  </conditionalFormatting>
  <conditionalFormatting sqref="D9:AA9">
    <cfRule type="cellIs" dxfId="49" priority="63" operator="between">
      <formula>-0.0000000000001</formula>
      <formula>0.0000000000001</formula>
    </cfRule>
  </conditionalFormatting>
  <conditionalFormatting sqref="D41:AA41">
    <cfRule type="cellIs" dxfId="48" priority="60" operator="between">
      <formula>-0.0000000000001</formula>
      <formula>0.0000000000001</formula>
    </cfRule>
  </conditionalFormatting>
  <conditionalFormatting sqref="D41:AA41">
    <cfRule type="cellIs" dxfId="47" priority="59" operator="between">
      <formula>-0.0000000000001</formula>
      <formula>0.0000000000001</formula>
    </cfRule>
  </conditionalFormatting>
  <conditionalFormatting sqref="D41:AA41">
    <cfRule type="cellIs" dxfId="46" priority="58" operator="between">
      <formula>-0.0000000000001</formula>
      <formula>0.0000000000001</formula>
    </cfRule>
  </conditionalFormatting>
  <conditionalFormatting sqref="A42">
    <cfRule type="cellIs" dxfId="45" priority="57" operator="between">
      <formula>-0.0000000000001</formula>
      <formula>0.0000000000001</formula>
    </cfRule>
  </conditionalFormatting>
  <conditionalFormatting sqref="A40">
    <cfRule type="cellIs" dxfId="44" priority="56" operator="between">
      <formula>-0.0000000000001</formula>
      <formula>0.0000000000001</formula>
    </cfRule>
  </conditionalFormatting>
  <conditionalFormatting sqref="A40">
    <cfRule type="cellIs" dxfId="43" priority="55" operator="between">
      <formula>-0.0000000000001</formula>
      <formula>0.0000000000001</formula>
    </cfRule>
  </conditionalFormatting>
  <conditionalFormatting sqref="A45">
    <cfRule type="cellIs" dxfId="42" priority="54" operator="between">
      <formula>-0.0000000000001</formula>
      <formula>0.0000000000001</formula>
    </cfRule>
  </conditionalFormatting>
  <conditionalFormatting sqref="A45">
    <cfRule type="cellIs" dxfId="41" priority="53" operator="between">
      <formula>-0.0000000000001</formula>
      <formula>0.0000000000001</formula>
    </cfRule>
  </conditionalFormatting>
  <conditionalFormatting sqref="A7">
    <cfRule type="cellIs" dxfId="40" priority="52" operator="between">
      <formula>-0.0000000000001</formula>
      <formula>0.0000000000001</formula>
    </cfRule>
  </conditionalFormatting>
  <conditionalFormatting sqref="A7">
    <cfRule type="cellIs" dxfId="39" priority="51" operator="between">
      <formula>-0.0000000000001</formula>
      <formula>0.0000000000001</formula>
    </cfRule>
  </conditionalFormatting>
  <conditionalFormatting sqref="C7 A7">
    <cfRule type="cellIs" dxfId="38" priority="50" operator="between">
      <formula>-0.0000000000001</formula>
      <formula>0.0000000000001</formula>
    </cfRule>
  </conditionalFormatting>
  <conditionalFormatting sqref="D7:AA7">
    <cfRule type="cellIs" dxfId="37" priority="49" operator="between">
      <formula>-0.0000000000001</formula>
      <formula>0.0000000000001</formula>
    </cfRule>
  </conditionalFormatting>
  <conditionalFormatting sqref="D7:AA7">
    <cfRule type="cellIs" dxfId="36" priority="48" operator="between">
      <formula>-0.0000000000001</formula>
      <formula>0.0000000000001</formula>
    </cfRule>
  </conditionalFormatting>
  <conditionalFormatting sqref="D7:O7">
    <cfRule type="cellIs" dxfId="35" priority="47" operator="between">
      <formula>-0.0000000000001</formula>
      <formula>0.0000000000001</formula>
    </cfRule>
  </conditionalFormatting>
  <conditionalFormatting sqref="P7:AA7">
    <cfRule type="cellIs" dxfId="34" priority="46" operator="between">
      <formula>-0.0000000000001</formula>
      <formula>0.0000000000001</formula>
    </cfRule>
  </conditionalFormatting>
  <conditionalFormatting sqref="D36:AA36 A36">
    <cfRule type="cellIs" dxfId="33" priority="45" operator="between">
      <formula>-0.0000000000001</formula>
      <formula>0.0000000000001</formula>
    </cfRule>
  </conditionalFormatting>
  <conditionalFormatting sqref="A36 D36:AA36">
    <cfRule type="cellIs" dxfId="32" priority="44" operator="between">
      <formula>-0.0000000000001</formula>
      <formula>0.0000000000001</formula>
    </cfRule>
  </conditionalFormatting>
  <conditionalFormatting sqref="D48:AA51">
    <cfRule type="cellIs" dxfId="31" priority="36" operator="greaterThan">
      <formula>0.000000000001</formula>
    </cfRule>
    <cfRule type="cellIs" dxfId="30" priority="39" operator="between">
      <formula>-0.0000000000001</formula>
      <formula>0.0000000000001</formula>
    </cfRule>
  </conditionalFormatting>
  <conditionalFormatting sqref="D48:AA51">
    <cfRule type="cellIs" dxfId="29" priority="38" operator="between">
      <formula>-0.0000000000001</formula>
      <formula>0.0000000000001</formula>
    </cfRule>
  </conditionalFormatting>
  <conditionalFormatting sqref="D48:AA51">
    <cfRule type="cellIs" dxfId="28" priority="37" operator="between">
      <formula>-0.0000000000001</formula>
      <formula>0.0000000000001</formula>
    </cfRule>
  </conditionalFormatting>
  <conditionalFormatting sqref="B1">
    <cfRule type="cellIs" dxfId="27" priority="35" operator="greaterThan">
      <formula>0</formula>
    </cfRule>
  </conditionalFormatting>
  <conditionalFormatting sqref="A15 D15:AA15">
    <cfRule type="cellIs" dxfId="26" priority="34" operator="between">
      <formula>-0.0000000000001</formula>
      <formula>0.0000000000001</formula>
    </cfRule>
  </conditionalFormatting>
  <conditionalFormatting sqref="A15">
    <cfRule type="cellIs" dxfId="25" priority="33" operator="between">
      <formula>-0.0000000000001</formula>
      <formula>0.0000000000001</formula>
    </cfRule>
  </conditionalFormatting>
  <conditionalFormatting sqref="A15 C15:O15">
    <cfRule type="cellIs" dxfId="24" priority="32" operator="between">
      <formula>-0.0000000000001</formula>
      <formula>0.0000000000001</formula>
    </cfRule>
  </conditionalFormatting>
  <conditionalFormatting sqref="P15:AA15">
    <cfRule type="cellIs" dxfId="23" priority="31" operator="between">
      <formula>-0.0000000000001</formula>
      <formula>0.0000000000001</formula>
    </cfRule>
  </conditionalFormatting>
  <conditionalFormatting sqref="D55:AA60">
    <cfRule type="cellIs" dxfId="22" priority="28" operator="between">
      <formula>-0.00000000001</formula>
      <formula>0.00000000001</formula>
    </cfRule>
    <cfRule type="colorScale" priority="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3:AA92">
    <cfRule type="colorScale" priority="26">
      <colorScale>
        <cfvo type="min"/>
        <cfvo type="max"/>
        <color rgb="FFFCFCFF"/>
        <color rgb="FF63BE7B"/>
      </colorScale>
    </cfRule>
  </conditionalFormatting>
  <conditionalFormatting sqref="B63:AA92">
    <cfRule type="cellIs" dxfId="21" priority="24" operator="between">
      <formula>-0.00000000001</formula>
      <formula>0.00000000001</formula>
    </cfRule>
  </conditionalFormatting>
  <conditionalFormatting sqref="D95:AA124">
    <cfRule type="colorScale" priority="2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5:AA124">
    <cfRule type="cellIs" dxfId="20" priority="21" operator="between">
      <formula>-0.00000000001</formula>
      <formula>0.00000000001</formula>
    </cfRule>
  </conditionalFormatting>
  <conditionalFormatting sqref="A58 A60 A55">
    <cfRule type="cellIs" dxfId="19" priority="20" operator="between">
      <formula>-0.0000000000001</formula>
      <formula>0.0000000000001</formula>
    </cfRule>
  </conditionalFormatting>
  <conditionalFormatting sqref="A58 A60 A55">
    <cfRule type="cellIs" dxfId="18" priority="19" operator="between">
      <formula>-0.0000000000001</formula>
      <formula>0.0000000000001</formula>
    </cfRule>
  </conditionalFormatting>
  <conditionalFormatting sqref="A55">
    <cfRule type="cellIs" dxfId="17" priority="18" operator="between">
      <formula>-0.0000000000001</formula>
      <formula>0.0000000000001</formula>
    </cfRule>
  </conditionalFormatting>
  <conditionalFormatting sqref="A56">
    <cfRule type="cellIs" dxfId="16" priority="17" operator="between">
      <formula>-0.0000000000001</formula>
      <formula>0.0000000000001</formula>
    </cfRule>
  </conditionalFormatting>
  <conditionalFormatting sqref="A56">
    <cfRule type="cellIs" dxfId="15" priority="16" operator="between">
      <formula>-0.0000000000001</formula>
      <formula>0.0000000000001</formula>
    </cfRule>
  </conditionalFormatting>
  <conditionalFormatting sqref="A56">
    <cfRule type="cellIs" dxfId="14" priority="15" operator="between">
      <formula>-0.0000000000001</formula>
      <formula>0.0000000000001</formula>
    </cfRule>
  </conditionalFormatting>
  <conditionalFormatting sqref="A57">
    <cfRule type="cellIs" dxfId="13" priority="14" operator="between">
      <formula>-0.0000000000001</formula>
      <formula>0.0000000000001</formula>
    </cfRule>
  </conditionalFormatting>
  <conditionalFormatting sqref="A57">
    <cfRule type="cellIs" dxfId="12" priority="13" operator="between">
      <formula>-0.0000000000001</formula>
      <formula>0.0000000000001</formula>
    </cfRule>
  </conditionalFormatting>
  <conditionalFormatting sqref="A59">
    <cfRule type="cellIs" dxfId="11" priority="12" operator="between">
      <formula>-0.0000000000001</formula>
      <formula>0.0000000000001</formula>
    </cfRule>
  </conditionalFormatting>
  <conditionalFormatting sqref="A59">
    <cfRule type="cellIs" dxfId="10" priority="11" operator="between">
      <formula>-0.0000000000001</formula>
      <formula>0.0000000000001</formula>
    </cfRule>
  </conditionalFormatting>
  <conditionalFormatting sqref="A63">
    <cfRule type="cellIs" dxfId="9" priority="10" operator="between">
      <formula>-0.0000000000001</formula>
      <formula>0.0000000000001</formula>
    </cfRule>
  </conditionalFormatting>
  <conditionalFormatting sqref="A63">
    <cfRule type="cellIs" dxfId="8" priority="9" operator="between">
      <formula>-0.0000000000001</formula>
      <formula>0.0000000000001</formula>
    </cfRule>
  </conditionalFormatting>
  <conditionalFormatting sqref="A63">
    <cfRule type="cellIs" dxfId="7" priority="8" operator="between">
      <formula>-0.0000000000001</formula>
      <formula>0.0000000000001</formula>
    </cfRule>
  </conditionalFormatting>
  <conditionalFormatting sqref="A95">
    <cfRule type="cellIs" dxfId="6" priority="7" operator="between">
      <formula>-0.0000000000001</formula>
      <formula>0.0000000000001</formula>
    </cfRule>
  </conditionalFormatting>
  <conditionalFormatting sqref="A95">
    <cfRule type="cellIs" dxfId="5" priority="6" operator="between">
      <formula>-0.0000000000001</formula>
      <formula>0.0000000000001</formula>
    </cfRule>
  </conditionalFormatting>
  <conditionalFormatting sqref="A95">
    <cfRule type="cellIs" dxfId="4" priority="5" operator="between">
      <formula>-0.0000000000001</formula>
      <formula>0.0000000000001</formula>
    </cfRule>
  </conditionalFormatting>
  <conditionalFormatting sqref="C21:C24">
    <cfRule type="cellIs" dxfId="3" priority="4" operator="between">
      <formula>-0.0000000000001</formula>
      <formula>0.0000000000001</formula>
    </cfRule>
  </conditionalFormatting>
  <conditionalFormatting sqref="C24">
    <cfRule type="cellIs" dxfId="2" priority="3" operator="between">
      <formula>-0.0000000000001</formula>
      <formula>0.0000000000001</formula>
    </cfRule>
  </conditionalFormatting>
  <conditionalFormatting sqref="C21">
    <cfRule type="cellIs" dxfId="1" priority="2" operator="between">
      <formula>-0.0000000000001</formula>
      <formula>0.0000000000001</formula>
    </cfRule>
  </conditionalFormatting>
  <conditionalFormatting sqref="C22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tabSelected="1" zoomScale="85" zoomScaleNormal="85" workbookViewId="0">
      <selection activeCell="Q16" sqref="Q16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3" t="s">
        <v>96</v>
      </c>
      <c r="B3" s="117" t="s">
        <v>97</v>
      </c>
      <c r="C3" s="118"/>
    </row>
    <row r="5" spans="1:29" x14ac:dyDescent="0.25">
      <c r="A5" s="85" t="s">
        <v>93</v>
      </c>
      <c r="B5" s="78" t="s">
        <v>87</v>
      </c>
      <c r="C5" s="78" t="s">
        <v>88</v>
      </c>
      <c r="D5" s="78" t="s">
        <v>95</v>
      </c>
      <c r="E5" s="85" t="s">
        <v>94</v>
      </c>
      <c r="F5" s="78" t="s">
        <v>92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>sc-2</v>
      </c>
      <c r="J5" s="83" t="str">
        <f t="shared" si="0"/>
        <v>sc-3</v>
      </c>
      <c r="K5" s="83" t="str">
        <f t="shared" si="0"/>
        <v>sc-4</v>
      </c>
      <c r="L5" s="83" t="str">
        <f t="shared" si="0"/>
        <v>sc-5</v>
      </c>
      <c r="M5" s="83" t="str">
        <f t="shared" si="0"/>
        <v>sc-6</v>
      </c>
      <c r="N5" s="83" t="str">
        <f t="shared" si="0"/>
        <v>sc-7</v>
      </c>
      <c r="O5" s="83" t="str">
        <f t="shared" si="0"/>
        <v>sc-8</v>
      </c>
      <c r="P5" s="83" t="str">
        <f t="shared" si="0"/>
        <v>sc-9</v>
      </c>
      <c r="Q5" s="83" t="str">
        <f t="shared" si="0"/>
        <v>sc-10</v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86</v>
      </c>
      <c r="C6" s="79" t="s">
        <v>7</v>
      </c>
      <c r="D6" s="86">
        <v>1000</v>
      </c>
      <c r="E6" s="80">
        <f t="shared" ref="E6:E15" si="1">MATCH(B6&amp;"."&amp;C6,listScenTopics,0)</f>
        <v>8</v>
      </c>
      <c r="F6" t="str">
        <f>C6</f>
        <v>REFA-Daekningsbidrag</v>
      </c>
      <c r="G6" s="82" cm="1">
        <f t="array" aca="1" ref="G6:Q6" ca="1">IF(A6=0,"",OFFSET(scenTopicsHeader,E6-1,3,1,Nscen)/D6)</f>
        <v>-3073.6043153825431</v>
      </c>
      <c r="H6" s="82">
        <f ca="1"/>
        <v>-21014.543709275065</v>
      </c>
      <c r="I6" s="82">
        <f ca="1"/>
        <v>-14396.809853603367</v>
      </c>
      <c r="J6" s="82">
        <f ca="1"/>
        <v>-7773.5276819031833</v>
      </c>
      <c r="K6" s="82">
        <f ca="1"/>
        <v>-133.36026747948117</v>
      </c>
      <c r="L6" s="82">
        <f ca="1"/>
        <v>8282.1357048311475</v>
      </c>
      <c r="M6" s="82">
        <f ca="1"/>
        <v>-36709.266742507963</v>
      </c>
      <c r="N6" s="82">
        <f ca="1"/>
        <v>-30091.532886836259</v>
      </c>
      <c r="O6" s="82">
        <f ca="1"/>
        <v>-23468.250715550683</v>
      </c>
      <c r="P6" s="82">
        <f ca="1"/>
        <v>-15828.083291945324</v>
      </c>
      <c r="Q6" s="82">
        <f ca="1"/>
        <v>-7529.4605042757785</v>
      </c>
    </row>
    <row r="7" spans="1:29" x14ac:dyDescent="0.25">
      <c r="A7" s="84">
        <v>1</v>
      </c>
      <c r="B7" s="79" t="s">
        <v>86</v>
      </c>
      <c r="C7" s="79" t="s">
        <v>8</v>
      </c>
      <c r="D7" s="86">
        <v>1000</v>
      </c>
      <c r="E7" s="80">
        <f t="shared" si="1"/>
        <v>9</v>
      </c>
      <c r="F7" t="str">
        <f>C7</f>
        <v>REFA-Total-Var-Indkomst</v>
      </c>
      <c r="G7" s="82" cm="1">
        <f t="array" aca="1" ref="G7:Q7" ca="1">IF(A7=0,"",OFFSET(scenTopicsHeader,E7-1,3,1,Nscen)/D7)</f>
        <v>73063.024262572784</v>
      </c>
      <c r="H7" s="82">
        <f ca="1"/>
        <v>54083.285205070351</v>
      </c>
      <c r="I7" s="82">
        <f ca="1"/>
        <v>60701.019060742066</v>
      </c>
      <c r="J7" s="82">
        <f ca="1"/>
        <v>67431.513028818576</v>
      </c>
      <c r="K7" s="82">
        <f ca="1"/>
        <v>75620.709429423674</v>
      </c>
      <c r="L7" s="82">
        <f ca="1"/>
        <v>85178.234374990774</v>
      </c>
      <c r="M7" s="82">
        <f ca="1"/>
        <v>54083.28346753287</v>
      </c>
      <c r="N7" s="82">
        <f ca="1"/>
        <v>60701.017323204585</v>
      </c>
      <c r="O7" s="82">
        <f ca="1"/>
        <v>67431.511272697637</v>
      </c>
      <c r="P7" s="82">
        <f ca="1"/>
        <v>75620.707689314091</v>
      </c>
      <c r="Q7" s="82">
        <f ca="1"/>
        <v>85279.514232233196</v>
      </c>
    </row>
    <row r="8" spans="1:29" x14ac:dyDescent="0.25">
      <c r="A8" s="84">
        <v>1</v>
      </c>
      <c r="B8" s="79" t="s">
        <v>86</v>
      </c>
      <c r="C8" s="79" t="s">
        <v>12</v>
      </c>
      <c r="D8" s="86">
        <v>1000</v>
      </c>
      <c r="E8" s="80">
        <f t="shared" si="1"/>
        <v>14</v>
      </c>
      <c r="F8" t="str">
        <f>C8</f>
        <v>REFA-Total-Var-Omkostning</v>
      </c>
      <c r="G8" s="82" cm="1">
        <f t="array" aca="1" ref="G8:Q8" ca="1">IF(A8=0,"",OFFSET(scenTopicsHeader,E8-1,3,1,Nscen)/D8)</f>
        <v>76136.628577955315</v>
      </c>
      <c r="H8" s="82">
        <f ca="1"/>
        <v>75097.828914345431</v>
      </c>
      <c r="I8" s="82">
        <f ca="1"/>
        <v>75097.828914345417</v>
      </c>
      <c r="J8" s="82">
        <f ca="1"/>
        <v>75205.040710721747</v>
      </c>
      <c r="K8" s="82">
        <f ca="1"/>
        <v>75754.069696903156</v>
      </c>
      <c r="L8" s="82">
        <f ca="1"/>
        <v>76896.098670159612</v>
      </c>
      <c r="M8" s="82">
        <f ca="1"/>
        <v>90792.550210040834</v>
      </c>
      <c r="N8" s="82">
        <f ca="1"/>
        <v>90792.550210040834</v>
      </c>
      <c r="O8" s="82">
        <f ca="1"/>
        <v>90899.761988248327</v>
      </c>
      <c r="P8" s="82">
        <f ca="1"/>
        <v>91448.790981259415</v>
      </c>
      <c r="Q8" s="82">
        <f ca="1"/>
        <v>92808.974736508972</v>
      </c>
    </row>
    <row r="9" spans="1:29" x14ac:dyDescent="0.25">
      <c r="A9" s="84">
        <v>1</v>
      </c>
      <c r="B9" s="79" t="s">
        <v>86</v>
      </c>
      <c r="C9" s="79" t="s">
        <v>15</v>
      </c>
      <c r="D9" s="86">
        <v>1000</v>
      </c>
      <c r="E9" s="80">
        <f t="shared" si="1"/>
        <v>17</v>
      </c>
      <c r="F9" t="str">
        <f>C9</f>
        <v>REFA-Afgifter</v>
      </c>
      <c r="G9" s="82" cm="1">
        <f t="array" aca="1" ref="G9:Q9" ca="1">IF(A9=0,"",OFFSET(scenTopicsHeader,E9-1,3,1,Nscen)/D9)</f>
        <v>46018.902794791342</v>
      </c>
      <c r="H9" s="82">
        <f ca="1"/>
        <v>46771.384049445318</v>
      </c>
      <c r="I9" s="82">
        <f ca="1"/>
        <v>46771.384049445325</v>
      </c>
      <c r="J9" s="82">
        <f ca="1"/>
        <v>46835.032481301503</v>
      </c>
      <c r="K9" s="82">
        <f ca="1"/>
        <v>46018.902795881979</v>
      </c>
      <c r="L9" s="82">
        <f ca="1"/>
        <v>44834.485951072063</v>
      </c>
      <c r="M9" s="82">
        <f ca="1"/>
        <v>46771.383186443622</v>
      </c>
      <c r="N9" s="82">
        <f ca="1"/>
        <v>46771.383186443622</v>
      </c>
      <c r="O9" s="82">
        <f ca="1"/>
        <v>46835.031608681136</v>
      </c>
      <c r="P9" s="82">
        <f ca="1"/>
        <v>46018.901908471205</v>
      </c>
      <c r="Q9" s="82">
        <f ca="1"/>
        <v>45052.639844654412</v>
      </c>
    </row>
    <row r="10" spans="1:29" x14ac:dyDescent="0.25">
      <c r="A10" s="84">
        <v>1</v>
      </c>
      <c r="B10" s="79" t="s">
        <v>86</v>
      </c>
      <c r="C10" s="79" t="s">
        <v>16</v>
      </c>
      <c r="D10" s="86">
        <v>1000</v>
      </c>
      <c r="E10" s="80">
        <f t="shared" si="1"/>
        <v>22</v>
      </c>
      <c r="F10" t="str">
        <f>C10</f>
        <v>REFA-CO2-Kvoteomk</v>
      </c>
      <c r="G10" s="82" cm="1">
        <f t="array" aca="1" ref="G10:Q10" ca="1">IF(A10=0,"",OFFSET(scenTopicsHeader,E10-1,3,1,Nscen)/D10)</f>
        <v>16077.282269601745</v>
      </c>
      <c r="H10" s="82">
        <f ca="1"/>
        <v>15694.723383711904</v>
      </c>
      <c r="I10" s="82">
        <f ca="1"/>
        <v>15694.723383711907</v>
      </c>
      <c r="J10" s="82">
        <f ca="1"/>
        <v>15694.723386329966</v>
      </c>
      <c r="K10" s="82">
        <f ca="1"/>
        <v>15694.723387522781</v>
      </c>
      <c r="L10" s="82">
        <f ca="1"/>
        <v>15694.723387522781</v>
      </c>
      <c r="M10" s="82">
        <f ca="1"/>
        <v>31389.445834393446</v>
      </c>
      <c r="N10" s="82">
        <f ca="1"/>
        <v>31389.445834393446</v>
      </c>
      <c r="O10" s="82">
        <f ca="1"/>
        <v>31389.445834393449</v>
      </c>
      <c r="P10" s="82">
        <f ca="1"/>
        <v>31389.445834393446</v>
      </c>
      <c r="Q10" s="82">
        <f ca="1"/>
        <v>31389.445834393446</v>
      </c>
    </row>
    <row r="11" spans="1:29" x14ac:dyDescent="0.25">
      <c r="A11" s="84">
        <v>0</v>
      </c>
      <c r="B11" s="79" t="s">
        <v>86</v>
      </c>
      <c r="C11" s="79" t="s">
        <v>16</v>
      </c>
      <c r="D11" s="86">
        <v>1000</v>
      </c>
      <c r="E11" s="80">
        <f t="shared" si="1"/>
        <v>22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86</v>
      </c>
      <c r="C12" s="79" t="s">
        <v>16</v>
      </c>
      <c r="D12" s="86">
        <v>1000</v>
      </c>
      <c r="E12" s="80">
        <f t="shared" si="1"/>
        <v>22</v>
      </c>
      <c r="F12" t="str">
        <f t="shared" si="2"/>
        <v>REFA-CO2-Kvoteomk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86</v>
      </c>
      <c r="C13" s="79" t="s">
        <v>16</v>
      </c>
      <c r="D13" s="86">
        <v>1000</v>
      </c>
      <c r="E13" s="80">
        <f t="shared" si="1"/>
        <v>22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86</v>
      </c>
      <c r="C14" s="79" t="s">
        <v>16</v>
      </c>
      <c r="D14" s="86">
        <v>1000</v>
      </c>
      <c r="E14" s="80">
        <f t="shared" si="1"/>
        <v>22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86</v>
      </c>
      <c r="C15" s="79" t="s">
        <v>16</v>
      </c>
      <c r="D15" s="86">
        <v>1000</v>
      </c>
      <c r="E15" s="80">
        <f t="shared" si="1"/>
        <v>22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C6:C15 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M19" sqref="M19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120</v>
      </c>
      <c r="E1">
        <f>COUNTA(E4:E30)</f>
        <v>2</v>
      </c>
      <c r="R1" s="94" t="s">
        <v>121</v>
      </c>
      <c r="S1" t="s">
        <v>122</v>
      </c>
      <c r="T1" s="95" t="s">
        <v>123</v>
      </c>
    </row>
    <row r="2" spans="1:26" x14ac:dyDescent="0.25">
      <c r="B2" s="78" t="s">
        <v>124</v>
      </c>
      <c r="C2" s="78" t="s">
        <v>125</v>
      </c>
      <c r="J2" s="78" t="s">
        <v>126</v>
      </c>
      <c r="O2" s="96" t="s">
        <v>127</v>
      </c>
      <c r="S2" t="s">
        <v>128</v>
      </c>
      <c r="T2" s="95" t="s">
        <v>129</v>
      </c>
    </row>
    <row r="3" spans="1:26" x14ac:dyDescent="0.25">
      <c r="B3" s="97" t="s">
        <v>130</v>
      </c>
      <c r="C3" s="98" t="str" cm="1">
        <f t="array" ref="C3:H3">TRANSPOSE(B4:B9)&amp;"2"</f>
        <v>Control2</v>
      </c>
      <c r="D3" s="98" t="str">
        <v>Plant2</v>
      </c>
      <c r="E3" s="98" t="str">
        <v>Storage2</v>
      </c>
      <c r="F3" s="98" t="str">
        <v>Prognoses2</v>
      </c>
      <c r="G3" s="98" t="str">
        <v>Fuel2</v>
      </c>
      <c r="H3" s="98" t="str">
        <v>FuelBounds2</v>
      </c>
      <c r="I3" s="98"/>
      <c r="J3" s="92" t="str" cm="1">
        <f t="array" ref="J3:O3">TRANSPOSE(B4:B9)&amp;"3"</f>
        <v>Control3</v>
      </c>
      <c r="K3" s="92" t="str">
        <v>Plant3</v>
      </c>
      <c r="L3" s="92" t="str">
        <v>Storage3</v>
      </c>
      <c r="M3" s="92" t="str">
        <v>Prognoses3</v>
      </c>
      <c r="N3" s="92" t="str">
        <v>Fuel3</v>
      </c>
      <c r="O3" s="92" t="str">
        <v>FuelBounds3</v>
      </c>
      <c r="P3" s="92"/>
    </row>
    <row r="4" spans="1:26" x14ac:dyDescent="0.25">
      <c r="B4" t="s">
        <v>109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110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110</v>
      </c>
      <c r="N4" t="str" cm="1">
        <f t="array" ref="N4:N19">_xlfn.LET(_xlpm.ran,TRANSPOSE(listFuelAttr),_xlpm.ran)</f>
        <v>Aktiv</v>
      </c>
      <c r="O4" t="s">
        <v>131</v>
      </c>
      <c r="R4" s="78" t="s">
        <v>124</v>
      </c>
      <c r="S4" s="78" t="s">
        <v>125</v>
      </c>
      <c r="T4" s="78" t="s">
        <v>126</v>
      </c>
      <c r="U4" s="78" t="s">
        <v>132</v>
      </c>
      <c r="V4" s="85" t="s">
        <v>133</v>
      </c>
    </row>
    <row r="5" spans="1:26" x14ac:dyDescent="0.25">
      <c r="B5" t="s">
        <v>113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134</v>
      </c>
      <c r="R5" t="s">
        <v>113</v>
      </c>
      <c r="S5" t="s">
        <v>40</v>
      </c>
      <c r="T5" t="s">
        <v>104</v>
      </c>
      <c r="U5" s="99">
        <v>44197</v>
      </c>
      <c r="V5" s="100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119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116</v>
      </c>
      <c r="R6" t="s">
        <v>113</v>
      </c>
      <c r="S6" t="s">
        <v>40</v>
      </c>
      <c r="T6" t="s">
        <v>104</v>
      </c>
      <c r="U6" s="99">
        <v>44531</v>
      </c>
      <c r="V6" s="100"/>
      <c r="X6" t="str">
        <f ca="1"/>
        <v>Ovn3</v>
      </c>
      <c r="Z6" t="str">
        <f ca="1"/>
        <v>sto2</v>
      </c>
    </row>
    <row r="7" spans="1:26" x14ac:dyDescent="0.25">
      <c r="B7" t="s">
        <v>114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135</v>
      </c>
      <c r="R7" t="s">
        <v>113</v>
      </c>
      <c r="S7" t="s">
        <v>39</v>
      </c>
      <c r="T7" t="s">
        <v>104</v>
      </c>
      <c r="U7" s="99">
        <v>44531</v>
      </c>
      <c r="V7" s="100"/>
      <c r="X7" t="str">
        <f ca="1"/>
        <v>FlisK</v>
      </c>
      <c r="Z7">
        <f ca="1"/>
        <v>0</v>
      </c>
    </row>
    <row r="8" spans="1:26" x14ac:dyDescent="0.25">
      <c r="B8" t="s">
        <v>115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136</v>
      </c>
      <c r="R8" t="s">
        <v>113</v>
      </c>
      <c r="U8" s="99">
        <v>44197</v>
      </c>
      <c r="V8" s="100"/>
      <c r="X8" t="str">
        <f ca="1"/>
        <v>NS</v>
      </c>
      <c r="Z8">
        <f ca="1"/>
        <v>0</v>
      </c>
    </row>
    <row r="9" spans="1:26" x14ac:dyDescent="0.25">
      <c r="B9" t="s">
        <v>117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118</v>
      </c>
      <c r="R9" t="s">
        <v>119</v>
      </c>
      <c r="S9" t="s">
        <v>137</v>
      </c>
      <c r="U9" s="99">
        <v>44682</v>
      </c>
      <c r="V9" s="100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138</v>
      </c>
      <c r="R10" t="s">
        <v>113</v>
      </c>
      <c r="S10" t="s">
        <v>39</v>
      </c>
      <c r="U10" s="99">
        <v>47665</v>
      </c>
      <c r="V10" s="100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113</v>
      </c>
      <c r="U11" s="99"/>
      <c r="V11" s="100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113</v>
      </c>
      <c r="S12" t="s">
        <v>44</v>
      </c>
      <c r="U12" s="99"/>
      <c r="V12" s="100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113</v>
      </c>
      <c r="S13" t="s">
        <v>44</v>
      </c>
      <c r="U13" s="99"/>
      <c r="V13" s="100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113</v>
      </c>
      <c r="U14" s="99"/>
      <c r="V14" s="100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113</v>
      </c>
      <c r="U15" s="99"/>
      <c r="V15" s="100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113</v>
      </c>
      <c r="U16" s="99"/>
      <c r="V16" s="100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99"/>
      <c r="V17" s="100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99"/>
      <c r="V18" s="100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99"/>
      <c r="V19" s="100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9"/>
      <c r="V20" s="100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9"/>
      <c r="V21" s="100"/>
      <c r="Z21">
        <f ca="1"/>
        <v>0</v>
      </c>
    </row>
    <row r="22" spans="2:26" x14ac:dyDescent="0.25">
      <c r="B22" t="s">
        <v>139</v>
      </c>
      <c r="F22" t="str">
        <v>ETSaff</v>
      </c>
      <c r="G22" t="str">
        <v>Halm</v>
      </c>
      <c r="H22" t="str">
        <v>Halm</v>
      </c>
      <c r="U22" s="99"/>
      <c r="V22" s="100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9"/>
      <c r="V23" s="100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9"/>
      <c r="V24" s="100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9"/>
      <c r="V25" s="100"/>
    </row>
    <row r="26" spans="2:26" x14ac:dyDescent="0.25">
      <c r="F26" t="str">
        <v>EnrPeak</v>
      </c>
      <c r="G26" t="str">
        <v>NyAff2</v>
      </c>
      <c r="H26" t="str">
        <v>NyAff2</v>
      </c>
      <c r="U26" s="99"/>
      <c r="V26" s="100"/>
    </row>
    <row r="27" spans="2:26" x14ac:dyDescent="0.25">
      <c r="F27" t="str">
        <v>CO2peak</v>
      </c>
      <c r="G27" t="str">
        <v>NyAff3</v>
      </c>
      <c r="H27" t="str">
        <v>NyAff3</v>
      </c>
      <c r="U27" s="99"/>
      <c r="V27" s="100"/>
    </row>
    <row r="28" spans="2:26" x14ac:dyDescent="0.25">
      <c r="F28" t="str">
        <v>NOxPeak</v>
      </c>
      <c r="G28" t="str">
        <v>NyAff4</v>
      </c>
      <c r="H28" t="str">
        <v>NyAff4</v>
      </c>
      <c r="U28" s="99"/>
      <c r="V28" s="100"/>
    </row>
    <row r="29" spans="2:26" x14ac:dyDescent="0.25">
      <c r="G29" t="str">
        <v>NyAff5</v>
      </c>
      <c r="H29" t="str">
        <v>NyAff5</v>
      </c>
      <c r="U29" s="99"/>
      <c r="V29" s="100"/>
    </row>
    <row r="30" spans="2:26" x14ac:dyDescent="0.25">
      <c r="G30" t="str">
        <v>Flis</v>
      </c>
      <c r="H30" t="str">
        <v>Flis</v>
      </c>
      <c r="U30" s="99"/>
      <c r="V30" s="100"/>
    </row>
    <row r="31" spans="2:26" x14ac:dyDescent="0.25">
      <c r="G31" t="str">
        <v>NSvarme</v>
      </c>
      <c r="H31" t="str">
        <v>NSvarme</v>
      </c>
      <c r="U31" s="99"/>
      <c r="V31" s="100"/>
    </row>
    <row r="32" spans="2:26" x14ac:dyDescent="0.25">
      <c r="G32" t="str">
        <v>PeakFuel</v>
      </c>
      <c r="H32" t="str">
        <v>PeakFuel</v>
      </c>
      <c r="U32" s="99"/>
      <c r="V32" s="100"/>
    </row>
    <row r="33" spans="1:31" x14ac:dyDescent="0.25">
      <c r="U33" s="99"/>
      <c r="V33" s="100"/>
    </row>
    <row r="34" spans="1:31" x14ac:dyDescent="0.25">
      <c r="U34" s="99"/>
      <c r="V34" s="100"/>
    </row>
    <row r="35" spans="1:31" x14ac:dyDescent="0.25">
      <c r="U35" s="99"/>
      <c r="V35" s="100"/>
    </row>
    <row r="36" spans="1:31" x14ac:dyDescent="0.25">
      <c r="U36" s="99"/>
      <c r="V36" s="100"/>
    </row>
    <row r="37" spans="1:31" x14ac:dyDescent="0.25">
      <c r="U37" s="99"/>
      <c r="V37" s="100"/>
    </row>
    <row r="38" spans="1:31" x14ac:dyDescent="0.25">
      <c r="A38" t="s">
        <v>140</v>
      </c>
      <c r="B38" s="78" t="s">
        <v>107</v>
      </c>
      <c r="U38" s="99"/>
      <c r="V38" s="100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99"/>
      <c r="V39" s="100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9"/>
      <c r="V40" s="100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108</v>
      </c>
    </row>
    <row r="48" spans="1:31" x14ac:dyDescent="0.25">
      <c r="A48" s="80"/>
      <c r="B48" t="str">
        <f>B4</f>
        <v>Control</v>
      </c>
      <c r="C48" t="s">
        <v>110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110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141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12"/>
  <sheetViews>
    <sheetView zoomScale="85" zoomScaleNormal="85" workbookViewId="0">
      <selection activeCell="I6" sqref="I6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  <col min="8" max="8" width="12.5703125" customWidth="1"/>
  </cols>
  <sheetData>
    <row r="2" spans="2:9" x14ac:dyDescent="0.25">
      <c r="B2" s="78" t="s">
        <v>87</v>
      </c>
      <c r="C2" s="79" t="str">
        <f>valgtKategori</f>
        <v>Nøgletal</v>
      </c>
      <c r="E2" s="78" t="s">
        <v>89</v>
      </c>
      <c r="H2" s="78" t="s">
        <v>90</v>
      </c>
    </row>
    <row r="3" spans="2:9" ht="15.75" x14ac:dyDescent="0.25">
      <c r="B3" s="77" t="str" cm="1">
        <f t="array" ref="B3:B6">_xlfn.UNIQUE(LEFT(_xlfn.ANCHORARRAY(E3),FIND(".",_xlfn.ANCHORARRAY(E3))-1))</f>
        <v>Nøgletal</v>
      </c>
      <c r="C3" t="str" cm="1">
        <f t="array" ref="C3:C48">_xlfn.LET(_xlpm.res,_xlfn._xlws.FILTER(_xlfn.ANCHORARRAY(E3),LEFT(_xlfn.ANCHORARRAY(E3),LEN($C$2))=$C$2),MID(_xlpm.res,LEN($C$2)+2,999))</f>
        <v>FJV-behov</v>
      </c>
      <c r="E3" t="str" cm="1">
        <f t="array" ref="E3:E112">_xlfn._xlws.FILTER(listScenTopics,LEN(listScenTopics)&gt;0,)</f>
        <v>Nøgletal.FJV-behov</v>
      </c>
      <c r="F3" t="str" cm="1">
        <f t="array" ref="F3:F6">_xlfn.UNIQUE(LEFT(_xlfn.ANCHORARRAY(E3),FIND(".",_xlfn.ANCHORARRAY(E3))-1))</f>
        <v>Nøgletal</v>
      </c>
      <c r="H3" t="s">
        <v>91</v>
      </c>
      <c r="I3" cm="1">
        <f t="array" ref="I3">MATCH(TRUE,ISBLANK(Overblik!$D$4:$AD$4),0)-1</f>
        <v>11</v>
      </c>
    </row>
    <row r="4" spans="2:9" ht="15.75" x14ac:dyDescent="0.25">
      <c r="B4" s="77" t="str">
        <v>Varmemængder</v>
      </c>
      <c r="C4" t="str">
        <v>Total-NPV</v>
      </c>
      <c r="E4" t="str">
        <v>Nøgletal.Total-NPV</v>
      </c>
      <c r="F4" t="str">
        <v>Varmemængder</v>
      </c>
      <c r="H4" t="s">
        <v>147</v>
      </c>
      <c r="I4" s="111" cm="1">
        <f t="array" ref="I4">[2]!PerStart</f>
        <v>44197</v>
      </c>
    </row>
    <row r="5" spans="2:9" ht="15.75" x14ac:dyDescent="0.25">
      <c r="B5" s="77" t="str">
        <v>Brændselsforbrug</v>
      </c>
      <c r="C5" t="str">
        <v>Total-Var-Varmeproduktions-Omk</v>
      </c>
      <c r="E5" t="str">
        <v>Nøgletal.Total-Var-Varmeproduktions-Omk</v>
      </c>
      <c r="F5" t="str">
        <v>Brændselsforbrug</v>
      </c>
      <c r="H5" t="s">
        <v>148</v>
      </c>
      <c r="I5" s="111" cm="1">
        <f t="array" ref="I5">[2]!PerSlut</f>
        <v>44531</v>
      </c>
    </row>
    <row r="6" spans="2:9" ht="15.75" x14ac:dyDescent="0.25">
      <c r="B6" s="77" t="str">
        <v>Brændselsindkomst</v>
      </c>
      <c r="C6" t="str">
        <v>REFA-NPV</v>
      </c>
      <c r="E6" t="str">
        <v>Nøgletal.REFA-NPV</v>
      </c>
      <c r="F6" t="str">
        <v>Brændselsindkomst</v>
      </c>
      <c r="H6" t="s">
        <v>150</v>
      </c>
      <c r="I6">
        <v>-9.99</v>
      </c>
    </row>
    <row r="7" spans="2:9" ht="15.75" x14ac:dyDescent="0.25">
      <c r="B7" s="77"/>
      <c r="C7" t="str">
        <v>REFA-Var-Varmeproduktions-Omk</v>
      </c>
      <c r="E7" t="str">
        <v>Nøgletal.REFA-Var-Varmeproduktions-Omk</v>
      </c>
    </row>
    <row r="8" spans="2:9" ht="15.75" x14ac:dyDescent="0.25">
      <c r="B8" s="77"/>
      <c r="C8" t="str">
        <v>REFA-Daekningsbidrag</v>
      </c>
      <c r="E8" t="str">
        <v>Nøgletal.REFA-Daekningsbidrag</v>
      </c>
    </row>
    <row r="9" spans="2:9" ht="15.75" x14ac:dyDescent="0.25">
      <c r="B9" s="77"/>
      <c r="C9" t="str">
        <v>REFA-Total-Var-Indkomst</v>
      </c>
      <c r="E9" t="str">
        <v>Nøgletal.REFA-Total-Var-Indkomst</v>
      </c>
    </row>
    <row r="10" spans="2:9" ht="15.75" x14ac:dyDescent="0.25">
      <c r="B10" s="77"/>
      <c r="C10" t="str">
        <v>REFA-Affald-Modtagelse</v>
      </c>
      <c r="E10" t="str">
        <v>Nøgletal.REFA-Affald-Modtagelse</v>
      </c>
    </row>
    <row r="11" spans="2:9" ht="15.75" x14ac:dyDescent="0.25">
      <c r="B11" s="77"/>
      <c r="C11" t="str">
        <v>REFA-RGK-Rabat</v>
      </c>
      <c r="E11" t="str">
        <v>Nøgletal.REFA-RGK-Rabat</v>
      </c>
    </row>
    <row r="12" spans="2:9" ht="15.75" x14ac:dyDescent="0.25">
      <c r="B12" s="77"/>
      <c r="C12" t="str">
        <v>REFA-Elsalg</v>
      </c>
      <c r="E12" t="str">
        <v>Nøgletal.REFA-Elsalg</v>
      </c>
    </row>
    <row r="13" spans="2:9" x14ac:dyDescent="0.25">
      <c r="C13" t="str">
        <v>REFA-Varmesalg</v>
      </c>
      <c r="E13" t="str">
        <v>Nøgletal.REFA-Varmesalg</v>
      </c>
    </row>
    <row r="14" spans="2:9" x14ac:dyDescent="0.25">
      <c r="C14" t="str">
        <v>REFA-Total-Var-Omkostning</v>
      </c>
      <c r="E14" t="str">
        <v>Nøgletal.REFA-Total-Var-Omkostning</v>
      </c>
    </row>
    <row r="15" spans="2:9" x14ac:dyDescent="0.25">
      <c r="C15" t="str">
        <v>REFA-AnlaegsVarOmk</v>
      </c>
      <c r="E15" t="str">
        <v>Nøgletal.REFA-AnlaegsVarOmk</v>
      </c>
    </row>
    <row r="16" spans="2:9" x14ac:dyDescent="0.25">
      <c r="C16" t="str">
        <v>REFA-BraendselOmk</v>
      </c>
      <c r="E16" t="str">
        <v>Nøgletal.REFA-BraendselOmk</v>
      </c>
    </row>
    <row r="17" spans="3:5" x14ac:dyDescent="0.25">
      <c r="C17" t="str">
        <v>REFA-Afgifter</v>
      </c>
      <c r="E17" t="str">
        <v>Nøgletal.REFA-Afgifter</v>
      </c>
    </row>
    <row r="18" spans="3:5" x14ac:dyDescent="0.25">
      <c r="C18" t="str">
        <v>REFA-Affaldvarme-afgift</v>
      </c>
      <c r="E18" t="str">
        <v>Nøgletal.REFA-Affaldvarme-afgift</v>
      </c>
    </row>
    <row r="19" spans="3:5" x14ac:dyDescent="0.25">
      <c r="C19" t="str">
        <v>REFA-Tillaegs-Afgift</v>
      </c>
      <c r="E19" t="str">
        <v>Nøgletal.REFA-Tillaegs-Afgift</v>
      </c>
    </row>
    <row r="20" spans="3:5" x14ac:dyDescent="0.25">
      <c r="C20" t="str">
        <v>REFA-CO2-Afgift</v>
      </c>
      <c r="E20" t="str">
        <v>Nøgletal.REFA-CO2-Afgift</v>
      </c>
    </row>
    <row r="21" spans="3:5" x14ac:dyDescent="0.25">
      <c r="C21" t="str">
        <v>REFA-NOx-Afgift</v>
      </c>
      <c r="E21" t="str">
        <v>Nøgletal.REFA-NOx-Afgift</v>
      </c>
    </row>
    <row r="22" spans="3:5" x14ac:dyDescent="0.25">
      <c r="C22" t="str">
        <v>REFA-CO2-Kvoteomk</v>
      </c>
      <c r="E22" t="str">
        <v>Nøgletal.REFA-CO2-Kvoteomk</v>
      </c>
    </row>
    <row r="23" spans="3:5" x14ac:dyDescent="0.25">
      <c r="C23" t="str">
        <v>REFA-Lageromkostning</v>
      </c>
      <c r="E23" t="str">
        <v>Nøgletal.REFA-Lageromkostning</v>
      </c>
    </row>
    <row r="24" spans="3:5" x14ac:dyDescent="0.25">
      <c r="C24" t="str">
        <v>REFA-CO2-Emission-Afgift</v>
      </c>
      <c r="E24" t="str">
        <v>Nøgletal.REFA-CO2-Emission-Afgift</v>
      </c>
    </row>
    <row r="25" spans="3:5" x14ac:dyDescent="0.25">
      <c r="C25" t="str">
        <v>REFA-CO2-Emission-Kvote</v>
      </c>
      <c r="E25" t="str">
        <v>Nøgletal.REFA-CO2-Emission-Kvote</v>
      </c>
    </row>
    <row r="26" spans="3:5" x14ac:dyDescent="0.25">
      <c r="C26" t="str">
        <v>REFA-El-produktion-Brutto</v>
      </c>
      <c r="E26" t="str">
        <v>Nøgletal.REFA-El-produktion-Brutto</v>
      </c>
    </row>
    <row r="27" spans="3:5" x14ac:dyDescent="0.25">
      <c r="C27" t="str">
        <v>REFA-El-produktion-Netto</v>
      </c>
      <c r="E27" t="str">
        <v>Nøgletal.REFA-El-produktion-Netto</v>
      </c>
    </row>
    <row r="28" spans="3:5" x14ac:dyDescent="0.25">
      <c r="C28" t="str">
        <v>REFA-Total-Affald-Raadighed</v>
      </c>
      <c r="E28" t="str">
        <v>Nøgletal.REFA-Total-Affald-Raadighed</v>
      </c>
    </row>
    <row r="29" spans="3:5" x14ac:dyDescent="0.25">
      <c r="C29" t="str">
        <v>REFA-Affald-anvendt</v>
      </c>
      <c r="E29" t="str">
        <v>Nøgletal.REFA-Affald-anvendt</v>
      </c>
    </row>
    <row r="30" spans="3:5" x14ac:dyDescent="0.25">
      <c r="C30" t="str">
        <v>REFA-Affald-Uudnyttet</v>
      </c>
      <c r="E30" t="str">
        <v>Nøgletal.REFA-Affald-Uudnyttet</v>
      </c>
    </row>
    <row r="31" spans="3:5" x14ac:dyDescent="0.25">
      <c r="C31" t="str">
        <v>REFA-Affald-Lagret</v>
      </c>
      <c r="E31" t="str">
        <v>Nøgletal.REFA-Affald-Lagret</v>
      </c>
    </row>
    <row r="32" spans="3:5" x14ac:dyDescent="0.25">
      <c r="C32" t="str">
        <v>REFA-Total-Varme-Produktion</v>
      </c>
      <c r="E32" t="str">
        <v>Nøgletal.REFA-Total-Varme-Produktion</v>
      </c>
    </row>
    <row r="33" spans="3:5" x14ac:dyDescent="0.25">
      <c r="C33" t="str">
        <v>REFA-Leveret-Varme</v>
      </c>
      <c r="E33" t="str">
        <v>Nøgletal.REFA-Leveret-Varme</v>
      </c>
    </row>
    <row r="34" spans="3:5" x14ac:dyDescent="0.25">
      <c r="C34" t="str">
        <v>REFA-Modtryk-Varme</v>
      </c>
      <c r="E34" t="str">
        <v>Nøgletal.REFA-Modtryk-Varme</v>
      </c>
    </row>
    <row r="35" spans="3:5" x14ac:dyDescent="0.25">
      <c r="C35" t="str">
        <v>REFA-Bypass-Varme</v>
      </c>
      <c r="E35" t="str">
        <v>Nøgletal.REFA-Bypass-Varme</v>
      </c>
    </row>
    <row r="36" spans="3:5" x14ac:dyDescent="0.25">
      <c r="C36" t="str">
        <v>REFA-RGK-Varme</v>
      </c>
      <c r="E36" t="str">
        <v>Nøgletal.REFA-RGK-Varme</v>
      </c>
    </row>
    <row r="37" spans="3:5" x14ac:dyDescent="0.25">
      <c r="C37" t="str">
        <v>REFA-Bortkoelet-Varme</v>
      </c>
      <c r="E37" t="str">
        <v>Nøgletal.REFA-Bortkoelet-Varme</v>
      </c>
    </row>
    <row r="38" spans="3:5" x14ac:dyDescent="0.25">
      <c r="C38" t="str">
        <v>GSF-Total-Var-Omkostning</v>
      </c>
      <c r="E38" t="str">
        <v>Nøgletal.GSF-Total-Var-Omkostning</v>
      </c>
    </row>
    <row r="39" spans="3:5" x14ac:dyDescent="0.25">
      <c r="C39" t="str">
        <v>GSF-AnlaegsVarOmk</v>
      </c>
      <c r="E39" t="str">
        <v>Nøgletal.GSF-AnlaegsVarOmk</v>
      </c>
    </row>
    <row r="40" spans="3:5" x14ac:dyDescent="0.25">
      <c r="C40" t="str">
        <v>GSF-BraendselOmk</v>
      </c>
      <c r="E40" t="str">
        <v>Nøgletal.GSF-BraendselOmk</v>
      </c>
    </row>
    <row r="41" spans="3:5" x14ac:dyDescent="0.25">
      <c r="C41" t="str">
        <v>GSF-Afgifter</v>
      </c>
      <c r="E41" t="str">
        <v>Nøgletal.GSF-Afgifter</v>
      </c>
    </row>
    <row r="42" spans="3:5" x14ac:dyDescent="0.25">
      <c r="C42" t="str">
        <v>GSF-CO2-Emission</v>
      </c>
      <c r="E42" t="str">
        <v>Nøgletal.GSF-CO2-Emission</v>
      </c>
    </row>
    <row r="43" spans="3:5" x14ac:dyDescent="0.25">
      <c r="C43" t="str">
        <v>GSF-Total-Varme-Produktion</v>
      </c>
      <c r="E43" t="str">
        <v>Nøgletal.GSF-Total-Varme-Produktion</v>
      </c>
    </row>
    <row r="44" spans="3:5" x14ac:dyDescent="0.25">
      <c r="C44" t="str">
        <v>NS-Total-Varme-Produktion</v>
      </c>
      <c r="E44" t="str">
        <v>Nøgletal.NS-Total-Varme-Produktion</v>
      </c>
    </row>
    <row r="45" spans="3:5" x14ac:dyDescent="0.25">
      <c r="C45" t="str">
        <v>Virtuel-Varme-Kilde</v>
      </c>
      <c r="E45" t="str">
        <v>Nøgletal.Virtuel-Varme-Kilde</v>
      </c>
    </row>
    <row r="46" spans="3:5" x14ac:dyDescent="0.25">
      <c r="C46" t="str">
        <v>Virtuel-Varme-Draen</v>
      </c>
      <c r="E46" t="str">
        <v>Nøgletal.Virtuel-Varme-Draen</v>
      </c>
    </row>
    <row r="47" spans="3:5" x14ac:dyDescent="0.25">
      <c r="C47" t="str">
        <v>Virtuel-Affaldstonnage-Kilde</v>
      </c>
      <c r="E47" t="str">
        <v>Nøgletal.Virtuel-Affaldstonnage-Kilde</v>
      </c>
    </row>
    <row r="48" spans="3:5" x14ac:dyDescent="0.25">
      <c r="C48" t="str">
        <v>Virtuel-Affaldstonnage-Draen</v>
      </c>
      <c r="E48" t="str">
        <v>Nøgletal.Virtuel-Affaldstonnage-Draen</v>
      </c>
    </row>
    <row r="49" spans="5:5" x14ac:dyDescent="0.25">
      <c r="E49" t="str">
        <v>Varmemængder.Ovn2</v>
      </c>
    </row>
    <row r="50" spans="5:5" x14ac:dyDescent="0.25">
      <c r="E50" t="str">
        <v>Varmemængder.Ovn3</v>
      </c>
    </row>
    <row r="51" spans="5:5" x14ac:dyDescent="0.25">
      <c r="E51" t="str">
        <v>Varmemængder.FlisK</v>
      </c>
    </row>
    <row r="52" spans="5:5" x14ac:dyDescent="0.25">
      <c r="E52" t="str">
        <v>Varmemængder.NS</v>
      </c>
    </row>
    <row r="53" spans="5:5" x14ac:dyDescent="0.25">
      <c r="E53" t="str">
        <v>Varmemængder.Cooler</v>
      </c>
    </row>
    <row r="54" spans="5:5" x14ac:dyDescent="0.25">
      <c r="E54" t="str">
        <v>Varmemængder.PeakK</v>
      </c>
    </row>
    <row r="55" spans="5:5" x14ac:dyDescent="0.25">
      <c r="E55" t="str">
        <v>Brændselsforbrug.DepoSort</v>
      </c>
    </row>
    <row r="56" spans="5:5" x14ac:dyDescent="0.25">
      <c r="E56" t="str">
        <v>Brændselsforbrug.DepoSmaat</v>
      </c>
    </row>
    <row r="57" spans="5:5" x14ac:dyDescent="0.25">
      <c r="E57" t="str">
        <v>Brændselsforbrug.DepoNedd</v>
      </c>
    </row>
    <row r="58" spans="5:5" x14ac:dyDescent="0.25">
      <c r="E58" t="str">
        <v>Brændselsforbrug.Dagren</v>
      </c>
    </row>
    <row r="59" spans="5:5" x14ac:dyDescent="0.25">
      <c r="E59" t="str">
        <v>Brændselsforbrug.AndetBrand</v>
      </c>
    </row>
    <row r="60" spans="5:5" x14ac:dyDescent="0.25">
      <c r="E60" t="str">
        <v>Brændselsforbrug.Trae</v>
      </c>
    </row>
    <row r="61" spans="5:5" x14ac:dyDescent="0.25">
      <c r="E61" t="str">
        <v>Brændselsforbrug.DagrenRast</v>
      </c>
    </row>
    <row r="62" spans="5:5" x14ac:dyDescent="0.25">
      <c r="E62" t="str">
        <v>Brændselsforbrug.DagrenInst</v>
      </c>
    </row>
    <row r="63" spans="5:5" x14ac:dyDescent="0.25">
      <c r="E63" t="str">
        <v>Brændselsforbrug.DagrenHandel</v>
      </c>
    </row>
    <row r="64" spans="5:5" x14ac:dyDescent="0.25">
      <c r="E64" t="str">
        <v>Brændselsforbrug.DagrenRestau</v>
      </c>
    </row>
    <row r="65" spans="5:5" x14ac:dyDescent="0.25">
      <c r="E65" t="str">
        <v>Brændselsforbrug.Erhverv</v>
      </c>
    </row>
    <row r="66" spans="5:5" x14ac:dyDescent="0.25">
      <c r="E66" t="str">
        <v>Brændselsforbrug.DagrenErhverv</v>
      </c>
    </row>
    <row r="67" spans="5:5" x14ac:dyDescent="0.25">
      <c r="E67" t="str">
        <v>Brændselsforbrug.HandelKontor</v>
      </c>
    </row>
    <row r="68" spans="5:5" x14ac:dyDescent="0.25">
      <c r="E68" t="str">
        <v>Brændselsforbrug.Privat</v>
      </c>
    </row>
    <row r="69" spans="5:5" x14ac:dyDescent="0.25">
      <c r="E69" t="str">
        <v>Brændselsforbrug.TyskRest</v>
      </c>
    </row>
    <row r="70" spans="5:5" x14ac:dyDescent="0.25">
      <c r="E70" t="str">
        <v>Brændselsforbrug.PolskRest</v>
      </c>
    </row>
    <row r="71" spans="5:5" x14ac:dyDescent="0.25">
      <c r="E71" t="str">
        <v>Brændselsforbrug.PcbTrae</v>
      </c>
    </row>
    <row r="72" spans="5:5" x14ac:dyDescent="0.25">
      <c r="E72" t="str">
        <v>Brændselsforbrug.TraeRekv</v>
      </c>
    </row>
    <row r="73" spans="5:5" x14ac:dyDescent="0.25">
      <c r="E73" t="str">
        <v>Brændselsforbrug.Halm</v>
      </c>
    </row>
    <row r="74" spans="5:5" x14ac:dyDescent="0.25">
      <c r="E74" t="str">
        <v>Brændselsforbrug.Pulver</v>
      </c>
    </row>
    <row r="75" spans="5:5" x14ac:dyDescent="0.25">
      <c r="E75" t="str">
        <v>Brændselsforbrug.FlisAffald</v>
      </c>
    </row>
    <row r="76" spans="5:5" x14ac:dyDescent="0.25">
      <c r="E76" t="str">
        <v>Brændselsforbrug.NyAff1</v>
      </c>
    </row>
    <row r="77" spans="5:5" x14ac:dyDescent="0.25">
      <c r="E77" t="str">
        <v>Brændselsforbrug.NyAff2</v>
      </c>
    </row>
    <row r="78" spans="5:5" x14ac:dyDescent="0.25">
      <c r="E78" t="str">
        <v>Brændselsforbrug.NyAff3</v>
      </c>
    </row>
    <row r="79" spans="5:5" x14ac:dyDescent="0.25">
      <c r="E79" t="str">
        <v>Brændselsforbrug.NyAff4</v>
      </c>
    </row>
    <row r="80" spans="5:5" x14ac:dyDescent="0.25">
      <c r="E80" t="str">
        <v>Brændselsforbrug.NyAff5</v>
      </c>
    </row>
    <row r="81" spans="5:5" x14ac:dyDescent="0.25">
      <c r="E81" t="str">
        <v>Brændselsforbrug.Flis</v>
      </c>
    </row>
    <row r="82" spans="5:5" x14ac:dyDescent="0.25">
      <c r="E82" t="str">
        <v>Brændselsforbrug.NSvarme</v>
      </c>
    </row>
    <row r="83" spans="5:5" x14ac:dyDescent="0.25">
      <c r="E83" t="str">
        <v>Brændselsforbrug.PeakFuel</v>
      </c>
    </row>
    <row r="84" spans="5:5" x14ac:dyDescent="0.25">
      <c r="E84" t="str">
        <v>Brændselsindkomst.DepoSort</v>
      </c>
    </row>
    <row r="85" spans="5:5" x14ac:dyDescent="0.25">
      <c r="E85" t="str">
        <v>Brændselsindkomst.DepoSmaat</v>
      </c>
    </row>
    <row r="86" spans="5:5" x14ac:dyDescent="0.25">
      <c r="E86" t="str">
        <v>Brændselsindkomst.DepoNedd</v>
      </c>
    </row>
    <row r="87" spans="5:5" x14ac:dyDescent="0.25">
      <c r="E87" t="str">
        <v>Brændselsindkomst.Dagren</v>
      </c>
    </row>
    <row r="88" spans="5:5" x14ac:dyDescent="0.25">
      <c r="E88" t="str">
        <v>Brændselsindkomst.AndetBrand</v>
      </c>
    </row>
    <row r="89" spans="5:5" x14ac:dyDescent="0.25">
      <c r="E89" t="str">
        <v>Brændselsindkomst.Trae</v>
      </c>
    </row>
    <row r="90" spans="5:5" x14ac:dyDescent="0.25">
      <c r="E90" t="str">
        <v>Brændselsindkomst.DagrenRast</v>
      </c>
    </row>
    <row r="91" spans="5:5" x14ac:dyDescent="0.25">
      <c r="E91" t="str">
        <v>Brændselsindkomst.DagrenInst</v>
      </c>
    </row>
    <row r="92" spans="5:5" x14ac:dyDescent="0.25">
      <c r="E92" t="str">
        <v>Brændselsindkomst.DagrenHandel</v>
      </c>
    </row>
    <row r="93" spans="5:5" x14ac:dyDescent="0.25">
      <c r="E93" t="str">
        <v>Brændselsindkomst.DagrenRestau</v>
      </c>
    </row>
    <row r="94" spans="5:5" x14ac:dyDescent="0.25">
      <c r="E94" t="str">
        <v>Brændselsindkomst.Erhverv</v>
      </c>
    </row>
    <row r="95" spans="5:5" x14ac:dyDescent="0.25">
      <c r="E95" t="str">
        <v>Brændselsindkomst.DagrenErhverv</v>
      </c>
    </row>
    <row r="96" spans="5:5" x14ac:dyDescent="0.25">
      <c r="E96" t="str">
        <v>Brændselsindkomst.HandelKontor</v>
      </c>
    </row>
    <row r="97" spans="5:5" x14ac:dyDescent="0.25">
      <c r="E97" t="str">
        <v>Brændselsindkomst.Privat</v>
      </c>
    </row>
    <row r="98" spans="5:5" x14ac:dyDescent="0.25">
      <c r="E98" t="str">
        <v>Brændselsindkomst.TyskRest</v>
      </c>
    </row>
    <row r="99" spans="5:5" x14ac:dyDescent="0.25">
      <c r="E99" t="str">
        <v>Brændselsindkomst.PolskRest</v>
      </c>
    </row>
    <row r="100" spans="5:5" x14ac:dyDescent="0.25">
      <c r="E100" t="str">
        <v>Brændselsindkomst.PcbTrae</v>
      </c>
    </row>
    <row r="101" spans="5:5" x14ac:dyDescent="0.25">
      <c r="E101" t="str">
        <v>Brændselsindkomst.TraeRekv</v>
      </c>
    </row>
    <row r="102" spans="5:5" x14ac:dyDescent="0.25">
      <c r="E102" t="str">
        <v>Brændselsindkomst.Halm</v>
      </c>
    </row>
    <row r="103" spans="5:5" x14ac:dyDescent="0.25">
      <c r="E103" t="str">
        <v>Brændselsindkomst.Pulver</v>
      </c>
    </row>
    <row r="104" spans="5:5" x14ac:dyDescent="0.25">
      <c r="E104" t="str">
        <v>Brændselsindkomst.FlisAffald</v>
      </c>
    </row>
    <row r="105" spans="5:5" x14ac:dyDescent="0.25">
      <c r="E105" t="str">
        <v>Brændselsindkomst.NyAff1</v>
      </c>
    </row>
    <row r="106" spans="5:5" x14ac:dyDescent="0.25">
      <c r="E106" t="str">
        <v>Brændselsindkomst.NyAff2</v>
      </c>
    </row>
    <row r="107" spans="5:5" x14ac:dyDescent="0.25">
      <c r="E107" t="str">
        <v>Brændselsindkomst.NyAff3</v>
      </c>
    </row>
    <row r="108" spans="5:5" x14ac:dyDescent="0.25">
      <c r="E108" t="str">
        <v>Brændselsindkomst.NyAff4</v>
      </c>
    </row>
    <row r="109" spans="5:5" x14ac:dyDescent="0.25">
      <c r="E109" t="str">
        <v>Brændselsindkomst.NyAff5</v>
      </c>
    </row>
    <row r="110" spans="5:5" x14ac:dyDescent="0.25">
      <c r="E110" t="str">
        <v>Brændselsindkomst.Flis</v>
      </c>
    </row>
    <row r="111" spans="5:5" x14ac:dyDescent="0.25">
      <c r="E111" t="str">
        <v>Brændselsindkomst.NSvarme</v>
      </c>
    </row>
    <row r="112" spans="5:5" x14ac:dyDescent="0.25">
      <c r="E112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ScenInput</vt:lpstr>
      <vt:lpstr>Overblik</vt:lpstr>
      <vt:lpstr>Charts</vt:lpstr>
      <vt:lpstr>Lister</vt:lpstr>
      <vt:lpstr>Lister1</vt:lpstr>
      <vt:lpstr>arrNiv2</vt:lpstr>
      <vt:lpstr>arrNiv3</vt:lpstr>
      <vt:lpstr>listFuelBounds</vt:lpstr>
      <vt:lpstr>listHeaders</vt:lpstr>
      <vt:lpstr>listRoot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2022-02-06T19:39:33Z</dcterms:modified>
</cp:coreProperties>
</file>