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0650D862-7F6C-4823-AAF0-C020CE4C203A}" xr6:coauthVersionLast="47" xr6:coauthVersionMax="47" xr10:uidLastSave="{00000000-0000-0000-0000-000000000000}"/>
  <bookViews>
    <workbookView xWindow="1560" yWindow="1560" windowWidth="21600" windowHeight="12645" activeTab="1" xr2:uid="{43F97B8D-A1C5-4A28-82B2-29FE10E7B610}"/>
  </bookViews>
  <sheets>
    <sheet name="ScenInput" sheetId="7" r:id="rId1"/>
    <sheet name="Overblik" sheetId="1" r:id="rId2"/>
    <sheet name="Charts" sheetId="2" r:id="rId3"/>
    <sheet name="cFuel" sheetId="9" r:id="rId4"/>
    <sheet name="Sheet1" sheetId="8" r:id="rId5"/>
    <sheet name="Lister" sheetId="6" r:id="rId6"/>
    <sheet name="Lister1" sheetId="3" r:id="rId7"/>
  </sheets>
  <externalReferences>
    <externalReference r:id="rId8"/>
    <externalReference r:id="rId9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Overblik!$A$4:$A$125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  <c r="BA2" i="7"/>
  <c r="A22" i="1"/>
  <c r="A23" i="1"/>
  <c r="A24" i="1"/>
  <c r="A25" i="1"/>
  <c r="G15" i="7" l="1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J4" i="7"/>
  <c r="J5" i="7" s="1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Q5" i="7" s="1"/>
  <c r="R4" i="7"/>
  <c r="R5" i="7" s="1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Z5" i="7" s="1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H5" i="7" s="1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P5" i="7" s="1"/>
  <c r="AQ4" i="7"/>
  <c r="AQ5" i="7" s="1"/>
  <c r="AR4" i="7"/>
  <c r="AR5" i="7" s="1"/>
  <c r="I4" i="7"/>
  <c r="I5" i="7" s="1"/>
  <c r="M4" i="3" a="1"/>
  <c r="M4" i="3" s="1"/>
  <c r="M5" i="3" a="1"/>
  <c r="M5" i="3" s="1"/>
  <c r="D6" i="7"/>
  <c r="C7" i="7"/>
  <c r="H7" i="7" s="1"/>
  <c r="C8" i="7"/>
  <c r="H8" i="7" s="1"/>
  <c r="C9" i="7"/>
  <c r="H9" i="7" s="1"/>
  <c r="C10" i="7"/>
  <c r="H10" i="7" s="1"/>
  <c r="C11" i="7"/>
  <c r="H11" i="7" s="1"/>
  <c r="C12" i="7"/>
  <c r="H12" i="7" s="1"/>
  <c r="C13" i="7"/>
  <c r="H13" i="7" s="1"/>
  <c r="C14" i="7"/>
  <c r="H14" i="7" s="1"/>
  <c r="C15" i="7"/>
  <c r="H15" i="7" s="1"/>
  <c r="C16" i="7"/>
  <c r="H16" i="7" s="1"/>
  <c r="C17" i="7"/>
  <c r="H17" i="7" s="1"/>
  <c r="C18" i="7"/>
  <c r="H18" i="7" s="1"/>
  <c r="C19" i="7"/>
  <c r="H19" i="7" s="1"/>
  <c r="C20" i="7"/>
  <c r="H20" i="7" s="1"/>
  <c r="C21" i="7"/>
  <c r="H21" i="7" s="1"/>
  <c r="C22" i="7"/>
  <c r="H22" i="7" s="1"/>
  <c r="C23" i="7"/>
  <c r="H23" i="7" s="1"/>
  <c r="C24" i="7"/>
  <c r="H24" i="7" s="1"/>
  <c r="C25" i="7"/>
  <c r="H25" i="7" s="1"/>
  <c r="C26" i="7"/>
  <c r="H26" i="7" s="1"/>
  <c r="C27" i="7"/>
  <c r="H27" i="7" s="1"/>
  <c r="C28" i="7"/>
  <c r="H28" i="7" s="1"/>
  <c r="C29" i="7"/>
  <c r="H29" i="7" s="1"/>
  <c r="C30" i="7"/>
  <c r="H30" i="7" s="1"/>
  <c r="C31" i="7"/>
  <c r="H31" i="7" s="1"/>
  <c r="C32" i="7"/>
  <c r="H32" i="7" s="1"/>
  <c r="C33" i="7"/>
  <c r="H33" i="7" s="1"/>
  <c r="C34" i="7"/>
  <c r="H34" i="7" s="1"/>
  <c r="C35" i="7"/>
  <c r="H35" i="7" s="1"/>
  <c r="C36" i="7"/>
  <c r="H36" i="7" s="1"/>
  <c r="C37" i="7"/>
  <c r="H37" i="7" s="1"/>
  <c r="C38" i="7"/>
  <c r="H38" i="7" s="1"/>
  <c r="C39" i="7"/>
  <c r="H39" i="7" s="1"/>
  <c r="C40" i="7"/>
  <c r="H40" i="7" s="1"/>
  <c r="C41" i="7"/>
  <c r="H41" i="7" s="1"/>
  <c r="C42" i="7"/>
  <c r="H42" i="7" s="1"/>
  <c r="C6" i="7"/>
  <c r="H6" i="7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3" i="1"/>
  <c r="A94" i="1"/>
  <c r="A125" i="1"/>
  <c r="A126" i="1"/>
  <c r="A127" i="1"/>
  <c r="A128" i="1"/>
  <c r="A129" i="1"/>
  <c r="A130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96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64" i="1"/>
  <c r="A57" i="1"/>
  <c r="A58" i="1"/>
  <c r="A59" i="1"/>
  <c r="A60" i="1"/>
  <c r="A61" i="1"/>
  <c r="A62" i="1"/>
  <c r="A56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4" i="1"/>
  <c r="J1" i="1"/>
  <c r="G6" i="7" l="1" a="1"/>
  <c r="G6" i="7" s="1"/>
  <c r="G14" i="7" a="1"/>
  <c r="G14" i="7" s="1"/>
  <c r="G10" i="7" a="1"/>
  <c r="G10" i="7" s="1"/>
  <c r="G9" i="7" a="1"/>
  <c r="G9" i="7" s="1"/>
  <c r="G8" i="7" a="1"/>
  <c r="G8" i="7" s="1"/>
  <c r="G7" i="7" a="1"/>
  <c r="G7" i="7" s="1"/>
  <c r="M9" i="7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X5" i="6" a="1"/>
  <c r="X5" i="6" s="1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J3" i="3" l="1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<sst xmlns="http://schemas.openxmlformats.org/spreadsheetml/2006/main" count="378" uniqueCount="166">
  <si>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</si>
  <si>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</si>
  <si>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</si>
  <si>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</si>
  <si>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</si>
  <si>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</si>
  <si>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</si>
  <si>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</si>
  <si>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</si>
  <si>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</si>
  <si>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</si>
  <si>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</si>
  <si>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</si>
  <si>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</si>
  <si>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</si>
  <si>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</si>
  <si>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</si>
  <si>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</si>
  <si>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</si>
  <si>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</si>
  <si>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</si>
  <si>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</si>
  <si>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</si>
  <si>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</si>
  <si>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</si>
  <si>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</si>
  <si>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</si>
  <si>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</si>
  <si>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</si>
  <si>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</si>
  <si>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</si>
  <si>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</si>
  <si>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</si>
  <si>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</si>
  <si>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</si>
  <si>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</si>
  <si>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</si>
  <si>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</si>
  <si>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</si>
  <si>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</si>
  <si>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</si>
  <si>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</si>
  <si>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</si>
  <si>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</si>
  <si>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</si>
  <si>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</si>
  <si>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</si>
  <si>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</si>
  <si>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</si>
  <si>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</si>
  <si>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</si>
  <si>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</si>
  <si>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</si>
  <si>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</si>
  <si>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</si>
  <si>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</si>
  <si>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</si>
  <si>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</si>
  <si>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</si>
  <si>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</si>
  <si>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</si>
  <si>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</si>
  <si>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</si>
  <si>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</si>
  <si>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</si>
  <si>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</si>
  <si>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</si>
  <si>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</si>
  <si>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</si>
  <si>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</si>
  <si>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</si>
  <si>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</si>
  <si>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</si>
  <si>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</si>
  <si>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</si>
  <si>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</si>
  <si>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</si>
  <si>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</si>
  <si>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</si>
  <si>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</si>
  <si>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REFA-NPV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</si>
  <si>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</si>
  <si>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</si>
  <si>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</si>
  <si>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</si>
  <si>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</si>
  <si>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</si>
  <si>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</si>
  <si>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</si>
  <si>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</si>
  <si>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</si>
  <si>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</si>
  <si>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</si>
  <si>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</si>
  <si>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</si>
  <si>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</si>
  <si>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</si>
  <si>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</si>
  <si>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</si>
  <si>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</si>
  <si>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</si>
  <si>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</si>
  <si>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</si>
  <si>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</si>
  <si>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</si>
  <si>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</si>
  <si>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</si>
  <si>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</si>
  <si>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</si>
  <si>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</si>
  <si>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</si>
  <si>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</si>
  <si>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</si>
  <si>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</si>
  <si>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</si>
  <si>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</si>
  <si>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</si>
  <si>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</si>
  <si>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</si>
  <si>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</si>
  <si>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</si>
  <si>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</si>
  <si>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</si>
  <si>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</si>
  <si>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</si>
  <si>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</si>
  <si>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</si>
  <si>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</si>
  <si>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</si>
  <si>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</si>
  <si>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</si>
  <si>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</si>
  <si>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</si>
  <si>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</si>
  <si>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</si>
  <si>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</si>
  <si>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</si>
  <si>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</si>
  <si>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</si>
  <si>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</si>
  <si>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</si>
  <si>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</si>
  <si>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</si>
  <si>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</si>
  <si>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</si>
  <si>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</si>
  <si>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</si>
  <si>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</si>
  <si>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</si>
  <si>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</si>
  <si>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</si>
  <si>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</si>
  <si>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screc8</t>
  </si>
  <si>
    <t>screc9</t>
  </si>
  <si>
    <t>screc10</t>
  </si>
  <si>
    <t>screc11</t>
  </si>
  <si>
    <t>screc12</t>
  </si>
  <si>
    <t>screc13</t>
  </si>
  <si>
    <t>screc14</t>
  </si>
  <si>
    <t>screc15</t>
  </si>
  <si>
    <t>screc16</t>
  </si>
  <si>
    <t>scen2</t>
  </si>
  <si>
    <t>scen3</t>
  </si>
  <si>
    <t>Total-Var-VPO</t>
  </si>
  <si>
    <t>REFA-Var-VPO-Total</t>
  </si>
  <si>
    <t>REFA-Var-VPO-Affald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</si>
</sst>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21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0" fontId="0" fillId="8" borderId="10" xfId="0" quotePrefix="1" applyFill="1" applyBorder="1"/>
    <xf numFmtId="0" fontId="2" fillId="8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8" borderId="0" xfId="0" quotePrefix="1" applyFont="1" applyFill="1" applyAlignment="1">
      <alignment horizontal="center"/>
    </xf>
    <xf numFmtId="178" fontId="24" fillId="8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8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-4832.552080762749</c:v>
                </c:pt>
                <c:pt idx="1">
                  <c:v>-4587.3171164580053</c:v>
                </c:pt>
                <c:pt idx="2">
                  <c:v>-4410.5235128988361</c:v>
                </c:pt>
                <c:pt idx="3">
                  <c:v>-4470.0915191575396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70030.774460572269</c:v>
                </c:pt>
                <c:pt idx="1">
                  <c:v>70926.254615163023</c:v>
                </c:pt>
                <c:pt idx="2">
                  <c:v>71700.41113926268</c:v>
                </c:pt>
                <c:pt idx="3">
                  <c:v>72185.035876903916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74863.326541335045</c:v>
                </c:pt>
                <c:pt idx="1">
                  <c:v>75513.571731621036</c:v>
                </c:pt>
                <c:pt idx="2">
                  <c:v>76110.934652161508</c:v>
                </c:pt>
                <c:pt idx="3">
                  <c:v>76655.127396061464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42376.7175379033</c:v>
                </c:pt>
                <c:pt idx="1">
                  <c:v>43064.907868162365</c:v>
                </c:pt>
                <c:pt idx="2">
                  <c:v>43598.619262013388</c:v>
                </c:pt>
                <c:pt idx="3">
                  <c:v>44250.218962486113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36.407149211917996</c:v>
                </c:pt>
                <c:pt idx="1">
                  <c:v>37.249697514976859</c:v>
                </c:pt>
                <c:pt idx="2">
                  <c:v>37.971862068674064</c:v>
                </c:pt>
                <c:pt idx="3">
                  <c:v>38.645278375599986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Brændselsforbrug</a:t>
            </a:r>
            <a:r>
              <a:rPr lang="da-DK" baseline="0"/>
              <a:t> [ton]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Overblik!$D$63</c:f>
              <c:strCache>
                <c:ptCount val="1"/>
                <c:pt idx="0">
                  <c:v>scen0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Overblik!$D$64:$D$92</c:f>
              <c:numCache>
                <c:formatCode>#,##0;\-#,##0;0</c:formatCode>
                <c:ptCount val="29"/>
                <c:pt idx="0">
                  <c:v>12915.3125712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28766.80632304</c:v>
                </c:pt>
                <c:pt idx="4">
                  <c:v>4232.4125081879683</c:v>
                </c:pt>
                <c:pt idx="5">
                  <c:v>33.350033350000082</c:v>
                </c:pt>
                <c:pt idx="6">
                  <c:v>4041.3723674673893</c:v>
                </c:pt>
                <c:pt idx="7">
                  <c:v>106.90010065999999</c:v>
                </c:pt>
                <c:pt idx="8">
                  <c:v>4266.2825730999994</c:v>
                </c:pt>
                <c:pt idx="9">
                  <c:v>398.46037061999994</c:v>
                </c:pt>
                <c:pt idx="10">
                  <c:v>6141.6760575299995</c:v>
                </c:pt>
                <c:pt idx="11">
                  <c:v>134.19012844000002</c:v>
                </c:pt>
                <c:pt idx="12">
                  <c:v>48.960039500000001</c:v>
                </c:pt>
                <c:pt idx="13">
                  <c:v>12.890010420000069</c:v>
                </c:pt>
                <c:pt idx="14">
                  <c:v>34232.717706079995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886.67076695000003</c:v>
                </c:pt>
                <c:pt idx="18">
                  <c:v>-1.1999999999999997E-13</c:v>
                </c:pt>
                <c:pt idx="19">
                  <c:v>101.88007943000001</c:v>
                </c:pt>
                <c:pt idx="20">
                  <c:v>212.20021014999998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13959.672171745719</c:v>
                </c:pt>
                <c:pt idx="27">
                  <c:v>9600</c:v>
                </c:pt>
                <c:pt idx="28">
                  <c:v>141.8450063649986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9-4FD3-AD35-D43B10DAD724}"/>
            </c:ext>
          </c:extLst>
        </c:ser>
        <c:ser>
          <c:idx val="1"/>
          <c:order val="1"/>
          <c:tx>
            <c:strRef>
              <c:f>Overblik!$E$63</c:f>
              <c:strCache>
                <c:ptCount val="1"/>
                <c:pt idx="0">
                  <c:v>scen1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Overblik!$E$64:$E$92</c:f>
              <c:numCache>
                <c:formatCode>#,##0;\-#,##0;0</c:formatCode>
                <c:ptCount val="29"/>
                <c:pt idx="0">
                  <c:v>12915.307187679999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28766.803966059997</c:v>
                </c:pt>
                <c:pt idx="4">
                  <c:v>4232.41207062797</c:v>
                </c:pt>
                <c:pt idx="5">
                  <c:v>33.350033350000082</c:v>
                </c:pt>
                <c:pt idx="6">
                  <c:v>3994.2399924740557</c:v>
                </c:pt>
                <c:pt idx="7">
                  <c:v>106.90009450999999</c:v>
                </c:pt>
                <c:pt idx="8">
                  <c:v>4266.2823160999997</c:v>
                </c:pt>
                <c:pt idx="9">
                  <c:v>398.46034781999992</c:v>
                </c:pt>
                <c:pt idx="10">
                  <c:v>6141.6750415299994</c:v>
                </c:pt>
                <c:pt idx="11">
                  <c:v>134.19011491000001</c:v>
                </c:pt>
                <c:pt idx="12">
                  <c:v>48.96003271</c:v>
                </c:pt>
                <c:pt idx="13">
                  <c:v>12.890010420000069</c:v>
                </c:pt>
                <c:pt idx="14">
                  <c:v>34232.714479699993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865.03201683722557</c:v>
                </c:pt>
                <c:pt idx="18">
                  <c:v>-1.1999999999999997E-13</c:v>
                </c:pt>
                <c:pt idx="19">
                  <c:v>101.88006881000001</c:v>
                </c:pt>
                <c:pt idx="20">
                  <c:v>212.20019495999998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12831.098982729196</c:v>
                </c:pt>
                <c:pt idx="27">
                  <c:v>9600</c:v>
                </c:pt>
                <c:pt idx="28">
                  <c:v>92.132457018989911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9-4FD3-AD35-D43B10DA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11"/>
        <c:axId val="918389920"/>
        <c:axId val="9183741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Overblik!$F$63</c15:sqref>
                        </c15:formulaRef>
                      </c:ext>
                    </c:extLst>
                    <c:strCache>
                      <c:ptCount val="1"/>
                      <c:pt idx="0">
                        <c:v>scen2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Overblik!$F$64:$F$92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12915.307187679999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28766.803966059997</c:v>
                      </c:pt>
                      <c:pt idx="4">
                        <c:v>4232.4120706279673</c:v>
                      </c:pt>
                      <c:pt idx="5">
                        <c:v>33.350033350000082</c:v>
                      </c:pt>
                      <c:pt idx="6">
                        <c:v>4289.7822740599995</c:v>
                      </c:pt>
                      <c:pt idx="7">
                        <c:v>106.90009450999999</c:v>
                      </c:pt>
                      <c:pt idx="8">
                        <c:v>4266.2823160999997</c:v>
                      </c:pt>
                      <c:pt idx="9">
                        <c:v>398.46034781999992</c:v>
                      </c:pt>
                      <c:pt idx="10">
                        <c:v>6141.6750415299994</c:v>
                      </c:pt>
                      <c:pt idx="11">
                        <c:v>134.19011491000001</c:v>
                      </c:pt>
                      <c:pt idx="12">
                        <c:v>42.170032710000022</c:v>
                      </c:pt>
                      <c:pt idx="13">
                        <c:v>12.890010420000069</c:v>
                      </c:pt>
                      <c:pt idx="14">
                        <c:v>33628.972443011604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829.17070945</c:v>
                      </c:pt>
                      <c:pt idx="18">
                        <c:v>-1.1999999999999997E-13</c:v>
                      </c:pt>
                      <c:pt idx="19">
                        <c:v>91.260068810000021</c:v>
                      </c:pt>
                      <c:pt idx="20">
                        <c:v>212.20019495999998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12055.615674341649</c:v>
                      </c:pt>
                      <c:pt idx="27">
                        <c:v>9600</c:v>
                      </c:pt>
                      <c:pt idx="28">
                        <c:v>42.419907672981282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869-4FD3-AD35-D43B10DAD72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Overblik!$G$63</c15:sqref>
                        </c15:formulaRef>
                      </c:ext>
                    </c:extLst>
                    <c:strCache>
                      <c:ptCount val="1"/>
                      <c:pt idx="0">
                        <c:v>scen3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Overblik!$G$64:$G$92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12915.305919689999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28766.801544719994</c:v>
                      </c:pt>
                      <c:pt idx="4">
                        <c:v>4232.4116304379677</c:v>
                      </c:pt>
                      <c:pt idx="5">
                        <c:v>33.350000000000087</c:v>
                      </c:pt>
                      <c:pt idx="6">
                        <c:v>4289.7819416699995</c:v>
                      </c:pt>
                      <c:pt idx="7">
                        <c:v>106.90007589999999</c:v>
                      </c:pt>
                      <c:pt idx="8">
                        <c:v>4266.2820067899993</c:v>
                      </c:pt>
                      <c:pt idx="9">
                        <c:v>398.46032569999994</c:v>
                      </c:pt>
                      <c:pt idx="10">
                        <c:v>6141.674464499999</c:v>
                      </c:pt>
                      <c:pt idx="11">
                        <c:v>134.19010563000003</c:v>
                      </c:pt>
                      <c:pt idx="12">
                        <c:v>42.170029360000022</c:v>
                      </c:pt>
                      <c:pt idx="13">
                        <c:v>12.890010420000069</c:v>
                      </c:pt>
                      <c:pt idx="14">
                        <c:v>33309.700548533619</c:v>
                      </c:pt>
                      <c:pt idx="15">
                        <c:v>154.09000000000003</c:v>
                      </c:pt>
                      <c:pt idx="16">
                        <c:v>-1.1999999999999997E-13</c:v>
                      </c:pt>
                      <c:pt idx="17">
                        <c:v>738.31393258301057</c:v>
                      </c:pt>
                      <c:pt idx="18">
                        <c:v>-1.1999999999999997E-13</c:v>
                      </c:pt>
                      <c:pt idx="19">
                        <c:v>91.260059640000023</c:v>
                      </c:pt>
                      <c:pt idx="20">
                        <c:v>212.20014649999996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10974.278738530063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69-4FD3-AD35-D43B10DAD72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Overblik!$H$64:$H$92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69-4FD3-AD35-D43B10DAD72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Overblik!$I$64:$I$92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69-4FD3-AD35-D43B10DAD72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Overblik!$J$64:$J$92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69-4FD3-AD35-D43B10DAD724}"/>
                  </c:ext>
                </c:extLst>
              </c15:ser>
            </c15:filteredBarSeries>
          </c:ext>
        </c:extLst>
      </c:barChart>
      <c:catAx>
        <c:axId val="9183899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74112"/>
        <c:crosses val="autoZero"/>
        <c:auto val="1"/>
        <c:lblAlgn val="ctr"/>
        <c:lblOffset val="100"/>
        <c:noMultiLvlLbl val="0"/>
      </c:catAx>
      <c:valAx>
        <c:axId val="9183741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8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3CB0E-F715-45F5-B15E-97CF2957CF79}">
  <sheetPr>
    <tabColor theme="4"/>
  </sheetPr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D04C4-067C-45DB-9C47-577FAFF2DA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  <sheetName val="REFAinputM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Plant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</row>
        <row r="10">
          <cell r="B10" t="str">
            <v>FixAffaldSum</v>
          </cell>
        </row>
        <row r="11">
          <cell r="B11" t="str">
            <v>RgkRabatSats</v>
          </cell>
        </row>
        <row r="12">
          <cell r="B12" t="str">
            <v>RgkAndelRabat</v>
          </cell>
        </row>
        <row r="13">
          <cell r="B13" t="str">
            <v>Varmesalgspris</v>
          </cell>
        </row>
        <row r="14">
          <cell r="B14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6">
          <cell r="D6" t="str">
            <v>Fel</v>
          </cell>
        </row>
      </sheetData>
      <sheetData sheetId="8">
        <row r="6">
          <cell r="D6" t="str">
            <v>FlisK</v>
          </cell>
        </row>
      </sheetData>
      <sheetData sheetId="9">
        <row r="6">
          <cell r="D6" t="str">
            <v>jan</v>
          </cell>
          <cell r="E6" t="str">
            <v>feb</v>
          </cell>
        </row>
      </sheetData>
      <sheetData sheetId="10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 codeName="Sheet2"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8" customWidth="1"/>
    <col min="46" max="47" width="11.28515625" style="5" customWidth="1" outlineLevel="1"/>
    <col min="48" max="49" width="9.140625" style="80" customWidth="1" outlineLevel="1"/>
    <col min="50" max="50" width="10.5703125" style="80" bestFit="1" customWidth="1" outlineLevel="1"/>
    <col min="51" max="52" width="11" style="80" bestFit="1" customWidth="1" outlineLevel="1"/>
    <col min="53" max="53" width="10.7109375" style="80" customWidth="1" outlineLevel="1"/>
  </cols>
  <sheetData>
    <row r="1" spans="2:89" x14ac:dyDescent="0.25">
      <c r="I1" s="89"/>
      <c r="U1" s="89"/>
      <c r="AG1" s="89"/>
    </row>
    <row r="2" spans="2:89" x14ac:dyDescent="0.25">
      <c r="B2" s="78" t="s">
        <v>96</v>
      </c>
      <c r="I2" s="89"/>
      <c r="U2" s="89"/>
      <c r="AG2" s="89"/>
      <c r="AT2" s="87" t="s">
        <v>138</v>
      </c>
      <c r="AU2" s="87"/>
      <c r="BA2" s="80" t="b">
        <f>ISBLANK(BA9)</f>
        <v>0</v>
      </c>
    </row>
    <row r="3" spans="2:89" x14ac:dyDescent="0.25">
      <c r="H3" s="78"/>
      <c r="I3" s="114"/>
      <c r="J3" s="107"/>
      <c r="K3" s="107"/>
      <c r="L3" s="107"/>
      <c r="M3" s="107"/>
      <c r="N3" s="107"/>
      <c r="O3" s="107"/>
      <c r="P3" s="107"/>
      <c r="Q3" s="107"/>
      <c r="U3" s="89"/>
      <c r="AG3" s="89"/>
    </row>
    <row r="4" spans="2:89" x14ac:dyDescent="0.25">
      <c r="C4" s="90" t="s">
        <v>97</v>
      </c>
      <c r="H4" s="80"/>
      <c r="I4" s="113">
        <f t="shared" ref="I4:AR4" si="0">DATE(YEAR(PerStart),COLUMN(I4)-COLUMN($I$4)+1,1)</f>
        <v>44197</v>
      </c>
      <c r="J4" s="110">
        <f t="shared" si="0"/>
        <v>44228</v>
      </c>
      <c r="K4" s="110">
        <f t="shared" si="0"/>
        <v>44256</v>
      </c>
      <c r="L4" s="110">
        <f t="shared" si="0"/>
        <v>44287</v>
      </c>
      <c r="M4" s="110">
        <f t="shared" si="0"/>
        <v>44317</v>
      </c>
      <c r="N4" s="110">
        <f t="shared" si="0"/>
        <v>44348</v>
      </c>
      <c r="O4" s="110">
        <f t="shared" si="0"/>
        <v>44378</v>
      </c>
      <c r="P4" s="110">
        <f t="shared" si="0"/>
        <v>44409</v>
      </c>
      <c r="Q4" s="110">
        <f t="shared" si="0"/>
        <v>44440</v>
      </c>
      <c r="R4" s="110">
        <f t="shared" si="0"/>
        <v>44470</v>
      </c>
      <c r="S4" s="110">
        <f t="shared" si="0"/>
        <v>44501</v>
      </c>
      <c r="T4" s="110">
        <f t="shared" si="0"/>
        <v>44531</v>
      </c>
      <c r="U4" s="113">
        <f t="shared" si="0"/>
        <v>44562</v>
      </c>
      <c r="V4" s="110">
        <f t="shared" si="0"/>
        <v>44593</v>
      </c>
      <c r="W4" s="110">
        <f t="shared" si="0"/>
        <v>44621</v>
      </c>
      <c r="X4" s="110">
        <f t="shared" si="0"/>
        <v>44652</v>
      </c>
      <c r="Y4" s="110">
        <f t="shared" si="0"/>
        <v>44682</v>
      </c>
      <c r="Z4" s="110">
        <f t="shared" si="0"/>
        <v>44713</v>
      </c>
      <c r="AA4" s="110">
        <f t="shared" si="0"/>
        <v>44743</v>
      </c>
      <c r="AB4" s="110">
        <f t="shared" si="0"/>
        <v>44774</v>
      </c>
      <c r="AC4" s="110">
        <f t="shared" si="0"/>
        <v>44805</v>
      </c>
      <c r="AD4" s="110">
        <f t="shared" si="0"/>
        <v>44835</v>
      </c>
      <c r="AE4" s="110">
        <f t="shared" si="0"/>
        <v>44866</v>
      </c>
      <c r="AF4" s="110">
        <f t="shared" si="0"/>
        <v>44896</v>
      </c>
      <c r="AG4" s="113">
        <f t="shared" si="0"/>
        <v>44927</v>
      </c>
      <c r="AH4" s="110">
        <f t="shared" si="0"/>
        <v>44958</v>
      </c>
      <c r="AI4" s="110">
        <f t="shared" si="0"/>
        <v>44986</v>
      </c>
      <c r="AJ4" s="110">
        <f t="shared" si="0"/>
        <v>45017</v>
      </c>
      <c r="AK4" s="110">
        <f t="shared" si="0"/>
        <v>45047</v>
      </c>
      <c r="AL4" s="110">
        <f t="shared" si="0"/>
        <v>45078</v>
      </c>
      <c r="AM4" s="110">
        <f t="shared" si="0"/>
        <v>45108</v>
      </c>
      <c r="AN4" s="110">
        <f t="shared" si="0"/>
        <v>45139</v>
      </c>
      <c r="AO4" s="110">
        <f t="shared" si="0"/>
        <v>45170</v>
      </c>
      <c r="AP4" s="110">
        <f t="shared" si="0"/>
        <v>45200</v>
      </c>
      <c r="AQ4" s="110">
        <f t="shared" si="0"/>
        <v>45231</v>
      </c>
      <c r="AR4" s="110">
        <f t="shared" si="0"/>
        <v>45261</v>
      </c>
      <c r="AX4" s="80" t="s">
        <v>98</v>
      </c>
      <c r="AY4" s="80" t="s">
        <v>99</v>
      </c>
      <c r="AZ4" s="80" t="s">
        <v>100</v>
      </c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</row>
    <row r="5" spans="2:89" x14ac:dyDescent="0.25">
      <c r="B5" s="91" t="s">
        <v>101</v>
      </c>
      <c r="C5" s="91" t="s">
        <v>102</v>
      </c>
      <c r="D5" s="91" t="s">
        <v>103</v>
      </c>
      <c r="E5" s="91" t="s">
        <v>104</v>
      </c>
      <c r="F5" s="91" t="s">
        <v>105</v>
      </c>
      <c r="G5" s="91" t="s">
        <v>106</v>
      </c>
      <c r="H5" s="91" t="s">
        <v>142</v>
      </c>
      <c r="I5" s="109" t="str">
        <f>UPPER(TEXT(I4,"mmm'åå"))</f>
        <v>JAN'21</v>
      </c>
      <c r="J5" s="109" t="str">
        <f t="shared" ref="J5:AR5" si="1">UPPER(TEXT(J4,"mmm'åå"))</f>
        <v>FEB'21</v>
      </c>
      <c r="K5" s="109" t="str">
        <f t="shared" si="1"/>
        <v>MAR'21</v>
      </c>
      <c r="L5" s="109" t="str">
        <f t="shared" si="1"/>
        <v>APR'21</v>
      </c>
      <c r="M5" s="109" t="str">
        <f t="shared" si="1"/>
        <v>MAJ'21</v>
      </c>
      <c r="N5" s="109" t="str">
        <f t="shared" si="1"/>
        <v>JUN'21</v>
      </c>
      <c r="O5" s="109" t="str">
        <f t="shared" si="1"/>
        <v>JUL'21</v>
      </c>
      <c r="P5" s="109" t="str">
        <f t="shared" si="1"/>
        <v>AUG'21</v>
      </c>
      <c r="Q5" s="109" t="str">
        <f t="shared" si="1"/>
        <v>SEP'21</v>
      </c>
      <c r="R5" s="109" t="str">
        <f t="shared" si="1"/>
        <v>OKT'21</v>
      </c>
      <c r="S5" s="109" t="str">
        <f t="shared" si="1"/>
        <v>NOV'21</v>
      </c>
      <c r="T5" s="109" t="str">
        <f t="shared" si="1"/>
        <v>DEC'21</v>
      </c>
      <c r="U5" s="109" t="str">
        <f t="shared" si="1"/>
        <v>JAN'22</v>
      </c>
      <c r="V5" s="109" t="str">
        <f t="shared" si="1"/>
        <v>FEB'22</v>
      </c>
      <c r="W5" s="109" t="str">
        <f t="shared" si="1"/>
        <v>MAR'22</v>
      </c>
      <c r="X5" s="109" t="str">
        <f t="shared" si="1"/>
        <v>APR'22</v>
      </c>
      <c r="Y5" s="109" t="str">
        <f t="shared" si="1"/>
        <v>MAJ'22</v>
      </c>
      <c r="Z5" s="109" t="str">
        <f t="shared" si="1"/>
        <v>JUN'22</v>
      </c>
      <c r="AA5" s="109" t="str">
        <f t="shared" si="1"/>
        <v>JUL'22</v>
      </c>
      <c r="AB5" s="109" t="str">
        <f t="shared" si="1"/>
        <v>AUG'22</v>
      </c>
      <c r="AC5" s="109" t="str">
        <f t="shared" si="1"/>
        <v>SEP'22</v>
      </c>
      <c r="AD5" s="109" t="str">
        <f t="shared" si="1"/>
        <v>OKT'22</v>
      </c>
      <c r="AE5" s="109" t="str">
        <f t="shared" si="1"/>
        <v>NOV'22</v>
      </c>
      <c r="AF5" s="109" t="str">
        <f t="shared" si="1"/>
        <v>DEC'22</v>
      </c>
      <c r="AG5" s="109" t="str">
        <f t="shared" si="1"/>
        <v>JAN'23</v>
      </c>
      <c r="AH5" s="109" t="str">
        <f t="shared" si="1"/>
        <v>FEB'23</v>
      </c>
      <c r="AI5" s="109" t="str">
        <f t="shared" si="1"/>
        <v>MAR'23</v>
      </c>
      <c r="AJ5" s="109" t="str">
        <f t="shared" si="1"/>
        <v>APR'23</v>
      </c>
      <c r="AK5" s="109" t="str">
        <f t="shared" si="1"/>
        <v>MAJ'23</v>
      </c>
      <c r="AL5" s="109" t="str">
        <f t="shared" si="1"/>
        <v>JUN'23</v>
      </c>
      <c r="AM5" s="109" t="str">
        <f t="shared" si="1"/>
        <v>JUL'23</v>
      </c>
      <c r="AN5" s="109" t="str">
        <f t="shared" si="1"/>
        <v>AUG'23</v>
      </c>
      <c r="AO5" s="109" t="str">
        <f t="shared" si="1"/>
        <v>SEP'23</v>
      </c>
      <c r="AP5" s="109" t="str">
        <f t="shared" si="1"/>
        <v>OKT'23</v>
      </c>
      <c r="AQ5" s="109" t="str">
        <f t="shared" si="1"/>
        <v>NOV'23</v>
      </c>
      <c r="AR5" s="109" t="str">
        <f t="shared" si="1"/>
        <v>DEC'23</v>
      </c>
      <c r="AS5" s="105"/>
      <c r="AT5" s="106"/>
      <c r="AU5" s="112" t="s">
        <v>145</v>
      </c>
      <c r="AV5" s="104" t="s">
        <v>103</v>
      </c>
      <c r="AW5" s="104" t="s">
        <v>102</v>
      </c>
      <c r="AX5" s="104" t="s">
        <v>104</v>
      </c>
      <c r="AY5" s="104" t="s">
        <v>105</v>
      </c>
      <c r="AZ5" s="104" t="s">
        <v>106</v>
      </c>
      <c r="BA5" s="104" t="s">
        <v>142</v>
      </c>
      <c r="BB5" s="108"/>
      <c r="BC5" s="108"/>
      <c r="BD5" s="108"/>
      <c r="BE5" s="108"/>
      <c r="BF5" s="108"/>
      <c r="BG5" s="108"/>
      <c r="BH5" s="108"/>
      <c r="BI5" s="108"/>
      <c r="BJ5" s="108"/>
      <c r="BK5" s="108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</row>
    <row r="6" spans="2:89" x14ac:dyDescent="0.25">
      <c r="B6" s="93" t="str">
        <f>IF(ISBLANK(AT6),"",AT6)</f>
        <v>screc8</v>
      </c>
      <c r="C6" s="93">
        <f>IF(ISBLANK(AW6),0,AW6)</f>
        <v>1</v>
      </c>
      <c r="D6" s="85">
        <f>IF(ISBLANK(AV6),"",AV6)</f>
        <v>1</v>
      </c>
      <c r="E6" s="5" t="str" cm="1">
        <f t="array" ref="E6">IF(AX6&lt;=0,"",INDEX(listRoot,AX6))</f>
        <v>Fuel</v>
      </c>
      <c r="F6" s="5" t="str" cm="1">
        <f t="array" ref="F6">IF(AY6&lt;=0.000000000001,"",INDEX(Lister!$C$4:$H$100,AY6,$AX6))</f>
        <v>DepoSort</v>
      </c>
      <c r="G6" s="5" t="str" cm="1">
        <f t="array" ref="G6">IF(OR(AZ6=1,AZ6&lt;=0.000000000001),"",INDEX(Lister!$J$4:$O$100,AZ6,$AX6))</f>
        <v>LHV</v>
      </c>
      <c r="H6" s="80">
        <f t="shared" ref="H6:H42" si="2">IF(C6=0,"",IF(BA6=NotANumber,"",BA6))</f>
        <v>11</v>
      </c>
      <c r="I6">
        <f t="shared" ref="I6:I42" si="3">IF(OR($C6=0,I$4&lt;PerStart2,I$4&gt;PerSlut2),"",IF($BA6&lt;&gt;NotANumber,$H6,BB6))</f>
        <v>11</v>
      </c>
      <c r="J6">
        <f t="shared" ref="J6:J42" si="4">IF(OR($C6=0,J$4&lt;PerStart2,J$4&gt;PerSlut2),"",IF($BA6&lt;&gt;NotANumber,$H6,BC6))</f>
        <v>11</v>
      </c>
      <c r="K6">
        <f t="shared" ref="K6:K42" si="5">IF(OR($C6=0,K$4&lt;PerStart2,K$4&gt;PerSlut2),"",IF($BA6&lt;&gt;NotANumber,$H6,BD6))</f>
        <v>11</v>
      </c>
      <c r="L6">
        <f t="shared" ref="L6:L42" si="6">IF(OR($C6=0,L$4&lt;PerStart2,L$4&gt;PerSlut2),"",IF($BA6&lt;&gt;NotANumber,$H6,BE6))</f>
        <v>11</v>
      </c>
      <c r="M6">
        <f t="shared" ref="M6:M42" si="7">IF(OR($C6=0,M$4&lt;PerStart2,M$4&gt;PerSlut2),"",IF($BA6&lt;&gt;NotANumber,$H6,BF6))</f>
        <v>11</v>
      </c>
      <c r="N6">
        <f t="shared" ref="N6:N42" si="8">IF(OR($C6=0,N$4&lt;PerStart2,N$4&gt;PerSlut2),"",IF($BA6&lt;&gt;NotANumber,$H6,BG6))</f>
        <v>11</v>
      </c>
      <c r="O6">
        <f t="shared" ref="O6:O42" si="9">IF(OR($C6=0,O$4&lt;PerStart2,O$4&gt;PerSlut2),"",IF($BA6&lt;&gt;NotANumber,$H6,BH6))</f>
        <v>11</v>
      </c>
      <c r="P6">
        <f t="shared" ref="P6:P42" si="10">IF(OR($C6=0,P$4&lt;PerStart2,P$4&gt;PerSlut2),"",IF($BA6&lt;&gt;NotANumber,$H6,BI6))</f>
        <v>11</v>
      </c>
      <c r="Q6">
        <f t="shared" ref="Q6:Q42" si="11">IF(OR($C6=0,Q$4&lt;PerStart2,Q$4&gt;PerSlut2),"",IF($BA6&lt;&gt;NotANumber,$H6,BJ6))</f>
        <v>11</v>
      </c>
      <c r="R6">
        <f t="shared" ref="R6:R42" si="12">IF(OR($C6=0,R$4&lt;PerStart2,R$4&gt;PerSlut2),"",IF($BA6&lt;&gt;NotANumber,$H6,BK6))</f>
        <v>11</v>
      </c>
      <c r="S6">
        <f t="shared" ref="S6:S42" si="13">IF(OR($C6=0,S$4&lt;PerStart2,S$4&gt;PerSlut2),"",IF($BA6&lt;&gt;NotANumber,$H6,BL6))</f>
        <v>11</v>
      </c>
      <c r="T6">
        <f t="shared" ref="T6:T42" si="14">IF(OR($C6=0,T$4&lt;PerStart2,T$4&gt;PerSlut2),"",IF($BA6&lt;&gt;NotANumber,$H6,BM6))</f>
        <v>11</v>
      </c>
      <c r="U6" s="89" t="str">
        <f t="shared" ref="U6:U42" si="15">IF(OR($C6=0,U$4&lt;PerStart2,U$4&gt;PerSlut2),"",IF($BA6&lt;&gt;NotANumber,$H6,BN6))</f>
        <v/>
      </c>
      <c r="V6" t="str">
        <f t="shared" ref="V6:V42" si="16">IF(OR($C6=0,V$4&lt;PerStart2,V$4&gt;PerSlut2),"",IF($BA6&lt;&gt;NotANumber,$H6,BO6))</f>
        <v/>
      </c>
      <c r="W6" t="str">
        <f t="shared" ref="W6:W42" si="17">IF(OR($C6=0,W$4&lt;PerStart2,W$4&gt;PerSlut2),"",IF($BA6&lt;&gt;NotANumber,$H6,BP6))</f>
        <v/>
      </c>
      <c r="X6" t="str">
        <f t="shared" ref="X6:X42" si="18">IF(OR($C6=0,X$4&lt;PerStart2,X$4&gt;PerSlut2),"",IF($BA6&lt;&gt;NotANumber,$H6,BQ6))</f>
        <v/>
      </c>
      <c r="Y6" t="str">
        <f t="shared" ref="Y6:Y42" si="19">IF(OR($C6=0,Y$4&lt;PerStart2,Y$4&gt;PerSlut2),"",IF($BA6&lt;&gt;NotANumber,$H6,BR6))</f>
        <v/>
      </c>
      <c r="Z6" t="str">
        <f t="shared" ref="Z6:Z42" si="20">IF(OR($C6=0,Z$4&lt;PerStart2,Z$4&gt;PerSlut2),"",IF($BA6&lt;&gt;NotANumber,$H6,BS6))</f>
        <v/>
      </c>
      <c r="AA6" t="str">
        <f t="shared" ref="AA6:AA42" si="21">IF(OR($C6=0,AA$4&lt;PerStart2,AA$4&gt;PerSlut2),"",IF($BA6&lt;&gt;NotANumber,$H6,BT6))</f>
        <v/>
      </c>
      <c r="AB6" t="str">
        <f t="shared" ref="AB6:AB42" si="22">IF(OR($C6=0,AB$4&lt;PerStart2,AB$4&gt;PerSlut2),"",IF($BA6&lt;&gt;NotANumber,$H6,BU6))</f>
        <v/>
      </c>
      <c r="AC6" t="str">
        <f t="shared" ref="AC6:AC42" si="23">IF(OR($C6=0,AC$4&lt;PerStart2,AC$4&gt;PerSlut2),"",IF($BA6&lt;&gt;NotANumber,$H6,BV6))</f>
        <v/>
      </c>
      <c r="AD6" t="str">
        <f t="shared" ref="AD6:AD42" si="24">IF(OR($C6=0,AD$4&lt;PerStart2,AD$4&gt;PerSlut2),"",IF($BA6&lt;&gt;NotANumber,$H6,BW6))</f>
        <v/>
      </c>
      <c r="AE6" t="str">
        <f t="shared" ref="AE6:AE42" si="25">IF(OR($C6=0,AE$4&lt;PerStart2,AE$4&gt;PerSlut2),"",IF($BA6&lt;&gt;NotANumber,$H6,BX6))</f>
        <v/>
      </c>
      <c r="AF6" t="str">
        <f t="shared" ref="AF6:AF42" si="26">IF(OR($C6=0,AF$4&lt;PerStart2,AF$4&gt;PerSlut2),"",IF($BA6&lt;&gt;NotANumber,$H6,BY6))</f>
        <v/>
      </c>
      <c r="AG6" s="89" t="str">
        <f t="shared" ref="AG6:AG42" si="27">IF(OR($C6=0,AG$4&lt;PerStart2,AG$4&gt;PerSlut2),"",IF($BA6&lt;&gt;NotANumber,$H6,BZ6))</f>
        <v/>
      </c>
      <c r="AH6" t="str">
        <f t="shared" ref="AH6:AH42" si="28">IF(OR($C6=0,AH$4&lt;PerStart2,AH$4&gt;PerSlut2),"",IF($BA6&lt;&gt;NotANumber,$H6,CA6))</f>
        <v/>
      </c>
      <c r="AI6" t="str">
        <f t="shared" ref="AI6:AI42" si="29">IF(OR($C6=0,AI$4&lt;PerStart2,AI$4&gt;PerSlut2),"",IF($BA6&lt;&gt;NotANumber,$H6,CB6))</f>
        <v/>
      </c>
      <c r="AJ6" t="str">
        <f t="shared" ref="AJ6:AJ42" si="30">IF(OR($C6=0,AJ$4&lt;PerStart2,AJ$4&gt;PerSlut2),"",IF($BA6&lt;&gt;NotANumber,$H6,CC6))</f>
        <v/>
      </c>
      <c r="AK6" t="str">
        <f t="shared" ref="AK6:AK42" si="31">IF(OR($C6=0,AK$4&lt;PerStart2,AK$4&gt;PerSlut2),"",IF($BA6&lt;&gt;NotANumber,$H6,CD6))</f>
        <v/>
      </c>
      <c r="AL6" t="str">
        <f t="shared" ref="AL6:AL42" si="32">IF(OR($C6=0,AL$4&lt;PerStart2,AL$4&gt;PerSlut2),"",IF($BA6&lt;&gt;NotANumber,$H6,CE6))</f>
        <v/>
      </c>
      <c r="AM6" t="str">
        <f t="shared" ref="AM6:AM42" si="33">IF(OR($C6=0,AM$4&lt;PerStart2,AM$4&gt;PerSlut2),"",IF($BA6&lt;&gt;NotANumber,$H6,CF6))</f>
        <v/>
      </c>
      <c r="AN6" t="str">
        <f t="shared" ref="AN6:AN42" si="34">IF(OR($C6=0,AN$4&lt;PerStart2,AN$4&gt;PerSlut2),"",IF($BA6&lt;&gt;NotANumber,$H6,CG6))</f>
        <v/>
      </c>
      <c r="AO6" t="str">
        <f t="shared" ref="AO6:AO42" si="35">IF(OR($C6=0,AO$4&lt;PerStart2,AO$4&gt;PerSlut2),"",IF($BA6&lt;&gt;NotANumber,$H6,CH6))</f>
        <v/>
      </c>
      <c r="AP6" t="str">
        <f t="shared" ref="AP6:AP42" si="36">IF(OR($C6=0,AP$4&lt;PerStart2,AP$4&gt;PerSlut2),"",IF($BA6&lt;&gt;NotANumber,$H6,CI6))</f>
        <v/>
      </c>
      <c r="AQ6" t="str">
        <f t="shared" ref="AQ6:AQ42" si="37">IF(OR($C6=0,AQ$4&lt;PerStart2,AQ$4&gt;PerSlut2),"",IF($BA6&lt;&gt;NotANumber,$H6,CJ6))</f>
        <v/>
      </c>
      <c r="AR6" t="str">
        <f t="shared" ref="AR6:AR42" si="38">IF(OR($C6=0,AR$4&lt;PerStart2,AR$4&gt;PerSlut2),"",IF($BA6&lt;&gt;NotANumber,$H6,CK6))</f>
        <v/>
      </c>
      <c r="AT6" s="9" t="s">
        <v>152</v>
      </c>
      <c r="AU6" s="80">
        <v>-9.99</v>
      </c>
      <c r="AV6" s="93">
        <v>1</v>
      </c>
      <c r="AW6" s="85">
        <v>1</v>
      </c>
      <c r="AX6" s="85">
        <v>5</v>
      </c>
      <c r="AY6" s="85">
        <v>1</v>
      </c>
      <c r="AZ6" s="85">
        <v>14</v>
      </c>
      <c r="BA6" s="80">
        <v>11</v>
      </c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</row>
    <row r="7" spans="2:89" x14ac:dyDescent="0.25">
      <c r="B7" s="93" t="str">
        <f t="shared" ref="B7:B45" si="39">IF(ISBLANK(AT7),"",AT7)</f>
        <v>screc9</v>
      </c>
      <c r="C7" s="93">
        <f t="shared" ref="C7:C42" si="40">IF(ISBLANK(AW7),0,AW7)</f>
        <v>1</v>
      </c>
      <c r="D7" s="85">
        <f t="shared" ref="D7:D21" si="41">IF(ISBLANK(AW7),"",AW7)</f>
        <v>1</v>
      </c>
      <c r="E7" s="5" t="str" cm="1">
        <f t="array" ref="E7">IF(AX7&lt;=0,"",INDEX(listRoot,AX7))</f>
        <v>Fuel</v>
      </c>
      <c r="F7" s="5" t="str" cm="1">
        <f t="array" ref="F7">IF(AY7&lt;=0.000000000001,"",INDEX(Lister!$C$4:$H$100,AY7,$AX7))</f>
        <v>TyskRest</v>
      </c>
      <c r="G7" s="5" t="str" cm="1">
        <f t="array" ref="G7">IF(OR(AZ7=1,AZ7&lt;=0.000000000001),"",INDEX(Lister!$J$4:$O$100,AZ7,$AX7))</f>
        <v>LHV</v>
      </c>
      <c r="H7" s="80">
        <f t="shared" si="2"/>
        <v>11</v>
      </c>
      <c r="I7">
        <f t="shared" si="3"/>
        <v>11</v>
      </c>
      <c r="J7">
        <f t="shared" si="4"/>
        <v>11</v>
      </c>
      <c r="K7">
        <f t="shared" si="5"/>
        <v>11</v>
      </c>
      <c r="L7">
        <f t="shared" si="6"/>
        <v>11</v>
      </c>
      <c r="M7">
        <f t="shared" si="7"/>
        <v>11</v>
      </c>
      <c r="N7">
        <f t="shared" si="8"/>
        <v>11</v>
      </c>
      <c r="O7">
        <f t="shared" si="9"/>
        <v>11</v>
      </c>
      <c r="P7">
        <f t="shared" si="10"/>
        <v>11</v>
      </c>
      <c r="Q7">
        <f t="shared" si="11"/>
        <v>11</v>
      </c>
      <c r="R7">
        <f t="shared" si="12"/>
        <v>11</v>
      </c>
      <c r="S7">
        <f t="shared" si="13"/>
        <v>11</v>
      </c>
      <c r="T7">
        <f t="shared" si="14"/>
        <v>11</v>
      </c>
      <c r="U7" s="89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9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153</v>
      </c>
      <c r="AU7" s="80">
        <v>-9.99</v>
      </c>
      <c r="AV7" s="93">
        <v>1</v>
      </c>
      <c r="AW7" s="85">
        <v>1</v>
      </c>
      <c r="AX7" s="85">
        <v>5</v>
      </c>
      <c r="AY7" s="85">
        <v>15</v>
      </c>
      <c r="AZ7" s="85">
        <v>14</v>
      </c>
      <c r="BA7" s="80">
        <v>11</v>
      </c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</row>
    <row r="8" spans="2:89" x14ac:dyDescent="0.25">
      <c r="B8" s="93" t="str">
        <f t="shared" si="39"/>
        <v>screc10</v>
      </c>
      <c r="C8" s="93">
        <f t="shared" si="40"/>
        <v>1</v>
      </c>
      <c r="D8" s="85">
        <f t="shared" si="41"/>
        <v>1</v>
      </c>
      <c r="E8" s="5" t="str" cm="1">
        <f t="array" ref="E8">IF(AX8&lt;=0,"",INDEX(listRoot,AX8))</f>
        <v>Fuel</v>
      </c>
      <c r="F8" s="5" t="str" cm="1">
        <f t="array" ref="F8">IF(AY8&lt;=0.000000000001,"",INDEX(Lister!$C$4:$H$100,AY8,$AX8))</f>
        <v>PolskRest</v>
      </c>
      <c r="G8" s="5" t="str" cm="1">
        <f t="array" ref="G8">IF(OR(AZ8=1,AZ8&lt;=0.000000000001),"",INDEX(Lister!$J$4:$O$100,AZ8,$AX8))</f>
        <v>LHV</v>
      </c>
      <c r="H8" s="80">
        <f t="shared" si="2"/>
        <v>11</v>
      </c>
      <c r="I8">
        <f t="shared" si="3"/>
        <v>11</v>
      </c>
      <c r="J8">
        <f t="shared" si="4"/>
        <v>11</v>
      </c>
      <c r="K8">
        <f t="shared" si="5"/>
        <v>11</v>
      </c>
      <c r="L8">
        <f t="shared" si="6"/>
        <v>11</v>
      </c>
      <c r="M8">
        <f t="shared" si="7"/>
        <v>11</v>
      </c>
      <c r="N8">
        <f t="shared" si="8"/>
        <v>11</v>
      </c>
      <c r="O8">
        <f t="shared" si="9"/>
        <v>11</v>
      </c>
      <c r="P8">
        <f t="shared" si="10"/>
        <v>11</v>
      </c>
      <c r="Q8">
        <f t="shared" si="11"/>
        <v>11</v>
      </c>
      <c r="R8">
        <f t="shared" si="12"/>
        <v>11</v>
      </c>
      <c r="S8">
        <f t="shared" si="13"/>
        <v>11</v>
      </c>
      <c r="T8">
        <f t="shared" si="14"/>
        <v>11</v>
      </c>
      <c r="U8" s="89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9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154</v>
      </c>
      <c r="AU8" s="80">
        <v>-9.99</v>
      </c>
      <c r="AV8" s="93">
        <v>1</v>
      </c>
      <c r="AW8" s="85">
        <v>1</v>
      </c>
      <c r="AX8" s="85">
        <v>5</v>
      </c>
      <c r="AY8" s="85">
        <v>16</v>
      </c>
      <c r="AZ8" s="85">
        <v>14</v>
      </c>
      <c r="BA8" s="80">
        <v>11</v>
      </c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</row>
    <row r="9" spans="2:89" x14ac:dyDescent="0.25">
      <c r="B9" s="93" t="str">
        <f t="shared" si="39"/>
        <v>screc11</v>
      </c>
      <c r="C9" s="93">
        <f t="shared" si="40"/>
        <v>1</v>
      </c>
      <c r="D9" s="85">
        <f t="shared" si="41"/>
        <v>1</v>
      </c>
      <c r="E9" s="5" t="str" cm="1">
        <f t="array" ref="E9">IF(AX9&lt;=0,"",INDEX(listRoot,AX9))</f>
        <v>Fuel</v>
      </c>
      <c r="F9" s="5" t="str" cm="1">
        <f t="array" ref="F9">IF(AY9&lt;=0.000000000001,"",INDEX(Lister!$C$4:$H$100,AY9,$AX9))</f>
        <v>DepoSort</v>
      </c>
      <c r="G9" s="5" t="str" cm="1">
        <f t="array" ref="G9">IF(OR(AZ9=1,AZ9&lt;=0.000000000001),"",INDEX(Lister!$J$4:$O$100,AZ9,$AX9))</f>
        <v>LHV</v>
      </c>
      <c r="H9" s="80">
        <f t="shared" si="2"/>
        <v>11.5</v>
      </c>
      <c r="I9">
        <f t="shared" si="3"/>
        <v>11.5</v>
      </c>
      <c r="J9">
        <f t="shared" si="4"/>
        <v>11.5</v>
      </c>
      <c r="K9">
        <f t="shared" si="5"/>
        <v>11.5</v>
      </c>
      <c r="L9">
        <f t="shared" si="6"/>
        <v>11.5</v>
      </c>
      <c r="M9">
        <f t="shared" si="7"/>
        <v>11.5</v>
      </c>
      <c r="N9">
        <f t="shared" si="8"/>
        <v>11.5</v>
      </c>
      <c r="O9">
        <f t="shared" si="9"/>
        <v>11.5</v>
      </c>
      <c r="P9">
        <f t="shared" si="10"/>
        <v>11.5</v>
      </c>
      <c r="Q9">
        <f t="shared" si="11"/>
        <v>11.5</v>
      </c>
      <c r="R9">
        <f t="shared" si="12"/>
        <v>11.5</v>
      </c>
      <c r="S9">
        <f t="shared" si="13"/>
        <v>11.5</v>
      </c>
      <c r="T9">
        <f t="shared" si="14"/>
        <v>11.5</v>
      </c>
      <c r="U9" s="89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9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155</v>
      </c>
      <c r="AU9" s="80">
        <v>-9.99</v>
      </c>
      <c r="AV9" s="93">
        <v>2</v>
      </c>
      <c r="AW9" s="85">
        <v>1</v>
      </c>
      <c r="AX9" s="85">
        <v>5</v>
      </c>
      <c r="AY9" s="85">
        <v>1</v>
      </c>
      <c r="AZ9" s="85">
        <v>14</v>
      </c>
      <c r="BA9" s="80">
        <v>11.5</v>
      </c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</row>
    <row r="10" spans="2:89" x14ac:dyDescent="0.25">
      <c r="B10" s="93" t="str">
        <f t="shared" si="39"/>
        <v>screc12</v>
      </c>
      <c r="C10" s="93">
        <f t="shared" si="40"/>
        <v>1</v>
      </c>
      <c r="D10" s="85">
        <f t="shared" si="41"/>
        <v>1</v>
      </c>
      <c r="E10" s="5" t="str" cm="1">
        <f t="array" ref="E10">IF(AX10&lt;=0,"",INDEX(listRoot,AX10))</f>
        <v>Fuel</v>
      </c>
      <c r="F10" s="5" t="str" cm="1">
        <f t="array" ref="F10">IF(AY10&lt;=0.000000000001,"",INDEX(Lister!$C$4:$H$100,AY10,$AX10))</f>
        <v>TyskRest</v>
      </c>
      <c r="G10" s="5" t="str" cm="1">
        <f t="array" ref="G10">IF(OR(AZ10=1,AZ10&lt;=0.000000000001),"",INDEX(Lister!$J$4:$O$100,AZ10,$AX10))</f>
        <v>LHV</v>
      </c>
      <c r="H10" s="80">
        <f t="shared" si="2"/>
        <v>11.5</v>
      </c>
      <c r="I10">
        <f t="shared" si="3"/>
        <v>11.5</v>
      </c>
      <c r="J10">
        <f t="shared" si="4"/>
        <v>11.5</v>
      </c>
      <c r="K10">
        <f t="shared" si="5"/>
        <v>11.5</v>
      </c>
      <c r="L10">
        <f t="shared" si="6"/>
        <v>11.5</v>
      </c>
      <c r="M10">
        <f t="shared" si="7"/>
        <v>11.5</v>
      </c>
      <c r="N10">
        <f t="shared" si="8"/>
        <v>11.5</v>
      </c>
      <c r="O10">
        <f t="shared" si="9"/>
        <v>11.5</v>
      </c>
      <c r="P10">
        <f t="shared" si="10"/>
        <v>11.5</v>
      </c>
      <c r="Q10">
        <f t="shared" si="11"/>
        <v>11.5</v>
      </c>
      <c r="R10">
        <f t="shared" si="12"/>
        <v>11.5</v>
      </c>
      <c r="S10">
        <f t="shared" si="13"/>
        <v>11.5</v>
      </c>
      <c r="T10">
        <f t="shared" si="14"/>
        <v>11.5</v>
      </c>
      <c r="U10" s="89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9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 t="s">
        <v>156</v>
      </c>
      <c r="AU10" s="80">
        <v>-9.99</v>
      </c>
      <c r="AV10" s="93">
        <v>2</v>
      </c>
      <c r="AW10" s="85">
        <v>1</v>
      </c>
      <c r="AX10" s="85">
        <v>5</v>
      </c>
      <c r="AY10" s="85">
        <v>15</v>
      </c>
      <c r="AZ10" s="85">
        <v>14</v>
      </c>
      <c r="BA10" s="80">
        <v>11.5</v>
      </c>
    </row>
    <row r="11" spans="2:89" x14ac:dyDescent="0.25">
      <c r="B11" s="93" t="str">
        <f t="shared" si="39"/>
        <v>screc13</v>
      </c>
      <c r="C11" s="93">
        <f t="shared" si="40"/>
        <v>1</v>
      </c>
      <c r="D11" s="85">
        <f t="shared" si="41"/>
        <v>1</v>
      </c>
      <c r="E11" s="5" t="str" cm="1">
        <f t="array" ref="E11">IF(AX11&lt;=0,"",INDEX(listRoot,AX11))</f>
        <v>Fuel</v>
      </c>
      <c r="F11" s="5" t="str" cm="1">
        <f t="array" ref="F11">IF(AY11&lt;=0.000000000001,"",INDEX(Lister!$C$4:$H$100,AY11,$AX11))</f>
        <v>PolskRest</v>
      </c>
      <c r="G11" s="5" t="str" cm="1">
        <f t="array" ref="G11">IF(OR(AZ11=1,AZ11&lt;=0.000000000001),"",INDEX(Lister!$J$4:$O$100,AZ11,$AX11))</f>
        <v>LHV</v>
      </c>
      <c r="H11" s="80">
        <f t="shared" si="2"/>
        <v>11.5</v>
      </c>
      <c r="I11">
        <f t="shared" si="3"/>
        <v>11.5</v>
      </c>
      <c r="J11">
        <f t="shared" si="4"/>
        <v>11.5</v>
      </c>
      <c r="K11">
        <f t="shared" si="5"/>
        <v>11.5</v>
      </c>
      <c r="L11">
        <f t="shared" si="6"/>
        <v>11.5</v>
      </c>
      <c r="M11">
        <f t="shared" si="7"/>
        <v>11.5</v>
      </c>
      <c r="N11">
        <f t="shared" si="8"/>
        <v>11.5</v>
      </c>
      <c r="O11">
        <f t="shared" si="9"/>
        <v>11.5</v>
      </c>
      <c r="P11">
        <f t="shared" si="10"/>
        <v>11.5</v>
      </c>
      <c r="Q11">
        <f t="shared" si="11"/>
        <v>11.5</v>
      </c>
      <c r="R11">
        <f t="shared" si="12"/>
        <v>11.5</v>
      </c>
      <c r="S11">
        <f t="shared" si="13"/>
        <v>11.5</v>
      </c>
      <c r="T11">
        <f t="shared" si="14"/>
        <v>11.5</v>
      </c>
      <c r="U11" s="89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9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157</v>
      </c>
      <c r="AU11" s="80">
        <v>-9.99</v>
      </c>
      <c r="AV11" s="93">
        <v>2</v>
      </c>
      <c r="AW11" s="85">
        <v>1</v>
      </c>
      <c r="AX11" s="85">
        <v>5</v>
      </c>
      <c r="AY11" s="85">
        <v>16</v>
      </c>
      <c r="AZ11" s="85">
        <v>14</v>
      </c>
      <c r="BA11" s="80">
        <v>11.5</v>
      </c>
    </row>
    <row r="12" spans="2:89" x14ac:dyDescent="0.25">
      <c r="B12" s="93" t="str">
        <f t="shared" si="39"/>
        <v>screc14</v>
      </c>
      <c r="C12" s="93">
        <f t="shared" si="40"/>
        <v>1</v>
      </c>
      <c r="D12" s="85">
        <f t="shared" si="41"/>
        <v>1</v>
      </c>
      <c r="E12" s="5" t="str" cm="1">
        <f t="array" ref="E12">IF(AX12&lt;=0,"",INDEX(listRoot,AX12))</f>
        <v>Fuel</v>
      </c>
      <c r="F12" s="5" t="str" cm="1">
        <f t="array" ref="F12">IF(AY12&lt;=0.000000000001,"",INDEX(Lister!$C$4:$H$100,AY12,$AX12))</f>
        <v>DepoSort</v>
      </c>
      <c r="G12" s="5" t="str" cm="1">
        <f t="array" ref="G12">IF(OR(AZ12=1,AZ12&lt;=0.000000000001),"",INDEX(Lister!$J$4:$O$100,AZ12,$AX12))</f>
        <v>LHV</v>
      </c>
      <c r="H12" s="80">
        <f t="shared" si="2"/>
        <v>12</v>
      </c>
      <c r="I12">
        <f t="shared" si="3"/>
        <v>12</v>
      </c>
      <c r="J12">
        <f t="shared" si="4"/>
        <v>12</v>
      </c>
      <c r="K12">
        <f t="shared" si="5"/>
        <v>12</v>
      </c>
      <c r="L12">
        <f t="shared" si="6"/>
        <v>12</v>
      </c>
      <c r="M12">
        <f t="shared" si="7"/>
        <v>12</v>
      </c>
      <c r="N12">
        <f t="shared" si="8"/>
        <v>12</v>
      </c>
      <c r="O12">
        <f t="shared" si="9"/>
        <v>12</v>
      </c>
      <c r="P12">
        <f t="shared" si="10"/>
        <v>12</v>
      </c>
      <c r="Q12">
        <f t="shared" si="11"/>
        <v>12</v>
      </c>
      <c r="R12">
        <f t="shared" si="12"/>
        <v>12</v>
      </c>
      <c r="S12">
        <f t="shared" si="13"/>
        <v>12</v>
      </c>
      <c r="T12">
        <f t="shared" si="14"/>
        <v>12</v>
      </c>
      <c r="U12" s="89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9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 t="s">
        <v>158</v>
      </c>
      <c r="AU12" s="80">
        <v>-9.99</v>
      </c>
      <c r="AV12" s="93">
        <v>3</v>
      </c>
      <c r="AW12" s="85">
        <v>1</v>
      </c>
      <c r="AX12" s="85">
        <v>5</v>
      </c>
      <c r="AY12" s="85">
        <v>1</v>
      </c>
      <c r="AZ12" s="85">
        <v>14</v>
      </c>
      <c r="BA12" s="80">
        <v>12</v>
      </c>
    </row>
    <row r="13" spans="2:89" x14ac:dyDescent="0.25">
      <c r="B13" s="93" t="str">
        <f t="shared" si="39"/>
        <v>screc15</v>
      </c>
      <c r="C13" s="93">
        <f t="shared" si="40"/>
        <v>1</v>
      </c>
      <c r="D13" s="85">
        <f t="shared" si="41"/>
        <v>1</v>
      </c>
      <c r="E13" s="5" t="str" cm="1">
        <f t="array" ref="E13">IF(AX13&lt;=0,"",INDEX(listRoot,AX13))</f>
        <v>Fuel</v>
      </c>
      <c r="F13" s="5" t="str" cm="1">
        <f t="array" ref="F13">IF(AY13&lt;=0.000000000001,"",INDEX(Lister!$C$4:$H$100,AY13,$AX13))</f>
        <v>TyskRest</v>
      </c>
      <c r="G13" s="5" t="str" cm="1">
        <f t="array" ref="G13">IF(OR(AZ13=1,AZ13&lt;=0.000000000001),"",INDEX(Lister!$J$4:$O$100,AZ13,$AX13))</f>
        <v>LHV</v>
      </c>
      <c r="H13" s="80">
        <f t="shared" si="2"/>
        <v>12</v>
      </c>
      <c r="I13">
        <f t="shared" si="3"/>
        <v>12</v>
      </c>
      <c r="J13">
        <f t="shared" si="4"/>
        <v>12</v>
      </c>
      <c r="K13">
        <f t="shared" si="5"/>
        <v>12</v>
      </c>
      <c r="L13">
        <f t="shared" si="6"/>
        <v>12</v>
      </c>
      <c r="M13">
        <f t="shared" si="7"/>
        <v>12</v>
      </c>
      <c r="N13">
        <f t="shared" si="8"/>
        <v>12</v>
      </c>
      <c r="O13">
        <f t="shared" si="9"/>
        <v>12</v>
      </c>
      <c r="P13">
        <f t="shared" si="10"/>
        <v>12</v>
      </c>
      <c r="Q13">
        <f t="shared" si="11"/>
        <v>12</v>
      </c>
      <c r="R13">
        <f t="shared" si="12"/>
        <v>12</v>
      </c>
      <c r="S13">
        <f t="shared" si="13"/>
        <v>12</v>
      </c>
      <c r="T13">
        <f t="shared" si="14"/>
        <v>12</v>
      </c>
      <c r="U13" s="89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9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 t="s">
        <v>159</v>
      </c>
      <c r="AU13" s="80">
        <v>-9.99</v>
      </c>
      <c r="AV13" s="93">
        <v>3</v>
      </c>
      <c r="AW13" s="85">
        <v>1</v>
      </c>
      <c r="AX13" s="85">
        <v>5</v>
      </c>
      <c r="AY13" s="101">
        <v>15</v>
      </c>
      <c r="AZ13" s="101">
        <v>14</v>
      </c>
      <c r="BA13" s="80">
        <v>12</v>
      </c>
    </row>
    <row r="14" spans="2:89" x14ac:dyDescent="0.25">
      <c r="B14" s="93" t="str">
        <f t="shared" si="39"/>
        <v>screc16</v>
      </c>
      <c r="C14" s="93">
        <f t="shared" si="40"/>
        <v>1</v>
      </c>
      <c r="D14" s="85">
        <f t="shared" si="41"/>
        <v>1</v>
      </c>
      <c r="E14" s="5" t="str" cm="1">
        <f t="array" ref="E14">IF(AX14&lt;=0,"",INDEX(listRoot,AX14))</f>
        <v>Fuel</v>
      </c>
      <c r="F14" s="5" t="str" cm="1">
        <f t="array" ref="F14">IF(AY14&lt;=0.000000000001,"",INDEX(Lister!$C$4:$H$100,AY14,$AX14))</f>
        <v>PolskRest</v>
      </c>
      <c r="G14" s="5" t="str" cm="1">
        <f t="array" ref="G14">IF(OR(AZ14=1,AZ14&lt;=0.000000000001),"",INDEX(Lister!$J$4:$O$100,AZ14,$AX14))</f>
        <v>LHV</v>
      </c>
      <c r="H14" s="80">
        <f t="shared" si="2"/>
        <v>12</v>
      </c>
      <c r="I14">
        <f t="shared" si="3"/>
        <v>12</v>
      </c>
      <c r="J14">
        <f t="shared" si="4"/>
        <v>12</v>
      </c>
      <c r="K14">
        <f t="shared" si="5"/>
        <v>12</v>
      </c>
      <c r="L14">
        <f t="shared" si="6"/>
        <v>12</v>
      </c>
      <c r="M14">
        <f t="shared" si="7"/>
        <v>12</v>
      </c>
      <c r="N14">
        <f t="shared" si="8"/>
        <v>12</v>
      </c>
      <c r="O14">
        <f t="shared" si="9"/>
        <v>12</v>
      </c>
      <c r="P14">
        <f t="shared" si="10"/>
        <v>12</v>
      </c>
      <c r="Q14">
        <f t="shared" si="11"/>
        <v>12</v>
      </c>
      <c r="R14">
        <f t="shared" si="12"/>
        <v>12</v>
      </c>
      <c r="S14">
        <f t="shared" si="13"/>
        <v>12</v>
      </c>
      <c r="T14">
        <f t="shared" si="14"/>
        <v>12</v>
      </c>
      <c r="U14" s="89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9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 t="s">
        <v>160</v>
      </c>
      <c r="AU14" s="80">
        <v>-9.99</v>
      </c>
      <c r="AV14" s="93">
        <v>3</v>
      </c>
      <c r="AW14" s="85">
        <v>1</v>
      </c>
      <c r="AX14" s="85">
        <v>5</v>
      </c>
      <c r="AY14" s="101">
        <v>16</v>
      </c>
      <c r="AZ14" s="101">
        <v>14</v>
      </c>
      <c r="BA14" s="80">
        <v>12</v>
      </c>
    </row>
    <row r="15" spans="2:89" x14ac:dyDescent="0.25">
      <c r="B15" s="93" t="str">
        <f t="shared" si="39"/>
        <v/>
      </c>
      <c r="C15" s="93">
        <f t="shared" si="40"/>
        <v>0</v>
      </c>
      <c r="D15" s="85" t="str">
        <f t="shared" si="41"/>
        <v/>
      </c>
      <c r="E15" s="5" t="str" cm="1">
        <f t="array" ref="E15">IF(AX15&lt;=0,"",INDEX(listRoot,AX15))</f>
        <v/>
      </c>
      <c r="F15" s="5" t="str" cm="1">
        <f t="array" ref="F15">IF(AY15&lt;=0.000000000001,"",INDEX(Lister!$C$4:$H$100,AY15,$AX15))</f>
        <v/>
      </c>
      <c r="G15" s="5" t="str" cm="1">
        <f t="array" ref="G15">IF(OR(AZ15=1,AZ15&lt;=0.000000000001),"",INDEX(Lister!$J$4:$O$100,AZ15,$AX15))</f>
        <v/>
      </c>
      <c r="H15" s="80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9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9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/>
      <c r="AU15" s="80"/>
      <c r="AV15" s="93"/>
      <c r="AW15" s="85"/>
      <c r="AX15" s="85"/>
      <c r="AY15" s="101"/>
      <c r="AZ15" s="101"/>
    </row>
    <row r="16" spans="2:89" x14ac:dyDescent="0.25">
      <c r="B16" s="93" t="str">
        <f t="shared" si="39"/>
        <v/>
      </c>
      <c r="C16" s="93">
        <f t="shared" si="40"/>
        <v>0</v>
      </c>
      <c r="D16" s="80" t="str">
        <f t="shared" si="41"/>
        <v/>
      </c>
      <c r="E16" s="5" t="str" cm="1">
        <f t="array" ref="E16">IF(AX16&lt;=0,"",INDEX(listRoot,AX16))</f>
        <v/>
      </c>
      <c r="F16" s="5" t="str" cm="1">
        <f t="array" ref="F16">IF(AY16&lt;=0.000000000001,"",INDEX(Lister!$C$4:$H$100,AY16,$AX16))</f>
        <v/>
      </c>
      <c r="G16" s="5" t="str" cm="1">
        <f t="array" ref="G16">IF(OR(AZ16=1,AZ16&lt;=0.000000000001),"",INDEX(Lister!$J$4:$O$100,AZ16,$AX16))</f>
        <v/>
      </c>
      <c r="H16" s="80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9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9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/>
      <c r="AU16" s="80"/>
      <c r="AV16" s="93"/>
      <c r="AY16" s="102"/>
      <c r="AZ16" s="102"/>
    </row>
    <row r="17" spans="2:52" x14ac:dyDescent="0.25">
      <c r="B17" s="93" t="str">
        <f t="shared" si="39"/>
        <v/>
      </c>
      <c r="C17" s="93">
        <f t="shared" si="40"/>
        <v>0</v>
      </c>
      <c r="D17" s="80" t="str">
        <f t="shared" si="41"/>
        <v/>
      </c>
      <c r="E17" s="5" t="str" cm="1">
        <f t="array" ref="E17">IF(AX17&lt;=0,"",INDEX(listRoot,AX17))</f>
        <v/>
      </c>
      <c r="F17" s="5" t="str" cm="1">
        <f t="array" ref="F17">IF(AY17&lt;=0.000000000001,"",INDEX(Lister!$C$4:$H$100,AY17,$AX17))</f>
        <v/>
      </c>
      <c r="G17" s="5" t="str" cm="1">
        <f t="array" ref="G17">IF(OR(AZ17=1,AZ17&lt;=0.000000000001),"",INDEX(Lister!$J$4:$O$100,AZ17,$AX17))</f>
        <v/>
      </c>
      <c r="H17" s="80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9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9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/>
      <c r="AU17" s="80"/>
      <c r="AV17" s="93"/>
      <c r="AY17" s="102"/>
      <c r="AZ17" s="102"/>
    </row>
    <row r="18" spans="2:52" x14ac:dyDescent="0.25">
      <c r="B18" s="93" t="str">
        <f t="shared" si="39"/>
        <v/>
      </c>
      <c r="C18" s="93">
        <f t="shared" si="40"/>
        <v>0</v>
      </c>
      <c r="D18" s="80" t="str">
        <f t="shared" si="41"/>
        <v/>
      </c>
      <c r="E18" s="5" t="str" cm="1">
        <f t="array" ref="E18">IF(AX18&lt;=0,"",INDEX(listRoot,AX18))</f>
        <v/>
      </c>
      <c r="F18" s="5" t="str" cm="1">
        <f t="array" ref="F18">IF(AY18&lt;=0.000000000001,"",INDEX(Lister!$C$4:$H$100,AY18,$AX18))</f>
        <v/>
      </c>
      <c r="G18" s="5" t="str" cm="1">
        <f t="array" ref="G18">IF(OR(AZ18=1,AZ18&lt;=0.000000000001),"",INDEX(Lister!$J$4:$O$100,AZ18,$AX18))</f>
        <v/>
      </c>
      <c r="H18" s="80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9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9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/>
      <c r="AU18" s="80"/>
      <c r="AY18" s="102"/>
      <c r="AZ18" s="102"/>
    </row>
    <row r="19" spans="2:52" x14ac:dyDescent="0.25">
      <c r="B19" s="93" t="str">
        <f t="shared" si="39"/>
        <v/>
      </c>
      <c r="C19" s="93">
        <f t="shared" si="40"/>
        <v>0</v>
      </c>
      <c r="D19" s="80" t="str">
        <f t="shared" si="41"/>
        <v/>
      </c>
      <c r="E19" s="5" t="str" cm="1">
        <f t="array" ref="E19">IF(AX19&lt;=0,"",INDEX(listRoot,AX19))</f>
        <v/>
      </c>
      <c r="F19" s="5" t="str" cm="1">
        <f t="array" ref="F19">IF(AY19&lt;=0.000000000001,"",INDEX(Lister!$C$4:$H$100,AY19,$AX19))</f>
        <v/>
      </c>
      <c r="G19" s="5" t="str" cm="1">
        <f t="array" ref="G19">IF(OR(AZ19=1,AZ19&lt;=0.000000000001),"",INDEX(Lister!$J$4:$O$100,AZ19,$AX19))</f>
        <v/>
      </c>
      <c r="H19" s="80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9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/>
      <c r="AU19" s="80"/>
      <c r="AY19" s="102"/>
      <c r="AZ19" s="102"/>
    </row>
    <row r="20" spans="2:52" x14ac:dyDescent="0.25">
      <c r="B20" s="93" t="str">
        <f t="shared" si="39"/>
        <v/>
      </c>
      <c r="C20" s="93">
        <f t="shared" si="40"/>
        <v>0</v>
      </c>
      <c r="D20" s="80" t="str">
        <f t="shared" si="41"/>
        <v/>
      </c>
      <c r="E20" s="5" t="str" cm="1">
        <f t="array" ref="E20">IF(AX20&lt;=0,"",INDEX(listRoot,AX20))</f>
        <v/>
      </c>
      <c r="F20" s="5" t="str" cm="1">
        <f t="array" ref="F20">IF(AY20&lt;=0.000000000001,"",INDEX(Lister!$C$4:$H$100,AY20,$AX20))</f>
        <v/>
      </c>
      <c r="G20" s="5" t="str" cm="1">
        <f t="array" ref="G20">IF(OR(AZ20=1,AZ20&lt;=0.000000000001),"",INDEX(Lister!$J$4:$O$100,AZ20,$AX20))</f>
        <v/>
      </c>
      <c r="H20" s="80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9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9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/>
      <c r="AU20" s="80"/>
      <c r="AY20" s="102"/>
      <c r="AZ20" s="102"/>
    </row>
    <row r="21" spans="2:52" x14ac:dyDescent="0.25">
      <c r="B21" s="93" t="str">
        <f t="shared" si="39"/>
        <v/>
      </c>
      <c r="C21" s="93">
        <f t="shared" si="40"/>
        <v>0</v>
      </c>
      <c r="D21" s="80" t="str">
        <f t="shared" si="41"/>
        <v/>
      </c>
      <c r="E21" s="5" t="str" cm="1">
        <f t="array" ref="E21">IF(AX21&lt;=0,"",INDEX(listRoot,AX21))</f>
        <v/>
      </c>
      <c r="F21" s="5" t="str" cm="1">
        <f t="array" ref="F21">IF(AY21&lt;=0.000000000001,"",INDEX(Lister!$C$4:$H$100,AY21,$AX21))</f>
        <v/>
      </c>
      <c r="G21" s="5" t="str" cm="1">
        <f t="array" ref="G21">IF(OR(AZ21=1,AZ21&lt;=0.000000000001),"",INDEX(Lister!$J$4:$O$100,AZ21,$AX21))</f>
        <v/>
      </c>
      <c r="H21" s="80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9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9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/>
      <c r="AU21" s="80"/>
      <c r="AY21" s="102"/>
      <c r="AZ21" s="102"/>
    </row>
    <row r="22" spans="2:52" x14ac:dyDescent="0.25">
      <c r="B22" s="93" t="str">
        <f t="shared" si="39"/>
        <v/>
      </c>
      <c r="C22" s="93">
        <f t="shared" si="40"/>
        <v>0</v>
      </c>
      <c r="D22" s="80" t="str">
        <f t="shared" ref="D22:D45" si="42">IF(ISBLANK(AW22),"",AW22)</f>
        <v/>
      </c>
      <c r="E22" s="5" t="str" cm="1">
        <f t="array" ref="E22">IF(AX22&lt;=0,"",INDEX(listRoot,AX22))</f>
        <v/>
      </c>
      <c r="F22" s="5" t="str" cm="1">
        <f t="array" ref="F22">IF(AY22&lt;=0.000000000001,"",INDEX(Lister!$C$4:$H$100,AY22,$AX22))</f>
        <v/>
      </c>
      <c r="G22" s="5" t="str" cm="1">
        <f t="array" ref="G22">IF(OR(AZ22=1,AZ22&lt;=0.000000000001),"",INDEX(Lister!$J$4:$O$100,AZ22,$AX22))</f>
        <v/>
      </c>
      <c r="H22" s="80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9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9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/>
      <c r="AU22" s="80"/>
    </row>
    <row r="23" spans="2:52" x14ac:dyDescent="0.25">
      <c r="B23" s="93" t="str">
        <f t="shared" si="39"/>
        <v/>
      </c>
      <c r="C23" s="93">
        <f t="shared" si="40"/>
        <v>0</v>
      </c>
      <c r="D23" s="80" t="str">
        <f t="shared" si="42"/>
        <v/>
      </c>
      <c r="E23" s="5" t="str" cm="1">
        <f t="array" ref="E23">IF(AX23&lt;=0,"",INDEX(listRoot,AX23))</f>
        <v/>
      </c>
      <c r="F23" s="5" t="str" cm="1">
        <f t="array" ref="F23">IF(AY23&lt;=0.000000000001,"",INDEX(Lister!$C$4:$H$100,AY23,$AX23))</f>
        <v/>
      </c>
      <c r="G23" s="5" t="str" cm="1">
        <f t="array" ref="G23">IF(OR(AZ23=1,AZ23&lt;=0.000000000001),"",INDEX(Lister!$J$4:$O$100,AZ23,$AX23))</f>
        <v/>
      </c>
      <c r="H23" s="80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9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9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/>
      <c r="AU23" s="80"/>
    </row>
    <row r="24" spans="2:52" x14ac:dyDescent="0.25">
      <c r="B24" s="93" t="str">
        <f t="shared" si="39"/>
        <v/>
      </c>
      <c r="C24" s="93">
        <f t="shared" si="40"/>
        <v>0</v>
      </c>
      <c r="D24" s="80" t="str">
        <f t="shared" si="42"/>
        <v/>
      </c>
      <c r="E24" s="5" t="str" cm="1">
        <f t="array" ref="E24">IF(AX24&lt;=0,"",INDEX(listRoot,AX24))</f>
        <v/>
      </c>
      <c r="F24" s="5" t="str" cm="1">
        <f t="array" ref="F24">IF(AY24&lt;=0.000000000001,"",INDEX(Lister!$C$4:$H$100,AY24,$AX24))</f>
        <v/>
      </c>
      <c r="G24" s="5" t="str" cm="1">
        <f t="array" ref="G24">IF(OR(AZ24=1,AZ24&lt;=0.000000000001),"",INDEX(Lister!$J$4:$O$100,AZ24,$AX24))</f>
        <v/>
      </c>
      <c r="H24" s="80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9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9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/>
      <c r="AU24" s="80"/>
    </row>
    <row r="25" spans="2:52" x14ac:dyDescent="0.25">
      <c r="B25" s="93" t="str">
        <f t="shared" si="39"/>
        <v/>
      </c>
      <c r="C25" s="93">
        <f t="shared" si="40"/>
        <v>0</v>
      </c>
      <c r="D25" s="80" t="str">
        <f t="shared" si="42"/>
        <v/>
      </c>
      <c r="E25" s="5" t="str" cm="1">
        <f t="array" ref="E25">IF(AX25&lt;=0,"",INDEX(listRoot,AX25))</f>
        <v/>
      </c>
      <c r="F25" s="5" t="str" cm="1">
        <f t="array" ref="F25">IF(AY25&lt;=0.000000000001,"",INDEX(Lister!$C$4:$H$100,AY25,$AX25))</f>
        <v/>
      </c>
      <c r="G25" s="5" t="str" cm="1">
        <f t="array" ref="G25">IF(OR(AZ25=1,AZ25&lt;=0.000000000001),"",INDEX(Lister!$J$4:$O$100,AZ25,$AX25))</f>
        <v/>
      </c>
      <c r="H25" s="80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9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9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/>
      <c r="AU25" s="80"/>
    </row>
    <row r="26" spans="2:52" x14ac:dyDescent="0.25">
      <c r="B26" s="93" t="str">
        <f t="shared" si="39"/>
        <v/>
      </c>
      <c r="C26" s="93">
        <f t="shared" si="40"/>
        <v>0</v>
      </c>
      <c r="D26" s="80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80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9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9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80"/>
    </row>
    <row r="27" spans="2:52" x14ac:dyDescent="0.25">
      <c r="B27" s="93" t="str">
        <f t="shared" si="39"/>
        <v/>
      </c>
      <c r="C27" s="93">
        <f t="shared" si="40"/>
        <v>0</v>
      </c>
      <c r="D27" s="80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80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9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9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80"/>
    </row>
    <row r="28" spans="2:52" x14ac:dyDescent="0.25">
      <c r="B28" s="93" t="str">
        <f t="shared" si="39"/>
        <v/>
      </c>
      <c r="C28" s="93">
        <f t="shared" si="40"/>
        <v>0</v>
      </c>
      <c r="D28" s="80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80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9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9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80"/>
    </row>
    <row r="29" spans="2:52" x14ac:dyDescent="0.25">
      <c r="B29" s="93" t="str">
        <f t="shared" si="39"/>
        <v/>
      </c>
      <c r="C29" s="93">
        <f t="shared" si="40"/>
        <v>0</v>
      </c>
      <c r="D29" s="80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80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9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80"/>
    </row>
    <row r="30" spans="2:52" x14ac:dyDescent="0.25">
      <c r="B30" s="93" t="str">
        <f t="shared" si="39"/>
        <v/>
      </c>
      <c r="C30" s="93">
        <f t="shared" si="40"/>
        <v>0</v>
      </c>
      <c r="D30" s="80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8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9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9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80"/>
    </row>
    <row r="31" spans="2:52" x14ac:dyDescent="0.25">
      <c r="B31" s="93" t="str">
        <f t="shared" si="39"/>
        <v/>
      </c>
      <c r="C31" s="93">
        <f t="shared" si="40"/>
        <v>0</v>
      </c>
      <c r="D31" s="80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80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9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9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80"/>
    </row>
    <row r="32" spans="2:52" x14ac:dyDescent="0.25">
      <c r="B32" s="93" t="str">
        <f t="shared" si="39"/>
        <v/>
      </c>
      <c r="C32" s="93">
        <f t="shared" si="40"/>
        <v>0</v>
      </c>
      <c r="D32" s="80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80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9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9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80"/>
    </row>
    <row r="33" spans="2:47" x14ac:dyDescent="0.25">
      <c r="B33" s="93" t="str">
        <f t="shared" si="39"/>
        <v/>
      </c>
      <c r="C33" s="93">
        <f t="shared" si="40"/>
        <v>0</v>
      </c>
      <c r="D33" s="80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80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9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9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80"/>
    </row>
    <row r="34" spans="2:47" x14ac:dyDescent="0.25">
      <c r="B34" s="93" t="str">
        <f t="shared" si="39"/>
        <v/>
      </c>
      <c r="C34" s="93">
        <f t="shared" si="40"/>
        <v>0</v>
      </c>
      <c r="D34" s="80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80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9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9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80"/>
    </row>
    <row r="35" spans="2:47" x14ac:dyDescent="0.25">
      <c r="B35" s="93" t="str">
        <f t="shared" si="39"/>
        <v/>
      </c>
      <c r="C35" s="93">
        <f t="shared" si="40"/>
        <v>0</v>
      </c>
      <c r="D35" s="80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80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9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9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80"/>
    </row>
    <row r="36" spans="2:47" x14ac:dyDescent="0.25">
      <c r="B36" s="93" t="str">
        <f t="shared" si="39"/>
        <v/>
      </c>
      <c r="C36" s="93">
        <f t="shared" si="40"/>
        <v>0</v>
      </c>
      <c r="D36" s="80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80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9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9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80"/>
    </row>
    <row r="37" spans="2:47" x14ac:dyDescent="0.25">
      <c r="B37" s="93" t="str">
        <f t="shared" si="39"/>
        <v/>
      </c>
      <c r="C37" s="93">
        <f t="shared" si="40"/>
        <v>0</v>
      </c>
      <c r="D37" s="80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80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9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9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80"/>
    </row>
    <row r="38" spans="2:47" x14ac:dyDescent="0.25">
      <c r="B38" s="93" t="str">
        <f t="shared" si="39"/>
        <v/>
      </c>
      <c r="C38" s="93">
        <f t="shared" si="40"/>
        <v>0</v>
      </c>
      <c r="D38" s="80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80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9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9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80"/>
    </row>
    <row r="39" spans="2:47" x14ac:dyDescent="0.25">
      <c r="B39" s="93" t="str">
        <f t="shared" si="39"/>
        <v/>
      </c>
      <c r="C39" s="93">
        <f t="shared" si="40"/>
        <v>0</v>
      </c>
      <c r="D39" s="80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80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9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80"/>
    </row>
    <row r="40" spans="2:47" x14ac:dyDescent="0.25">
      <c r="B40" s="93" t="str">
        <f t="shared" si="39"/>
        <v/>
      </c>
      <c r="C40" s="93">
        <f t="shared" si="40"/>
        <v>0</v>
      </c>
      <c r="D40" s="80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8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9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9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80"/>
    </row>
    <row r="41" spans="2:47" x14ac:dyDescent="0.25">
      <c r="B41" s="93" t="str">
        <f t="shared" si="39"/>
        <v/>
      </c>
      <c r="C41" s="93">
        <f t="shared" si="40"/>
        <v>0</v>
      </c>
      <c r="D41" s="80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80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9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9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80"/>
    </row>
    <row r="42" spans="2:47" x14ac:dyDescent="0.25">
      <c r="B42" s="93" t="str">
        <f t="shared" si="39"/>
        <v/>
      </c>
      <c r="C42" s="93">
        <f t="shared" si="40"/>
        <v>0</v>
      </c>
      <c r="D42" s="80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80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9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9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80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9"/>
      <c r="AG43" s="89"/>
      <c r="AU43" s="80"/>
    </row>
    <row r="44" spans="2:47" x14ac:dyDescent="0.25">
      <c r="B44" s="93" t="str">
        <f t="shared" si="39"/>
        <v/>
      </c>
      <c r="C44" t="str">
        <f t="shared" si="43"/>
        <v/>
      </c>
      <c r="D44" t="str">
        <f t="shared" si="42"/>
        <v/>
      </c>
      <c r="U44" s="89"/>
      <c r="AG44" s="89"/>
      <c r="AU44" s="80"/>
    </row>
    <row r="45" spans="2:47" x14ac:dyDescent="0.25">
      <c r="B45" s="93" t="str">
        <f t="shared" si="39"/>
        <v/>
      </c>
      <c r="C45" t="str">
        <f t="shared" si="43"/>
        <v/>
      </c>
      <c r="D45" t="str">
        <f t="shared" si="42"/>
        <v/>
      </c>
      <c r="U45" s="89"/>
      <c r="AG45" s="89"/>
      <c r="AU45" s="80"/>
    </row>
    <row r="46" spans="2:47" x14ac:dyDescent="0.25">
      <c r="U46" s="89"/>
      <c r="AG46" s="89"/>
      <c r="AU46" s="80"/>
    </row>
    <row r="47" spans="2:47" x14ac:dyDescent="0.25">
      <c r="U47" s="89"/>
      <c r="AG47" s="89"/>
      <c r="AU47" s="80"/>
    </row>
    <row r="48" spans="2:47" x14ac:dyDescent="0.25">
      <c r="U48" s="89"/>
      <c r="AG48" s="89"/>
      <c r="AU48" s="80"/>
    </row>
    <row r="49" spans="21:47" x14ac:dyDescent="0.25">
      <c r="U49" s="89"/>
      <c r="AG49" s="89"/>
      <c r="AU49" s="80"/>
    </row>
    <row r="50" spans="21:47" x14ac:dyDescent="0.25">
      <c r="U50" s="89"/>
      <c r="AG50" s="89"/>
      <c r="AU50" s="80"/>
    </row>
    <row r="51" spans="21:47" x14ac:dyDescent="0.25">
      <c r="U51" s="89"/>
      <c r="AG51" s="89"/>
      <c r="AU51" s="80"/>
    </row>
    <row r="52" spans="21:47" x14ac:dyDescent="0.25">
      <c r="U52" s="89"/>
      <c r="AG52" s="89"/>
      <c r="AU52" s="80"/>
    </row>
    <row r="53" spans="21:47" x14ac:dyDescent="0.25">
      <c r="U53" s="89"/>
      <c r="AG53" s="89"/>
      <c r="AU53" s="80"/>
    </row>
    <row r="54" spans="21:47" x14ac:dyDescent="0.25">
      <c r="U54" s="89"/>
      <c r="AG54" s="89"/>
      <c r="AU54" s="80"/>
    </row>
  </sheetData>
  <phoneticPr fontId="5" type="noConversion"/>
  <conditionalFormatting sqref="C6:C42 E6:H42">
    <cfRule type="cellIs" dxfId="131" priority="22" operator="equal">
      <formula>NaN</formula>
    </cfRule>
  </conditionalFormatting>
  <conditionalFormatting sqref="B6:C42 B44:B45">
    <cfRule type="cellIs" dxfId="130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9" priority="16" operator="greaterThan">
      <formula>0.5</formula>
    </cfRule>
  </conditionalFormatting>
  <conditionalFormatting sqref="AV6:AV17">
    <cfRule type="cellIs" dxfId="128" priority="15" operator="equal">
      <formula>NaN</formula>
    </cfRule>
  </conditionalFormatting>
  <conditionalFormatting sqref="AV6:AV42">
    <cfRule type="cellIs" dxfId="127" priority="14" operator="lessThan">
      <formula>0.000000000001</formula>
    </cfRule>
  </conditionalFormatting>
  <conditionalFormatting sqref="AV6:AV42">
    <cfRule type="cellIs" dxfId="126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5" priority="6" operator="equal">
      <formula>NaN</formula>
    </cfRule>
  </conditionalFormatting>
  <conditionalFormatting sqref="I5:AR5">
    <cfRule type="expression" dxfId="124" priority="4">
      <formula>OR(I4&lt;PerStart2,I4&gt;PerSlut2)</formula>
    </cfRule>
  </conditionalFormatting>
  <conditionalFormatting sqref="AU6:AU42">
    <cfRule type="cellIs" dxfId="123" priority="3" operator="equal">
      <formula>NaN</formula>
    </cfRule>
  </conditionalFormatting>
  <conditionalFormatting sqref="B6:B42 H6:H42">
    <cfRule type="expression" dxfId="122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 codeName="Sheet3">
    <tabColor theme="4"/>
  </sheetPr>
  <dimension ref="A1:AB208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D4" sqref="D4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44621.806702083333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44531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84</v>
      </c>
      <c r="D4" s="32" t="s">
        <v>139</v>
      </c>
      <c r="E4" s="32" t="s">
        <v>74</v>
      </c>
      <c r="F4" s="32" t="s">
        <v>161</v>
      </c>
      <c r="G4" s="32" t="s">
        <v>162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0.80659795139217749</v>
      </c>
      <c r="E5" s="38">
        <v>0.80662675925850635</v>
      </c>
      <c r="F5" s="38">
        <v>0.80665424768812954</v>
      </c>
      <c r="G5" s="38">
        <v>0.80668304397840984</v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54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Nøgletal.Total-NPV</v>
      </c>
      <c r="B7" s="12" t="s">
        <v>2</v>
      </c>
      <c r="C7" s="9" t="s">
        <v>79</v>
      </c>
      <c r="D7" s="11">
        <v>-7860871.3698134348</v>
      </c>
      <c r="E7" s="11">
        <v>-7190193.0035281517</v>
      </c>
      <c r="F7" s="11">
        <v>-6587955.9979884122</v>
      </c>
      <c r="G7" s="11">
        <v>-6284491.5191575233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Nøgletal.Total-Var-VPO</v>
      </c>
      <c r="B8" s="8" t="s">
        <v>6</v>
      </c>
      <c r="C8" s="9" t="s">
        <v>163</v>
      </c>
      <c r="D8" s="10">
        <v>255.689389334494</v>
      </c>
      <c r="E8" s="10">
        <v>242.63393911507893</v>
      </c>
      <c r="F8" s="10">
        <v>227.63615991711663</v>
      </c>
      <c r="G8" s="10">
        <v>224.7737358264572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Nøgletal.REFA-NPV</v>
      </c>
      <c r="B9" s="12" t="s">
        <v>2</v>
      </c>
      <c r="C9" s="13" t="s">
        <v>80</v>
      </c>
      <c r="D9" s="11">
        <v>-4832552.0807627598</v>
      </c>
      <c r="E9" s="11">
        <v>-4587317.1164580295</v>
      </c>
      <c r="F9" s="11">
        <v>-4410523.51289884</v>
      </c>
      <c r="G9" s="11">
        <v>-4470091.5191575233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ref="A10" si="1">IF(B10="Enhed",C10,IF(NOT(ISBLANK(C10)),$C$4&amp;"."&amp;C10,""))</f>
        <v>Nøgletal.REFA-Var-VPO-Total</v>
      </c>
      <c r="B10" s="8" t="s">
        <v>6</v>
      </c>
      <c r="C10" s="13" t="s">
        <v>164</v>
      </c>
      <c r="D10" s="10">
        <v>156.1643576613007</v>
      </c>
      <c r="E10" s="10">
        <v>154.42768831697316</v>
      </c>
      <c r="F10" s="10">
        <v>151.02732076357074</v>
      </c>
      <c r="G10" s="10">
        <v>159.19294346766503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outlineLevel="1" x14ac:dyDescent="0.25">
      <c r="A11" s="61" t="str">
        <f t="shared" si="0"/>
        <v>Nøgletal.REFA-Var-VPO-Affald</v>
      </c>
      <c r="B11" s="8" t="s">
        <v>6</v>
      </c>
      <c r="C11" s="13" t="s">
        <v>165</v>
      </c>
      <c r="D11" s="10">
        <v>166.21661928289996</v>
      </c>
      <c r="E11" s="10">
        <v>160.43723582691271</v>
      </c>
      <c r="F11" s="10">
        <v>155.63935378564997</v>
      </c>
      <c r="G11" s="10">
        <v>168.50522118613398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s="59" customFormat="1" outlineLevel="1" x14ac:dyDescent="0.25">
      <c r="A12" s="65" t="str">
        <f t="shared" si="0"/>
        <v>Nøgletal.REFA-Daekningsbidrag</v>
      </c>
      <c r="B12" s="57" t="s">
        <v>2</v>
      </c>
      <c r="C12" s="58" t="s">
        <v>7</v>
      </c>
      <c r="D12" s="56">
        <v>-4832552.0807627486</v>
      </c>
      <c r="E12" s="56">
        <v>-4587317.1164580053</v>
      </c>
      <c r="F12" s="56">
        <v>-4410523.5128988363</v>
      </c>
      <c r="G12" s="56">
        <v>-4470091.5191575391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</row>
    <row r="13" spans="1:27" outlineLevel="1" x14ac:dyDescent="0.25">
      <c r="A13" s="66" t="str">
        <f t="shared" si="0"/>
        <v>Nøgletal.REFA-Total-Var-Indkomst</v>
      </c>
      <c r="B13" s="12" t="s">
        <v>2</v>
      </c>
      <c r="C13" s="14" t="s">
        <v>8</v>
      </c>
      <c r="D13" s="11">
        <v>70030774.460572273</v>
      </c>
      <c r="E13" s="11">
        <v>70926254.615163028</v>
      </c>
      <c r="F13" s="11">
        <v>71700411.139262676</v>
      </c>
      <c r="G13" s="11">
        <v>72185035.876903921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Nøgletal.REFA-Affald-Modtagelse</v>
      </c>
      <c r="B14" s="12" t="s">
        <v>2</v>
      </c>
      <c r="C14" s="15" t="s">
        <v>9</v>
      </c>
      <c r="D14" s="11">
        <v>45948740.167934112</v>
      </c>
      <c r="E14" s="11">
        <v>45923989.383255169</v>
      </c>
      <c r="F14" s="11">
        <v>45830377.566412427</v>
      </c>
      <c r="G14" s="11">
        <v>45702665.873803586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Nøgletal.REFA-RGK-Rabat</v>
      </c>
      <c r="B15" s="12" t="s">
        <v>2</v>
      </c>
      <c r="C15" s="15" t="s">
        <v>10</v>
      </c>
      <c r="D15" s="11">
        <v>1405901.0091087776</v>
      </c>
      <c r="E15" s="11">
        <v>1431541.0098674283</v>
      </c>
      <c r="F15" s="11">
        <v>1450569.1671600984</v>
      </c>
      <c r="G15" s="11">
        <v>1474913.8672845897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Nøgletal.REFA-Elsalg</v>
      </c>
      <c r="B16" s="12" t="s">
        <v>2</v>
      </c>
      <c r="C16" s="15" t="s">
        <v>11</v>
      </c>
      <c r="D16" s="11">
        <v>22676133.283529393</v>
      </c>
      <c r="E16" s="11">
        <v>23570724.222040441</v>
      </c>
      <c r="F16" s="11">
        <v>24419464.40569016</v>
      </c>
      <c r="G16" s="11">
        <v>25007456.135815758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7" t="str">
        <f t="shared" si="0"/>
        <v>Nøgletal.REFA-Varmesalg</v>
      </c>
      <c r="B17" s="12" t="s">
        <v>2</v>
      </c>
      <c r="C17" s="15" t="s">
        <v>81</v>
      </c>
      <c r="D17" s="11">
        <v>1.1999999999999997E-13</v>
      </c>
      <c r="E17" s="11">
        <v>1.1999999999999997E-13</v>
      </c>
      <c r="F17" s="11">
        <v>1.1999999999999997E-13</v>
      </c>
      <c r="G17" s="11">
        <v>1.1999999999999997E-13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6" t="str">
        <f t="shared" si="0"/>
        <v>Nøgletal.REFA-Total-Var-Omkostning</v>
      </c>
      <c r="B18" s="12" t="s">
        <v>2</v>
      </c>
      <c r="C18" s="14" t="s">
        <v>12</v>
      </c>
      <c r="D18" s="11">
        <v>74863326.541335046</v>
      </c>
      <c r="E18" s="11">
        <v>75513571.731621042</v>
      </c>
      <c r="F18" s="11">
        <v>76110934.652161509</v>
      </c>
      <c r="G18" s="11">
        <v>76655127.396061465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Nøgletal.REFA-AnlaegsVarOmk</v>
      </c>
      <c r="B19" s="12" t="s">
        <v>2</v>
      </c>
      <c r="C19" s="15" t="s">
        <v>13</v>
      </c>
      <c r="D19" s="11">
        <v>11007733.69312785</v>
      </c>
      <c r="E19" s="11">
        <v>11154983.784814185</v>
      </c>
      <c r="F19" s="11">
        <v>11287205.540568357</v>
      </c>
      <c r="G19" s="11">
        <v>11412094.612064142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Nøgletal.REFA-BraendselOmk</v>
      </c>
      <c r="B20" s="12" t="s">
        <v>2</v>
      </c>
      <c r="C20" s="15" t="s">
        <v>14</v>
      </c>
      <c r="D20" s="11">
        <v>6561045.9207204878</v>
      </c>
      <c r="E20" s="11">
        <v>6030616.5218827222</v>
      </c>
      <c r="F20" s="11">
        <v>5666139.3669405747</v>
      </c>
      <c r="G20" s="11">
        <v>5157911.0071091298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Nøgletal.REFA-Afgifter</v>
      </c>
      <c r="B21" s="12" t="s">
        <v>2</v>
      </c>
      <c r="C21" s="115" t="s">
        <v>15</v>
      </c>
      <c r="D21" s="11">
        <v>42376717.537903301</v>
      </c>
      <c r="E21" s="11">
        <v>43064907.868162364</v>
      </c>
      <c r="F21" s="11">
        <v>43598619.262013391</v>
      </c>
      <c r="G21" s="11">
        <v>44250218.962486111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Nøgletal.REFA-Affaldvarme-afgift</v>
      </c>
      <c r="B22" s="12" t="s">
        <v>2</v>
      </c>
      <c r="C22" s="116" t="s">
        <v>147</v>
      </c>
      <c r="D22" s="11">
        <v>18318972.852469143</v>
      </c>
      <c r="E22" s="11">
        <v>18608052.875815026</v>
      </c>
      <c r="F22" s="11">
        <v>18824346.241990242</v>
      </c>
      <c r="G22" s="11">
        <v>19095410.289367229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7" t="str">
        <f t="shared" si="0"/>
        <v>Nøgletal.REFA-Tillaegs-Afgift</v>
      </c>
      <c r="B23" s="12" t="s">
        <v>2</v>
      </c>
      <c r="C23" s="116" t="s">
        <v>148</v>
      </c>
      <c r="D23" s="11">
        <v>19070154.011856508</v>
      </c>
      <c r="E23" s="11">
        <v>19398368.93567881</v>
      </c>
      <c r="F23" s="11">
        <v>19660465.766052827</v>
      </c>
      <c r="G23" s="11">
        <v>19975728.02006682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7" t="str">
        <f t="shared" si="0"/>
        <v>Nøgletal.REFA-CO2-Afgift</v>
      </c>
      <c r="B24" s="12" t="s">
        <v>2</v>
      </c>
      <c r="C24" s="116" t="s">
        <v>149</v>
      </c>
      <c r="D24" s="11">
        <v>4358299.8316091867</v>
      </c>
      <c r="E24" s="11">
        <v>4434900.5186949978</v>
      </c>
      <c r="F24" s="11">
        <v>4495973.8638405334</v>
      </c>
      <c r="G24" s="11">
        <v>4568720.6295946687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7" t="str">
        <f t="shared" si="0"/>
        <v>Nøgletal.REFA-NOx-Afgift</v>
      </c>
      <c r="B25" s="12" t="s">
        <v>2</v>
      </c>
      <c r="C25" s="116" t="s">
        <v>150</v>
      </c>
      <c r="D25" s="11">
        <v>629290.84196846047</v>
      </c>
      <c r="E25" s="11">
        <v>623585.53797352256</v>
      </c>
      <c r="F25" s="11">
        <v>617833.39012978622</v>
      </c>
      <c r="G25" s="11">
        <v>610360.02345738607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7" t="str">
        <f t="shared" si="0"/>
        <v>Nøgletal.REFA-CO2-Kvoteomk</v>
      </c>
      <c r="B26" s="12" t="s">
        <v>2</v>
      </c>
      <c r="C26" s="15" t="s">
        <v>16</v>
      </c>
      <c r="D26" s="11">
        <v>14917829.3895834</v>
      </c>
      <c r="E26" s="11">
        <v>15263063.556761771</v>
      </c>
      <c r="F26" s="11">
        <v>15558970.482639194</v>
      </c>
      <c r="G26" s="11">
        <v>15834902.814402092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7" t="str">
        <f t="shared" si="0"/>
        <v>Nøgletal.REFA-Lageromkostning</v>
      </c>
      <c r="B27" s="12" t="s">
        <v>2</v>
      </c>
      <c r="C27" s="15" t="s">
        <v>17</v>
      </c>
      <c r="D27" s="11">
        <v>1.1999999999999997E-13</v>
      </c>
      <c r="E27" s="11">
        <v>1.1999999999999997E-13</v>
      </c>
      <c r="F27" s="11">
        <v>1.1999999999999997E-13</v>
      </c>
      <c r="G27" s="11">
        <v>1.1999999999999997E-13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outlineLevel="1" x14ac:dyDescent="0.25">
      <c r="A28" s="68" t="str">
        <f t="shared" si="0"/>
        <v>Nøgletal.REFA-CO2-Emission-Afgift</v>
      </c>
      <c r="B28" s="8" t="s">
        <v>18</v>
      </c>
      <c r="C28" s="13" t="s">
        <v>19</v>
      </c>
      <c r="D28" s="16">
        <v>36407.149211917997</v>
      </c>
      <c r="E28" s="16">
        <v>37249.697514976862</v>
      </c>
      <c r="F28" s="16">
        <v>37971.862068674061</v>
      </c>
      <c r="G28" s="16">
        <v>38645.278375599984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8" t="str">
        <f t="shared" si="0"/>
        <v>Nøgletal.REFA-CO2-Emission-Kvote</v>
      </c>
      <c r="B29" s="8" t="s">
        <v>18</v>
      </c>
      <c r="C29" s="13" t="s">
        <v>20</v>
      </c>
      <c r="D29" s="16">
        <v>36407.149211917997</v>
      </c>
      <c r="E29" s="16">
        <v>37249.697514976862</v>
      </c>
      <c r="F29" s="16">
        <v>37971.862068674061</v>
      </c>
      <c r="G29" s="16">
        <v>38645.278375599984</v>
      </c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8" t="str">
        <f t="shared" si="0"/>
        <v>Nøgletal.REFA-El-produktion-Brutto</v>
      </c>
      <c r="B30" s="8" t="s">
        <v>21</v>
      </c>
      <c r="C30" s="13" t="s">
        <v>22</v>
      </c>
      <c r="D30" s="16">
        <v>38400.041853300965</v>
      </c>
      <c r="E30" s="16">
        <v>39650.699975424897</v>
      </c>
      <c r="F30" s="16">
        <v>40778.872891292893</v>
      </c>
      <c r="G30" s="16">
        <v>41635.486279289318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8" t="str">
        <f t="shared" si="0"/>
        <v>Nøgletal.REFA-El-produktion-Netto</v>
      </c>
      <c r="B31" s="8" t="s">
        <v>21</v>
      </c>
      <c r="C31" s="13" t="s">
        <v>23</v>
      </c>
      <c r="D31" s="16">
        <v>31438.836297745413</v>
      </c>
      <c r="E31" s="16">
        <v>32689.494419869341</v>
      </c>
      <c r="F31" s="16">
        <v>33817.667335737337</v>
      </c>
      <c r="G31" s="16">
        <v>34674.280723733769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outlineLevel="1" x14ac:dyDescent="0.25">
      <c r="A32" s="69" t="str">
        <f t="shared" si="0"/>
        <v>Nøgletal.REFA-Total-Affald-Raadighed</v>
      </c>
      <c r="B32" s="8" t="s">
        <v>18</v>
      </c>
      <c r="C32" s="14" t="s">
        <v>24</v>
      </c>
      <c r="D32" s="7">
        <v>97113.239000000016</v>
      </c>
      <c r="E32" s="7">
        <v>97113.239000000016</v>
      </c>
      <c r="F32" s="7">
        <v>97113.239000000016</v>
      </c>
      <c r="G32" s="7">
        <v>97113.239000000016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8" t="str">
        <f t="shared" si="0"/>
        <v>Nøgletal.REFA-Affald-anvendt</v>
      </c>
      <c r="B33" s="8" t="s">
        <v>18</v>
      </c>
      <c r="C33" s="15" t="s">
        <v>25</v>
      </c>
      <c r="D33" s="7">
        <v>96686.172000215331</v>
      </c>
      <c r="E33" s="7">
        <v>96617.38812258924</v>
      </c>
      <c r="F33" s="7">
        <v>96255.917060099571</v>
      </c>
      <c r="G33" s="7">
        <v>95845.782742074574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8" t="str">
        <f t="shared" si="0"/>
        <v>Nøgletal.REFA-Affald-Uudnyttet</v>
      </c>
      <c r="B34" s="8" t="s">
        <v>18</v>
      </c>
      <c r="C34" s="15" t="s">
        <v>26</v>
      </c>
      <c r="D34" s="7">
        <v>427.15019825261049</v>
      </c>
      <c r="E34" s="7">
        <v>495.92097419871851</v>
      </c>
      <c r="F34" s="7">
        <v>857.39203668839616</v>
      </c>
      <c r="G34" s="7">
        <v>1267.517362203369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8" t="str">
        <f t="shared" si="0"/>
        <v>Nøgletal.REFA-Affald-Lagret</v>
      </c>
      <c r="B35" s="8" t="s">
        <v>18</v>
      </c>
      <c r="C35" s="15" t="s">
        <v>27</v>
      </c>
      <c r="D35" s="7">
        <v>1.1999999999999997E-13</v>
      </c>
      <c r="E35" s="7">
        <v>1.1999999999999997E-13</v>
      </c>
      <c r="F35" s="7">
        <v>1.1999999999999997E-13</v>
      </c>
      <c r="G35" s="7">
        <v>1.1999999999999997E-13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9" t="str">
        <f t="shared" si="0"/>
        <v>Nøgletal.REFA-Total-Varme-Produktion</v>
      </c>
      <c r="B36" s="8" t="s">
        <v>4</v>
      </c>
      <c r="C36" s="14" t="s">
        <v>28</v>
      </c>
      <c r="D36" s="7">
        <v>251338.7644386403</v>
      </c>
      <c r="E36" s="7">
        <v>252699.13749774397</v>
      </c>
      <c r="F36" s="7">
        <v>254059.51418751059</v>
      </c>
      <c r="G36" s="7">
        <v>255330.75859016247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8" t="str">
        <f t="shared" si="0"/>
        <v>Nøgletal.REFA-Leveret-Varme</v>
      </c>
      <c r="B37" s="8" t="s">
        <v>4</v>
      </c>
      <c r="C37" s="15" t="s">
        <v>76</v>
      </c>
      <c r="D37" s="7">
        <v>228666.33881109447</v>
      </c>
      <c r="E37" s="7">
        <v>229273.93663643458</v>
      </c>
      <c r="F37" s="7">
        <v>229881.53446177469</v>
      </c>
      <c r="G37" s="7">
        <v>230400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8" t="str">
        <f t="shared" si="0"/>
        <v>Nøgletal.REFA-Modtryk-Varme</v>
      </c>
      <c r="B38" s="8" t="s">
        <v>4</v>
      </c>
      <c r="C38" s="15" t="s">
        <v>29</v>
      </c>
      <c r="D38" s="7">
        <v>189397.13223085762</v>
      </c>
      <c r="E38" s="7">
        <v>193463.04606022971</v>
      </c>
      <c r="F38" s="7">
        <v>196894.09698946853</v>
      </c>
      <c r="G38" s="7">
        <v>200267.66582260843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8" t="str">
        <f t="shared" si="0"/>
        <v>Nøgletal.REFA-Bypass-Varme</v>
      </c>
      <c r="B39" s="8" t="s">
        <v>4</v>
      </c>
      <c r="C39" s="15" t="s">
        <v>30</v>
      </c>
      <c r="D39" s="7">
        <v>5414.5354603952073</v>
      </c>
      <c r="E39" s="7">
        <v>5510.0005025995088</v>
      </c>
      <c r="F39" s="7">
        <v>5605.4655448038102</v>
      </c>
      <c r="G39" s="7">
        <v>5700.9305870081116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8" t="str">
        <f t="shared" si="0"/>
        <v>Nøgletal.REFA-RGK-Varme</v>
      </c>
      <c r="B40" s="8" t="s">
        <v>4</v>
      </c>
      <c r="C40" s="15" t="s">
        <v>31</v>
      </c>
      <c r="D40" s="7">
        <v>25544.379899540712</v>
      </c>
      <c r="E40" s="7">
        <v>25248.17958157968</v>
      </c>
      <c r="F40" s="7">
        <v>24803.18242046329</v>
      </c>
      <c r="G40" s="7">
        <v>25005.360202530559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8" t="str">
        <f t="shared" si="0"/>
        <v>Nøgletal.REFA-Bortkoelet-Varme</v>
      </c>
      <c r="B41" s="8" t="s">
        <v>4</v>
      </c>
      <c r="C41" s="15" t="s">
        <v>32</v>
      </c>
      <c r="D41" s="7">
        <v>22672.42562754581</v>
      </c>
      <c r="E41" s="7">
        <v>23425.2008613094</v>
      </c>
      <c r="F41" s="7">
        <v>24177.979725735921</v>
      </c>
      <c r="G41" s="7">
        <v>24930.758590162448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69" t="str">
        <f t="shared" si="0"/>
        <v>Nøgletal.GSF-Total-Var-Omkostning</v>
      </c>
      <c r="B42" s="12" t="s">
        <v>2</v>
      </c>
      <c r="C42" s="21" t="s">
        <v>33</v>
      </c>
      <c r="D42" s="11">
        <v>3124876.4319376918</v>
      </c>
      <c r="E42" s="11">
        <v>2665592.5596191934</v>
      </c>
      <c r="F42" s="11">
        <v>2206308.6873006979</v>
      </c>
      <c r="G42" s="11">
        <v>1814400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6" t="str">
        <f t="shared" si="0"/>
        <v>Nøgletal.GSF-AnlaegsVarOmk</v>
      </c>
      <c r="B43" s="12" t="s">
        <v>2</v>
      </c>
      <c r="C43" s="34" t="s">
        <v>34</v>
      </c>
      <c r="D43" s="11">
        <v>17336.621889055383</v>
      </c>
      <c r="E43" s="11">
        <v>11260.643635654304</v>
      </c>
      <c r="F43" s="11">
        <v>5184.6653822532589</v>
      </c>
      <c r="G43" s="11">
        <v>1.1999999999999997E-13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7" t="str">
        <f t="shared" si="0"/>
        <v>Nøgletal.GSF-BraendselOmk</v>
      </c>
      <c r="B44" s="12" t="s">
        <v>2</v>
      </c>
      <c r="C44" s="17" t="s">
        <v>35</v>
      </c>
      <c r="D44" s="11">
        <v>2523625.031824993</v>
      </c>
      <c r="E44" s="11">
        <v>2275062.2850949485</v>
      </c>
      <c r="F44" s="11">
        <v>2026499.5383649059</v>
      </c>
      <c r="G44" s="11">
        <v>1814400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7" t="str">
        <f t="shared" si="0"/>
        <v>Nøgletal.GSF-Afgifter</v>
      </c>
      <c r="B45" s="12" t="s">
        <v>2</v>
      </c>
      <c r="C45" s="17" t="s">
        <v>36</v>
      </c>
      <c r="D45" s="11">
        <v>583914.77822364355</v>
      </c>
      <c r="E45" s="11">
        <v>379269.63088859041</v>
      </c>
      <c r="F45" s="11">
        <v>174624.48355353845</v>
      </c>
      <c r="G45" s="11">
        <v>1.1999999999999997E-13</v>
      </c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8" t="str">
        <f t="shared" si="0"/>
        <v>Nøgletal.GSF-CO2-Emission</v>
      </c>
      <c r="B46" s="8" t="s">
        <v>18</v>
      </c>
      <c r="C46" s="17" t="s">
        <v>37</v>
      </c>
      <c r="D46" s="11">
        <v>453.9040203679956</v>
      </c>
      <c r="E46" s="11">
        <v>294.82386246076726</v>
      </c>
      <c r="F46" s="11">
        <v>135.74370455353989</v>
      </c>
      <c r="G46" s="11">
        <v>1.1999999999999997E-13</v>
      </c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8" t="str">
        <f t="shared" si="0"/>
        <v>Nøgletal.GSF-Total-Varme-Produktion</v>
      </c>
      <c r="B47" s="8" t="s">
        <v>4</v>
      </c>
      <c r="C47" s="18" t="s">
        <v>38</v>
      </c>
      <c r="D47" s="16">
        <v>1733.6611889055384</v>
      </c>
      <c r="E47" s="16">
        <v>1126.0633635654303</v>
      </c>
      <c r="F47" s="16">
        <v>518.46553822532587</v>
      </c>
      <c r="G47" s="16">
        <v>1.1999999999999997E-13</v>
      </c>
      <c r="H47" s="16"/>
      <c r="I47" s="16"/>
      <c r="J47" s="16"/>
      <c r="K47" s="16"/>
      <c r="L47" s="16"/>
      <c r="M47" s="16"/>
      <c r="N47" s="16"/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outlineLevel="1" x14ac:dyDescent="0.25">
      <c r="A48" s="68" t="str">
        <f t="shared" si="0"/>
        <v>Nøgletal.NS-Total-Varme-Produktion</v>
      </c>
      <c r="B48" s="8" t="s">
        <v>4</v>
      </c>
      <c r="C48" s="35" t="s">
        <v>75</v>
      </c>
      <c r="D48" s="16">
        <v>9600</v>
      </c>
      <c r="E48" s="16">
        <v>9600</v>
      </c>
      <c r="F48" s="16">
        <v>9600</v>
      </c>
      <c r="G48" s="16">
        <v>9600</v>
      </c>
      <c r="H48" s="16"/>
      <c r="I48" s="16"/>
      <c r="J48" s="16"/>
      <c r="K48" s="16"/>
      <c r="L48" s="16"/>
      <c r="M48" s="16"/>
      <c r="N48" s="16"/>
      <c r="O48" s="16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8" s="44" customFormat="1" outlineLevel="1" x14ac:dyDescent="0.25">
      <c r="A49" s="70" t="str">
        <f t="shared" si="0"/>
        <v>Nøgletal.Virtuel-Varme-Kilde</v>
      </c>
      <c r="B49" s="43" t="s">
        <v>4</v>
      </c>
      <c r="C49" s="47" t="s">
        <v>77</v>
      </c>
      <c r="D49" s="42">
        <v>1.1999999999999997E-13</v>
      </c>
      <c r="E49" s="42">
        <v>1.1999999999999997E-13</v>
      </c>
      <c r="F49" s="42">
        <v>1.1999999999999997E-13</v>
      </c>
      <c r="G49" s="42">
        <v>1.1999999999999997E-13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8" outlineLevel="1" x14ac:dyDescent="0.25">
      <c r="A50" s="68" t="str">
        <f t="shared" si="0"/>
        <v>Nøgletal.Virtuel-Varme-Draen</v>
      </c>
      <c r="B50" s="8" t="s">
        <v>4</v>
      </c>
      <c r="C50" s="48" t="s">
        <v>82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8" t="str">
        <f t="shared" si="0"/>
        <v>Nøgletal.Virtuel-Affaldstonnage-Kilde</v>
      </c>
      <c r="B51" s="8" t="s">
        <v>18</v>
      </c>
      <c r="C51" s="48" t="s">
        <v>78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outlineLevel="1" x14ac:dyDescent="0.25">
      <c r="A52" s="68" t="str">
        <f t="shared" si="0"/>
        <v>Nøgletal.Virtuel-Affaldstonnage-Draen</v>
      </c>
      <c r="B52" s="8" t="s">
        <v>18</v>
      </c>
      <c r="C52" s="48" t="s">
        <v>83</v>
      </c>
      <c r="D52" s="16">
        <v>1.1999999999999997E-13</v>
      </c>
      <c r="E52" s="16">
        <v>1.1999999999999997E-13</v>
      </c>
      <c r="F52" s="16">
        <v>1.1999999999999997E-13</v>
      </c>
      <c r="G52" s="16">
        <v>1.1999999999999997E-13</v>
      </c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8" outlineLevel="1" x14ac:dyDescent="0.25">
      <c r="A53" s="68"/>
      <c r="B53" s="8"/>
      <c r="C53" s="8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8" s="6" customFormat="1" ht="18.75" x14ac:dyDescent="0.3">
      <c r="A54" s="62" t="str">
        <f t="shared" si="0"/>
        <v/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20" customFormat="1" ht="18.75" x14ac:dyDescent="0.3">
      <c r="A55" s="63"/>
      <c r="B55" s="33" t="s">
        <v>3</v>
      </c>
      <c r="C55" s="33" t="s">
        <v>151</v>
      </c>
      <c r="D55" s="32" t="s">
        <v>139</v>
      </c>
      <c r="E55" s="32" t="s">
        <v>74</v>
      </c>
      <c r="F55" s="32" t="s">
        <v>161</v>
      </c>
      <c r="G55" s="32" t="s">
        <v>162</v>
      </c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8" outlineLevel="1" x14ac:dyDescent="0.25">
      <c r="A56" s="67" t="str">
        <f>IF(NOT(ISBLANK(C56)),$C$55&amp;"."&amp;C56,"")</f>
        <v>Varmemængder.Ovn2</v>
      </c>
      <c r="B56" s="8" t="s">
        <v>4</v>
      </c>
      <c r="C56" s="23" t="s">
        <v>39</v>
      </c>
      <c r="D56" s="22">
        <v>50568.059694173324</v>
      </c>
      <c r="E56" s="22">
        <v>50113.882242636806</v>
      </c>
      <c r="F56" s="22">
        <v>49431.553262258341</v>
      </c>
      <c r="G56" s="22">
        <v>49741.559194761488</v>
      </c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7" t="str">
        <f t="shared" ref="A57:A62" si="2">IF(NOT(ISBLANK(C57)),$C$55&amp;"."&amp;C57,"")</f>
        <v>Varmemængder.Ovn3</v>
      </c>
      <c r="B57" s="8" t="s">
        <v>4</v>
      </c>
      <c r="C57" s="23" t="s">
        <v>40</v>
      </c>
      <c r="D57" s="22">
        <v>169787.98789662018</v>
      </c>
      <c r="E57" s="22">
        <v>174107.34390177208</v>
      </c>
      <c r="F57" s="22">
        <v>177871.19169247732</v>
      </c>
      <c r="G57" s="22">
        <v>181232.3974173856</v>
      </c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8" t="str">
        <f t="shared" si="2"/>
        <v>Varmemængder.FlisK</v>
      </c>
      <c r="B58" s="8" t="s">
        <v>4</v>
      </c>
      <c r="C58" s="23" t="s">
        <v>41</v>
      </c>
      <c r="D58" s="22">
        <v>30982.716847846747</v>
      </c>
      <c r="E58" s="22">
        <v>28477.911353335076</v>
      </c>
      <c r="F58" s="22">
        <v>26756.769232774939</v>
      </c>
      <c r="G58" s="22">
        <v>24356.801978015337</v>
      </c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8" t="str">
        <f t="shared" si="2"/>
        <v>Varmemængder.NS</v>
      </c>
      <c r="B59" s="8" t="s">
        <v>4</v>
      </c>
      <c r="C59" s="23" t="s">
        <v>42</v>
      </c>
      <c r="D59" s="49">
        <v>9600</v>
      </c>
      <c r="E59" s="22">
        <v>9600</v>
      </c>
      <c r="F59" s="22">
        <v>9600</v>
      </c>
      <c r="G59" s="22">
        <v>9600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8" t="str">
        <f t="shared" si="2"/>
        <v>Varmemængder.Cooler</v>
      </c>
      <c r="B60" s="8" t="s">
        <v>4</v>
      </c>
      <c r="C60" s="23" t="s">
        <v>43</v>
      </c>
      <c r="D60" s="22">
        <v>-22672.42562754581</v>
      </c>
      <c r="E60" s="22">
        <v>-23425.2008613094</v>
      </c>
      <c r="F60" s="22">
        <v>-24177.979725735921</v>
      </c>
      <c r="G60" s="22">
        <v>-24930.758590162448</v>
      </c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68" t="str">
        <f t="shared" si="2"/>
        <v>Varmemængder.PeakK</v>
      </c>
      <c r="B61" s="8" t="s">
        <v>4</v>
      </c>
      <c r="C61" s="23" t="s">
        <v>44</v>
      </c>
      <c r="D61" s="22">
        <v>1733.6611889055384</v>
      </c>
      <c r="E61" s="22">
        <v>1126.0633635654303</v>
      </c>
      <c r="F61" s="22">
        <v>518.46553822532587</v>
      </c>
      <c r="G61" s="22">
        <v>1.1999999999999997E-13</v>
      </c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</row>
    <row r="62" spans="1:28" outlineLevel="1" x14ac:dyDescent="0.25">
      <c r="A62" s="71" t="str">
        <f t="shared" si="2"/>
        <v/>
      </c>
      <c r="B62" s="25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</row>
    <row r="63" spans="1:28" s="20" customFormat="1" ht="18.75" x14ac:dyDescent="0.3">
      <c r="A63" s="63"/>
      <c r="B63" s="33" t="s">
        <v>3</v>
      </c>
      <c r="C63" s="33" t="s">
        <v>140</v>
      </c>
      <c r="D63" s="32" t="s">
        <v>139</v>
      </c>
      <c r="E63" s="32" t="s">
        <v>74</v>
      </c>
      <c r="F63" s="32" t="s">
        <v>161</v>
      </c>
      <c r="G63" s="32" t="s">
        <v>162</v>
      </c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8" outlineLevel="1" x14ac:dyDescent="0.25">
      <c r="A64" s="67" t="str">
        <f>IF(NOT(ISBLANK(C64)),$C$63&amp;"."&amp;C64,"")</f>
        <v>Brændselsforbrug.DepoSort</v>
      </c>
      <c r="B64" s="28" t="s">
        <v>18</v>
      </c>
      <c r="C64" s="29" t="s">
        <v>45</v>
      </c>
      <c r="D64" s="50">
        <v>12915.3125712</v>
      </c>
      <c r="E64" s="50">
        <v>12915.307187679999</v>
      </c>
      <c r="F64" s="50">
        <v>12915.307187679999</v>
      </c>
      <c r="G64" s="50">
        <v>12915.305919689999</v>
      </c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ref="A65:A94" si="3">IF(NOT(ISBLANK(C65)),$C$63&amp;"."&amp;C65,"")</f>
        <v>Brændselsforbrug.DepoSmaat</v>
      </c>
      <c r="B65" s="28" t="s">
        <v>18</v>
      </c>
      <c r="C65" s="29" t="s">
        <v>46</v>
      </c>
      <c r="D65" s="50">
        <v>-1.1999999999999997E-13</v>
      </c>
      <c r="E65" s="50">
        <v>-1.1999999999999997E-13</v>
      </c>
      <c r="F65" s="50">
        <v>-1.1999999999999997E-13</v>
      </c>
      <c r="G65" s="50">
        <v>-1.1999999999999997E-13</v>
      </c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3"/>
        <v>Brændselsforbrug.DepoNedd</v>
      </c>
      <c r="B66" s="28" t="s">
        <v>18</v>
      </c>
      <c r="C66" s="29" t="s">
        <v>47</v>
      </c>
      <c r="D66" s="50">
        <v>-1.1999999999999997E-13</v>
      </c>
      <c r="E66" s="50">
        <v>-1.1999999999999997E-13</v>
      </c>
      <c r="F66" s="50">
        <v>-1.1999999999999997E-13</v>
      </c>
      <c r="G66" s="50">
        <v>-1.1999999999999997E-13</v>
      </c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3"/>
        <v>Brændselsforbrug.Dagren</v>
      </c>
      <c r="B67" s="28" t="s">
        <v>18</v>
      </c>
      <c r="C67" s="29" t="s">
        <v>48</v>
      </c>
      <c r="D67" s="50">
        <v>28766.80632304</v>
      </c>
      <c r="E67" s="50">
        <v>28766.803966059997</v>
      </c>
      <c r="F67" s="50">
        <v>28766.803966059997</v>
      </c>
      <c r="G67" s="50">
        <v>28766.801544719994</v>
      </c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3"/>
        <v>Brændselsforbrug.AndetBrand</v>
      </c>
      <c r="B68" s="28" t="s">
        <v>18</v>
      </c>
      <c r="C68" s="29" t="s">
        <v>49</v>
      </c>
      <c r="D68" s="50">
        <v>4232.4125081879683</v>
      </c>
      <c r="E68" s="50">
        <v>4232.41207062797</v>
      </c>
      <c r="F68" s="50">
        <v>4232.4120706279673</v>
      </c>
      <c r="G68" s="50">
        <v>4232.4116304379677</v>
      </c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3"/>
        <v>Brændselsforbrug.Trae</v>
      </c>
      <c r="B69" s="28" t="s">
        <v>18</v>
      </c>
      <c r="C69" s="29" t="s">
        <v>50</v>
      </c>
      <c r="D69" s="50">
        <v>33.350033350000082</v>
      </c>
      <c r="E69" s="50">
        <v>33.350033350000082</v>
      </c>
      <c r="F69" s="50">
        <v>33.350033350000082</v>
      </c>
      <c r="G69" s="50">
        <v>33.350000000000087</v>
      </c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3"/>
        <v>Brændselsforbrug.DagrenRast</v>
      </c>
      <c r="B70" s="28" t="s">
        <v>18</v>
      </c>
      <c r="C70" s="29" t="s">
        <v>51</v>
      </c>
      <c r="D70" s="50">
        <v>4041.3723674673893</v>
      </c>
      <c r="E70" s="50">
        <v>3994.2399924740557</v>
      </c>
      <c r="F70" s="50">
        <v>4289.7822740599995</v>
      </c>
      <c r="G70" s="50">
        <v>4289.7819416699995</v>
      </c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3"/>
        <v>Brændselsforbrug.DagrenInst</v>
      </c>
      <c r="B71" s="28" t="s">
        <v>18</v>
      </c>
      <c r="C71" s="29" t="s">
        <v>52</v>
      </c>
      <c r="D71" s="50">
        <v>106.90010065999999</v>
      </c>
      <c r="E71" s="50">
        <v>106.90009450999999</v>
      </c>
      <c r="F71" s="50">
        <v>106.90009450999999</v>
      </c>
      <c r="G71" s="50">
        <v>106.90007589999999</v>
      </c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3"/>
        <v>Brændselsforbrug.DagrenHandel</v>
      </c>
      <c r="B72" s="28" t="s">
        <v>18</v>
      </c>
      <c r="C72" s="29" t="s">
        <v>53</v>
      </c>
      <c r="D72" s="50">
        <v>4266.2825730999994</v>
      </c>
      <c r="E72" s="50">
        <v>4266.2823160999997</v>
      </c>
      <c r="F72" s="50">
        <v>4266.2823160999997</v>
      </c>
      <c r="G72" s="50">
        <v>4266.2820067899993</v>
      </c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3"/>
        <v>Brændselsforbrug.DagrenRestau</v>
      </c>
      <c r="B73" s="28" t="s">
        <v>18</v>
      </c>
      <c r="C73" s="29" t="s">
        <v>54</v>
      </c>
      <c r="D73" s="50">
        <v>398.46037061999994</v>
      </c>
      <c r="E73" s="50">
        <v>398.46034781999992</v>
      </c>
      <c r="F73" s="50">
        <v>398.46034781999992</v>
      </c>
      <c r="G73" s="50">
        <v>398.46032569999994</v>
      </c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3"/>
        <v>Brændselsforbrug.Erhverv</v>
      </c>
      <c r="B74" s="28" t="s">
        <v>18</v>
      </c>
      <c r="C74" s="29" t="s">
        <v>55</v>
      </c>
      <c r="D74" s="50">
        <v>6141.6760575299995</v>
      </c>
      <c r="E74" s="50">
        <v>6141.6750415299994</v>
      </c>
      <c r="F74" s="50">
        <v>6141.6750415299994</v>
      </c>
      <c r="G74" s="50">
        <v>6141.674464499999</v>
      </c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3"/>
        <v>Brændselsforbrug.DagrenErhverv</v>
      </c>
      <c r="B75" s="28" t="s">
        <v>18</v>
      </c>
      <c r="C75" s="29" t="s">
        <v>56</v>
      </c>
      <c r="D75" s="50">
        <v>134.19012844000002</v>
      </c>
      <c r="E75" s="50">
        <v>134.19011491000001</v>
      </c>
      <c r="F75" s="50">
        <v>134.19011491000001</v>
      </c>
      <c r="G75" s="50">
        <v>134.19010563000003</v>
      </c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3"/>
        <v>Brændselsforbrug.HandelKontor</v>
      </c>
      <c r="B76" s="28" t="s">
        <v>18</v>
      </c>
      <c r="C76" s="29" t="s">
        <v>57</v>
      </c>
      <c r="D76" s="50">
        <v>48.960039500000001</v>
      </c>
      <c r="E76" s="50">
        <v>48.96003271</v>
      </c>
      <c r="F76" s="50">
        <v>42.170032710000022</v>
      </c>
      <c r="G76" s="50">
        <v>42.170029360000022</v>
      </c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3"/>
        <v>Brændselsforbrug.Privat</v>
      </c>
      <c r="B77" s="28" t="s">
        <v>18</v>
      </c>
      <c r="C77" s="29" t="s">
        <v>58</v>
      </c>
      <c r="D77" s="50">
        <v>12.890010420000069</v>
      </c>
      <c r="E77" s="50">
        <v>12.890010420000069</v>
      </c>
      <c r="F77" s="50">
        <v>12.890010420000069</v>
      </c>
      <c r="G77" s="50">
        <v>12.890010420000069</v>
      </c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3"/>
        <v>Brændselsforbrug.TyskRest</v>
      </c>
      <c r="B78" s="28" t="s">
        <v>18</v>
      </c>
      <c r="C78" s="29" t="s">
        <v>59</v>
      </c>
      <c r="D78" s="50">
        <v>34232.717706079995</v>
      </c>
      <c r="E78" s="50">
        <v>34232.714479699993</v>
      </c>
      <c r="F78" s="50">
        <v>33628.972443011604</v>
      </c>
      <c r="G78" s="50">
        <v>33309.700548533619</v>
      </c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3"/>
        <v>Brændselsforbrug.PolskRest</v>
      </c>
      <c r="B79" s="28" t="s">
        <v>18</v>
      </c>
      <c r="C79" s="29" t="s">
        <v>60</v>
      </c>
      <c r="D79" s="50">
        <v>154.09015409000003</v>
      </c>
      <c r="E79" s="50">
        <v>154.09015409000003</v>
      </c>
      <c r="F79" s="50">
        <v>154.09015409000003</v>
      </c>
      <c r="G79" s="50">
        <v>154.09000000000003</v>
      </c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3"/>
        <v>Brændselsforbrug.PcbTrae</v>
      </c>
      <c r="B80" s="28" t="s">
        <v>18</v>
      </c>
      <c r="C80" s="29" t="s">
        <v>61</v>
      </c>
      <c r="D80" s="50">
        <v>-1.1999999999999997E-13</v>
      </c>
      <c r="E80" s="50">
        <v>-1.1999999999999997E-13</v>
      </c>
      <c r="F80" s="50">
        <v>-1.1999999999999997E-13</v>
      </c>
      <c r="G80" s="50">
        <v>-1.1999999999999997E-13</v>
      </c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3"/>
        <v>Brændselsforbrug.TraeRekv</v>
      </c>
      <c r="B81" s="28" t="s">
        <v>18</v>
      </c>
      <c r="C81" s="29" t="s">
        <v>62</v>
      </c>
      <c r="D81" s="50">
        <v>886.67076695000003</v>
      </c>
      <c r="E81" s="50">
        <v>865.03201683722557</v>
      </c>
      <c r="F81" s="50">
        <v>829.17070945</v>
      </c>
      <c r="G81" s="50">
        <v>738.31393258301057</v>
      </c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3"/>
        <v>Brændselsforbrug.Halm</v>
      </c>
      <c r="B82" s="28" t="s">
        <v>18</v>
      </c>
      <c r="C82" s="29" t="s">
        <v>63</v>
      </c>
      <c r="D82" s="50">
        <v>-1.1999999999999997E-13</v>
      </c>
      <c r="E82" s="50">
        <v>-1.1999999999999997E-13</v>
      </c>
      <c r="F82" s="50">
        <v>-1.1999999999999997E-13</v>
      </c>
      <c r="G82" s="50">
        <v>-1.1999999999999997E-13</v>
      </c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3"/>
        <v>Brændselsforbrug.Pulver</v>
      </c>
      <c r="B83" s="28" t="s">
        <v>18</v>
      </c>
      <c r="C83" s="29" t="s">
        <v>64</v>
      </c>
      <c r="D83" s="50">
        <v>101.88007943000001</v>
      </c>
      <c r="E83" s="50">
        <v>101.88006881000001</v>
      </c>
      <c r="F83" s="50">
        <v>91.260068810000021</v>
      </c>
      <c r="G83" s="50">
        <v>91.260059640000023</v>
      </c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3"/>
        <v>Brændselsforbrug.FlisAffald</v>
      </c>
      <c r="B84" s="28" t="s">
        <v>18</v>
      </c>
      <c r="C84" s="29" t="s">
        <v>65</v>
      </c>
      <c r="D84" s="50">
        <v>212.20021014999998</v>
      </c>
      <c r="E84" s="50">
        <v>212.20019495999998</v>
      </c>
      <c r="F84" s="50">
        <v>212.20019495999998</v>
      </c>
      <c r="G84" s="50">
        <v>212.20014649999996</v>
      </c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3"/>
        <v>Brændselsforbrug.NyAff1</v>
      </c>
      <c r="B85" s="28" t="s">
        <v>18</v>
      </c>
      <c r="C85" s="29" t="s">
        <v>66</v>
      </c>
      <c r="D85" s="50">
        <v>-1.1999999999999997E-13</v>
      </c>
      <c r="E85" s="50">
        <v>-1.1999999999999997E-13</v>
      </c>
      <c r="F85" s="50">
        <v>-1.1999999999999997E-13</v>
      </c>
      <c r="G85" s="50">
        <v>-1.1999999999999997E-13</v>
      </c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3"/>
        <v>Brændselsforbrug.NyAff2</v>
      </c>
      <c r="B86" s="28" t="s">
        <v>18</v>
      </c>
      <c r="C86" s="29" t="s">
        <v>67</v>
      </c>
      <c r="D86" s="50">
        <v>-1.1999999999999997E-13</v>
      </c>
      <c r="E86" s="50">
        <v>-1.1999999999999997E-13</v>
      </c>
      <c r="F86" s="50">
        <v>-1.1999999999999997E-13</v>
      </c>
      <c r="G86" s="50">
        <v>-1.1999999999999997E-13</v>
      </c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2" t="str">
        <f t="shared" si="3"/>
        <v>Brændselsforbrug.NyAff3</v>
      </c>
      <c r="B87" s="28" t="s">
        <v>18</v>
      </c>
      <c r="C87" s="29" t="s">
        <v>68</v>
      </c>
      <c r="D87" s="50">
        <v>-1.1999999999999997E-13</v>
      </c>
      <c r="E87" s="50">
        <v>-1.1999999999999997E-13</v>
      </c>
      <c r="F87" s="50">
        <v>-1.1999999999999997E-13</v>
      </c>
      <c r="G87" s="50">
        <v>-1.1999999999999997E-13</v>
      </c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</row>
    <row r="88" spans="1:27" outlineLevel="1" x14ac:dyDescent="0.25">
      <c r="A88" s="72" t="str">
        <f t="shared" si="3"/>
        <v>Brændselsforbrug.NyAff4</v>
      </c>
      <c r="B88" s="28" t="s">
        <v>18</v>
      </c>
      <c r="C88" s="29" t="s">
        <v>69</v>
      </c>
      <c r="D88" s="50">
        <v>-1.1999999999999997E-13</v>
      </c>
      <c r="E88" s="50">
        <v>-1.1999999999999997E-13</v>
      </c>
      <c r="F88" s="50">
        <v>-1.1999999999999997E-13</v>
      </c>
      <c r="G88" s="50">
        <v>-1.1999999999999997E-13</v>
      </c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</row>
    <row r="89" spans="1:27" outlineLevel="1" x14ac:dyDescent="0.25">
      <c r="A89" s="72" t="str">
        <f t="shared" si="3"/>
        <v>Brændselsforbrug.NyAff5</v>
      </c>
      <c r="B89" s="28" t="s">
        <v>18</v>
      </c>
      <c r="C89" s="29" t="s">
        <v>70</v>
      </c>
      <c r="D89" s="50">
        <v>-1.1999999999999997E-13</v>
      </c>
      <c r="E89" s="50">
        <v>-1.1999999999999997E-13</v>
      </c>
      <c r="F89" s="50">
        <v>-1.1999999999999997E-13</v>
      </c>
      <c r="G89" s="50">
        <v>-1.1999999999999997E-13</v>
      </c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</row>
    <row r="90" spans="1:27" outlineLevel="1" x14ac:dyDescent="0.25">
      <c r="A90" s="72" t="str">
        <f t="shared" si="3"/>
        <v>Brændselsforbrug.Flis</v>
      </c>
      <c r="B90" s="28" t="s">
        <v>18</v>
      </c>
      <c r="C90" s="29" t="s">
        <v>71</v>
      </c>
      <c r="D90" s="50">
        <v>13959.672171745719</v>
      </c>
      <c r="E90" s="50">
        <v>12831.098982729196</v>
      </c>
      <c r="F90" s="50">
        <v>12055.615674341649</v>
      </c>
      <c r="G90" s="50">
        <v>10974.278738530063</v>
      </c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</row>
    <row r="91" spans="1:27" outlineLevel="1" x14ac:dyDescent="0.25">
      <c r="A91" s="72" t="str">
        <f t="shared" si="3"/>
        <v>Brændselsforbrug.NSvarme</v>
      </c>
      <c r="B91" s="28" t="s">
        <v>18</v>
      </c>
      <c r="C91" s="29" t="s">
        <v>72</v>
      </c>
      <c r="D91" s="50">
        <v>9600</v>
      </c>
      <c r="E91" s="50">
        <v>9600</v>
      </c>
      <c r="F91" s="50">
        <v>9600</v>
      </c>
      <c r="G91" s="50">
        <v>9600</v>
      </c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</row>
    <row r="92" spans="1:27" outlineLevel="1" x14ac:dyDescent="0.25">
      <c r="A92" s="72" t="str">
        <f t="shared" si="3"/>
        <v>Brændselsforbrug.PeakFuel</v>
      </c>
      <c r="B92" s="28" t="s">
        <v>18</v>
      </c>
      <c r="C92" s="29" t="s">
        <v>73</v>
      </c>
      <c r="D92" s="50">
        <v>141.8450063649986</v>
      </c>
      <c r="E92" s="50">
        <v>92.132457018989911</v>
      </c>
      <c r="F92" s="50">
        <v>42.419907672981282</v>
      </c>
      <c r="G92" s="50">
        <v>1.1999999999999997E-13</v>
      </c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</row>
    <row r="93" spans="1:27" outlineLevel="1" x14ac:dyDescent="0.25">
      <c r="A93" s="73" t="str">
        <f t="shared" si="3"/>
        <v/>
      </c>
      <c r="B93" s="28"/>
      <c r="C93" s="29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1:27" outlineLevel="1" x14ac:dyDescent="0.25">
      <c r="A94" s="68" t="str">
        <f t="shared" si="3"/>
        <v/>
      </c>
      <c r="B94" s="8"/>
      <c r="C94" s="30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</row>
    <row r="95" spans="1:27" s="20" customFormat="1" ht="18.75" x14ac:dyDescent="0.3">
      <c r="A95" s="63"/>
      <c r="B95" s="33" t="s">
        <v>3</v>
      </c>
      <c r="C95" s="33" t="s">
        <v>141</v>
      </c>
      <c r="D95" s="32" t="s">
        <v>139</v>
      </c>
      <c r="E95" s="32" t="s">
        <v>74</v>
      </c>
      <c r="F95" s="32" t="s">
        <v>161</v>
      </c>
      <c r="G95" s="32" t="s">
        <v>162</v>
      </c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outlineLevel="1" x14ac:dyDescent="0.25">
      <c r="A96" s="67" t="str">
        <f>IF(NOT(ISBLANK(C96)),$C$95&amp;"."&amp;C96,"")</f>
        <v>Brændselsindkomst.DepoSort</v>
      </c>
      <c r="B96" s="55" t="s">
        <v>2</v>
      </c>
      <c r="C96" s="52" t="s">
        <v>45</v>
      </c>
      <c r="D96" s="51">
        <v>6780539.0998799996</v>
      </c>
      <c r="E96" s="51">
        <v>6780536.2735319994</v>
      </c>
      <c r="F96" s="51">
        <v>6780536.2735319994</v>
      </c>
      <c r="G96" s="51">
        <v>6780535.6078372505</v>
      </c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ref="A97:A130" si="4">IF(NOT(ISBLANK(C97)),$C$95&amp;"."&amp;C97,"")</f>
        <v>Brændselsindkomst.DepoSmaat</v>
      </c>
      <c r="B97" s="55" t="s">
        <v>2</v>
      </c>
      <c r="C97" s="52" t="s">
        <v>46</v>
      </c>
      <c r="D97" s="51">
        <v>-1.1999999999999997E-13</v>
      </c>
      <c r="E97" s="51">
        <v>-1.1999999999999997E-13</v>
      </c>
      <c r="F97" s="51">
        <v>-1.1999999999999997E-13</v>
      </c>
      <c r="G97" s="51">
        <v>-1.1999999999999997E-13</v>
      </c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4"/>
        <v>Brændselsindkomst.DepoNedd</v>
      </c>
      <c r="B98" s="55" t="s">
        <v>2</v>
      </c>
      <c r="C98" s="52" t="s">
        <v>47</v>
      </c>
      <c r="D98" s="51">
        <v>-1.1999999999999997E-13</v>
      </c>
      <c r="E98" s="51">
        <v>-1.1999999999999997E-13</v>
      </c>
      <c r="F98" s="51">
        <v>-1.1999999999999997E-13</v>
      </c>
      <c r="G98" s="51">
        <v>-1.1999999999999997E-13</v>
      </c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4"/>
        <v>Brændselsindkomst.Dagren</v>
      </c>
      <c r="B99" s="55" t="s">
        <v>2</v>
      </c>
      <c r="C99" s="52" t="s">
        <v>48</v>
      </c>
      <c r="D99" s="51">
        <v>15102573.319596</v>
      </c>
      <c r="E99" s="51">
        <v>15102572.0821815</v>
      </c>
      <c r="F99" s="51">
        <v>15102572.0821815</v>
      </c>
      <c r="G99" s="51">
        <v>15102570.810977999</v>
      </c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4"/>
        <v>Brændselsindkomst.AndetBrand</v>
      </c>
      <c r="B100" s="55" t="s">
        <v>2</v>
      </c>
      <c r="C100" s="52" t="s">
        <v>49</v>
      </c>
      <c r="D100" s="51">
        <v>2222016.5667986833</v>
      </c>
      <c r="E100" s="51">
        <v>2222016.3370796843</v>
      </c>
      <c r="F100" s="51">
        <v>2222016.3370796824</v>
      </c>
      <c r="G100" s="51">
        <v>2222016.1059799329</v>
      </c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4"/>
        <v>Brændselsindkomst.Trae</v>
      </c>
      <c r="B101" s="55" t="s">
        <v>2</v>
      </c>
      <c r="C101" s="52" t="s">
        <v>50</v>
      </c>
      <c r="D101" s="51">
        <v>5169.2551692499992</v>
      </c>
      <c r="E101" s="51">
        <v>5169.2551692499992</v>
      </c>
      <c r="F101" s="51">
        <v>5169.2551692499992</v>
      </c>
      <c r="G101" s="51">
        <v>5169.25</v>
      </c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4"/>
        <v>Brændselsindkomst.DagrenRast</v>
      </c>
      <c r="B102" s="55" t="s">
        <v>2</v>
      </c>
      <c r="C102" s="52" t="s">
        <v>51</v>
      </c>
      <c r="D102" s="51">
        <v>2121720.4929203792</v>
      </c>
      <c r="E102" s="51">
        <v>2096975.9960488793</v>
      </c>
      <c r="F102" s="51">
        <v>2252135.6938814996</v>
      </c>
      <c r="G102" s="51">
        <v>2252135.5193767496</v>
      </c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4"/>
        <v>Brændselsindkomst.DagrenInst</v>
      </c>
      <c r="B103" s="55" t="s">
        <v>2</v>
      </c>
      <c r="C103" s="52" t="s">
        <v>52</v>
      </c>
      <c r="D103" s="51">
        <v>56122.552846499995</v>
      </c>
      <c r="E103" s="51">
        <v>56122.549617749995</v>
      </c>
      <c r="F103" s="51">
        <v>56122.549617749995</v>
      </c>
      <c r="G103" s="51">
        <v>56122.539847499997</v>
      </c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4"/>
        <v>Brændselsindkomst.DagrenHandel</v>
      </c>
      <c r="B104" s="55" t="s">
        <v>2</v>
      </c>
      <c r="C104" s="52" t="s">
        <v>53</v>
      </c>
      <c r="D104" s="51">
        <v>2239798.3508774997</v>
      </c>
      <c r="E104" s="51">
        <v>2239798.2159524998</v>
      </c>
      <c r="F104" s="51">
        <v>2239798.2159524998</v>
      </c>
      <c r="G104" s="51">
        <v>2239798.0535647501</v>
      </c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4"/>
        <v>Brændselsindkomst.DagrenRestau</v>
      </c>
      <c r="B105" s="55" t="s">
        <v>2</v>
      </c>
      <c r="C105" s="52" t="s">
        <v>54</v>
      </c>
      <c r="D105" s="51">
        <v>209191.69457550001</v>
      </c>
      <c r="E105" s="51">
        <v>209191.68260550001</v>
      </c>
      <c r="F105" s="51">
        <v>209191.68260550001</v>
      </c>
      <c r="G105" s="51">
        <v>209191.6709925</v>
      </c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4"/>
        <v>Brændselsindkomst.Erhverv</v>
      </c>
      <c r="B106" s="55" t="s">
        <v>2</v>
      </c>
      <c r="C106" s="52" t="s">
        <v>55</v>
      </c>
      <c r="D106" s="51">
        <v>3224379.9302032501</v>
      </c>
      <c r="E106" s="51">
        <v>3224379.3968032501</v>
      </c>
      <c r="F106" s="51">
        <v>3224379.3968032501</v>
      </c>
      <c r="G106" s="51">
        <v>3224379.0938624996</v>
      </c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4"/>
        <v>Brændselsindkomst.DagrenErhverv</v>
      </c>
      <c r="B107" s="55" t="s">
        <v>2</v>
      </c>
      <c r="C107" s="52" t="s">
        <v>56</v>
      </c>
      <c r="D107" s="51">
        <v>105339.25082539998</v>
      </c>
      <c r="E107" s="51">
        <v>105339.24020434998</v>
      </c>
      <c r="F107" s="51">
        <v>105339.24020434998</v>
      </c>
      <c r="G107" s="51">
        <v>105339.23291954998</v>
      </c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4"/>
        <v>Brændselsindkomst.HandelKontor</v>
      </c>
      <c r="B108" s="55" t="s">
        <v>2</v>
      </c>
      <c r="C108" s="52" t="s">
        <v>57</v>
      </c>
      <c r="D108" s="51">
        <v>1.1999999999999997E-13</v>
      </c>
      <c r="E108" s="51">
        <v>1.1999999999999997E-13</v>
      </c>
      <c r="F108" s="51">
        <v>1.1999999999999997E-13</v>
      </c>
      <c r="G108" s="51">
        <v>1.1999999999999997E-13</v>
      </c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4"/>
        <v>Brændselsindkomst.Privat</v>
      </c>
      <c r="B109" s="55" t="s">
        <v>2</v>
      </c>
      <c r="C109" s="52" t="s">
        <v>58</v>
      </c>
      <c r="D109" s="51">
        <v>6767.2554704999993</v>
      </c>
      <c r="E109" s="51">
        <v>6767.2554704999993</v>
      </c>
      <c r="F109" s="51">
        <v>6767.2554704999993</v>
      </c>
      <c r="G109" s="51">
        <v>6767.2554704999993</v>
      </c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4"/>
        <v>Brændselsindkomst.TyskRest</v>
      </c>
      <c r="B110" s="55" t="s">
        <v>2</v>
      </c>
      <c r="C110" s="52" t="s">
        <v>59</v>
      </c>
      <c r="D110" s="51">
        <v>13693087.082432</v>
      </c>
      <c r="E110" s="51">
        <v>13693085.791879999</v>
      </c>
      <c r="F110" s="51">
        <v>13451588.977204641</v>
      </c>
      <c r="G110" s="51">
        <v>13323880.219413446</v>
      </c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4"/>
        <v>Brændselsindkomst.PolskRest</v>
      </c>
      <c r="B111" s="55" t="s">
        <v>2</v>
      </c>
      <c r="C111" s="52" t="s">
        <v>60</v>
      </c>
      <c r="D111" s="51">
        <v>79356.429356349996</v>
      </c>
      <c r="E111" s="51">
        <v>79356.429356349996</v>
      </c>
      <c r="F111" s="51">
        <v>79356.429356349996</v>
      </c>
      <c r="G111" s="51">
        <v>79356.350000000006</v>
      </c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4"/>
        <v>Brændselsindkomst.PcbTrae</v>
      </c>
      <c r="B112" s="55" t="s">
        <v>2</v>
      </c>
      <c r="C112" s="52" t="s">
        <v>61</v>
      </c>
      <c r="D112" s="51">
        <v>-1.1999999999999997E-13</v>
      </c>
      <c r="E112" s="51">
        <v>-1.1999999999999997E-13</v>
      </c>
      <c r="F112" s="51">
        <v>-1.1999999999999997E-13</v>
      </c>
      <c r="G112" s="51">
        <v>-1.1999999999999997E-13</v>
      </c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4"/>
        <v>Brændselsindkomst.TraeRekv</v>
      </c>
      <c r="B113" s="55" t="s">
        <v>2</v>
      </c>
      <c r="C113" s="52" t="s">
        <v>62</v>
      </c>
      <c r="D113" s="51">
        <v>1.1999999999999997E-13</v>
      </c>
      <c r="E113" s="51">
        <v>1.1999999999999997E-13</v>
      </c>
      <c r="F113" s="51">
        <v>1.1999999999999997E-13</v>
      </c>
      <c r="G113" s="51">
        <v>1.1999999999999997E-13</v>
      </c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4"/>
        <v>Brændselsindkomst.Halm</v>
      </c>
      <c r="B114" s="55" t="s">
        <v>2</v>
      </c>
      <c r="C114" s="52" t="s">
        <v>63</v>
      </c>
      <c r="D114" s="51">
        <v>-1.1999999999999997E-13</v>
      </c>
      <c r="E114" s="51">
        <v>-1.1999999999999997E-13</v>
      </c>
      <c r="F114" s="51">
        <v>-1.1999999999999997E-13</v>
      </c>
      <c r="G114" s="51">
        <v>-1.1999999999999997E-13</v>
      </c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4"/>
        <v>Brændselsindkomst.Pulver</v>
      </c>
      <c r="B115" s="55" t="s">
        <v>2</v>
      </c>
      <c r="C115" s="52" t="s">
        <v>64</v>
      </c>
      <c r="D115" s="51">
        <v>69787.854409549996</v>
      </c>
      <c r="E115" s="51">
        <v>69787.847134850002</v>
      </c>
      <c r="F115" s="51">
        <v>62513.147134849991</v>
      </c>
      <c r="G115" s="51">
        <v>62513.140853399993</v>
      </c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4"/>
        <v>Brændselsindkomst.FlisAffald</v>
      </c>
      <c r="B116" s="55" t="s">
        <v>2</v>
      </c>
      <c r="C116" s="52" t="s">
        <v>65</v>
      </c>
      <c r="D116" s="51">
        <v>32891.032573249999</v>
      </c>
      <c r="E116" s="51">
        <v>32891.030218799999</v>
      </c>
      <c r="F116" s="51">
        <v>32891.030218799999</v>
      </c>
      <c r="G116" s="51">
        <v>32891.0227075</v>
      </c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4"/>
        <v>Brændselsindkomst.NyAff1</v>
      </c>
      <c r="B117" s="55" t="s">
        <v>2</v>
      </c>
      <c r="C117" s="52" t="s">
        <v>66</v>
      </c>
      <c r="D117" s="51">
        <v>-1.1999999999999997E-13</v>
      </c>
      <c r="E117" s="51">
        <v>-1.1999999999999997E-13</v>
      </c>
      <c r="F117" s="51">
        <v>-1.1999999999999997E-13</v>
      </c>
      <c r="G117" s="51">
        <v>-1.1999999999999997E-13</v>
      </c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4"/>
        <v>Brændselsindkomst.NyAff2</v>
      </c>
      <c r="B118" s="55" t="s">
        <v>2</v>
      </c>
      <c r="C118" s="52" t="s">
        <v>67</v>
      </c>
      <c r="D118" s="51">
        <v>-1.1999999999999997E-13</v>
      </c>
      <c r="E118" s="51">
        <v>-1.1999999999999997E-13</v>
      </c>
      <c r="F118" s="51">
        <v>-1.1999999999999997E-13</v>
      </c>
      <c r="G118" s="51">
        <v>-1.1999999999999997E-13</v>
      </c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4"/>
        <v>Brændselsindkomst.NyAff3</v>
      </c>
      <c r="B119" s="55" t="s">
        <v>2</v>
      </c>
      <c r="C119" s="52" t="s">
        <v>68</v>
      </c>
      <c r="D119" s="51">
        <v>-1.1999999999999997E-13</v>
      </c>
      <c r="E119" s="51">
        <v>-1.1999999999999997E-13</v>
      </c>
      <c r="F119" s="51">
        <v>-1.1999999999999997E-13</v>
      </c>
      <c r="G119" s="51">
        <v>-1.1999999999999997E-13</v>
      </c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4"/>
        <v>Brændselsindkomst.NyAff4</v>
      </c>
      <c r="B120" s="55" t="s">
        <v>2</v>
      </c>
      <c r="C120" s="52" t="s">
        <v>69</v>
      </c>
      <c r="D120" s="51">
        <v>-1.1999999999999997E-13</v>
      </c>
      <c r="E120" s="51">
        <v>-1.1999999999999997E-13</v>
      </c>
      <c r="F120" s="51">
        <v>-1.1999999999999997E-13</v>
      </c>
      <c r="G120" s="51">
        <v>-1.1999999999999997E-13</v>
      </c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</row>
    <row r="121" spans="1:27" outlineLevel="1" x14ac:dyDescent="0.25">
      <c r="A121" s="72" t="str">
        <f t="shared" si="4"/>
        <v>Brændselsindkomst.NyAff5</v>
      </c>
      <c r="B121" s="55" t="s">
        <v>2</v>
      </c>
      <c r="C121" s="52" t="s">
        <v>70</v>
      </c>
      <c r="D121" s="51">
        <v>-1.1999999999999997E-13</v>
      </c>
      <c r="E121" s="51">
        <v>-1.1999999999999997E-13</v>
      </c>
      <c r="F121" s="51">
        <v>-1.1999999999999997E-13</v>
      </c>
      <c r="G121" s="51">
        <v>-1.1999999999999997E-13</v>
      </c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</row>
    <row r="122" spans="1:27" outlineLevel="1" x14ac:dyDescent="0.25">
      <c r="A122" s="72" t="str">
        <f t="shared" si="4"/>
        <v>Brændselsindkomst.Flis</v>
      </c>
      <c r="B122" s="55" t="s">
        <v>2</v>
      </c>
      <c r="C122" s="52" t="s">
        <v>71</v>
      </c>
      <c r="D122" s="51">
        <v>-6561045.9207204878</v>
      </c>
      <c r="E122" s="51">
        <v>-6030616.5218827222</v>
      </c>
      <c r="F122" s="51">
        <v>-5666139.3669405747</v>
      </c>
      <c r="G122" s="51">
        <v>-5157911.0071091298</v>
      </c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</row>
    <row r="123" spans="1:27" outlineLevel="1" x14ac:dyDescent="0.25">
      <c r="A123" s="72" t="str">
        <f t="shared" si="4"/>
        <v>Brændselsindkomst.NSvarme</v>
      </c>
      <c r="B123" s="55" t="s">
        <v>2</v>
      </c>
      <c r="C123" s="52" t="s">
        <v>72</v>
      </c>
      <c r="D123" s="51">
        <v>-1814400</v>
      </c>
      <c r="E123" s="51">
        <v>-1814400</v>
      </c>
      <c r="F123" s="51">
        <v>-1814400</v>
      </c>
      <c r="G123" s="51">
        <v>-1814400</v>
      </c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</row>
    <row r="124" spans="1:27" outlineLevel="1" x14ac:dyDescent="0.25">
      <c r="A124" s="72" t="str">
        <f t="shared" si="4"/>
        <v>Brændselsindkomst.PeakFuel</v>
      </c>
      <c r="B124" s="55" t="s">
        <v>2</v>
      </c>
      <c r="C124" s="52" t="s">
        <v>73</v>
      </c>
      <c r="D124" s="51">
        <v>-709225.03182499297</v>
      </c>
      <c r="E124" s="51">
        <v>-460662.28509494878</v>
      </c>
      <c r="F124" s="51">
        <v>-212099.53836490601</v>
      </c>
      <c r="G124" s="51">
        <v>1.1999999999999997E-13</v>
      </c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</row>
    <row r="125" spans="1:27" outlineLevel="1" x14ac:dyDescent="0.25">
      <c r="A125" s="72" t="str">
        <f t="shared" si="4"/>
        <v/>
      </c>
      <c r="B125" s="53"/>
      <c r="C125" s="5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</row>
    <row r="126" spans="1:27" outlineLevel="1" x14ac:dyDescent="0.25">
      <c r="A126" s="72" t="str">
        <f t="shared" si="4"/>
        <v/>
      </c>
      <c r="B126" s="19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</row>
    <row r="127" spans="1:27" outlineLevel="1" x14ac:dyDescent="0.25">
      <c r="A127" s="72" t="str">
        <f t="shared" si="4"/>
        <v/>
      </c>
      <c r="B127"/>
    </row>
    <row r="128" spans="1:27" outlineLevel="1" x14ac:dyDescent="0.25">
      <c r="A128" s="72" t="str">
        <f t="shared" si="4"/>
        <v/>
      </c>
      <c r="B128"/>
    </row>
    <row r="129" spans="1:2" outlineLevel="1" x14ac:dyDescent="0.25">
      <c r="A129" s="72" t="str">
        <f t="shared" si="4"/>
        <v/>
      </c>
      <c r="B129"/>
    </row>
    <row r="130" spans="1:2" outlineLevel="1" x14ac:dyDescent="0.25">
      <c r="A130" s="72" t="str">
        <f t="shared" si="4"/>
        <v/>
      </c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</sheetData>
  <phoneticPr fontId="5" type="noConversion"/>
  <conditionalFormatting sqref="A6 E29:AA29 A29 A31 D31:AA31 D38:AA39 A38:A39 A12:A15 A41:A48 D43:AA48 D6:AA6 D17:AA26 A17:A26 D8:AA15">
    <cfRule type="cellIs" dxfId="121" priority="176" operator="between">
      <formula>-0.0000000000001</formula>
      <formula>0.0000000000001</formula>
    </cfRule>
  </conditionalFormatting>
  <conditionalFormatting sqref="A6 A29 E29:AA29 D31:AA31 A31 A38:A39 D38:AA39 A12:A15 A41:A48 D43:AA48 A17:A26">
    <cfRule type="cellIs" dxfId="120" priority="170" operator="between">
      <formula>-0.0000000000001</formula>
      <formula>0.0000000000001</formula>
    </cfRule>
  </conditionalFormatting>
  <conditionalFormatting sqref="A17 C17:O17">
    <cfRule type="cellIs" dxfId="119" priority="169" operator="between">
      <formula>-0.0000000000001</formula>
      <formula>0.0000000000001</formula>
    </cfRule>
  </conditionalFormatting>
  <conditionalFormatting sqref="P17:AA17">
    <cfRule type="cellIs" dxfId="118" priority="168" operator="between">
      <formula>-0.0000000000001</formula>
      <formula>0.0000000000001</formula>
    </cfRule>
  </conditionalFormatting>
  <conditionalFormatting sqref="C6:O6 A6">
    <cfRule type="cellIs" dxfId="117" priority="167" operator="between">
      <formula>-0.0000000000001</formula>
      <formula>0.0000000000001</formula>
    </cfRule>
  </conditionalFormatting>
  <conditionalFormatting sqref="P6:AA6">
    <cfRule type="cellIs" dxfId="116" priority="166" operator="between">
      <formula>-0.0000000000001</formula>
      <formula>0.0000000000001</formula>
    </cfRule>
  </conditionalFormatting>
  <conditionalFormatting sqref="C14">
    <cfRule type="cellIs" dxfId="115" priority="165" operator="between">
      <formula>-0.0000000000001</formula>
      <formula>0.0000000000001</formula>
    </cfRule>
  </conditionalFormatting>
  <conditionalFormatting sqref="C15">
    <cfRule type="cellIs" dxfId="114" priority="164" operator="between">
      <formula>-0.0000000000001</formula>
      <formula>0.0000000000001</formula>
    </cfRule>
  </conditionalFormatting>
  <conditionalFormatting sqref="A15 C15:O15">
    <cfRule type="cellIs" dxfId="113" priority="163" operator="between">
      <formula>-0.0000000000001</formula>
      <formula>0.0000000000001</formula>
    </cfRule>
  </conditionalFormatting>
  <conditionalFormatting sqref="P15:AA15">
    <cfRule type="cellIs" dxfId="112" priority="162" operator="between">
      <formula>-0.0000000000001</formula>
      <formula>0.0000000000001</formula>
    </cfRule>
  </conditionalFormatting>
  <conditionalFormatting sqref="C21:O21 A21:A26 C26:O26 D22:O25">
    <cfRule type="cellIs" dxfId="111" priority="161" operator="between">
      <formula>-0.0000000000001</formula>
      <formula>0.0000000000001</formula>
    </cfRule>
  </conditionalFormatting>
  <conditionalFormatting sqref="P21:AA26">
    <cfRule type="cellIs" dxfId="110" priority="160" operator="between">
      <formula>-0.0000000000001</formula>
      <formula>0.0000000000001</formula>
    </cfRule>
  </conditionalFormatting>
  <conditionalFormatting sqref="C46:O46 C48:AA48 C45:AA45 D44:AA44 A44:A48 D47:O48">
    <cfRule type="cellIs" dxfId="109" priority="159" operator="between">
      <formula>-0.0000000000001</formula>
      <formula>0.0000000000001</formula>
    </cfRule>
  </conditionalFormatting>
  <conditionalFormatting sqref="P46:AA46">
    <cfRule type="cellIs" dxfId="108" priority="158" operator="between">
      <formula>-0.0000000000001</formula>
      <formula>0.0000000000001</formula>
    </cfRule>
  </conditionalFormatting>
  <conditionalFormatting sqref="C47:O47 D48:O48">
    <cfRule type="cellIs" dxfId="107" priority="157" operator="between">
      <formula>-0.0000000000001</formula>
      <formula>0.0000000000001</formula>
    </cfRule>
  </conditionalFormatting>
  <conditionalFormatting sqref="P47:AA48">
    <cfRule type="cellIs" dxfId="106" priority="156" operator="between">
      <formula>-0.0000000000001</formula>
      <formula>0.0000000000001</formula>
    </cfRule>
  </conditionalFormatting>
  <conditionalFormatting sqref="C12:O12">
    <cfRule type="cellIs" dxfId="105" priority="155" operator="between">
      <formula>-0.0000000000001</formula>
      <formula>0.0000000000001</formula>
    </cfRule>
  </conditionalFormatting>
  <conditionalFormatting sqref="P12:AA12">
    <cfRule type="cellIs" dxfId="104" priority="154" operator="between">
      <formula>-0.0000000000001</formula>
      <formula>0.0000000000001</formula>
    </cfRule>
  </conditionalFormatting>
  <conditionalFormatting sqref="C12">
    <cfRule type="cellIs" dxfId="103" priority="153" operator="between">
      <formula>-0.0000000000001</formula>
      <formula>0.0000000000001</formula>
    </cfRule>
  </conditionalFormatting>
  <conditionalFormatting sqref="C13:O13 A13">
    <cfRule type="cellIs" dxfId="102" priority="150" operator="between">
      <formula>-0.0000000000001</formula>
      <formula>0.0000000000001</formula>
    </cfRule>
  </conditionalFormatting>
  <conditionalFormatting sqref="P13:AA13">
    <cfRule type="cellIs" dxfId="101" priority="149" operator="between">
      <formula>-0.0000000000001</formula>
      <formula>0.0000000000001</formula>
    </cfRule>
  </conditionalFormatting>
  <conditionalFormatting sqref="C13">
    <cfRule type="cellIs" dxfId="100" priority="148" operator="between">
      <formula>-0.0000000000001</formula>
      <formula>0.0000000000001</formula>
    </cfRule>
  </conditionalFormatting>
  <conditionalFormatting sqref="C18:O18 A18">
    <cfRule type="cellIs" dxfId="99" priority="147" operator="between">
      <formula>-0.0000000000001</formula>
      <formula>0.0000000000001</formula>
    </cfRule>
  </conditionalFormatting>
  <conditionalFormatting sqref="P18:AA18">
    <cfRule type="cellIs" dxfId="98" priority="146" operator="between">
      <formula>-0.0000000000001</formula>
      <formula>0.0000000000001</formula>
    </cfRule>
  </conditionalFormatting>
  <conditionalFormatting sqref="C18">
    <cfRule type="cellIs" dxfId="97" priority="145" operator="between">
      <formula>-0.0000000000001</formula>
      <formula>0.0000000000001</formula>
    </cfRule>
  </conditionalFormatting>
  <conditionalFormatting sqref="A44 C44:AA44">
    <cfRule type="cellIs" dxfId="96" priority="144" operator="between">
      <formula>-0.0000000000001</formula>
      <formula>0.0000000000001</formula>
    </cfRule>
  </conditionalFormatting>
  <conditionalFormatting sqref="D11:O11">
    <cfRule type="cellIs" dxfId="95" priority="142" operator="between">
      <formula>-0.0000000000001</formula>
      <formula>0.0000000000001</formula>
    </cfRule>
  </conditionalFormatting>
  <conditionalFormatting sqref="P11:AA11">
    <cfRule type="cellIs" dxfId="94" priority="141" operator="between">
      <formula>-0.0000000000001</formula>
      <formula>0.0000000000001</formula>
    </cfRule>
  </conditionalFormatting>
  <conditionalFormatting sqref="C39:AA39 A39">
    <cfRule type="cellIs" dxfId="93" priority="140" operator="between">
      <formula>-0.0000000000001</formula>
      <formula>0.0000000000001</formula>
    </cfRule>
  </conditionalFormatting>
  <conditionalFormatting sqref="P39:AA39">
    <cfRule type="cellIs" dxfId="92" priority="139" operator="between">
      <formula>-0.0000000000001</formula>
      <formula>0.0000000000001</formula>
    </cfRule>
  </conditionalFormatting>
  <conditionalFormatting sqref="C10:C11">
    <cfRule type="cellIs" dxfId="91" priority="137" operator="between">
      <formula>-0.0000000000001</formula>
      <formula>0.0000000000001</formula>
    </cfRule>
  </conditionalFormatting>
  <conditionalFormatting sqref="A12">
    <cfRule type="cellIs" dxfId="90" priority="136" operator="between">
      <formula>-0.0000000000001</formula>
      <formula>0.0000000000001</formula>
    </cfRule>
  </conditionalFormatting>
  <conditionalFormatting sqref="A27 D27:AA27">
    <cfRule type="cellIs" dxfId="89" priority="133" operator="between">
      <formula>-0.0000000000001</formula>
      <formula>0.0000000000001</formula>
    </cfRule>
  </conditionalFormatting>
  <conditionalFormatting sqref="D27:AA27 A27">
    <cfRule type="cellIs" dxfId="88" priority="132" operator="between">
      <formula>-0.0000000000001</formula>
      <formula>0.0000000000001</formula>
    </cfRule>
  </conditionalFormatting>
  <conditionalFormatting sqref="C27:O27 A27">
    <cfRule type="cellIs" dxfId="87" priority="131" operator="between">
      <formula>-0.0000000000001</formula>
      <formula>0.0000000000001</formula>
    </cfRule>
  </conditionalFormatting>
  <conditionalFormatting sqref="P27:AA27">
    <cfRule type="cellIs" dxfId="86" priority="130" operator="between">
      <formula>-0.0000000000001</formula>
      <formula>0.0000000000001</formula>
    </cfRule>
  </conditionalFormatting>
  <conditionalFormatting sqref="E28:AA28 A28">
    <cfRule type="cellIs" dxfId="85" priority="114" operator="between">
      <formula>-0.0000000000001</formula>
      <formula>0.0000000000001</formula>
    </cfRule>
  </conditionalFormatting>
  <conditionalFormatting sqref="A28 E28:AA28">
    <cfRule type="cellIs" dxfId="84" priority="113" operator="between">
      <formula>-0.0000000000001</formula>
      <formula>0.0000000000001</formula>
    </cfRule>
  </conditionalFormatting>
  <conditionalFormatting sqref="D30:AA30 A30">
    <cfRule type="cellIs" dxfId="83" priority="112" operator="between">
      <formula>-0.0000000000001</formula>
      <formula>0.0000000000001</formula>
    </cfRule>
  </conditionalFormatting>
  <conditionalFormatting sqref="A30 D30:AA30">
    <cfRule type="cellIs" dxfId="82" priority="111" operator="between">
      <formula>-0.0000000000001</formula>
      <formula>0.0000000000001</formula>
    </cfRule>
  </conditionalFormatting>
  <conditionalFormatting sqref="A40 D40:AA41">
    <cfRule type="cellIs" dxfId="81" priority="110" operator="between">
      <formula>-0.0000000000001</formula>
      <formula>0.0000000000001</formula>
    </cfRule>
  </conditionalFormatting>
  <conditionalFormatting sqref="A40 D40:AA41">
    <cfRule type="cellIs" dxfId="80" priority="109" operator="between">
      <formula>-0.0000000000001</formula>
      <formula>0.0000000000001</formula>
    </cfRule>
  </conditionalFormatting>
  <conditionalFormatting sqref="A32:A33 D32:AA34 D36:AA36 A36">
    <cfRule type="cellIs" dxfId="79" priority="106" operator="between">
      <formula>-0.0000000000001</formula>
      <formula>0.0000000000001</formula>
    </cfRule>
  </conditionalFormatting>
  <conditionalFormatting sqref="D32:AA34 A32:A33 A36 D36:AA36">
    <cfRule type="cellIs" dxfId="78" priority="105" operator="between">
      <formula>-0.0000000000001</formula>
      <formula>0.0000000000001</formula>
    </cfRule>
  </conditionalFormatting>
  <conditionalFormatting sqref="C33:AA34 A33">
    <cfRule type="cellIs" dxfId="77" priority="104" operator="between">
      <formula>-0.0000000000001</formula>
      <formula>0.0000000000001</formula>
    </cfRule>
  </conditionalFormatting>
  <conditionalFormatting sqref="P33:AA34">
    <cfRule type="cellIs" dxfId="76" priority="103" operator="between">
      <formula>-0.0000000000001</formula>
      <formula>0.0000000000001</formula>
    </cfRule>
  </conditionalFormatting>
  <conditionalFormatting sqref="A35 D35:AA35">
    <cfRule type="cellIs" dxfId="75" priority="102" operator="between">
      <formula>-0.0000000000001</formula>
      <formula>0.0000000000001</formula>
    </cfRule>
  </conditionalFormatting>
  <conditionalFormatting sqref="D35:AA35 A35">
    <cfRule type="cellIs" dxfId="74" priority="101" operator="between">
      <formula>-0.0000000000001</formula>
      <formula>0.0000000000001</formula>
    </cfRule>
  </conditionalFormatting>
  <conditionalFormatting sqref="D46:O46">
    <cfRule type="cellIs" dxfId="73" priority="100" operator="between">
      <formula>-0.0000000000001</formula>
      <formula>0.0000000000001</formula>
    </cfRule>
  </conditionalFormatting>
  <conditionalFormatting sqref="D43:AA43">
    <cfRule type="cellIs" dxfId="72" priority="99" operator="between">
      <formula>-0.0000000000001</formula>
      <formula>0.0000000000001</formula>
    </cfRule>
  </conditionalFormatting>
  <conditionalFormatting sqref="A34">
    <cfRule type="cellIs" dxfId="71" priority="98" operator="between">
      <formula>-0.0000000000001</formula>
      <formula>0.0000000000001</formula>
    </cfRule>
  </conditionalFormatting>
  <conditionalFormatting sqref="A34">
    <cfRule type="cellIs" dxfId="70" priority="97" operator="between">
      <formula>-0.0000000000001</formula>
      <formula>0.0000000000001</formula>
    </cfRule>
  </conditionalFormatting>
  <conditionalFormatting sqref="A42">
    <cfRule type="cellIs" dxfId="69" priority="96" operator="between">
      <formula>-0.0000000000001</formula>
      <formula>0.0000000000001</formula>
    </cfRule>
  </conditionalFormatting>
  <conditionalFormatting sqref="A42">
    <cfRule type="cellIs" dxfId="68" priority="95" operator="between">
      <formula>-0.0000000000001</formula>
      <formula>0.0000000000001</formula>
    </cfRule>
  </conditionalFormatting>
  <conditionalFormatting sqref="A47">
    <cfRule type="cellIs" dxfId="67" priority="94" operator="between">
      <formula>-0.0000000000001</formula>
      <formula>0.0000000000001</formula>
    </cfRule>
  </conditionalFormatting>
  <conditionalFormatting sqref="A47">
    <cfRule type="cellIs" dxfId="66" priority="93" operator="between">
      <formula>-0.0000000000001</formula>
      <formula>0.0000000000001</formula>
    </cfRule>
  </conditionalFormatting>
  <conditionalFormatting sqref="D29">
    <cfRule type="cellIs" dxfId="65" priority="92" operator="between">
      <formula>-0.0000000000001</formula>
      <formula>0.0000000000001</formula>
    </cfRule>
  </conditionalFormatting>
  <conditionalFormatting sqref="D29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A8:A11">
    <cfRule type="cellIs" dxfId="61" priority="87" operator="between">
      <formula>-0.0000000000001</formula>
      <formula>0.0000000000001</formula>
    </cfRule>
  </conditionalFormatting>
  <conditionalFormatting sqref="A8:A11">
    <cfRule type="cellIs" dxfId="60" priority="86" operator="between">
      <formula>-0.0000000000001</formula>
      <formula>0.0000000000001</formula>
    </cfRule>
  </conditionalFormatting>
  <conditionalFormatting sqref="A5:A6">
    <cfRule type="cellIs" dxfId="59" priority="80" operator="between">
      <formula>-0.0000000000001</formula>
      <formula>0.0000000000001</formula>
    </cfRule>
  </conditionalFormatting>
  <conditionalFormatting sqref="A5:A6">
    <cfRule type="cellIs" dxfId="58" priority="79" operator="between">
      <formula>-0.0000000000001</formula>
      <formula>0.0000000000001</formula>
    </cfRule>
  </conditionalFormatting>
  <conditionalFormatting sqref="C5:C6 A5:A6">
    <cfRule type="cellIs" dxfId="57" priority="78" operator="between">
      <formula>-0.0000000000001</formula>
      <formula>0.0000000000001</formula>
    </cfRule>
  </conditionalFormatting>
  <conditionalFormatting sqref="A9">
    <cfRule type="cellIs" dxfId="56" priority="76" operator="between">
      <formula>-0.0000000000001</formula>
      <formula>0.0000000000001</formula>
    </cfRule>
  </conditionalFormatting>
  <conditionalFormatting sqref="A9">
    <cfRule type="cellIs" dxfId="55" priority="75" operator="between">
      <formula>-0.0000000000001</formula>
      <formula>0.0000000000001</formula>
    </cfRule>
  </conditionalFormatting>
  <conditionalFormatting sqref="C9 A9">
    <cfRule type="cellIs" dxfId="54" priority="74" operator="between">
      <formula>-0.0000000000001</formula>
      <formula>0.0000000000001</formula>
    </cfRule>
  </conditionalFormatting>
  <conditionalFormatting sqref="D94:AA94">
    <cfRule type="colorScale" priority="72">
      <colorScale>
        <cfvo type="min"/>
        <cfvo type="max"/>
        <color rgb="FFFCFCFF"/>
        <color rgb="FF63BE7B"/>
      </colorScale>
    </cfRule>
  </conditionalFormatting>
  <conditionalFormatting sqref="D94:AA94">
    <cfRule type="cellIs" dxfId="53" priority="68" operator="between">
      <formula>-0.0000000000001</formula>
      <formula>0.0000000000001</formula>
    </cfRule>
  </conditionalFormatting>
  <conditionalFormatting sqref="D9:AA9">
    <cfRule type="cellIs" dxfId="52" priority="66" operator="between">
      <formula>-0.0000000000001</formula>
      <formula>0.0000000000001</formula>
    </cfRule>
  </conditionalFormatting>
  <conditionalFormatting sqref="D9:AA9">
    <cfRule type="cellIs" dxfId="51" priority="65" operator="between">
      <formula>-0.0000000000001</formula>
      <formula>0.0000000000001</formula>
    </cfRule>
  </conditionalFormatting>
  <conditionalFormatting sqref="D42:AA42">
    <cfRule type="cellIs" dxfId="50" priority="62" operator="between">
      <formula>-0.0000000000001</formula>
      <formula>0.0000000000001</formula>
    </cfRule>
  </conditionalFormatting>
  <conditionalFormatting sqref="D42:AA42">
    <cfRule type="cellIs" dxfId="49" priority="61" operator="between">
      <formula>-0.0000000000001</formula>
      <formula>0.0000000000001</formula>
    </cfRule>
  </conditionalFormatting>
  <conditionalFormatting sqref="D42:AA42">
    <cfRule type="cellIs" dxfId="48" priority="60" operator="between">
      <formula>-0.0000000000001</formula>
      <formula>0.0000000000001</formula>
    </cfRule>
  </conditionalFormatting>
  <conditionalFormatting sqref="A43">
    <cfRule type="cellIs" dxfId="47" priority="59" operator="between">
      <formula>-0.0000000000001</formula>
      <formula>0.0000000000001</formula>
    </cfRule>
  </conditionalFormatting>
  <conditionalFormatting sqref="A41">
    <cfRule type="cellIs" dxfId="46" priority="58" operator="between">
      <formula>-0.0000000000001</formula>
      <formula>0.0000000000001</formula>
    </cfRule>
  </conditionalFormatting>
  <conditionalFormatting sqref="A41">
    <cfRule type="cellIs" dxfId="45" priority="57" operator="between">
      <formula>-0.0000000000001</formula>
      <formula>0.0000000000001</formula>
    </cfRule>
  </conditionalFormatting>
  <conditionalFormatting sqref="A46">
    <cfRule type="cellIs" dxfId="44" priority="56" operator="between">
      <formula>-0.0000000000001</formula>
      <formula>0.0000000000001</formula>
    </cfRule>
  </conditionalFormatting>
  <conditionalFormatting sqref="A46">
    <cfRule type="cellIs" dxfId="43" priority="55" operator="between">
      <formula>-0.0000000000001</formula>
      <formula>0.0000000000001</formula>
    </cfRule>
  </conditionalFormatting>
  <conditionalFormatting sqref="A7">
    <cfRule type="cellIs" dxfId="42" priority="54" operator="between">
      <formula>-0.0000000000001</formula>
      <formula>0.0000000000001</formula>
    </cfRule>
  </conditionalFormatting>
  <conditionalFormatting sqref="A7">
    <cfRule type="cellIs" dxfId="41" priority="53" operator="between">
      <formula>-0.0000000000001</formula>
      <formula>0.0000000000001</formula>
    </cfRule>
  </conditionalFormatting>
  <conditionalFormatting sqref="C7 A7">
    <cfRule type="cellIs" dxfId="40" priority="52" operator="between">
      <formula>-0.0000000000001</formula>
      <formula>0.0000000000001</formula>
    </cfRule>
  </conditionalFormatting>
  <conditionalFormatting sqref="D7:AA7">
    <cfRule type="cellIs" dxfId="39" priority="51" operator="between">
      <formula>-0.0000000000001</formula>
      <formula>0.0000000000001</formula>
    </cfRule>
  </conditionalFormatting>
  <conditionalFormatting sqref="D7:AA7">
    <cfRule type="cellIs" dxfId="38" priority="50" operator="between">
      <formula>-0.0000000000001</formula>
      <formula>0.0000000000001</formula>
    </cfRule>
  </conditionalFormatting>
  <conditionalFormatting sqref="D7:O7">
    <cfRule type="cellIs" dxfId="37" priority="49" operator="between">
      <formula>-0.0000000000001</formula>
      <formula>0.0000000000001</formula>
    </cfRule>
  </conditionalFormatting>
  <conditionalFormatting sqref="P7:AA7">
    <cfRule type="cellIs" dxfId="36" priority="48" operator="between">
      <formula>-0.0000000000001</formula>
      <formula>0.0000000000001</formula>
    </cfRule>
  </conditionalFormatting>
  <conditionalFormatting sqref="D37:AA37 A37">
    <cfRule type="cellIs" dxfId="35" priority="47" operator="between">
      <formula>-0.0000000000001</formula>
      <formula>0.0000000000001</formula>
    </cfRule>
  </conditionalFormatting>
  <conditionalFormatting sqref="A37 D37:AA37">
    <cfRule type="cellIs" dxfId="34" priority="46" operator="between">
      <formula>-0.0000000000001</formula>
      <formula>0.0000000000001</formula>
    </cfRule>
  </conditionalFormatting>
  <conditionalFormatting sqref="D49:AA53">
    <cfRule type="cellIs" dxfId="33" priority="38" operator="greaterThan">
      <formula>0.000000000001</formula>
    </cfRule>
    <cfRule type="cellIs" dxfId="32" priority="41" operator="between">
      <formula>-0.0000000000001</formula>
      <formula>0.0000000000001</formula>
    </cfRule>
  </conditionalFormatting>
  <conditionalFormatting sqref="D49:AA53">
    <cfRule type="cellIs" dxfId="31" priority="40" operator="between">
      <formula>-0.0000000000001</formula>
      <formula>0.0000000000001</formula>
    </cfRule>
  </conditionalFormatting>
  <conditionalFormatting sqref="D49:AA53">
    <cfRule type="cellIs" dxfId="30" priority="39" operator="between">
      <formula>-0.0000000000001</formula>
      <formula>0.0000000000001</formula>
    </cfRule>
  </conditionalFormatting>
  <conditionalFormatting sqref="B1">
    <cfRule type="cellIs" dxfId="29" priority="37" operator="greaterThan">
      <formula>0</formula>
    </cfRule>
  </conditionalFormatting>
  <conditionalFormatting sqref="A16 D16:AA16">
    <cfRule type="cellIs" dxfId="28" priority="36" operator="between">
      <formula>-0.0000000000001</formula>
      <formula>0.0000000000001</formula>
    </cfRule>
  </conditionalFormatting>
  <conditionalFormatting sqref="A16">
    <cfRule type="cellIs" dxfId="27" priority="35" operator="between">
      <formula>-0.0000000000001</formula>
      <formula>0.0000000000001</formula>
    </cfRule>
  </conditionalFormatting>
  <conditionalFormatting sqref="A16 C16:O16">
    <cfRule type="cellIs" dxfId="26" priority="34" operator="between">
      <formula>-0.0000000000001</formula>
      <formula>0.0000000000001</formula>
    </cfRule>
  </conditionalFormatting>
  <conditionalFormatting sqref="P16:AA16">
    <cfRule type="cellIs" dxfId="25" priority="33" operator="between">
      <formula>-0.0000000000001</formula>
      <formula>0.0000000000001</formula>
    </cfRule>
  </conditionalFormatting>
  <conditionalFormatting sqref="D56:AA61">
    <cfRule type="cellIs" dxfId="24" priority="30" operator="between">
      <formula>-0.00000000001</formula>
      <formula>0.00000000001</formula>
    </cfRule>
    <cfRule type="colorScale" priority="3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4:AA93">
    <cfRule type="colorScale" priority="28">
      <colorScale>
        <cfvo type="min"/>
        <cfvo type="max"/>
        <color rgb="FFFCFCFF"/>
        <color rgb="FF63BE7B"/>
      </colorScale>
    </cfRule>
  </conditionalFormatting>
  <conditionalFormatting sqref="B64:AA93">
    <cfRule type="cellIs" dxfId="23" priority="26" operator="between">
      <formula>-0.00000000001</formula>
      <formula>0.00000000001</formula>
    </cfRule>
  </conditionalFormatting>
  <conditionalFormatting sqref="D96:AA125">
    <cfRule type="colorScale" priority="24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6:AA125">
    <cfRule type="cellIs" dxfId="22" priority="23" operator="between">
      <formula>-0.00000000001</formula>
      <formula>0.00000000001</formula>
    </cfRule>
  </conditionalFormatting>
  <conditionalFormatting sqref="A59 A61 A56">
    <cfRule type="cellIs" dxfId="21" priority="22" operator="between">
      <formula>-0.0000000000001</formula>
      <formula>0.0000000000001</formula>
    </cfRule>
  </conditionalFormatting>
  <conditionalFormatting sqref="A59 A61 A56">
    <cfRule type="cellIs" dxfId="20" priority="21" operator="between">
      <formula>-0.0000000000001</formula>
      <formula>0.0000000000001</formula>
    </cfRule>
  </conditionalFormatting>
  <conditionalFormatting sqref="A56">
    <cfRule type="cellIs" dxfId="19" priority="20" operator="between">
      <formula>-0.0000000000001</formula>
      <formula>0.0000000000001</formula>
    </cfRule>
  </conditionalFormatting>
  <conditionalFormatting sqref="A57">
    <cfRule type="cellIs" dxfId="18" priority="19" operator="between">
      <formula>-0.0000000000001</formula>
      <formula>0.0000000000001</formula>
    </cfRule>
  </conditionalFormatting>
  <conditionalFormatting sqref="A57">
    <cfRule type="cellIs" dxfId="17" priority="18" operator="between">
      <formula>-0.0000000000001</formula>
      <formula>0.0000000000001</formula>
    </cfRule>
  </conditionalFormatting>
  <conditionalFormatting sqref="A57">
    <cfRule type="cellIs" dxfId="16" priority="17" operator="between">
      <formula>-0.0000000000001</formula>
      <formula>0.0000000000001</formula>
    </cfRule>
  </conditionalFormatting>
  <conditionalFormatting sqref="A58">
    <cfRule type="cellIs" dxfId="15" priority="16" operator="between">
      <formula>-0.0000000000001</formula>
      <formula>0.0000000000001</formula>
    </cfRule>
  </conditionalFormatting>
  <conditionalFormatting sqref="A58">
    <cfRule type="cellIs" dxfId="14" priority="15" operator="between">
      <formula>-0.0000000000001</formula>
      <formula>0.0000000000001</formula>
    </cfRule>
  </conditionalFormatting>
  <conditionalFormatting sqref="A60">
    <cfRule type="cellIs" dxfId="13" priority="14" operator="between">
      <formula>-0.0000000000001</formula>
      <formula>0.0000000000001</formula>
    </cfRule>
  </conditionalFormatting>
  <conditionalFormatting sqref="A60">
    <cfRule type="cellIs" dxfId="12" priority="13" operator="between">
      <formula>-0.0000000000001</formula>
      <formula>0.0000000000001</formula>
    </cfRule>
  </conditionalFormatting>
  <conditionalFormatting sqref="A64">
    <cfRule type="cellIs" dxfId="11" priority="12" operator="between">
      <formula>-0.0000000000001</formula>
      <formula>0.0000000000001</formula>
    </cfRule>
  </conditionalFormatting>
  <conditionalFormatting sqref="A64">
    <cfRule type="cellIs" dxfId="10" priority="11" operator="between">
      <formula>-0.0000000000001</formula>
      <formula>0.0000000000001</formula>
    </cfRule>
  </conditionalFormatting>
  <conditionalFormatting sqref="A64">
    <cfRule type="cellIs" dxfId="9" priority="10" operator="between">
      <formula>-0.0000000000001</formula>
      <formula>0.0000000000001</formula>
    </cfRule>
  </conditionalFormatting>
  <conditionalFormatting sqref="A96">
    <cfRule type="cellIs" dxfId="8" priority="9" operator="between">
      <formula>-0.0000000000001</formula>
      <formula>0.0000000000001</formula>
    </cfRule>
  </conditionalFormatting>
  <conditionalFormatting sqref="A96">
    <cfRule type="cellIs" dxfId="7" priority="8" operator="between">
      <formula>-0.0000000000001</formula>
      <formula>0.0000000000001</formula>
    </cfRule>
  </conditionalFormatting>
  <conditionalFormatting sqref="A96">
    <cfRule type="cellIs" dxfId="6" priority="7" operator="between">
      <formula>-0.0000000000001</formula>
      <formula>0.0000000000001</formula>
    </cfRule>
  </conditionalFormatting>
  <conditionalFormatting sqref="C22:C25">
    <cfRule type="cellIs" dxfId="5" priority="6" operator="between">
      <formula>-0.0000000000001</formula>
      <formula>0.0000000000001</formula>
    </cfRule>
  </conditionalFormatting>
  <conditionalFormatting sqref="C25">
    <cfRule type="cellIs" dxfId="4" priority="5" operator="between">
      <formula>-0.0000000000001</formula>
      <formula>0.0000000000001</formula>
    </cfRule>
  </conditionalFormatting>
  <conditionalFormatting sqref="C22">
    <cfRule type="cellIs" dxfId="3" priority="4" operator="between">
      <formula>-0.0000000000001</formula>
      <formula>0.0000000000001</formula>
    </cfRule>
  </conditionalFormatting>
  <conditionalFormatting sqref="C23">
    <cfRule type="cellIs" dxfId="2" priority="3" operator="between">
      <formula>-0.0000000000001</formula>
      <formula>0.0000000000001</formula>
    </cfRule>
  </conditionalFormatting>
  <conditionalFormatting sqref="D10:O10">
    <cfRule type="cellIs" dxfId="1" priority="2" operator="between">
      <formula>-0.0000000000001</formula>
      <formula>0.0000000000001</formula>
    </cfRule>
  </conditionalFormatting>
  <conditionalFormatting sqref="P10:AA1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Normal="100" workbookViewId="0">
      <selection activeCell="C22" sqref="C22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117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3" t="s">
        <v>94</v>
      </c>
      <c r="B3" s="119" t="s">
        <v>95</v>
      </c>
      <c r="C3" s="120"/>
    </row>
    <row r="5" spans="1:29" x14ac:dyDescent="0.25">
      <c r="A5" s="85" t="s">
        <v>91</v>
      </c>
      <c r="B5" s="78" t="s">
        <v>85</v>
      </c>
      <c r="C5" s="78" t="s">
        <v>86</v>
      </c>
      <c r="D5" s="78" t="s">
        <v>93</v>
      </c>
      <c r="E5" s="118" t="s">
        <v>92</v>
      </c>
      <c r="F5" s="78" t="s">
        <v>90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>sc-2</v>
      </c>
      <c r="J5" s="83" t="str">
        <f t="shared" si="0"/>
        <v>sc-3</v>
      </c>
      <c r="K5" s="83" t="str">
        <f t="shared" si="0"/>
        <v/>
      </c>
      <c r="L5" s="83" t="str">
        <f t="shared" si="0"/>
        <v/>
      </c>
      <c r="M5" s="83" t="str">
        <f t="shared" si="0"/>
        <v/>
      </c>
      <c r="N5" s="83" t="str">
        <f t="shared" si="0"/>
        <v/>
      </c>
      <c r="O5" s="83" t="str">
        <f t="shared" si="0"/>
        <v/>
      </c>
      <c r="P5" s="83" t="str">
        <f t="shared" si="0"/>
        <v/>
      </c>
      <c r="Q5" s="83" t="str">
        <f t="shared" si="0"/>
        <v/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84</v>
      </c>
      <c r="C6" s="79" t="s">
        <v>7</v>
      </c>
      <c r="D6" s="86">
        <v>1000</v>
      </c>
      <c r="E6" s="117">
        <f t="shared" ref="E6:E15" si="1">MATCH(B6&amp;"."&amp;C6,listScenTopics,0)</f>
        <v>9</v>
      </c>
      <c r="F6" t="str">
        <f>C6</f>
        <v>REFA-Daekningsbidrag</v>
      </c>
      <c r="G6" s="82" cm="1">
        <f t="array" aca="1" ref="G6:J6" ca="1">IF(A6=0,"",OFFSET(scenTopicsHeader,E6-1,3,1,Nscen)/D6)</f>
        <v>-4832.552080762749</v>
      </c>
      <c r="H6" s="82">
        <f ca="1"/>
        <v>-4587.3171164580053</v>
      </c>
      <c r="I6" s="82">
        <f ca="1"/>
        <v>-4410.5235128988361</v>
      </c>
      <c r="J6" s="82">
        <f ca="1"/>
        <v>-4470.0915191575396</v>
      </c>
    </row>
    <row r="7" spans="1:29" x14ac:dyDescent="0.25">
      <c r="A7" s="84">
        <v>1</v>
      </c>
      <c r="B7" s="79" t="s">
        <v>84</v>
      </c>
      <c r="C7" s="79" t="s">
        <v>8</v>
      </c>
      <c r="D7" s="86">
        <v>1000</v>
      </c>
      <c r="E7" s="117">
        <f t="shared" si="1"/>
        <v>10</v>
      </c>
      <c r="F7" t="str">
        <f>C7</f>
        <v>REFA-Total-Var-Indkomst</v>
      </c>
      <c r="G7" s="82" cm="1">
        <f t="array" aca="1" ref="G7:J7" ca="1">IF(A7=0,"",OFFSET(scenTopicsHeader,E7-1,3,1,Nscen)/D7)</f>
        <v>70030.774460572269</v>
      </c>
      <c r="H7" s="82">
        <f ca="1"/>
        <v>70926.254615163023</v>
      </c>
      <c r="I7" s="82">
        <f ca="1"/>
        <v>71700.41113926268</v>
      </c>
      <c r="J7" s="82">
        <f ca="1"/>
        <v>72185.035876903916</v>
      </c>
    </row>
    <row r="8" spans="1:29" x14ac:dyDescent="0.25">
      <c r="A8" s="84">
        <v>1</v>
      </c>
      <c r="B8" s="79" t="s">
        <v>84</v>
      </c>
      <c r="C8" s="79" t="s">
        <v>12</v>
      </c>
      <c r="D8" s="86">
        <v>1000</v>
      </c>
      <c r="E8" s="117">
        <f t="shared" si="1"/>
        <v>15</v>
      </c>
      <c r="F8" t="str">
        <f>C8</f>
        <v>REFA-Total-Var-Omkostning</v>
      </c>
      <c r="G8" s="82" cm="1">
        <f t="array" aca="1" ref="G8:J8" ca="1">IF(A8=0,"",OFFSET(scenTopicsHeader,E8-1,3,1,Nscen)/D8)</f>
        <v>74863.326541335045</v>
      </c>
      <c r="H8" s="82">
        <f ca="1"/>
        <v>75513.571731621036</v>
      </c>
      <c r="I8" s="82">
        <f ca="1"/>
        <v>76110.934652161508</v>
      </c>
      <c r="J8" s="82">
        <f ca="1"/>
        <v>76655.127396061464</v>
      </c>
    </row>
    <row r="9" spans="1:29" x14ac:dyDescent="0.25">
      <c r="A9" s="84">
        <v>1</v>
      </c>
      <c r="B9" s="79" t="s">
        <v>84</v>
      </c>
      <c r="C9" s="79" t="s">
        <v>15</v>
      </c>
      <c r="D9" s="86">
        <v>1000</v>
      </c>
      <c r="E9" s="117">
        <f t="shared" si="1"/>
        <v>18</v>
      </c>
      <c r="F9" t="str">
        <f>C9</f>
        <v>REFA-Afgifter</v>
      </c>
      <c r="G9" s="82" cm="1">
        <f t="array" aca="1" ref="G9:J9" ca="1">IF(A9=0,"",OFFSET(scenTopicsHeader,E9-1,3,1,Nscen)/D9)</f>
        <v>42376.7175379033</v>
      </c>
      <c r="H9" s="82">
        <f ca="1"/>
        <v>43064.907868162365</v>
      </c>
      <c r="I9" s="82">
        <f ca="1"/>
        <v>43598.619262013388</v>
      </c>
      <c r="J9" s="82">
        <f ca="1"/>
        <v>44250.218962486113</v>
      </c>
    </row>
    <row r="10" spans="1:29" x14ac:dyDescent="0.25">
      <c r="A10" s="84">
        <v>1</v>
      </c>
      <c r="B10" s="79" t="s">
        <v>84</v>
      </c>
      <c r="C10" s="79" t="s">
        <v>19</v>
      </c>
      <c r="D10" s="86">
        <v>1000</v>
      </c>
      <c r="E10" s="117">
        <f t="shared" si="1"/>
        <v>25</v>
      </c>
      <c r="F10" t="str">
        <f>C10</f>
        <v>REFA-CO2-Emission-Afgift</v>
      </c>
      <c r="G10" s="82" cm="1">
        <f t="array" aca="1" ref="G10:J10" ca="1">IF(A10=0,"",OFFSET(scenTopicsHeader,E10-1,3,1,Nscen)/D10)</f>
        <v>36.407149211917996</v>
      </c>
      <c r="H10" s="82">
        <f ca="1"/>
        <v>37.249697514976859</v>
      </c>
      <c r="I10" s="82">
        <f ca="1"/>
        <v>37.971862068674064</v>
      </c>
      <c r="J10" s="82">
        <f ca="1"/>
        <v>38.645278375599986</v>
      </c>
    </row>
    <row r="11" spans="1:29" x14ac:dyDescent="0.25">
      <c r="A11" s="84">
        <v>0</v>
      </c>
      <c r="B11" s="79" t="s">
        <v>84</v>
      </c>
      <c r="C11" s="79" t="s">
        <v>16</v>
      </c>
      <c r="D11" s="86">
        <v>1000</v>
      </c>
      <c r="E11" s="117">
        <f t="shared" si="1"/>
        <v>23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151</v>
      </c>
      <c r="C12" s="79" t="s">
        <v>40</v>
      </c>
      <c r="D12" s="86">
        <v>1000</v>
      </c>
      <c r="E12" s="117">
        <f t="shared" si="1"/>
        <v>54</v>
      </c>
      <c r="F12" t="str">
        <f t="shared" si="2"/>
        <v>Ovn3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140</v>
      </c>
      <c r="C13" s="79" t="s">
        <v>59</v>
      </c>
      <c r="D13" s="86">
        <v>1</v>
      </c>
      <c r="E13" s="117">
        <f t="shared" si="1"/>
        <v>75</v>
      </c>
      <c r="F13" t="str">
        <f t="shared" si="2"/>
        <v>TyskRest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84</v>
      </c>
      <c r="C14" s="79" t="s">
        <v>16</v>
      </c>
      <c r="D14" s="86">
        <v>1000</v>
      </c>
      <c r="E14" s="117">
        <f t="shared" si="1"/>
        <v>23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84</v>
      </c>
      <c r="C15" s="79" t="s">
        <v>16</v>
      </c>
      <c r="D15" s="86">
        <v>1000</v>
      </c>
      <c r="E15" s="117">
        <f t="shared" si="1"/>
        <v>23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 C6:C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C37B8-C85F-463B-B98B-53D3C8F58AA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sheetPr codeName="Sheet4"/>
  <dimension ref="A1:AM59"/>
  <sheetViews>
    <sheetView zoomScale="70" zoomScaleNormal="70" workbookViewId="0"/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116</v>
      </c>
      <c r="E1">
        <f>COUNTA(E4:E30)</f>
        <v>2</v>
      </c>
      <c r="R1" s="94" t="s">
        <v>117</v>
      </c>
      <c r="S1" t="s">
        <v>118</v>
      </c>
      <c r="T1" s="95" t="s">
        <v>119</v>
      </c>
    </row>
    <row r="2" spans="1:26" x14ac:dyDescent="0.25">
      <c r="B2" s="78" t="s">
        <v>120</v>
      </c>
      <c r="C2" s="78" t="s">
        <v>121</v>
      </c>
      <c r="J2" s="78" t="s">
        <v>122</v>
      </c>
      <c r="O2" s="96" t="s">
        <v>123</v>
      </c>
      <c r="S2" t="s">
        <v>124</v>
      </c>
      <c r="T2" s="95" t="s">
        <v>125</v>
      </c>
    </row>
    <row r="3" spans="1:26" x14ac:dyDescent="0.25">
      <c r="B3" s="97" t="s">
        <v>126</v>
      </c>
      <c r="C3" s="98" t="str" cm="1">
        <f t="array" ref="C3:H3">TRANSPOSE(B4:B9)&amp;"2"</f>
        <v>Control2</v>
      </c>
      <c r="D3" s="98" t="str">
        <v>Plant2</v>
      </c>
      <c r="E3" s="98" t="str">
        <v>Storage2</v>
      </c>
      <c r="F3" s="98" t="str">
        <v>Prognoses2</v>
      </c>
      <c r="G3" s="98" t="str">
        <v>Fuel2</v>
      </c>
      <c r="H3" s="98" t="str">
        <v>FuelBounds2</v>
      </c>
      <c r="I3" s="98"/>
      <c r="J3" s="92" t="str" cm="1">
        <f t="array" ref="J3:O3">TRANSPOSE(B4:B9)&amp;"3"</f>
        <v>Control3</v>
      </c>
      <c r="K3" s="92" t="str">
        <v>Plant3</v>
      </c>
      <c r="L3" s="92" t="str">
        <v>Storage3</v>
      </c>
      <c r="M3" s="92" t="str">
        <v>Prognoses3</v>
      </c>
      <c r="N3" s="92" t="str">
        <v>Fuel3</v>
      </c>
      <c r="O3" s="92" t="str">
        <v>FuelBounds3</v>
      </c>
      <c r="P3" s="92"/>
    </row>
    <row r="4" spans="1:26" x14ac:dyDescent="0.25">
      <c r="B4" t="s">
        <v>107</v>
      </c>
      <c r="C4" t="str" cm="1">
        <f t="array" ref="C4:C14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108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108</v>
      </c>
      <c r="N4" t="str" cm="1">
        <f t="array" ref="N4:N19">_xlfn.LET(_xlpm.ran,TRANSPOSE(listFuelAttr),_xlpm.ran)</f>
        <v>Aktiv</v>
      </c>
      <c r="O4" t="s">
        <v>127</v>
      </c>
      <c r="R4" s="78" t="s">
        <v>120</v>
      </c>
      <c r="S4" s="78" t="s">
        <v>121</v>
      </c>
      <c r="T4" s="78" t="s">
        <v>122</v>
      </c>
      <c r="U4" s="78" t="s">
        <v>128</v>
      </c>
      <c r="V4" s="85" t="s">
        <v>129</v>
      </c>
    </row>
    <row r="5" spans="1:26" x14ac:dyDescent="0.25">
      <c r="B5" t="s">
        <v>109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130</v>
      </c>
      <c r="R5" t="s">
        <v>109</v>
      </c>
      <c r="S5" t="s">
        <v>40</v>
      </c>
      <c r="T5" t="s">
        <v>102</v>
      </c>
      <c r="U5" s="99">
        <v>44197</v>
      </c>
      <c r="V5" s="100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115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112</v>
      </c>
      <c r="R6" t="s">
        <v>109</v>
      </c>
      <c r="S6" t="s">
        <v>40</v>
      </c>
      <c r="T6" t="s">
        <v>102</v>
      </c>
      <c r="U6" s="99">
        <v>44531</v>
      </c>
      <c r="V6" s="100"/>
      <c r="X6" t="str">
        <f ca="1"/>
        <v>Ovn3</v>
      </c>
      <c r="Z6" t="str">
        <f ca="1"/>
        <v>sto2</v>
      </c>
    </row>
    <row r="7" spans="1:26" x14ac:dyDescent="0.25">
      <c r="B7" t="s">
        <v>110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131</v>
      </c>
      <c r="R7" t="s">
        <v>109</v>
      </c>
      <c r="S7" t="s">
        <v>39</v>
      </c>
      <c r="T7" t="s">
        <v>102</v>
      </c>
      <c r="U7" s="99">
        <v>44531</v>
      </c>
      <c r="V7" s="100"/>
      <c r="X7" t="str">
        <f ca="1"/>
        <v>FlisK</v>
      </c>
      <c r="Z7">
        <f ca="1"/>
        <v>0</v>
      </c>
    </row>
    <row r="8" spans="1:26" x14ac:dyDescent="0.25">
      <c r="B8" t="s">
        <v>111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132</v>
      </c>
      <c r="R8" t="s">
        <v>109</v>
      </c>
      <c r="U8" s="99">
        <v>44197</v>
      </c>
      <c r="V8" s="100"/>
      <c r="X8" t="str">
        <f ca="1"/>
        <v>NS</v>
      </c>
      <c r="Z8">
        <f ca="1"/>
        <v>0</v>
      </c>
    </row>
    <row r="9" spans="1:26" x14ac:dyDescent="0.25">
      <c r="B9" t="s">
        <v>113</v>
      </c>
      <c r="C9" t="str">
        <v>FixAffald2021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114</v>
      </c>
      <c r="R9" t="s">
        <v>115</v>
      </c>
      <c r="S9" t="s">
        <v>133</v>
      </c>
      <c r="U9" s="99">
        <v>44682</v>
      </c>
      <c r="V9" s="100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FixAffaldSum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134</v>
      </c>
      <c r="R10" t="s">
        <v>109</v>
      </c>
      <c r="S10" t="s">
        <v>39</v>
      </c>
      <c r="U10" s="99">
        <v>47665</v>
      </c>
      <c r="V10" s="100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RgkRabatSats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109</v>
      </c>
      <c r="U11" s="99"/>
      <c r="V11" s="100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RgkAndelRabat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109</v>
      </c>
      <c r="S12" t="s">
        <v>44</v>
      </c>
      <c r="U12" s="99"/>
      <c r="V12" s="100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Varmesalgspris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109</v>
      </c>
      <c r="S13" t="s">
        <v>44</v>
      </c>
      <c r="U13" s="99"/>
      <c r="V13" s="100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t="str">
        <v>EgetforbrugKVV</v>
      </c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109</v>
      </c>
      <c r="U14" s="99"/>
      <c r="V14" s="100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109</v>
      </c>
      <c r="U15" s="99"/>
      <c r="V15" s="100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109</v>
      </c>
      <c r="U16" s="99"/>
      <c r="V16" s="100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99"/>
      <c r="V17" s="100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99"/>
      <c r="V18" s="100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99"/>
      <c r="V19" s="100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9"/>
      <c r="V20" s="100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9"/>
      <c r="V21" s="100"/>
      <c r="Z21">
        <f ca="1"/>
        <v>0</v>
      </c>
    </row>
    <row r="22" spans="2:26" x14ac:dyDescent="0.25">
      <c r="B22" t="s">
        <v>135</v>
      </c>
      <c r="F22" t="str">
        <v>ETSaff</v>
      </c>
      <c r="G22" t="str">
        <v>Halm</v>
      </c>
      <c r="H22" t="str">
        <v>Halm</v>
      </c>
      <c r="U22" s="99"/>
      <c r="V22" s="100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9"/>
      <c r="V23" s="100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9"/>
      <c r="V24" s="100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9"/>
      <c r="V25" s="100"/>
    </row>
    <row r="26" spans="2:26" x14ac:dyDescent="0.25">
      <c r="F26" t="str">
        <v>EnrPeak</v>
      </c>
      <c r="G26" t="str">
        <v>NyAff2</v>
      </c>
      <c r="H26" t="str">
        <v>NyAff2</v>
      </c>
      <c r="U26" s="99"/>
      <c r="V26" s="100"/>
    </row>
    <row r="27" spans="2:26" x14ac:dyDescent="0.25">
      <c r="F27" t="str">
        <v>CO2peak</v>
      </c>
      <c r="G27" t="str">
        <v>NyAff3</v>
      </c>
      <c r="H27" t="str">
        <v>NyAff3</v>
      </c>
      <c r="U27" s="99"/>
      <c r="V27" s="100"/>
    </row>
    <row r="28" spans="2:26" x14ac:dyDescent="0.25">
      <c r="F28" t="str">
        <v>NOxPeak</v>
      </c>
      <c r="G28" t="str">
        <v>NyAff4</v>
      </c>
      <c r="H28" t="str">
        <v>NyAff4</v>
      </c>
      <c r="U28" s="99"/>
      <c r="V28" s="100"/>
    </row>
    <row r="29" spans="2:26" x14ac:dyDescent="0.25">
      <c r="G29" t="str">
        <v>NyAff5</v>
      </c>
      <c r="H29" t="str">
        <v>NyAff5</v>
      </c>
      <c r="U29" s="99"/>
      <c r="V29" s="100"/>
    </row>
    <row r="30" spans="2:26" x14ac:dyDescent="0.25">
      <c r="G30" t="str">
        <v>Flis</v>
      </c>
      <c r="H30" t="str">
        <v>Flis</v>
      </c>
      <c r="U30" s="99"/>
      <c r="V30" s="100"/>
    </row>
    <row r="31" spans="2:26" x14ac:dyDescent="0.25">
      <c r="G31" t="str">
        <v>NSvarme</v>
      </c>
      <c r="H31" t="str">
        <v>NSvarme</v>
      </c>
      <c r="U31" s="99"/>
      <c r="V31" s="100"/>
    </row>
    <row r="32" spans="2:26" x14ac:dyDescent="0.25">
      <c r="G32" t="str">
        <v>PeakFuel</v>
      </c>
      <c r="H32" t="str">
        <v>PeakFuel</v>
      </c>
      <c r="U32" s="99"/>
      <c r="V32" s="100"/>
    </row>
    <row r="33" spans="1:31" x14ac:dyDescent="0.25">
      <c r="U33" s="99"/>
      <c r="V33" s="100"/>
    </row>
    <row r="34" spans="1:31" x14ac:dyDescent="0.25">
      <c r="U34" s="99"/>
      <c r="V34" s="100"/>
    </row>
    <row r="35" spans="1:31" x14ac:dyDescent="0.25">
      <c r="U35" s="99"/>
      <c r="V35" s="100"/>
    </row>
    <row r="36" spans="1:31" x14ac:dyDescent="0.25">
      <c r="U36" s="99"/>
      <c r="V36" s="100"/>
    </row>
    <row r="37" spans="1:31" x14ac:dyDescent="0.25">
      <c r="U37" s="99"/>
      <c r="V37" s="100"/>
    </row>
    <row r="38" spans="1:31" x14ac:dyDescent="0.25">
      <c r="A38" t="s">
        <v>136</v>
      </c>
      <c r="B38" s="78" t="s">
        <v>105</v>
      </c>
      <c r="U38" s="99"/>
      <c r="V38" s="100"/>
    </row>
    <row r="39" spans="1:31" x14ac:dyDescent="0.25">
      <c r="A39" s="80">
        <f>COUNTA(_xlfn.ANCHORARRAY(C39))</f>
        <v>11</v>
      </c>
      <c r="B39" t="str">
        <f>B4</f>
        <v>Control</v>
      </c>
      <c r="C39" t="str" cm="1">
        <f t="array" ref="C39:M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FixAffald2021</v>
      </c>
      <c r="I39" t="str">
        <v>FixAffaldSum</v>
      </c>
      <c r="J39" t="str">
        <v>RgkRabatSats</v>
      </c>
      <c r="K39" t="str">
        <v>RgkAndelRabat</v>
      </c>
      <c r="L39" t="str">
        <v>Varmesalgspris</v>
      </c>
      <c r="M39" t="str">
        <v>EgetforbrugKVV</v>
      </c>
      <c r="U39" s="99"/>
      <c r="V39" s="100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9"/>
      <c r="V40" s="100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106</v>
      </c>
    </row>
    <row r="48" spans="1:31" x14ac:dyDescent="0.25">
      <c r="A48" s="80"/>
      <c r="B48" t="str">
        <f>B4</f>
        <v>Control</v>
      </c>
      <c r="C48" t="s">
        <v>108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108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137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sheetPr codeName="Sheet5"/>
  <dimension ref="B2:M113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8" t="s">
        <v>85</v>
      </c>
      <c r="C2" s="79" t="s">
        <v>84</v>
      </c>
      <c r="D2" s="79" t="s">
        <v>151</v>
      </c>
      <c r="E2" s="79" t="s">
        <v>140</v>
      </c>
      <c r="F2" s="79" t="s">
        <v>141</v>
      </c>
      <c r="G2" s="79" t="s">
        <v>141</v>
      </c>
      <c r="I2" s="78" t="s">
        <v>87</v>
      </c>
      <c r="L2" s="78" t="s">
        <v>88</v>
      </c>
    </row>
    <row r="3" spans="2:13" ht="15.75" x14ac:dyDescent="0.25">
      <c r="B3" s="77" t="str" cm="1">
        <f t="array" ref="B3:B6">_xlfn.UNIQUE(LEFT(_xlfn.ANCHORARRAY(I3),FIND(".",_xlfn.ANCHORARRAY(I3))-1))</f>
        <v>Nøgletal</v>
      </c>
      <c r="C3" t="str" cm="1">
        <f t="array" ref="C3:C49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3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89</v>
      </c>
      <c r="M3" cm="1">
        <f t="array" ref="M3">MATCH(TRUE,ISBLANK(Overblik!$D$4:$AD$4),0)-1</f>
        <v>4</v>
      </c>
    </row>
    <row r="4" spans="2:13" ht="15.75" x14ac:dyDescent="0.25">
      <c r="B4" s="77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143</v>
      </c>
      <c r="M4" s="111" cm="1">
        <f t="array" ref="M4">[2]!PerStart</f>
        <v>44197</v>
      </c>
    </row>
    <row r="5" spans="2:13" ht="15.75" x14ac:dyDescent="0.25">
      <c r="B5" s="77" t="str">
        <v>Brændselsforbrug</v>
      </c>
      <c r="C5" t="str">
        <v>Total-Var-VPO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Nøgletal.Total-Var-VPO</v>
      </c>
      <c r="J5" t="str">
        <v>Brændselsforbrug</v>
      </c>
      <c r="L5" t="s">
        <v>144</v>
      </c>
      <c r="M5" s="111" cm="1">
        <f t="array" ref="M5">[2]!PerSlut</f>
        <v>44531</v>
      </c>
    </row>
    <row r="6" spans="2:13" ht="15.75" x14ac:dyDescent="0.25">
      <c r="B6" s="77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146</v>
      </c>
      <c r="M6">
        <v>-9.99</v>
      </c>
    </row>
    <row r="7" spans="2:13" ht="15.75" x14ac:dyDescent="0.25">
      <c r="B7" s="77"/>
      <c r="C7" t="str">
        <v>REFA-Var-VPO-Total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Nøgletal.REFA-Var-VPO-Total</v>
      </c>
    </row>
    <row r="8" spans="2:13" ht="15.75" x14ac:dyDescent="0.25">
      <c r="B8" s="77"/>
      <c r="C8" t="str">
        <v>REFA-Var-VPO-Affald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Nøgletal.REFA-Var-VPO-Affald</v>
      </c>
    </row>
    <row r="9" spans="2:13" ht="15.75" x14ac:dyDescent="0.25">
      <c r="B9" s="77"/>
      <c r="C9" t="str">
        <v>REFA-Daekningsbidrag</v>
      </c>
      <c r="E9" t="str">
        <v>DagrenRast</v>
      </c>
      <c r="F9" t="str">
        <v>DagrenRast</v>
      </c>
      <c r="G9" t="str">
        <v>DagrenRast</v>
      </c>
      <c r="I9" t="str">
        <v>Nøgletal.REFA-Daekningsbidrag</v>
      </c>
    </row>
    <row r="10" spans="2:13" ht="15.75" x14ac:dyDescent="0.25">
      <c r="B10" s="77"/>
      <c r="C10" t="str">
        <v>REFA-Total-Var-Indkomst</v>
      </c>
      <c r="E10" t="str">
        <v>DagrenInst</v>
      </c>
      <c r="F10" t="str">
        <v>DagrenInst</v>
      </c>
      <c r="G10" t="str">
        <v>DagrenInst</v>
      </c>
      <c r="I10" t="str">
        <v>Nøgletal.REFA-Total-Var-Indkomst</v>
      </c>
    </row>
    <row r="11" spans="2:13" ht="15.75" x14ac:dyDescent="0.25">
      <c r="B11" s="77"/>
      <c r="C11" t="str">
        <v>REFA-Affald-Modtagelse</v>
      </c>
      <c r="E11" t="str">
        <v>DagrenHandel</v>
      </c>
      <c r="F11" t="str">
        <v>DagrenHandel</v>
      </c>
      <c r="G11" t="str">
        <v>DagrenHandel</v>
      </c>
      <c r="I11" t="str">
        <v>Nøgletal.REFA-Affald-Modtagelse</v>
      </c>
    </row>
    <row r="12" spans="2:13" ht="15.75" x14ac:dyDescent="0.25">
      <c r="B12" s="77"/>
      <c r="C12" t="str">
        <v>REFA-RGK-Rabat</v>
      </c>
      <c r="E12" t="str">
        <v>DagrenRestau</v>
      </c>
      <c r="F12" t="str">
        <v>DagrenRestau</v>
      </c>
      <c r="G12" t="str">
        <v>DagrenRestau</v>
      </c>
      <c r="I12" t="str">
        <v>Nøgletal.REFA-RGK-Rabat</v>
      </c>
    </row>
    <row r="13" spans="2:13" x14ac:dyDescent="0.25">
      <c r="C13" t="str">
        <v>REFA-Elsalg</v>
      </c>
      <c r="E13" t="str">
        <v>Erhverv</v>
      </c>
      <c r="F13" t="str">
        <v>Erhverv</v>
      </c>
      <c r="G13" t="str">
        <v>Erhverv</v>
      </c>
      <c r="I13" t="str">
        <v>Nøgletal.REFA-Elsalg</v>
      </c>
    </row>
    <row r="14" spans="2:13" x14ac:dyDescent="0.25">
      <c r="C14" t="str">
        <v>REFA-Varmesalg</v>
      </c>
      <c r="E14" t="str">
        <v>DagrenErhverv</v>
      </c>
      <c r="F14" t="str">
        <v>DagrenErhverv</v>
      </c>
      <c r="G14" t="str">
        <v>DagrenErhverv</v>
      </c>
      <c r="I14" t="str">
        <v>Nøgletal.REFA-Varmesalg</v>
      </c>
    </row>
    <row r="15" spans="2:13" x14ac:dyDescent="0.25">
      <c r="C15" t="str">
        <v>REFA-Total-Var-Omkostning</v>
      </c>
      <c r="E15" t="str">
        <v>HandelKontor</v>
      </c>
      <c r="F15" t="str">
        <v>HandelKontor</v>
      </c>
      <c r="G15" t="str">
        <v>HandelKontor</v>
      </c>
      <c r="I15" t="str">
        <v>Nøgletal.REFA-Total-Var-Omkostning</v>
      </c>
    </row>
    <row r="16" spans="2:13" x14ac:dyDescent="0.25">
      <c r="C16" t="str">
        <v>REFA-AnlaegsVarOmk</v>
      </c>
      <c r="E16" t="str">
        <v>Privat</v>
      </c>
      <c r="F16" t="str">
        <v>Privat</v>
      </c>
      <c r="G16" t="str">
        <v>Privat</v>
      </c>
      <c r="I16" t="str">
        <v>Nøgletal.REFA-AnlaegsVarOmk</v>
      </c>
    </row>
    <row r="17" spans="3:9" x14ac:dyDescent="0.25">
      <c r="C17" t="str">
        <v>REFA-BraendselOmk</v>
      </c>
      <c r="E17" t="str">
        <v>TyskRest</v>
      </c>
      <c r="F17" t="str">
        <v>TyskRest</v>
      </c>
      <c r="G17" t="str">
        <v>TyskRest</v>
      </c>
      <c r="I17" t="str">
        <v>Nøgletal.REFA-BraendselOmk</v>
      </c>
    </row>
    <row r="18" spans="3:9" x14ac:dyDescent="0.25">
      <c r="C18" t="str">
        <v>REFA-Afgifter</v>
      </c>
      <c r="E18" t="str">
        <v>PolskRest</v>
      </c>
      <c r="F18" t="str">
        <v>PolskRest</v>
      </c>
      <c r="G18" t="str">
        <v>PolskRest</v>
      </c>
      <c r="I18" t="str">
        <v>Nøgletal.REFA-Afgifter</v>
      </c>
    </row>
    <row r="19" spans="3:9" x14ac:dyDescent="0.25">
      <c r="C19" t="str">
        <v>REFA-Affaldvarme-afgift</v>
      </c>
      <c r="E19" t="str">
        <v>PcbTrae</v>
      </c>
      <c r="F19" t="str">
        <v>PcbTrae</v>
      </c>
      <c r="G19" t="str">
        <v>PcbTrae</v>
      </c>
      <c r="I19" t="str">
        <v>Nøgletal.REFA-Affaldvarme-afgift</v>
      </c>
    </row>
    <row r="20" spans="3:9" x14ac:dyDescent="0.25">
      <c r="C20" t="str">
        <v>REFA-Tillaegs-Afgift</v>
      </c>
      <c r="E20" t="str">
        <v>TraeRekv</v>
      </c>
      <c r="F20" t="str">
        <v>TraeRekv</v>
      </c>
      <c r="G20" t="str">
        <v>TraeRekv</v>
      </c>
      <c r="I20" t="str">
        <v>Nøgletal.REFA-Tillaegs-Afgift</v>
      </c>
    </row>
    <row r="21" spans="3:9" x14ac:dyDescent="0.25">
      <c r="C21" t="str">
        <v>REFA-CO2-Afgift</v>
      </c>
      <c r="E21" t="str">
        <v>Halm</v>
      </c>
      <c r="F21" t="str">
        <v>Halm</v>
      </c>
      <c r="G21" t="str">
        <v>Halm</v>
      </c>
      <c r="I21" t="str">
        <v>Nøgletal.REFA-CO2-Afgift</v>
      </c>
    </row>
    <row r="22" spans="3:9" x14ac:dyDescent="0.25">
      <c r="C22" t="str">
        <v>REFA-NOx-Afgift</v>
      </c>
      <c r="E22" t="str">
        <v>Pulver</v>
      </c>
      <c r="F22" t="str">
        <v>Pulver</v>
      </c>
      <c r="G22" t="str">
        <v>Pulver</v>
      </c>
      <c r="I22" t="str">
        <v>Nøgletal.REFA-NOx-Afgift</v>
      </c>
    </row>
    <row r="23" spans="3:9" x14ac:dyDescent="0.25">
      <c r="C23" t="str">
        <v>REFA-CO2-Kvoteomk</v>
      </c>
      <c r="E23" t="str">
        <v>FlisAffald</v>
      </c>
      <c r="F23" t="str">
        <v>FlisAffald</v>
      </c>
      <c r="G23" t="str">
        <v>FlisAffald</v>
      </c>
      <c r="I23" t="str">
        <v>Nøgletal.REFA-CO2-Kvoteomk</v>
      </c>
    </row>
    <row r="24" spans="3:9" x14ac:dyDescent="0.25">
      <c r="C24" t="str">
        <v>REFA-Lageromkostning</v>
      </c>
      <c r="E24" t="str">
        <v>NyAff1</v>
      </c>
      <c r="F24" t="str">
        <v>NyAff1</v>
      </c>
      <c r="G24" t="str">
        <v>NyAff1</v>
      </c>
      <c r="I24" t="str">
        <v>Nøgletal.REFA-Lageromkostning</v>
      </c>
    </row>
    <row r="25" spans="3:9" x14ac:dyDescent="0.25">
      <c r="C25" t="str">
        <v>REFA-CO2-Emission-Afgift</v>
      </c>
      <c r="E25" t="str">
        <v>NyAff2</v>
      </c>
      <c r="F25" t="str">
        <v>NyAff2</v>
      </c>
      <c r="G25" t="str">
        <v>NyAff2</v>
      </c>
      <c r="I25" t="str">
        <v>Nøgletal.REFA-CO2-Emission-Afgift</v>
      </c>
    </row>
    <row r="26" spans="3:9" x14ac:dyDescent="0.25">
      <c r="C26" t="str">
        <v>REFA-CO2-Emission-Kvote</v>
      </c>
      <c r="E26" t="str">
        <v>NyAff3</v>
      </c>
      <c r="F26" t="str">
        <v>NyAff3</v>
      </c>
      <c r="G26" t="str">
        <v>NyAff3</v>
      </c>
      <c r="I26" t="str">
        <v>Nøgletal.REFA-CO2-Emission-Kvote</v>
      </c>
    </row>
    <row r="27" spans="3:9" x14ac:dyDescent="0.25">
      <c r="C27" t="str">
        <v>REFA-El-produktion-Brutto</v>
      </c>
      <c r="E27" t="str">
        <v>NyAff4</v>
      </c>
      <c r="F27" t="str">
        <v>NyAff4</v>
      </c>
      <c r="G27" t="str">
        <v>NyAff4</v>
      </c>
      <c r="I27" t="str">
        <v>Nøgletal.REFA-El-produktion-Brutto</v>
      </c>
    </row>
    <row r="28" spans="3:9" x14ac:dyDescent="0.25">
      <c r="C28" t="str">
        <v>REFA-El-produktion-Netto</v>
      </c>
      <c r="E28" t="str">
        <v>NyAff5</v>
      </c>
      <c r="F28" t="str">
        <v>NyAff5</v>
      </c>
      <c r="G28" t="str">
        <v>NyAff5</v>
      </c>
      <c r="I28" t="str">
        <v>Nøgletal.REFA-El-produktion-Netto</v>
      </c>
    </row>
    <row r="29" spans="3:9" x14ac:dyDescent="0.25">
      <c r="C29" t="str">
        <v>REFA-Total-Affald-Raadighed</v>
      </c>
      <c r="E29" t="str">
        <v>Flis</v>
      </c>
      <c r="F29" t="str">
        <v>Flis</v>
      </c>
      <c r="G29" t="str">
        <v>Flis</v>
      </c>
      <c r="I29" t="str">
        <v>Nøgletal.REFA-Total-Affald-Raadighed</v>
      </c>
    </row>
    <row r="30" spans="3:9" x14ac:dyDescent="0.25">
      <c r="C30" t="str">
        <v>REFA-Affald-anvendt</v>
      </c>
      <c r="E30" t="str">
        <v>NSvarme</v>
      </c>
      <c r="F30" t="str">
        <v>NSvarme</v>
      </c>
      <c r="G30" t="str">
        <v>NSvarme</v>
      </c>
      <c r="I30" t="str">
        <v>Nøgletal.REFA-Affald-anvendt</v>
      </c>
    </row>
    <row r="31" spans="3:9" x14ac:dyDescent="0.25">
      <c r="C31" t="str">
        <v>REFA-Affald-Uudnyttet</v>
      </c>
      <c r="E31" t="str">
        <v>PeakFuel</v>
      </c>
      <c r="F31" t="str">
        <v>PeakFuel</v>
      </c>
      <c r="G31" t="str">
        <v>PeakFuel</v>
      </c>
      <c r="I31" t="str">
        <v>Nøgletal.REFA-Affald-Uudnyttet</v>
      </c>
    </row>
    <row r="32" spans="3:9" x14ac:dyDescent="0.25">
      <c r="C32" t="str">
        <v>REFA-Affald-Lagret</v>
      </c>
      <c r="I32" t="str">
        <v>Nøgletal.REFA-Affald-Lagret</v>
      </c>
    </row>
    <row r="33" spans="3:9" x14ac:dyDescent="0.25">
      <c r="C33" t="str">
        <v>REFA-Total-Varme-Produktion</v>
      </c>
      <c r="I33" t="str">
        <v>Nøgletal.REFA-Total-Varme-Produktion</v>
      </c>
    </row>
    <row r="34" spans="3:9" x14ac:dyDescent="0.25">
      <c r="C34" t="str">
        <v>REFA-Leveret-Varme</v>
      </c>
      <c r="I34" t="str">
        <v>Nøgletal.REFA-Leveret-Varme</v>
      </c>
    </row>
    <row r="35" spans="3:9" x14ac:dyDescent="0.25">
      <c r="C35" t="str">
        <v>REFA-Modtryk-Varme</v>
      </c>
      <c r="I35" t="str">
        <v>Nøgletal.REFA-Modtryk-Varme</v>
      </c>
    </row>
    <row r="36" spans="3:9" x14ac:dyDescent="0.25">
      <c r="C36" t="str">
        <v>REFA-Bypass-Varme</v>
      </c>
      <c r="I36" t="str">
        <v>Nøgletal.REFA-Bypass-Varme</v>
      </c>
    </row>
    <row r="37" spans="3:9" x14ac:dyDescent="0.25">
      <c r="C37" t="str">
        <v>REFA-RGK-Varme</v>
      </c>
      <c r="I37" t="str">
        <v>Nøgletal.REFA-RGK-Varme</v>
      </c>
    </row>
    <row r="38" spans="3:9" x14ac:dyDescent="0.25">
      <c r="C38" t="str">
        <v>REFA-Bortkoelet-Varme</v>
      </c>
      <c r="I38" t="str">
        <v>Nøgletal.REFA-Bortkoelet-Varme</v>
      </c>
    </row>
    <row r="39" spans="3:9" x14ac:dyDescent="0.25">
      <c r="C39" t="str">
        <v>GSF-Total-Var-Omkostning</v>
      </c>
      <c r="I39" t="str">
        <v>Nøgletal.GSF-Total-Var-Omkostning</v>
      </c>
    </row>
    <row r="40" spans="3:9" x14ac:dyDescent="0.25">
      <c r="C40" t="str">
        <v>GSF-AnlaegsVarOmk</v>
      </c>
      <c r="I40" t="str">
        <v>Nøgletal.GSF-AnlaegsVarOmk</v>
      </c>
    </row>
    <row r="41" spans="3:9" x14ac:dyDescent="0.25">
      <c r="C41" t="str">
        <v>GSF-BraendselOmk</v>
      </c>
      <c r="I41" t="str">
        <v>Nøgletal.GSF-BraendselOmk</v>
      </c>
    </row>
    <row r="42" spans="3:9" x14ac:dyDescent="0.25">
      <c r="C42" t="str">
        <v>GSF-Afgifter</v>
      </c>
      <c r="I42" t="str">
        <v>Nøgletal.GSF-Afgifter</v>
      </c>
    </row>
    <row r="43" spans="3:9" x14ac:dyDescent="0.25">
      <c r="C43" t="str">
        <v>GSF-CO2-Emission</v>
      </c>
      <c r="I43" t="str">
        <v>Nøgletal.GSF-CO2-Emission</v>
      </c>
    </row>
    <row r="44" spans="3:9" x14ac:dyDescent="0.25">
      <c r="C44" t="str">
        <v>GSF-Total-Varme-Produktion</v>
      </c>
      <c r="I44" t="str">
        <v>Nøgletal.GSF-Total-Varme-Produktion</v>
      </c>
    </row>
    <row r="45" spans="3:9" x14ac:dyDescent="0.25">
      <c r="C45" t="str">
        <v>NS-Total-Varme-Produktion</v>
      </c>
      <c r="I45" t="str">
        <v>Nøgletal.NS-Total-Varme-Produktion</v>
      </c>
    </row>
    <row r="46" spans="3:9" x14ac:dyDescent="0.25">
      <c r="C46" t="str">
        <v>Virtuel-Varme-Kilde</v>
      </c>
      <c r="I46" t="str">
        <v>Nøgletal.Virtuel-Varme-Kilde</v>
      </c>
    </row>
    <row r="47" spans="3:9" x14ac:dyDescent="0.25">
      <c r="C47" t="str">
        <v>Virtuel-Varme-Draen</v>
      </c>
      <c r="I47" t="str">
        <v>Nøgletal.Virtuel-Varme-Draen</v>
      </c>
    </row>
    <row r="48" spans="3:9" x14ac:dyDescent="0.25">
      <c r="C48" t="str">
        <v>Virtuel-Affaldstonnage-Kilde</v>
      </c>
      <c r="I48" t="str">
        <v>Nøgletal.Virtuel-Affaldstonnage-Kilde</v>
      </c>
    </row>
    <row r="49" spans="3:9" x14ac:dyDescent="0.25">
      <c r="C49" t="str">
        <v>Virtuel-Affaldstonnage-Draen</v>
      </c>
      <c r="I49" t="str">
        <v>Nøgletal.Virtuel-Affaldstonnage-Draen</v>
      </c>
    </row>
    <row r="50" spans="3:9" x14ac:dyDescent="0.25">
      <c r="I50" t="str">
        <v>Varmemængder.Ovn2</v>
      </c>
    </row>
    <row r="51" spans="3:9" x14ac:dyDescent="0.25">
      <c r="I51" t="str">
        <v>Varmemængder.Ovn3</v>
      </c>
    </row>
    <row r="52" spans="3:9" x14ac:dyDescent="0.25">
      <c r="I52" t="str">
        <v>Varmemængder.FlisK</v>
      </c>
    </row>
    <row r="53" spans="3:9" x14ac:dyDescent="0.25">
      <c r="I53" t="str">
        <v>Varmemængder.NS</v>
      </c>
    </row>
    <row r="54" spans="3:9" x14ac:dyDescent="0.25">
      <c r="I54" t="str">
        <v>Varmemængder.Cooler</v>
      </c>
    </row>
    <row r="55" spans="3:9" x14ac:dyDescent="0.25">
      <c r="I55" t="str">
        <v>Varmemængder.PeakK</v>
      </c>
    </row>
    <row r="56" spans="3:9" x14ac:dyDescent="0.25">
      <c r="I56" t="str">
        <v>Brændselsforbrug.DepoSort</v>
      </c>
    </row>
    <row r="57" spans="3:9" x14ac:dyDescent="0.25">
      <c r="I57" t="str">
        <v>Brændselsforbrug.DepoSmaat</v>
      </c>
    </row>
    <row r="58" spans="3:9" x14ac:dyDescent="0.25">
      <c r="I58" t="str">
        <v>Brændselsforbrug.DepoNedd</v>
      </c>
    </row>
    <row r="59" spans="3:9" x14ac:dyDescent="0.25">
      <c r="I59" t="str">
        <v>Brændselsforbrug.Dagren</v>
      </c>
    </row>
    <row r="60" spans="3:9" x14ac:dyDescent="0.25">
      <c r="I60" t="str">
        <v>Brændselsforbrug.AndetBrand</v>
      </c>
    </row>
    <row r="61" spans="3:9" x14ac:dyDescent="0.25">
      <c r="I61" t="str">
        <v>Brændselsforbrug.Trae</v>
      </c>
    </row>
    <row r="62" spans="3:9" x14ac:dyDescent="0.25">
      <c r="I62" t="str">
        <v>Brændselsforbrug.DagrenRast</v>
      </c>
    </row>
    <row r="63" spans="3:9" x14ac:dyDescent="0.25">
      <c r="I63" t="str">
        <v>Brændselsforbrug.DagrenInst</v>
      </c>
    </row>
    <row r="64" spans="3:9" x14ac:dyDescent="0.25">
      <c r="I64" t="str">
        <v>Brændselsforbrug.DagrenHandel</v>
      </c>
    </row>
    <row r="65" spans="9:9" x14ac:dyDescent="0.25">
      <c r="I65" t="str">
        <v>Brændselsforbrug.DagrenRestau</v>
      </c>
    </row>
    <row r="66" spans="9:9" x14ac:dyDescent="0.25">
      <c r="I66" t="str">
        <v>Brændselsforbrug.Erhverv</v>
      </c>
    </row>
    <row r="67" spans="9:9" x14ac:dyDescent="0.25">
      <c r="I67" t="str">
        <v>Brændselsforbrug.DagrenErhverv</v>
      </c>
    </row>
    <row r="68" spans="9:9" x14ac:dyDescent="0.25">
      <c r="I68" t="str">
        <v>Brændselsforbrug.HandelKontor</v>
      </c>
    </row>
    <row r="69" spans="9:9" x14ac:dyDescent="0.25">
      <c r="I69" t="str">
        <v>Brændselsforbrug.Privat</v>
      </c>
    </row>
    <row r="70" spans="9:9" x14ac:dyDescent="0.25">
      <c r="I70" t="str">
        <v>Brændselsforbrug.TyskRest</v>
      </c>
    </row>
    <row r="71" spans="9:9" x14ac:dyDescent="0.25">
      <c r="I71" t="str">
        <v>Brændselsforbrug.PolskRest</v>
      </c>
    </row>
    <row r="72" spans="9:9" x14ac:dyDescent="0.25">
      <c r="I72" t="str">
        <v>Brændselsforbrug.PcbTrae</v>
      </c>
    </row>
    <row r="73" spans="9:9" x14ac:dyDescent="0.25">
      <c r="I73" t="str">
        <v>Brændselsforbrug.TraeRekv</v>
      </c>
    </row>
    <row r="74" spans="9:9" x14ac:dyDescent="0.25">
      <c r="I74" t="str">
        <v>Brændselsforbrug.Halm</v>
      </c>
    </row>
    <row r="75" spans="9:9" x14ac:dyDescent="0.25">
      <c r="I75" t="str">
        <v>Brændselsforbrug.Pulver</v>
      </c>
    </row>
    <row r="76" spans="9:9" x14ac:dyDescent="0.25">
      <c r="I76" t="str">
        <v>Brændselsforbrug.FlisAffald</v>
      </c>
    </row>
    <row r="77" spans="9:9" x14ac:dyDescent="0.25">
      <c r="I77" t="str">
        <v>Brændselsforbrug.NyAff1</v>
      </c>
    </row>
    <row r="78" spans="9:9" x14ac:dyDescent="0.25">
      <c r="I78" t="str">
        <v>Brændselsforbrug.NyAff2</v>
      </c>
    </row>
    <row r="79" spans="9:9" x14ac:dyDescent="0.25">
      <c r="I79" t="str">
        <v>Brændselsforbrug.NyAff3</v>
      </c>
    </row>
    <row r="80" spans="9:9" x14ac:dyDescent="0.25">
      <c r="I80" t="str">
        <v>Brændselsforbrug.NyAff4</v>
      </c>
    </row>
    <row r="81" spans="9:9" x14ac:dyDescent="0.25">
      <c r="I81" t="str">
        <v>Brændselsforbrug.NyAff5</v>
      </c>
    </row>
    <row r="82" spans="9:9" x14ac:dyDescent="0.25">
      <c r="I82" t="str">
        <v>Brændselsforbrug.Flis</v>
      </c>
    </row>
    <row r="83" spans="9:9" x14ac:dyDescent="0.25">
      <c r="I83" t="str">
        <v>Brændselsforbrug.NSvarme</v>
      </c>
    </row>
    <row r="84" spans="9:9" x14ac:dyDescent="0.25">
      <c r="I84" t="str">
        <v>Brændselsforbrug.PeakFuel</v>
      </c>
    </row>
    <row r="85" spans="9:9" x14ac:dyDescent="0.25">
      <c r="I85" t="str">
        <v>Brændselsindkomst.DepoSort</v>
      </c>
    </row>
    <row r="86" spans="9:9" x14ac:dyDescent="0.25">
      <c r="I86" t="str">
        <v>Brændselsindkomst.DepoSmaat</v>
      </c>
    </row>
    <row r="87" spans="9:9" x14ac:dyDescent="0.25">
      <c r="I87" t="str">
        <v>Brændselsindkomst.DepoNedd</v>
      </c>
    </row>
    <row r="88" spans="9:9" x14ac:dyDescent="0.25">
      <c r="I88" t="str">
        <v>Brændselsindkomst.Dagren</v>
      </c>
    </row>
    <row r="89" spans="9:9" x14ac:dyDescent="0.25">
      <c r="I89" t="str">
        <v>Brændselsindkomst.AndetBrand</v>
      </c>
    </row>
    <row r="90" spans="9:9" x14ac:dyDescent="0.25">
      <c r="I90" t="str">
        <v>Brændselsindkomst.Trae</v>
      </c>
    </row>
    <row r="91" spans="9:9" x14ac:dyDescent="0.25">
      <c r="I91" t="str">
        <v>Brændselsindkomst.DagrenRast</v>
      </c>
    </row>
    <row r="92" spans="9:9" x14ac:dyDescent="0.25">
      <c r="I92" t="str">
        <v>Brændselsindkomst.DagrenInst</v>
      </c>
    </row>
    <row r="93" spans="9:9" x14ac:dyDescent="0.25">
      <c r="I93" t="str">
        <v>Brændselsindkomst.DagrenHandel</v>
      </c>
    </row>
    <row r="94" spans="9:9" x14ac:dyDescent="0.25">
      <c r="I94" t="str">
        <v>Brændselsindkomst.DagrenRestau</v>
      </c>
    </row>
    <row r="95" spans="9:9" x14ac:dyDescent="0.25">
      <c r="I95" t="str">
        <v>Brændselsindkomst.Erhverv</v>
      </c>
    </row>
    <row r="96" spans="9:9" x14ac:dyDescent="0.25">
      <c r="I96" t="str">
        <v>Brændselsindkomst.DagrenErhverv</v>
      </c>
    </row>
    <row r="97" spans="9:9" x14ac:dyDescent="0.25">
      <c r="I97" t="str">
        <v>Brændselsindkomst.HandelKontor</v>
      </c>
    </row>
    <row r="98" spans="9:9" x14ac:dyDescent="0.25">
      <c r="I98" t="str">
        <v>Brændselsindkomst.Privat</v>
      </c>
    </row>
    <row r="99" spans="9:9" x14ac:dyDescent="0.25">
      <c r="I99" t="str">
        <v>Brændselsindkomst.TyskRest</v>
      </c>
    </row>
    <row r="100" spans="9:9" x14ac:dyDescent="0.25">
      <c r="I100" t="str">
        <v>Brændselsindkomst.PolskRest</v>
      </c>
    </row>
    <row r="101" spans="9:9" x14ac:dyDescent="0.25">
      <c r="I101" t="str">
        <v>Brændselsindkomst.PcbTrae</v>
      </c>
    </row>
    <row r="102" spans="9:9" x14ac:dyDescent="0.25">
      <c r="I102" t="str">
        <v>Brændselsindkomst.TraeRekv</v>
      </c>
    </row>
    <row r="103" spans="9:9" x14ac:dyDescent="0.25">
      <c r="I103" t="str">
        <v>Brændselsindkomst.Halm</v>
      </c>
    </row>
    <row r="104" spans="9:9" x14ac:dyDescent="0.25">
      <c r="I104" t="str">
        <v>Brændselsindkomst.Pulver</v>
      </c>
    </row>
    <row r="105" spans="9:9" x14ac:dyDescent="0.25">
      <c r="I105" t="str">
        <v>Brændselsindkomst.FlisAffald</v>
      </c>
    </row>
    <row r="106" spans="9:9" x14ac:dyDescent="0.25">
      <c r="I106" t="str">
        <v>Brændselsindkomst.NyAff1</v>
      </c>
    </row>
    <row r="107" spans="9:9" x14ac:dyDescent="0.25">
      <c r="I107" t="str">
        <v>Brændselsindkomst.NyAff2</v>
      </c>
    </row>
    <row r="108" spans="9:9" x14ac:dyDescent="0.25">
      <c r="I108" t="str">
        <v>Brændselsindkomst.NyAff3</v>
      </c>
    </row>
    <row r="109" spans="9:9" x14ac:dyDescent="0.25">
      <c r="I109" t="str">
        <v>Brændselsindkomst.NyAff4</v>
      </c>
    </row>
    <row r="110" spans="9:9" x14ac:dyDescent="0.25">
      <c r="I110" t="str">
        <v>Brændselsindkomst.NyAff5</v>
      </c>
    </row>
    <row r="111" spans="9:9" x14ac:dyDescent="0.25">
      <c r="I111" t="str">
        <v>Brændselsindkomst.Flis</v>
      </c>
    </row>
    <row r="112" spans="9:9" x14ac:dyDescent="0.25">
      <c r="I112" t="str">
        <v>Brændselsindkomst.NSvarme</v>
      </c>
    </row>
    <row r="113" spans="9:9" x14ac:dyDescent="0.25">
      <c r="I113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ScenInput</vt:lpstr>
      <vt:lpstr>Overblik</vt:lpstr>
      <vt:lpstr>Charts</vt:lpstr>
      <vt:lpstr>Sheet1</vt:lpstr>
      <vt:lpstr>Lister</vt:lpstr>
      <vt:lpstr>Lister1</vt:lpstr>
      <vt:lpstr>cFuel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2022-03-02T18:21:40Z</dcterms:modified>
</cp:coreProperties>
</file>