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CC7BA5EB-F1C6-46F2-901C-2C644914C5E9}" xr6:coauthVersionLast="47" xr6:coauthVersionMax="47" xr10:uidLastSave="{00000000-0000-0000-0000-000000000000}"/>
  <bookViews>
    <workbookView xWindow="28680" yWindow="-120" windowWidth="29040" windowHeight="17790" activeTab="3" xr2:uid="{43F97B8D-A1C5-4A28-82B2-29FE10E7B610}"/>
  </bookViews>
  <sheets>
    <sheet name="Charts" sheetId="2" r:id="rId1"/>
    <sheet name="Overblik" sheetId="1" r:id="rId2"/>
    <sheet name="Scen" sheetId="5" r:id="rId3"/>
    <sheet name="ScenInput" sheetId="7" r:id="rId4"/>
    <sheet name="Lister" sheetId="6" r:id="rId5"/>
    <sheet name="Lister1" sheetId="3" r:id="rId6"/>
    <sheet name="SletMig" sheetId="4" r:id="rId7"/>
  </sheets>
  <externalReferences>
    <externalReference r:id="rId8"/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'[2]Toolpack®'!$B$8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[2]language!$B$2:$G$70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[1]DataFuel!$C$5:$C$30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3">_xlfn.LET(_xlpm.icol,MATCH(ScenInput!$E1&amp;"2",listHeaders,0)-1,_xlpm.ran,OFFSET(Lister!$B$3,1,_xlpm.icol,40,1),OFFSET(Lister!$B$3,1,_xlpm.icol,COUNTA(_xlpm.ran)-COUNTIF(_xlpm.ran,"=0"),1))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 localSheetId="3">_xlfn.LET(_xlpm.icol,MATCH(ScenInput!$E1&amp;"3",listHeaders,0)-1,_xlpm.ran,OFFSET(Lister!$B$3,1,_xlpm.icol,40,1),OFFSET(Lister!$B$3,1,_xlpm.icol,COUNTA(_xlpm.ran)-COUNTIF(_xlpm.ran,"=0"),1))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[3]Optimering!$C$4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[1]DataCtrl!$B$4:$B$20</definedName>
    <definedName name="listdynEmner">_xlfn.ANCHORARRAY(Lister1!$C$3)</definedName>
    <definedName name="listFuelAttr">[1]DataFuel!$D$4:$S$4</definedName>
    <definedName name="listFuelBounds">Lister!$P$4:$P$8</definedName>
    <definedName name="listFuelName">[1]DataFuel!$C$5:$C$33</definedName>
    <definedName name="listHeaders">Lister!$B$3:$P$3</definedName>
    <definedName name="listKategori">_xlfn.ANCHORARRAY(Lister1!$B$3)</definedName>
    <definedName name="listPrognosisAttr">[1]DataU!$E$22:$AC$22</definedName>
    <definedName name="listRoot">Lister!$B$4:$B$9</definedName>
    <definedName name="listScenTopics">Overblik!$A$5:$A$129</definedName>
    <definedName name="listScenTopicsTopLeft">Overblik!$A$5</definedName>
    <definedName name="listScheduleCols">[1]DataU!$B$3:$E$3</definedName>
    <definedName name="listScheduleRows">[1]DataU!$A$4:$A$6</definedName>
    <definedName name="listStorageAttr">[1]DataU!$R$11:$AC$11</definedName>
    <definedName name="listStorageName">[1]DataU!$Q$12:$Q$17</definedName>
    <definedName name="listUnitAttr">[1]DataU!$B$11:$O$11</definedName>
    <definedName name="listUnitsName">[1]DataU!$A$12:$A$17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[1]ScenOLD!$C$4</definedName>
    <definedName name="NAnlæg">[3]Modelkrav!$C$5</definedName>
    <definedName name="NFrac">[3]Modelkrav!$C$3</definedName>
    <definedName name="nFuelA">[1]ModelParms!#REF!</definedName>
    <definedName name="Nper">[3]Modelkrav!$C$4</definedName>
    <definedName name="Nscen">Lister1!$I$3</definedName>
    <definedName name="NUMBERFACTOR" hidden="1">1</definedName>
    <definedName name="OfzNiveau2">Lister!$B$38</definedName>
    <definedName name="OfzNiveau3">Lister!$B$47</definedName>
    <definedName name="PerDataFirst">[1]DataU!$B$6</definedName>
    <definedName name="PerDataLast">[1]DataU!$C$6</definedName>
    <definedName name="PeriodRange">[1]DataU!$C$23:$C$58</definedName>
    <definedName name="PerSlut">[1]DataU!$E$6</definedName>
    <definedName name="PerStart">[1]DataU!$D$6</definedName>
    <definedName name="PROTECT" hidden="1">FALSE</definedName>
    <definedName name="QUATERVAT" hidden="1">FALSE</definedName>
    <definedName name="SCDim">" "</definedName>
    <definedName name="ScenProtoTHIS">!A1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[1]DataFuel!$C$31:$C$33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7" l="1"/>
  <c r="Q7" i="7"/>
  <c r="R7" i="7"/>
  <c r="S7" i="7"/>
  <c r="T7" i="7"/>
  <c r="U7" i="7"/>
  <c r="V7" i="7"/>
  <c r="W7" i="7"/>
  <c r="X7" i="7"/>
  <c r="Y7" i="7"/>
  <c r="Z7" i="7"/>
  <c r="AA7" i="7"/>
  <c r="P8" i="7"/>
  <c r="Q8" i="7"/>
  <c r="R8" i="7"/>
  <c r="S8" i="7"/>
  <c r="T8" i="7"/>
  <c r="U8" i="7"/>
  <c r="V8" i="7"/>
  <c r="W8" i="7"/>
  <c r="X8" i="7"/>
  <c r="Y8" i="7"/>
  <c r="Z8" i="7"/>
  <c r="AA8" i="7"/>
  <c r="P9" i="7"/>
  <c r="Q9" i="7"/>
  <c r="R9" i="7"/>
  <c r="S9" i="7"/>
  <c r="T9" i="7"/>
  <c r="U9" i="7"/>
  <c r="V9" i="7"/>
  <c r="W9" i="7"/>
  <c r="X9" i="7"/>
  <c r="Y9" i="7"/>
  <c r="Z9" i="7"/>
  <c r="AA9" i="7"/>
  <c r="P10" i="7"/>
  <c r="Q10" i="7"/>
  <c r="R10" i="7"/>
  <c r="S10" i="7"/>
  <c r="T10" i="7"/>
  <c r="U10" i="7"/>
  <c r="V10" i="7"/>
  <c r="W10" i="7"/>
  <c r="X10" i="7"/>
  <c r="Y10" i="7"/>
  <c r="Z10" i="7"/>
  <c r="AA10" i="7"/>
  <c r="P11" i="7"/>
  <c r="Q11" i="7"/>
  <c r="R11" i="7"/>
  <c r="S11" i="7"/>
  <c r="T11" i="7"/>
  <c r="U11" i="7"/>
  <c r="V11" i="7"/>
  <c r="W11" i="7"/>
  <c r="X11" i="7"/>
  <c r="Y11" i="7"/>
  <c r="Z11" i="7"/>
  <c r="AA11" i="7"/>
  <c r="P12" i="7"/>
  <c r="Q12" i="7"/>
  <c r="R12" i="7"/>
  <c r="S12" i="7"/>
  <c r="T12" i="7"/>
  <c r="U12" i="7"/>
  <c r="V12" i="7"/>
  <c r="W12" i="7"/>
  <c r="X12" i="7"/>
  <c r="Y12" i="7"/>
  <c r="Z12" i="7"/>
  <c r="AA12" i="7"/>
  <c r="P13" i="7"/>
  <c r="Q13" i="7"/>
  <c r="R13" i="7"/>
  <c r="S13" i="7"/>
  <c r="T13" i="7"/>
  <c r="U13" i="7"/>
  <c r="V13" i="7"/>
  <c r="W13" i="7"/>
  <c r="X13" i="7"/>
  <c r="Y13" i="7"/>
  <c r="Z13" i="7"/>
  <c r="AA13" i="7"/>
  <c r="P14" i="7"/>
  <c r="Q14" i="7"/>
  <c r="R14" i="7"/>
  <c r="S14" i="7"/>
  <c r="T14" i="7"/>
  <c r="U14" i="7"/>
  <c r="V14" i="7"/>
  <c r="W14" i="7"/>
  <c r="X14" i="7"/>
  <c r="Y14" i="7"/>
  <c r="Z14" i="7"/>
  <c r="AA14" i="7"/>
  <c r="P15" i="7"/>
  <c r="Q15" i="7"/>
  <c r="R15" i="7"/>
  <c r="S15" i="7"/>
  <c r="T15" i="7"/>
  <c r="U15" i="7"/>
  <c r="V15" i="7"/>
  <c r="W15" i="7"/>
  <c r="X15" i="7"/>
  <c r="Y15" i="7"/>
  <c r="Z15" i="7"/>
  <c r="AA15" i="7"/>
  <c r="P16" i="7"/>
  <c r="Q16" i="7"/>
  <c r="R16" i="7"/>
  <c r="S16" i="7"/>
  <c r="T16" i="7"/>
  <c r="U16" i="7"/>
  <c r="V16" i="7"/>
  <c r="W16" i="7"/>
  <c r="X16" i="7"/>
  <c r="Y16" i="7"/>
  <c r="Z16" i="7"/>
  <c r="AA16" i="7"/>
  <c r="P17" i="7"/>
  <c r="Q17" i="7"/>
  <c r="R17" i="7"/>
  <c r="S17" i="7"/>
  <c r="T17" i="7"/>
  <c r="U17" i="7"/>
  <c r="V17" i="7"/>
  <c r="W17" i="7"/>
  <c r="X17" i="7"/>
  <c r="Y17" i="7"/>
  <c r="Z17" i="7"/>
  <c r="AA17" i="7"/>
  <c r="P18" i="7"/>
  <c r="Q18" i="7"/>
  <c r="R18" i="7"/>
  <c r="S18" i="7"/>
  <c r="T18" i="7"/>
  <c r="U18" i="7"/>
  <c r="V18" i="7"/>
  <c r="W18" i="7"/>
  <c r="X18" i="7"/>
  <c r="Y18" i="7"/>
  <c r="Z18" i="7"/>
  <c r="AA18" i="7"/>
  <c r="P19" i="7"/>
  <c r="Q19" i="7"/>
  <c r="R19" i="7"/>
  <c r="S19" i="7"/>
  <c r="T19" i="7"/>
  <c r="U19" i="7"/>
  <c r="V19" i="7"/>
  <c r="W19" i="7"/>
  <c r="X19" i="7"/>
  <c r="Y19" i="7"/>
  <c r="Z19" i="7"/>
  <c r="AA19" i="7"/>
  <c r="P20" i="7"/>
  <c r="Q20" i="7"/>
  <c r="R20" i="7"/>
  <c r="S20" i="7"/>
  <c r="T20" i="7"/>
  <c r="U20" i="7"/>
  <c r="V20" i="7"/>
  <c r="W20" i="7"/>
  <c r="X20" i="7"/>
  <c r="Y20" i="7"/>
  <c r="Z20" i="7"/>
  <c r="AA20" i="7"/>
  <c r="P21" i="7"/>
  <c r="Q21" i="7"/>
  <c r="R21" i="7"/>
  <c r="S21" i="7"/>
  <c r="T21" i="7"/>
  <c r="U21" i="7"/>
  <c r="V21" i="7"/>
  <c r="W21" i="7"/>
  <c r="X21" i="7"/>
  <c r="Y21" i="7"/>
  <c r="Z21" i="7"/>
  <c r="AA21" i="7"/>
  <c r="P22" i="7"/>
  <c r="Q22" i="7"/>
  <c r="R22" i="7"/>
  <c r="S22" i="7"/>
  <c r="T22" i="7"/>
  <c r="U22" i="7"/>
  <c r="V22" i="7"/>
  <c r="W22" i="7"/>
  <c r="X22" i="7"/>
  <c r="Y22" i="7"/>
  <c r="Z22" i="7"/>
  <c r="AA22" i="7"/>
  <c r="P23" i="7"/>
  <c r="Q23" i="7"/>
  <c r="R23" i="7"/>
  <c r="S23" i="7"/>
  <c r="T23" i="7"/>
  <c r="U23" i="7"/>
  <c r="V23" i="7"/>
  <c r="W23" i="7"/>
  <c r="X23" i="7"/>
  <c r="Y23" i="7"/>
  <c r="Z23" i="7"/>
  <c r="AA23" i="7"/>
  <c r="P24" i="7"/>
  <c r="Q24" i="7"/>
  <c r="R24" i="7"/>
  <c r="S24" i="7"/>
  <c r="T24" i="7"/>
  <c r="U24" i="7"/>
  <c r="V24" i="7"/>
  <c r="W24" i="7"/>
  <c r="X24" i="7"/>
  <c r="Y24" i="7"/>
  <c r="Z24" i="7"/>
  <c r="AA24" i="7"/>
  <c r="P25" i="7"/>
  <c r="Q25" i="7"/>
  <c r="R25" i="7"/>
  <c r="S25" i="7"/>
  <c r="T25" i="7"/>
  <c r="U25" i="7"/>
  <c r="V25" i="7"/>
  <c r="W25" i="7"/>
  <c r="X25" i="7"/>
  <c r="Y25" i="7"/>
  <c r="Z25" i="7"/>
  <c r="AA25" i="7"/>
  <c r="P26" i="7"/>
  <c r="Q26" i="7"/>
  <c r="R26" i="7"/>
  <c r="S26" i="7"/>
  <c r="T26" i="7"/>
  <c r="U26" i="7"/>
  <c r="V26" i="7"/>
  <c r="W26" i="7"/>
  <c r="X26" i="7"/>
  <c r="Y26" i="7"/>
  <c r="Z26" i="7"/>
  <c r="AA26" i="7"/>
  <c r="P27" i="7"/>
  <c r="Q27" i="7"/>
  <c r="R27" i="7"/>
  <c r="S27" i="7"/>
  <c r="T27" i="7"/>
  <c r="U27" i="7"/>
  <c r="V27" i="7"/>
  <c r="W27" i="7"/>
  <c r="X27" i="7"/>
  <c r="Y27" i="7"/>
  <c r="Z27" i="7"/>
  <c r="AA27" i="7"/>
  <c r="P28" i="7"/>
  <c r="Q28" i="7"/>
  <c r="R28" i="7"/>
  <c r="S28" i="7"/>
  <c r="T28" i="7"/>
  <c r="U28" i="7"/>
  <c r="V28" i="7"/>
  <c r="W28" i="7"/>
  <c r="X28" i="7"/>
  <c r="Y28" i="7"/>
  <c r="Z28" i="7"/>
  <c r="AA28" i="7"/>
  <c r="P29" i="7"/>
  <c r="Q29" i="7"/>
  <c r="R29" i="7"/>
  <c r="S29" i="7"/>
  <c r="T29" i="7"/>
  <c r="U29" i="7"/>
  <c r="V29" i="7"/>
  <c r="W29" i="7"/>
  <c r="X29" i="7"/>
  <c r="Y29" i="7"/>
  <c r="Z29" i="7"/>
  <c r="AA29" i="7"/>
  <c r="P30" i="7"/>
  <c r="Q30" i="7"/>
  <c r="R30" i="7"/>
  <c r="S30" i="7"/>
  <c r="T30" i="7"/>
  <c r="U30" i="7"/>
  <c r="V30" i="7"/>
  <c r="W30" i="7"/>
  <c r="X30" i="7"/>
  <c r="Y30" i="7"/>
  <c r="Z30" i="7"/>
  <c r="AA30" i="7"/>
  <c r="P31" i="7"/>
  <c r="Q31" i="7"/>
  <c r="R31" i="7"/>
  <c r="S31" i="7"/>
  <c r="T31" i="7"/>
  <c r="U31" i="7"/>
  <c r="V31" i="7"/>
  <c r="W31" i="7"/>
  <c r="X31" i="7"/>
  <c r="Y31" i="7"/>
  <c r="Z31" i="7"/>
  <c r="AA31" i="7"/>
  <c r="P32" i="7"/>
  <c r="Q32" i="7"/>
  <c r="R32" i="7"/>
  <c r="S32" i="7"/>
  <c r="T32" i="7"/>
  <c r="U32" i="7"/>
  <c r="V32" i="7"/>
  <c r="W32" i="7"/>
  <c r="X32" i="7"/>
  <c r="Y32" i="7"/>
  <c r="Z32" i="7"/>
  <c r="AA32" i="7"/>
  <c r="P33" i="7"/>
  <c r="Q33" i="7"/>
  <c r="R33" i="7"/>
  <c r="S33" i="7"/>
  <c r="T33" i="7"/>
  <c r="U33" i="7"/>
  <c r="V33" i="7"/>
  <c r="W33" i="7"/>
  <c r="X33" i="7"/>
  <c r="Y33" i="7"/>
  <c r="Z33" i="7"/>
  <c r="AA33" i="7"/>
  <c r="P34" i="7"/>
  <c r="Q34" i="7"/>
  <c r="R34" i="7"/>
  <c r="S34" i="7"/>
  <c r="T34" i="7"/>
  <c r="U34" i="7"/>
  <c r="V34" i="7"/>
  <c r="W34" i="7"/>
  <c r="X34" i="7"/>
  <c r="Y34" i="7"/>
  <c r="Z34" i="7"/>
  <c r="AA34" i="7"/>
  <c r="P35" i="7"/>
  <c r="Q35" i="7"/>
  <c r="R35" i="7"/>
  <c r="S35" i="7"/>
  <c r="T35" i="7"/>
  <c r="U35" i="7"/>
  <c r="V35" i="7"/>
  <c r="W35" i="7"/>
  <c r="X35" i="7"/>
  <c r="Y35" i="7"/>
  <c r="Z35" i="7"/>
  <c r="AA35" i="7"/>
  <c r="P36" i="7"/>
  <c r="Q36" i="7"/>
  <c r="R36" i="7"/>
  <c r="S36" i="7"/>
  <c r="T36" i="7"/>
  <c r="U36" i="7"/>
  <c r="V36" i="7"/>
  <c r="W36" i="7"/>
  <c r="X36" i="7"/>
  <c r="Y36" i="7"/>
  <c r="Z36" i="7"/>
  <c r="AA36" i="7"/>
  <c r="P37" i="7"/>
  <c r="Q37" i="7"/>
  <c r="R37" i="7"/>
  <c r="S37" i="7"/>
  <c r="T37" i="7"/>
  <c r="U37" i="7"/>
  <c r="V37" i="7"/>
  <c r="W37" i="7"/>
  <c r="X37" i="7"/>
  <c r="Y37" i="7"/>
  <c r="Z37" i="7"/>
  <c r="AA37" i="7"/>
  <c r="P38" i="7"/>
  <c r="Q38" i="7"/>
  <c r="R38" i="7"/>
  <c r="S38" i="7"/>
  <c r="T38" i="7"/>
  <c r="U38" i="7"/>
  <c r="V38" i="7"/>
  <c r="W38" i="7"/>
  <c r="X38" i="7"/>
  <c r="Y38" i="7"/>
  <c r="Z38" i="7"/>
  <c r="AA38" i="7"/>
  <c r="P39" i="7"/>
  <c r="Q39" i="7"/>
  <c r="R39" i="7"/>
  <c r="S39" i="7"/>
  <c r="T39" i="7"/>
  <c r="U39" i="7"/>
  <c r="V39" i="7"/>
  <c r="W39" i="7"/>
  <c r="X39" i="7"/>
  <c r="Y39" i="7"/>
  <c r="Z39" i="7"/>
  <c r="AA39" i="7"/>
  <c r="P40" i="7"/>
  <c r="Q40" i="7"/>
  <c r="R40" i="7"/>
  <c r="S40" i="7"/>
  <c r="T40" i="7"/>
  <c r="U40" i="7"/>
  <c r="V40" i="7"/>
  <c r="W40" i="7"/>
  <c r="X40" i="7"/>
  <c r="Y40" i="7"/>
  <c r="Z40" i="7"/>
  <c r="AA40" i="7"/>
  <c r="P41" i="7"/>
  <c r="Q41" i="7"/>
  <c r="R41" i="7"/>
  <c r="S41" i="7"/>
  <c r="T41" i="7"/>
  <c r="U41" i="7"/>
  <c r="V41" i="7"/>
  <c r="W41" i="7"/>
  <c r="X41" i="7"/>
  <c r="Y41" i="7"/>
  <c r="Z41" i="7"/>
  <c r="AA41" i="7"/>
  <c r="P42" i="7"/>
  <c r="Q42" i="7"/>
  <c r="R42" i="7"/>
  <c r="S42" i="7"/>
  <c r="T42" i="7"/>
  <c r="U42" i="7"/>
  <c r="V42" i="7"/>
  <c r="W42" i="7"/>
  <c r="X42" i="7"/>
  <c r="Y42" i="7"/>
  <c r="Z42" i="7"/>
  <c r="AA42" i="7"/>
  <c r="AA6" i="7"/>
  <c r="Z6" i="7"/>
  <c r="Y6" i="7"/>
  <c r="X6" i="7"/>
  <c r="W6" i="7"/>
  <c r="V6" i="7"/>
  <c r="U6" i="7"/>
  <c r="T6" i="7"/>
  <c r="S6" i="7"/>
  <c r="R6" i="7"/>
  <c r="Q6" i="7"/>
  <c r="P6" i="7"/>
  <c r="I6" i="7"/>
  <c r="J6" i="7"/>
  <c r="K6" i="7"/>
  <c r="I7" i="7"/>
  <c r="J7" i="7"/>
  <c r="K7" i="7"/>
  <c r="I8" i="7"/>
  <c r="J8" i="7"/>
  <c r="K8" i="7"/>
  <c r="I9" i="7"/>
  <c r="J9" i="7"/>
  <c r="K9" i="7"/>
  <c r="I10" i="7"/>
  <c r="J10" i="7"/>
  <c r="K10" i="7"/>
  <c r="I11" i="7"/>
  <c r="J11" i="7"/>
  <c r="K11" i="7"/>
  <c r="I12" i="7"/>
  <c r="J12" i="7"/>
  <c r="K12" i="7"/>
  <c r="I13" i="7"/>
  <c r="J13" i="7"/>
  <c r="K13" i="7"/>
  <c r="I14" i="7"/>
  <c r="J14" i="7"/>
  <c r="K14" i="7"/>
  <c r="I15" i="7"/>
  <c r="J15" i="7"/>
  <c r="K15" i="7"/>
  <c r="I16" i="7"/>
  <c r="J16" i="7"/>
  <c r="K16" i="7"/>
  <c r="I17" i="7"/>
  <c r="J17" i="7"/>
  <c r="K17" i="7"/>
  <c r="I18" i="7"/>
  <c r="J18" i="7"/>
  <c r="K18" i="7"/>
  <c r="I19" i="7"/>
  <c r="J19" i="7"/>
  <c r="K19" i="7"/>
  <c r="I20" i="7"/>
  <c r="J20" i="7"/>
  <c r="K20" i="7"/>
  <c r="I21" i="7"/>
  <c r="J21" i="7"/>
  <c r="K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6" i="7"/>
  <c r="G7" i="7" a="1"/>
  <c r="G7" i="7" s="1"/>
  <c r="G8" i="7" a="1"/>
  <c r="G8" i="7" s="1"/>
  <c r="G9" i="7" a="1"/>
  <c r="G9" i="7" s="1"/>
  <c r="G10" i="7" a="1"/>
  <c r="G10" i="7" s="1"/>
  <c r="G11" i="7" a="1"/>
  <c r="G11" i="7" s="1"/>
  <c r="G12" i="7" a="1"/>
  <c r="G12" i="7" s="1"/>
  <c r="G13" i="7" a="1"/>
  <c r="G13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6" i="7" a="1"/>
  <c r="G6" i="7" s="1"/>
  <c r="F7" i="7" a="1"/>
  <c r="F7" i="7" s="1"/>
  <c r="F8" i="7" a="1"/>
  <c r="F8" i="7" s="1"/>
  <c r="F9" i="7" a="1"/>
  <c r="F9" i="7"/>
  <c r="F10" i="7" a="1"/>
  <c r="F10" i="7"/>
  <c r="F11" i="7" a="1"/>
  <c r="F11" i="7" s="1"/>
  <c r="F12" i="7" a="1"/>
  <c r="F12" i="7" s="1"/>
  <c r="F13" i="7" a="1"/>
  <c r="F13" i="7"/>
  <c r="F14" i="7" a="1"/>
  <c r="F14" i="7"/>
  <c r="F15" i="7" a="1"/>
  <c r="F15" i="7" s="1"/>
  <c r="F16" i="7" a="1"/>
  <c r="F16" i="7" s="1"/>
  <c r="F17" i="7" a="1"/>
  <c r="F17" i="7"/>
  <c r="F18" i="7" a="1"/>
  <c r="F18" i="7"/>
  <c r="F19" i="7" a="1"/>
  <c r="F19" i="7" s="1"/>
  <c r="F20" i="7" a="1"/>
  <c r="F20" i="7" s="1"/>
  <c r="F21" i="7" a="1"/>
  <c r="F21" i="7"/>
  <c r="F22" i="7" a="1"/>
  <c r="F22" i="7"/>
  <c r="F23" i="7" a="1"/>
  <c r="F23" i="7" s="1"/>
  <c r="F24" i="7" a="1"/>
  <c r="F24" i="7" s="1"/>
  <c r="F25" i="7" a="1"/>
  <c r="F25" i="7"/>
  <c r="F26" i="7" a="1"/>
  <c r="F26" i="7" s="1"/>
  <c r="F27" i="7" a="1"/>
  <c r="F27" i="7" s="1"/>
  <c r="F28" i="7" a="1"/>
  <c r="F28" i="7" s="1"/>
  <c r="F29" i="7" a="1"/>
  <c r="F29" i="7"/>
  <c r="F30" i="7" a="1"/>
  <c r="F30" i="7"/>
  <c r="F31" i="7" a="1"/>
  <c r="F31" i="7" s="1"/>
  <c r="F32" i="7" a="1"/>
  <c r="F32" i="7" s="1"/>
  <c r="F33" i="7" a="1"/>
  <c r="F33" i="7" s="1"/>
  <c r="F34" i="7" a="1"/>
  <c r="F34" i="7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/>
  <c r="F42" i="7" a="1"/>
  <c r="F42" i="7" s="1"/>
  <c r="F6" i="7" a="1"/>
  <c r="F6" i="7" s="1"/>
  <c r="E7" i="7" a="1"/>
  <c r="E7" i="7" s="1"/>
  <c r="E8" i="7" a="1"/>
  <c r="E8" i="7" s="1"/>
  <c r="E9" i="7" a="1"/>
  <c r="E9" i="7" s="1"/>
  <c r="E10" i="7" a="1"/>
  <c r="E10" i="7"/>
  <c r="E11" i="7" a="1"/>
  <c r="E11" i="7" s="1"/>
  <c r="E12" i="7" a="1"/>
  <c r="E12" i="7" s="1"/>
  <c r="E13" i="7" a="1"/>
  <c r="E13" i="7" s="1"/>
  <c r="E14" i="7" a="1"/>
  <c r="E14" i="7"/>
  <c r="E15" i="7" a="1"/>
  <c r="E15" i="7" s="1"/>
  <c r="E16" i="7" a="1"/>
  <c r="E16" i="7" s="1"/>
  <c r="E17" i="7" a="1"/>
  <c r="E17" i="7" s="1"/>
  <c r="E18" i="7" a="1"/>
  <c r="E18" i="7"/>
  <c r="E19" i="7" a="1"/>
  <c r="E19" i="7" s="1"/>
  <c r="E20" i="7" a="1"/>
  <c r="E20" i="7" s="1"/>
  <c r="E21" i="7" a="1"/>
  <c r="E21" i="7" s="1"/>
  <c r="E22" i="7" a="1"/>
  <c r="E22" i="7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/>
  <c r="E35" i="7" a="1"/>
  <c r="E35" i="7" s="1"/>
  <c r="E36" i="7" a="1"/>
  <c r="E36" i="7" s="1"/>
  <c r="E37" i="7" a="1"/>
  <c r="E37" i="7" s="1"/>
  <c r="E38" i="7" a="1"/>
  <c r="E38" i="7"/>
  <c r="E39" i="7" a="1"/>
  <c r="E39" i="7" s="1"/>
  <c r="E40" i="7" a="1"/>
  <c r="E40" i="7" s="1"/>
  <c r="E41" i="7" a="1"/>
  <c r="E41" i="7" s="1"/>
  <c r="E42" i="7" a="1"/>
  <c r="E42" i="7"/>
  <c r="E6" i="7" a="1"/>
  <c r="E6" i="7"/>
  <c r="C7" i="7"/>
  <c r="C8" i="7"/>
  <c r="C9" i="7"/>
  <c r="C10" i="7"/>
  <c r="C11" i="7"/>
  <c r="C12" i="7"/>
  <c r="C13" i="7"/>
  <c r="O13" i="7" s="1"/>
  <c r="C14" i="7"/>
  <c r="C15" i="7"/>
  <c r="C16" i="7"/>
  <c r="C17" i="7"/>
  <c r="C18" i="7"/>
  <c r="C19" i="7"/>
  <c r="C20" i="7"/>
  <c r="C21" i="7"/>
  <c r="O21" i="7" s="1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6" i="7"/>
  <c r="D6" i="7"/>
  <c r="D7" i="7"/>
  <c r="D8" i="7"/>
  <c r="D9" i="7"/>
  <c r="D10" i="7"/>
  <c r="D11" i="7"/>
  <c r="D12" i="7"/>
  <c r="D13" i="7"/>
  <c r="D14" i="7"/>
  <c r="D15" i="7"/>
  <c r="D16" i="7"/>
  <c r="O17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6" i="7"/>
  <c r="O14" i="7"/>
  <c r="O15" i="7"/>
  <c r="O20" i="7"/>
  <c r="O19" i="7"/>
  <c r="O18" i="7"/>
  <c r="O16" i="7"/>
  <c r="AM5" i="7"/>
  <c r="AL5" i="7"/>
  <c r="AK5" i="7"/>
  <c r="AJ5" i="7"/>
  <c r="N7" i="4"/>
  <c r="O7" i="4"/>
  <c r="P7" i="4"/>
  <c r="Q7" i="4"/>
  <c r="R7" i="4"/>
  <c r="S7" i="4"/>
  <c r="T7" i="4"/>
  <c r="U7" i="4"/>
  <c r="V7" i="4"/>
  <c r="W7" i="4"/>
  <c r="X7" i="4"/>
  <c r="Y7" i="4"/>
  <c r="N8" i="4"/>
  <c r="O8" i="4"/>
  <c r="P8" i="4"/>
  <c r="Q8" i="4"/>
  <c r="R8" i="4"/>
  <c r="S8" i="4"/>
  <c r="T8" i="4"/>
  <c r="U8" i="4"/>
  <c r="V8" i="4"/>
  <c r="W8" i="4"/>
  <c r="X8" i="4"/>
  <c r="Y8" i="4"/>
  <c r="N9" i="4"/>
  <c r="O9" i="4"/>
  <c r="P9" i="4"/>
  <c r="Q9" i="4"/>
  <c r="R9" i="4"/>
  <c r="S9" i="4"/>
  <c r="T9" i="4"/>
  <c r="U9" i="4"/>
  <c r="V9" i="4"/>
  <c r="W9" i="4"/>
  <c r="X9" i="4"/>
  <c r="Y9" i="4"/>
  <c r="N10" i="4"/>
  <c r="O10" i="4"/>
  <c r="P10" i="4"/>
  <c r="Q10" i="4"/>
  <c r="R10" i="4"/>
  <c r="S10" i="4"/>
  <c r="T10" i="4"/>
  <c r="U10" i="4"/>
  <c r="V10" i="4"/>
  <c r="W10" i="4"/>
  <c r="X10" i="4"/>
  <c r="Y10" i="4"/>
  <c r="N11" i="4"/>
  <c r="O11" i="4"/>
  <c r="P11" i="4"/>
  <c r="Q11" i="4"/>
  <c r="R11" i="4"/>
  <c r="S11" i="4"/>
  <c r="T11" i="4"/>
  <c r="U11" i="4"/>
  <c r="V11" i="4"/>
  <c r="W11" i="4"/>
  <c r="X11" i="4"/>
  <c r="Y11" i="4"/>
  <c r="N12" i="4"/>
  <c r="O12" i="4"/>
  <c r="P12" i="4"/>
  <c r="Q12" i="4"/>
  <c r="R12" i="4"/>
  <c r="S12" i="4"/>
  <c r="T12" i="4"/>
  <c r="U12" i="4"/>
  <c r="V12" i="4"/>
  <c r="W12" i="4"/>
  <c r="X12" i="4"/>
  <c r="Y12" i="4"/>
  <c r="N13" i="4"/>
  <c r="O13" i="4"/>
  <c r="P13" i="4"/>
  <c r="Q13" i="4"/>
  <c r="R13" i="4"/>
  <c r="S13" i="4"/>
  <c r="T13" i="4"/>
  <c r="U13" i="4"/>
  <c r="V13" i="4"/>
  <c r="W13" i="4"/>
  <c r="X13" i="4"/>
  <c r="Y13" i="4"/>
  <c r="N14" i="4"/>
  <c r="O14" i="4"/>
  <c r="P14" i="4"/>
  <c r="Q14" i="4"/>
  <c r="R14" i="4"/>
  <c r="S14" i="4"/>
  <c r="T14" i="4"/>
  <c r="U14" i="4"/>
  <c r="V14" i="4"/>
  <c r="W14" i="4"/>
  <c r="X14" i="4"/>
  <c r="Y14" i="4"/>
  <c r="N15" i="4"/>
  <c r="O15" i="4"/>
  <c r="P15" i="4"/>
  <c r="Q15" i="4"/>
  <c r="R15" i="4"/>
  <c r="S15" i="4"/>
  <c r="T15" i="4"/>
  <c r="U15" i="4"/>
  <c r="V15" i="4"/>
  <c r="W15" i="4"/>
  <c r="X15" i="4"/>
  <c r="Y15" i="4"/>
  <c r="N16" i="4"/>
  <c r="O16" i="4"/>
  <c r="P16" i="4"/>
  <c r="Q16" i="4"/>
  <c r="R16" i="4"/>
  <c r="S16" i="4"/>
  <c r="T16" i="4"/>
  <c r="U16" i="4"/>
  <c r="V16" i="4"/>
  <c r="W16" i="4"/>
  <c r="X16" i="4"/>
  <c r="Y16" i="4"/>
  <c r="N17" i="4"/>
  <c r="O17" i="4"/>
  <c r="P17" i="4"/>
  <c r="Q17" i="4"/>
  <c r="R17" i="4"/>
  <c r="S17" i="4"/>
  <c r="T17" i="4"/>
  <c r="U17" i="4"/>
  <c r="V17" i="4"/>
  <c r="W17" i="4"/>
  <c r="X17" i="4"/>
  <c r="Y17" i="4"/>
  <c r="N18" i="4"/>
  <c r="O18" i="4"/>
  <c r="P18" i="4"/>
  <c r="Q18" i="4"/>
  <c r="R18" i="4"/>
  <c r="S18" i="4"/>
  <c r="T18" i="4"/>
  <c r="U18" i="4"/>
  <c r="V18" i="4"/>
  <c r="W18" i="4"/>
  <c r="X18" i="4"/>
  <c r="Y18" i="4"/>
  <c r="N19" i="4"/>
  <c r="O19" i="4"/>
  <c r="P19" i="4"/>
  <c r="Q19" i="4"/>
  <c r="R19" i="4"/>
  <c r="S19" i="4"/>
  <c r="T19" i="4"/>
  <c r="U19" i="4"/>
  <c r="V19" i="4"/>
  <c r="W19" i="4"/>
  <c r="X19" i="4"/>
  <c r="Y19" i="4"/>
  <c r="N20" i="4"/>
  <c r="O20" i="4"/>
  <c r="P20" i="4"/>
  <c r="Q20" i="4"/>
  <c r="R20" i="4"/>
  <c r="S20" i="4"/>
  <c r="T20" i="4"/>
  <c r="U20" i="4"/>
  <c r="V20" i="4"/>
  <c r="W20" i="4"/>
  <c r="X20" i="4"/>
  <c r="Y20" i="4"/>
  <c r="N21" i="4"/>
  <c r="O21" i="4"/>
  <c r="P21" i="4"/>
  <c r="Q21" i="4"/>
  <c r="R21" i="4"/>
  <c r="S21" i="4"/>
  <c r="T21" i="4"/>
  <c r="U21" i="4"/>
  <c r="V21" i="4"/>
  <c r="W21" i="4"/>
  <c r="X21" i="4"/>
  <c r="Y21" i="4"/>
  <c r="O6" i="4"/>
  <c r="P6" i="4"/>
  <c r="Q6" i="4"/>
  <c r="R6" i="4"/>
  <c r="S6" i="4"/>
  <c r="T6" i="4"/>
  <c r="U6" i="4"/>
  <c r="V6" i="4"/>
  <c r="W6" i="4"/>
  <c r="X6" i="4"/>
  <c r="Y6" i="4"/>
  <c r="N6" i="4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/>
  <c r="C50" i="6" s="1" a="1"/>
  <c r="C50" i="6" s="1"/>
  <c r="L4" i="6" a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/>
  <c r="C42" i="6" s="1" a="1"/>
  <c r="C42" i="6" s="1"/>
  <c r="F4" i="6" a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W43" i="5"/>
  <c r="V43" i="5"/>
  <c r="W42" i="5"/>
  <c r="V42" i="5"/>
  <c r="W41" i="5"/>
  <c r="V41" i="5"/>
  <c r="W40" i="5"/>
  <c r="V40" i="5"/>
  <c r="W39" i="5"/>
  <c r="V39" i="5"/>
  <c r="W38" i="5"/>
  <c r="V38" i="5"/>
  <c r="W37" i="5"/>
  <c r="V37" i="5"/>
  <c r="W36" i="5"/>
  <c r="V36" i="5"/>
  <c r="W35" i="5"/>
  <c r="V35" i="5"/>
  <c r="W34" i="5"/>
  <c r="V34" i="5"/>
  <c r="W33" i="5"/>
  <c r="V33" i="5"/>
  <c r="W32" i="5"/>
  <c r="V32" i="5"/>
  <c r="W31" i="5"/>
  <c r="V31" i="5"/>
  <c r="W30" i="5"/>
  <c r="V30" i="5"/>
  <c r="W29" i="5"/>
  <c r="V29" i="5"/>
  <c r="W28" i="5"/>
  <c r="V28" i="5"/>
  <c r="W27" i="5"/>
  <c r="V27" i="5"/>
  <c r="W26" i="5"/>
  <c r="V26" i="5"/>
  <c r="W25" i="5"/>
  <c r="V25" i="5"/>
  <c r="W24" i="5"/>
  <c r="V24" i="5"/>
  <c r="W23" i="5"/>
  <c r="V23" i="5"/>
  <c r="W22" i="5"/>
  <c r="V22" i="5"/>
  <c r="Y21" i="5"/>
  <c r="W21" i="5"/>
  <c r="V21" i="5"/>
  <c r="U21" i="5"/>
  <c r="AI21" i="5" s="1"/>
  <c r="T21" i="5"/>
  <c r="AJ21" i="5" s="1"/>
  <c r="Q21" i="5"/>
  <c r="P21" i="5"/>
  <c r="O21" i="5"/>
  <c r="AJ20" i="5"/>
  <c r="AB20" i="5"/>
  <c r="Y20" i="5"/>
  <c r="W20" i="5"/>
  <c r="V20" i="5"/>
  <c r="U20" i="5"/>
  <c r="T20" i="5"/>
  <c r="AH20" i="5" s="1"/>
  <c r="S20" i="5"/>
  <c r="Q20" i="5"/>
  <c r="P20" i="5"/>
  <c r="O20" i="5"/>
  <c r="AI19" i="5"/>
  <c r="AH19" i="5"/>
  <c r="AA19" i="5"/>
  <c r="Z19" i="5"/>
  <c r="Y19" i="5"/>
  <c r="W19" i="5"/>
  <c r="V19" i="5"/>
  <c r="U19" i="5"/>
  <c r="T19" i="5"/>
  <c r="AF19" i="5" s="1"/>
  <c r="Q19" i="5"/>
  <c r="P19" i="5"/>
  <c r="O19" i="5"/>
  <c r="AI18" i="5"/>
  <c r="AG18" i="5"/>
  <c r="AF18" i="5"/>
  <c r="AA18" i="5"/>
  <c r="Y18" i="5"/>
  <c r="W18" i="5"/>
  <c r="V18" i="5"/>
  <c r="U18" i="5"/>
  <c r="T18" i="5"/>
  <c r="AD18" i="5" s="1"/>
  <c r="Q18" i="5"/>
  <c r="P18" i="5"/>
  <c r="O18" i="5"/>
  <c r="Y17" i="5"/>
  <c r="W17" i="5"/>
  <c r="V17" i="5"/>
  <c r="U17" i="5"/>
  <c r="AA17" i="5" s="1"/>
  <c r="T17" i="5"/>
  <c r="AJ17" i="5" s="1"/>
  <c r="Q17" i="5"/>
  <c r="S17" i="5" s="1"/>
  <c r="P17" i="5"/>
  <c r="O17" i="5"/>
  <c r="AJ16" i="5"/>
  <c r="AB16" i="5"/>
  <c r="Y16" i="5"/>
  <c r="W16" i="5"/>
  <c r="V16" i="5"/>
  <c r="U16" i="5"/>
  <c r="T16" i="5"/>
  <c r="AH16" i="5" s="1"/>
  <c r="Q16" i="5"/>
  <c r="P16" i="5"/>
  <c r="O16" i="5"/>
  <c r="AI15" i="5"/>
  <c r="AH15" i="5"/>
  <c r="AA15" i="5"/>
  <c r="Z15" i="5"/>
  <c r="Y15" i="5"/>
  <c r="W15" i="5"/>
  <c r="V15" i="5"/>
  <c r="U15" i="5"/>
  <c r="T15" i="5"/>
  <c r="AF15" i="5" s="1"/>
  <c r="Q15" i="5"/>
  <c r="P15" i="5"/>
  <c r="O15" i="5"/>
  <c r="AI14" i="5"/>
  <c r="AG14" i="5"/>
  <c r="AF14" i="5"/>
  <c r="AA14" i="5"/>
  <c r="Y14" i="5"/>
  <c r="W14" i="5"/>
  <c r="V14" i="5"/>
  <c r="U14" i="5"/>
  <c r="T14" i="5"/>
  <c r="AD14" i="5" s="1"/>
  <c r="Q14" i="5"/>
  <c r="P14" i="5"/>
  <c r="O14" i="5"/>
  <c r="Y13" i="5"/>
  <c r="W13" i="5"/>
  <c r="V13" i="5"/>
  <c r="U13" i="5"/>
  <c r="AA13" i="5" s="1"/>
  <c r="T13" i="5"/>
  <c r="AJ13" i="5" s="1"/>
  <c r="Q13" i="5"/>
  <c r="S13" i="5" s="1"/>
  <c r="P13" i="5"/>
  <c r="O13" i="5"/>
  <c r="AJ12" i="5"/>
  <c r="AC12" i="5"/>
  <c r="AB12" i="5"/>
  <c r="Y12" i="5"/>
  <c r="W12" i="5"/>
  <c r="V12" i="5"/>
  <c r="U12" i="5"/>
  <c r="T12" i="5"/>
  <c r="AH12" i="5" s="1"/>
  <c r="Q12" i="5"/>
  <c r="P12" i="5"/>
  <c r="O12" i="5"/>
  <c r="AI11" i="5"/>
  <c r="AH11" i="5"/>
  <c r="AA11" i="5"/>
  <c r="Z11" i="5"/>
  <c r="Y11" i="5"/>
  <c r="W11" i="5"/>
  <c r="V11" i="5"/>
  <c r="U11" i="5"/>
  <c r="T11" i="5"/>
  <c r="AF11" i="5" s="1"/>
  <c r="Q11" i="5"/>
  <c r="P11" i="5"/>
  <c r="O11" i="5"/>
  <c r="AK10" i="5"/>
  <c r="AJ10" i="5"/>
  <c r="AI10" i="5"/>
  <c r="AH10" i="5"/>
  <c r="AG10" i="5"/>
  <c r="AF10" i="5"/>
  <c r="Z10" i="5"/>
  <c r="Y10" i="5"/>
  <c r="W10" i="5"/>
  <c r="AC10" i="5" s="1"/>
  <c r="V10" i="5"/>
  <c r="AD10" i="5" s="1"/>
  <c r="Q10" i="5"/>
  <c r="S10" i="5" s="1"/>
  <c r="P10" i="5"/>
  <c r="O10" i="5"/>
  <c r="AJ9" i="5"/>
  <c r="AB9" i="5"/>
  <c r="Y9" i="5"/>
  <c r="W9" i="5"/>
  <c r="V9" i="5"/>
  <c r="U9" i="5"/>
  <c r="T9" i="5"/>
  <c r="AH9" i="5" s="1"/>
  <c r="S9" i="5"/>
  <c r="Q9" i="5"/>
  <c r="P9" i="5"/>
  <c r="O9" i="5"/>
  <c r="AI8" i="5"/>
  <c r="AH8" i="5"/>
  <c r="AA8" i="5"/>
  <c r="Z8" i="5"/>
  <c r="Y8" i="5"/>
  <c r="W8" i="5"/>
  <c r="V8" i="5"/>
  <c r="U8" i="5"/>
  <c r="T8" i="5"/>
  <c r="AF8" i="5" s="1"/>
  <c r="Q8" i="5"/>
  <c r="P8" i="5"/>
  <c r="O8" i="5"/>
  <c r="AI7" i="5"/>
  <c r="AG7" i="5"/>
  <c r="AF7" i="5"/>
  <c r="AC7" i="5"/>
  <c r="AA7" i="5"/>
  <c r="Y7" i="5"/>
  <c r="W7" i="5"/>
  <c r="V7" i="5"/>
  <c r="U7" i="5"/>
  <c r="T7" i="5"/>
  <c r="AD7" i="5" s="1"/>
  <c r="S7" i="5"/>
  <c r="Q7" i="5"/>
  <c r="P7" i="5"/>
  <c r="O7" i="5"/>
  <c r="Y6" i="5"/>
  <c r="W6" i="5"/>
  <c r="V6" i="5"/>
  <c r="U6" i="5"/>
  <c r="AI6" i="5" s="1"/>
  <c r="T6" i="5"/>
  <c r="AJ6" i="5" s="1"/>
  <c r="Q6" i="5"/>
  <c r="S6" i="5" s="1"/>
  <c r="P6" i="5"/>
  <c r="O6" i="5"/>
  <c r="W5" i="5"/>
  <c r="V5" i="5"/>
  <c r="U5" i="5"/>
  <c r="T5" i="5"/>
  <c r="G7" i="2" a="1"/>
  <c r="G7" i="2" s="1"/>
  <c r="I3" i="3" a="1"/>
  <c r="I3" i="3" s="1"/>
  <c r="I4" i="3" a="1"/>
  <c r="I4" i="3" s="1"/>
  <c r="E7" i="2"/>
  <c r="E8" i="2"/>
  <c r="G8" i="2" s="1" a="1"/>
  <c r="G8" i="2" s="1"/>
  <c r="E9" i="2"/>
  <c r="G9" i="2" s="1" a="1"/>
  <c r="G9" i="2" s="1"/>
  <c r="E10" i="2"/>
  <c r="G10" i="2" s="1" a="1"/>
  <c r="G10" i="2" s="1"/>
  <c r="E6" i="2"/>
  <c r="G6" i="2" s="1" a="1"/>
  <c r="G6" i="2" s="1"/>
  <c r="F7" i="2"/>
  <c r="F8" i="2"/>
  <c r="F9" i="2"/>
  <c r="F10" i="2"/>
  <c r="F6" i="2"/>
  <c r="C2" i="3"/>
  <c r="E3" i="3" a="1"/>
  <c r="E3" i="3" s="1"/>
  <c r="F3" i="3" s="1" a="1"/>
  <c r="F3" i="3" s="1"/>
  <c r="A97" i="1"/>
  <c r="A98" i="1"/>
  <c r="A8" i="1"/>
  <c r="A9" i="1"/>
  <c r="A10" i="1"/>
  <c r="A11" i="1"/>
  <c r="A12" i="1"/>
  <c r="A13" i="1"/>
  <c r="A129" i="1"/>
  <c r="A130" i="1"/>
  <c r="A131" i="1"/>
  <c r="A132" i="1"/>
  <c r="A133" i="1"/>
  <c r="A13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00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68" i="1"/>
  <c r="A61" i="1"/>
  <c r="A62" i="1"/>
  <c r="A63" i="1"/>
  <c r="A64" i="1"/>
  <c r="A65" i="1"/>
  <c r="A66" i="1"/>
  <c r="A60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6" i="1"/>
  <c r="A5" i="1"/>
  <c r="J1" i="1"/>
  <c r="O11" i="7" l="1"/>
  <c r="O10" i="7"/>
  <c r="O9" i="7"/>
  <c r="O8" i="7"/>
  <c r="O12" i="7"/>
  <c r="O7" i="7"/>
  <c r="S15" i="5"/>
  <c r="S8" i="5"/>
  <c r="S21" i="5"/>
  <c r="Z5" i="6" a="1"/>
  <c r="Z5" i="6" s="1"/>
  <c r="E1" i="6"/>
  <c r="C41" i="6" a="1"/>
  <c r="C41" i="6" s="1"/>
  <c r="A52" i="6"/>
  <c r="S18" i="5"/>
  <c r="S19" i="5"/>
  <c r="A42" i="6"/>
  <c r="R17" i="5"/>
  <c r="R9" i="5"/>
  <c r="R10" i="5"/>
  <c r="X5" i="6" a="1"/>
  <c r="X5" i="6" s="1"/>
  <c r="W9" i="6" a="1"/>
  <c r="W9" i="6" s="1"/>
  <c r="A43" i="6"/>
  <c r="R18" i="5"/>
  <c r="B59" i="6" a="1"/>
  <c r="A44" i="6"/>
  <c r="R12" i="5"/>
  <c r="S11" i="5"/>
  <c r="S14" i="5"/>
  <c r="A49" i="6"/>
  <c r="R13" i="5"/>
  <c r="R6" i="5"/>
  <c r="R7" i="5"/>
  <c r="A39" i="6"/>
  <c r="R20" i="5"/>
  <c r="S12" i="5"/>
  <c r="A53" i="6"/>
  <c r="R14" i="5"/>
  <c r="A40" i="6"/>
  <c r="A50" i="6"/>
  <c r="S16" i="5"/>
  <c r="AD17" i="5"/>
  <c r="R8" i="5"/>
  <c r="AC9" i="5"/>
  <c r="AK9" i="5"/>
  <c r="R11" i="5"/>
  <c r="AK12" i="5"/>
  <c r="R15" i="5"/>
  <c r="AC16" i="5"/>
  <c r="AE17" i="5"/>
  <c r="AG6" i="5"/>
  <c r="AC8" i="5"/>
  <c r="AK8" i="5"/>
  <c r="AE9" i="5"/>
  <c r="AA10" i="5"/>
  <c r="AC11" i="5"/>
  <c r="AK11" i="5"/>
  <c r="AE12" i="5"/>
  <c r="AG13" i="5"/>
  <c r="AE20" i="5"/>
  <c r="AG21" i="5"/>
  <c r="AC6" i="5"/>
  <c r="AK6" i="5"/>
  <c r="AE7" i="5"/>
  <c r="AG8" i="5"/>
  <c r="AA9" i="5"/>
  <c r="AI9" i="5"/>
  <c r="AE10" i="5"/>
  <c r="AG11" i="5"/>
  <c r="AA12" i="5"/>
  <c r="AI12" i="5"/>
  <c r="AC13" i="5"/>
  <c r="AK13" i="5"/>
  <c r="AE14" i="5"/>
  <c r="AG15" i="5"/>
  <c r="AA16" i="5"/>
  <c r="AI16" i="5"/>
  <c r="AC17" i="5"/>
  <c r="AK17" i="5"/>
  <c r="AE18" i="5"/>
  <c r="AG19" i="5"/>
  <c r="AA20" i="5"/>
  <c r="AI20" i="5"/>
  <c r="AC21" i="5"/>
  <c r="AK21" i="5"/>
  <c r="AD13" i="5"/>
  <c r="AD21" i="5"/>
  <c r="AE13" i="5"/>
  <c r="AK16" i="5"/>
  <c r="R19" i="5"/>
  <c r="AC20" i="5"/>
  <c r="AK20" i="5"/>
  <c r="AE21" i="5"/>
  <c r="AF6" i="5"/>
  <c r="Z7" i="5"/>
  <c r="AH7" i="5"/>
  <c r="AB8" i="5"/>
  <c r="AJ8" i="5"/>
  <c r="AD9" i="5"/>
  <c r="AB11" i="5"/>
  <c r="AJ11" i="5"/>
  <c r="AD12" i="5"/>
  <c r="AF13" i="5"/>
  <c r="Z14" i="5"/>
  <c r="AH14" i="5"/>
  <c r="AB15" i="5"/>
  <c r="AJ15" i="5"/>
  <c r="AD16" i="5"/>
  <c r="AF17" i="5"/>
  <c r="Z18" i="5"/>
  <c r="AH18" i="5"/>
  <c r="AB19" i="5"/>
  <c r="AJ19" i="5"/>
  <c r="AD20" i="5"/>
  <c r="AF21" i="5"/>
  <c r="Z6" i="5"/>
  <c r="AH6" i="5"/>
  <c r="AB7" i="5"/>
  <c r="AJ7" i="5"/>
  <c r="AD8" i="5"/>
  <c r="AF9" i="5"/>
  <c r="AB10" i="5"/>
  <c r="AD11" i="5"/>
  <c r="AF12" i="5"/>
  <c r="Z13" i="5"/>
  <c r="AH13" i="5"/>
  <c r="AB14" i="5"/>
  <c r="AJ14" i="5"/>
  <c r="AD15" i="5"/>
  <c r="AF16" i="5"/>
  <c r="Z17" i="5"/>
  <c r="AH17" i="5"/>
  <c r="AB18" i="5"/>
  <c r="AJ18" i="5"/>
  <c r="AD19" i="5"/>
  <c r="AF20" i="5"/>
  <c r="Z21" i="5"/>
  <c r="AH21" i="5"/>
  <c r="AE8" i="5"/>
  <c r="AE11" i="5"/>
  <c r="AG12" i="5"/>
  <c r="AI13" i="5"/>
  <c r="AI17" i="5"/>
  <c r="AK18" i="5"/>
  <c r="AA21" i="5"/>
  <c r="AD6" i="5"/>
  <c r="AE6" i="5"/>
  <c r="AC15" i="5"/>
  <c r="AK15" i="5"/>
  <c r="AE16" i="5"/>
  <c r="AG17" i="5"/>
  <c r="AC19" i="5"/>
  <c r="AK19" i="5"/>
  <c r="AA6" i="5"/>
  <c r="AK7" i="5"/>
  <c r="AG9" i="5"/>
  <c r="AC14" i="5"/>
  <c r="AK14" i="5"/>
  <c r="AE15" i="5"/>
  <c r="AG16" i="5"/>
  <c r="AC18" i="5"/>
  <c r="AE19" i="5"/>
  <c r="AG20" i="5"/>
  <c r="AB6" i="5"/>
  <c r="Z9" i="5"/>
  <c r="Z12" i="5"/>
  <c r="AB13" i="5"/>
  <c r="Z16" i="5"/>
  <c r="AB17" i="5"/>
  <c r="Z20" i="5"/>
  <c r="AB21" i="5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C3" i="3" a="1"/>
  <c r="C3" i="3" s="1"/>
  <c r="B3" i="3" a="1"/>
  <c r="B3" i="3" s="1"/>
  <c r="B59" i="6" l="1"/>
  <c r="R21" i="5"/>
  <c r="A41" i="6"/>
  <c r="R16" i="5"/>
  <c r="A7" i="1"/>
  <c r="O6" i="7" l="1"/>
  <c r="J30" i="7"/>
  <c r="J33" i="7"/>
  <c r="J39" i="7"/>
  <c r="K26" i="7"/>
  <c r="J24" i="7"/>
  <c r="K39" i="7"/>
  <c r="K23" i="7"/>
  <c r="J42" i="7"/>
  <c r="K40" i="7"/>
  <c r="J35" i="7"/>
  <c r="J23" i="7"/>
  <c r="K33" i="7"/>
  <c r="K42" i="7"/>
  <c r="K41" i="7"/>
  <c r="K27" i="7"/>
  <c r="K28" i="7"/>
  <c r="J34" i="7"/>
  <c r="K32" i="7"/>
  <c r="K34" i="7"/>
  <c r="J29" i="7"/>
  <c r="J32" i="7"/>
  <c r="J41" i="7"/>
  <c r="J25" i="7"/>
  <c r="J22" i="7"/>
  <c r="J38" i="7"/>
  <c r="J27" i="7"/>
  <c r="J37" i="7"/>
  <c r="J36" i="7"/>
  <c r="K30" i="7"/>
  <c r="K36" i="7"/>
  <c r="K29" i="7"/>
  <c r="K38" i="7"/>
  <c r="J40" i="7"/>
  <c r="J26" i="7"/>
  <c r="K31" i="7"/>
  <c r="J31" i="7"/>
  <c r="K37" i="7"/>
  <c r="K22" i="7"/>
  <c r="K25" i="7"/>
  <c r="K35" i="7"/>
  <c r="J28" i="7"/>
  <c r="K2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<sst xmlns="http://schemas.openxmlformats.org/spreadsheetml/2006/main" count="616" uniqueCount="225">
  <si>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</si>
  <si>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</si>
  <si>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</si>
  <si>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</si>
  <si>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</si>
  <si>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</si>
  <si>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</si>
  <si>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</si>
  <si>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</si>
  <si>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</si>
  <si>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</si>
  <si>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</si>
  <si>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</si>
  <si>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</si>
  <si>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</si>
  <si>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</si>
  <si>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</si>
  <si>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</si>
  <si>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</si>
  <si>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</si>
  <si>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</si>
  <si>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</si>
  <si>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</si>
  <si>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</si>
  <si>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</si>
  <si>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</si>
  <si>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</si>
  <si>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</si>
  <si>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</si>
  <si>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</si>
  <si>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</si>
  <si>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</si>
  <si>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</si>
  <si>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</si>
  <si>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</si>
  <si>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</si>
  <si>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</si>
  <si>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</si>
  <si>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</si>
  <si>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Varmemængder</t>
  </si>
  <si>
    <t>Ovn2</t>
  </si>
  <si>
    <t>Ovn3</t>
  </si>
  <si>
    <t>FlisK</t>
  </si>
  <si>
    <t>NS</t>
  </si>
  <si>
    <t>Cooler</t>
  </si>
  <si>
    <t>PeakK</t>
  </si>
  <si>
    <t>Brændselsforbrug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</si>
  <si>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</si>
  <si>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</si>
  <si>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</si>
  <si>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</si>
  <si>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</si>
  <si>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</si>
  <si>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</si>
  <si>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</si>
  <si>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</si>
  <si>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</si>
  <si>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</si>
  <si>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</si>
  <si>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</si>
  <si>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</si>
  <si>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</si>
  <si>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</si>
  <si>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</si>
  <si>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</si>
  <si>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</si>
  <si>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</si>
  <si>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</si>
  <si>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</si>
  <si>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</si>
  <si>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</si>
  <si>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</si>
  <si>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</si>
  <si>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</si>
  <si>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</si>
  <si>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</si>
  <si>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Brændselsindkomst</t>
  </si>
  <si>
    <t>scen0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</si>
  <si>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</si>
  <si>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</si>
  <si>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</si>
  <si>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</si>
  <si>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</si>
  <si>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</si>
  <si>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</si>
  <si>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</si>
  <si>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</si>
  <si>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</si>
  <si>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</si>
  <si>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</si>
  <si>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Elpris</t>
  </si>
  <si>
    <t>ETS</t>
  </si>
  <si>
    <t>Nøgletal</t>
  </si>
  <si>
    <t>DKK/MWhe</t>
  </si>
  <si>
    <t>DKK/ton CO2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</si>
  <si>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</si>
  <si>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</si>
  <si>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</si>
  <si>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</si>
  <si>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</si>
  <si>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</si>
  <si>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</si>
  <si>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</si>
  <si>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</si>
  <si>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Prognose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</si>
  <si>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</si>
  <si>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</si>
  <si>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</si>
  <si>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</si>
  <si>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</si>
  <si>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</si>
  <si>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</si>
  <si>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</si>
  <si>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</si>
  <si>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</si>
  <si>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</si>
  <si>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</si>
  <si>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Kodet udgave af scenarietabellen (MÅ IKKE ÆNDRES)</t>
  </si>
  <si>
    <t>OBS: Relativt til FirstYear  og FirstPeriod</t>
  </si>
  <si>
    <t>0/1</t>
  </si>
  <si>
    <t>integer</t>
  </si>
  <si>
    <t>float</t>
  </si>
  <si>
    <t>ordinal1</t>
  </si>
  <si>
    <t>ordinal2</t>
  </si>
  <si>
    <t>ordinal3</t>
  </si>
  <si>
    <t>Parameter-serie afbildet efter forskriften i scenarietabellen</t>
  </si>
  <si>
    <t>scRec</t>
  </si>
  <si>
    <t>Aktiv</t>
  </si>
  <si>
    <t>ScenId</t>
  </si>
  <si>
    <t>Niveau1</t>
  </si>
  <si>
    <t>Niveau2</t>
  </si>
  <si>
    <t>Niveau3</t>
  </si>
  <si>
    <t>FirstPeriod</t>
  </si>
  <si>
    <t>LastPeriod</t>
  </si>
  <si>
    <t>FirstValue</t>
  </si>
  <si>
    <t>LastValue</t>
  </si>
  <si>
    <t>Kommentar</t>
  </si>
  <si>
    <t>rec1</t>
  </si>
  <si>
    <t>Control</t>
  </si>
  <si>
    <t>FixAffald</t>
  </si>
  <si>
    <t>VOID</t>
  </si>
  <si>
    <t>screc1</t>
  </si>
  <si>
    <t>rec2</t>
  </si>
  <si>
    <t>EgetforbrugKVV</t>
  </si>
  <si>
    <t>screc2</t>
  </si>
  <si>
    <t>rec3</t>
  </si>
  <si>
    <t>Plant</t>
  </si>
  <si>
    <t>screc3</t>
  </si>
  <si>
    <t>rec4</t>
  </si>
  <si>
    <t>Prognoses</t>
  </si>
  <si>
    <t>screc4</t>
  </si>
  <si>
    <t>rec5</t>
  </si>
  <si>
    <t>screc5</t>
  </si>
  <si>
    <t>rec6</t>
  </si>
  <si>
    <t>Fuel</t>
  </si>
  <si>
    <t>MinTonnage</t>
  </si>
  <si>
    <t>screc6</t>
  </si>
  <si>
    <t>rec7</t>
  </si>
  <si>
    <t>FuelBounds</t>
  </si>
  <si>
    <t>LHV</t>
  </si>
  <si>
    <t>screc7</t>
  </si>
  <si>
    <t>rec8</t>
  </si>
  <si>
    <t>screc8</t>
  </si>
  <si>
    <t>rec9</t>
  </si>
  <si>
    <t>screc9</t>
  </si>
  <si>
    <t>rec10</t>
  </si>
  <si>
    <t>screc10</t>
  </si>
  <si>
    <t>rec11</t>
  </si>
  <si>
    <t>Storage</t>
  </si>
  <si>
    <t>screc11</t>
  </si>
  <si>
    <t>rec12</t>
  </si>
  <si>
    <t>screc12</t>
  </si>
  <si>
    <t>rec13</t>
  </si>
  <si>
    <t>screc13</t>
  </si>
  <si>
    <t>rec14</t>
  </si>
  <si>
    <t>screc14</t>
  </si>
  <si>
    <t>rec15</t>
  </si>
  <si>
    <t>screc15</t>
  </si>
  <si>
    <t>rec16</t>
  </si>
  <si>
    <t>screc16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</si>
  <si>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</si>
  <si>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</si>
  <si>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</si>
  <si>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</si>
  <si>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</si>
  <si>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</si>
  <si>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</si>
  <si>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</si>
  <si>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</si>
  <si>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</si>
  <si>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</si>
  <si>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</si>
  <si>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</si>
  <si>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</si>
  <si>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</si>
  <si>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</si>
  <si>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</si>
  <si>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</si>
  <si>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</si>
  <si>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</si>
  <si>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</si>
  <si>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</si>
  <si>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</si>
  <si>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</si>
  <si>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</si>
  <si>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</si>
  <si>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</si>
  <si>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</si>
  <si>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</si>
  <si>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</si>
  <si>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</si>
  <si>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</si>
  <si>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</si>
  <si>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</si>
  <si>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</si>
  <si>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</si>
  <si>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</si>
  <si>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</si>
  <si>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</si>
  <si>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</si>
  <si>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</si>
  <si>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</si>
  <si>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</si>
  <si>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/>
  </si>
  <si>
    <t>Kodet udgave af scenarietabellen udskrevet fra GAMS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</si>
</sst>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11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2" fontId="0" fillId="0" borderId="0" xfId="0" applyNumberFormat="1"/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2" fontId="0" fillId="0" borderId="0" xfId="0" applyNumberFormat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2" fontId="0" fillId="0" borderId="0" xfId="0" quotePrefix="1" applyNumberFormat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2" fontId="15" fillId="0" borderId="0" xfId="0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18" fillId="6" borderId="9" xfId="2" applyFont="1" applyBorder="1" applyAlignment="1">
      <alignment horizontal="center"/>
    </xf>
    <xf numFmtId="0" fontId="18" fillId="6" borderId="10" xfId="2" applyFont="1" applyBorder="1" applyAlignment="1">
      <alignment horizontal="center"/>
    </xf>
    <xf numFmtId="0" fontId="0" fillId="8" borderId="11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 applyAlignment="1">
      <alignment horizontal="left" indent="1"/>
    </xf>
    <xf numFmtId="0" fontId="2" fillId="8" borderId="0" xfId="0" applyFont="1" applyFill="1"/>
    <xf numFmtId="0" fontId="0" fillId="8" borderId="0" xfId="0" applyFill="1" applyAlignment="1">
      <alignment horizontal="center"/>
    </xf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40"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[0]!series1</c:f>
              <c:numCache>
                <c:formatCode>#,##0</c:formatCode>
                <c:ptCount val="11"/>
                <c:pt idx="0">
                  <c:v>-2808.8488781447604</c:v>
                </c:pt>
                <c:pt idx="1">
                  <c:v>-20659.761523306373</c:v>
                </c:pt>
                <c:pt idx="2">
                  <c:v>-13981.533509566754</c:v>
                </c:pt>
                <c:pt idx="3">
                  <c:v>-7405.1160195641205</c:v>
                </c:pt>
                <c:pt idx="4">
                  <c:v>858.69096097620343</c:v>
                </c:pt>
                <c:pt idx="5">
                  <c:v>8676.5146425929725</c:v>
                </c:pt>
                <c:pt idx="6">
                  <c:v>-38925.191275084522</c:v>
                </c:pt>
                <c:pt idx="7">
                  <c:v>-32228.51855913207</c:v>
                </c:pt>
                <c:pt idx="8">
                  <c:v>-25657.000206260665</c:v>
                </c:pt>
                <c:pt idx="9">
                  <c:v>-17087.310241928953</c:v>
                </c:pt>
                <c:pt idx="10">
                  <c:v>-9680.8662545892676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[0]!Series2</c:f>
              <c:numCache>
                <c:formatCode>#,##0</c:formatCode>
                <c:ptCount val="11"/>
                <c:pt idx="0">
                  <c:v>72991.092744539521</c:v>
                </c:pt>
                <c:pt idx="1">
                  <c:v>53961.35536508933</c:v>
                </c:pt>
                <c:pt idx="2">
                  <c:v>60586.691114636698</c:v>
                </c:pt>
                <c:pt idx="3">
                  <c:v>67157.697910482108</c:v>
                </c:pt>
                <c:pt idx="4">
                  <c:v>77124.125973480346</c:v>
                </c:pt>
                <c:pt idx="5">
                  <c:v>85209.151927156694</c:v>
                </c:pt>
                <c:pt idx="6">
                  <c:v>53961.35536508933</c:v>
                </c:pt>
                <c:pt idx="7">
                  <c:v>60602.464023691959</c:v>
                </c:pt>
                <c:pt idx="8">
                  <c:v>67173.982376563377</c:v>
                </c:pt>
                <c:pt idx="9">
                  <c:v>75575.389822510653</c:v>
                </c:pt>
                <c:pt idx="10">
                  <c:v>85245.272880475502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[0]!Series3</c:f>
              <c:numCache>
                <c:formatCode>#,##0</c:formatCode>
                <c:ptCount val="11"/>
                <c:pt idx="0">
                  <c:v>75799.941622684288</c:v>
                </c:pt>
                <c:pt idx="1">
                  <c:v>74621.116888395714</c:v>
                </c:pt>
                <c:pt idx="2">
                  <c:v>74568.224624203445</c:v>
                </c:pt>
                <c:pt idx="3">
                  <c:v>74562.81393004625</c:v>
                </c:pt>
                <c:pt idx="4">
                  <c:v>76265.435012504167</c:v>
                </c:pt>
                <c:pt idx="5">
                  <c:v>76532.637284563723</c:v>
                </c:pt>
                <c:pt idx="6">
                  <c:v>92886.546640173867</c:v>
                </c:pt>
                <c:pt idx="7">
                  <c:v>92830.982582824043</c:v>
                </c:pt>
                <c:pt idx="8">
                  <c:v>92830.982582824043</c:v>
                </c:pt>
                <c:pt idx="9">
                  <c:v>92662.700064439618</c:v>
                </c:pt>
                <c:pt idx="10">
                  <c:v>94926.139135064775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Charts!$F$9:$G$9</c:f>
              <c:strCache>
                <c:ptCount val="2"/>
                <c:pt idx="0">
                  <c:v>REFA-Afgifter</c:v>
                </c:pt>
                <c:pt idx="1">
                  <c:v>41.564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[0]!Series4</c:f>
              <c:numCache>
                <c:formatCode>#,##0</c:formatCode>
                <c:ptCount val="11"/>
                <c:pt idx="0">
                  <c:v>41564.133556720641</c:v>
                </c:pt>
                <c:pt idx="1">
                  <c:v>42611.967000826597</c:v>
                </c:pt>
                <c:pt idx="2">
                  <c:v>42455.270635217414</c:v>
                </c:pt>
                <c:pt idx="3">
                  <c:v>42449.859941060211</c:v>
                </c:pt>
                <c:pt idx="4">
                  <c:v>40746.677915686581</c:v>
                </c:pt>
                <c:pt idx="5">
                  <c:v>41094.223425630182</c:v>
                </c:pt>
                <c:pt idx="6">
                  <c:v>42611.967000826597</c:v>
                </c:pt>
                <c:pt idx="7">
                  <c:v>42452.598842059837</c:v>
                </c:pt>
                <c:pt idx="8">
                  <c:v>42452.598842059837</c:v>
                </c:pt>
                <c:pt idx="9">
                  <c:v>41262.905241015644</c:v>
                </c:pt>
                <c:pt idx="10">
                  <c:v>40477.028410194966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REFA-CO2-Kvoteomk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[0]!Series5</c:f>
              <c:numCache>
                <c:formatCode>#,##0</c:formatCode>
                <c:ptCount val="11"/>
                <c:pt idx="0">
                  <c:v>14968.519681582196</c:v>
                </c:pt>
                <c:pt idx="1">
                  <c:v>14612.343801422527</c:v>
                </c:pt>
                <c:pt idx="2">
                  <c:v>14612.343801422525</c:v>
                </c:pt>
                <c:pt idx="3">
                  <c:v>14612.343801422525</c:v>
                </c:pt>
                <c:pt idx="4">
                  <c:v>14612.343801422527</c:v>
                </c:pt>
                <c:pt idx="5">
                  <c:v>14612.343801422525</c:v>
                </c:pt>
                <c:pt idx="6">
                  <c:v>32877.773553200677</c:v>
                </c:pt>
                <c:pt idx="7">
                  <c:v>32877.773553200677</c:v>
                </c:pt>
                <c:pt idx="8">
                  <c:v>32877.773553200677</c:v>
                </c:pt>
                <c:pt idx="9">
                  <c:v>32877.773553200677</c:v>
                </c:pt>
                <c:pt idx="10">
                  <c:v>32877.773553200677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16809</xdr:colOff>
      <xdr:row>11</xdr:row>
      <xdr:rowOff>1119</xdr:rowOff>
    </xdr:from>
    <xdr:to>
      <xdr:col>15</xdr:col>
      <xdr:colOff>201706</xdr:colOff>
      <xdr:row>35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DataCtrl"/>
      <sheetName val="DataU"/>
      <sheetName val="DataFuel"/>
      <sheetName val="Scen"/>
      <sheetName val="Lister"/>
      <sheetName val="E-V"/>
      <sheetName val="ScenOLD"/>
      <sheetName val="Resultater"/>
      <sheetName val="OptimDump"/>
    </sheetNames>
    <sheetDataSet>
      <sheetData sheetId="0"/>
      <sheetData sheetId="1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</v>
          </cell>
        </row>
        <row r="10">
          <cell r="B10" t="str">
            <v>RgkRabatSats</v>
          </cell>
        </row>
        <row r="11">
          <cell r="B11" t="str">
            <v>RgkAndelRabat</v>
          </cell>
        </row>
        <row r="12">
          <cell r="B12" t="str">
            <v>Varmesalgspris</v>
          </cell>
        </row>
        <row r="13">
          <cell r="B13" t="str">
            <v>EgetforbrugKVV</v>
          </cell>
        </row>
      </sheetData>
      <sheetData sheetId="2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3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4"/>
      <sheetData sheetId="5"/>
      <sheetData sheetId="6"/>
      <sheetData sheetId="7">
        <row r="4">
          <cell r="C4">
            <v>-9.99</v>
          </cell>
        </row>
      </sheetData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9" tint="0.39997558519241921"/>
  </sheetPr>
  <dimension ref="A3:AF10"/>
  <sheetViews>
    <sheetView zoomScale="85" zoomScaleNormal="85" workbookViewId="0">
      <selection activeCell="B48" sqref="B48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4" customWidth="1"/>
    <col min="6" max="6" width="10.42578125" bestFit="1" customWidth="1"/>
    <col min="7" max="17" width="12.7109375" style="86" customWidth="1"/>
    <col min="18" max="32" width="9.140625" style="86"/>
  </cols>
  <sheetData>
    <row r="3" spans="1:29" x14ac:dyDescent="0.25">
      <c r="A3" s="91" t="s">
        <v>114</v>
      </c>
      <c r="B3" s="92" t="s">
        <v>115</v>
      </c>
      <c r="C3" s="93"/>
    </row>
    <row r="5" spans="1:29" x14ac:dyDescent="0.25">
      <c r="A5" s="89" t="s">
        <v>111</v>
      </c>
      <c r="B5" s="82" t="s">
        <v>105</v>
      </c>
      <c r="C5" s="82" t="s">
        <v>106</v>
      </c>
      <c r="D5" s="82" t="s">
        <v>113</v>
      </c>
      <c r="E5" s="89" t="s">
        <v>112</v>
      </c>
      <c r="F5" s="82" t="s">
        <v>110</v>
      </c>
      <c r="G5" s="87" t="str">
        <f t="shared" ref="G5:AC5" si="0">_xlfn.LET(_xlpm.id,COLUMN(G5)-COLUMN($G$5),IF(_xlpm.id&lt;Nscen,"sc-"&amp;_xlpm.id,""))</f>
        <v>sc-0</v>
      </c>
      <c r="H5" s="87" t="str">
        <f t="shared" si="0"/>
        <v>sc-1</v>
      </c>
      <c r="I5" s="87" t="str">
        <f t="shared" si="0"/>
        <v>sc-2</v>
      </c>
      <c r="J5" s="87" t="str">
        <f t="shared" si="0"/>
        <v>sc-3</v>
      </c>
      <c r="K5" s="87" t="str">
        <f t="shared" si="0"/>
        <v>sc-4</v>
      </c>
      <c r="L5" s="87" t="str">
        <f t="shared" si="0"/>
        <v>sc-5</v>
      </c>
      <c r="M5" s="87" t="str">
        <f t="shared" si="0"/>
        <v>sc-6</v>
      </c>
      <c r="N5" s="87" t="str">
        <f t="shared" si="0"/>
        <v>sc-7</v>
      </c>
      <c r="O5" s="87" t="str">
        <f t="shared" si="0"/>
        <v>sc-8</v>
      </c>
      <c r="P5" s="87" t="str">
        <f t="shared" si="0"/>
        <v>sc-9</v>
      </c>
      <c r="Q5" s="87" t="str">
        <f t="shared" si="0"/>
        <v>sc-10</v>
      </c>
      <c r="R5" s="85" t="str">
        <f t="shared" si="0"/>
        <v/>
      </c>
      <c r="S5" s="85" t="str">
        <f t="shared" si="0"/>
        <v/>
      </c>
      <c r="T5" s="85" t="str">
        <f t="shared" si="0"/>
        <v/>
      </c>
      <c r="U5" s="85" t="str">
        <f t="shared" si="0"/>
        <v/>
      </c>
      <c r="V5" s="85" t="str">
        <f t="shared" si="0"/>
        <v/>
      </c>
      <c r="W5" s="85" t="str">
        <f t="shared" si="0"/>
        <v/>
      </c>
      <c r="X5" s="85" t="str">
        <f t="shared" si="0"/>
        <v/>
      </c>
      <c r="Y5" s="85" t="str">
        <f t="shared" si="0"/>
        <v/>
      </c>
      <c r="Z5" s="85" t="str">
        <f t="shared" si="0"/>
        <v/>
      </c>
      <c r="AA5" s="85" t="str">
        <f t="shared" si="0"/>
        <v/>
      </c>
      <c r="AB5" s="85" t="str">
        <f t="shared" si="0"/>
        <v/>
      </c>
      <c r="AC5" s="85" t="str">
        <f t="shared" si="0"/>
        <v/>
      </c>
    </row>
    <row r="6" spans="1:29" x14ac:dyDescent="0.25">
      <c r="A6" s="88">
        <v>1</v>
      </c>
      <c r="B6" s="83" t="s">
        <v>92</v>
      </c>
      <c r="C6" s="83" t="s">
        <v>7</v>
      </c>
      <c r="D6" s="90">
        <v>1000</v>
      </c>
      <c r="E6" s="84">
        <f>MATCH(B6&amp;"."&amp;C6,listScenTopics,0)</f>
        <v>17</v>
      </c>
      <c r="F6" t="str">
        <f>C6</f>
        <v>REFA-Daekningsbidrag</v>
      </c>
      <c r="G6" s="86" cm="1">
        <f t="array" aca="1" ref="G6:Q6" ca="1">IF(A6=0,"",OFFSET(listScenTopicsTopLeft,E6-1,3,1,Nscen))/D6</f>
        <v>-2808.8488781447604</v>
      </c>
      <c r="H6" s="86">
        <f ca="1"/>
        <v>-20659.761523306373</v>
      </c>
      <c r="I6" s="86">
        <f ca="1"/>
        <v>-13981.533509566754</v>
      </c>
      <c r="J6" s="86">
        <f ca="1"/>
        <v>-7405.1160195641205</v>
      </c>
      <c r="K6" s="86">
        <f ca="1"/>
        <v>858.69096097620343</v>
      </c>
      <c r="L6" s="86">
        <f ca="1"/>
        <v>8676.5146425929725</v>
      </c>
      <c r="M6" s="86">
        <f ca="1"/>
        <v>-38925.191275084522</v>
      </c>
      <c r="N6" s="86">
        <f ca="1"/>
        <v>-32228.51855913207</v>
      </c>
      <c r="O6" s="86">
        <f ca="1"/>
        <v>-25657.000206260665</v>
      </c>
      <c r="P6" s="86">
        <f ca="1"/>
        <v>-17087.310241928953</v>
      </c>
      <c r="Q6" s="86">
        <f ca="1"/>
        <v>-9680.8662545892676</v>
      </c>
    </row>
    <row r="7" spans="1:29" x14ac:dyDescent="0.25">
      <c r="A7" s="88">
        <v>1</v>
      </c>
      <c r="B7" s="83" t="s">
        <v>92</v>
      </c>
      <c r="C7" s="83" t="s">
        <v>8</v>
      </c>
      <c r="D7" s="90">
        <v>1000</v>
      </c>
      <c r="E7" s="84">
        <f>MATCH(B7&amp;"."&amp;C7,listScenTopics,0)</f>
        <v>18</v>
      </c>
      <c r="F7" t="str">
        <f>C7</f>
        <v>REFA-Total-Var-Indkomst</v>
      </c>
      <c r="G7" s="86" cm="1">
        <f t="array" aca="1" ref="G7:Q7" ca="1">IF(A7=0,"",OFFSET(listScenTopicsTopLeft,E7-1,3,1,Nscen))/D7</f>
        <v>72991.092744539521</v>
      </c>
      <c r="H7" s="86">
        <f ca="1"/>
        <v>53961.35536508933</v>
      </c>
      <c r="I7" s="86">
        <f ca="1"/>
        <v>60586.691114636698</v>
      </c>
      <c r="J7" s="86">
        <f ca="1"/>
        <v>67157.697910482108</v>
      </c>
      <c r="K7" s="86">
        <f ca="1"/>
        <v>77124.125973480346</v>
      </c>
      <c r="L7" s="86">
        <f ca="1"/>
        <v>85209.151927156694</v>
      </c>
      <c r="M7" s="86">
        <f ca="1"/>
        <v>53961.35536508933</v>
      </c>
      <c r="N7" s="86">
        <f ca="1"/>
        <v>60602.464023691959</v>
      </c>
      <c r="O7" s="86">
        <f ca="1"/>
        <v>67173.982376563377</v>
      </c>
      <c r="P7" s="86">
        <f ca="1"/>
        <v>75575.389822510653</v>
      </c>
      <c r="Q7" s="86">
        <f ca="1"/>
        <v>85245.272880475502</v>
      </c>
    </row>
    <row r="8" spans="1:29" x14ac:dyDescent="0.25">
      <c r="A8" s="88">
        <v>1</v>
      </c>
      <c r="B8" s="83" t="s">
        <v>92</v>
      </c>
      <c r="C8" s="83" t="s">
        <v>12</v>
      </c>
      <c r="D8" s="90">
        <v>1000</v>
      </c>
      <c r="E8" s="84">
        <f>MATCH(B8&amp;"."&amp;C8,listScenTopics,0)</f>
        <v>23</v>
      </c>
      <c r="F8" t="str">
        <f>C8</f>
        <v>REFA-Total-Var-Omkostning</v>
      </c>
      <c r="G8" s="86" cm="1">
        <f t="array" aca="1" ref="G8:Q8" ca="1">IF(A8=0,"",OFFSET(listScenTopicsTopLeft,E8-1,3,1,Nscen))/D8</f>
        <v>75799.941622684288</v>
      </c>
      <c r="H8" s="86">
        <f ca="1"/>
        <v>74621.116888395714</v>
      </c>
      <c r="I8" s="86">
        <f ca="1"/>
        <v>74568.224624203445</v>
      </c>
      <c r="J8" s="86">
        <f ca="1"/>
        <v>74562.81393004625</v>
      </c>
      <c r="K8" s="86">
        <f ca="1"/>
        <v>76265.435012504167</v>
      </c>
      <c r="L8" s="86">
        <f ca="1"/>
        <v>76532.637284563723</v>
      </c>
      <c r="M8" s="86">
        <f ca="1"/>
        <v>92886.546640173867</v>
      </c>
      <c r="N8" s="86">
        <f ca="1"/>
        <v>92830.982582824043</v>
      </c>
      <c r="O8" s="86">
        <f ca="1"/>
        <v>92830.982582824043</v>
      </c>
      <c r="P8" s="86">
        <f ca="1"/>
        <v>92662.700064439618</v>
      </c>
      <c r="Q8" s="86">
        <f ca="1"/>
        <v>94926.139135064775</v>
      </c>
    </row>
    <row r="9" spans="1:29" x14ac:dyDescent="0.25">
      <c r="A9" s="88">
        <v>1</v>
      </c>
      <c r="B9" s="83" t="s">
        <v>92</v>
      </c>
      <c r="C9" s="83" t="s">
        <v>15</v>
      </c>
      <c r="D9" s="90">
        <v>1000</v>
      </c>
      <c r="E9" s="84">
        <f>MATCH(B9&amp;"."&amp;C9,listScenTopics,0)</f>
        <v>26</v>
      </c>
      <c r="F9" t="str">
        <f>C9</f>
        <v>REFA-Afgifter</v>
      </c>
      <c r="G9" s="86" cm="1">
        <f t="array" aca="1" ref="G9:Q9" ca="1">IF(A9=0,"",OFFSET(listScenTopicsTopLeft,E9-1,3,1,Nscen))/D9</f>
        <v>41564.133556720641</v>
      </c>
      <c r="H9" s="86">
        <f ca="1"/>
        <v>42611.967000826597</v>
      </c>
      <c r="I9" s="86">
        <f ca="1"/>
        <v>42455.270635217414</v>
      </c>
      <c r="J9" s="86">
        <f ca="1"/>
        <v>42449.859941060211</v>
      </c>
      <c r="K9" s="86">
        <f ca="1"/>
        <v>40746.677915686581</v>
      </c>
      <c r="L9" s="86">
        <f ca="1"/>
        <v>41094.223425630182</v>
      </c>
      <c r="M9" s="86">
        <f ca="1"/>
        <v>42611.967000826597</v>
      </c>
      <c r="N9" s="86">
        <f ca="1"/>
        <v>42452.598842059837</v>
      </c>
      <c r="O9" s="86">
        <f ca="1"/>
        <v>42452.598842059837</v>
      </c>
      <c r="P9" s="86">
        <f ca="1"/>
        <v>41262.905241015644</v>
      </c>
      <c r="Q9" s="86">
        <f ca="1"/>
        <v>40477.028410194966</v>
      </c>
    </row>
    <row r="10" spans="1:29" x14ac:dyDescent="0.25">
      <c r="A10" s="88">
        <v>1</v>
      </c>
      <c r="B10" s="83" t="s">
        <v>92</v>
      </c>
      <c r="C10" s="83" t="s">
        <v>16</v>
      </c>
      <c r="D10" s="90">
        <v>1000</v>
      </c>
      <c r="E10" s="84">
        <f>MATCH(B10&amp;"."&amp;C10,listScenTopics,0)</f>
        <v>27</v>
      </c>
      <c r="F10" t="str">
        <f>C10</f>
        <v>REFA-CO2-Kvoteomk</v>
      </c>
      <c r="G10" s="86" cm="1">
        <f t="array" aca="1" ref="G10:Q10" ca="1">IF(A10=0,"",OFFSET(listScenTopicsTopLeft,E10-1,3,1,Nscen))/D10</f>
        <v>14968.519681582196</v>
      </c>
      <c r="H10" s="86">
        <f ca="1"/>
        <v>14612.343801422527</v>
      </c>
      <c r="I10" s="86">
        <f ca="1"/>
        <v>14612.343801422525</v>
      </c>
      <c r="J10" s="86">
        <f ca="1"/>
        <v>14612.343801422525</v>
      </c>
      <c r="K10" s="86">
        <f ca="1"/>
        <v>14612.343801422527</v>
      </c>
      <c r="L10" s="86">
        <f ca="1"/>
        <v>14612.343801422525</v>
      </c>
      <c r="M10" s="86">
        <f ca="1"/>
        <v>32877.773553200677</v>
      </c>
      <c r="N10" s="86">
        <f ca="1"/>
        <v>32877.773553200677</v>
      </c>
      <c r="O10" s="86">
        <f ca="1"/>
        <v>32877.773553200677</v>
      </c>
      <c r="P10" s="86">
        <f ca="1"/>
        <v>32877.773553200677</v>
      </c>
      <c r="Q10" s="86">
        <f ca="1"/>
        <v>32877.773553200677</v>
      </c>
    </row>
  </sheetData>
  <mergeCells count="1">
    <mergeCell ref="B3:C3"/>
  </mergeCells>
  <conditionalFormatting sqref="A6:A10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0" xr:uid="{D3DDF137-E67F-48B9-98BC-33E3A7408901}">
      <formula1>listKategori</formula1>
    </dataValidation>
    <dataValidation type="list" allowBlank="1" showInputMessage="1" showErrorMessage="1" sqref="C6:C10 E6:E10" xr:uid="{C2A692C2-3D6D-424F-8D77-D516B2A67503}">
      <formula1>listdynEmner</formula1>
    </dataValidation>
    <dataValidation type="whole" allowBlank="1" showInputMessage="1" showErrorMessage="1" sqref="A6:A10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12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D22" sqref="D22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7">
        <v>0</v>
      </c>
      <c r="C1" s="63">
        <v>44587.940363900459</v>
      </c>
      <c r="D1" s="40"/>
      <c r="E1" s="41"/>
      <c r="F1" s="41"/>
      <c r="G1" s="42"/>
      <c r="H1" s="42"/>
      <c r="I1" s="42"/>
      <c r="J1" s="46" t="str">
        <f>IF($B$1&gt;0,"Virtuelle ressourcer er blevet brugt","")</f>
        <v/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s="37" customFormat="1" x14ac:dyDescent="0.25">
      <c r="A2" s="2" t="s">
        <v>1</v>
      </c>
      <c r="B2" s="3">
        <v>44197</v>
      </c>
      <c r="C2" s="4">
        <v>44531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</row>
    <row r="3" spans="1:27" x14ac:dyDescent="0.25">
      <c r="D3" s="38"/>
    </row>
    <row r="4" spans="1:27" s="21" customFormat="1" ht="18.75" x14ac:dyDescent="0.3">
      <c r="A4" s="34"/>
      <c r="B4" s="34" t="s">
        <v>3</v>
      </c>
      <c r="C4" s="34" t="s">
        <v>104</v>
      </c>
      <c r="D4" s="33" t="s">
        <v>77</v>
      </c>
      <c r="E4" s="33" t="s">
        <v>78</v>
      </c>
      <c r="F4" s="33" t="s">
        <v>95</v>
      </c>
      <c r="G4" s="33" t="s">
        <v>96</v>
      </c>
      <c r="H4" s="33" t="s">
        <v>97</v>
      </c>
      <c r="I4" s="33" t="s">
        <v>98</v>
      </c>
      <c r="J4" s="33" t="s">
        <v>99</v>
      </c>
      <c r="K4" s="33" t="s">
        <v>100</v>
      </c>
      <c r="L4" s="33" t="s">
        <v>101</v>
      </c>
      <c r="M4" s="33" t="s">
        <v>102</v>
      </c>
      <c r="N4" s="33" t="s">
        <v>103</v>
      </c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</row>
    <row r="5" spans="1:27" s="10" customFormat="1" x14ac:dyDescent="0.25">
      <c r="A5" s="77" t="str">
        <f>IF(B5="Enhed",C5,IF(NOT(ISBLANK(C5)),$C$4&amp;"."&amp;C5,""))</f>
        <v>Prognose.Elpris</v>
      </c>
      <c r="B5" s="50" t="s">
        <v>93</v>
      </c>
      <c r="C5" s="58" t="s">
        <v>90</v>
      </c>
      <c r="E5" s="10">
        <v>200</v>
      </c>
      <c r="F5" s="10">
        <v>400</v>
      </c>
      <c r="G5" s="10">
        <v>600</v>
      </c>
      <c r="H5" s="10">
        <v>800</v>
      </c>
      <c r="I5" s="10">
        <v>1000</v>
      </c>
      <c r="J5" s="10">
        <v>200</v>
      </c>
      <c r="K5" s="10">
        <v>400</v>
      </c>
      <c r="L5" s="10">
        <v>600</v>
      </c>
      <c r="M5" s="10">
        <v>800</v>
      </c>
      <c r="N5" s="10">
        <v>1000</v>
      </c>
    </row>
    <row r="6" spans="1:27" s="10" customFormat="1" x14ac:dyDescent="0.25">
      <c r="A6" s="77" t="str">
        <f t="shared" ref="A6:A13" si="0">IF(B6="Enhed",C6,IF(NOT(ISBLANK(C6)),$C$4&amp;"."&amp;C6,""))</f>
        <v>Prognose.ETS</v>
      </c>
      <c r="B6" s="50" t="s">
        <v>94</v>
      </c>
      <c r="C6" s="58" t="s">
        <v>91</v>
      </c>
      <c r="E6" s="10">
        <v>400</v>
      </c>
      <c r="F6" s="10">
        <v>400</v>
      </c>
      <c r="G6" s="10">
        <v>400</v>
      </c>
      <c r="H6" s="10">
        <v>400</v>
      </c>
      <c r="I6" s="10">
        <v>400</v>
      </c>
      <c r="J6" s="10">
        <v>900</v>
      </c>
      <c r="K6" s="10">
        <v>900</v>
      </c>
      <c r="L6" s="10">
        <v>900</v>
      </c>
      <c r="M6" s="10">
        <v>900</v>
      </c>
      <c r="N6" s="10">
        <v>900</v>
      </c>
    </row>
    <row r="7" spans="1:27" x14ac:dyDescent="0.25">
      <c r="A7" s="77" t="str">
        <f t="shared" si="0"/>
        <v/>
      </c>
      <c r="C7" s="5"/>
      <c r="D7" s="38"/>
    </row>
    <row r="8" spans="1:27" hidden="1" outlineLevel="1" x14ac:dyDescent="0.25">
      <c r="A8" s="78" t="str">
        <f t="shared" si="0"/>
        <v/>
      </c>
      <c r="C8" s="5"/>
      <c r="D8" s="38"/>
    </row>
    <row r="9" spans="1:27" hidden="1" outlineLevel="1" x14ac:dyDescent="0.25">
      <c r="A9" s="78" t="str">
        <f t="shared" si="0"/>
        <v/>
      </c>
      <c r="C9" s="5"/>
      <c r="D9" s="38"/>
    </row>
    <row r="10" spans="1:27" hidden="1" outlineLevel="1" x14ac:dyDescent="0.25">
      <c r="A10" s="78" t="str">
        <f t="shared" si="0"/>
        <v/>
      </c>
      <c r="C10" s="5"/>
      <c r="D10" s="38"/>
    </row>
    <row r="11" spans="1:27" hidden="1" outlineLevel="1" x14ac:dyDescent="0.25">
      <c r="A11" s="78" t="str">
        <f t="shared" si="0"/>
        <v/>
      </c>
      <c r="C11" s="5"/>
      <c r="D11" s="38"/>
    </row>
    <row r="12" spans="1:27" hidden="1" outlineLevel="1" x14ac:dyDescent="0.25">
      <c r="A12" s="78" t="str">
        <f t="shared" si="0"/>
        <v/>
      </c>
      <c r="C12" s="5"/>
      <c r="D12" s="38"/>
    </row>
    <row r="13" spans="1:27" hidden="1" outlineLevel="1" x14ac:dyDescent="0.25">
      <c r="A13" s="78" t="str">
        <f t="shared" si="0"/>
        <v/>
      </c>
      <c r="C13" s="5"/>
      <c r="D13" s="38"/>
    </row>
    <row r="14" spans="1:27" s="21" customFormat="1" ht="18.75" collapsed="1" x14ac:dyDescent="0.3">
      <c r="A14" s="79"/>
      <c r="B14" s="34" t="s">
        <v>3</v>
      </c>
      <c r="C14" s="34" t="s">
        <v>92</v>
      </c>
      <c r="D14" s="33" t="s">
        <v>77</v>
      </c>
      <c r="E14" s="33" t="s">
        <v>78</v>
      </c>
      <c r="F14" s="33" t="s">
        <v>95</v>
      </c>
      <c r="G14" s="33" t="s">
        <v>96</v>
      </c>
      <c r="H14" s="33" t="s">
        <v>97</v>
      </c>
      <c r="I14" s="33" t="s">
        <v>98</v>
      </c>
      <c r="J14" s="33" t="s">
        <v>99</v>
      </c>
      <c r="K14" s="33" t="s">
        <v>100</v>
      </c>
      <c r="L14" s="33" t="s">
        <v>101</v>
      </c>
      <c r="M14" s="33" t="s">
        <v>102</v>
      </c>
      <c r="N14" s="33" t="s">
        <v>103</v>
      </c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</row>
    <row r="15" spans="1:27" outlineLevel="1" x14ac:dyDescent="0.25">
      <c r="A15" s="80"/>
      <c r="B15" s="13"/>
      <c r="C15" s="9" t="s">
        <v>0</v>
      </c>
      <c r="D15" s="39">
        <v>0.93969091435428709</v>
      </c>
      <c r="E15" s="39">
        <v>0.93974077546590706</v>
      </c>
      <c r="F15" s="39">
        <v>0.93979854166536825</v>
      </c>
      <c r="G15" s="39">
        <v>0.93985741898359265</v>
      </c>
      <c r="H15" s="39">
        <v>0.93994084490987007</v>
      </c>
      <c r="I15" s="39">
        <v>0.94001589120307472</v>
      </c>
      <c r="J15" s="39">
        <v>0.94006834490573965</v>
      </c>
      <c r="K15" s="39">
        <v>0.94012451388698537</v>
      </c>
      <c r="L15" s="39">
        <v>0.94017910879483679</v>
      </c>
      <c r="M15" s="39">
        <v>0.94025315972248791</v>
      </c>
      <c r="N15" s="39">
        <v>0.94032759259425802</v>
      </c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</row>
    <row r="16" spans="1:27" outlineLevel="1" x14ac:dyDescent="0.25">
      <c r="A16" s="80" t="str">
        <f t="shared" ref="A16:A58" si="1">IF(B16="Enhed",C16,IF(NOT(ISBLANK(C16)),$C$14&amp;"."&amp;C16,""))</f>
        <v>Nøgletal.FJV-behov</v>
      </c>
      <c r="B16" s="8" t="s">
        <v>4</v>
      </c>
      <c r="C16" s="9" t="s">
        <v>5</v>
      </c>
      <c r="D16" s="7">
        <v>240000</v>
      </c>
      <c r="E16" s="7">
        <v>240000</v>
      </c>
      <c r="F16" s="7">
        <v>240000</v>
      </c>
      <c r="G16" s="7">
        <v>240000</v>
      </c>
      <c r="H16" s="7">
        <v>240000</v>
      </c>
      <c r="I16" s="7">
        <v>240000</v>
      </c>
      <c r="J16" s="7">
        <v>240000</v>
      </c>
      <c r="K16" s="7">
        <v>240000</v>
      </c>
      <c r="L16" s="7">
        <v>240000</v>
      </c>
      <c r="M16" s="7">
        <v>240000</v>
      </c>
      <c r="N16" s="7">
        <v>240000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outlineLevel="1" x14ac:dyDescent="0.25">
      <c r="A17" s="80" t="str">
        <f t="shared" si="1"/>
        <v>Nøgletal.Total-NPV</v>
      </c>
      <c r="B17" s="13" t="s">
        <v>2</v>
      </c>
      <c r="C17" s="9" t="s">
        <v>83</v>
      </c>
      <c r="D17" s="12">
        <v>-4858251.7794083711</v>
      </c>
      <c r="E17" s="12">
        <v>-22714209.746126417</v>
      </c>
      <c r="F17" s="12">
        <v>-16030936.410830352</v>
      </c>
      <c r="G17" s="12">
        <v>-9454518.9208277296</v>
      </c>
      <c r="H17" s="12">
        <v>-1197770.7638168479</v>
      </c>
      <c r="I17" s="12">
        <v>6616237.3023519032</v>
      </c>
      <c r="J17" s="12">
        <v>-40979639.497904576</v>
      </c>
      <c r="K17" s="12">
        <v>-34277921.460395686</v>
      </c>
      <c r="L17" s="12">
        <v>-27706403.107524283</v>
      </c>
      <c r="M17" s="12">
        <v>-19164846.996752419</v>
      </c>
      <c r="N17" s="12">
        <v>-11713009.74127052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:27" outlineLevel="1" x14ac:dyDescent="0.25">
      <c r="A18" s="64" t="str">
        <f t="shared" si="1"/>
        <v>Nøgletal.Total-Var-Varmeproduktions-Omk</v>
      </c>
      <c r="B18" s="8" t="s">
        <v>6</v>
      </c>
      <c r="C18" s="9" t="s">
        <v>84</v>
      </c>
      <c r="D18" s="11">
        <v>162.39519280497231</v>
      </c>
      <c r="E18" s="11">
        <v>1036.4717515026327</v>
      </c>
      <c r="F18" s="11">
        <v>720.65515011272669</v>
      </c>
      <c r="G18" s="11">
        <v>414.6915504949506</v>
      </c>
      <c r="H18" s="11">
        <v>-16.096261633391251</v>
      </c>
      <c r="I18" s="11">
        <v>-464.65822484363338</v>
      </c>
      <c r="J18" s="11">
        <v>2123.055182535983</v>
      </c>
      <c r="K18" s="11">
        <v>1808.9069266084273</v>
      </c>
      <c r="L18" s="11">
        <v>1503.3713350877181</v>
      </c>
      <c r="M18" s="11">
        <v>1022.8210432939471</v>
      </c>
      <c r="N18" s="11">
        <v>578.52441326423877</v>
      </c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1"/>
        <v>Nøgletal.REFA-NPV</v>
      </c>
      <c r="B19" s="13" t="s">
        <v>2</v>
      </c>
      <c r="C19" s="14" t="s">
        <v>85</v>
      </c>
      <c r="D19" s="12">
        <v>-3043851.7794083711</v>
      </c>
      <c r="E19" s="12">
        <v>-20899809.746126417</v>
      </c>
      <c r="F19" s="12">
        <v>-14216536.410830352</v>
      </c>
      <c r="G19" s="12">
        <v>-7640118.9208277296</v>
      </c>
      <c r="H19" s="12">
        <v>616629.23618315207</v>
      </c>
      <c r="I19" s="12">
        <v>8430637.3023519032</v>
      </c>
      <c r="J19" s="12">
        <v>-39165239.497904576</v>
      </c>
      <c r="K19" s="12">
        <v>-32463521.460395686</v>
      </c>
      <c r="L19" s="12">
        <v>-25892003.107524283</v>
      </c>
      <c r="M19" s="12">
        <v>-17350446.996752419</v>
      </c>
      <c r="N19" s="12">
        <v>-9898609.7412705198</v>
      </c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:27" outlineLevel="1" x14ac:dyDescent="0.25">
      <c r="A20" s="64" t="str">
        <f t="shared" si="1"/>
        <v>Nøgletal.REFA-Var-Varmeproduktions-Omk</v>
      </c>
      <c r="B20" s="8" t="s">
        <v>6</v>
      </c>
      <c r="C20" s="14" t="s">
        <v>86</v>
      </c>
      <c r="D20" s="11">
        <v>96.610102272691705</v>
      </c>
      <c r="E20" s="11">
        <v>1010.2660252928989</v>
      </c>
      <c r="F20" s="11">
        <v>685.54228815186104</v>
      </c>
      <c r="G20" s="11">
        <v>370.67155278295331</v>
      </c>
      <c r="H20" s="11">
        <v>-69.023395096520204</v>
      </c>
      <c r="I20" s="11">
        <v>-526.49249405789396</v>
      </c>
      <c r="J20" s="11">
        <v>2116.2973131967974</v>
      </c>
      <c r="K20" s="11">
        <v>1793.2419215181101</v>
      </c>
      <c r="L20" s="11">
        <v>1478.7991942462693</v>
      </c>
      <c r="M20" s="11">
        <v>989.34176670136628</v>
      </c>
      <c r="N20" s="11">
        <v>536.13800092052645</v>
      </c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s="62" customFormat="1" outlineLevel="1" x14ac:dyDescent="0.25">
      <c r="A21" s="68" t="str">
        <f t="shared" si="1"/>
        <v>Nøgletal.REFA-Daekningsbidrag</v>
      </c>
      <c r="B21" s="60" t="s">
        <v>2</v>
      </c>
      <c r="C21" s="61" t="s">
        <v>7</v>
      </c>
      <c r="D21" s="59">
        <v>-2808848.8781447606</v>
      </c>
      <c r="E21" s="59">
        <v>-20659761.523306374</v>
      </c>
      <c r="F21" s="59">
        <v>-13981533.509566754</v>
      </c>
      <c r="G21" s="59">
        <v>-7405116.0195641201</v>
      </c>
      <c r="H21" s="59">
        <v>858690.96097620344</v>
      </c>
      <c r="I21" s="59">
        <v>8676514.6425929721</v>
      </c>
      <c r="J21" s="59">
        <v>-38925191.275084525</v>
      </c>
      <c r="K21" s="59">
        <v>-32228518.559132069</v>
      </c>
      <c r="L21" s="59">
        <v>-25657000.206260666</v>
      </c>
      <c r="M21" s="59">
        <v>-17087310.241928954</v>
      </c>
      <c r="N21" s="59">
        <v>-9680866.2545892671</v>
      </c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</row>
    <row r="22" spans="1:27" outlineLevel="1" x14ac:dyDescent="0.25">
      <c r="A22" s="69" t="str">
        <f t="shared" si="1"/>
        <v>Nøgletal.REFA-Total-Var-Indkomst</v>
      </c>
      <c r="B22" s="13" t="s">
        <v>2</v>
      </c>
      <c r="C22" s="15" t="s">
        <v>8</v>
      </c>
      <c r="D22" s="12">
        <v>72991092.744539514</v>
      </c>
      <c r="E22" s="12">
        <v>53961355.365089327</v>
      </c>
      <c r="F22" s="12">
        <v>60586691.114636697</v>
      </c>
      <c r="G22" s="12">
        <v>67157697.910482109</v>
      </c>
      <c r="H22" s="12">
        <v>77124125.973480344</v>
      </c>
      <c r="I22" s="12">
        <v>85209151.927156687</v>
      </c>
      <c r="J22" s="12">
        <v>53961355.365089327</v>
      </c>
      <c r="K22" s="12">
        <v>60602464.02369196</v>
      </c>
      <c r="L22" s="12">
        <v>67173982.37656337</v>
      </c>
      <c r="M22" s="12">
        <v>75575389.82251066</v>
      </c>
      <c r="N22" s="12">
        <v>85245272.880475506</v>
      </c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1:27" outlineLevel="1" x14ac:dyDescent="0.25">
      <c r="A23" s="70" t="str">
        <f t="shared" si="1"/>
        <v>Nøgletal.REFA-Affald-Modtagelse</v>
      </c>
      <c r="B23" s="13" t="s">
        <v>2</v>
      </c>
      <c r="C23" s="16" t="s">
        <v>9</v>
      </c>
      <c r="D23" s="12">
        <v>46019528.788058229</v>
      </c>
      <c r="E23" s="12">
        <v>46019528.788058214</v>
      </c>
      <c r="F23" s="12">
        <v>46019528.788058221</v>
      </c>
      <c r="G23" s="12">
        <v>46019528.788058221</v>
      </c>
      <c r="H23" s="12">
        <v>46019528.788058221</v>
      </c>
      <c r="I23" s="12">
        <v>46019528.788058221</v>
      </c>
      <c r="J23" s="12">
        <v>46019528.788058214</v>
      </c>
      <c r="K23" s="12">
        <v>46019528.788058214</v>
      </c>
      <c r="L23" s="12">
        <v>46019528.788058214</v>
      </c>
      <c r="M23" s="12">
        <v>46019528.788058221</v>
      </c>
      <c r="N23" s="12">
        <v>46019528.788058221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1:27" outlineLevel="1" x14ac:dyDescent="0.25">
      <c r="A24" s="70" t="str">
        <f t="shared" si="1"/>
        <v>Nøgletal.REFA-RGK-Rabat</v>
      </c>
      <c r="B24" s="13" t="s">
        <v>2</v>
      </c>
      <c r="C24" s="16" t="s">
        <v>10</v>
      </c>
      <c r="D24" s="12">
        <v>1470807.6268449356</v>
      </c>
      <c r="E24" s="12">
        <v>1571485.751426297</v>
      </c>
      <c r="F24" s="12">
        <v>1555555.987893081</v>
      </c>
      <c r="G24" s="12">
        <v>1555044.4308671064</v>
      </c>
      <c r="H24" s="12">
        <v>1456753.1226100828</v>
      </c>
      <c r="I24" s="12">
        <v>1318028.8210243783</v>
      </c>
      <c r="J24" s="12">
        <v>1571485.751426297</v>
      </c>
      <c r="K24" s="12">
        <v>1571328.896948341</v>
      </c>
      <c r="L24" s="12">
        <v>1571328.896948341</v>
      </c>
      <c r="M24" s="12">
        <v>1490295.2620568352</v>
      </c>
      <c r="N24" s="12">
        <v>1354149.7743431956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outlineLevel="1" x14ac:dyDescent="0.25">
      <c r="A25" s="70" t="str">
        <f t="shared" si="1"/>
        <v>Nøgletal.REFA-Elsalg</v>
      </c>
      <c r="B25" s="13" t="s">
        <v>2</v>
      </c>
      <c r="C25" s="16" t="s">
        <v>11</v>
      </c>
      <c r="D25" s="12">
        <v>25500756.329636361</v>
      </c>
      <c r="E25" s="12">
        <v>6370340.8256048197</v>
      </c>
      <c r="F25" s="12">
        <v>13011606.33868539</v>
      </c>
      <c r="G25" s="12">
        <v>19583124.691556796</v>
      </c>
      <c r="H25" s="12">
        <v>29647844.06281206</v>
      </c>
      <c r="I25" s="12">
        <v>37871594.318074092</v>
      </c>
      <c r="J25" s="12">
        <v>6370340.8256048197</v>
      </c>
      <c r="K25" s="12">
        <v>13011606.33868539</v>
      </c>
      <c r="L25" s="12">
        <v>19583124.691556796</v>
      </c>
      <c r="M25" s="12">
        <v>28065565.772395611</v>
      </c>
      <c r="N25" s="12">
        <v>37871594.318074092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1:27" outlineLevel="1" x14ac:dyDescent="0.25">
      <c r="A26" s="70" t="str">
        <f t="shared" si="1"/>
        <v>Nøgletal.REFA-Varmesalg</v>
      </c>
      <c r="B26" s="13" t="s">
        <v>2</v>
      </c>
      <c r="C26" s="16" t="s">
        <v>87</v>
      </c>
      <c r="D26" s="12">
        <v>1.1999999999999997E-13</v>
      </c>
      <c r="E26" s="12">
        <v>1.1999999999999997E-13</v>
      </c>
      <c r="F26" s="12">
        <v>1.1999999999999997E-13</v>
      </c>
      <c r="G26" s="12">
        <v>1.1999999999999997E-13</v>
      </c>
      <c r="H26" s="12">
        <v>1.1999999999999997E-13</v>
      </c>
      <c r="I26" s="12">
        <v>1.1999999999999997E-13</v>
      </c>
      <c r="J26" s="12">
        <v>1.1999999999999997E-13</v>
      </c>
      <c r="K26" s="12">
        <v>1.1999999999999997E-13</v>
      </c>
      <c r="L26" s="12">
        <v>1.1999999999999997E-13</v>
      </c>
      <c r="M26" s="12">
        <v>1.1999999999999997E-13</v>
      </c>
      <c r="N26" s="12">
        <v>1.1999999999999997E-13</v>
      </c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outlineLevel="1" x14ac:dyDescent="0.25">
      <c r="A27" s="69" t="str">
        <f t="shared" si="1"/>
        <v>Nøgletal.REFA-Total-Var-Omkostning</v>
      </c>
      <c r="B27" s="13" t="s">
        <v>2</v>
      </c>
      <c r="C27" s="15" t="s">
        <v>12</v>
      </c>
      <c r="D27" s="12">
        <v>75799941.622684285</v>
      </c>
      <c r="E27" s="12">
        <v>74621116.888395712</v>
      </c>
      <c r="F27" s="12">
        <v>74568224.624203444</v>
      </c>
      <c r="G27" s="12">
        <v>74562813.930046245</v>
      </c>
      <c r="H27" s="12">
        <v>76265435.01250416</v>
      </c>
      <c r="I27" s="12">
        <v>76532637.28456372</v>
      </c>
      <c r="J27" s="12">
        <v>92886546.640173867</v>
      </c>
      <c r="K27" s="12">
        <v>92830982.582824036</v>
      </c>
      <c r="L27" s="12">
        <v>92830982.582824036</v>
      </c>
      <c r="M27" s="12">
        <v>92662700.064439625</v>
      </c>
      <c r="N27" s="12">
        <v>94926139.135064781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1:27" outlineLevel="1" x14ac:dyDescent="0.25">
      <c r="A28" s="70" t="str">
        <f t="shared" si="1"/>
        <v>Nøgletal.REFA-AnlaegsVarOmk</v>
      </c>
      <c r="B28" s="13" t="s">
        <v>2</v>
      </c>
      <c r="C28" s="16" t="s">
        <v>13</v>
      </c>
      <c r="D28" s="12">
        <v>11110871.490211375</v>
      </c>
      <c r="E28" s="12">
        <v>10667856.25164539</v>
      </c>
      <c r="F28" s="12">
        <v>10690355.925221331</v>
      </c>
      <c r="G28" s="12">
        <v>10690355.925221331</v>
      </c>
      <c r="H28" s="12">
        <v>11563887.154333066</v>
      </c>
      <c r="I28" s="12">
        <v>11660549.976468008</v>
      </c>
      <c r="J28" s="12">
        <v>10667856.25164539</v>
      </c>
      <c r="K28" s="12">
        <v>10690355.925221331</v>
      </c>
      <c r="L28" s="12">
        <v>10690355.925221331</v>
      </c>
      <c r="M28" s="12">
        <v>11184019.509466957</v>
      </c>
      <c r="N28" s="12">
        <v>11587401.957212426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1:27" outlineLevel="1" x14ac:dyDescent="0.25">
      <c r="A29" s="70" t="str">
        <f t="shared" si="1"/>
        <v>Nøgletal.REFA-BraendselOmk</v>
      </c>
      <c r="B29" s="13" t="s">
        <v>2</v>
      </c>
      <c r="C29" s="16" t="s">
        <v>14</v>
      </c>
      <c r="D29" s="12">
        <v>8156416.8941700533</v>
      </c>
      <c r="E29" s="12">
        <v>6728949.8345012013</v>
      </c>
      <c r="F29" s="12">
        <v>6810254.2623421717</v>
      </c>
      <c r="G29" s="12">
        <v>6810254.2623421736</v>
      </c>
      <c r="H29" s="12">
        <v>9342526.1410619747</v>
      </c>
      <c r="I29" s="12">
        <v>9165520.081042992</v>
      </c>
      <c r="J29" s="12">
        <v>6728949.8345012013</v>
      </c>
      <c r="K29" s="12">
        <v>6810254.2623421727</v>
      </c>
      <c r="L29" s="12">
        <v>6810254.2623421727</v>
      </c>
      <c r="M29" s="12">
        <v>7338001.7607563408</v>
      </c>
      <c r="N29" s="12">
        <v>9983935.2144567035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1:27" outlineLevel="1" x14ac:dyDescent="0.25">
      <c r="A30" s="70" t="str">
        <f t="shared" si="1"/>
        <v>Nøgletal.REFA-Afgifter</v>
      </c>
      <c r="B30" s="13" t="s">
        <v>2</v>
      </c>
      <c r="C30" s="16" t="s">
        <v>15</v>
      </c>
      <c r="D30" s="12">
        <v>41564133.556720644</v>
      </c>
      <c r="E30" s="12">
        <v>42611967.000826597</v>
      </c>
      <c r="F30" s="12">
        <v>42455270.635217413</v>
      </c>
      <c r="G30" s="12">
        <v>42449859.941060208</v>
      </c>
      <c r="H30" s="12">
        <v>40746677.915686585</v>
      </c>
      <c r="I30" s="12">
        <v>41094223.425630182</v>
      </c>
      <c r="J30" s="12">
        <v>42611967.000826597</v>
      </c>
      <c r="K30" s="12">
        <v>42452598.842059836</v>
      </c>
      <c r="L30" s="12">
        <v>42452598.842059836</v>
      </c>
      <c r="M30" s="12">
        <v>41262905.241015643</v>
      </c>
      <c r="N30" s="12">
        <v>40477028.410194963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1:27" outlineLevel="1" x14ac:dyDescent="0.25">
      <c r="A31" s="70" t="str">
        <f t="shared" si="1"/>
        <v>Nøgletal.REFA-CO2-Kvoteomk</v>
      </c>
      <c r="B31" s="13" t="s">
        <v>2</v>
      </c>
      <c r="C31" s="16" t="s">
        <v>16</v>
      </c>
      <c r="D31" s="12">
        <v>14968519.681582196</v>
      </c>
      <c r="E31" s="12">
        <v>14612343.801422527</v>
      </c>
      <c r="F31" s="12">
        <v>14612343.801422525</v>
      </c>
      <c r="G31" s="12">
        <v>14612343.801422525</v>
      </c>
      <c r="H31" s="12">
        <v>14612343.801422527</v>
      </c>
      <c r="I31" s="12">
        <v>14612343.801422525</v>
      </c>
      <c r="J31" s="12">
        <v>32877773.553200681</v>
      </c>
      <c r="K31" s="12">
        <v>32877773.553200681</v>
      </c>
      <c r="L31" s="12">
        <v>32877773.553200681</v>
      </c>
      <c r="M31" s="12">
        <v>32877773.553200681</v>
      </c>
      <c r="N31" s="12">
        <v>32877773.553200681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outlineLevel="1" x14ac:dyDescent="0.25">
      <c r="A32" s="70" t="str">
        <f t="shared" si="1"/>
        <v>Nøgletal.REFA-Lageromkostning</v>
      </c>
      <c r="B32" s="13" t="s">
        <v>2</v>
      </c>
      <c r="C32" s="16" t="s">
        <v>17</v>
      </c>
      <c r="D32" s="12">
        <v>1.1999999999999997E-13</v>
      </c>
      <c r="E32" s="12">
        <v>1.1999999999999997E-13</v>
      </c>
      <c r="F32" s="12">
        <v>1.1999999999999997E-13</v>
      </c>
      <c r="G32" s="12">
        <v>1.1999999999999997E-13</v>
      </c>
      <c r="H32" s="12">
        <v>1.1999999999999997E-13</v>
      </c>
      <c r="I32" s="12">
        <v>1.1999999999999997E-13</v>
      </c>
      <c r="J32" s="12">
        <v>1.1999999999999997E-13</v>
      </c>
      <c r="K32" s="12">
        <v>1.1999999999999997E-13</v>
      </c>
      <c r="L32" s="12">
        <v>1.1999999999999997E-13</v>
      </c>
      <c r="M32" s="12">
        <v>1.1999999999999997E-13</v>
      </c>
      <c r="N32" s="12">
        <v>1.1999999999999997E-13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1:27" outlineLevel="1" x14ac:dyDescent="0.25">
      <c r="A33" s="71" t="str">
        <f t="shared" si="1"/>
        <v>Nøgletal.REFA-CO2-Emission-Afgift</v>
      </c>
      <c r="B33" s="8" t="s">
        <v>18</v>
      </c>
      <c r="C33" s="14" t="s">
        <v>19</v>
      </c>
      <c r="D33" s="17">
        <v>36530.859503556312</v>
      </c>
      <c r="E33" s="17">
        <v>36530.859503556312</v>
      </c>
      <c r="F33" s="17">
        <v>36530.859503556319</v>
      </c>
      <c r="G33" s="17">
        <v>36530.859503556312</v>
      </c>
      <c r="H33" s="17">
        <v>36530.859503556312</v>
      </c>
      <c r="I33" s="17">
        <v>36530.859503556312</v>
      </c>
      <c r="J33" s="17">
        <v>36530.859503556312</v>
      </c>
      <c r="K33" s="17">
        <v>36530.859503556319</v>
      </c>
      <c r="L33" s="17">
        <v>36530.859503556319</v>
      </c>
      <c r="M33" s="17">
        <v>36530.859503556312</v>
      </c>
      <c r="N33" s="17">
        <v>36530.859503556312</v>
      </c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1:27" outlineLevel="1" x14ac:dyDescent="0.25">
      <c r="A34" s="71" t="str">
        <f t="shared" si="1"/>
        <v>Nøgletal.REFA-CO2-Emission-Kvote</v>
      </c>
      <c r="B34" s="8" t="s">
        <v>18</v>
      </c>
      <c r="C34" s="14" t="s">
        <v>20</v>
      </c>
      <c r="D34" s="17">
        <v>36530.859503556312</v>
      </c>
      <c r="E34" s="17">
        <v>36530.859503556312</v>
      </c>
      <c r="F34" s="17">
        <v>36530.859503556319</v>
      </c>
      <c r="G34" s="17">
        <v>36530.859503556312</v>
      </c>
      <c r="H34" s="17">
        <v>36530.859503556312</v>
      </c>
      <c r="I34" s="17">
        <v>36530.859503556312</v>
      </c>
      <c r="J34" s="17">
        <v>36530.859503556312</v>
      </c>
      <c r="K34" s="17">
        <v>36530.859503556319</v>
      </c>
      <c r="L34" s="17">
        <v>36530.859503556319</v>
      </c>
      <c r="M34" s="17">
        <v>36530.859503556312</v>
      </c>
      <c r="N34" s="17">
        <v>36530.859503556312</v>
      </c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1:27" outlineLevel="1" x14ac:dyDescent="0.25">
      <c r="A35" s="71" t="str">
        <f t="shared" si="1"/>
        <v>Nøgletal.REFA-El-produktion-Brutto</v>
      </c>
      <c r="B35" s="8" t="s">
        <v>21</v>
      </c>
      <c r="C35" s="14" t="s">
        <v>22</v>
      </c>
      <c r="D35" s="17">
        <v>42219.454013338989</v>
      </c>
      <c r="E35" s="17">
        <v>39462.944461702595</v>
      </c>
      <c r="F35" s="17">
        <v>39818.797319912606</v>
      </c>
      <c r="G35" s="17">
        <v>39818.797319912606</v>
      </c>
      <c r="H35" s="17">
        <v>44207.240810344578</v>
      </c>
      <c r="I35" s="17">
        <v>44984.894629927134</v>
      </c>
      <c r="J35" s="17">
        <v>39462.944461702595</v>
      </c>
      <c r="K35" s="17">
        <v>39818.797319912606</v>
      </c>
      <c r="L35" s="17">
        <v>39818.797319912606</v>
      </c>
      <c r="M35" s="17">
        <v>42219.454013338989</v>
      </c>
      <c r="N35" s="17">
        <v>44984.894629927134</v>
      </c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1:27" outlineLevel="1" x14ac:dyDescent="0.25">
      <c r="A36" s="71" t="str">
        <f t="shared" si="1"/>
        <v>Nøgletal.REFA-El-produktion-Netto</v>
      </c>
      <c r="B36" s="8" t="s">
        <v>21</v>
      </c>
      <c r="C36" s="14" t="s">
        <v>23</v>
      </c>
      <c r="D36" s="17">
        <v>35258.248457783433</v>
      </c>
      <c r="E36" s="17">
        <v>32501.738906147046</v>
      </c>
      <c r="F36" s="17">
        <v>32857.59176435705</v>
      </c>
      <c r="G36" s="17">
        <v>32857.59176435705</v>
      </c>
      <c r="H36" s="17">
        <v>37246.035254789022</v>
      </c>
      <c r="I36" s="17">
        <v>38023.68907437157</v>
      </c>
      <c r="J36" s="17">
        <v>32501.738906147046</v>
      </c>
      <c r="K36" s="17">
        <v>32857.59176435705</v>
      </c>
      <c r="L36" s="17">
        <v>32857.59176435705</v>
      </c>
      <c r="M36" s="17">
        <v>35258.248457783433</v>
      </c>
      <c r="N36" s="17">
        <v>38023.68907437157</v>
      </c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1:27" outlineLevel="1" x14ac:dyDescent="0.25">
      <c r="A37" s="72" t="str">
        <f t="shared" si="1"/>
        <v>Nøgletal.REFA-Total-Affald-Raadighed</v>
      </c>
      <c r="B37" s="8" t="s">
        <v>18</v>
      </c>
      <c r="C37" s="15" t="s">
        <v>24</v>
      </c>
      <c r="D37" s="7">
        <v>658732</v>
      </c>
      <c r="E37" s="7">
        <v>658732</v>
      </c>
      <c r="F37" s="7">
        <v>658732</v>
      </c>
      <c r="G37" s="7">
        <v>658732</v>
      </c>
      <c r="H37" s="7">
        <v>658732</v>
      </c>
      <c r="I37" s="7">
        <v>658732</v>
      </c>
      <c r="J37" s="7">
        <v>658732</v>
      </c>
      <c r="K37" s="7">
        <v>658732</v>
      </c>
      <c r="L37" s="7">
        <v>658732</v>
      </c>
      <c r="M37" s="7">
        <v>658732</v>
      </c>
      <c r="N37" s="7">
        <v>658732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71" t="str">
        <f t="shared" si="1"/>
        <v>Nøgletal.REFA-Affald-anvendt</v>
      </c>
      <c r="B38" s="8" t="s">
        <v>18</v>
      </c>
      <c r="C38" s="16" t="s">
        <v>25</v>
      </c>
      <c r="D38" s="7">
        <v>102399.47077665094</v>
      </c>
      <c r="E38" s="7">
        <v>98436.092807520792</v>
      </c>
      <c r="F38" s="7">
        <v>99054.967343538199</v>
      </c>
      <c r="G38" s="7">
        <v>99054.967343538214</v>
      </c>
      <c r="H38" s="7">
        <v>106188.1236370328</v>
      </c>
      <c r="I38" s="7">
        <v>108261.65253502419</v>
      </c>
      <c r="J38" s="7">
        <v>98436.092807520792</v>
      </c>
      <c r="K38" s="7">
        <v>99054.967343538214</v>
      </c>
      <c r="L38" s="7">
        <v>99054.967343538214</v>
      </c>
      <c r="M38" s="7">
        <v>103721.23434797658</v>
      </c>
      <c r="N38" s="7">
        <v>106939.88896369854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71" t="str">
        <f t="shared" si="1"/>
        <v>Nøgletal.REFA-Affald-Uudnyttet</v>
      </c>
      <c r="B39" s="8" t="s">
        <v>18</v>
      </c>
      <c r="C39" s="16" t="s">
        <v>26</v>
      </c>
      <c r="D39" s="7">
        <v>295.99965514584073</v>
      </c>
      <c r="E39" s="7">
        <v>295.99965514584085</v>
      </c>
      <c r="F39" s="7">
        <v>295.99965514584085</v>
      </c>
      <c r="G39" s="7">
        <v>295.99965514584085</v>
      </c>
      <c r="H39" s="7">
        <v>295.99965514584073</v>
      </c>
      <c r="I39" s="7">
        <v>295.99965514584085</v>
      </c>
      <c r="J39" s="7">
        <v>295.99965514584073</v>
      </c>
      <c r="K39" s="7">
        <v>295.99965514584073</v>
      </c>
      <c r="L39" s="7">
        <v>295.99965514584073</v>
      </c>
      <c r="M39" s="7">
        <v>295.99965514584073</v>
      </c>
      <c r="N39" s="7">
        <v>295.99965514584073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71" t="str">
        <f t="shared" si="1"/>
        <v>Nøgletal.REFA-Affald-Lagret</v>
      </c>
      <c r="B40" s="8" t="s">
        <v>18</v>
      </c>
      <c r="C40" s="16" t="s">
        <v>27</v>
      </c>
      <c r="D40" s="7">
        <v>1.1999999999999997E-13</v>
      </c>
      <c r="E40" s="7">
        <v>1.1999999999999997E-13</v>
      </c>
      <c r="F40" s="7">
        <v>1.1999999999999997E-13</v>
      </c>
      <c r="G40" s="7">
        <v>1.1999999999999997E-13</v>
      </c>
      <c r="H40" s="7">
        <v>1.1999999999999997E-13</v>
      </c>
      <c r="I40" s="7">
        <v>1.1999999999999997E-13</v>
      </c>
      <c r="J40" s="7">
        <v>1.1999999999999997E-13</v>
      </c>
      <c r="K40" s="7">
        <v>1.1999999999999997E-13</v>
      </c>
      <c r="L40" s="7">
        <v>1.1999999999999997E-13</v>
      </c>
      <c r="M40" s="7">
        <v>1.1999999999999997E-13</v>
      </c>
      <c r="N40" s="7">
        <v>1.1999999999999997E-13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72" t="str">
        <f t="shared" si="1"/>
        <v>Nøgletal.REFA-Total-Varme-Produktion</v>
      </c>
      <c r="B41" s="8" t="s">
        <v>4</v>
      </c>
      <c r="C41" s="15" t="s">
        <v>28</v>
      </c>
      <c r="D41" s="7">
        <v>252561.0535140569</v>
      </c>
      <c r="E41" s="7">
        <v>245552.46076422284</v>
      </c>
      <c r="F41" s="7">
        <v>245552.46076422284</v>
      </c>
      <c r="G41" s="7">
        <v>245552.46076422284</v>
      </c>
      <c r="H41" s="7">
        <v>259805.4320631439</v>
      </c>
      <c r="I41" s="7">
        <v>260349.81061223094</v>
      </c>
      <c r="J41" s="7">
        <v>245552.46076422284</v>
      </c>
      <c r="K41" s="7">
        <v>245552.46076422284</v>
      </c>
      <c r="L41" s="7">
        <v>245552.46076422284</v>
      </c>
      <c r="M41" s="7">
        <v>252561.05351405687</v>
      </c>
      <c r="N41" s="7">
        <v>260349.81061223094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71" t="str">
        <f t="shared" si="1"/>
        <v>Nøgletal.REFA-Leveret-Varme</v>
      </c>
      <c r="B42" s="8" t="s">
        <v>4</v>
      </c>
      <c r="C42" s="16" t="s">
        <v>80</v>
      </c>
      <c r="D42" s="7">
        <v>230400</v>
      </c>
      <c r="E42" s="7">
        <v>230400</v>
      </c>
      <c r="F42" s="7">
        <v>230400</v>
      </c>
      <c r="G42" s="7">
        <v>230400</v>
      </c>
      <c r="H42" s="7">
        <v>230400</v>
      </c>
      <c r="I42" s="7">
        <v>230400</v>
      </c>
      <c r="J42" s="7">
        <v>230400</v>
      </c>
      <c r="K42" s="7">
        <v>230400</v>
      </c>
      <c r="L42" s="7">
        <v>230400</v>
      </c>
      <c r="M42" s="7">
        <v>230400</v>
      </c>
      <c r="N42" s="7">
        <v>230400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outlineLevel="1" x14ac:dyDescent="0.25">
      <c r="A43" s="71" t="str">
        <f t="shared" si="1"/>
        <v>Nøgletal.REFA-Modtryk-Varme</v>
      </c>
      <c r="B43" s="8" t="s">
        <v>4</v>
      </c>
      <c r="C43" s="16" t="s">
        <v>29</v>
      </c>
      <c r="D43" s="7">
        <v>198077.52076349538</v>
      </c>
      <c r="E43" s="7">
        <v>189772.0420415182</v>
      </c>
      <c r="F43" s="7">
        <v>191068.92801366135</v>
      </c>
      <c r="G43" s="7">
        <v>191068.92801366135</v>
      </c>
      <c r="H43" s="7">
        <v>206216.01695964125</v>
      </c>
      <c r="I43" s="7">
        <v>211155.84077082141</v>
      </c>
      <c r="J43" s="7">
        <v>189772.0420415182</v>
      </c>
      <c r="K43" s="7">
        <v>191068.92801366135</v>
      </c>
      <c r="L43" s="7">
        <v>191068.92801366135</v>
      </c>
      <c r="M43" s="7">
        <v>201641.14221440835</v>
      </c>
      <c r="N43" s="7">
        <v>207592.21931990844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outlineLevel="1" x14ac:dyDescent="0.25">
      <c r="A44" s="71" t="str">
        <f t="shared" si="1"/>
        <v>Nøgletal.REFA-Bypass-Varme</v>
      </c>
      <c r="B44" s="8" t="s">
        <v>4</v>
      </c>
      <c r="C44" s="16" t="s">
        <v>30</v>
      </c>
      <c r="D44" s="7">
        <v>4568.5159207230936</v>
      </c>
      <c r="E44" s="7">
        <v>4568.5159207230936</v>
      </c>
      <c r="F44" s="7">
        <v>4568.5159207230936</v>
      </c>
      <c r="G44" s="7">
        <v>4568.5159207230936</v>
      </c>
      <c r="H44" s="7">
        <v>4568.5159207230936</v>
      </c>
      <c r="I44" s="7">
        <v>4568.5159207230936</v>
      </c>
      <c r="J44" s="7">
        <v>4568.5159207230936</v>
      </c>
      <c r="K44" s="7">
        <v>4568.5159207230936</v>
      </c>
      <c r="L44" s="7">
        <v>4568.5159207230936</v>
      </c>
      <c r="M44" s="7">
        <v>4568.5159207230936</v>
      </c>
      <c r="N44" s="7">
        <v>4568.5159207230936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outlineLevel="1" x14ac:dyDescent="0.25">
      <c r="A45" s="71" t="str">
        <f t="shared" si="1"/>
        <v>Nøgletal.REFA-RGK-Varme</v>
      </c>
      <c r="B45" s="8" t="s">
        <v>4</v>
      </c>
      <c r="C45" s="16" t="s">
        <v>31</v>
      </c>
      <c r="D45" s="7">
        <v>18931.774205638954</v>
      </c>
      <c r="E45" s="7">
        <v>19436.306361281378</v>
      </c>
      <c r="F45" s="7">
        <v>18931.774205638951</v>
      </c>
      <c r="G45" s="7">
        <v>18931.774205638951</v>
      </c>
      <c r="H45" s="7">
        <v>19637.656558580129</v>
      </c>
      <c r="I45" s="7">
        <v>20019.218103383893</v>
      </c>
      <c r="J45" s="7">
        <v>19436.306361281371</v>
      </c>
      <c r="K45" s="7">
        <v>18931.774205638951</v>
      </c>
      <c r="L45" s="7">
        <v>18931.774205638951</v>
      </c>
      <c r="M45" s="7">
        <v>21745.15956162287</v>
      </c>
      <c r="N45" s="7">
        <v>17205.832747399974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outlineLevel="1" x14ac:dyDescent="0.25">
      <c r="A46" s="71" t="str">
        <f t="shared" si="1"/>
        <v>Nøgletal.REFA-Bortkoelet-Varme</v>
      </c>
      <c r="B46" s="8" t="s">
        <v>4</v>
      </c>
      <c r="C46" s="16" t="s">
        <v>32</v>
      </c>
      <c r="D46" s="7">
        <v>22161.053514056875</v>
      </c>
      <c r="E46" s="7">
        <v>15152.460764222833</v>
      </c>
      <c r="F46" s="7">
        <v>15152.460764222833</v>
      </c>
      <c r="G46" s="7">
        <v>15152.460764222833</v>
      </c>
      <c r="H46" s="7">
        <v>29405.432063143908</v>
      </c>
      <c r="I46" s="7">
        <v>29949.810612230947</v>
      </c>
      <c r="J46" s="7">
        <v>15152.460764222833</v>
      </c>
      <c r="K46" s="7">
        <v>15152.460764222833</v>
      </c>
      <c r="L46" s="7">
        <v>15152.460764222833</v>
      </c>
      <c r="M46" s="7">
        <v>22161.053514056868</v>
      </c>
      <c r="N46" s="7">
        <v>29949.810612230947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outlineLevel="1" x14ac:dyDescent="0.25">
      <c r="A47" s="72" t="str">
        <f t="shared" si="1"/>
        <v>Nøgletal.GSF-Total-Var-Omkostning</v>
      </c>
      <c r="B47" s="13" t="s">
        <v>2</v>
      </c>
      <c r="C47" s="22" t="s">
        <v>33</v>
      </c>
      <c r="D47" s="12">
        <v>1814400</v>
      </c>
      <c r="E47" s="12">
        <v>1814400</v>
      </c>
      <c r="F47" s="12">
        <v>1814400</v>
      </c>
      <c r="G47" s="12">
        <v>1814400</v>
      </c>
      <c r="H47" s="12">
        <v>1814400</v>
      </c>
      <c r="I47" s="12">
        <v>1814400</v>
      </c>
      <c r="J47" s="12">
        <v>1814400</v>
      </c>
      <c r="K47" s="12">
        <v>1814400</v>
      </c>
      <c r="L47" s="12">
        <v>1814400</v>
      </c>
      <c r="M47" s="12">
        <v>1814400</v>
      </c>
      <c r="N47" s="12">
        <v>1814400</v>
      </c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69" t="str">
        <f t="shared" si="1"/>
        <v>Nøgletal.GSF-AnlaegsVarOmk</v>
      </c>
      <c r="B48" s="13" t="s">
        <v>2</v>
      </c>
      <c r="C48" s="35" t="s">
        <v>34</v>
      </c>
      <c r="D48" s="12">
        <v>1.1999999999999997E-13</v>
      </c>
      <c r="E48" s="12">
        <v>1.1999999999999997E-13</v>
      </c>
      <c r="F48" s="12">
        <v>1.1999999999999997E-13</v>
      </c>
      <c r="G48" s="12">
        <v>1.1999999999999997E-13</v>
      </c>
      <c r="H48" s="12">
        <v>1.1999999999999997E-13</v>
      </c>
      <c r="I48" s="12">
        <v>1.1999999999999997E-13</v>
      </c>
      <c r="J48" s="12">
        <v>1.1999999999999997E-13</v>
      </c>
      <c r="K48" s="12">
        <v>1.1999999999999997E-13</v>
      </c>
      <c r="L48" s="12">
        <v>1.1999999999999997E-13</v>
      </c>
      <c r="M48" s="12">
        <v>1.1999999999999997E-13</v>
      </c>
      <c r="N48" s="12">
        <v>1.1999999999999997E-13</v>
      </c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8" outlineLevel="1" x14ac:dyDescent="0.25">
      <c r="A49" s="70" t="str">
        <f t="shared" si="1"/>
        <v>Nøgletal.GSF-BraendselOmk</v>
      </c>
      <c r="B49" s="13" t="s">
        <v>2</v>
      </c>
      <c r="C49" s="18" t="s">
        <v>35</v>
      </c>
      <c r="D49" s="12">
        <v>1814400</v>
      </c>
      <c r="E49" s="12">
        <v>1814400</v>
      </c>
      <c r="F49" s="12">
        <v>1814400</v>
      </c>
      <c r="G49" s="12">
        <v>1814400</v>
      </c>
      <c r="H49" s="12">
        <v>1814400</v>
      </c>
      <c r="I49" s="12">
        <v>1814400</v>
      </c>
      <c r="J49" s="12">
        <v>1814400</v>
      </c>
      <c r="K49" s="12">
        <v>1814400</v>
      </c>
      <c r="L49" s="12">
        <v>1814400</v>
      </c>
      <c r="M49" s="12">
        <v>1814400</v>
      </c>
      <c r="N49" s="12">
        <v>1814400</v>
      </c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8" outlineLevel="1" x14ac:dyDescent="0.25">
      <c r="A50" s="70" t="str">
        <f t="shared" si="1"/>
        <v>Nøgletal.GSF-Afgifter</v>
      </c>
      <c r="B50" s="13" t="s">
        <v>2</v>
      </c>
      <c r="C50" s="18" t="s">
        <v>36</v>
      </c>
      <c r="D50" s="12">
        <v>1.1999999999999997E-13</v>
      </c>
      <c r="E50" s="12">
        <v>1.1999999999999997E-13</v>
      </c>
      <c r="F50" s="12">
        <v>1.1999999999999997E-13</v>
      </c>
      <c r="G50" s="12">
        <v>1.1999999999999997E-13</v>
      </c>
      <c r="H50" s="12">
        <v>1.1999999999999997E-13</v>
      </c>
      <c r="I50" s="12">
        <v>1.1999999999999997E-13</v>
      </c>
      <c r="J50" s="12">
        <v>1.1999999999999997E-13</v>
      </c>
      <c r="K50" s="12">
        <v>1.1999999999999997E-13</v>
      </c>
      <c r="L50" s="12">
        <v>1.1999999999999997E-13</v>
      </c>
      <c r="M50" s="12">
        <v>1.1999999999999997E-13</v>
      </c>
      <c r="N50" s="12">
        <v>1.1999999999999997E-13</v>
      </c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8" outlineLevel="1" x14ac:dyDescent="0.25">
      <c r="A51" s="71" t="str">
        <f t="shared" si="1"/>
        <v>Nøgletal.GSF-CO2-Emission</v>
      </c>
      <c r="B51" s="8" t="s">
        <v>18</v>
      </c>
      <c r="C51" s="18" t="s">
        <v>37</v>
      </c>
      <c r="D51" s="12">
        <v>1.1999999999999997E-13</v>
      </c>
      <c r="E51" s="12">
        <v>1.1999999999999997E-13</v>
      </c>
      <c r="F51" s="12">
        <v>1.1999999999999997E-13</v>
      </c>
      <c r="G51" s="12">
        <v>1.1999999999999997E-13</v>
      </c>
      <c r="H51" s="12">
        <v>1.1999999999999997E-13</v>
      </c>
      <c r="I51" s="12">
        <v>1.1999999999999997E-13</v>
      </c>
      <c r="J51" s="12">
        <v>1.1999999999999997E-13</v>
      </c>
      <c r="K51" s="12">
        <v>1.1999999999999997E-13</v>
      </c>
      <c r="L51" s="12">
        <v>1.1999999999999997E-13</v>
      </c>
      <c r="M51" s="12">
        <v>1.1999999999999997E-13</v>
      </c>
      <c r="N51" s="12">
        <v>1.1999999999999997E-13</v>
      </c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8" outlineLevel="1" x14ac:dyDescent="0.25">
      <c r="A52" s="71" t="str">
        <f t="shared" si="1"/>
        <v>Nøgletal.GSF-Total-Varme-Produktion</v>
      </c>
      <c r="B52" s="8" t="s">
        <v>4</v>
      </c>
      <c r="C52" s="19" t="s">
        <v>38</v>
      </c>
      <c r="D52" s="17">
        <v>1.1999999999999997E-13</v>
      </c>
      <c r="E52" s="17">
        <v>1.1999999999999997E-13</v>
      </c>
      <c r="F52" s="17">
        <v>1.1999999999999997E-13</v>
      </c>
      <c r="G52" s="17">
        <v>1.1999999999999997E-13</v>
      </c>
      <c r="H52" s="17">
        <v>1.1999999999999997E-13</v>
      </c>
      <c r="I52" s="17">
        <v>1.1999999999999997E-13</v>
      </c>
      <c r="J52" s="17">
        <v>1.1999999999999997E-13</v>
      </c>
      <c r="K52" s="17">
        <v>1.1999999999999997E-13</v>
      </c>
      <c r="L52" s="17">
        <v>1.1999999999999997E-13</v>
      </c>
      <c r="M52" s="17">
        <v>1.1999999999999997E-13</v>
      </c>
      <c r="N52" s="17">
        <v>1.1999999999999997E-13</v>
      </c>
      <c r="O52" s="17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8" outlineLevel="1" x14ac:dyDescent="0.25">
      <c r="A53" s="71" t="str">
        <f t="shared" si="1"/>
        <v>Nøgletal.NS-Total-Varme-Produktion</v>
      </c>
      <c r="B53" s="8" t="s">
        <v>4</v>
      </c>
      <c r="C53" s="36" t="s">
        <v>79</v>
      </c>
      <c r="D53" s="17">
        <v>9600</v>
      </c>
      <c r="E53" s="17">
        <v>9600</v>
      </c>
      <c r="F53" s="17">
        <v>9600</v>
      </c>
      <c r="G53" s="17">
        <v>9600</v>
      </c>
      <c r="H53" s="17">
        <v>9600</v>
      </c>
      <c r="I53" s="17">
        <v>9600</v>
      </c>
      <c r="J53" s="17">
        <v>9600</v>
      </c>
      <c r="K53" s="17">
        <v>9600</v>
      </c>
      <c r="L53" s="17">
        <v>9600</v>
      </c>
      <c r="M53" s="17">
        <v>9600</v>
      </c>
      <c r="N53" s="17">
        <v>9600</v>
      </c>
      <c r="O53" s="17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8" s="45" customFormat="1" outlineLevel="1" x14ac:dyDescent="0.25">
      <c r="A54" s="73" t="str">
        <f t="shared" si="1"/>
        <v>Nøgletal.Virtuel-Varme-Kilde</v>
      </c>
      <c r="B54" s="44" t="s">
        <v>4</v>
      </c>
      <c r="C54" s="48" t="s">
        <v>81</v>
      </c>
      <c r="D54" s="43">
        <v>1.1999999999999997E-13</v>
      </c>
      <c r="E54" s="43">
        <v>1.1999999999999997E-13</v>
      </c>
      <c r="F54" s="43">
        <v>1.1999999999999997E-13</v>
      </c>
      <c r="G54" s="43">
        <v>1.1999999999999997E-13</v>
      </c>
      <c r="H54" s="43">
        <v>1.1999999999999997E-13</v>
      </c>
      <c r="I54" s="43">
        <v>1.1999999999999997E-13</v>
      </c>
      <c r="J54" s="43">
        <v>1.1999999999999997E-13</v>
      </c>
      <c r="K54" s="43">
        <v>1.1999999999999997E-13</v>
      </c>
      <c r="L54" s="43">
        <v>1.1999999999999997E-13</v>
      </c>
      <c r="M54" s="43">
        <v>1.1999999999999997E-13</v>
      </c>
      <c r="N54" s="43">
        <v>1.1999999999999997E-13</v>
      </c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8" outlineLevel="1" x14ac:dyDescent="0.25">
      <c r="A55" s="71" t="str">
        <f t="shared" si="1"/>
        <v>Nøgletal.Virtuel-Varme-Draen</v>
      </c>
      <c r="B55" s="8" t="s">
        <v>4</v>
      </c>
      <c r="C55" s="49" t="s">
        <v>88</v>
      </c>
      <c r="D55" s="17">
        <v>1.1999999999999997E-13</v>
      </c>
      <c r="E55" s="17">
        <v>1.1999999999999997E-13</v>
      </c>
      <c r="F55" s="17">
        <v>1.1999999999999997E-13</v>
      </c>
      <c r="G55" s="17">
        <v>1.1999999999999997E-13</v>
      </c>
      <c r="H55" s="17">
        <v>1.1999999999999997E-13</v>
      </c>
      <c r="I55" s="17">
        <v>1.1999999999999997E-13</v>
      </c>
      <c r="J55" s="17">
        <v>1.1999999999999997E-13</v>
      </c>
      <c r="K55" s="17">
        <v>1.1999999999999997E-13</v>
      </c>
      <c r="L55" s="17">
        <v>1.1999999999999997E-13</v>
      </c>
      <c r="M55" s="17">
        <v>1.1999999999999997E-13</v>
      </c>
      <c r="N55" s="17">
        <v>1.1999999999999997E-13</v>
      </c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1:28" outlineLevel="1" x14ac:dyDescent="0.25">
      <c r="A56" s="71" t="str">
        <f t="shared" si="1"/>
        <v>Nøgletal.Virtuel-Affaldstonnage-Kilde</v>
      </c>
      <c r="B56" s="8" t="s">
        <v>18</v>
      </c>
      <c r="C56" s="49" t="s">
        <v>82</v>
      </c>
      <c r="D56" s="17">
        <v>1.1999999999999997E-13</v>
      </c>
      <c r="E56" s="17">
        <v>1.1999999999999997E-13</v>
      </c>
      <c r="F56" s="17">
        <v>1.1999999999999997E-13</v>
      </c>
      <c r="G56" s="17">
        <v>1.1999999999999997E-13</v>
      </c>
      <c r="H56" s="17">
        <v>1.1999999999999997E-13</v>
      </c>
      <c r="I56" s="17">
        <v>1.1999999999999997E-13</v>
      </c>
      <c r="J56" s="17">
        <v>1.1999999999999997E-13</v>
      </c>
      <c r="K56" s="17">
        <v>1.1999999999999997E-13</v>
      </c>
      <c r="L56" s="17">
        <v>1.1999999999999997E-13</v>
      </c>
      <c r="M56" s="17">
        <v>1.1999999999999997E-13</v>
      </c>
      <c r="N56" s="17">
        <v>1.1999999999999997E-13</v>
      </c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1:28" outlineLevel="1" x14ac:dyDescent="0.25">
      <c r="A57" s="71" t="str">
        <f t="shared" si="1"/>
        <v>Nøgletal.Virtuel-Affaldstonnage-Draen</v>
      </c>
      <c r="B57" s="8" t="s">
        <v>18</v>
      </c>
      <c r="C57" s="49" t="s">
        <v>89</v>
      </c>
      <c r="D57" s="17">
        <v>1.1999999999999997E-13</v>
      </c>
      <c r="E57" s="17">
        <v>1.1999999999999997E-13</v>
      </c>
      <c r="F57" s="17">
        <v>1.1999999999999997E-13</v>
      </c>
      <c r="G57" s="17">
        <v>1.1999999999999997E-13</v>
      </c>
      <c r="H57" s="17">
        <v>1.1999999999999997E-13</v>
      </c>
      <c r="I57" s="17">
        <v>1.1999999999999997E-13</v>
      </c>
      <c r="J57" s="17">
        <v>1.1999999999999997E-13</v>
      </c>
      <c r="K57" s="17">
        <v>1.1999999999999997E-13</v>
      </c>
      <c r="L57" s="17">
        <v>1.1999999999999997E-13</v>
      </c>
      <c r="M57" s="17">
        <v>1.1999999999999997E-13</v>
      </c>
      <c r="N57" s="17">
        <v>1.1999999999999997E-13</v>
      </c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1:28" s="6" customFormat="1" ht="18.75" x14ac:dyDescent="0.3">
      <c r="A58" s="65" t="str">
        <f t="shared" si="1"/>
        <v/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21" customFormat="1" ht="18.75" x14ac:dyDescent="0.3">
      <c r="A59" s="66"/>
      <c r="B59" s="34" t="s">
        <v>3</v>
      </c>
      <c r="C59" s="34" t="s">
        <v>39</v>
      </c>
      <c r="D59" s="33" t="s">
        <v>77</v>
      </c>
      <c r="E59" s="33" t="s">
        <v>78</v>
      </c>
      <c r="F59" s="33" t="s">
        <v>95</v>
      </c>
      <c r="G59" s="33" t="s">
        <v>96</v>
      </c>
      <c r="H59" s="33" t="s">
        <v>97</v>
      </c>
      <c r="I59" s="33" t="s">
        <v>98</v>
      </c>
      <c r="J59" s="33" t="s">
        <v>99</v>
      </c>
      <c r="K59" s="33" t="s">
        <v>100</v>
      </c>
      <c r="L59" s="33" t="s">
        <v>101</v>
      </c>
      <c r="M59" s="33" t="s">
        <v>102</v>
      </c>
      <c r="N59" s="33" t="s">
        <v>103</v>
      </c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</row>
    <row r="60" spans="1:28" outlineLevel="1" x14ac:dyDescent="0.25">
      <c r="A60" s="70" t="str">
        <f>IF(NOT(ISBLANK(C60)),$C$59&amp;"."&amp;C60,"")</f>
        <v>Varmemængder.Ovn2</v>
      </c>
      <c r="B60" s="8" t="s">
        <v>4</v>
      </c>
      <c r="C60" s="24" t="s">
        <v>40</v>
      </c>
      <c r="D60" s="23">
        <v>48210.549251352524</v>
      </c>
      <c r="E60" s="23">
        <v>48345.091159523829</v>
      </c>
      <c r="F60" s="23">
        <v>48210.549251352524</v>
      </c>
      <c r="G60" s="23">
        <v>48210.549251352524</v>
      </c>
      <c r="H60" s="23">
        <v>49292.902192529</v>
      </c>
      <c r="I60" s="23">
        <v>52064.155741664144</v>
      </c>
      <c r="J60" s="23">
        <v>48345.091159523829</v>
      </c>
      <c r="K60" s="23">
        <v>48210.549251352524</v>
      </c>
      <c r="L60" s="23">
        <v>48210.549251352524</v>
      </c>
      <c r="M60" s="23">
        <v>52524.406797194533</v>
      </c>
      <c r="N60" s="23">
        <v>47750.298195822135</v>
      </c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</row>
    <row r="61" spans="1:28" outlineLevel="1" x14ac:dyDescent="0.25">
      <c r="A61" s="70" t="str">
        <f t="shared" ref="A61:A66" si="2">IF(NOT(ISBLANK(C61)),$C$59&amp;"."&amp;C61,"")</f>
        <v>Varmemængder.Ovn3</v>
      </c>
      <c r="B61" s="8" t="s">
        <v>4</v>
      </c>
      <c r="C61" s="24" t="s">
        <v>41</v>
      </c>
      <c r="D61" s="23">
        <v>173367.26163850492</v>
      </c>
      <c r="E61" s="23">
        <v>165431.77316399885</v>
      </c>
      <c r="F61" s="23">
        <v>166358.66888867089</v>
      </c>
      <c r="G61" s="23">
        <v>166358.66888867089</v>
      </c>
      <c r="H61" s="23">
        <v>181129.28724641548</v>
      </c>
      <c r="I61" s="23">
        <v>183679.41905326425</v>
      </c>
      <c r="J61" s="23">
        <v>165431.77316399885</v>
      </c>
      <c r="K61" s="23">
        <v>166358.66888867089</v>
      </c>
      <c r="L61" s="23">
        <v>166358.66888867089</v>
      </c>
      <c r="M61" s="23">
        <v>175430.41089955979</v>
      </c>
      <c r="N61" s="23">
        <v>181616.26979220938</v>
      </c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</row>
    <row r="62" spans="1:28" outlineLevel="1" x14ac:dyDescent="0.25">
      <c r="A62" s="71" t="str">
        <f t="shared" si="2"/>
        <v>Varmemængder.FlisK</v>
      </c>
      <c r="B62" s="8" t="s">
        <v>4</v>
      </c>
      <c r="C62" s="24" t="s">
        <v>42</v>
      </c>
      <c r="D62" s="23">
        <v>30983.242624199418</v>
      </c>
      <c r="E62" s="23">
        <v>31775.596440700123</v>
      </c>
      <c r="F62" s="23">
        <v>30983.242624199418</v>
      </c>
      <c r="G62" s="23">
        <v>30983.242624199418</v>
      </c>
      <c r="H62" s="23">
        <v>29383.242624199418</v>
      </c>
      <c r="I62" s="23">
        <v>24606.235817302535</v>
      </c>
      <c r="J62" s="23">
        <v>31775.596440700123</v>
      </c>
      <c r="K62" s="23">
        <v>30983.242624199418</v>
      </c>
      <c r="L62" s="23">
        <v>30983.242624199418</v>
      </c>
      <c r="M62" s="23">
        <v>24606.235817302535</v>
      </c>
      <c r="N62" s="23">
        <v>30983.242624199418</v>
      </c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</row>
    <row r="63" spans="1:28" outlineLevel="1" x14ac:dyDescent="0.25">
      <c r="A63" s="71" t="str">
        <f t="shared" si="2"/>
        <v>Varmemængder.NS</v>
      </c>
      <c r="B63" s="8" t="s">
        <v>4</v>
      </c>
      <c r="C63" s="24" t="s">
        <v>43</v>
      </c>
      <c r="D63" s="51">
        <v>9600</v>
      </c>
      <c r="E63" s="23">
        <v>9600</v>
      </c>
      <c r="F63" s="23">
        <v>9600</v>
      </c>
      <c r="G63" s="23">
        <v>9600</v>
      </c>
      <c r="H63" s="23">
        <v>9600</v>
      </c>
      <c r="I63" s="23">
        <v>9600</v>
      </c>
      <c r="J63" s="23">
        <v>9600</v>
      </c>
      <c r="K63" s="23">
        <v>9600</v>
      </c>
      <c r="L63" s="23">
        <v>9600</v>
      </c>
      <c r="M63" s="23">
        <v>9600</v>
      </c>
      <c r="N63" s="23">
        <v>9600</v>
      </c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</row>
    <row r="64" spans="1:28" outlineLevel="1" x14ac:dyDescent="0.25">
      <c r="A64" s="71" t="str">
        <f t="shared" si="2"/>
        <v>Varmemængder.Cooler</v>
      </c>
      <c r="B64" s="8" t="s">
        <v>4</v>
      </c>
      <c r="C64" s="24" t="s">
        <v>44</v>
      </c>
      <c r="D64" s="23">
        <v>-22161.053514056875</v>
      </c>
      <c r="E64" s="23">
        <v>-15152.460764222833</v>
      </c>
      <c r="F64" s="23">
        <v>-15152.460764222833</v>
      </c>
      <c r="G64" s="23">
        <v>-15152.460764222833</v>
      </c>
      <c r="H64" s="23">
        <v>-29405.432063143908</v>
      </c>
      <c r="I64" s="23">
        <v>-29949.810612230947</v>
      </c>
      <c r="J64" s="23">
        <v>-15152.460764222833</v>
      </c>
      <c r="K64" s="23">
        <v>-15152.460764222833</v>
      </c>
      <c r="L64" s="23">
        <v>-15152.460764222833</v>
      </c>
      <c r="M64" s="23">
        <v>-22161.053514056868</v>
      </c>
      <c r="N64" s="23">
        <v>-29949.810612230947</v>
      </c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</row>
    <row r="65" spans="1:27" outlineLevel="1" x14ac:dyDescent="0.25">
      <c r="A65" s="71" t="str">
        <f t="shared" si="2"/>
        <v>Varmemængder.PeakK</v>
      </c>
      <c r="B65" s="8" t="s">
        <v>4</v>
      </c>
      <c r="C65" s="24" t="s">
        <v>45</v>
      </c>
      <c r="D65" s="23">
        <v>1.1999999999999997E-13</v>
      </c>
      <c r="E65" s="23">
        <v>1.1999999999999997E-13</v>
      </c>
      <c r="F65" s="23">
        <v>1.1999999999999997E-13</v>
      </c>
      <c r="G65" s="23">
        <v>1.1999999999999997E-13</v>
      </c>
      <c r="H65" s="23">
        <v>1.1999999999999997E-13</v>
      </c>
      <c r="I65" s="23">
        <v>1.1999999999999997E-13</v>
      </c>
      <c r="J65" s="23">
        <v>1.1999999999999997E-13</v>
      </c>
      <c r="K65" s="23">
        <v>1.1999999999999997E-13</v>
      </c>
      <c r="L65" s="23">
        <v>1.1999999999999997E-13</v>
      </c>
      <c r="M65" s="23">
        <v>1.1999999999999997E-13</v>
      </c>
      <c r="N65" s="23">
        <v>1.1999999999999997E-13</v>
      </c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</row>
    <row r="66" spans="1:27" outlineLevel="1" x14ac:dyDescent="0.25">
      <c r="A66" s="74" t="str">
        <f t="shared" si="2"/>
        <v/>
      </c>
      <c r="B66" s="26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</row>
    <row r="67" spans="1:27" s="21" customFormat="1" ht="18.75" x14ac:dyDescent="0.3">
      <c r="A67" s="66"/>
      <c r="B67" s="34" t="s">
        <v>3</v>
      </c>
      <c r="C67" s="34" t="s">
        <v>46</v>
      </c>
      <c r="D67" s="33" t="s">
        <v>77</v>
      </c>
      <c r="E67" s="33" t="s">
        <v>78</v>
      </c>
      <c r="F67" s="33" t="s">
        <v>95</v>
      </c>
      <c r="G67" s="33" t="s">
        <v>96</v>
      </c>
      <c r="H67" s="33" t="s">
        <v>97</v>
      </c>
      <c r="I67" s="33" t="s">
        <v>98</v>
      </c>
      <c r="J67" s="33" t="s">
        <v>99</v>
      </c>
      <c r="K67" s="33" t="s">
        <v>100</v>
      </c>
      <c r="L67" s="33" t="s">
        <v>101</v>
      </c>
      <c r="M67" s="33" t="s">
        <v>102</v>
      </c>
      <c r="N67" s="33" t="s">
        <v>103</v>
      </c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:27" outlineLevel="1" x14ac:dyDescent="0.25">
      <c r="A68" s="70" t="str">
        <f>IF(NOT(ISBLANK(C68)),$C$67&amp;"."&amp;C68,"")</f>
        <v>Brændselsforbrug.DepoSort</v>
      </c>
      <c r="B68" s="29" t="s">
        <v>18</v>
      </c>
      <c r="C68" s="30" t="s">
        <v>47</v>
      </c>
      <c r="D68" s="52">
        <v>9093.0083352500005</v>
      </c>
      <c r="E68" s="52">
        <v>9093.0083352500005</v>
      </c>
      <c r="F68" s="52">
        <v>9093.0083352500005</v>
      </c>
      <c r="G68" s="52">
        <v>9093.0083352500005</v>
      </c>
      <c r="H68" s="52">
        <v>9093.0083352500005</v>
      </c>
      <c r="I68" s="52">
        <v>9093.0083352500005</v>
      </c>
      <c r="J68" s="52">
        <v>9093.0083352500005</v>
      </c>
      <c r="K68" s="52">
        <v>9093.0083352500005</v>
      </c>
      <c r="L68" s="52">
        <v>9093.0083352500005</v>
      </c>
      <c r="M68" s="52">
        <v>9093.0083352500005</v>
      </c>
      <c r="N68" s="52">
        <v>9093.0083352500005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outlineLevel="1" x14ac:dyDescent="0.25">
      <c r="A69" s="75" t="str">
        <f t="shared" ref="A69:A98" si="3">IF(NOT(ISBLANK(C69)),$C$67&amp;"."&amp;C69,"")</f>
        <v>Brændselsforbrug.DepoSmaat</v>
      </c>
      <c r="B69" s="29" t="s">
        <v>18</v>
      </c>
      <c r="C69" s="30" t="s">
        <v>48</v>
      </c>
      <c r="D69" s="52">
        <v>-1.1999999999999997E-13</v>
      </c>
      <c r="E69" s="52">
        <v>-1.1999999999999997E-13</v>
      </c>
      <c r="F69" s="52">
        <v>-1.1999999999999997E-13</v>
      </c>
      <c r="G69" s="52">
        <v>-1.1999999999999997E-13</v>
      </c>
      <c r="H69" s="52">
        <v>-1.1999999999999997E-13</v>
      </c>
      <c r="I69" s="52">
        <v>-1.1999999999999997E-13</v>
      </c>
      <c r="J69" s="52">
        <v>-1.1999999999999997E-13</v>
      </c>
      <c r="K69" s="52">
        <v>-1.1999999999999997E-13</v>
      </c>
      <c r="L69" s="52">
        <v>-1.1999999999999997E-13</v>
      </c>
      <c r="M69" s="52">
        <v>-1.1999999999999997E-13</v>
      </c>
      <c r="N69" s="52">
        <v>-1.1999999999999997E-13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outlineLevel="1" x14ac:dyDescent="0.25">
      <c r="A70" s="75" t="str">
        <f t="shared" si="3"/>
        <v>Brændselsforbrug.DepoNedd</v>
      </c>
      <c r="B70" s="29" t="s">
        <v>18</v>
      </c>
      <c r="C70" s="30" t="s">
        <v>49</v>
      </c>
      <c r="D70" s="52">
        <v>-1.1999999999999997E-13</v>
      </c>
      <c r="E70" s="52">
        <v>-1.1999999999999997E-13</v>
      </c>
      <c r="F70" s="52">
        <v>-1.1999999999999997E-13</v>
      </c>
      <c r="G70" s="52">
        <v>-1.1999999999999997E-13</v>
      </c>
      <c r="H70" s="52">
        <v>-1.1999999999999997E-13</v>
      </c>
      <c r="I70" s="52">
        <v>-1.1999999999999997E-13</v>
      </c>
      <c r="J70" s="52">
        <v>-1.1999999999999997E-13</v>
      </c>
      <c r="K70" s="52">
        <v>-1.1999999999999997E-13</v>
      </c>
      <c r="L70" s="52">
        <v>-1.1999999999999997E-13</v>
      </c>
      <c r="M70" s="52">
        <v>-1.1999999999999997E-13</v>
      </c>
      <c r="N70" s="52">
        <v>-1.1999999999999997E-13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outlineLevel="1" x14ac:dyDescent="0.25">
      <c r="A71" s="75" t="str">
        <f t="shared" si="3"/>
        <v>Brændselsforbrug.Dagren</v>
      </c>
      <c r="B71" s="29" t="s">
        <v>18</v>
      </c>
      <c r="C71" s="30" t="s">
        <v>50</v>
      </c>
      <c r="D71" s="52">
        <v>28869.026463250008</v>
      </c>
      <c r="E71" s="52">
        <v>28869.026463250008</v>
      </c>
      <c r="F71" s="52">
        <v>28869.026463250008</v>
      </c>
      <c r="G71" s="52">
        <v>28869.026463250008</v>
      </c>
      <c r="H71" s="52">
        <v>28869.026463250008</v>
      </c>
      <c r="I71" s="52">
        <v>28869.026463250008</v>
      </c>
      <c r="J71" s="52">
        <v>28869.026463250008</v>
      </c>
      <c r="K71" s="52">
        <v>28869.026463250008</v>
      </c>
      <c r="L71" s="52">
        <v>28869.026463250008</v>
      </c>
      <c r="M71" s="52">
        <v>28869.026463250008</v>
      </c>
      <c r="N71" s="52">
        <v>28869.026463250008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outlineLevel="1" x14ac:dyDescent="0.25">
      <c r="A72" s="75" t="str">
        <f t="shared" si="3"/>
        <v>Brændselsforbrug.AndetBrand</v>
      </c>
      <c r="B72" s="29" t="s">
        <v>18</v>
      </c>
      <c r="C72" s="30" t="s">
        <v>51</v>
      </c>
      <c r="D72" s="52">
        <v>3500.0032083333331</v>
      </c>
      <c r="E72" s="52">
        <v>3500.0032083333331</v>
      </c>
      <c r="F72" s="52">
        <v>3500.0032083333331</v>
      </c>
      <c r="G72" s="52">
        <v>3500.0032083333331</v>
      </c>
      <c r="H72" s="52">
        <v>3500.0032083333331</v>
      </c>
      <c r="I72" s="52">
        <v>3500.0032083333331</v>
      </c>
      <c r="J72" s="52">
        <v>3500.0032083333331</v>
      </c>
      <c r="K72" s="52">
        <v>3500.0032083333331</v>
      </c>
      <c r="L72" s="52">
        <v>3500.0032083333331</v>
      </c>
      <c r="M72" s="52">
        <v>3500.0032083333331</v>
      </c>
      <c r="N72" s="52">
        <v>3500.0032083333331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outlineLevel="1" x14ac:dyDescent="0.25">
      <c r="A73" s="75" t="str">
        <f t="shared" si="3"/>
        <v>Brændselsforbrug.Trae</v>
      </c>
      <c r="B73" s="29" t="s">
        <v>18</v>
      </c>
      <c r="C73" s="30" t="s">
        <v>52</v>
      </c>
      <c r="D73" s="52">
        <v>-1.1999999999999997E-13</v>
      </c>
      <c r="E73" s="52">
        <v>-1.1999999999999997E-13</v>
      </c>
      <c r="F73" s="52">
        <v>-1.1999999999999997E-13</v>
      </c>
      <c r="G73" s="52">
        <v>-1.1999999999999997E-13</v>
      </c>
      <c r="H73" s="52">
        <v>-1.1999999999999997E-13</v>
      </c>
      <c r="I73" s="52">
        <v>-1.1999999999999997E-13</v>
      </c>
      <c r="J73" s="52">
        <v>-1.1999999999999997E-13</v>
      </c>
      <c r="K73" s="52">
        <v>-1.1999999999999997E-13</v>
      </c>
      <c r="L73" s="52">
        <v>-1.1999999999999997E-13</v>
      </c>
      <c r="M73" s="52">
        <v>-1.1999999999999997E-13</v>
      </c>
      <c r="N73" s="52">
        <v>-1.1999999999999997E-13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outlineLevel="1" x14ac:dyDescent="0.25">
      <c r="A74" s="75" t="str">
        <f t="shared" si="3"/>
        <v>Brændselsforbrug.DagrenRast</v>
      </c>
      <c r="B74" s="29" t="s">
        <v>18</v>
      </c>
      <c r="C74" s="30" t="s">
        <v>53</v>
      </c>
      <c r="D74" s="52">
        <v>-1.1999999999999997E-13</v>
      </c>
      <c r="E74" s="52">
        <v>-1.1999999999999997E-13</v>
      </c>
      <c r="F74" s="52">
        <v>-1.1999999999999997E-13</v>
      </c>
      <c r="G74" s="52">
        <v>-1.1999999999999997E-13</v>
      </c>
      <c r="H74" s="52">
        <v>-1.1999999999999997E-13</v>
      </c>
      <c r="I74" s="52">
        <v>-1.1999999999999997E-13</v>
      </c>
      <c r="J74" s="52">
        <v>-1.1999999999999997E-13</v>
      </c>
      <c r="K74" s="52">
        <v>-1.1999999999999997E-13</v>
      </c>
      <c r="L74" s="52">
        <v>-1.1999999999999997E-13</v>
      </c>
      <c r="M74" s="52">
        <v>-1.1999999999999997E-13</v>
      </c>
      <c r="N74" s="52">
        <v>-1.1999999999999997E-13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outlineLevel="1" x14ac:dyDescent="0.25">
      <c r="A75" s="75" t="str">
        <f t="shared" si="3"/>
        <v>Brændselsforbrug.DagrenInst</v>
      </c>
      <c r="B75" s="29" t="s">
        <v>18</v>
      </c>
      <c r="C75" s="30" t="s">
        <v>54</v>
      </c>
      <c r="D75" s="52">
        <v>7800.0071499999995</v>
      </c>
      <c r="E75" s="52">
        <v>7800.0071499999995</v>
      </c>
      <c r="F75" s="52">
        <v>7800.0071499999995</v>
      </c>
      <c r="G75" s="52">
        <v>7800.0071499999995</v>
      </c>
      <c r="H75" s="52">
        <v>7800.0071499999995</v>
      </c>
      <c r="I75" s="52">
        <v>7800.0071499999995</v>
      </c>
      <c r="J75" s="52">
        <v>7800.0071499999995</v>
      </c>
      <c r="K75" s="52">
        <v>7800.0071499999995</v>
      </c>
      <c r="L75" s="52">
        <v>7800.0071499999995</v>
      </c>
      <c r="M75" s="52">
        <v>7800.0071499999995</v>
      </c>
      <c r="N75" s="52">
        <v>7800.0071499999995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outlineLevel="1" x14ac:dyDescent="0.25">
      <c r="A76" s="75" t="str">
        <f t="shared" si="3"/>
        <v>Brændselsforbrug.DagrenHandel</v>
      </c>
      <c r="B76" s="29" t="s">
        <v>18</v>
      </c>
      <c r="C76" s="30" t="s">
        <v>55</v>
      </c>
      <c r="D76" s="52">
        <v>-1.1999999999999997E-13</v>
      </c>
      <c r="E76" s="52">
        <v>-1.1999999999999997E-13</v>
      </c>
      <c r="F76" s="52">
        <v>-1.1999999999999997E-13</v>
      </c>
      <c r="G76" s="52">
        <v>-1.1999999999999997E-13</v>
      </c>
      <c r="H76" s="52">
        <v>-1.1999999999999997E-13</v>
      </c>
      <c r="I76" s="52">
        <v>-1.1999999999999997E-13</v>
      </c>
      <c r="J76" s="52">
        <v>-1.1999999999999997E-13</v>
      </c>
      <c r="K76" s="52">
        <v>-1.1999999999999997E-13</v>
      </c>
      <c r="L76" s="52">
        <v>-1.1999999999999997E-13</v>
      </c>
      <c r="M76" s="52">
        <v>-1.1999999999999997E-13</v>
      </c>
      <c r="N76" s="52">
        <v>-1.1999999999999997E-13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outlineLevel="1" x14ac:dyDescent="0.25">
      <c r="A77" s="75" t="str">
        <f t="shared" si="3"/>
        <v>Brændselsforbrug.DagrenRestau</v>
      </c>
      <c r="B77" s="29" t="s">
        <v>18</v>
      </c>
      <c r="C77" s="30" t="s">
        <v>56</v>
      </c>
      <c r="D77" s="52">
        <v>-1.1999999999999997E-13</v>
      </c>
      <c r="E77" s="52">
        <v>-1.1999999999999997E-13</v>
      </c>
      <c r="F77" s="52">
        <v>-1.1999999999999997E-13</v>
      </c>
      <c r="G77" s="52">
        <v>-1.1999999999999997E-13</v>
      </c>
      <c r="H77" s="52">
        <v>-1.1999999999999997E-13</v>
      </c>
      <c r="I77" s="52">
        <v>-1.1999999999999997E-13</v>
      </c>
      <c r="J77" s="52">
        <v>-1.1999999999999997E-13</v>
      </c>
      <c r="K77" s="52">
        <v>-1.1999999999999997E-13</v>
      </c>
      <c r="L77" s="52">
        <v>-1.1999999999999997E-13</v>
      </c>
      <c r="M77" s="52">
        <v>-1.1999999999999997E-13</v>
      </c>
      <c r="N77" s="52">
        <v>-1.1999999999999997E-13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outlineLevel="1" x14ac:dyDescent="0.25">
      <c r="A78" s="75" t="str">
        <f t="shared" si="3"/>
        <v>Brændselsforbrug.Erhverv</v>
      </c>
      <c r="B78" s="29" t="s">
        <v>18</v>
      </c>
      <c r="C78" s="30" t="s">
        <v>57</v>
      </c>
      <c r="D78" s="52">
        <v>5200.0047666666669</v>
      </c>
      <c r="E78" s="52">
        <v>5200.0047666666669</v>
      </c>
      <c r="F78" s="52">
        <v>5200.0047666666669</v>
      </c>
      <c r="G78" s="52">
        <v>5200.0047666666669</v>
      </c>
      <c r="H78" s="52">
        <v>5200.0047666666669</v>
      </c>
      <c r="I78" s="52">
        <v>5200.0047666666669</v>
      </c>
      <c r="J78" s="52">
        <v>5200.0047666666669</v>
      </c>
      <c r="K78" s="52">
        <v>5200.0047666666669</v>
      </c>
      <c r="L78" s="52">
        <v>5200.0047666666669</v>
      </c>
      <c r="M78" s="52">
        <v>5200.0047666666669</v>
      </c>
      <c r="N78" s="52">
        <v>5200.0047666666669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outlineLevel="1" x14ac:dyDescent="0.25">
      <c r="A79" s="75" t="str">
        <f t="shared" si="3"/>
        <v>Brændselsforbrug.DagrenErhverv</v>
      </c>
      <c r="B79" s="29" t="s">
        <v>18</v>
      </c>
      <c r="C79" s="30" t="s">
        <v>58</v>
      </c>
      <c r="D79" s="52">
        <v>458.33379166666651</v>
      </c>
      <c r="E79" s="52">
        <v>458.33379166666651</v>
      </c>
      <c r="F79" s="52">
        <v>458.33379166666651</v>
      </c>
      <c r="G79" s="52">
        <v>458.33379166666651</v>
      </c>
      <c r="H79" s="52">
        <v>458.33379166666651</v>
      </c>
      <c r="I79" s="52">
        <v>458.33379166666651</v>
      </c>
      <c r="J79" s="52">
        <v>458.33379166666651</v>
      </c>
      <c r="K79" s="52">
        <v>458.33379166666651</v>
      </c>
      <c r="L79" s="52">
        <v>458.33379166666651</v>
      </c>
      <c r="M79" s="52">
        <v>458.33379166666651</v>
      </c>
      <c r="N79" s="52">
        <v>458.33379166666651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outlineLevel="1" x14ac:dyDescent="0.25">
      <c r="A80" s="75" t="str">
        <f t="shared" si="3"/>
        <v>Brændselsforbrug.HandelKontor</v>
      </c>
      <c r="B80" s="29" t="s">
        <v>18</v>
      </c>
      <c r="C80" s="30" t="s">
        <v>59</v>
      </c>
      <c r="D80" s="52">
        <v>-1.1999999999999997E-13</v>
      </c>
      <c r="E80" s="52">
        <v>-1.1999999999999997E-13</v>
      </c>
      <c r="F80" s="52">
        <v>-1.1999999999999997E-13</v>
      </c>
      <c r="G80" s="52">
        <v>-1.1999999999999997E-13</v>
      </c>
      <c r="H80" s="52">
        <v>-1.1999999999999997E-13</v>
      </c>
      <c r="I80" s="52">
        <v>-1.1999999999999997E-13</v>
      </c>
      <c r="J80" s="52">
        <v>-1.1999999999999997E-13</v>
      </c>
      <c r="K80" s="52">
        <v>-1.1999999999999997E-13</v>
      </c>
      <c r="L80" s="52">
        <v>-1.1999999999999997E-13</v>
      </c>
      <c r="M80" s="52">
        <v>-1.1999999999999997E-13</v>
      </c>
      <c r="N80" s="52">
        <v>-1.1999999999999997E-13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outlineLevel="1" x14ac:dyDescent="0.25">
      <c r="A81" s="75" t="str">
        <f t="shared" si="3"/>
        <v>Brændselsforbrug.Privat</v>
      </c>
      <c r="B81" s="29" t="s">
        <v>18</v>
      </c>
      <c r="C81" s="30" t="s">
        <v>60</v>
      </c>
      <c r="D81" s="52">
        <v>-1.1999999999999997E-13</v>
      </c>
      <c r="E81" s="52">
        <v>-1.1999999999999997E-13</v>
      </c>
      <c r="F81" s="52">
        <v>-1.1999999999999997E-13</v>
      </c>
      <c r="G81" s="52">
        <v>-1.1999999999999997E-13</v>
      </c>
      <c r="H81" s="52">
        <v>-1.1999999999999997E-13</v>
      </c>
      <c r="I81" s="52">
        <v>-1.1999999999999997E-13</v>
      </c>
      <c r="J81" s="52">
        <v>-1.1999999999999997E-13</v>
      </c>
      <c r="K81" s="52">
        <v>-1.1999999999999997E-13</v>
      </c>
      <c r="L81" s="52">
        <v>-1.1999999999999997E-13</v>
      </c>
      <c r="M81" s="52">
        <v>-1.1999999999999997E-13</v>
      </c>
      <c r="N81" s="52">
        <v>-1.1999999999999997E-13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outlineLevel="1" x14ac:dyDescent="0.25">
      <c r="A82" s="75" t="str">
        <f t="shared" si="3"/>
        <v>Brændselsforbrug.TyskRest</v>
      </c>
      <c r="B82" s="29" t="s">
        <v>18</v>
      </c>
      <c r="C82" s="30" t="s">
        <v>61</v>
      </c>
      <c r="D82" s="52">
        <v>40000.039999999986</v>
      </c>
      <c r="E82" s="52">
        <v>40000.039999999986</v>
      </c>
      <c r="F82" s="52">
        <v>40000.039999999994</v>
      </c>
      <c r="G82" s="52">
        <v>40000.039999999994</v>
      </c>
      <c r="H82" s="52">
        <v>40000.039999999994</v>
      </c>
      <c r="I82" s="52">
        <v>40000.039999999994</v>
      </c>
      <c r="J82" s="52">
        <v>40000.039999999986</v>
      </c>
      <c r="K82" s="52">
        <v>40000.039999999994</v>
      </c>
      <c r="L82" s="52">
        <v>40000.039999999994</v>
      </c>
      <c r="M82" s="52">
        <v>40000.039999999994</v>
      </c>
      <c r="N82" s="52">
        <v>40000.039999999994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outlineLevel="1" x14ac:dyDescent="0.25">
      <c r="A83" s="75" t="str">
        <f t="shared" si="3"/>
        <v>Brændselsforbrug.PolskRest</v>
      </c>
      <c r="B83" s="29" t="s">
        <v>18</v>
      </c>
      <c r="C83" s="30" t="s">
        <v>62</v>
      </c>
      <c r="D83" s="52">
        <v>1880.6688448541586</v>
      </c>
      <c r="E83" s="52">
        <v>1880.6688448541584</v>
      </c>
      <c r="F83" s="52">
        <v>1880.6688448541584</v>
      </c>
      <c r="G83" s="52">
        <v>1880.6688448541584</v>
      </c>
      <c r="H83" s="52">
        <v>1880.6688448541586</v>
      </c>
      <c r="I83" s="52">
        <v>1880.6688448541584</v>
      </c>
      <c r="J83" s="52">
        <v>1880.6688448541586</v>
      </c>
      <c r="K83" s="52">
        <v>1880.6688448541586</v>
      </c>
      <c r="L83" s="52">
        <v>1880.6688448541586</v>
      </c>
      <c r="M83" s="52">
        <v>1880.6688448541586</v>
      </c>
      <c r="N83" s="52">
        <v>1880.6688448541586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outlineLevel="1" x14ac:dyDescent="0.25">
      <c r="A84" s="75" t="str">
        <f t="shared" si="3"/>
        <v>Brændselsforbrug.PcbTrae</v>
      </c>
      <c r="B84" s="29" t="s">
        <v>18</v>
      </c>
      <c r="C84" s="30" t="s">
        <v>63</v>
      </c>
      <c r="D84" s="52">
        <v>-1.1999999999999997E-13</v>
      </c>
      <c r="E84" s="52">
        <v>-1.1999999999999997E-13</v>
      </c>
      <c r="F84" s="52">
        <v>-1.1999999999999997E-13</v>
      </c>
      <c r="G84" s="52">
        <v>-1.1999999999999997E-13</v>
      </c>
      <c r="H84" s="52">
        <v>-1.1999999999999997E-13</v>
      </c>
      <c r="I84" s="52">
        <v>-1.1999999999999997E-13</v>
      </c>
      <c r="J84" s="52">
        <v>-1.1999999999999997E-13</v>
      </c>
      <c r="K84" s="52">
        <v>-1.1999999999999997E-13</v>
      </c>
      <c r="L84" s="52">
        <v>-1.1999999999999997E-13</v>
      </c>
      <c r="M84" s="52">
        <v>-1.1999999999999997E-13</v>
      </c>
      <c r="N84" s="52">
        <v>-1.1999999999999997E-13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outlineLevel="1" x14ac:dyDescent="0.25">
      <c r="A85" s="75" t="str">
        <f t="shared" si="3"/>
        <v>Brændselsforbrug.TraeRekv</v>
      </c>
      <c r="B85" s="29" t="s">
        <v>18</v>
      </c>
      <c r="C85" s="30" t="s">
        <v>64</v>
      </c>
      <c r="D85" s="52">
        <v>1375</v>
      </c>
      <c r="E85" s="52">
        <v>1375</v>
      </c>
      <c r="F85" s="52">
        <v>1375</v>
      </c>
      <c r="G85" s="52">
        <v>1375</v>
      </c>
      <c r="H85" s="52">
        <v>1375</v>
      </c>
      <c r="I85" s="52">
        <v>1375</v>
      </c>
      <c r="J85" s="52">
        <v>1375</v>
      </c>
      <c r="K85" s="52">
        <v>1375</v>
      </c>
      <c r="L85" s="52">
        <v>1375</v>
      </c>
      <c r="M85" s="52">
        <v>1375</v>
      </c>
      <c r="N85" s="52">
        <v>1375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outlineLevel="1" x14ac:dyDescent="0.25">
      <c r="A86" s="75" t="str">
        <f t="shared" si="3"/>
        <v>Brændselsforbrug.Halm</v>
      </c>
      <c r="B86" s="29" t="s">
        <v>18</v>
      </c>
      <c r="C86" s="30" t="s">
        <v>65</v>
      </c>
      <c r="D86" s="52">
        <v>-1.1999999999999997E-13</v>
      </c>
      <c r="E86" s="52">
        <v>-1.1999999999999997E-13</v>
      </c>
      <c r="F86" s="52">
        <v>-1.1999999999999997E-13</v>
      </c>
      <c r="G86" s="52">
        <v>-1.1999999999999997E-13</v>
      </c>
      <c r="H86" s="52">
        <v>-1.1999999999999997E-13</v>
      </c>
      <c r="I86" s="52">
        <v>-1.1999999999999997E-13</v>
      </c>
      <c r="J86" s="52">
        <v>-1.1999999999999997E-13</v>
      </c>
      <c r="K86" s="52">
        <v>-1.1999999999999997E-13</v>
      </c>
      <c r="L86" s="52">
        <v>-1.1999999999999997E-13</v>
      </c>
      <c r="M86" s="52">
        <v>-1.1999999999999997E-13</v>
      </c>
      <c r="N86" s="52">
        <v>-1.1999999999999997E-13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outlineLevel="1" x14ac:dyDescent="0.25">
      <c r="A87" s="75" t="str">
        <f t="shared" si="3"/>
        <v>Brændselsforbrug.Pulver</v>
      </c>
      <c r="B87" s="29" t="s">
        <v>18</v>
      </c>
      <c r="C87" s="30" t="s">
        <v>66</v>
      </c>
      <c r="D87" s="52">
        <v>110.00011000000002</v>
      </c>
      <c r="E87" s="52">
        <v>110.00011000000002</v>
      </c>
      <c r="F87" s="52">
        <v>110.00011000000002</v>
      </c>
      <c r="G87" s="52">
        <v>110.00011000000002</v>
      </c>
      <c r="H87" s="52">
        <v>110.00011000000002</v>
      </c>
      <c r="I87" s="52">
        <v>110.00011000000002</v>
      </c>
      <c r="J87" s="52">
        <v>110.00011000000002</v>
      </c>
      <c r="K87" s="52">
        <v>110.00011000000002</v>
      </c>
      <c r="L87" s="52">
        <v>110.00011000000002</v>
      </c>
      <c r="M87" s="52">
        <v>110.00011000000002</v>
      </c>
      <c r="N87" s="52">
        <v>110.00011000000002</v>
      </c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outlineLevel="1" x14ac:dyDescent="0.25">
      <c r="A88" s="75" t="str">
        <f t="shared" si="3"/>
        <v>Brændselsforbrug.FlisAffald</v>
      </c>
      <c r="B88" s="29" t="s">
        <v>18</v>
      </c>
      <c r="C88" s="30" t="s">
        <v>67</v>
      </c>
      <c r="D88" s="52">
        <v>150.00013749999997</v>
      </c>
      <c r="E88" s="52">
        <v>150.00013749999997</v>
      </c>
      <c r="F88" s="52">
        <v>150.00013749999997</v>
      </c>
      <c r="G88" s="52">
        <v>150.00013749999997</v>
      </c>
      <c r="H88" s="52">
        <v>150.00013749999997</v>
      </c>
      <c r="I88" s="52">
        <v>150.00013749999997</v>
      </c>
      <c r="J88" s="52">
        <v>150.00013749999997</v>
      </c>
      <c r="K88" s="52">
        <v>150.00013749999997</v>
      </c>
      <c r="L88" s="52">
        <v>150.00013749999997</v>
      </c>
      <c r="M88" s="52">
        <v>150.00013749999997</v>
      </c>
      <c r="N88" s="52">
        <v>150.00013749999997</v>
      </c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outlineLevel="1" x14ac:dyDescent="0.25">
      <c r="A89" s="75" t="str">
        <f t="shared" si="3"/>
        <v>Brændselsforbrug.NyAff1</v>
      </c>
      <c r="B89" s="29" t="s">
        <v>18</v>
      </c>
      <c r="C89" s="30" t="s">
        <v>68</v>
      </c>
      <c r="D89" s="52">
        <v>3963.3779691301447</v>
      </c>
      <c r="E89" s="52">
        <v>1.1999999999999997E-13</v>
      </c>
      <c r="F89" s="52">
        <v>618.87453601739549</v>
      </c>
      <c r="G89" s="52">
        <v>618.87453601739969</v>
      </c>
      <c r="H89" s="52">
        <v>7752.0308295119758</v>
      </c>
      <c r="I89" s="52">
        <v>9825.5597275033633</v>
      </c>
      <c r="J89" s="52">
        <v>1.1999999999999997E-13</v>
      </c>
      <c r="K89" s="52">
        <v>618.87453601739765</v>
      </c>
      <c r="L89" s="52">
        <v>618.87453601739765</v>
      </c>
      <c r="M89" s="52">
        <v>5285.1415404557802</v>
      </c>
      <c r="N89" s="52">
        <v>8503.7961561777265</v>
      </c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outlineLevel="1" x14ac:dyDescent="0.25">
      <c r="A90" s="75" t="str">
        <f t="shared" si="3"/>
        <v>Brændselsforbrug.NyAff2</v>
      </c>
      <c r="B90" s="29" t="s">
        <v>18</v>
      </c>
      <c r="C90" s="30" t="s">
        <v>69</v>
      </c>
      <c r="D90" s="52">
        <v>-1.1999999999999997E-13</v>
      </c>
      <c r="E90" s="52">
        <v>-1.1999999999999997E-13</v>
      </c>
      <c r="F90" s="52">
        <v>-1.1999999999999997E-13</v>
      </c>
      <c r="G90" s="52">
        <v>-1.1999999999999997E-13</v>
      </c>
      <c r="H90" s="52">
        <v>-1.1999999999999997E-13</v>
      </c>
      <c r="I90" s="52">
        <v>-1.1999999999999997E-13</v>
      </c>
      <c r="J90" s="52">
        <v>-1.1999999999999997E-13</v>
      </c>
      <c r="K90" s="52">
        <v>-1.1999999999999997E-13</v>
      </c>
      <c r="L90" s="52">
        <v>-1.1999999999999997E-13</v>
      </c>
      <c r="M90" s="52">
        <v>-1.1999999999999997E-13</v>
      </c>
      <c r="N90" s="52">
        <v>-1.1999999999999997E-13</v>
      </c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outlineLevel="1" x14ac:dyDescent="0.25">
      <c r="A91" s="75" t="str">
        <f t="shared" si="3"/>
        <v>Brændselsforbrug.NyAff3</v>
      </c>
      <c r="B91" s="29" t="s">
        <v>18</v>
      </c>
      <c r="C91" s="30" t="s">
        <v>70</v>
      </c>
      <c r="D91" s="52">
        <v>-1.1999999999999997E-13</v>
      </c>
      <c r="E91" s="52">
        <v>-1.1999999999999997E-13</v>
      </c>
      <c r="F91" s="52">
        <v>-1.1999999999999997E-13</v>
      </c>
      <c r="G91" s="52">
        <v>-1.1999999999999997E-13</v>
      </c>
      <c r="H91" s="52">
        <v>-1.1999999999999997E-13</v>
      </c>
      <c r="I91" s="52">
        <v>-1.1999999999999997E-13</v>
      </c>
      <c r="J91" s="52">
        <v>-1.1999999999999997E-13</v>
      </c>
      <c r="K91" s="52">
        <v>-1.1999999999999997E-13</v>
      </c>
      <c r="L91" s="52">
        <v>-1.1999999999999997E-13</v>
      </c>
      <c r="M91" s="52">
        <v>-1.1999999999999997E-13</v>
      </c>
      <c r="N91" s="52">
        <v>-1.1999999999999997E-13</v>
      </c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outlineLevel="1" x14ac:dyDescent="0.25">
      <c r="A92" s="75" t="str">
        <f t="shared" si="3"/>
        <v>Brændselsforbrug.NyAff4</v>
      </c>
      <c r="B92" s="29" t="s">
        <v>18</v>
      </c>
      <c r="C92" s="30" t="s">
        <v>71</v>
      </c>
      <c r="D92" s="52">
        <v>-1.1999999999999997E-13</v>
      </c>
      <c r="E92" s="52">
        <v>-1.1999999999999997E-13</v>
      </c>
      <c r="F92" s="52">
        <v>-1.1999999999999997E-13</v>
      </c>
      <c r="G92" s="52">
        <v>-1.1999999999999997E-13</v>
      </c>
      <c r="H92" s="52">
        <v>-1.1999999999999997E-13</v>
      </c>
      <c r="I92" s="52">
        <v>-1.1999999999999997E-13</v>
      </c>
      <c r="J92" s="52">
        <v>-1.1999999999999997E-13</v>
      </c>
      <c r="K92" s="52">
        <v>-1.1999999999999997E-13</v>
      </c>
      <c r="L92" s="52">
        <v>-1.1999999999999997E-13</v>
      </c>
      <c r="M92" s="52">
        <v>-1.1999999999999997E-13</v>
      </c>
      <c r="N92" s="52">
        <v>-1.1999999999999997E-13</v>
      </c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outlineLevel="1" x14ac:dyDescent="0.25">
      <c r="A93" s="75" t="str">
        <f t="shared" si="3"/>
        <v>Brændselsforbrug.NyAff5</v>
      </c>
      <c r="B93" s="29" t="s">
        <v>18</v>
      </c>
      <c r="C93" s="30" t="s">
        <v>72</v>
      </c>
      <c r="D93" s="52">
        <v>-1.1999999999999997E-13</v>
      </c>
      <c r="E93" s="52">
        <v>-1.1999999999999997E-13</v>
      </c>
      <c r="F93" s="52">
        <v>-1.1999999999999997E-13</v>
      </c>
      <c r="G93" s="52">
        <v>-1.1999999999999997E-13</v>
      </c>
      <c r="H93" s="52">
        <v>-1.1999999999999997E-13</v>
      </c>
      <c r="I93" s="52">
        <v>-1.1999999999999997E-13</v>
      </c>
      <c r="J93" s="52">
        <v>-1.1999999999999997E-13</v>
      </c>
      <c r="K93" s="52">
        <v>-1.1999999999999997E-13</v>
      </c>
      <c r="L93" s="52">
        <v>-1.1999999999999997E-13</v>
      </c>
      <c r="M93" s="52">
        <v>-1.1999999999999997E-13</v>
      </c>
      <c r="N93" s="52">
        <v>-1.1999999999999997E-13</v>
      </c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outlineLevel="1" x14ac:dyDescent="0.25">
      <c r="A94" s="75" t="str">
        <f t="shared" si="3"/>
        <v>Brændselsforbrug.Flis</v>
      </c>
      <c r="B94" s="29" t="s">
        <v>18</v>
      </c>
      <c r="C94" s="30" t="s">
        <v>73</v>
      </c>
      <c r="D94" s="52">
        <v>13959.909067223767</v>
      </c>
      <c r="E94" s="52">
        <v>14316.914541491917</v>
      </c>
      <c r="F94" s="52">
        <v>13959.909067223767</v>
      </c>
      <c r="G94" s="52">
        <v>13959.909067223767</v>
      </c>
      <c r="H94" s="52">
        <v>13239.007940815756</v>
      </c>
      <c r="I94" s="52">
        <v>11086.664448346573</v>
      </c>
      <c r="J94" s="52">
        <v>14316.914541491917</v>
      </c>
      <c r="K94" s="52">
        <v>13959.909067223767</v>
      </c>
      <c r="L94" s="52">
        <v>13959.909067223767</v>
      </c>
      <c r="M94" s="52">
        <v>11086.664448346573</v>
      </c>
      <c r="N94" s="52">
        <v>13959.909067223767</v>
      </c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outlineLevel="1" x14ac:dyDescent="0.25">
      <c r="A95" s="75" t="str">
        <f t="shared" si="3"/>
        <v>Brændselsforbrug.NSvarme</v>
      </c>
      <c r="B95" s="29" t="s">
        <v>18</v>
      </c>
      <c r="C95" s="30" t="s">
        <v>74</v>
      </c>
      <c r="D95" s="52">
        <v>9600</v>
      </c>
      <c r="E95" s="52">
        <v>9600</v>
      </c>
      <c r="F95" s="52">
        <v>9600</v>
      </c>
      <c r="G95" s="52">
        <v>9600</v>
      </c>
      <c r="H95" s="52">
        <v>9600</v>
      </c>
      <c r="I95" s="52">
        <v>9600</v>
      </c>
      <c r="J95" s="52">
        <v>9600</v>
      </c>
      <c r="K95" s="52">
        <v>9600</v>
      </c>
      <c r="L95" s="52">
        <v>9600</v>
      </c>
      <c r="M95" s="52">
        <v>9600</v>
      </c>
      <c r="N95" s="52">
        <v>9600</v>
      </c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outlineLevel="1" x14ac:dyDescent="0.25">
      <c r="A96" s="75" t="str">
        <f t="shared" si="3"/>
        <v>Brændselsforbrug.PeakFuel</v>
      </c>
      <c r="B96" s="29" t="s">
        <v>18</v>
      </c>
      <c r="C96" s="30" t="s">
        <v>75</v>
      </c>
      <c r="D96" s="52">
        <v>1.1999999999999997E-13</v>
      </c>
      <c r="E96" s="52">
        <v>1.1999999999999997E-13</v>
      </c>
      <c r="F96" s="52">
        <v>1.1999999999999997E-13</v>
      </c>
      <c r="G96" s="52">
        <v>1.1999999999999997E-13</v>
      </c>
      <c r="H96" s="52">
        <v>1.1999999999999997E-13</v>
      </c>
      <c r="I96" s="52">
        <v>1.1999999999999997E-13</v>
      </c>
      <c r="J96" s="52">
        <v>1.1999999999999997E-13</v>
      </c>
      <c r="K96" s="52">
        <v>1.1999999999999997E-13</v>
      </c>
      <c r="L96" s="52">
        <v>1.1999999999999997E-13</v>
      </c>
      <c r="M96" s="52">
        <v>1.1999999999999997E-13</v>
      </c>
      <c r="N96" s="52">
        <v>1.1999999999999997E-13</v>
      </c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outlineLevel="1" x14ac:dyDescent="0.25">
      <c r="A97" s="76" t="str">
        <f t="shared" si="3"/>
        <v/>
      </c>
      <c r="B97" s="29"/>
      <c r="C97" s="30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</row>
    <row r="98" spans="1:27" outlineLevel="1" x14ac:dyDescent="0.25">
      <c r="A98" s="71" t="str">
        <f t="shared" si="3"/>
        <v/>
      </c>
      <c r="B98" s="8"/>
      <c r="C98" s="31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</row>
    <row r="99" spans="1:27" s="21" customFormat="1" ht="18.75" x14ac:dyDescent="0.3">
      <c r="A99" s="66"/>
      <c r="B99" s="34" t="s">
        <v>3</v>
      </c>
      <c r="C99" s="34" t="s">
        <v>76</v>
      </c>
      <c r="D99" s="33" t="s">
        <v>77</v>
      </c>
      <c r="E99" s="33" t="s">
        <v>78</v>
      </c>
      <c r="F99" s="33" t="s">
        <v>95</v>
      </c>
      <c r="G99" s="33" t="s">
        <v>96</v>
      </c>
      <c r="H99" s="33" t="s">
        <v>97</v>
      </c>
      <c r="I99" s="33" t="s">
        <v>98</v>
      </c>
      <c r="J99" s="33" t="s">
        <v>99</v>
      </c>
      <c r="K99" s="33" t="s">
        <v>100</v>
      </c>
      <c r="L99" s="33" t="s">
        <v>101</v>
      </c>
      <c r="M99" s="33" t="s">
        <v>102</v>
      </c>
      <c r="N99" s="33" t="s">
        <v>103</v>
      </c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</row>
    <row r="100" spans="1:27" outlineLevel="1" x14ac:dyDescent="0.25">
      <c r="A100" s="70" t="str">
        <f>IF(NOT(ISBLANK(C100)),$C$99&amp;"."&amp;C100,"")</f>
        <v>Brændselsindkomst.DepoSort</v>
      </c>
      <c r="B100" s="57" t="s">
        <v>2</v>
      </c>
      <c r="C100" s="54" t="s">
        <v>47</v>
      </c>
      <c r="D100" s="53">
        <v>4773829.3760062484</v>
      </c>
      <c r="E100" s="53">
        <v>4773829.3760062484</v>
      </c>
      <c r="F100" s="53">
        <v>4773829.3760062484</v>
      </c>
      <c r="G100" s="53">
        <v>4773829.3760062484</v>
      </c>
      <c r="H100" s="53">
        <v>4773829.3760062484</v>
      </c>
      <c r="I100" s="53">
        <v>4773829.3760062484</v>
      </c>
      <c r="J100" s="53">
        <v>4773829.3760062484</v>
      </c>
      <c r="K100" s="53">
        <v>4773829.3760062484</v>
      </c>
      <c r="L100" s="53">
        <v>4773829.3760062484</v>
      </c>
      <c r="M100" s="53">
        <v>4773829.3760062484</v>
      </c>
      <c r="N100" s="53">
        <v>4773829.3760062484</v>
      </c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</row>
    <row r="101" spans="1:27" outlineLevel="1" x14ac:dyDescent="0.25">
      <c r="A101" s="75" t="str">
        <f t="shared" ref="A101:A134" si="4">IF(NOT(ISBLANK(C101)),$C$99&amp;"."&amp;C101,"")</f>
        <v>Brændselsindkomst.DepoSmaat</v>
      </c>
      <c r="B101" s="57" t="s">
        <v>2</v>
      </c>
      <c r="C101" s="54" t="s">
        <v>48</v>
      </c>
      <c r="D101" s="53">
        <v>-1.1999999999999997E-13</v>
      </c>
      <c r="E101" s="53">
        <v>-1.1999999999999997E-13</v>
      </c>
      <c r="F101" s="53">
        <v>-1.1999999999999997E-13</v>
      </c>
      <c r="G101" s="53">
        <v>-1.1999999999999997E-13</v>
      </c>
      <c r="H101" s="53">
        <v>-1.1999999999999997E-13</v>
      </c>
      <c r="I101" s="53">
        <v>-1.1999999999999997E-13</v>
      </c>
      <c r="J101" s="53">
        <v>-1.1999999999999997E-13</v>
      </c>
      <c r="K101" s="53">
        <v>-1.1999999999999997E-13</v>
      </c>
      <c r="L101" s="53">
        <v>-1.1999999999999997E-13</v>
      </c>
      <c r="M101" s="53">
        <v>-1.1999999999999997E-13</v>
      </c>
      <c r="N101" s="53">
        <v>-1.1999999999999997E-13</v>
      </c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</row>
    <row r="102" spans="1:27" outlineLevel="1" x14ac:dyDescent="0.25">
      <c r="A102" s="75" t="str">
        <f t="shared" si="4"/>
        <v>Brændselsindkomst.DepoNedd</v>
      </c>
      <c r="B102" s="57" t="s">
        <v>2</v>
      </c>
      <c r="C102" s="54" t="s">
        <v>49</v>
      </c>
      <c r="D102" s="53">
        <v>-1.1999999999999997E-13</v>
      </c>
      <c r="E102" s="53">
        <v>-1.1999999999999997E-13</v>
      </c>
      <c r="F102" s="53">
        <v>-1.1999999999999997E-13</v>
      </c>
      <c r="G102" s="53">
        <v>-1.1999999999999997E-13</v>
      </c>
      <c r="H102" s="53">
        <v>-1.1999999999999997E-13</v>
      </c>
      <c r="I102" s="53">
        <v>-1.1999999999999997E-13</v>
      </c>
      <c r="J102" s="53">
        <v>-1.1999999999999997E-13</v>
      </c>
      <c r="K102" s="53">
        <v>-1.1999999999999997E-13</v>
      </c>
      <c r="L102" s="53">
        <v>-1.1999999999999997E-13</v>
      </c>
      <c r="M102" s="53">
        <v>-1.1999999999999997E-13</v>
      </c>
      <c r="N102" s="53">
        <v>-1.1999999999999997E-13</v>
      </c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</row>
    <row r="103" spans="1:27" outlineLevel="1" x14ac:dyDescent="0.25">
      <c r="A103" s="75" t="str">
        <f t="shared" si="4"/>
        <v>Brændselsindkomst.Dagren</v>
      </c>
      <c r="B103" s="57" t="s">
        <v>2</v>
      </c>
      <c r="C103" s="54" t="s">
        <v>50</v>
      </c>
      <c r="D103" s="53">
        <v>15156238.893206248</v>
      </c>
      <c r="E103" s="53">
        <v>15156238.893206248</v>
      </c>
      <c r="F103" s="53">
        <v>15156238.893206248</v>
      </c>
      <c r="G103" s="53">
        <v>15156238.893206248</v>
      </c>
      <c r="H103" s="53">
        <v>15156238.893206248</v>
      </c>
      <c r="I103" s="53">
        <v>15156238.893206248</v>
      </c>
      <c r="J103" s="53">
        <v>15156238.893206248</v>
      </c>
      <c r="K103" s="53">
        <v>15156238.893206248</v>
      </c>
      <c r="L103" s="53">
        <v>15156238.893206248</v>
      </c>
      <c r="M103" s="53">
        <v>15156238.893206248</v>
      </c>
      <c r="N103" s="53">
        <v>15156238.893206248</v>
      </c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</row>
    <row r="104" spans="1:27" outlineLevel="1" x14ac:dyDescent="0.25">
      <c r="A104" s="75" t="str">
        <f t="shared" si="4"/>
        <v>Brændselsindkomst.AndetBrand</v>
      </c>
      <c r="B104" s="57" t="s">
        <v>2</v>
      </c>
      <c r="C104" s="54" t="s">
        <v>51</v>
      </c>
      <c r="D104" s="53">
        <v>1837501.6843749997</v>
      </c>
      <c r="E104" s="53">
        <v>1837501.6843749997</v>
      </c>
      <c r="F104" s="53">
        <v>1837501.6843749997</v>
      </c>
      <c r="G104" s="53">
        <v>1837501.6843749997</v>
      </c>
      <c r="H104" s="53">
        <v>1837501.6843749997</v>
      </c>
      <c r="I104" s="53">
        <v>1837501.6843749997</v>
      </c>
      <c r="J104" s="53">
        <v>1837501.6843749997</v>
      </c>
      <c r="K104" s="53">
        <v>1837501.6843749997</v>
      </c>
      <c r="L104" s="53">
        <v>1837501.6843749997</v>
      </c>
      <c r="M104" s="53">
        <v>1837501.6843749997</v>
      </c>
      <c r="N104" s="53">
        <v>1837501.6843749997</v>
      </c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</row>
    <row r="105" spans="1:27" outlineLevel="1" x14ac:dyDescent="0.25">
      <c r="A105" s="75" t="str">
        <f t="shared" si="4"/>
        <v>Brændselsindkomst.Trae</v>
      </c>
      <c r="B105" s="57" t="s">
        <v>2</v>
      </c>
      <c r="C105" s="54" t="s">
        <v>52</v>
      </c>
      <c r="D105" s="53">
        <v>-1.1999999999999997E-13</v>
      </c>
      <c r="E105" s="53">
        <v>-1.1999999999999997E-13</v>
      </c>
      <c r="F105" s="53">
        <v>-1.1999999999999997E-13</v>
      </c>
      <c r="G105" s="53">
        <v>-1.1999999999999997E-13</v>
      </c>
      <c r="H105" s="53">
        <v>-1.1999999999999997E-13</v>
      </c>
      <c r="I105" s="53">
        <v>-1.1999999999999997E-13</v>
      </c>
      <c r="J105" s="53">
        <v>-1.1999999999999997E-13</v>
      </c>
      <c r="K105" s="53">
        <v>-1.1999999999999997E-13</v>
      </c>
      <c r="L105" s="53">
        <v>-1.1999999999999997E-13</v>
      </c>
      <c r="M105" s="53">
        <v>-1.1999999999999997E-13</v>
      </c>
      <c r="N105" s="53">
        <v>-1.1999999999999997E-13</v>
      </c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</row>
    <row r="106" spans="1:27" outlineLevel="1" x14ac:dyDescent="0.25">
      <c r="A106" s="75" t="str">
        <f t="shared" si="4"/>
        <v>Brændselsindkomst.DagrenRast</v>
      </c>
      <c r="B106" s="57" t="s">
        <v>2</v>
      </c>
      <c r="C106" s="54" t="s">
        <v>53</v>
      </c>
      <c r="D106" s="53">
        <v>-1.1999999999999997E-13</v>
      </c>
      <c r="E106" s="53">
        <v>-1.1999999999999997E-13</v>
      </c>
      <c r="F106" s="53">
        <v>-1.1999999999999997E-13</v>
      </c>
      <c r="G106" s="53">
        <v>-1.1999999999999997E-13</v>
      </c>
      <c r="H106" s="53">
        <v>-1.1999999999999997E-13</v>
      </c>
      <c r="I106" s="53">
        <v>-1.1999999999999997E-13</v>
      </c>
      <c r="J106" s="53">
        <v>-1.1999999999999997E-13</v>
      </c>
      <c r="K106" s="53">
        <v>-1.1999999999999997E-13</v>
      </c>
      <c r="L106" s="53">
        <v>-1.1999999999999997E-13</v>
      </c>
      <c r="M106" s="53">
        <v>-1.1999999999999997E-13</v>
      </c>
      <c r="N106" s="53">
        <v>-1.1999999999999997E-13</v>
      </c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</row>
    <row r="107" spans="1:27" outlineLevel="1" x14ac:dyDescent="0.25">
      <c r="A107" s="75" t="str">
        <f t="shared" si="4"/>
        <v>Brændselsindkomst.DagrenInst</v>
      </c>
      <c r="B107" s="57" t="s">
        <v>2</v>
      </c>
      <c r="C107" s="54" t="s">
        <v>54</v>
      </c>
      <c r="D107" s="53">
        <v>4095003.7537500001</v>
      </c>
      <c r="E107" s="53">
        <v>4095003.7537500001</v>
      </c>
      <c r="F107" s="53">
        <v>4095003.7537500001</v>
      </c>
      <c r="G107" s="53">
        <v>4095003.7537500001</v>
      </c>
      <c r="H107" s="53">
        <v>4095003.7537500001</v>
      </c>
      <c r="I107" s="53">
        <v>4095003.7537500001</v>
      </c>
      <c r="J107" s="53">
        <v>4095003.7537500001</v>
      </c>
      <c r="K107" s="53">
        <v>4095003.7537500001</v>
      </c>
      <c r="L107" s="53">
        <v>4095003.7537500001</v>
      </c>
      <c r="M107" s="53">
        <v>4095003.7537500001</v>
      </c>
      <c r="N107" s="53">
        <v>4095003.7537500001</v>
      </c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</row>
    <row r="108" spans="1:27" outlineLevel="1" x14ac:dyDescent="0.25">
      <c r="A108" s="75" t="str">
        <f t="shared" si="4"/>
        <v>Brændselsindkomst.DagrenHandel</v>
      </c>
      <c r="B108" s="57" t="s">
        <v>2</v>
      </c>
      <c r="C108" s="54" t="s">
        <v>55</v>
      </c>
      <c r="D108" s="53">
        <v>-1.1999999999999997E-13</v>
      </c>
      <c r="E108" s="53">
        <v>-1.1999999999999997E-13</v>
      </c>
      <c r="F108" s="53">
        <v>-1.1999999999999997E-13</v>
      </c>
      <c r="G108" s="53">
        <v>-1.1999999999999997E-13</v>
      </c>
      <c r="H108" s="53">
        <v>-1.1999999999999997E-13</v>
      </c>
      <c r="I108" s="53">
        <v>-1.1999999999999997E-13</v>
      </c>
      <c r="J108" s="53">
        <v>-1.1999999999999997E-13</v>
      </c>
      <c r="K108" s="53">
        <v>-1.1999999999999997E-13</v>
      </c>
      <c r="L108" s="53">
        <v>-1.1999999999999997E-13</v>
      </c>
      <c r="M108" s="53">
        <v>-1.1999999999999997E-13</v>
      </c>
      <c r="N108" s="53">
        <v>-1.1999999999999997E-13</v>
      </c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</row>
    <row r="109" spans="1:27" outlineLevel="1" x14ac:dyDescent="0.25">
      <c r="A109" s="75" t="str">
        <f t="shared" si="4"/>
        <v>Brændselsindkomst.DagrenRestau</v>
      </c>
      <c r="B109" s="57" t="s">
        <v>2</v>
      </c>
      <c r="C109" s="54" t="s">
        <v>56</v>
      </c>
      <c r="D109" s="53">
        <v>-1.1999999999999997E-13</v>
      </c>
      <c r="E109" s="53">
        <v>-1.1999999999999997E-13</v>
      </c>
      <c r="F109" s="53">
        <v>-1.1999999999999997E-13</v>
      </c>
      <c r="G109" s="53">
        <v>-1.1999999999999997E-13</v>
      </c>
      <c r="H109" s="53">
        <v>-1.1999999999999997E-13</v>
      </c>
      <c r="I109" s="53">
        <v>-1.1999999999999997E-13</v>
      </c>
      <c r="J109" s="53">
        <v>-1.1999999999999997E-13</v>
      </c>
      <c r="K109" s="53">
        <v>-1.1999999999999997E-13</v>
      </c>
      <c r="L109" s="53">
        <v>-1.1999999999999997E-13</v>
      </c>
      <c r="M109" s="53">
        <v>-1.1999999999999997E-13</v>
      </c>
      <c r="N109" s="53">
        <v>-1.1999999999999997E-13</v>
      </c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</row>
    <row r="110" spans="1:27" outlineLevel="1" x14ac:dyDescent="0.25">
      <c r="A110" s="75" t="str">
        <f t="shared" si="4"/>
        <v>Brændselsindkomst.Erhverv</v>
      </c>
      <c r="B110" s="57" t="s">
        <v>2</v>
      </c>
      <c r="C110" s="54" t="s">
        <v>57</v>
      </c>
      <c r="D110" s="53">
        <v>2730002.5024999999</v>
      </c>
      <c r="E110" s="53">
        <v>2730002.5024999999</v>
      </c>
      <c r="F110" s="53">
        <v>2730002.5024999999</v>
      </c>
      <c r="G110" s="53">
        <v>2730002.5024999999</v>
      </c>
      <c r="H110" s="53">
        <v>2730002.5024999999</v>
      </c>
      <c r="I110" s="53">
        <v>2730002.5024999999</v>
      </c>
      <c r="J110" s="53">
        <v>2730002.5024999999</v>
      </c>
      <c r="K110" s="53">
        <v>2730002.5024999999</v>
      </c>
      <c r="L110" s="53">
        <v>2730002.5024999999</v>
      </c>
      <c r="M110" s="53">
        <v>2730002.5024999999</v>
      </c>
      <c r="N110" s="53">
        <v>2730002.5024999999</v>
      </c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</row>
    <row r="111" spans="1:27" outlineLevel="1" x14ac:dyDescent="0.25">
      <c r="A111" s="75" t="str">
        <f t="shared" si="4"/>
        <v>Brændselsindkomst.DagrenErhverv</v>
      </c>
      <c r="B111" s="57" t="s">
        <v>2</v>
      </c>
      <c r="C111" s="54" t="s">
        <v>58</v>
      </c>
      <c r="D111" s="53">
        <v>359792.02645833325</v>
      </c>
      <c r="E111" s="53">
        <v>359792.02645833325</v>
      </c>
      <c r="F111" s="53">
        <v>359792.02645833325</v>
      </c>
      <c r="G111" s="53">
        <v>359792.02645833325</v>
      </c>
      <c r="H111" s="53">
        <v>359792.02645833325</v>
      </c>
      <c r="I111" s="53">
        <v>359792.02645833325</v>
      </c>
      <c r="J111" s="53">
        <v>359792.02645833325</v>
      </c>
      <c r="K111" s="53">
        <v>359792.02645833325</v>
      </c>
      <c r="L111" s="53">
        <v>359792.02645833325</v>
      </c>
      <c r="M111" s="53">
        <v>359792.02645833325</v>
      </c>
      <c r="N111" s="53">
        <v>359792.02645833325</v>
      </c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</row>
    <row r="112" spans="1:27" outlineLevel="1" x14ac:dyDescent="0.25">
      <c r="A112" s="75" t="str">
        <f t="shared" si="4"/>
        <v>Brændselsindkomst.HandelKontor</v>
      </c>
      <c r="B112" s="57" t="s">
        <v>2</v>
      </c>
      <c r="C112" s="54" t="s">
        <v>59</v>
      </c>
      <c r="D112" s="53">
        <v>-1.1999999999999997E-13</v>
      </c>
      <c r="E112" s="53">
        <v>-1.1999999999999997E-13</v>
      </c>
      <c r="F112" s="53">
        <v>-1.1999999999999997E-13</v>
      </c>
      <c r="G112" s="53">
        <v>-1.1999999999999997E-13</v>
      </c>
      <c r="H112" s="53">
        <v>-1.1999999999999997E-13</v>
      </c>
      <c r="I112" s="53">
        <v>-1.1999999999999997E-13</v>
      </c>
      <c r="J112" s="53">
        <v>-1.1999999999999997E-13</v>
      </c>
      <c r="K112" s="53">
        <v>-1.1999999999999997E-13</v>
      </c>
      <c r="L112" s="53">
        <v>-1.1999999999999997E-13</v>
      </c>
      <c r="M112" s="53">
        <v>-1.1999999999999997E-13</v>
      </c>
      <c r="N112" s="53">
        <v>-1.1999999999999997E-13</v>
      </c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</row>
    <row r="113" spans="1:27" outlineLevel="1" x14ac:dyDescent="0.25">
      <c r="A113" s="75" t="str">
        <f t="shared" si="4"/>
        <v>Brændselsindkomst.Privat</v>
      </c>
      <c r="B113" s="57" t="s">
        <v>2</v>
      </c>
      <c r="C113" s="54" t="s">
        <v>60</v>
      </c>
      <c r="D113" s="53">
        <v>-1.1999999999999997E-13</v>
      </c>
      <c r="E113" s="53">
        <v>-1.1999999999999997E-13</v>
      </c>
      <c r="F113" s="53">
        <v>-1.1999999999999997E-13</v>
      </c>
      <c r="G113" s="53">
        <v>-1.1999999999999997E-13</v>
      </c>
      <c r="H113" s="53">
        <v>-1.1999999999999997E-13</v>
      </c>
      <c r="I113" s="53">
        <v>-1.1999999999999997E-13</v>
      </c>
      <c r="J113" s="53">
        <v>-1.1999999999999997E-13</v>
      </c>
      <c r="K113" s="53">
        <v>-1.1999999999999997E-13</v>
      </c>
      <c r="L113" s="53">
        <v>-1.1999999999999997E-13</v>
      </c>
      <c r="M113" s="53">
        <v>-1.1999999999999997E-13</v>
      </c>
      <c r="N113" s="53">
        <v>-1.1999999999999997E-13</v>
      </c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</row>
    <row r="114" spans="1:27" outlineLevel="1" x14ac:dyDescent="0.25">
      <c r="A114" s="75" t="str">
        <f t="shared" si="4"/>
        <v>Brændselsindkomst.TyskRest</v>
      </c>
      <c r="B114" s="57" t="s">
        <v>2</v>
      </c>
      <c r="C114" s="54" t="s">
        <v>61</v>
      </c>
      <c r="D114" s="53">
        <v>16000015.999999996</v>
      </c>
      <c r="E114" s="53">
        <v>16000015.999999996</v>
      </c>
      <c r="F114" s="53">
        <v>16000015.999999996</v>
      </c>
      <c r="G114" s="53">
        <v>16000015.999999996</v>
      </c>
      <c r="H114" s="53">
        <v>16000015.999999996</v>
      </c>
      <c r="I114" s="53">
        <v>16000015.999999996</v>
      </c>
      <c r="J114" s="53">
        <v>16000015.999999996</v>
      </c>
      <c r="K114" s="53">
        <v>16000015.999999996</v>
      </c>
      <c r="L114" s="53">
        <v>16000015.999999996</v>
      </c>
      <c r="M114" s="53">
        <v>16000015.999999996</v>
      </c>
      <c r="N114" s="53">
        <v>16000015.999999996</v>
      </c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</row>
    <row r="115" spans="1:27" outlineLevel="1" x14ac:dyDescent="0.25">
      <c r="A115" s="75" t="str">
        <f t="shared" si="4"/>
        <v>Brændselsindkomst.PolskRest</v>
      </c>
      <c r="B115" s="57" t="s">
        <v>2</v>
      </c>
      <c r="C115" s="54" t="s">
        <v>62</v>
      </c>
      <c r="D115" s="53">
        <v>968544.45509989199</v>
      </c>
      <c r="E115" s="53">
        <v>968544.45509989199</v>
      </c>
      <c r="F115" s="53">
        <v>968544.45509989199</v>
      </c>
      <c r="G115" s="53">
        <v>968544.45509989199</v>
      </c>
      <c r="H115" s="53">
        <v>968544.45509989199</v>
      </c>
      <c r="I115" s="53">
        <v>968544.45509989199</v>
      </c>
      <c r="J115" s="53">
        <v>968544.45509989199</v>
      </c>
      <c r="K115" s="53">
        <v>968544.45509989199</v>
      </c>
      <c r="L115" s="53">
        <v>968544.45509989199</v>
      </c>
      <c r="M115" s="53">
        <v>968544.45509989199</v>
      </c>
      <c r="N115" s="53">
        <v>968544.45509989199</v>
      </c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</row>
    <row r="116" spans="1:27" outlineLevel="1" x14ac:dyDescent="0.25">
      <c r="A116" s="75" t="str">
        <f t="shared" si="4"/>
        <v>Brændselsindkomst.PcbTrae</v>
      </c>
      <c r="B116" s="57" t="s">
        <v>2</v>
      </c>
      <c r="C116" s="54" t="s">
        <v>63</v>
      </c>
      <c r="D116" s="53">
        <v>-1.1999999999999997E-13</v>
      </c>
      <c r="E116" s="53">
        <v>-1.1999999999999997E-13</v>
      </c>
      <c r="F116" s="53">
        <v>-1.1999999999999997E-13</v>
      </c>
      <c r="G116" s="53">
        <v>-1.1999999999999997E-13</v>
      </c>
      <c r="H116" s="53">
        <v>-1.1999999999999997E-13</v>
      </c>
      <c r="I116" s="53">
        <v>-1.1999999999999997E-13</v>
      </c>
      <c r="J116" s="53">
        <v>-1.1999999999999997E-13</v>
      </c>
      <c r="K116" s="53">
        <v>-1.1999999999999997E-13</v>
      </c>
      <c r="L116" s="53">
        <v>-1.1999999999999997E-13</v>
      </c>
      <c r="M116" s="53">
        <v>-1.1999999999999997E-13</v>
      </c>
      <c r="N116" s="53">
        <v>-1.1999999999999997E-13</v>
      </c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</row>
    <row r="117" spans="1:27" outlineLevel="1" x14ac:dyDescent="0.25">
      <c r="A117" s="75" t="str">
        <f t="shared" si="4"/>
        <v>Brændselsindkomst.TraeRekv</v>
      </c>
      <c r="B117" s="57" t="s">
        <v>2</v>
      </c>
      <c r="C117" s="54" t="s">
        <v>64</v>
      </c>
      <c r="D117" s="53">
        <v>1.1999999999999997E-13</v>
      </c>
      <c r="E117" s="53">
        <v>1.1999999999999997E-13</v>
      </c>
      <c r="F117" s="53">
        <v>1.1999999999999997E-13</v>
      </c>
      <c r="G117" s="53">
        <v>1.1999999999999997E-13</v>
      </c>
      <c r="H117" s="53">
        <v>1.1999999999999997E-13</v>
      </c>
      <c r="I117" s="53">
        <v>1.1999999999999997E-13</v>
      </c>
      <c r="J117" s="53">
        <v>1.1999999999999997E-13</v>
      </c>
      <c r="K117" s="53">
        <v>1.1999999999999997E-13</v>
      </c>
      <c r="L117" s="53">
        <v>1.1999999999999997E-13</v>
      </c>
      <c r="M117" s="53">
        <v>1.1999999999999997E-13</v>
      </c>
      <c r="N117" s="53">
        <v>1.1999999999999997E-13</v>
      </c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</row>
    <row r="118" spans="1:27" outlineLevel="1" x14ac:dyDescent="0.25">
      <c r="A118" s="75" t="str">
        <f t="shared" si="4"/>
        <v>Brændselsindkomst.Halm</v>
      </c>
      <c r="B118" s="57" t="s">
        <v>2</v>
      </c>
      <c r="C118" s="54" t="s">
        <v>65</v>
      </c>
      <c r="D118" s="53">
        <v>-1.1999999999999997E-13</v>
      </c>
      <c r="E118" s="53">
        <v>-1.1999999999999997E-13</v>
      </c>
      <c r="F118" s="53">
        <v>-1.1999999999999997E-13</v>
      </c>
      <c r="G118" s="53">
        <v>-1.1999999999999997E-13</v>
      </c>
      <c r="H118" s="53">
        <v>-1.1999999999999997E-13</v>
      </c>
      <c r="I118" s="53">
        <v>-1.1999999999999997E-13</v>
      </c>
      <c r="J118" s="53">
        <v>-1.1999999999999997E-13</v>
      </c>
      <c r="K118" s="53">
        <v>-1.1999999999999997E-13</v>
      </c>
      <c r="L118" s="53">
        <v>-1.1999999999999997E-13</v>
      </c>
      <c r="M118" s="53">
        <v>-1.1999999999999997E-13</v>
      </c>
      <c r="N118" s="53">
        <v>-1.1999999999999997E-13</v>
      </c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</row>
    <row r="119" spans="1:27" outlineLevel="1" x14ac:dyDescent="0.25">
      <c r="A119" s="75" t="str">
        <f t="shared" si="4"/>
        <v>Brændselsindkomst.Pulver</v>
      </c>
      <c r="B119" s="57" t="s">
        <v>2</v>
      </c>
      <c r="C119" s="54" t="s">
        <v>66</v>
      </c>
      <c r="D119" s="53">
        <v>75350.075349999999</v>
      </c>
      <c r="E119" s="53">
        <v>75350.075349999999</v>
      </c>
      <c r="F119" s="53">
        <v>75350.075349999999</v>
      </c>
      <c r="G119" s="53">
        <v>75350.075349999999</v>
      </c>
      <c r="H119" s="53">
        <v>75350.075349999999</v>
      </c>
      <c r="I119" s="53">
        <v>75350.075349999999</v>
      </c>
      <c r="J119" s="53">
        <v>75350.075349999999</v>
      </c>
      <c r="K119" s="53">
        <v>75350.075349999999</v>
      </c>
      <c r="L119" s="53">
        <v>75350.075349999999</v>
      </c>
      <c r="M119" s="53">
        <v>75350.075349999999</v>
      </c>
      <c r="N119" s="53">
        <v>75350.075349999999</v>
      </c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</row>
    <row r="120" spans="1:27" outlineLevel="1" x14ac:dyDescent="0.25">
      <c r="A120" s="75" t="str">
        <f t="shared" si="4"/>
        <v>Brændselsindkomst.FlisAffald</v>
      </c>
      <c r="B120" s="57" t="s">
        <v>2</v>
      </c>
      <c r="C120" s="54" t="s">
        <v>67</v>
      </c>
      <c r="D120" s="53">
        <v>23250.021312500001</v>
      </c>
      <c r="E120" s="53">
        <v>23250.021312500001</v>
      </c>
      <c r="F120" s="53">
        <v>23250.021312500001</v>
      </c>
      <c r="G120" s="53">
        <v>23250.021312500001</v>
      </c>
      <c r="H120" s="53">
        <v>23250.021312500001</v>
      </c>
      <c r="I120" s="53">
        <v>23250.021312500001</v>
      </c>
      <c r="J120" s="53">
        <v>23250.021312500001</v>
      </c>
      <c r="K120" s="53">
        <v>23250.021312500001</v>
      </c>
      <c r="L120" s="53">
        <v>23250.021312500001</v>
      </c>
      <c r="M120" s="53">
        <v>23250.021312500001</v>
      </c>
      <c r="N120" s="53">
        <v>23250.021312500001</v>
      </c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</row>
    <row r="121" spans="1:27" outlineLevel="1" x14ac:dyDescent="0.25">
      <c r="A121" s="75" t="str">
        <f t="shared" si="4"/>
        <v>Brændselsindkomst.NyAff1</v>
      </c>
      <c r="B121" s="57" t="s">
        <v>2</v>
      </c>
      <c r="C121" s="54" t="s">
        <v>68</v>
      </c>
      <c r="D121" s="53">
        <v>-1595259.6325748833</v>
      </c>
      <c r="E121" s="53">
        <v>1.1999999999999997E-13</v>
      </c>
      <c r="F121" s="53">
        <v>-249097.00074700167</v>
      </c>
      <c r="G121" s="53">
        <v>-249097.00074700339</v>
      </c>
      <c r="H121" s="53">
        <v>-3120192.4088785704</v>
      </c>
      <c r="I121" s="53">
        <v>-3954787.7903201035</v>
      </c>
      <c r="J121" s="53">
        <v>1.1999999999999997E-13</v>
      </c>
      <c r="K121" s="53">
        <v>-249097.00074700254</v>
      </c>
      <c r="L121" s="53">
        <v>-249097.00074700254</v>
      </c>
      <c r="M121" s="53">
        <v>-2127269.4700334514</v>
      </c>
      <c r="N121" s="53">
        <v>-3422777.9528615349</v>
      </c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</row>
    <row r="122" spans="1:27" outlineLevel="1" x14ac:dyDescent="0.25">
      <c r="A122" s="75" t="str">
        <f t="shared" si="4"/>
        <v>Brændselsindkomst.NyAff2</v>
      </c>
      <c r="B122" s="57" t="s">
        <v>2</v>
      </c>
      <c r="C122" s="54" t="s">
        <v>69</v>
      </c>
      <c r="D122" s="53">
        <v>-1.1999999999999997E-13</v>
      </c>
      <c r="E122" s="53">
        <v>-1.1999999999999997E-13</v>
      </c>
      <c r="F122" s="53">
        <v>-1.1999999999999997E-13</v>
      </c>
      <c r="G122" s="53">
        <v>-1.1999999999999997E-13</v>
      </c>
      <c r="H122" s="53">
        <v>-1.1999999999999997E-13</v>
      </c>
      <c r="I122" s="53">
        <v>-1.1999999999999997E-13</v>
      </c>
      <c r="J122" s="53">
        <v>-1.1999999999999997E-13</v>
      </c>
      <c r="K122" s="53">
        <v>-1.1999999999999997E-13</v>
      </c>
      <c r="L122" s="53">
        <v>-1.1999999999999997E-13</v>
      </c>
      <c r="M122" s="53">
        <v>-1.1999999999999997E-13</v>
      </c>
      <c r="N122" s="53">
        <v>-1.1999999999999997E-13</v>
      </c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</row>
    <row r="123" spans="1:27" outlineLevel="1" x14ac:dyDescent="0.25">
      <c r="A123" s="75" t="str">
        <f t="shared" si="4"/>
        <v>Brændselsindkomst.NyAff3</v>
      </c>
      <c r="B123" s="57" t="s">
        <v>2</v>
      </c>
      <c r="C123" s="54" t="s">
        <v>70</v>
      </c>
      <c r="D123" s="53">
        <v>-1.1999999999999997E-13</v>
      </c>
      <c r="E123" s="53">
        <v>-1.1999999999999997E-13</v>
      </c>
      <c r="F123" s="53">
        <v>-1.1999999999999997E-13</v>
      </c>
      <c r="G123" s="53">
        <v>-1.1999999999999997E-13</v>
      </c>
      <c r="H123" s="53">
        <v>-1.1999999999999997E-13</v>
      </c>
      <c r="I123" s="53">
        <v>-1.1999999999999997E-13</v>
      </c>
      <c r="J123" s="53">
        <v>-1.1999999999999997E-13</v>
      </c>
      <c r="K123" s="53">
        <v>-1.1999999999999997E-13</v>
      </c>
      <c r="L123" s="53">
        <v>-1.1999999999999997E-13</v>
      </c>
      <c r="M123" s="53">
        <v>-1.1999999999999997E-13</v>
      </c>
      <c r="N123" s="53">
        <v>-1.1999999999999997E-13</v>
      </c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</row>
    <row r="124" spans="1:27" outlineLevel="1" x14ac:dyDescent="0.25">
      <c r="A124" s="75" t="str">
        <f t="shared" si="4"/>
        <v>Brændselsindkomst.NyAff4</v>
      </c>
      <c r="B124" s="57" t="s">
        <v>2</v>
      </c>
      <c r="C124" s="54" t="s">
        <v>71</v>
      </c>
      <c r="D124" s="53">
        <v>-1.1999999999999997E-13</v>
      </c>
      <c r="E124" s="53">
        <v>-1.1999999999999997E-13</v>
      </c>
      <c r="F124" s="53">
        <v>-1.1999999999999997E-13</v>
      </c>
      <c r="G124" s="53">
        <v>-1.1999999999999997E-13</v>
      </c>
      <c r="H124" s="53">
        <v>-1.1999999999999997E-13</v>
      </c>
      <c r="I124" s="53">
        <v>-1.1999999999999997E-13</v>
      </c>
      <c r="J124" s="53">
        <v>-1.1999999999999997E-13</v>
      </c>
      <c r="K124" s="53">
        <v>-1.1999999999999997E-13</v>
      </c>
      <c r="L124" s="53">
        <v>-1.1999999999999997E-13</v>
      </c>
      <c r="M124" s="53">
        <v>-1.1999999999999997E-13</v>
      </c>
      <c r="N124" s="53">
        <v>-1.1999999999999997E-13</v>
      </c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</row>
    <row r="125" spans="1:27" outlineLevel="1" x14ac:dyDescent="0.25">
      <c r="A125" s="75" t="str">
        <f t="shared" si="4"/>
        <v>Brændselsindkomst.NyAff5</v>
      </c>
      <c r="B125" s="57" t="s">
        <v>2</v>
      </c>
      <c r="C125" s="54" t="s">
        <v>72</v>
      </c>
      <c r="D125" s="53">
        <v>-1.1999999999999997E-13</v>
      </c>
      <c r="E125" s="53">
        <v>-1.1999999999999997E-13</v>
      </c>
      <c r="F125" s="53">
        <v>-1.1999999999999997E-13</v>
      </c>
      <c r="G125" s="53">
        <v>-1.1999999999999997E-13</v>
      </c>
      <c r="H125" s="53">
        <v>-1.1999999999999997E-13</v>
      </c>
      <c r="I125" s="53">
        <v>-1.1999999999999997E-13</v>
      </c>
      <c r="J125" s="53">
        <v>-1.1999999999999997E-13</v>
      </c>
      <c r="K125" s="53">
        <v>-1.1999999999999997E-13</v>
      </c>
      <c r="L125" s="53">
        <v>-1.1999999999999997E-13</v>
      </c>
      <c r="M125" s="53">
        <v>-1.1999999999999997E-13</v>
      </c>
      <c r="N125" s="53">
        <v>-1.1999999999999997E-13</v>
      </c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</row>
    <row r="126" spans="1:27" outlineLevel="1" x14ac:dyDescent="0.25">
      <c r="A126" s="75" t="str">
        <f t="shared" si="4"/>
        <v>Brændselsindkomst.Flis</v>
      </c>
      <c r="B126" s="57" t="s">
        <v>2</v>
      </c>
      <c r="C126" s="54" t="s">
        <v>73</v>
      </c>
      <c r="D126" s="53">
        <v>-6561157.26159517</v>
      </c>
      <c r="E126" s="53">
        <v>-6728949.8345012013</v>
      </c>
      <c r="F126" s="53">
        <v>-6561157.26159517</v>
      </c>
      <c r="G126" s="53">
        <v>-6561157.26159517</v>
      </c>
      <c r="H126" s="53">
        <v>-6222333.7321834052</v>
      </c>
      <c r="I126" s="53">
        <v>-5210732.2907228889</v>
      </c>
      <c r="J126" s="53">
        <v>-6728949.8345012013</v>
      </c>
      <c r="K126" s="53">
        <v>-6561157.26159517</v>
      </c>
      <c r="L126" s="53">
        <v>-6561157.26159517</v>
      </c>
      <c r="M126" s="53">
        <v>-5210732.2907228889</v>
      </c>
      <c r="N126" s="53">
        <v>-6561157.26159517</v>
      </c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</row>
    <row r="127" spans="1:27" outlineLevel="1" x14ac:dyDescent="0.25">
      <c r="A127" s="75" t="str">
        <f t="shared" si="4"/>
        <v>Brændselsindkomst.NSvarme</v>
      </c>
      <c r="B127" s="57" t="s">
        <v>2</v>
      </c>
      <c r="C127" s="54" t="s">
        <v>74</v>
      </c>
      <c r="D127" s="53">
        <v>-1814400</v>
      </c>
      <c r="E127" s="53">
        <v>-1814400</v>
      </c>
      <c r="F127" s="53">
        <v>-1814400</v>
      </c>
      <c r="G127" s="53">
        <v>-1814400</v>
      </c>
      <c r="H127" s="53">
        <v>-1814400</v>
      </c>
      <c r="I127" s="53">
        <v>-1814400</v>
      </c>
      <c r="J127" s="53">
        <v>-1814400</v>
      </c>
      <c r="K127" s="53">
        <v>-1814400</v>
      </c>
      <c r="L127" s="53">
        <v>-1814400</v>
      </c>
      <c r="M127" s="53">
        <v>-1814400</v>
      </c>
      <c r="N127" s="53">
        <v>-1814400</v>
      </c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</row>
    <row r="128" spans="1:27" outlineLevel="1" x14ac:dyDescent="0.25">
      <c r="A128" s="75" t="str">
        <f t="shared" si="4"/>
        <v>Brændselsindkomst.PeakFuel</v>
      </c>
      <c r="B128" s="57" t="s">
        <v>2</v>
      </c>
      <c r="C128" s="54" t="s">
        <v>75</v>
      </c>
      <c r="D128" s="53">
        <v>1.1999999999999997E-13</v>
      </c>
      <c r="E128" s="53">
        <v>1.1999999999999997E-13</v>
      </c>
      <c r="F128" s="53">
        <v>1.1999999999999997E-13</v>
      </c>
      <c r="G128" s="53">
        <v>1.1999999999999997E-13</v>
      </c>
      <c r="H128" s="53">
        <v>1.1999999999999997E-13</v>
      </c>
      <c r="I128" s="53">
        <v>1.1999999999999997E-13</v>
      </c>
      <c r="J128" s="53">
        <v>1.1999999999999997E-13</v>
      </c>
      <c r="K128" s="53">
        <v>1.1999999999999997E-13</v>
      </c>
      <c r="L128" s="53">
        <v>1.1999999999999997E-13</v>
      </c>
      <c r="M128" s="53">
        <v>1.1999999999999997E-13</v>
      </c>
      <c r="N128" s="53">
        <v>1.1999999999999997E-13</v>
      </c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</row>
    <row r="129" spans="1:27" outlineLevel="1" x14ac:dyDescent="0.25">
      <c r="A129" s="75" t="str">
        <f t="shared" si="4"/>
        <v/>
      </c>
      <c r="B129" s="55"/>
      <c r="C129" s="56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</row>
    <row r="130" spans="1:27" outlineLevel="1" x14ac:dyDescent="0.25">
      <c r="A130" s="75" t="str">
        <f t="shared" si="4"/>
        <v/>
      </c>
      <c r="B130" s="20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</row>
    <row r="131" spans="1:27" outlineLevel="1" x14ac:dyDescent="0.25">
      <c r="A131" s="75" t="str">
        <f t="shared" si="4"/>
        <v/>
      </c>
      <c r="B131"/>
    </row>
    <row r="132" spans="1:27" outlineLevel="1" x14ac:dyDescent="0.25">
      <c r="A132" s="75" t="str">
        <f t="shared" si="4"/>
        <v/>
      </c>
      <c r="B132"/>
    </row>
    <row r="133" spans="1:27" outlineLevel="1" x14ac:dyDescent="0.25">
      <c r="A133" s="75" t="str">
        <f t="shared" si="4"/>
        <v/>
      </c>
      <c r="B133"/>
    </row>
    <row r="134" spans="1:27" outlineLevel="1" x14ac:dyDescent="0.25">
      <c r="A134" s="75" t="str">
        <f t="shared" si="4"/>
        <v/>
      </c>
      <c r="B134"/>
    </row>
    <row r="135" spans="1:27" outlineLevel="1" x14ac:dyDescent="0.25">
      <c r="B135"/>
    </row>
    <row r="136" spans="1:27" outlineLevel="1" x14ac:dyDescent="0.25">
      <c r="B136"/>
    </row>
    <row r="137" spans="1:27" outlineLevel="1" x14ac:dyDescent="0.25">
      <c r="B137"/>
    </row>
    <row r="138" spans="1:27" outlineLevel="1" x14ac:dyDescent="0.25">
      <c r="B138"/>
    </row>
    <row r="139" spans="1:27" outlineLevel="1" x14ac:dyDescent="0.25">
      <c r="B139"/>
    </row>
    <row r="140" spans="1:27" outlineLevel="1" x14ac:dyDescent="0.25">
      <c r="B140"/>
    </row>
    <row r="141" spans="1:27" outlineLevel="1" x14ac:dyDescent="0.25">
      <c r="B141"/>
    </row>
    <row r="142" spans="1:27" outlineLevel="1" x14ac:dyDescent="0.25">
      <c r="B142"/>
    </row>
    <row r="143" spans="1:27" outlineLevel="1" x14ac:dyDescent="0.25">
      <c r="B143"/>
    </row>
    <row r="144" spans="1:27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outlineLevel="1" x14ac:dyDescent="0.25">
      <c r="B158"/>
    </row>
    <row r="159" spans="2:2" outlineLevel="1" x14ac:dyDescent="0.25">
      <c r="B159"/>
    </row>
    <row r="160" spans="2:2" outlineLevel="1" x14ac:dyDescent="0.25">
      <c r="B160"/>
    </row>
    <row r="161" spans="2:2" outlineLevel="1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</sheetData>
  <phoneticPr fontId="5" type="noConversion"/>
  <conditionalFormatting sqref="A16 E34:AA34 A34 A36 D36:AA36 D43:AA44 A43:A44 A21:A24 A46:A53 D48:AA53 D18:AA24 D16:AA16 D26:AA31 A26:A31">
    <cfRule type="cellIs" dxfId="139" priority="170" operator="between">
      <formula>-0.0000000000001</formula>
      <formula>0.0000000000001</formula>
    </cfRule>
  </conditionalFormatting>
  <conditionalFormatting sqref="A16 A34 E34:AA34 D36:AA36 A36 A43:A44 D43:AA44 A21:A24 A46:A53 D48:AA53 A26:A31">
    <cfRule type="cellIs" dxfId="138" priority="164" operator="between">
      <formula>-0.0000000000001</formula>
      <formula>0.0000000000001</formula>
    </cfRule>
  </conditionalFormatting>
  <conditionalFormatting sqref="A26 C26:O26">
    <cfRule type="cellIs" dxfId="137" priority="163" operator="between">
      <formula>-0.0000000000001</formula>
      <formula>0.0000000000001</formula>
    </cfRule>
  </conditionalFormatting>
  <conditionalFormatting sqref="P26:AA26">
    <cfRule type="cellIs" dxfId="136" priority="162" operator="between">
      <formula>-0.0000000000001</formula>
      <formula>0.0000000000001</formula>
    </cfRule>
  </conditionalFormatting>
  <conditionalFormatting sqref="C16:O16 A16">
    <cfRule type="cellIs" dxfId="135" priority="161" operator="between">
      <formula>-0.0000000000001</formula>
      <formula>0.0000000000001</formula>
    </cfRule>
  </conditionalFormatting>
  <conditionalFormatting sqref="P16:AA16">
    <cfRule type="cellIs" dxfId="134" priority="160" operator="between">
      <formula>-0.0000000000001</formula>
      <formula>0.0000000000001</formula>
    </cfRule>
  </conditionalFormatting>
  <conditionalFormatting sqref="C23">
    <cfRule type="cellIs" dxfId="133" priority="159" operator="between">
      <formula>-0.0000000000001</formula>
      <formula>0.0000000000001</formula>
    </cfRule>
  </conditionalFormatting>
  <conditionalFormatting sqref="C24">
    <cfRule type="cellIs" dxfId="132" priority="158" operator="between">
      <formula>-0.0000000000001</formula>
      <formula>0.0000000000001</formula>
    </cfRule>
  </conditionalFormatting>
  <conditionalFormatting sqref="A24 C24:O24">
    <cfRule type="cellIs" dxfId="131" priority="157" operator="between">
      <formula>-0.0000000000001</formula>
      <formula>0.0000000000001</formula>
    </cfRule>
  </conditionalFormatting>
  <conditionalFormatting sqref="P24:AA24">
    <cfRule type="cellIs" dxfId="130" priority="156" operator="between">
      <formula>-0.0000000000001</formula>
      <formula>0.0000000000001</formula>
    </cfRule>
  </conditionalFormatting>
  <conditionalFormatting sqref="C30:O31 A30:A31">
    <cfRule type="cellIs" dxfId="129" priority="155" operator="between">
      <formula>-0.0000000000001</formula>
      <formula>0.0000000000001</formula>
    </cfRule>
  </conditionalFormatting>
  <conditionalFormatting sqref="P30:AA31">
    <cfRule type="cellIs" dxfId="128" priority="154" operator="between">
      <formula>-0.0000000000001</formula>
      <formula>0.0000000000001</formula>
    </cfRule>
  </conditionalFormatting>
  <conditionalFormatting sqref="C51:O51 C53:AA53 C50:AA50 D49:AA49 A49:A53 D52:O53">
    <cfRule type="cellIs" dxfId="127" priority="153" operator="between">
      <formula>-0.0000000000001</formula>
      <formula>0.0000000000001</formula>
    </cfRule>
  </conditionalFormatting>
  <conditionalFormatting sqref="P51:AA51">
    <cfRule type="cellIs" dxfId="126" priority="152" operator="between">
      <formula>-0.0000000000001</formula>
      <formula>0.0000000000001</formula>
    </cfRule>
  </conditionalFormatting>
  <conditionalFormatting sqref="C52:O52 D53:O53">
    <cfRule type="cellIs" dxfId="125" priority="151" operator="between">
      <formula>-0.0000000000001</formula>
      <formula>0.0000000000001</formula>
    </cfRule>
  </conditionalFormatting>
  <conditionalFormatting sqref="P52:AA53">
    <cfRule type="cellIs" dxfId="124" priority="150" operator="between">
      <formula>-0.0000000000001</formula>
      <formula>0.0000000000001</formula>
    </cfRule>
  </conditionalFormatting>
  <conditionalFormatting sqref="C21:O21">
    <cfRule type="cellIs" dxfId="123" priority="149" operator="between">
      <formula>-0.0000000000001</formula>
      <formula>0.0000000000001</formula>
    </cfRule>
  </conditionalFormatting>
  <conditionalFormatting sqref="P21:AA21">
    <cfRule type="cellIs" dxfId="122" priority="148" operator="between">
      <formula>-0.0000000000001</formula>
      <formula>0.0000000000001</formula>
    </cfRule>
  </conditionalFormatting>
  <conditionalFormatting sqref="C21">
    <cfRule type="cellIs" dxfId="121" priority="147" operator="between">
      <formula>-0.0000000000001</formula>
      <formula>0.0000000000001</formula>
    </cfRule>
  </conditionalFormatting>
  <conditionalFormatting sqref="C22:O22 A22">
    <cfRule type="cellIs" dxfId="120" priority="144" operator="between">
      <formula>-0.0000000000001</formula>
      <formula>0.0000000000001</formula>
    </cfRule>
  </conditionalFormatting>
  <conditionalFormatting sqref="P22:AA22">
    <cfRule type="cellIs" dxfId="119" priority="143" operator="between">
      <formula>-0.0000000000001</formula>
      <formula>0.0000000000001</formula>
    </cfRule>
  </conditionalFormatting>
  <conditionalFormatting sqref="C22">
    <cfRule type="cellIs" dxfId="118" priority="142" operator="between">
      <formula>-0.0000000000001</formula>
      <formula>0.0000000000001</formula>
    </cfRule>
  </conditionalFormatting>
  <conditionalFormatting sqref="C27:O27 A27">
    <cfRule type="cellIs" dxfId="117" priority="141" operator="between">
      <formula>-0.0000000000001</formula>
      <formula>0.0000000000001</formula>
    </cfRule>
  </conditionalFormatting>
  <conditionalFormatting sqref="P27:AA27">
    <cfRule type="cellIs" dxfId="116" priority="140" operator="between">
      <formula>-0.0000000000001</formula>
      <formula>0.0000000000001</formula>
    </cfRule>
  </conditionalFormatting>
  <conditionalFormatting sqref="C27">
    <cfRule type="cellIs" dxfId="115" priority="139" operator="between">
      <formula>-0.0000000000001</formula>
      <formula>0.0000000000001</formula>
    </cfRule>
  </conditionalFormatting>
  <conditionalFormatting sqref="A49 C49:AA49">
    <cfRule type="cellIs" dxfId="114" priority="138" operator="between">
      <formula>-0.0000000000001</formula>
      <formula>0.0000000000001</formula>
    </cfRule>
  </conditionalFormatting>
  <conditionalFormatting sqref="D20:O20">
    <cfRule type="cellIs" dxfId="113" priority="136" operator="between">
      <formula>-0.0000000000001</formula>
      <formula>0.0000000000001</formula>
    </cfRule>
  </conditionalFormatting>
  <conditionalFormatting sqref="P20:AA20">
    <cfRule type="cellIs" dxfId="112" priority="135" operator="between">
      <formula>-0.0000000000001</formula>
      <formula>0.0000000000001</formula>
    </cfRule>
  </conditionalFormatting>
  <conditionalFormatting sqref="C44:AA44 A44">
    <cfRule type="cellIs" dxfId="111" priority="134" operator="between">
      <formula>-0.0000000000001</formula>
      <formula>0.0000000000001</formula>
    </cfRule>
  </conditionalFormatting>
  <conditionalFormatting sqref="P44:AA44">
    <cfRule type="cellIs" dxfId="110" priority="133" operator="between">
      <formula>-0.0000000000001</formula>
      <formula>0.0000000000001</formula>
    </cfRule>
  </conditionalFormatting>
  <conditionalFormatting sqref="C20">
    <cfRule type="cellIs" dxfId="109" priority="131" operator="between">
      <formula>-0.0000000000001</formula>
      <formula>0.0000000000001</formula>
    </cfRule>
  </conditionalFormatting>
  <conditionalFormatting sqref="A21">
    <cfRule type="cellIs" dxfId="108" priority="130" operator="between">
      <formula>-0.0000000000001</formula>
      <formula>0.0000000000001</formula>
    </cfRule>
  </conditionalFormatting>
  <conditionalFormatting sqref="A32 D32:AA32">
    <cfRule type="cellIs" dxfId="107" priority="127" operator="between">
      <formula>-0.0000000000001</formula>
      <formula>0.0000000000001</formula>
    </cfRule>
  </conditionalFormatting>
  <conditionalFormatting sqref="D32:AA32 A32">
    <cfRule type="cellIs" dxfId="106" priority="126" operator="between">
      <formula>-0.0000000000001</formula>
      <formula>0.0000000000001</formula>
    </cfRule>
  </conditionalFormatting>
  <conditionalFormatting sqref="C32:O32 A32">
    <cfRule type="cellIs" dxfId="105" priority="125" operator="between">
      <formula>-0.0000000000001</formula>
      <formula>0.0000000000001</formula>
    </cfRule>
  </conditionalFormatting>
  <conditionalFormatting sqref="P32:AA32">
    <cfRule type="cellIs" dxfId="104" priority="124" operator="between">
      <formula>-0.0000000000001</formula>
      <formula>0.0000000000001</formula>
    </cfRule>
  </conditionalFormatting>
  <conditionalFormatting sqref="E33:AA33 A33">
    <cfRule type="cellIs" dxfId="103" priority="108" operator="between">
      <formula>-0.0000000000001</formula>
      <formula>0.0000000000001</formula>
    </cfRule>
  </conditionalFormatting>
  <conditionalFormatting sqref="A33 E33:AA33">
    <cfRule type="cellIs" dxfId="102" priority="107" operator="between">
      <formula>-0.0000000000001</formula>
      <formula>0.0000000000001</formula>
    </cfRule>
  </conditionalFormatting>
  <conditionalFormatting sqref="D35:AA35 A35">
    <cfRule type="cellIs" dxfId="101" priority="106" operator="between">
      <formula>-0.0000000000001</formula>
      <formula>0.0000000000001</formula>
    </cfRule>
  </conditionalFormatting>
  <conditionalFormatting sqref="A35 D35:AA35">
    <cfRule type="cellIs" dxfId="100" priority="105" operator="between">
      <formula>-0.0000000000001</formula>
      <formula>0.0000000000001</formula>
    </cfRule>
  </conditionalFormatting>
  <conditionalFormatting sqref="A45 D45:AA46">
    <cfRule type="cellIs" dxfId="99" priority="104" operator="between">
      <formula>-0.0000000000001</formula>
      <formula>0.0000000000001</formula>
    </cfRule>
  </conditionalFormatting>
  <conditionalFormatting sqref="A45 D45:AA46">
    <cfRule type="cellIs" dxfId="98" priority="103" operator="between">
      <formula>-0.0000000000001</formula>
      <formula>0.0000000000001</formula>
    </cfRule>
  </conditionalFormatting>
  <conditionalFormatting sqref="A37:A38 D37:AA39 D41:AA41 A41">
    <cfRule type="cellIs" dxfId="97" priority="100" operator="between">
      <formula>-0.0000000000001</formula>
      <formula>0.0000000000001</formula>
    </cfRule>
  </conditionalFormatting>
  <conditionalFormatting sqref="D37:AA39 A37:A38 A41 D41:AA41">
    <cfRule type="cellIs" dxfId="96" priority="99" operator="between">
      <formula>-0.0000000000001</formula>
      <formula>0.0000000000001</formula>
    </cfRule>
  </conditionalFormatting>
  <conditionalFormatting sqref="C38:AA39 A38">
    <cfRule type="cellIs" dxfId="95" priority="98" operator="between">
      <formula>-0.0000000000001</formula>
      <formula>0.0000000000001</formula>
    </cfRule>
  </conditionalFormatting>
  <conditionalFormatting sqref="P38:AA39">
    <cfRule type="cellIs" dxfId="94" priority="97" operator="between">
      <formula>-0.0000000000001</formula>
      <formula>0.0000000000001</formula>
    </cfRule>
  </conditionalFormatting>
  <conditionalFormatting sqref="A40 D40:AA40">
    <cfRule type="cellIs" dxfId="93" priority="96" operator="between">
      <formula>-0.0000000000001</formula>
      <formula>0.0000000000001</formula>
    </cfRule>
  </conditionalFormatting>
  <conditionalFormatting sqref="D40:AA40 A40">
    <cfRule type="cellIs" dxfId="92" priority="95" operator="between">
      <formula>-0.0000000000001</formula>
      <formula>0.0000000000001</formula>
    </cfRule>
  </conditionalFormatting>
  <conditionalFormatting sqref="D51:O51">
    <cfRule type="cellIs" dxfId="91" priority="94" operator="between">
      <formula>-0.0000000000001</formula>
      <formula>0.0000000000001</formula>
    </cfRule>
  </conditionalFormatting>
  <conditionalFormatting sqref="D48:AA48">
    <cfRule type="cellIs" dxfId="90" priority="93" operator="between">
      <formula>-0.0000000000001</formula>
      <formula>0.0000000000001</formula>
    </cfRule>
  </conditionalFormatting>
  <conditionalFormatting sqref="A39">
    <cfRule type="cellIs" dxfId="89" priority="92" operator="between">
      <formula>-0.0000000000001</formula>
      <formula>0.0000000000001</formula>
    </cfRule>
  </conditionalFormatting>
  <conditionalFormatting sqref="A39">
    <cfRule type="cellIs" dxfId="88" priority="91" operator="between">
      <formula>-0.0000000000001</formula>
      <formula>0.0000000000001</formula>
    </cfRule>
  </conditionalFormatting>
  <conditionalFormatting sqref="A47">
    <cfRule type="cellIs" dxfId="87" priority="90" operator="between">
      <formula>-0.0000000000001</formula>
      <formula>0.0000000000001</formula>
    </cfRule>
  </conditionalFormatting>
  <conditionalFormatting sqref="A47">
    <cfRule type="cellIs" dxfId="86" priority="89" operator="between">
      <formula>-0.0000000000001</formula>
      <formula>0.0000000000001</formula>
    </cfRule>
  </conditionalFormatting>
  <conditionalFormatting sqref="A52">
    <cfRule type="cellIs" dxfId="85" priority="88" operator="between">
      <formula>-0.0000000000001</formula>
      <formula>0.0000000000001</formula>
    </cfRule>
  </conditionalFormatting>
  <conditionalFormatting sqref="A52">
    <cfRule type="cellIs" dxfId="84" priority="87" operator="between">
      <formula>-0.0000000000001</formula>
      <formula>0.0000000000001</formula>
    </cfRule>
  </conditionalFormatting>
  <conditionalFormatting sqref="D34">
    <cfRule type="cellIs" dxfId="83" priority="86" operator="between">
      <formula>-0.0000000000001</formula>
      <formula>0.0000000000001</formula>
    </cfRule>
  </conditionalFormatting>
  <conditionalFormatting sqref="D34">
    <cfRule type="cellIs" dxfId="82" priority="85" operator="between">
      <formula>-0.0000000000001</formula>
      <formula>0.0000000000001</formula>
    </cfRule>
  </conditionalFormatting>
  <conditionalFormatting sqref="D33">
    <cfRule type="cellIs" dxfId="81" priority="84" operator="between">
      <formula>-0.0000000000001</formula>
      <formula>0.0000000000001</formula>
    </cfRule>
  </conditionalFormatting>
  <conditionalFormatting sqref="D33">
    <cfRule type="cellIs" dxfId="80" priority="83" operator="between">
      <formula>-0.0000000000001</formula>
      <formula>0.0000000000001</formula>
    </cfRule>
  </conditionalFormatting>
  <conditionalFormatting sqref="A18:A20">
    <cfRule type="cellIs" dxfId="79" priority="81" operator="between">
      <formula>-0.0000000000001</formula>
      <formula>0.0000000000001</formula>
    </cfRule>
  </conditionalFormatting>
  <conditionalFormatting sqref="A18:A20">
    <cfRule type="cellIs" dxfId="78" priority="80" operator="between">
      <formula>-0.0000000000001</formula>
      <formula>0.0000000000001</formula>
    </cfRule>
  </conditionalFormatting>
  <conditionalFormatting sqref="A15:A16">
    <cfRule type="cellIs" dxfId="77" priority="74" operator="between">
      <formula>-0.0000000000001</formula>
      <formula>0.0000000000001</formula>
    </cfRule>
  </conditionalFormatting>
  <conditionalFormatting sqref="A15:A16">
    <cfRule type="cellIs" dxfId="76" priority="73" operator="between">
      <formula>-0.0000000000001</formula>
      <formula>0.0000000000001</formula>
    </cfRule>
  </conditionalFormatting>
  <conditionalFormatting sqref="C15:C16 A15:A16">
    <cfRule type="cellIs" dxfId="75" priority="72" operator="between">
      <formula>-0.0000000000001</formula>
      <formula>0.0000000000001</formula>
    </cfRule>
  </conditionalFormatting>
  <conditionalFormatting sqref="A19">
    <cfRule type="cellIs" dxfId="74" priority="70" operator="between">
      <formula>-0.0000000000001</formula>
      <formula>0.0000000000001</formula>
    </cfRule>
  </conditionalFormatting>
  <conditionalFormatting sqref="A19">
    <cfRule type="cellIs" dxfId="73" priority="69" operator="between">
      <formula>-0.0000000000001</formula>
      <formula>0.0000000000001</formula>
    </cfRule>
  </conditionalFormatting>
  <conditionalFormatting sqref="C19 A19">
    <cfRule type="cellIs" dxfId="72" priority="68" operator="between">
      <formula>-0.0000000000001</formula>
      <formula>0.0000000000001</formula>
    </cfRule>
  </conditionalFormatting>
  <conditionalFormatting sqref="D98:AA98">
    <cfRule type="colorScale" priority="66">
      <colorScale>
        <cfvo type="min"/>
        <cfvo type="max"/>
        <color rgb="FFFCFCFF"/>
        <color rgb="FF63BE7B"/>
      </colorScale>
    </cfRule>
  </conditionalFormatting>
  <conditionalFormatting sqref="D98:AA98">
    <cfRule type="cellIs" dxfId="71" priority="62" operator="between">
      <formula>-0.0000000000001</formula>
      <formula>0.0000000000001</formula>
    </cfRule>
  </conditionalFormatting>
  <conditionalFormatting sqref="D19:AA19">
    <cfRule type="cellIs" dxfId="70" priority="60" operator="between">
      <formula>-0.0000000000001</formula>
      <formula>0.0000000000001</formula>
    </cfRule>
  </conditionalFormatting>
  <conditionalFormatting sqref="D19:AA19">
    <cfRule type="cellIs" dxfId="69" priority="59" operator="between">
      <formula>-0.0000000000001</formula>
      <formula>0.0000000000001</formula>
    </cfRule>
  </conditionalFormatting>
  <conditionalFormatting sqref="D47:AA47">
    <cfRule type="cellIs" dxfId="68" priority="56" operator="between">
      <formula>-0.0000000000001</formula>
      <formula>0.0000000000001</formula>
    </cfRule>
  </conditionalFormatting>
  <conditionalFormatting sqref="D47:AA47">
    <cfRule type="cellIs" dxfId="67" priority="55" operator="between">
      <formula>-0.0000000000001</formula>
      <formula>0.0000000000001</formula>
    </cfRule>
  </conditionalFormatting>
  <conditionalFormatting sqref="D47:AA47">
    <cfRule type="cellIs" dxfId="66" priority="54" operator="between">
      <formula>-0.0000000000001</formula>
      <formula>0.0000000000001</formula>
    </cfRule>
  </conditionalFormatting>
  <conditionalFormatting sqref="A48">
    <cfRule type="cellIs" dxfId="65" priority="53" operator="between">
      <formula>-0.0000000000001</formula>
      <formula>0.0000000000001</formula>
    </cfRule>
  </conditionalFormatting>
  <conditionalFormatting sqref="A46">
    <cfRule type="cellIs" dxfId="64" priority="52" operator="between">
      <formula>-0.0000000000001</formula>
      <formula>0.0000000000001</formula>
    </cfRule>
  </conditionalFormatting>
  <conditionalFormatting sqref="A46">
    <cfRule type="cellIs" dxfId="63" priority="51" operator="between">
      <formula>-0.0000000000001</formula>
      <formula>0.0000000000001</formula>
    </cfRule>
  </conditionalFormatting>
  <conditionalFormatting sqref="A51">
    <cfRule type="cellIs" dxfId="62" priority="50" operator="between">
      <formula>-0.0000000000001</formula>
      <formula>0.0000000000001</formula>
    </cfRule>
  </conditionalFormatting>
  <conditionalFormatting sqref="A51">
    <cfRule type="cellIs" dxfId="61" priority="49" operator="between">
      <formula>-0.0000000000001</formula>
      <formula>0.0000000000001</formula>
    </cfRule>
  </conditionalFormatting>
  <conditionalFormatting sqref="A17">
    <cfRule type="cellIs" dxfId="60" priority="48" operator="between">
      <formula>-0.0000000000001</formula>
      <formula>0.0000000000001</formula>
    </cfRule>
  </conditionalFormatting>
  <conditionalFormatting sqref="A17">
    <cfRule type="cellIs" dxfId="59" priority="47" operator="between">
      <formula>-0.0000000000001</formula>
      <formula>0.0000000000001</formula>
    </cfRule>
  </conditionalFormatting>
  <conditionalFormatting sqref="C17 A17">
    <cfRule type="cellIs" dxfId="58" priority="46" operator="between">
      <formula>-0.0000000000001</formula>
      <formula>0.0000000000001</formula>
    </cfRule>
  </conditionalFormatting>
  <conditionalFormatting sqref="D17:AA17">
    <cfRule type="cellIs" dxfId="57" priority="45" operator="between">
      <formula>-0.0000000000001</formula>
      <formula>0.0000000000001</formula>
    </cfRule>
  </conditionalFormatting>
  <conditionalFormatting sqref="D17:AA17">
    <cfRule type="cellIs" dxfId="56" priority="44" operator="between">
      <formula>-0.0000000000001</formula>
      <formula>0.0000000000001</formula>
    </cfRule>
  </conditionalFormatting>
  <conditionalFormatting sqref="D17:O17">
    <cfRule type="cellIs" dxfId="55" priority="43" operator="between">
      <formula>-0.0000000000001</formula>
      <formula>0.0000000000001</formula>
    </cfRule>
  </conditionalFormatting>
  <conditionalFormatting sqref="P17:AA17">
    <cfRule type="cellIs" dxfId="54" priority="42" operator="between">
      <formula>-0.0000000000001</formula>
      <formula>0.0000000000001</formula>
    </cfRule>
  </conditionalFormatting>
  <conditionalFormatting sqref="D42:AA42 A42">
    <cfRule type="cellIs" dxfId="53" priority="41" operator="between">
      <formula>-0.0000000000001</formula>
      <formula>0.0000000000001</formula>
    </cfRule>
  </conditionalFormatting>
  <conditionalFormatting sqref="A42 D42:AA42">
    <cfRule type="cellIs" dxfId="52" priority="40" operator="between">
      <formula>-0.0000000000001</formula>
      <formula>0.0000000000001</formula>
    </cfRule>
  </conditionalFormatting>
  <conditionalFormatting sqref="D54:AA57">
    <cfRule type="cellIs" dxfId="51" priority="32" operator="greaterThan">
      <formula>0.000000000001</formula>
    </cfRule>
    <cfRule type="cellIs" dxfId="50" priority="35" operator="between">
      <formula>-0.0000000000001</formula>
      <formula>0.0000000000001</formula>
    </cfRule>
  </conditionalFormatting>
  <conditionalFormatting sqref="D54:AA57">
    <cfRule type="cellIs" dxfId="49" priority="34" operator="between">
      <formula>-0.0000000000001</formula>
      <formula>0.0000000000001</formula>
    </cfRule>
  </conditionalFormatting>
  <conditionalFormatting sqref="D54:AA57">
    <cfRule type="cellIs" dxfId="48" priority="33" operator="between">
      <formula>-0.0000000000001</formula>
      <formula>0.0000000000001</formula>
    </cfRule>
  </conditionalFormatting>
  <conditionalFormatting sqref="B1">
    <cfRule type="cellIs" dxfId="47" priority="31" operator="greaterThan">
      <formula>0</formula>
    </cfRule>
  </conditionalFormatting>
  <conditionalFormatting sqref="A25 D25:AA25">
    <cfRule type="cellIs" dxfId="46" priority="30" operator="between">
      <formula>-0.0000000000001</formula>
      <formula>0.0000000000001</formula>
    </cfRule>
  </conditionalFormatting>
  <conditionalFormatting sqref="A25">
    <cfRule type="cellIs" dxfId="45" priority="29" operator="between">
      <formula>-0.0000000000001</formula>
      <formula>0.0000000000001</formula>
    </cfRule>
  </conditionalFormatting>
  <conditionalFormatting sqref="A25 C25:O25">
    <cfRule type="cellIs" dxfId="44" priority="28" operator="between">
      <formula>-0.0000000000001</formula>
      <formula>0.0000000000001</formula>
    </cfRule>
  </conditionalFormatting>
  <conditionalFormatting sqref="P25:AA25">
    <cfRule type="cellIs" dxfId="43" priority="27" operator="between">
      <formula>-0.0000000000001</formula>
      <formula>0.0000000000001</formula>
    </cfRule>
  </conditionalFormatting>
  <conditionalFormatting sqref="D60:AA65">
    <cfRule type="cellIs" dxfId="42" priority="24" operator="between">
      <formula>-0.00000000001</formula>
      <formula>0.00000000001</formula>
    </cfRule>
    <cfRule type="colorScale" priority="2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8:AA97">
    <cfRule type="colorScale" priority="22">
      <colorScale>
        <cfvo type="min"/>
        <cfvo type="max"/>
        <color rgb="FFFCFCFF"/>
        <color rgb="FF63BE7B"/>
      </colorScale>
    </cfRule>
  </conditionalFormatting>
  <conditionalFormatting sqref="B68:AA97">
    <cfRule type="cellIs" dxfId="41" priority="20" operator="between">
      <formula>-0.00000000001</formula>
      <formula>0.00000000001</formula>
    </cfRule>
  </conditionalFormatting>
  <conditionalFormatting sqref="D100:AA129">
    <cfRule type="colorScale" priority="18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100:AA129">
    <cfRule type="cellIs" dxfId="40" priority="17" operator="between">
      <formula>-0.00000000001</formula>
      <formula>0.00000000001</formula>
    </cfRule>
  </conditionalFormatting>
  <conditionalFormatting sqref="A63 A65 A60">
    <cfRule type="cellIs" dxfId="39" priority="16" operator="between">
      <formula>-0.0000000000001</formula>
      <formula>0.0000000000001</formula>
    </cfRule>
  </conditionalFormatting>
  <conditionalFormatting sqref="A63 A65 A60">
    <cfRule type="cellIs" dxfId="38" priority="15" operator="between">
      <formula>-0.0000000000001</formula>
      <formula>0.0000000000001</formula>
    </cfRule>
  </conditionalFormatting>
  <conditionalFormatting sqref="A60">
    <cfRule type="cellIs" dxfId="37" priority="14" operator="between">
      <formula>-0.0000000000001</formula>
      <formula>0.0000000000001</formula>
    </cfRule>
  </conditionalFormatting>
  <conditionalFormatting sqref="A61">
    <cfRule type="cellIs" dxfId="36" priority="13" operator="between">
      <formula>-0.0000000000001</formula>
      <formula>0.0000000000001</formula>
    </cfRule>
  </conditionalFormatting>
  <conditionalFormatting sqref="A61">
    <cfRule type="cellIs" dxfId="35" priority="12" operator="between">
      <formula>-0.0000000000001</formula>
      <formula>0.0000000000001</formula>
    </cfRule>
  </conditionalFormatting>
  <conditionalFormatting sqref="A61">
    <cfRule type="cellIs" dxfId="34" priority="11" operator="between">
      <formula>-0.0000000000001</formula>
      <formula>0.0000000000001</formula>
    </cfRule>
  </conditionalFormatting>
  <conditionalFormatting sqref="A62">
    <cfRule type="cellIs" dxfId="33" priority="10" operator="between">
      <formula>-0.0000000000001</formula>
      <formula>0.0000000000001</formula>
    </cfRule>
  </conditionalFormatting>
  <conditionalFormatting sqref="A62">
    <cfRule type="cellIs" dxfId="32" priority="9" operator="between">
      <formula>-0.0000000000001</formula>
      <formula>0.0000000000001</formula>
    </cfRule>
  </conditionalFormatting>
  <conditionalFormatting sqref="A64">
    <cfRule type="cellIs" dxfId="31" priority="8" operator="between">
      <formula>-0.0000000000001</formula>
      <formula>0.0000000000001</formula>
    </cfRule>
  </conditionalFormatting>
  <conditionalFormatting sqref="A64">
    <cfRule type="cellIs" dxfId="30" priority="7" operator="between">
      <formula>-0.0000000000001</formula>
      <formula>0.0000000000001</formula>
    </cfRule>
  </conditionalFormatting>
  <conditionalFormatting sqref="A68">
    <cfRule type="cellIs" dxfId="29" priority="6" operator="between">
      <formula>-0.0000000000001</formula>
      <formula>0.0000000000001</formula>
    </cfRule>
  </conditionalFormatting>
  <conditionalFormatting sqref="A68">
    <cfRule type="cellIs" dxfId="28" priority="5" operator="between">
      <formula>-0.0000000000001</formula>
      <formula>0.0000000000001</formula>
    </cfRule>
  </conditionalFormatting>
  <conditionalFormatting sqref="A68">
    <cfRule type="cellIs" dxfId="27" priority="4" operator="between">
      <formula>-0.0000000000001</formula>
      <formula>0.0000000000001</formula>
    </cfRule>
  </conditionalFormatting>
  <conditionalFormatting sqref="A100">
    <cfRule type="cellIs" dxfId="26" priority="3" operator="between">
      <formula>-0.0000000000001</formula>
      <formula>0.0000000000001</formula>
    </cfRule>
  </conditionalFormatting>
  <conditionalFormatting sqref="A100">
    <cfRule type="cellIs" dxfId="25" priority="2" operator="between">
      <formula>-0.0000000000001</formula>
      <formula>0.0000000000001</formula>
    </cfRule>
  </conditionalFormatting>
  <conditionalFormatting sqref="A100">
    <cfRule type="cellIs" dxfId="24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CEFA-7CBA-4443-A759-14860C793C0A}">
  <sheetPr>
    <tabColor theme="4" tint="0.59999389629810485"/>
  </sheetPr>
  <dimension ref="B2:AY43"/>
  <sheetViews>
    <sheetView topLeftCell="H1" zoomScale="85" zoomScaleNormal="85" workbookViewId="0">
      <selection activeCell="Z6" sqref="Z6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94" customWidth="1"/>
    <col min="14" max="14" width="9.140625" style="5" customWidth="1" outlineLevel="1"/>
    <col min="15" max="16" width="9.140625" style="84" customWidth="1" outlineLevel="1"/>
    <col min="17" max="19" width="8.85546875" style="84" customWidth="1" outlineLevel="1"/>
    <col min="20" max="20" width="10.7109375" style="84" customWidth="1" outlineLevel="1"/>
    <col min="21" max="21" width="10.28515625" style="84" customWidth="1" outlineLevel="1"/>
    <col min="22" max="22" width="10" customWidth="1" outlineLevel="1"/>
    <col min="23" max="23" width="9.5703125" customWidth="1" outlineLevel="1"/>
    <col min="24" max="24" width="15.42578125" style="95" customWidth="1"/>
    <col min="25" max="25" width="23.7109375" customWidth="1"/>
  </cols>
  <sheetData>
    <row r="2" spans="2:51" x14ac:dyDescent="0.25">
      <c r="B2" s="82" t="s">
        <v>116</v>
      </c>
      <c r="N2" s="91" t="s">
        <v>117</v>
      </c>
    </row>
    <row r="3" spans="2:51" x14ac:dyDescent="0.25">
      <c r="H3" s="82" t="s">
        <v>118</v>
      </c>
    </row>
    <row r="4" spans="2:51" x14ac:dyDescent="0.25">
      <c r="C4" s="96" t="s">
        <v>119</v>
      </c>
      <c r="H4" s="84" t="s">
        <v>120</v>
      </c>
      <c r="I4" s="84" t="s">
        <v>120</v>
      </c>
      <c r="J4" s="84" t="s">
        <v>121</v>
      </c>
      <c r="K4" s="84" t="s">
        <v>121</v>
      </c>
      <c r="Q4" s="84" t="s">
        <v>122</v>
      </c>
      <c r="R4" s="84" t="s">
        <v>123</v>
      </c>
      <c r="S4" s="84" t="s">
        <v>124</v>
      </c>
      <c r="Z4" t="s">
        <v>125</v>
      </c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</row>
    <row r="5" spans="2:51" x14ac:dyDescent="0.25">
      <c r="B5" s="97" t="s">
        <v>126</v>
      </c>
      <c r="C5" s="97" t="s">
        <v>127</v>
      </c>
      <c r="D5" s="98" t="s">
        <v>128</v>
      </c>
      <c r="E5" s="97" t="s">
        <v>129</v>
      </c>
      <c r="F5" s="97" t="s">
        <v>130</v>
      </c>
      <c r="G5" s="97" t="s">
        <v>131</v>
      </c>
      <c r="H5" s="97" t="s">
        <v>132</v>
      </c>
      <c r="I5" s="97" t="s">
        <v>133</v>
      </c>
      <c r="J5" s="97" t="s">
        <v>134</v>
      </c>
      <c r="K5" s="97" t="s">
        <v>135</v>
      </c>
      <c r="L5" s="99" t="s">
        <v>136</v>
      </c>
      <c r="N5" s="98" t="s">
        <v>126</v>
      </c>
      <c r="O5" s="97" t="s">
        <v>127</v>
      </c>
      <c r="P5" s="97" t="s">
        <v>128</v>
      </c>
      <c r="Q5" s="97" t="s">
        <v>129</v>
      </c>
      <c r="R5" s="97" t="s">
        <v>130</v>
      </c>
      <c r="S5" s="97" t="s">
        <v>131</v>
      </c>
      <c r="T5" s="97" t="str">
        <f>H5</f>
        <v>FirstPeriod</v>
      </c>
      <c r="U5" s="97" t="str">
        <f>I5</f>
        <v>LastPeriod</v>
      </c>
      <c r="V5" s="97" t="str">
        <f>J5</f>
        <v>FirstValue</v>
      </c>
      <c r="W5" s="97" t="str">
        <f>K5</f>
        <v>LastValue</v>
      </c>
      <c r="Z5" s="100">
        <v>1</v>
      </c>
      <c r="AA5" s="100">
        <v>2</v>
      </c>
      <c r="AB5" s="100">
        <v>3</v>
      </c>
      <c r="AC5" s="100">
        <v>4</v>
      </c>
      <c r="AD5" s="100">
        <v>5</v>
      </c>
      <c r="AE5" s="100">
        <v>6</v>
      </c>
      <c r="AF5" s="100">
        <v>7</v>
      </c>
      <c r="AG5" s="100">
        <v>8</v>
      </c>
      <c r="AH5" s="100">
        <v>9</v>
      </c>
      <c r="AI5" s="100">
        <v>10</v>
      </c>
      <c r="AJ5" s="100">
        <v>11</v>
      </c>
      <c r="AK5" s="100">
        <v>12</v>
      </c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</row>
    <row r="6" spans="2:51" x14ac:dyDescent="0.25">
      <c r="B6" s="101" t="s">
        <v>137</v>
      </c>
      <c r="C6" s="101">
        <v>1</v>
      </c>
      <c r="D6" s="89">
        <v>1</v>
      </c>
      <c r="E6" s="5" t="s">
        <v>138</v>
      </c>
      <c r="F6" s="5" t="s">
        <v>139</v>
      </c>
      <c r="G6" s="5" t="s">
        <v>140</v>
      </c>
      <c r="H6" s="84"/>
      <c r="I6" s="84"/>
      <c r="J6">
        <v>0</v>
      </c>
      <c r="N6" s="5" t="s">
        <v>141</v>
      </c>
      <c r="O6" s="101">
        <f>C6</f>
        <v>1</v>
      </c>
      <c r="P6" s="89">
        <f>D6</f>
        <v>1</v>
      </c>
      <c r="Q6" s="89">
        <f>IFERROR(MATCH(E6,listRoot,0),IF(C6=0,"",-1))</f>
        <v>1</v>
      </c>
      <c r="R6" s="89">
        <f ca="1">_xlfn.LET(_xlpm.ran,OFFSET(OfzNiveau2,Q6,1,1,COLUMNS(arrNiv2)),IFERROR(MATCH(F6,_xlpm.ran,0),IF(C6=0,"",-1)))</f>
        <v>6</v>
      </c>
      <c r="S6" s="89">
        <f ca="1">_xlfn.LET(_xlpm.ran,OFFSET(OfzNiveau3,Q6,1,1,COLUMNS(arrNiv3)),IFERROR(MATCH(G6,_xlpm.ran,0),IF(C6=0,"",-1)))</f>
        <v>1</v>
      </c>
      <c r="T6" s="89">
        <f>H6</f>
        <v>0</v>
      </c>
      <c r="U6" s="89">
        <f>I6</f>
        <v>0</v>
      </c>
      <c r="V6">
        <f>IF(ISBLANK(J6),"",J6)</f>
        <v>0</v>
      </c>
      <c r="W6" t="str">
        <f>IF(ISBLANK(K6),"",K6)</f>
        <v/>
      </c>
      <c r="Y6" t="str">
        <f>IF(C6=0,"",E6&amp;"."&amp;F6&amp;"."&amp;G6)</f>
        <v>Control.FixAffald.VOID</v>
      </c>
      <c r="Z6" t="str">
        <f>IF(OR(Z$5&lt;$T6,Z$5&gt;$U6),"",$V6+(Z$5-$T6)*($W6-$V6)/($U6-$T6))</f>
        <v/>
      </c>
      <c r="AA6" t="str">
        <f t="shared" ref="AA6:AK21" si="0">IF(OR(AA$5&lt;$T6,AA$5&gt;$U6),"",$V6+(AA$5-$T6)*($W6-$V6)/($U6-$T6))</f>
        <v/>
      </c>
      <c r="AB6" t="str">
        <f t="shared" si="0"/>
        <v/>
      </c>
      <c r="AC6" t="str">
        <f t="shared" si="0"/>
        <v/>
      </c>
      <c r="AD6" t="str">
        <f t="shared" si="0"/>
        <v/>
      </c>
      <c r="AE6" t="str">
        <f t="shared" si="0"/>
        <v/>
      </c>
      <c r="AF6" t="str">
        <f t="shared" si="0"/>
        <v/>
      </c>
      <c r="AG6" t="str">
        <f t="shared" si="0"/>
        <v/>
      </c>
      <c r="AH6" t="str">
        <f t="shared" si="0"/>
        <v/>
      </c>
      <c r="AI6" t="str">
        <f t="shared" si="0"/>
        <v/>
      </c>
      <c r="AJ6" t="str">
        <f t="shared" si="0"/>
        <v/>
      </c>
      <c r="AK6" t="str">
        <f t="shared" si="0"/>
        <v/>
      </c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</row>
    <row r="7" spans="2:51" x14ac:dyDescent="0.25">
      <c r="B7" s="101" t="s">
        <v>142</v>
      </c>
      <c r="C7" s="101">
        <v>1</v>
      </c>
      <c r="D7" s="89">
        <v>1</v>
      </c>
      <c r="E7" s="5" t="s">
        <v>138</v>
      </c>
      <c r="F7" s="5" t="s">
        <v>143</v>
      </c>
      <c r="G7" s="5" t="s">
        <v>140</v>
      </c>
      <c r="H7" s="84"/>
      <c r="I7" s="84"/>
      <c r="J7">
        <v>22.22</v>
      </c>
      <c r="N7" s="5" t="s">
        <v>144</v>
      </c>
      <c r="O7" s="101">
        <f>C7</f>
        <v>1</v>
      </c>
      <c r="P7" s="89">
        <f t="shared" ref="P7:P21" si="1">D7</f>
        <v>1</v>
      </c>
      <c r="Q7" s="89">
        <f>IFERROR(MATCH(E7,listRoot,0),IF(C7=0,"",-1))</f>
        <v>1</v>
      </c>
      <c r="R7" s="89">
        <f ca="1">_xlfn.LET(_xlpm.ran,OFFSET(OfzNiveau2,Q7,1,1,COLUMNS(arrNiv2)),IFERROR(MATCH(F7,_xlpm.ran,0),IF(C7=0,"",-1)))</f>
        <v>10</v>
      </c>
      <c r="S7" s="89">
        <f ca="1">_xlfn.LET(_xlpm.ran,OFFSET(OfzNiveau3,Q7,1,1,COLUMNS(arrNiv3)),IFERROR(MATCH(G7,_xlpm.ran,0),IF(C7=0,"",-1)))</f>
        <v>1</v>
      </c>
      <c r="T7" s="89">
        <f>H7</f>
        <v>0</v>
      </c>
      <c r="U7" s="89">
        <f>I7</f>
        <v>0</v>
      </c>
      <c r="V7">
        <f t="shared" ref="V7:W43" si="2">IF(ISBLANK(J7),"",J7)</f>
        <v>22.22</v>
      </c>
      <c r="W7" t="str">
        <f t="shared" si="2"/>
        <v/>
      </c>
      <c r="Y7" t="str">
        <f t="shared" ref="Y7:Y21" si="3">IF(C7=0,"",E7&amp;"."&amp;F7&amp;"."&amp;G7)</f>
        <v>Control.EgetforbrugKVV.VOID</v>
      </c>
      <c r="Z7" t="str">
        <f t="shared" ref="Z7:Z21" si="4">IF(OR(Z$5&lt;$T7,Z$5&gt;$U7),"",$V7+(Z$5-$T7)*($W7-$V7)/($U7-$T7))</f>
        <v/>
      </c>
      <c r="AA7" t="str">
        <f t="shared" si="0"/>
        <v/>
      </c>
      <c r="AB7" t="str">
        <f t="shared" si="0"/>
        <v/>
      </c>
      <c r="AC7" t="str">
        <f t="shared" si="0"/>
        <v/>
      </c>
      <c r="AD7" t="str">
        <f t="shared" si="0"/>
        <v/>
      </c>
      <c r="AE7" t="str">
        <f t="shared" si="0"/>
        <v/>
      </c>
      <c r="AF7" t="str">
        <f t="shared" si="0"/>
        <v/>
      </c>
      <c r="AG7" t="str">
        <f t="shared" si="0"/>
        <v/>
      </c>
      <c r="AH7" t="str">
        <f t="shared" si="0"/>
        <v/>
      </c>
      <c r="AI7" t="str">
        <f t="shared" si="0"/>
        <v/>
      </c>
      <c r="AJ7" t="str">
        <f t="shared" si="0"/>
        <v/>
      </c>
      <c r="AK7" t="str">
        <f t="shared" si="0"/>
        <v/>
      </c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</row>
    <row r="8" spans="2:51" x14ac:dyDescent="0.25">
      <c r="B8" s="101" t="s">
        <v>145</v>
      </c>
      <c r="C8" s="101">
        <v>1</v>
      </c>
      <c r="D8" s="89">
        <v>1</v>
      </c>
      <c r="E8" s="5" t="s">
        <v>146</v>
      </c>
      <c r="F8" s="5" t="s">
        <v>42</v>
      </c>
      <c r="G8" s="5" t="s">
        <v>127</v>
      </c>
      <c r="H8" s="84"/>
      <c r="I8" s="84"/>
      <c r="J8">
        <v>0</v>
      </c>
      <c r="N8" s="5" t="s">
        <v>147</v>
      </c>
      <c r="O8" s="101">
        <f>C8</f>
        <v>1</v>
      </c>
      <c r="P8" s="89">
        <f t="shared" si="1"/>
        <v>1</v>
      </c>
      <c r="Q8" s="89">
        <f>IFERROR(MATCH(E8,listRoot,0),IF(C8=0,"",-1))</f>
        <v>2</v>
      </c>
      <c r="R8" s="89">
        <f ca="1">_xlfn.LET(_xlpm.ran,OFFSET(OfzNiveau2,Q8,1,1,COLUMNS(arrNiv2)),IFERROR(MATCH(F8,_xlpm.ran,0),IF(C8=0,"",-1)))</f>
        <v>3</v>
      </c>
      <c r="S8" s="89">
        <f ca="1">_xlfn.LET(_xlpm.ran,OFFSET(OfzNiveau3,Q8,1,1,COLUMNS(arrNiv3)),IFERROR(MATCH(G8,_xlpm.ran,0),IF(C8=0,"",-1)))</f>
        <v>1</v>
      </c>
      <c r="T8" s="89">
        <f>H8</f>
        <v>0</v>
      </c>
      <c r="U8" s="89">
        <f>I8</f>
        <v>0</v>
      </c>
      <c r="V8">
        <f t="shared" si="2"/>
        <v>0</v>
      </c>
      <c r="W8" t="str">
        <f t="shared" si="2"/>
        <v/>
      </c>
      <c r="Y8" t="str">
        <f t="shared" si="3"/>
        <v>Plant.FlisK.Aktiv</v>
      </c>
      <c r="Z8" t="str">
        <f t="shared" si="4"/>
        <v/>
      </c>
      <c r="AA8" t="str">
        <f t="shared" si="0"/>
        <v/>
      </c>
      <c r="AB8" t="str">
        <f t="shared" si="0"/>
        <v/>
      </c>
      <c r="AC8" t="str">
        <f t="shared" si="0"/>
        <v/>
      </c>
      <c r="AD8" t="str">
        <f t="shared" si="0"/>
        <v/>
      </c>
      <c r="AE8" t="str">
        <f t="shared" si="0"/>
        <v/>
      </c>
      <c r="AF8" t="str">
        <f t="shared" si="0"/>
        <v/>
      </c>
      <c r="AG8" t="str">
        <f t="shared" si="0"/>
        <v/>
      </c>
      <c r="AH8" t="str">
        <f t="shared" si="0"/>
        <v/>
      </c>
      <c r="AI8" t="str">
        <f t="shared" si="0"/>
        <v/>
      </c>
      <c r="AJ8" t="str">
        <f t="shared" si="0"/>
        <v/>
      </c>
      <c r="AK8" t="str">
        <f t="shared" si="0"/>
        <v/>
      </c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</row>
    <row r="9" spans="2:51" x14ac:dyDescent="0.25">
      <c r="B9" s="101" t="s">
        <v>148</v>
      </c>
      <c r="C9" s="101">
        <v>1</v>
      </c>
      <c r="D9" s="89">
        <v>1</v>
      </c>
      <c r="E9" s="5" t="s">
        <v>149</v>
      </c>
      <c r="F9" s="5" t="s">
        <v>90</v>
      </c>
      <c r="G9" s="5" t="s">
        <v>140</v>
      </c>
      <c r="H9" s="84">
        <v>1</v>
      </c>
      <c r="I9" s="84">
        <v>4</v>
      </c>
      <c r="J9">
        <v>555</v>
      </c>
      <c r="K9">
        <v>855</v>
      </c>
      <c r="N9" s="5" t="s">
        <v>150</v>
      </c>
      <c r="O9" s="101">
        <f>C9</f>
        <v>1</v>
      </c>
      <c r="P9" s="89">
        <f t="shared" si="1"/>
        <v>1</v>
      </c>
      <c r="Q9" s="89">
        <f>IFERROR(MATCH(E9,listRoot,0),IF(C9=0,"",-1))</f>
        <v>4</v>
      </c>
      <c r="R9" s="89">
        <f ca="1">_xlfn.LET(_xlpm.ran,OFFSET(OfzNiveau2,Q9,1,1,COLUMNS(arrNiv2)),IFERROR(MATCH(F9,_xlpm.ran,0),IF(C9=0,"",-1)))</f>
        <v>14</v>
      </c>
      <c r="S9" s="89">
        <f ca="1">_xlfn.LET(_xlpm.ran,OFFSET(OfzNiveau3,Q9,1,1,COLUMNS(arrNiv3)),IFERROR(MATCH(G9,_xlpm.ran,0),IF(C9=0,"",-1)))</f>
        <v>1</v>
      </c>
      <c r="T9" s="89">
        <f>H9</f>
        <v>1</v>
      </c>
      <c r="U9" s="89">
        <f t="shared" ref="U9:U21" si="5">I9</f>
        <v>4</v>
      </c>
      <c r="V9">
        <f t="shared" si="2"/>
        <v>555</v>
      </c>
      <c r="W9">
        <f t="shared" si="2"/>
        <v>855</v>
      </c>
      <c r="Y9" t="str">
        <f t="shared" si="3"/>
        <v>Prognoses.Elpris.VOID</v>
      </c>
      <c r="Z9">
        <f t="shared" si="4"/>
        <v>555</v>
      </c>
      <c r="AA9">
        <f t="shared" si="0"/>
        <v>655</v>
      </c>
      <c r="AB9">
        <f t="shared" si="0"/>
        <v>755</v>
      </c>
      <c r="AC9">
        <f t="shared" si="0"/>
        <v>855</v>
      </c>
      <c r="AD9" t="str">
        <f t="shared" si="0"/>
        <v/>
      </c>
      <c r="AE9" t="str">
        <f t="shared" si="0"/>
        <v/>
      </c>
      <c r="AF9" t="str">
        <f t="shared" si="0"/>
        <v/>
      </c>
      <c r="AG9" t="str">
        <f t="shared" si="0"/>
        <v/>
      </c>
      <c r="AH9" t="str">
        <f t="shared" si="0"/>
        <v/>
      </c>
      <c r="AI9" t="str">
        <f t="shared" si="0"/>
        <v/>
      </c>
      <c r="AJ9" t="str">
        <f t="shared" si="0"/>
        <v/>
      </c>
      <c r="AK9" t="str">
        <f t="shared" si="0"/>
        <v/>
      </c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</row>
    <row r="10" spans="2:51" x14ac:dyDescent="0.25">
      <c r="B10" s="101" t="s">
        <v>151</v>
      </c>
      <c r="C10" s="101">
        <v>1</v>
      </c>
      <c r="D10" s="89">
        <v>1</v>
      </c>
      <c r="E10" s="5" t="s">
        <v>149</v>
      </c>
      <c r="F10" s="5" t="s">
        <v>91</v>
      </c>
      <c r="G10" s="5" t="s">
        <v>140</v>
      </c>
      <c r="H10" s="84">
        <v>6</v>
      </c>
      <c r="I10" s="84">
        <v>10</v>
      </c>
      <c r="J10">
        <v>444</v>
      </c>
      <c r="K10">
        <v>944</v>
      </c>
      <c r="N10" s="5" t="s">
        <v>152</v>
      </c>
      <c r="O10" s="101">
        <f t="shared" ref="O10:O21" si="6">C10</f>
        <v>1</v>
      </c>
      <c r="P10" s="89">
        <f t="shared" si="1"/>
        <v>1</v>
      </c>
      <c r="Q10" s="89">
        <f>IFERROR(MATCH(E10,listRoot,0),IF(C10=0,"",-1))</f>
        <v>4</v>
      </c>
      <c r="R10" s="89">
        <f ca="1">_xlfn.LET(_xlpm.ran,OFFSET(OfzNiveau2,Q10,1,1,COLUMNS(arrNiv2)),IFERROR(MATCH(F10,_xlpm.ran,0),IF(C10=0,"",-1)))</f>
        <v>15</v>
      </c>
      <c r="S10" s="89">
        <f ca="1">_xlfn.LET(_xlpm.ran,OFFSET(OfzNiveau3,Q10,1,1,COLUMNS(arrNiv3)),IFERROR(MATCH(G10,_xlpm.ran,0),IF(C10=0,"",-1)))</f>
        <v>1</v>
      </c>
      <c r="T10" s="89">
        <v>2</v>
      </c>
      <c r="U10" s="89">
        <v>6</v>
      </c>
      <c r="V10">
        <f t="shared" si="2"/>
        <v>444</v>
      </c>
      <c r="W10">
        <f t="shared" si="2"/>
        <v>944</v>
      </c>
      <c r="Y10" t="str">
        <f t="shared" si="3"/>
        <v>Prognoses.ETS.VOID</v>
      </c>
      <c r="Z10" t="str">
        <f t="shared" si="4"/>
        <v/>
      </c>
      <c r="AA10">
        <f t="shared" si="0"/>
        <v>444</v>
      </c>
      <c r="AB10">
        <f t="shared" si="0"/>
        <v>569</v>
      </c>
      <c r="AC10">
        <f t="shared" si="0"/>
        <v>694</v>
      </c>
      <c r="AD10">
        <f t="shared" si="0"/>
        <v>819</v>
      </c>
      <c r="AE10">
        <f t="shared" si="0"/>
        <v>944</v>
      </c>
      <c r="AF10" t="str">
        <f t="shared" si="0"/>
        <v/>
      </c>
      <c r="AG10" t="str">
        <f t="shared" si="0"/>
        <v/>
      </c>
      <c r="AH10" t="str">
        <f t="shared" si="0"/>
        <v/>
      </c>
      <c r="AI10" t="str">
        <f t="shared" si="0"/>
        <v/>
      </c>
      <c r="AJ10" t="str">
        <f t="shared" si="0"/>
        <v/>
      </c>
      <c r="AK10" t="str">
        <f t="shared" si="0"/>
        <v/>
      </c>
    </row>
    <row r="11" spans="2:51" x14ac:dyDescent="0.25">
      <c r="B11" s="101" t="s">
        <v>153</v>
      </c>
      <c r="C11" s="101">
        <v>1</v>
      </c>
      <c r="D11" s="89">
        <v>1</v>
      </c>
      <c r="E11" s="5" t="s">
        <v>154</v>
      </c>
      <c r="F11" s="5" t="s">
        <v>68</v>
      </c>
      <c r="G11" s="5" t="s">
        <v>155</v>
      </c>
      <c r="H11" s="84"/>
      <c r="I11" s="96"/>
      <c r="J11">
        <v>99999</v>
      </c>
      <c r="N11" s="5" t="s">
        <v>156</v>
      </c>
      <c r="O11" s="101">
        <f t="shared" si="6"/>
        <v>1</v>
      </c>
      <c r="P11" s="89">
        <f t="shared" si="1"/>
        <v>1</v>
      </c>
      <c r="Q11" s="89">
        <f>IFERROR(MATCH(E11,listRoot,0),IF(C11=0,"",-1))</f>
        <v>5</v>
      </c>
      <c r="R11" s="89">
        <f ca="1">_xlfn.LET(_xlpm.ran,OFFSET(OfzNiveau2,Q11,1,1,COLUMNS(arrNiv2)),IFERROR(MATCH(F11,_xlpm.ran,0),IF(C11=0,"",-1)))</f>
        <v>22</v>
      </c>
      <c r="S11" s="89">
        <f ca="1">_xlfn.LET(_xlpm.ran,OFFSET(OfzNiveau3,Q11,1,1,COLUMNS(arrNiv3)),IFERROR(MATCH(G11,_xlpm.ran,0),IF(C11=0,"",-1)))</f>
        <v>9</v>
      </c>
      <c r="T11" s="89">
        <f t="shared" ref="T11:T21" si="7">H11</f>
        <v>0</v>
      </c>
      <c r="U11" s="89">
        <f t="shared" si="5"/>
        <v>0</v>
      </c>
      <c r="V11">
        <f t="shared" si="2"/>
        <v>99999</v>
      </c>
      <c r="W11" t="str">
        <f t="shared" si="2"/>
        <v/>
      </c>
      <c r="Y11" t="str">
        <f t="shared" si="3"/>
        <v>Fuel.NyAff1.MinTonnage</v>
      </c>
      <c r="Z11" t="str">
        <f t="shared" si="4"/>
        <v/>
      </c>
      <c r="AA11" t="str">
        <f t="shared" si="0"/>
        <v/>
      </c>
      <c r="AB11" t="str">
        <f t="shared" si="0"/>
        <v/>
      </c>
      <c r="AC11" t="str">
        <f t="shared" si="0"/>
        <v/>
      </c>
      <c r="AD11" t="str">
        <f t="shared" si="0"/>
        <v/>
      </c>
      <c r="AE11" t="str">
        <f t="shared" si="0"/>
        <v/>
      </c>
      <c r="AF11" t="str">
        <f t="shared" si="0"/>
        <v/>
      </c>
      <c r="AG11" t="str">
        <f t="shared" si="0"/>
        <v/>
      </c>
      <c r="AH11" t="str">
        <f t="shared" si="0"/>
        <v/>
      </c>
      <c r="AI11" t="str">
        <f t="shared" si="0"/>
        <v/>
      </c>
      <c r="AJ11" t="str">
        <f t="shared" si="0"/>
        <v/>
      </c>
      <c r="AK11" t="str">
        <f t="shared" si="0"/>
        <v/>
      </c>
    </row>
    <row r="12" spans="2:51" x14ac:dyDescent="0.25">
      <c r="B12" s="101" t="s">
        <v>157</v>
      </c>
      <c r="C12" s="101">
        <v>1</v>
      </c>
      <c r="D12" s="89">
        <v>1</v>
      </c>
      <c r="E12" s="5" t="s">
        <v>158</v>
      </c>
      <c r="F12" s="5" t="s">
        <v>68</v>
      </c>
      <c r="G12" s="5" t="s">
        <v>159</v>
      </c>
      <c r="H12" s="84">
        <v>6</v>
      </c>
      <c r="I12" s="84">
        <v>36</v>
      </c>
      <c r="J12">
        <v>9.8765400000000003</v>
      </c>
      <c r="K12">
        <v>12.345677999999999</v>
      </c>
      <c r="N12" s="5" t="s">
        <v>160</v>
      </c>
      <c r="O12" s="101">
        <f t="shared" si="6"/>
        <v>1</v>
      </c>
      <c r="P12" s="89">
        <f t="shared" si="1"/>
        <v>1</v>
      </c>
      <c r="Q12" s="89">
        <f>IFERROR(MATCH(E12,listRoot,0),IF(C12=0,"",-1))</f>
        <v>6</v>
      </c>
      <c r="R12" s="89">
        <f ca="1">_xlfn.LET(_xlpm.ran,OFFSET(OfzNiveau2,Q12,1,1,COLUMNS(arrNiv2)),IFERROR(MATCH(F12,_xlpm.ran,0),IF(C12=0,"",-1)))</f>
        <v>22</v>
      </c>
      <c r="S12" s="89">
        <f ca="1">_xlfn.LET(_xlpm.ran,OFFSET(OfzNiveau3,Q12,1,1,COLUMNS(arrNiv3)),IFERROR(MATCH(G12,_xlpm.ran,0),IF(C12=0,"",-1)))</f>
        <v>6</v>
      </c>
      <c r="T12" s="89">
        <f t="shared" si="7"/>
        <v>6</v>
      </c>
      <c r="U12" s="89">
        <f t="shared" si="5"/>
        <v>36</v>
      </c>
      <c r="V12">
        <f t="shared" si="2"/>
        <v>9.8765400000000003</v>
      </c>
      <c r="W12">
        <f t="shared" si="2"/>
        <v>12.345677999999999</v>
      </c>
      <c r="Y12" t="str">
        <f t="shared" si="3"/>
        <v>FuelBounds.NyAff1.LHV</v>
      </c>
      <c r="Z12" t="str">
        <f t="shared" si="4"/>
        <v/>
      </c>
      <c r="AA12" t="str">
        <f t="shared" si="0"/>
        <v/>
      </c>
      <c r="AB12" t="str">
        <f t="shared" si="0"/>
        <v/>
      </c>
      <c r="AC12" t="str">
        <f t="shared" si="0"/>
        <v/>
      </c>
      <c r="AD12" t="str">
        <f t="shared" si="0"/>
        <v/>
      </c>
      <c r="AE12">
        <f t="shared" si="0"/>
        <v>9.8765400000000003</v>
      </c>
      <c r="AF12">
        <f t="shared" si="0"/>
        <v>9.9588446000000008</v>
      </c>
      <c r="AG12">
        <f t="shared" si="0"/>
        <v>10.0411492</v>
      </c>
      <c r="AH12">
        <f t="shared" si="0"/>
        <v>10.1234538</v>
      </c>
      <c r="AI12">
        <f t="shared" si="0"/>
        <v>10.205758400000001</v>
      </c>
      <c r="AJ12">
        <f t="shared" si="0"/>
        <v>10.288063000000001</v>
      </c>
      <c r="AK12">
        <f t="shared" si="0"/>
        <v>10.3703676</v>
      </c>
    </row>
    <row r="13" spans="2:51" x14ac:dyDescent="0.25">
      <c r="B13" s="101" t="s">
        <v>161</v>
      </c>
      <c r="C13" s="101">
        <v>0</v>
      </c>
      <c r="D13" s="89">
        <v>1</v>
      </c>
      <c r="E13" s="5" t="s">
        <v>138</v>
      </c>
      <c r="F13" s="5"/>
      <c r="G13" s="5"/>
      <c r="H13" s="84"/>
      <c r="I13" s="84"/>
      <c r="N13" s="5" t="s">
        <v>162</v>
      </c>
      <c r="O13" s="101">
        <f t="shared" si="6"/>
        <v>0</v>
      </c>
      <c r="P13" s="89">
        <f t="shared" si="1"/>
        <v>1</v>
      </c>
      <c r="Q13" s="89">
        <f>IFERROR(MATCH(E13,listRoot,0),IF(C13=0,"",-1))</f>
        <v>1</v>
      </c>
      <c r="R13" s="89" t="str">
        <f ca="1">_xlfn.LET(_xlpm.ran,OFFSET(OfzNiveau2,Q13,1,1,COLUMNS(arrNiv2)),IFERROR(MATCH(F13,_xlpm.ran,0),IF(C13=0,"",-1)))</f>
        <v/>
      </c>
      <c r="S13" s="89" t="str">
        <f ca="1">_xlfn.LET(_xlpm.ran,OFFSET(OfzNiveau3,Q13,1,1,COLUMNS(arrNiv3)),IFERROR(MATCH(G13,_xlpm.ran,0),IF(C13=0,"",-1)))</f>
        <v/>
      </c>
      <c r="T13" s="89">
        <f t="shared" si="7"/>
        <v>0</v>
      </c>
      <c r="U13" s="89">
        <f t="shared" si="5"/>
        <v>0</v>
      </c>
      <c r="V13" t="str">
        <f t="shared" si="2"/>
        <v/>
      </c>
      <c r="W13" t="str">
        <f t="shared" si="2"/>
        <v/>
      </c>
      <c r="Y13" t="str">
        <f t="shared" si="3"/>
        <v/>
      </c>
      <c r="Z13" t="str">
        <f t="shared" si="4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</row>
    <row r="14" spans="2:51" x14ac:dyDescent="0.25">
      <c r="B14" s="101" t="s">
        <v>163</v>
      </c>
      <c r="C14" s="101">
        <v>0</v>
      </c>
      <c r="D14" s="89">
        <v>1</v>
      </c>
      <c r="E14" s="5" t="s">
        <v>146</v>
      </c>
      <c r="F14" s="5"/>
      <c r="G14" s="5"/>
      <c r="H14" s="84"/>
      <c r="I14" s="84"/>
      <c r="N14" s="5" t="s">
        <v>164</v>
      </c>
      <c r="O14" s="101">
        <f t="shared" si="6"/>
        <v>0</v>
      </c>
      <c r="P14" s="89">
        <f t="shared" si="1"/>
        <v>1</v>
      </c>
      <c r="Q14" s="89">
        <f>IFERROR(MATCH(E14,listRoot,0),IF(C14=0,"",-1))</f>
        <v>2</v>
      </c>
      <c r="R14" s="89" t="str">
        <f ca="1">_xlfn.LET(_xlpm.ran,OFFSET(OfzNiveau2,Q14,1,1,COLUMNS(arrNiv2)),IFERROR(MATCH(F14,_xlpm.ran,0),IF(C14=0,"",-1)))</f>
        <v/>
      </c>
      <c r="S14" s="89" t="str">
        <f ca="1">_xlfn.LET(_xlpm.ran,OFFSET(OfzNiveau3,Q14,1,1,COLUMNS(arrNiv3)),IFERROR(MATCH(G14,_xlpm.ran,0),IF(C14=0,"",-1)))</f>
        <v/>
      </c>
      <c r="T14" s="89">
        <f t="shared" si="7"/>
        <v>0</v>
      </c>
      <c r="U14" s="89">
        <f t="shared" si="5"/>
        <v>0</v>
      </c>
      <c r="V14" t="str">
        <f t="shared" si="2"/>
        <v/>
      </c>
      <c r="W14" t="str">
        <f t="shared" si="2"/>
        <v/>
      </c>
      <c r="Y14" t="str">
        <f t="shared" si="3"/>
        <v/>
      </c>
      <c r="Z14" t="str">
        <f t="shared" si="4"/>
        <v/>
      </c>
      <c r="AA14" t="str">
        <f t="shared" si="0"/>
        <v/>
      </c>
      <c r="AB14" t="str">
        <f t="shared" si="0"/>
        <v/>
      </c>
      <c r="AC14" t="str">
        <f t="shared" si="0"/>
        <v/>
      </c>
      <c r="AD14" t="str">
        <f t="shared" si="0"/>
        <v/>
      </c>
      <c r="AE14" t="str">
        <f t="shared" si="0"/>
        <v/>
      </c>
      <c r="AF14" t="str">
        <f t="shared" si="0"/>
        <v/>
      </c>
      <c r="AG14" t="str">
        <f t="shared" si="0"/>
        <v/>
      </c>
      <c r="AH14" t="str">
        <f t="shared" si="0"/>
        <v/>
      </c>
      <c r="AI14" t="str">
        <f t="shared" si="0"/>
        <v/>
      </c>
      <c r="AJ14" t="str">
        <f t="shared" si="0"/>
        <v/>
      </c>
      <c r="AK14" t="str">
        <f t="shared" si="0"/>
        <v/>
      </c>
    </row>
    <row r="15" spans="2:51" x14ac:dyDescent="0.25">
      <c r="B15" s="101" t="s">
        <v>165</v>
      </c>
      <c r="C15" s="101">
        <v>0</v>
      </c>
      <c r="D15" s="89">
        <v>1</v>
      </c>
      <c r="E15" s="5" t="s">
        <v>146</v>
      </c>
      <c r="F15" s="5"/>
      <c r="G15" s="5"/>
      <c r="H15" s="84"/>
      <c r="I15" s="84"/>
      <c r="N15" s="5" t="s">
        <v>166</v>
      </c>
      <c r="O15" s="101">
        <f t="shared" si="6"/>
        <v>0</v>
      </c>
      <c r="P15" s="89">
        <f t="shared" si="1"/>
        <v>1</v>
      </c>
      <c r="Q15" s="89">
        <f>IFERROR(MATCH(E15,listRoot,0),IF(C15=0,"",-1))</f>
        <v>2</v>
      </c>
      <c r="R15" s="89" t="str">
        <f ca="1">_xlfn.LET(_xlpm.ran,OFFSET(OfzNiveau2,Q15,1,1,COLUMNS(arrNiv2)),IFERROR(MATCH(F15,_xlpm.ran,0),IF(C15=0,"",-1)))</f>
        <v/>
      </c>
      <c r="S15" s="89" t="str">
        <f ca="1">_xlfn.LET(_xlpm.ran,OFFSET(OfzNiveau3,Q15,1,1,COLUMNS(arrNiv3)),IFERROR(MATCH(G15,_xlpm.ran,0),IF(C15=0,"",-1)))</f>
        <v/>
      </c>
      <c r="T15" s="89">
        <f t="shared" si="7"/>
        <v>0</v>
      </c>
      <c r="U15" s="89">
        <f t="shared" si="5"/>
        <v>0</v>
      </c>
      <c r="V15" t="str">
        <f t="shared" si="2"/>
        <v/>
      </c>
      <c r="W15" t="str">
        <f t="shared" si="2"/>
        <v/>
      </c>
      <c r="Y15" t="str">
        <f t="shared" si="3"/>
        <v/>
      </c>
      <c r="Z15" t="str">
        <f t="shared" si="4"/>
        <v/>
      </c>
      <c r="AA15" t="str">
        <f t="shared" si="0"/>
        <v/>
      </c>
      <c r="AB15" t="str">
        <f t="shared" si="0"/>
        <v/>
      </c>
      <c r="AC15" t="str">
        <f t="shared" si="0"/>
        <v/>
      </c>
      <c r="AD15" t="str">
        <f t="shared" si="0"/>
        <v/>
      </c>
      <c r="AE15" t="str">
        <f t="shared" si="0"/>
        <v/>
      </c>
      <c r="AF15" t="str">
        <f t="shared" si="0"/>
        <v/>
      </c>
      <c r="AG15" t="str">
        <f t="shared" si="0"/>
        <v/>
      </c>
      <c r="AH15" t="str">
        <f t="shared" si="0"/>
        <v/>
      </c>
      <c r="AI15" t="str">
        <f t="shared" si="0"/>
        <v/>
      </c>
      <c r="AJ15" t="str">
        <f t="shared" si="0"/>
        <v/>
      </c>
      <c r="AK15" t="str">
        <f t="shared" si="0"/>
        <v/>
      </c>
    </row>
    <row r="16" spans="2:51" x14ac:dyDescent="0.25">
      <c r="B16" s="101" t="s">
        <v>167</v>
      </c>
      <c r="C16" s="101">
        <v>0</v>
      </c>
      <c r="D16" s="84">
        <v>1</v>
      </c>
      <c r="E16" s="5" t="s">
        <v>168</v>
      </c>
      <c r="F16" s="5"/>
      <c r="G16" s="5"/>
      <c r="N16" s="5" t="s">
        <v>169</v>
      </c>
      <c r="O16" s="101">
        <f t="shared" si="6"/>
        <v>0</v>
      </c>
      <c r="P16" s="84">
        <f t="shared" si="1"/>
        <v>1</v>
      </c>
      <c r="Q16" s="84">
        <f>IFERROR(MATCH(E16,listRoot,0),IF(C16=0,"",-1))</f>
        <v>3</v>
      </c>
      <c r="R16" s="84" t="str">
        <f ca="1">_xlfn.LET(_xlpm.ran,OFFSET(OfzNiveau2,Q16,1,1,COLUMNS(arrNiv2)),IFERROR(MATCH(F16,_xlpm.ran,0),IF(C16=0,"",-1)))</f>
        <v/>
      </c>
      <c r="S16" s="84" t="str">
        <f ca="1">_xlfn.LET(_xlpm.ran,OFFSET(OfzNiveau3,Q16,1,1,COLUMNS(arrNiv3)),IFERROR(MATCH(G16,_xlpm.ran,0),IF(C16=0,"",-1)))</f>
        <v/>
      </c>
      <c r="T16" s="84">
        <f t="shared" si="7"/>
        <v>0</v>
      </c>
      <c r="U16" s="84">
        <f t="shared" si="5"/>
        <v>0</v>
      </c>
      <c r="V16" t="str">
        <f t="shared" si="2"/>
        <v/>
      </c>
      <c r="W16" t="str">
        <f t="shared" si="2"/>
        <v/>
      </c>
      <c r="Y16" t="str">
        <f t="shared" si="3"/>
        <v/>
      </c>
      <c r="Z16" t="str">
        <f t="shared" si="4"/>
        <v/>
      </c>
      <c r="AA16" t="str">
        <f t="shared" si="0"/>
        <v/>
      </c>
      <c r="AB16" t="str">
        <f t="shared" si="0"/>
        <v/>
      </c>
      <c r="AC16" t="str">
        <f t="shared" si="0"/>
        <v/>
      </c>
      <c r="AD16" t="str">
        <f t="shared" si="0"/>
        <v/>
      </c>
      <c r="AE16" t="str">
        <f t="shared" si="0"/>
        <v/>
      </c>
      <c r="AF16" t="str">
        <f t="shared" si="0"/>
        <v/>
      </c>
      <c r="AG16" t="str">
        <f t="shared" si="0"/>
        <v/>
      </c>
      <c r="AH16" t="str">
        <f t="shared" si="0"/>
        <v/>
      </c>
      <c r="AI16" t="str">
        <f t="shared" si="0"/>
        <v/>
      </c>
      <c r="AJ16" t="str">
        <f t="shared" si="0"/>
        <v/>
      </c>
      <c r="AK16" t="str">
        <f t="shared" si="0"/>
        <v/>
      </c>
    </row>
    <row r="17" spans="2:37" x14ac:dyDescent="0.25">
      <c r="B17" s="101" t="s">
        <v>170</v>
      </c>
      <c r="C17" s="101">
        <v>0</v>
      </c>
      <c r="D17" s="84">
        <v>1</v>
      </c>
      <c r="E17" s="5" t="s">
        <v>149</v>
      </c>
      <c r="F17" s="5"/>
      <c r="G17" s="5"/>
      <c r="N17" s="5" t="s">
        <v>171</v>
      </c>
      <c r="O17" s="101">
        <f t="shared" si="6"/>
        <v>0</v>
      </c>
      <c r="P17" s="84">
        <f t="shared" si="1"/>
        <v>1</v>
      </c>
      <c r="Q17" s="84">
        <f>IFERROR(MATCH(E17,listRoot,0),IF(C17=0,"",-1))</f>
        <v>4</v>
      </c>
      <c r="R17" s="84" t="str">
        <f ca="1">_xlfn.LET(_xlpm.ran,OFFSET(OfzNiveau2,Q17,1,1,COLUMNS(arrNiv2)),IFERROR(MATCH(F17,_xlpm.ran,0),IF(C17=0,"",-1)))</f>
        <v/>
      </c>
      <c r="S17" s="84" t="str">
        <f ca="1">_xlfn.LET(_xlpm.ran,OFFSET(OfzNiveau3,Q17,1,1,COLUMNS(arrNiv3)),IFERROR(MATCH(G17,_xlpm.ran,0),IF(C17=0,"",-1)))</f>
        <v/>
      </c>
      <c r="T17" s="84">
        <f t="shared" si="7"/>
        <v>0</v>
      </c>
      <c r="U17" s="84">
        <f t="shared" si="5"/>
        <v>0</v>
      </c>
      <c r="V17" t="str">
        <f t="shared" si="2"/>
        <v/>
      </c>
      <c r="W17" t="str">
        <f t="shared" si="2"/>
        <v/>
      </c>
      <c r="Y17" t="str">
        <f t="shared" si="3"/>
        <v/>
      </c>
      <c r="Z17" t="str">
        <f t="shared" si="4"/>
        <v/>
      </c>
      <c r="AA17" t="str">
        <f t="shared" si="0"/>
        <v/>
      </c>
      <c r="AB17" t="str">
        <f t="shared" si="0"/>
        <v/>
      </c>
      <c r="AC17" t="str">
        <f t="shared" si="0"/>
        <v/>
      </c>
      <c r="AD17" t="str">
        <f t="shared" si="0"/>
        <v/>
      </c>
      <c r="AE17" t="str">
        <f t="shared" si="0"/>
        <v/>
      </c>
      <c r="AF17" t="str">
        <f t="shared" si="0"/>
        <v/>
      </c>
      <c r="AG17" t="str">
        <f t="shared" si="0"/>
        <v/>
      </c>
      <c r="AH17" t="str">
        <f t="shared" si="0"/>
        <v/>
      </c>
      <c r="AI17" t="str">
        <f t="shared" si="0"/>
        <v/>
      </c>
      <c r="AJ17" t="str">
        <f t="shared" si="0"/>
        <v/>
      </c>
      <c r="AK17" t="str">
        <f t="shared" si="0"/>
        <v/>
      </c>
    </row>
    <row r="18" spans="2:37" x14ac:dyDescent="0.25">
      <c r="B18" s="101" t="s">
        <v>172</v>
      </c>
      <c r="D18" s="84">
        <v>1</v>
      </c>
      <c r="E18" s="5" t="s">
        <v>154</v>
      </c>
      <c r="F18" s="5"/>
      <c r="G18" s="5"/>
      <c r="N18" s="5" t="s">
        <v>173</v>
      </c>
      <c r="O18" s="84">
        <f t="shared" si="6"/>
        <v>0</v>
      </c>
      <c r="P18" s="84">
        <f t="shared" si="1"/>
        <v>1</v>
      </c>
      <c r="Q18" s="84">
        <f>IFERROR(MATCH(E18,listRoot,0),IF(C18=0,"",-1))</f>
        <v>5</v>
      </c>
      <c r="R18" s="84" t="str">
        <f ca="1">_xlfn.LET(_xlpm.ran,OFFSET(OfzNiveau2,Q18,1,1,COLUMNS(arrNiv2)),IFERROR(MATCH(F18,_xlpm.ran,0),IF(C18=0,"",-1)))</f>
        <v/>
      </c>
      <c r="S18" s="84" t="str">
        <f ca="1">_xlfn.LET(_xlpm.ran,OFFSET(OfzNiveau3,Q18,1,1,COLUMNS(arrNiv3)),IFERROR(MATCH(G18,_xlpm.ran,0),IF(C18=0,"",-1)))</f>
        <v/>
      </c>
      <c r="T18" s="84">
        <f t="shared" si="7"/>
        <v>0</v>
      </c>
      <c r="U18" s="84">
        <f t="shared" si="5"/>
        <v>0</v>
      </c>
      <c r="V18" t="str">
        <f t="shared" si="2"/>
        <v/>
      </c>
      <c r="W18" t="str">
        <f t="shared" si="2"/>
        <v/>
      </c>
      <c r="Y18" t="str">
        <f t="shared" si="3"/>
        <v/>
      </c>
      <c r="Z18" t="str">
        <f t="shared" si="4"/>
        <v/>
      </c>
      <c r="AA18" t="str">
        <f t="shared" si="0"/>
        <v/>
      </c>
      <c r="AB18" t="str">
        <f t="shared" si="0"/>
        <v/>
      </c>
      <c r="AC18" t="str">
        <f t="shared" si="0"/>
        <v/>
      </c>
      <c r="AD18" t="str">
        <f t="shared" si="0"/>
        <v/>
      </c>
      <c r="AE18" t="str">
        <f t="shared" si="0"/>
        <v/>
      </c>
      <c r="AF18" t="str">
        <f t="shared" si="0"/>
        <v/>
      </c>
      <c r="AG18" t="str">
        <f t="shared" si="0"/>
        <v/>
      </c>
      <c r="AH18" t="str">
        <f t="shared" si="0"/>
        <v/>
      </c>
      <c r="AI18" t="str">
        <f t="shared" si="0"/>
        <v/>
      </c>
      <c r="AJ18" t="str">
        <f t="shared" si="0"/>
        <v/>
      </c>
      <c r="AK18" t="str">
        <f t="shared" si="0"/>
        <v/>
      </c>
    </row>
    <row r="19" spans="2:37" x14ac:dyDescent="0.25">
      <c r="B19" s="101" t="s">
        <v>174</v>
      </c>
      <c r="D19" s="84">
        <v>1</v>
      </c>
      <c r="E19" s="5" t="s">
        <v>154</v>
      </c>
      <c r="N19" s="5" t="s">
        <v>175</v>
      </c>
      <c r="O19" s="84">
        <f t="shared" si="6"/>
        <v>0</v>
      </c>
      <c r="P19" s="84">
        <f t="shared" si="1"/>
        <v>1</v>
      </c>
      <c r="Q19" s="84">
        <f>IFERROR(MATCH(E19,listRoot,0),IF(C19=0,"",-1))</f>
        <v>5</v>
      </c>
      <c r="R19" s="84" t="str">
        <f ca="1">_xlfn.LET(_xlpm.ran,OFFSET(OfzNiveau2,Q19,1,1,COLUMNS(arrNiv2)),IFERROR(MATCH(F19,_xlpm.ran,0),IF(C19=0,"",-1)))</f>
        <v/>
      </c>
      <c r="S19" s="84" t="str">
        <f ca="1">_xlfn.LET(_xlpm.ran,OFFSET(OfzNiveau3,Q19,1,1,COLUMNS(arrNiv3)),IFERROR(MATCH(G19,_xlpm.ran,0),IF(C19=0,"",-1)))</f>
        <v/>
      </c>
      <c r="T19" s="84">
        <f t="shared" si="7"/>
        <v>0</v>
      </c>
      <c r="U19" s="84">
        <f t="shared" si="5"/>
        <v>0</v>
      </c>
      <c r="V19" t="str">
        <f t="shared" si="2"/>
        <v/>
      </c>
      <c r="W19" t="str">
        <f t="shared" si="2"/>
        <v/>
      </c>
      <c r="Y19" t="str">
        <f t="shared" si="3"/>
        <v/>
      </c>
      <c r="Z19" t="str">
        <f t="shared" si="4"/>
        <v/>
      </c>
      <c r="AA19" t="str">
        <f t="shared" si="0"/>
        <v/>
      </c>
      <c r="AB19" t="str">
        <f t="shared" si="0"/>
        <v/>
      </c>
      <c r="AC19" t="str">
        <f t="shared" si="0"/>
        <v/>
      </c>
      <c r="AD19" t="str">
        <f t="shared" si="0"/>
        <v/>
      </c>
      <c r="AE19" t="str">
        <f t="shared" si="0"/>
        <v/>
      </c>
      <c r="AF19" t="str">
        <f t="shared" si="0"/>
        <v/>
      </c>
      <c r="AG19" t="str">
        <f t="shared" si="0"/>
        <v/>
      </c>
      <c r="AH19" t="str">
        <f t="shared" si="0"/>
        <v/>
      </c>
      <c r="AI19" t="str">
        <f t="shared" si="0"/>
        <v/>
      </c>
      <c r="AJ19" t="str">
        <f t="shared" si="0"/>
        <v/>
      </c>
      <c r="AK19" t="str">
        <f t="shared" si="0"/>
        <v/>
      </c>
    </row>
    <row r="20" spans="2:37" x14ac:dyDescent="0.25">
      <c r="B20" s="101" t="s">
        <v>176</v>
      </c>
      <c r="D20" s="84">
        <v>2</v>
      </c>
      <c r="E20" s="5" t="s">
        <v>138</v>
      </c>
      <c r="N20" s="5" t="s">
        <v>177</v>
      </c>
      <c r="O20" s="84">
        <f t="shared" si="6"/>
        <v>0</v>
      </c>
      <c r="P20" s="84">
        <f t="shared" si="1"/>
        <v>2</v>
      </c>
      <c r="Q20" s="84">
        <f>IFERROR(MATCH(E20,listRoot,0),IF(C20=0,"",-1))</f>
        <v>1</v>
      </c>
      <c r="R20" s="84" t="str">
        <f ca="1">_xlfn.LET(_xlpm.ran,OFFSET(OfzNiveau2,Q20,1,1,COLUMNS(arrNiv2)),IFERROR(MATCH(F20,_xlpm.ran,0),IF(C20=0,"",-1)))</f>
        <v/>
      </c>
      <c r="S20" s="84" t="str">
        <f ca="1">_xlfn.LET(_xlpm.ran,OFFSET(OfzNiveau3,Q20,1,1,COLUMNS(arrNiv3)),IFERROR(MATCH(G20,_xlpm.ran,0),IF(C20=0,"",-1)))</f>
        <v/>
      </c>
      <c r="T20" s="84">
        <f t="shared" si="7"/>
        <v>0</v>
      </c>
      <c r="U20" s="84">
        <f t="shared" si="5"/>
        <v>0</v>
      </c>
      <c r="V20" t="str">
        <f t="shared" si="2"/>
        <v/>
      </c>
      <c r="W20" t="str">
        <f t="shared" si="2"/>
        <v/>
      </c>
      <c r="Y20" t="str">
        <f t="shared" si="3"/>
        <v/>
      </c>
      <c r="Z20" t="str">
        <f t="shared" si="4"/>
        <v/>
      </c>
      <c r="AA20" t="str">
        <f t="shared" si="0"/>
        <v/>
      </c>
      <c r="AB20" t="str">
        <f t="shared" si="0"/>
        <v/>
      </c>
      <c r="AC20" t="str">
        <f t="shared" si="0"/>
        <v/>
      </c>
      <c r="AD20" t="str">
        <f t="shared" si="0"/>
        <v/>
      </c>
      <c r="AE20" t="str">
        <f t="shared" si="0"/>
        <v/>
      </c>
      <c r="AF20" t="str">
        <f t="shared" si="0"/>
        <v/>
      </c>
      <c r="AG20" t="str">
        <f t="shared" si="0"/>
        <v/>
      </c>
      <c r="AH20" t="str">
        <f t="shared" si="0"/>
        <v/>
      </c>
      <c r="AI20" t="str">
        <f t="shared" si="0"/>
        <v/>
      </c>
      <c r="AJ20" t="str">
        <f t="shared" si="0"/>
        <v/>
      </c>
      <c r="AK20" t="str">
        <f t="shared" si="0"/>
        <v/>
      </c>
    </row>
    <row r="21" spans="2:37" x14ac:dyDescent="0.25">
      <c r="B21" s="101" t="s">
        <v>178</v>
      </c>
      <c r="D21" s="84">
        <v>2</v>
      </c>
      <c r="E21" s="5" t="s">
        <v>168</v>
      </c>
      <c r="N21" s="5" t="s">
        <v>179</v>
      </c>
      <c r="O21" s="84">
        <f t="shared" si="6"/>
        <v>0</v>
      </c>
      <c r="P21" s="84">
        <f t="shared" si="1"/>
        <v>2</v>
      </c>
      <c r="Q21" s="84">
        <f>IFERROR(MATCH(E21,listRoot,0),IF(C21=0,"",-1))</f>
        <v>3</v>
      </c>
      <c r="R21" s="84" t="str">
        <f ca="1">_xlfn.LET(_xlpm.ran,OFFSET(OfzNiveau2,Q21,1,1,COLUMNS(arrNiv2)),IFERROR(MATCH(F21,_xlpm.ran,0),IF(C21=0,"",-1)))</f>
        <v/>
      </c>
      <c r="S21" s="84" t="str">
        <f ca="1">_xlfn.LET(_xlpm.ran,OFFSET(OfzNiveau3,Q21,1,1,COLUMNS(arrNiv3)),IFERROR(MATCH(G21,_xlpm.ran,0),IF(C21=0,"",-1)))</f>
        <v/>
      </c>
      <c r="T21" s="84">
        <f t="shared" si="7"/>
        <v>0</v>
      </c>
      <c r="U21" s="84">
        <f t="shared" si="5"/>
        <v>0</v>
      </c>
      <c r="V21" t="str">
        <f t="shared" si="2"/>
        <v/>
      </c>
      <c r="W21" t="str">
        <f t="shared" si="2"/>
        <v/>
      </c>
      <c r="Y21" t="str">
        <f t="shared" si="3"/>
        <v/>
      </c>
      <c r="Z21" t="str">
        <f t="shared" si="4"/>
        <v/>
      </c>
      <c r="AA21" t="str">
        <f t="shared" si="0"/>
        <v/>
      </c>
      <c r="AB21" t="str">
        <f t="shared" si="0"/>
        <v/>
      </c>
      <c r="AC21" t="str">
        <f t="shared" si="0"/>
        <v/>
      </c>
      <c r="AD21" t="str">
        <f t="shared" si="0"/>
        <v/>
      </c>
      <c r="AE21" t="str">
        <f t="shared" si="0"/>
        <v/>
      </c>
      <c r="AF21" t="str">
        <f t="shared" si="0"/>
        <v/>
      </c>
      <c r="AG21" t="str">
        <f t="shared" si="0"/>
        <v/>
      </c>
      <c r="AH21" t="str">
        <f t="shared" si="0"/>
        <v/>
      </c>
      <c r="AI21" t="str">
        <f t="shared" si="0"/>
        <v/>
      </c>
      <c r="AJ21" t="str">
        <f t="shared" si="0"/>
        <v/>
      </c>
      <c r="AK21" t="str">
        <f t="shared" si="0"/>
        <v/>
      </c>
    </row>
    <row r="22" spans="2:37" x14ac:dyDescent="0.25">
      <c r="B22" s="101" t="s">
        <v>180</v>
      </c>
      <c r="D22" s="84"/>
      <c r="V22" t="str">
        <f t="shared" si="2"/>
        <v/>
      </c>
      <c r="W22" t="str">
        <f t="shared" si="2"/>
        <v/>
      </c>
    </row>
    <row r="23" spans="2:37" x14ac:dyDescent="0.25">
      <c r="B23" s="101" t="s">
        <v>181</v>
      </c>
      <c r="D23" s="84"/>
      <c r="V23" t="str">
        <f t="shared" si="2"/>
        <v/>
      </c>
      <c r="W23" t="str">
        <f t="shared" si="2"/>
        <v/>
      </c>
    </row>
    <row r="24" spans="2:37" x14ac:dyDescent="0.25">
      <c r="B24" s="101" t="s">
        <v>182</v>
      </c>
      <c r="D24" s="84"/>
      <c r="V24" t="str">
        <f t="shared" si="2"/>
        <v/>
      </c>
      <c r="W24" t="str">
        <f t="shared" si="2"/>
        <v/>
      </c>
    </row>
    <row r="25" spans="2:37" x14ac:dyDescent="0.25">
      <c r="B25" s="101" t="s">
        <v>183</v>
      </c>
      <c r="D25" s="84"/>
      <c r="V25" t="str">
        <f t="shared" si="2"/>
        <v/>
      </c>
      <c r="W25" t="str">
        <f t="shared" si="2"/>
        <v/>
      </c>
    </row>
    <row r="26" spans="2:37" x14ac:dyDescent="0.25">
      <c r="B26" s="101" t="s">
        <v>184</v>
      </c>
      <c r="D26" s="84"/>
      <c r="V26" t="str">
        <f t="shared" si="2"/>
        <v/>
      </c>
      <c r="W26" t="str">
        <f t="shared" si="2"/>
        <v/>
      </c>
    </row>
    <row r="27" spans="2:37" x14ac:dyDescent="0.25">
      <c r="B27" s="101" t="s">
        <v>185</v>
      </c>
      <c r="D27" s="84"/>
      <c r="V27" t="str">
        <f t="shared" si="2"/>
        <v/>
      </c>
      <c r="W27" t="str">
        <f t="shared" si="2"/>
        <v/>
      </c>
    </row>
    <row r="28" spans="2:37" x14ac:dyDescent="0.25">
      <c r="B28" s="101" t="s">
        <v>186</v>
      </c>
      <c r="D28" s="84"/>
      <c r="V28" t="str">
        <f t="shared" si="2"/>
        <v/>
      </c>
      <c r="W28" t="str">
        <f t="shared" si="2"/>
        <v/>
      </c>
    </row>
    <row r="29" spans="2:37" x14ac:dyDescent="0.25">
      <c r="B29" s="101" t="s">
        <v>187</v>
      </c>
      <c r="D29" s="84"/>
      <c r="V29" t="str">
        <f t="shared" si="2"/>
        <v/>
      </c>
      <c r="W29" t="str">
        <f t="shared" si="2"/>
        <v/>
      </c>
    </row>
    <row r="30" spans="2:37" x14ac:dyDescent="0.25">
      <c r="B30" s="101" t="s">
        <v>188</v>
      </c>
      <c r="D30" s="84"/>
      <c r="V30" t="str">
        <f t="shared" si="2"/>
        <v/>
      </c>
      <c r="W30" t="str">
        <f t="shared" si="2"/>
        <v/>
      </c>
    </row>
    <row r="31" spans="2:37" x14ac:dyDescent="0.25">
      <c r="B31" s="101" t="s">
        <v>189</v>
      </c>
      <c r="D31" s="84"/>
      <c r="V31" t="str">
        <f t="shared" si="2"/>
        <v/>
      </c>
      <c r="W31" t="str">
        <f t="shared" si="2"/>
        <v/>
      </c>
    </row>
    <row r="32" spans="2:37" x14ac:dyDescent="0.25">
      <c r="B32" s="101" t="s">
        <v>190</v>
      </c>
      <c r="D32" s="84"/>
      <c r="V32" t="str">
        <f t="shared" si="2"/>
        <v/>
      </c>
      <c r="W32" t="str">
        <f t="shared" si="2"/>
        <v/>
      </c>
    </row>
    <row r="33" spans="2:23" x14ac:dyDescent="0.25">
      <c r="B33" s="101" t="s">
        <v>191</v>
      </c>
      <c r="D33" s="84"/>
      <c r="V33" t="str">
        <f t="shared" si="2"/>
        <v/>
      </c>
      <c r="W33" t="str">
        <f t="shared" si="2"/>
        <v/>
      </c>
    </row>
    <row r="34" spans="2:23" x14ac:dyDescent="0.25">
      <c r="B34" s="101" t="s">
        <v>192</v>
      </c>
      <c r="D34" s="84"/>
      <c r="V34" t="str">
        <f t="shared" si="2"/>
        <v/>
      </c>
      <c r="W34" t="str">
        <f t="shared" si="2"/>
        <v/>
      </c>
    </row>
    <row r="35" spans="2:23" x14ac:dyDescent="0.25">
      <c r="B35" s="101" t="s">
        <v>193</v>
      </c>
      <c r="D35" s="84"/>
      <c r="V35" t="str">
        <f t="shared" si="2"/>
        <v/>
      </c>
      <c r="W35" t="str">
        <f t="shared" si="2"/>
        <v/>
      </c>
    </row>
    <row r="36" spans="2:23" x14ac:dyDescent="0.25">
      <c r="B36" s="101" t="s">
        <v>194</v>
      </c>
      <c r="D36" s="84"/>
      <c r="V36" t="str">
        <f t="shared" si="2"/>
        <v/>
      </c>
      <c r="W36" t="str">
        <f t="shared" si="2"/>
        <v/>
      </c>
    </row>
    <row r="37" spans="2:23" x14ac:dyDescent="0.25">
      <c r="B37" s="101" t="s">
        <v>195</v>
      </c>
      <c r="D37" s="84"/>
      <c r="V37" t="str">
        <f t="shared" si="2"/>
        <v/>
      </c>
      <c r="W37" t="str">
        <f t="shared" si="2"/>
        <v/>
      </c>
    </row>
    <row r="38" spans="2:23" x14ac:dyDescent="0.25">
      <c r="B38" s="101" t="s">
        <v>196</v>
      </c>
      <c r="D38" s="84"/>
      <c r="V38" t="str">
        <f t="shared" si="2"/>
        <v/>
      </c>
      <c r="W38" t="str">
        <f t="shared" si="2"/>
        <v/>
      </c>
    </row>
    <row r="39" spans="2:23" x14ac:dyDescent="0.25">
      <c r="B39" s="101" t="s">
        <v>197</v>
      </c>
      <c r="D39" s="84"/>
      <c r="V39" t="str">
        <f t="shared" si="2"/>
        <v/>
      </c>
      <c r="W39" t="str">
        <f t="shared" si="2"/>
        <v/>
      </c>
    </row>
    <row r="40" spans="2:23" x14ac:dyDescent="0.25">
      <c r="B40" s="101" t="s">
        <v>198</v>
      </c>
      <c r="D40" s="84"/>
      <c r="V40" t="str">
        <f t="shared" si="2"/>
        <v/>
      </c>
      <c r="W40" t="str">
        <f t="shared" si="2"/>
        <v/>
      </c>
    </row>
    <row r="41" spans="2:23" x14ac:dyDescent="0.25">
      <c r="B41" s="101" t="s">
        <v>199</v>
      </c>
      <c r="D41" s="84"/>
      <c r="V41" t="str">
        <f t="shared" si="2"/>
        <v/>
      </c>
      <c r="W41" t="str">
        <f t="shared" si="2"/>
        <v/>
      </c>
    </row>
    <row r="42" spans="2:23" x14ac:dyDescent="0.25">
      <c r="B42" s="101" t="s">
        <v>200</v>
      </c>
      <c r="D42" s="84"/>
      <c r="V42" t="str">
        <f t="shared" si="2"/>
        <v/>
      </c>
      <c r="W42" t="str">
        <f t="shared" si="2"/>
        <v/>
      </c>
    </row>
    <row r="43" spans="2:23" x14ac:dyDescent="0.25">
      <c r="V43" t="str">
        <f t="shared" si="2"/>
        <v/>
      </c>
      <c r="W43" t="str">
        <f t="shared" si="2"/>
        <v/>
      </c>
    </row>
  </sheetData>
  <conditionalFormatting sqref="E6:L6 E7:E12 G7:L15 F7:F17 C6:C17">
    <cfRule type="cellIs" dxfId="17" priority="16" operator="equal">
      <formula>NaN</formula>
    </cfRule>
  </conditionalFormatting>
  <conditionalFormatting sqref="B6:C42">
    <cfRule type="cellIs" dxfId="16" priority="15" operator="equal">
      <formula>0</formula>
    </cfRule>
  </conditionalFormatting>
  <conditionalFormatting sqref="D6:D42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15" priority="13" operator="equal">
      <formula>NaN</formula>
    </cfRule>
  </conditionalFormatting>
  <conditionalFormatting sqref="E20:E21">
    <cfRule type="cellIs" dxfId="14" priority="12" operator="equal">
      <formula>NaN</formula>
    </cfRule>
  </conditionalFormatting>
  <conditionalFormatting sqref="H6:I21">
    <cfRule type="expression" dxfId="13" priority="11">
      <formula>OR($E6="Fuel",$G6="Aktiv")</formula>
    </cfRule>
  </conditionalFormatting>
  <conditionalFormatting sqref="C6:C42">
    <cfRule type="cellIs" dxfId="12" priority="10" operator="greaterThan">
      <formula>0.5</formula>
    </cfRule>
  </conditionalFormatting>
  <conditionalFormatting sqref="O6:O17">
    <cfRule type="cellIs" dxfId="11" priority="9" operator="equal">
      <formula>NaN</formula>
    </cfRule>
  </conditionalFormatting>
  <conditionalFormatting sqref="O6:O42">
    <cfRule type="cellIs" dxfId="10" priority="8" operator="equal">
      <formula>0</formula>
    </cfRule>
  </conditionalFormatting>
  <conditionalFormatting sqref="O6:O42">
    <cfRule type="cellIs" dxfId="9" priority="7" operator="greaterThan">
      <formula>0.5</formula>
    </cfRule>
  </conditionalFormatting>
  <conditionalFormatting sqref="Q6:Q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R6:R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S6:S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T6:T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U6:U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P6:P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dataValidations count="3">
    <dataValidation type="list" allowBlank="1" showInputMessage="1" showErrorMessage="1" sqref="F6:F17" xr:uid="{84C69FA0-7140-4E92-8462-BF8D001246E4}">
      <formula1>DropDownScen2</formula1>
    </dataValidation>
    <dataValidation type="list" allowBlank="1" showInputMessage="1" showErrorMessage="1" sqref="G6:G17" xr:uid="{C8140801-2291-48E3-809C-7E81EEBB137F}">
      <formula1>DropDownScen3</formula1>
    </dataValidation>
    <dataValidation type="list" allowBlank="1" showInputMessage="1" showErrorMessage="1" sqref="E6:E21" xr:uid="{B0BA80C9-6A33-49DD-8AEE-77612A0333F4}">
      <formula1>listRoot</formula1>
    </dataValidation>
  </dataValidation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A72BD80-C438-4B05-8064-CC8403A6511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Scen!Z6:AK6</xm:f>
              <xm:sqref>X6</xm:sqref>
            </x14:sparkline>
            <x14:sparkline>
              <xm:f>Scen!Z7:AK7</xm:f>
              <xm:sqref>X7</xm:sqref>
            </x14:sparkline>
            <x14:sparkline>
              <xm:f>Scen!Z8:AK8</xm:f>
              <xm:sqref>X8</xm:sqref>
            </x14:sparkline>
            <x14:sparkline>
              <xm:f>Scen!Z9:AK9</xm:f>
              <xm:sqref>X9</xm:sqref>
            </x14:sparkline>
            <x14:sparkline>
              <xm:f>Scen!Z10:AK10</xm:f>
              <xm:sqref>X10</xm:sqref>
            </x14:sparkline>
            <x14:sparkline>
              <xm:f>Scen!Z11:AK11</xm:f>
              <xm:sqref>X11</xm:sqref>
            </x14:sparkline>
            <x14:sparkline>
              <xm:f>Scen!Z12:AK12</xm:f>
              <xm:sqref>X12</xm:sqref>
            </x14:sparkline>
            <x14:sparkline>
              <xm:f>Scen!Z13:AK13</xm:f>
              <xm:sqref>X13</xm:sqref>
            </x14:sparkline>
            <x14:sparkline>
              <xm:f>Scen!Z14:AK14</xm:f>
              <xm:sqref>X14</xm:sqref>
            </x14:sparkline>
            <x14:sparkline>
              <xm:f>Scen!Z15:AK15</xm:f>
              <xm:sqref>X15</xm:sqref>
            </x14:sparkline>
            <x14:sparkline>
              <xm:f>Scen!Z16:AK16</xm:f>
              <xm:sqref>X16</xm:sqref>
            </x14:sparkline>
            <x14:sparkline>
              <xm:f>Scen!Z17:AK17</xm:f>
              <xm:sqref>X17</xm:sqref>
            </x14:sparkline>
            <x14:sparkline>
              <xm:f>Scen!Z18:AK18</xm:f>
              <xm:sqref>X18</xm:sqref>
            </x14:sparkline>
            <x14:sparkline>
              <xm:f>Scen!Z19:AK19</xm:f>
              <xm:sqref>X19</xm:sqref>
            </x14:sparkline>
            <x14:sparkline>
              <xm:f>Scen!Z20:AK20</xm:f>
              <xm:sqref>X20</xm:sqref>
            </x14:sparkline>
            <x14:sparkline>
              <xm:f>Scen!Z21:AK21</xm:f>
              <xm:sqref>X21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>
    <tabColor theme="4" tint="0.59999389629810485"/>
  </sheetPr>
  <dimension ref="B2:AZ45"/>
  <sheetViews>
    <sheetView tabSelected="1" topLeftCell="N1" zoomScale="85" zoomScaleNormal="85" workbookViewId="0">
      <selection activeCell="AD5" sqref="AD5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94" customWidth="1"/>
    <col min="14" max="14" width="15.42578125" style="95" customWidth="1"/>
    <col min="15" max="15" width="23.7109375" customWidth="1" outlineLevel="1"/>
    <col min="16" max="27" width="9.140625" customWidth="1" outlineLevel="1"/>
    <col min="28" max="28" width="5" style="94" customWidth="1"/>
    <col min="29" max="29" width="2.28515625" customWidth="1"/>
    <col min="30" max="30" width="9.140625" style="5" customWidth="1" outlineLevel="1"/>
    <col min="31" max="32" width="9.140625" style="84" customWidth="1" outlineLevel="1"/>
    <col min="33" max="35" width="8.85546875" style="84" customWidth="1" outlineLevel="1"/>
    <col min="36" max="36" width="10.7109375" style="84" customWidth="1" outlineLevel="1"/>
    <col min="37" max="37" width="10.28515625" style="84" customWidth="1" outlineLevel="1"/>
    <col min="38" max="38" width="10" customWidth="1" outlineLevel="1"/>
    <col min="39" max="39" width="9.5703125" customWidth="1" outlineLevel="1"/>
  </cols>
  <sheetData>
    <row r="2" spans="2:52" x14ac:dyDescent="0.25">
      <c r="B2" s="82" t="s">
        <v>116</v>
      </c>
      <c r="AD2" s="91" t="s">
        <v>224</v>
      </c>
    </row>
    <row r="3" spans="2:52" x14ac:dyDescent="0.25">
      <c r="H3" s="82" t="s">
        <v>118</v>
      </c>
    </row>
    <row r="4" spans="2:52" x14ac:dyDescent="0.25">
      <c r="C4" s="96" t="s">
        <v>119</v>
      </c>
      <c r="H4" s="84" t="s">
        <v>120</v>
      </c>
      <c r="I4" s="84" t="s">
        <v>120</v>
      </c>
      <c r="J4" s="84" t="s">
        <v>121</v>
      </c>
      <c r="K4" s="84" t="s">
        <v>121</v>
      </c>
      <c r="P4" t="s">
        <v>125</v>
      </c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C4" s="78"/>
      <c r="AG4" s="84" t="s">
        <v>122</v>
      </c>
      <c r="AH4" s="84" t="s">
        <v>123</v>
      </c>
      <c r="AI4" s="84" t="s">
        <v>124</v>
      </c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</row>
    <row r="5" spans="2:52" x14ac:dyDescent="0.25">
      <c r="B5" s="97" t="s">
        <v>126</v>
      </c>
      <c r="C5" s="97" t="s">
        <v>127</v>
      </c>
      <c r="D5" s="98" t="s">
        <v>128</v>
      </c>
      <c r="E5" s="97" t="s">
        <v>129</v>
      </c>
      <c r="F5" s="97" t="s">
        <v>130</v>
      </c>
      <c r="G5" s="97" t="s">
        <v>131</v>
      </c>
      <c r="H5" s="97" t="s">
        <v>132</v>
      </c>
      <c r="I5" s="97" t="s">
        <v>133</v>
      </c>
      <c r="J5" s="97" t="s">
        <v>134</v>
      </c>
      <c r="K5" s="97" t="s">
        <v>135</v>
      </c>
      <c r="L5" s="99" t="s">
        <v>136</v>
      </c>
      <c r="P5" s="100">
        <v>1</v>
      </c>
      <c r="Q5" s="100">
        <v>2</v>
      </c>
      <c r="R5" s="100">
        <v>3</v>
      </c>
      <c r="S5" s="100">
        <v>4</v>
      </c>
      <c r="T5" s="100">
        <v>5</v>
      </c>
      <c r="U5" s="100">
        <v>6</v>
      </c>
      <c r="V5" s="100">
        <v>7</v>
      </c>
      <c r="W5" s="100">
        <v>8</v>
      </c>
      <c r="X5" s="100">
        <v>9</v>
      </c>
      <c r="Y5" s="100">
        <v>10</v>
      </c>
      <c r="Z5" s="100">
        <v>11</v>
      </c>
      <c r="AA5" s="100">
        <v>12</v>
      </c>
      <c r="AC5" s="78"/>
      <c r="AD5" s="98" t="s">
        <v>126</v>
      </c>
      <c r="AE5" s="97" t="s">
        <v>127</v>
      </c>
      <c r="AF5" s="97" t="s">
        <v>128</v>
      </c>
      <c r="AG5" s="97" t="s">
        <v>129</v>
      </c>
      <c r="AH5" s="97" t="s">
        <v>130</v>
      </c>
      <c r="AI5" s="97" t="s">
        <v>131</v>
      </c>
      <c r="AJ5" s="97" t="str">
        <f>H5</f>
        <v>FirstPeriod</v>
      </c>
      <c r="AK5" s="97" t="str">
        <f>I5</f>
        <v>LastPeriod</v>
      </c>
      <c r="AL5" s="97" t="str">
        <f>J5</f>
        <v>FirstValue</v>
      </c>
      <c r="AM5" s="97" t="str">
        <f>K5</f>
        <v>LastValue</v>
      </c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</row>
    <row r="6" spans="2:52" x14ac:dyDescent="0.25">
      <c r="B6" s="101" t="str">
        <f>IF(ISBLANK(AD6),"",AD6)</f>
        <v>screc1</v>
      </c>
      <c r="C6" s="101">
        <f>IF(ISBLANK(AE6),0,AE6)</f>
        <v>1</v>
      </c>
      <c r="D6" s="89">
        <f t="shared" ref="C6:D21" si="0">IF(ISBLANK(AF6),"",AF6)</f>
        <v>1</v>
      </c>
      <c r="E6" s="5" t="str" cm="1">
        <f t="array" ref="E6">IF(AG6&lt;=0,"",INDEX(listRoot,AG6))</f>
        <v>Control</v>
      </c>
      <c r="F6" s="5" t="str" cm="1">
        <f t="array" ref="F6">IF(AH6&lt;=0.000000000001,"",INDEX(Lister!$C$4:$H$100,AH6,$AG6))</f>
        <v>FixAffald</v>
      </c>
      <c r="G6" s="5" t="str" cm="1">
        <f t="array" ref="G6">IF(AI6&lt;=0.000000000001,"",INDEX(Lister!$J$4:$O$100,AI6,$AG6))</f>
        <v>VOID</v>
      </c>
      <c r="H6" s="84" t="str">
        <f>IF(AJ6&lt;0.000000000001,"",AJ6)</f>
        <v/>
      </c>
      <c r="I6" s="84" t="str">
        <f t="shared" ref="I6:K21" si="1">IF(AK6&lt;0.000000000001,"",AK6)</f>
        <v/>
      </c>
      <c r="J6" t="str">
        <f t="shared" si="1"/>
        <v/>
      </c>
      <c r="K6" t="str">
        <f t="shared" si="1"/>
        <v/>
      </c>
      <c r="O6" t="str">
        <f>IF(C6=0,"",E6&amp;"."&amp;F6&amp;"."&amp;G6)</f>
        <v>Control.FixAffald.VOID</v>
      </c>
      <c r="P6" t="str">
        <f>IF(OR(P$5&lt;$H6,P$5&gt;$I6),"",$J6+(P$5-$H6)*($K6-$J6)/($I6-$H6))</f>
        <v/>
      </c>
      <c r="Q6" t="str">
        <f t="shared" ref="Q6:AA21" si="2">IF(OR(Q$5&lt;$H6,Q$5&gt;$I6),"",$J6+(Q$5-$H6)*($K6-$J6)/($I6-$H6))</f>
        <v/>
      </c>
      <c r="R6" t="str">
        <f t="shared" si="2"/>
        <v/>
      </c>
      <c r="S6" t="str">
        <f t="shared" si="2"/>
        <v/>
      </c>
      <c r="T6" t="str">
        <f t="shared" si="2"/>
        <v/>
      </c>
      <c r="U6" t="str">
        <f t="shared" si="2"/>
        <v/>
      </c>
      <c r="V6" t="str">
        <f t="shared" si="2"/>
        <v/>
      </c>
      <c r="W6" t="str">
        <f t="shared" si="2"/>
        <v/>
      </c>
      <c r="X6" t="str">
        <f t="shared" si="2"/>
        <v/>
      </c>
      <c r="Y6" t="str">
        <f t="shared" si="2"/>
        <v/>
      </c>
      <c r="Z6" t="str">
        <f t="shared" si="2"/>
        <v/>
      </c>
      <c r="AA6" t="str">
        <f t="shared" si="2"/>
        <v/>
      </c>
      <c r="AC6" s="78"/>
      <c r="AD6" s="5" t="s">
        <v>141</v>
      </c>
      <c r="AE6" s="101">
        <v>1</v>
      </c>
      <c r="AF6" s="89">
        <v>1</v>
      </c>
      <c r="AG6" s="89">
        <v>1</v>
      </c>
      <c r="AH6" s="89">
        <v>6</v>
      </c>
      <c r="AI6" s="89">
        <v>1</v>
      </c>
      <c r="AJ6" s="89">
        <v>0</v>
      </c>
      <c r="AK6" s="89">
        <v>0</v>
      </c>
      <c r="AL6">
        <v>0</v>
      </c>
      <c r="AM6" t="s">
        <v>223</v>
      </c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</row>
    <row r="7" spans="2:52" x14ac:dyDescent="0.25">
      <c r="B7" s="101" t="str">
        <f t="shared" ref="B7:B45" si="3">IF(ISBLANK(AD7),"",AD7)</f>
        <v>screc2</v>
      </c>
      <c r="C7" s="101">
        <f t="shared" ref="C7:C42" si="4">IF(ISBLANK(AE7),0,AE7)</f>
        <v>1</v>
      </c>
      <c r="D7" s="89">
        <f t="shared" si="0"/>
        <v>1</v>
      </c>
      <c r="E7" s="5" t="str" cm="1">
        <f t="array" ref="E7">IF(AG7&lt;=0,"",INDEX(listRoot,AG7))</f>
        <v>Control</v>
      </c>
      <c r="F7" s="5" t="str" cm="1">
        <f t="array" ref="F7">IF(AH7&lt;=0.000000000001,"",INDEX(Lister!$C$4:$H$100,AH7,$AG7))</f>
        <v>EgetforbrugKVV</v>
      </c>
      <c r="G7" s="5" t="str" cm="1">
        <f t="array" ref="G7">IF(AI7&lt;=0.000000000001,"",INDEX(Lister!$J$4:$O$100,AI7,$AG7))</f>
        <v>VOID</v>
      </c>
      <c r="H7" s="84" t="str">
        <f t="shared" ref="H7:H42" si="5">IF(AJ7&lt;0.000000000001,"",AJ7)</f>
        <v/>
      </c>
      <c r="I7" s="84" t="str">
        <f t="shared" si="1"/>
        <v/>
      </c>
      <c r="J7">
        <f t="shared" si="1"/>
        <v>22.22</v>
      </c>
      <c r="K7" t="str">
        <f t="shared" si="1"/>
        <v/>
      </c>
      <c r="O7" t="str">
        <f>IF(C7=0,"",E7&amp;"."&amp;F7&amp;"."&amp;G7)</f>
        <v>Control.EgetforbrugKVV.VOID</v>
      </c>
      <c r="P7" t="str">
        <f t="shared" ref="P7:AA42" si="6">IF(OR(P$5&lt;$H7,P$5&gt;$I7),"",$J7+(P$5-$H7)*($K7-$J7)/($I7-$H7))</f>
        <v/>
      </c>
      <c r="Q7" t="str">
        <f t="shared" si="2"/>
        <v/>
      </c>
      <c r="R7" t="str">
        <f t="shared" si="2"/>
        <v/>
      </c>
      <c r="S7" t="str">
        <f t="shared" si="2"/>
        <v/>
      </c>
      <c r="T7" t="str">
        <f t="shared" si="2"/>
        <v/>
      </c>
      <c r="U7" t="str">
        <f t="shared" si="2"/>
        <v/>
      </c>
      <c r="V7" t="str">
        <f t="shared" si="2"/>
        <v/>
      </c>
      <c r="W7" t="str">
        <f t="shared" si="2"/>
        <v/>
      </c>
      <c r="X7" t="str">
        <f t="shared" si="2"/>
        <v/>
      </c>
      <c r="Y7" t="str">
        <f t="shared" si="2"/>
        <v/>
      </c>
      <c r="Z7" t="str">
        <f t="shared" si="2"/>
        <v/>
      </c>
      <c r="AA7" t="str">
        <f t="shared" si="2"/>
        <v/>
      </c>
      <c r="AC7" s="78"/>
      <c r="AD7" s="5" t="s">
        <v>144</v>
      </c>
      <c r="AE7" s="101">
        <v>1</v>
      </c>
      <c r="AF7" s="89">
        <v>1</v>
      </c>
      <c r="AG7" s="89">
        <v>1</v>
      </c>
      <c r="AH7" s="89">
        <v>10</v>
      </c>
      <c r="AI7" s="89">
        <v>1</v>
      </c>
      <c r="AJ7" s="89">
        <v>0</v>
      </c>
      <c r="AK7" s="89">
        <v>0</v>
      </c>
      <c r="AL7">
        <v>22.22</v>
      </c>
      <c r="AM7" t="s">
        <v>223</v>
      </c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</row>
    <row r="8" spans="2:52" x14ac:dyDescent="0.25">
      <c r="B8" s="101" t="str">
        <f t="shared" si="3"/>
        <v>screc3</v>
      </c>
      <c r="C8" s="101">
        <f t="shared" si="4"/>
        <v>1</v>
      </c>
      <c r="D8" s="89">
        <f t="shared" si="0"/>
        <v>1</v>
      </c>
      <c r="E8" s="5" t="str" cm="1">
        <f t="array" ref="E8">IF(AG8&lt;=0,"",INDEX(listRoot,AG8))</f>
        <v>Plant</v>
      </c>
      <c r="F8" s="5" t="str" cm="1">
        <f t="array" ref="F8">IF(AH8&lt;=0.000000000001,"",INDEX(Lister!$C$4:$H$100,AH8,$AG8))</f>
        <v>FlisK</v>
      </c>
      <c r="G8" s="5" t="str" cm="1">
        <f t="array" ref="G8">IF(AI8&lt;=0.000000000001,"",INDEX(Lister!$J$4:$O$100,AI8,$AG8))</f>
        <v>Aktiv</v>
      </c>
      <c r="H8" s="84" t="str">
        <f t="shared" si="5"/>
        <v/>
      </c>
      <c r="I8" s="84" t="str">
        <f t="shared" si="1"/>
        <v/>
      </c>
      <c r="J8" t="str">
        <f t="shared" si="1"/>
        <v/>
      </c>
      <c r="K8" t="str">
        <f t="shared" si="1"/>
        <v/>
      </c>
      <c r="O8" t="str">
        <f>IF(C8=0,"",E8&amp;"."&amp;F8&amp;"."&amp;G8)</f>
        <v>Plant.FlisK.Aktiv</v>
      </c>
      <c r="P8" t="str">
        <f t="shared" si="6"/>
        <v/>
      </c>
      <c r="Q8" t="str">
        <f t="shared" si="2"/>
        <v/>
      </c>
      <c r="R8" t="str">
        <f t="shared" si="2"/>
        <v/>
      </c>
      <c r="S8" t="str">
        <f t="shared" si="2"/>
        <v/>
      </c>
      <c r="T8" t="str">
        <f t="shared" si="2"/>
        <v/>
      </c>
      <c r="U8" t="str">
        <f t="shared" si="2"/>
        <v/>
      </c>
      <c r="V8" t="str">
        <f t="shared" si="2"/>
        <v/>
      </c>
      <c r="W8" t="str">
        <f t="shared" si="2"/>
        <v/>
      </c>
      <c r="X8" t="str">
        <f t="shared" si="2"/>
        <v/>
      </c>
      <c r="Y8" t="str">
        <f t="shared" si="2"/>
        <v/>
      </c>
      <c r="Z8" t="str">
        <f t="shared" si="2"/>
        <v/>
      </c>
      <c r="AA8" t="str">
        <f t="shared" si="2"/>
        <v/>
      </c>
      <c r="AC8" s="78"/>
      <c r="AD8" s="5" t="s">
        <v>147</v>
      </c>
      <c r="AE8" s="101">
        <v>1</v>
      </c>
      <c r="AF8" s="89">
        <v>1</v>
      </c>
      <c r="AG8" s="89">
        <v>2</v>
      </c>
      <c r="AH8" s="89">
        <v>3</v>
      </c>
      <c r="AI8" s="89">
        <v>1</v>
      </c>
      <c r="AJ8" s="89">
        <v>0</v>
      </c>
      <c r="AK8" s="89">
        <v>0</v>
      </c>
      <c r="AL8">
        <v>0</v>
      </c>
      <c r="AM8" t="s">
        <v>223</v>
      </c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</row>
    <row r="9" spans="2:52" x14ac:dyDescent="0.25">
      <c r="B9" s="101" t="str">
        <f t="shared" si="3"/>
        <v>screc4</v>
      </c>
      <c r="C9" s="101">
        <f t="shared" si="4"/>
        <v>1</v>
      </c>
      <c r="D9" s="89">
        <f t="shared" si="0"/>
        <v>1</v>
      </c>
      <c r="E9" s="5" t="str" cm="1">
        <f t="array" ref="E9">IF(AG9&lt;=0,"",INDEX(listRoot,AG9))</f>
        <v>Prognoses</v>
      </c>
      <c r="F9" s="5" t="str" cm="1">
        <f t="array" ref="F9">IF(AH9&lt;=0.000000000001,"",INDEX(Lister!$C$4:$H$100,AH9,$AG9))</f>
        <v>Elpris</v>
      </c>
      <c r="G9" s="5" t="str" cm="1">
        <f t="array" ref="G9">IF(AI9&lt;=0.000000000001,"",INDEX(Lister!$J$4:$O$100,AI9,$AG9))</f>
        <v>VOID</v>
      </c>
      <c r="H9" s="84">
        <f t="shared" si="5"/>
        <v>1</v>
      </c>
      <c r="I9" s="84">
        <f t="shared" si="1"/>
        <v>4</v>
      </c>
      <c r="J9">
        <f t="shared" si="1"/>
        <v>555</v>
      </c>
      <c r="K9">
        <f t="shared" si="1"/>
        <v>855</v>
      </c>
      <c r="O9" t="str">
        <f>IF(C9=0,"",E9&amp;"."&amp;F9&amp;"."&amp;G9)</f>
        <v>Prognoses.Elpris.VOID</v>
      </c>
      <c r="P9">
        <f t="shared" si="6"/>
        <v>555</v>
      </c>
      <c r="Q9">
        <f t="shared" si="2"/>
        <v>655</v>
      </c>
      <c r="R9">
        <f t="shared" si="2"/>
        <v>755</v>
      </c>
      <c r="S9">
        <f t="shared" si="2"/>
        <v>855</v>
      </c>
      <c r="T9" t="str">
        <f t="shared" si="2"/>
        <v/>
      </c>
      <c r="U9" t="str">
        <f t="shared" si="2"/>
        <v/>
      </c>
      <c r="V9" t="str">
        <f t="shared" si="2"/>
        <v/>
      </c>
      <c r="W9" t="str">
        <f t="shared" si="2"/>
        <v/>
      </c>
      <c r="X9" t="str">
        <f t="shared" si="2"/>
        <v/>
      </c>
      <c r="Y9" t="str">
        <f t="shared" si="2"/>
        <v/>
      </c>
      <c r="Z9" t="str">
        <f t="shared" si="2"/>
        <v/>
      </c>
      <c r="AA9" t="str">
        <f t="shared" si="2"/>
        <v/>
      </c>
      <c r="AC9" s="78"/>
      <c r="AD9" s="5" t="s">
        <v>150</v>
      </c>
      <c r="AE9" s="101">
        <v>1</v>
      </c>
      <c r="AF9" s="89">
        <v>1</v>
      </c>
      <c r="AG9" s="89">
        <v>4</v>
      </c>
      <c r="AH9" s="89">
        <v>14</v>
      </c>
      <c r="AI9" s="89">
        <v>1</v>
      </c>
      <c r="AJ9" s="89">
        <v>1</v>
      </c>
      <c r="AK9" s="89">
        <v>4</v>
      </c>
      <c r="AL9">
        <v>555</v>
      </c>
      <c r="AM9">
        <v>855</v>
      </c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</row>
    <row r="10" spans="2:52" x14ac:dyDescent="0.25">
      <c r="B10" s="101" t="str">
        <f t="shared" si="3"/>
        <v>screc5</v>
      </c>
      <c r="C10" s="101">
        <f t="shared" si="4"/>
        <v>1</v>
      </c>
      <c r="D10" s="89">
        <f t="shared" si="0"/>
        <v>1</v>
      </c>
      <c r="E10" s="5" t="str" cm="1">
        <f t="array" ref="E10">IF(AG10&lt;=0,"",INDEX(listRoot,AG10))</f>
        <v>Prognoses</v>
      </c>
      <c r="F10" s="5" t="str" cm="1">
        <f t="array" ref="F10">IF(AH10&lt;=0.000000000001,"",INDEX(Lister!$C$4:$H$100,AH10,$AG10))</f>
        <v>ETS</v>
      </c>
      <c r="G10" s="5" t="str" cm="1">
        <f t="array" ref="G10">IF(AI10&lt;=0.000000000001,"",INDEX(Lister!$J$4:$O$100,AI10,$AG10))</f>
        <v>VOID</v>
      </c>
      <c r="H10" s="84">
        <f t="shared" si="5"/>
        <v>2</v>
      </c>
      <c r="I10" s="84">
        <f t="shared" si="1"/>
        <v>6</v>
      </c>
      <c r="J10">
        <f t="shared" si="1"/>
        <v>444</v>
      </c>
      <c r="K10">
        <f t="shared" si="1"/>
        <v>944</v>
      </c>
      <c r="O10" t="str">
        <f>IF(C10=0,"",E10&amp;"."&amp;F10&amp;"."&amp;G10)</f>
        <v>Prognoses.ETS.VOID</v>
      </c>
      <c r="P10" t="str">
        <f t="shared" si="6"/>
        <v/>
      </c>
      <c r="Q10">
        <f t="shared" si="2"/>
        <v>444</v>
      </c>
      <c r="R10">
        <f t="shared" si="2"/>
        <v>569</v>
      </c>
      <c r="S10">
        <f t="shared" si="2"/>
        <v>694</v>
      </c>
      <c r="T10">
        <f t="shared" si="2"/>
        <v>819</v>
      </c>
      <c r="U10">
        <f t="shared" si="2"/>
        <v>944</v>
      </c>
      <c r="V10" t="str">
        <f t="shared" si="2"/>
        <v/>
      </c>
      <c r="W10" t="str">
        <f t="shared" si="2"/>
        <v/>
      </c>
      <c r="X10" t="str">
        <f t="shared" si="2"/>
        <v/>
      </c>
      <c r="Y10" t="str">
        <f t="shared" si="2"/>
        <v/>
      </c>
      <c r="Z10" t="str">
        <f t="shared" si="2"/>
        <v/>
      </c>
      <c r="AA10" t="str">
        <f t="shared" si="2"/>
        <v/>
      </c>
      <c r="AD10" s="5" t="s">
        <v>152</v>
      </c>
      <c r="AE10" s="101">
        <v>1</v>
      </c>
      <c r="AF10" s="89">
        <v>1</v>
      </c>
      <c r="AG10" s="89">
        <v>4</v>
      </c>
      <c r="AH10" s="89">
        <v>15</v>
      </c>
      <c r="AI10" s="89">
        <v>1</v>
      </c>
      <c r="AJ10" s="89">
        <v>2</v>
      </c>
      <c r="AK10" s="89">
        <v>6</v>
      </c>
      <c r="AL10">
        <v>444</v>
      </c>
      <c r="AM10">
        <v>944</v>
      </c>
    </row>
    <row r="11" spans="2:52" x14ac:dyDescent="0.25">
      <c r="B11" s="101" t="str">
        <f t="shared" si="3"/>
        <v>screc6</v>
      </c>
      <c r="C11" s="101">
        <f t="shared" si="4"/>
        <v>1</v>
      </c>
      <c r="D11" s="89">
        <f t="shared" si="0"/>
        <v>1</v>
      </c>
      <c r="E11" s="5" t="str" cm="1">
        <f t="array" ref="E11">IF(AG11&lt;=0,"",INDEX(listRoot,AG11))</f>
        <v>Fuel</v>
      </c>
      <c r="F11" s="5" t="str" cm="1">
        <f t="array" ref="F11">IF(AH11&lt;=0.000000000001,"",INDEX(Lister!$C$4:$H$100,AH11,$AG11))</f>
        <v>NyAff1</v>
      </c>
      <c r="G11" s="5" t="str" cm="1">
        <f t="array" ref="G11">IF(AI11&lt;=0.000000000001,"",INDEX(Lister!$J$4:$O$100,AI11,$AG11))</f>
        <v>MinTonnage</v>
      </c>
      <c r="H11" s="84" t="str">
        <f t="shared" si="5"/>
        <v/>
      </c>
      <c r="I11" s="96" t="str">
        <f t="shared" si="1"/>
        <v/>
      </c>
      <c r="J11">
        <f t="shared" si="1"/>
        <v>99999</v>
      </c>
      <c r="K11" t="str">
        <f t="shared" si="1"/>
        <v/>
      </c>
      <c r="O11" t="str">
        <f>IF(C11=0,"",E11&amp;"."&amp;F11&amp;"."&amp;G11)</f>
        <v>Fuel.NyAff1.MinTonnage</v>
      </c>
      <c r="P11" t="str">
        <f t="shared" si="6"/>
        <v/>
      </c>
      <c r="Q11" t="str">
        <f t="shared" si="2"/>
        <v/>
      </c>
      <c r="R11" t="str">
        <f t="shared" si="2"/>
        <v/>
      </c>
      <c r="S11" t="str">
        <f t="shared" si="2"/>
        <v/>
      </c>
      <c r="T11" t="str">
        <f t="shared" si="2"/>
        <v/>
      </c>
      <c r="U11" t="str">
        <f t="shared" si="2"/>
        <v/>
      </c>
      <c r="V11" t="str">
        <f t="shared" si="2"/>
        <v/>
      </c>
      <c r="W11" t="str">
        <f t="shared" si="2"/>
        <v/>
      </c>
      <c r="X11" t="str">
        <f t="shared" si="2"/>
        <v/>
      </c>
      <c r="Y11" t="str">
        <f t="shared" si="2"/>
        <v/>
      </c>
      <c r="Z11" t="str">
        <f t="shared" si="2"/>
        <v/>
      </c>
      <c r="AA11" t="str">
        <f t="shared" si="2"/>
        <v/>
      </c>
      <c r="AD11" s="5" t="s">
        <v>156</v>
      </c>
      <c r="AE11" s="101">
        <v>1</v>
      </c>
      <c r="AF11" s="89">
        <v>1</v>
      </c>
      <c r="AG11" s="89">
        <v>5</v>
      </c>
      <c r="AH11" s="89">
        <v>22</v>
      </c>
      <c r="AI11" s="89">
        <v>9</v>
      </c>
      <c r="AJ11" s="89">
        <v>0</v>
      </c>
      <c r="AK11" s="89">
        <v>0</v>
      </c>
      <c r="AL11">
        <v>99999</v>
      </c>
      <c r="AM11" t="s">
        <v>223</v>
      </c>
    </row>
    <row r="12" spans="2:52" x14ac:dyDescent="0.25">
      <c r="B12" s="101" t="str">
        <f t="shared" si="3"/>
        <v>screc7</v>
      </c>
      <c r="C12" s="101">
        <f t="shared" si="4"/>
        <v>1</v>
      </c>
      <c r="D12" s="89">
        <f t="shared" si="0"/>
        <v>1</v>
      </c>
      <c r="E12" s="5" t="str" cm="1">
        <f t="array" ref="E12">IF(AG12&lt;=0,"",INDEX(listRoot,AG12))</f>
        <v>FuelBounds</v>
      </c>
      <c r="F12" s="5" t="str" cm="1">
        <f t="array" ref="F12">IF(AH12&lt;=0.000000000001,"",INDEX(Lister!$C$4:$H$100,AH12,$AG12))</f>
        <v>NyAff1</v>
      </c>
      <c r="G12" s="5" t="str" cm="1">
        <f t="array" ref="G12">IF(AI12&lt;=0.000000000001,"",INDEX(Lister!$J$4:$O$100,AI12,$AG12))</f>
        <v>LHV</v>
      </c>
      <c r="H12" s="84">
        <f t="shared" si="5"/>
        <v>6</v>
      </c>
      <c r="I12" s="84">
        <f t="shared" si="1"/>
        <v>36</v>
      </c>
      <c r="J12">
        <f t="shared" si="1"/>
        <v>9.8765400000000003</v>
      </c>
      <c r="K12">
        <f t="shared" si="1"/>
        <v>12.345677999999999</v>
      </c>
      <c r="O12" t="str">
        <f>IF(C12=0,"",E12&amp;"."&amp;F12&amp;"."&amp;G12)</f>
        <v>FuelBounds.NyAff1.LHV</v>
      </c>
      <c r="P12" t="str">
        <f t="shared" si="6"/>
        <v/>
      </c>
      <c r="Q12" t="str">
        <f t="shared" si="2"/>
        <v/>
      </c>
      <c r="R12" t="str">
        <f t="shared" si="2"/>
        <v/>
      </c>
      <c r="S12" t="str">
        <f t="shared" si="2"/>
        <v/>
      </c>
      <c r="T12" t="str">
        <f t="shared" si="2"/>
        <v/>
      </c>
      <c r="U12">
        <f t="shared" si="2"/>
        <v>9.8765400000000003</v>
      </c>
      <c r="V12">
        <f t="shared" si="2"/>
        <v>9.9588446000000008</v>
      </c>
      <c r="W12">
        <f t="shared" si="2"/>
        <v>10.0411492</v>
      </c>
      <c r="X12">
        <f t="shared" si="2"/>
        <v>10.1234538</v>
      </c>
      <c r="Y12">
        <f t="shared" si="2"/>
        <v>10.205758400000001</v>
      </c>
      <c r="Z12">
        <f t="shared" si="2"/>
        <v>10.288063000000001</v>
      </c>
      <c r="AA12">
        <f t="shared" si="2"/>
        <v>10.3703676</v>
      </c>
      <c r="AD12" s="5" t="s">
        <v>160</v>
      </c>
      <c r="AE12" s="101">
        <v>1</v>
      </c>
      <c r="AF12" s="89">
        <v>1</v>
      </c>
      <c r="AG12" s="89">
        <v>6</v>
      </c>
      <c r="AH12" s="89">
        <v>22</v>
      </c>
      <c r="AI12" s="89">
        <v>6</v>
      </c>
      <c r="AJ12" s="89">
        <v>6</v>
      </c>
      <c r="AK12" s="89">
        <v>36</v>
      </c>
      <c r="AL12">
        <v>9.8765400000000003</v>
      </c>
      <c r="AM12">
        <v>12.345677999999999</v>
      </c>
    </row>
    <row r="13" spans="2:52" x14ac:dyDescent="0.25">
      <c r="B13" s="101" t="str">
        <f t="shared" si="3"/>
        <v>screc8</v>
      </c>
      <c r="C13" s="101">
        <f t="shared" si="4"/>
        <v>0</v>
      </c>
      <c r="D13" s="89">
        <f t="shared" si="0"/>
        <v>1</v>
      </c>
      <c r="E13" s="5" t="str" cm="1">
        <f t="array" ref="E13">IF(AG13&lt;=0,"",INDEX(listRoot,AG13))</f>
        <v>Control</v>
      </c>
      <c r="F13" s="5" t="str" cm="1">
        <f t="array" ref="F13">IF(AH13&lt;=0.000000000001,"",INDEX(Lister!$C$4:$H$100,AH13,$AG13))</f>
        <v/>
      </c>
      <c r="G13" s="5" t="str" cm="1">
        <f t="array" ref="G13">IF(AI13&lt;=0.000000000001,"",INDEX(Lister!$J$4:$O$100,AI13,$AG13))</f>
        <v/>
      </c>
      <c r="H13" s="84" t="str">
        <f t="shared" si="5"/>
        <v/>
      </c>
      <c r="I13" s="84" t="str">
        <f t="shared" si="1"/>
        <v/>
      </c>
      <c r="J13" t="str">
        <f t="shared" si="1"/>
        <v/>
      </c>
      <c r="K13" t="str">
        <f t="shared" si="1"/>
        <v/>
      </c>
      <c r="O13" t="str">
        <f>IF(C13=0,"",E13&amp;"."&amp;F13&amp;"."&amp;G13)</f>
        <v/>
      </c>
      <c r="P13" t="str">
        <f t="shared" si="6"/>
        <v/>
      </c>
      <c r="Q13" t="str">
        <f t="shared" si="2"/>
        <v/>
      </c>
      <c r="R13" t="str">
        <f t="shared" si="2"/>
        <v/>
      </c>
      <c r="S13" t="str">
        <f t="shared" si="2"/>
        <v/>
      </c>
      <c r="T13" t="str">
        <f t="shared" si="2"/>
        <v/>
      </c>
      <c r="U13" t="str">
        <f t="shared" si="2"/>
        <v/>
      </c>
      <c r="V13" t="str">
        <f t="shared" si="2"/>
        <v/>
      </c>
      <c r="W13" t="str">
        <f t="shared" si="2"/>
        <v/>
      </c>
      <c r="X13" t="str">
        <f t="shared" si="2"/>
        <v/>
      </c>
      <c r="Y13" t="str">
        <f t="shared" si="2"/>
        <v/>
      </c>
      <c r="Z13" t="str">
        <f t="shared" si="2"/>
        <v/>
      </c>
      <c r="AA13" t="str">
        <f t="shared" si="2"/>
        <v/>
      </c>
      <c r="AD13" s="5" t="s">
        <v>162</v>
      </c>
      <c r="AE13" s="101">
        <v>0</v>
      </c>
      <c r="AF13" s="89">
        <v>1</v>
      </c>
      <c r="AG13" s="89">
        <v>1</v>
      </c>
      <c r="AH13" s="109">
        <v>1E-14</v>
      </c>
      <c r="AI13" s="109">
        <v>1E-14</v>
      </c>
      <c r="AJ13" s="89">
        <v>0</v>
      </c>
      <c r="AK13" s="89">
        <v>0</v>
      </c>
      <c r="AL13" t="s">
        <v>223</v>
      </c>
      <c r="AM13" t="s">
        <v>223</v>
      </c>
    </row>
    <row r="14" spans="2:52" x14ac:dyDescent="0.25">
      <c r="B14" s="101" t="str">
        <f t="shared" si="3"/>
        <v>screc9</v>
      </c>
      <c r="C14" s="101">
        <f t="shared" si="4"/>
        <v>0</v>
      </c>
      <c r="D14" s="89">
        <f t="shared" si="0"/>
        <v>1</v>
      </c>
      <c r="E14" s="5" t="str" cm="1">
        <f t="array" ref="E14">IF(AG14&lt;=0,"",INDEX(listRoot,AG14))</f>
        <v>Plant</v>
      </c>
      <c r="F14" s="5" t="str" cm="1">
        <f t="array" ref="F14">IF(AH14&lt;=0.000000000001,"",INDEX(Lister!$C$4:$H$100,AH14,$AG14))</f>
        <v/>
      </c>
      <c r="G14" s="5" t="str" cm="1">
        <f t="array" ref="G14">IF(AI14&lt;=0.000000000001,"",INDEX(Lister!$J$4:$O$100,AI14,$AG14))</f>
        <v/>
      </c>
      <c r="H14" s="84" t="str">
        <f t="shared" si="5"/>
        <v/>
      </c>
      <c r="I14" s="84" t="str">
        <f t="shared" si="1"/>
        <v/>
      </c>
      <c r="J14" t="str">
        <f t="shared" si="1"/>
        <v/>
      </c>
      <c r="K14" t="str">
        <f t="shared" si="1"/>
        <v/>
      </c>
      <c r="O14" t="str">
        <f>IF(C14=0,"",E14&amp;"."&amp;F14&amp;"."&amp;G14)</f>
        <v/>
      </c>
      <c r="P14" t="str">
        <f t="shared" si="6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D14" s="5" t="s">
        <v>164</v>
      </c>
      <c r="AE14" s="101">
        <v>0</v>
      </c>
      <c r="AF14" s="89">
        <v>1</v>
      </c>
      <c r="AG14" s="89">
        <v>2</v>
      </c>
      <c r="AH14" s="109">
        <v>1E-14</v>
      </c>
      <c r="AI14" s="109">
        <v>1E-14</v>
      </c>
      <c r="AJ14" s="89">
        <v>0</v>
      </c>
      <c r="AK14" s="89">
        <v>0</v>
      </c>
      <c r="AL14" t="s">
        <v>223</v>
      </c>
      <c r="AM14" t="s">
        <v>223</v>
      </c>
    </row>
    <row r="15" spans="2:52" x14ac:dyDescent="0.25">
      <c r="B15" s="101" t="str">
        <f t="shared" si="3"/>
        <v>screc10</v>
      </c>
      <c r="C15" s="101">
        <f t="shared" si="4"/>
        <v>0</v>
      </c>
      <c r="D15" s="89">
        <f t="shared" si="0"/>
        <v>1</v>
      </c>
      <c r="E15" s="5" t="str" cm="1">
        <f t="array" ref="E15">IF(AG15&lt;=0,"",INDEX(listRoot,AG15))</f>
        <v>Plant</v>
      </c>
      <c r="F15" s="5" t="str" cm="1">
        <f t="array" ref="F15">IF(AH15&lt;=0.000000000001,"",INDEX(Lister!$C$4:$H$100,AH15,$AG15))</f>
        <v/>
      </c>
      <c r="G15" s="5" t="str" cm="1">
        <f t="array" ref="G15">IF(AI15&lt;=0.000000000001,"",INDEX(Lister!$J$4:$O$100,AI15,$AG15))</f>
        <v/>
      </c>
      <c r="H15" s="84" t="str">
        <f t="shared" si="5"/>
        <v/>
      </c>
      <c r="I15" s="84" t="str">
        <f t="shared" si="1"/>
        <v/>
      </c>
      <c r="J15" t="str">
        <f t="shared" si="1"/>
        <v/>
      </c>
      <c r="K15" t="str">
        <f t="shared" si="1"/>
        <v/>
      </c>
      <c r="O15" t="str">
        <f>IF(C15=0,"",E15&amp;"."&amp;F15&amp;"."&amp;G15)</f>
        <v/>
      </c>
      <c r="P15" t="str">
        <f t="shared" si="6"/>
        <v/>
      </c>
      <c r="Q15" t="str">
        <f t="shared" si="2"/>
        <v/>
      </c>
      <c r="R15" t="str">
        <f t="shared" si="2"/>
        <v/>
      </c>
      <c r="S15" t="str">
        <f t="shared" si="2"/>
        <v/>
      </c>
      <c r="T15" t="str">
        <f t="shared" si="2"/>
        <v/>
      </c>
      <c r="U15" t="str">
        <f t="shared" si="2"/>
        <v/>
      </c>
      <c r="V15" t="str">
        <f t="shared" si="2"/>
        <v/>
      </c>
      <c r="W15" t="str">
        <f t="shared" si="2"/>
        <v/>
      </c>
      <c r="X15" t="str">
        <f t="shared" si="2"/>
        <v/>
      </c>
      <c r="Y15" t="str">
        <f t="shared" si="2"/>
        <v/>
      </c>
      <c r="Z15" t="str">
        <f t="shared" si="2"/>
        <v/>
      </c>
      <c r="AA15" t="str">
        <f t="shared" si="2"/>
        <v/>
      </c>
      <c r="AD15" s="5" t="s">
        <v>166</v>
      </c>
      <c r="AE15" s="101">
        <v>0</v>
      </c>
      <c r="AF15" s="89">
        <v>1</v>
      </c>
      <c r="AG15" s="89">
        <v>2</v>
      </c>
      <c r="AH15" s="109">
        <v>1E-14</v>
      </c>
      <c r="AI15" s="109">
        <v>1E-14</v>
      </c>
      <c r="AJ15" s="89">
        <v>0</v>
      </c>
      <c r="AK15" s="89">
        <v>0</v>
      </c>
      <c r="AL15" t="s">
        <v>223</v>
      </c>
      <c r="AM15" t="s">
        <v>223</v>
      </c>
    </row>
    <row r="16" spans="2:52" x14ac:dyDescent="0.25">
      <c r="B16" s="101" t="str">
        <f t="shared" si="3"/>
        <v>screc11</v>
      </c>
      <c r="C16" s="101">
        <f t="shared" si="4"/>
        <v>0</v>
      </c>
      <c r="D16" s="84">
        <f t="shared" si="0"/>
        <v>1</v>
      </c>
      <c r="E16" s="5" t="str" cm="1">
        <f t="array" ref="E16">IF(AG16&lt;=0,"",INDEX(listRoot,AG16))</f>
        <v>Storage</v>
      </c>
      <c r="F16" s="5" t="str" cm="1">
        <f t="array" ref="F16">IF(AH16&lt;=0.000000000001,"",INDEX(Lister!$C$4:$H$100,AH16,$AG16))</f>
        <v/>
      </c>
      <c r="G16" s="5" t="str" cm="1">
        <f t="array" ref="G16">IF(AI16&lt;=0.000000000001,"",INDEX(Lister!$J$4:$O$100,AI16,$AG16))</f>
        <v/>
      </c>
      <c r="H16" t="str">
        <f t="shared" si="5"/>
        <v/>
      </c>
      <c r="I16" t="str">
        <f t="shared" si="1"/>
        <v/>
      </c>
      <c r="J16" t="str">
        <f t="shared" si="1"/>
        <v/>
      </c>
      <c r="K16" t="str">
        <f t="shared" si="1"/>
        <v/>
      </c>
      <c r="O16" t="str">
        <f>IF(C16=0,"",E16&amp;"."&amp;F16&amp;"."&amp;G16)</f>
        <v/>
      </c>
      <c r="P16" t="str">
        <f t="shared" si="6"/>
        <v/>
      </c>
      <c r="Q16" t="str">
        <f t="shared" si="2"/>
        <v/>
      </c>
      <c r="R16" t="str">
        <f t="shared" si="2"/>
        <v/>
      </c>
      <c r="S16" t="str">
        <f t="shared" si="2"/>
        <v/>
      </c>
      <c r="T16" t="str">
        <f t="shared" si="2"/>
        <v/>
      </c>
      <c r="U16" t="str">
        <f t="shared" si="2"/>
        <v/>
      </c>
      <c r="V16" t="str">
        <f t="shared" si="2"/>
        <v/>
      </c>
      <c r="W16" t="str">
        <f t="shared" si="2"/>
        <v/>
      </c>
      <c r="X16" t="str">
        <f t="shared" si="2"/>
        <v/>
      </c>
      <c r="Y16" t="str">
        <f t="shared" si="2"/>
        <v/>
      </c>
      <c r="Z16" t="str">
        <f t="shared" si="2"/>
        <v/>
      </c>
      <c r="AA16" t="str">
        <f t="shared" si="2"/>
        <v/>
      </c>
      <c r="AD16" s="5" t="s">
        <v>169</v>
      </c>
      <c r="AE16" s="101">
        <v>0</v>
      </c>
      <c r="AF16" s="84">
        <v>1</v>
      </c>
      <c r="AG16" s="84">
        <v>3</v>
      </c>
      <c r="AH16" s="110">
        <v>1E-14</v>
      </c>
      <c r="AI16" s="110">
        <v>1E-14</v>
      </c>
      <c r="AJ16" s="84">
        <v>0</v>
      </c>
      <c r="AK16" s="84">
        <v>0</v>
      </c>
      <c r="AL16" t="s">
        <v>223</v>
      </c>
      <c r="AM16" t="s">
        <v>223</v>
      </c>
    </row>
    <row r="17" spans="2:39" x14ac:dyDescent="0.25">
      <c r="B17" s="101" t="str">
        <f t="shared" si="3"/>
        <v>screc12</v>
      </c>
      <c r="C17" s="101">
        <f t="shared" si="4"/>
        <v>0</v>
      </c>
      <c r="D17" s="84">
        <f t="shared" si="0"/>
        <v>1</v>
      </c>
      <c r="E17" s="5" t="str" cm="1">
        <f t="array" ref="E17">IF(AG17&lt;=0,"",INDEX(listRoot,AG17))</f>
        <v>Prognoses</v>
      </c>
      <c r="F17" s="5" t="str" cm="1">
        <f t="array" ref="F17">IF(AH17&lt;=0.000000000001,"",INDEX(Lister!$C$4:$H$100,AH17,$AG17))</f>
        <v/>
      </c>
      <c r="G17" s="5" t="str" cm="1">
        <f t="array" ref="G17">IF(AI17&lt;=0.000000000001,"",INDEX(Lister!$J$4:$O$100,AI17,$AG17))</f>
        <v/>
      </c>
      <c r="H17" t="str">
        <f t="shared" si="5"/>
        <v/>
      </c>
      <c r="I17" t="str">
        <f t="shared" si="1"/>
        <v/>
      </c>
      <c r="J17" t="str">
        <f t="shared" si="1"/>
        <v/>
      </c>
      <c r="K17" t="str">
        <f t="shared" si="1"/>
        <v/>
      </c>
      <c r="O17" t="str">
        <f>IF(C17=0,"",E17&amp;"."&amp;F17&amp;"."&amp;G17)</f>
        <v/>
      </c>
      <c r="P17" t="str">
        <f t="shared" si="6"/>
        <v/>
      </c>
      <c r="Q17" t="str">
        <f t="shared" si="2"/>
        <v/>
      </c>
      <c r="R17" t="str">
        <f t="shared" si="2"/>
        <v/>
      </c>
      <c r="S17" t="str">
        <f t="shared" si="2"/>
        <v/>
      </c>
      <c r="T17" t="str">
        <f t="shared" si="2"/>
        <v/>
      </c>
      <c r="U17" t="str">
        <f t="shared" si="2"/>
        <v/>
      </c>
      <c r="V17" t="str">
        <f t="shared" si="2"/>
        <v/>
      </c>
      <c r="W17" t="str">
        <f t="shared" si="2"/>
        <v/>
      </c>
      <c r="X17" t="str">
        <f t="shared" si="2"/>
        <v/>
      </c>
      <c r="Y17" t="str">
        <f t="shared" si="2"/>
        <v/>
      </c>
      <c r="Z17" t="str">
        <f t="shared" si="2"/>
        <v/>
      </c>
      <c r="AA17" t="str">
        <f t="shared" si="2"/>
        <v/>
      </c>
      <c r="AD17" s="5" t="s">
        <v>171</v>
      </c>
      <c r="AE17" s="101">
        <v>0</v>
      </c>
      <c r="AF17" s="84">
        <v>1</v>
      </c>
      <c r="AG17" s="84">
        <v>4</v>
      </c>
      <c r="AH17" s="110">
        <v>1E-14</v>
      </c>
      <c r="AI17" s="110">
        <v>1E-14</v>
      </c>
      <c r="AJ17" s="84">
        <v>0</v>
      </c>
      <c r="AK17" s="84">
        <v>0</v>
      </c>
      <c r="AL17" t="s">
        <v>223</v>
      </c>
      <c r="AM17" t="s">
        <v>223</v>
      </c>
    </row>
    <row r="18" spans="2:39" x14ac:dyDescent="0.25">
      <c r="B18" s="101" t="str">
        <f t="shared" si="3"/>
        <v>screc13</v>
      </c>
      <c r="C18" s="84">
        <f t="shared" si="4"/>
        <v>0</v>
      </c>
      <c r="D18" s="84">
        <f t="shared" si="0"/>
        <v>1</v>
      </c>
      <c r="E18" s="5" t="str" cm="1">
        <f t="array" ref="E18">IF(AG18&lt;=0,"",INDEX(listRoot,AG18))</f>
        <v>Fuel</v>
      </c>
      <c r="F18" s="5" t="str" cm="1">
        <f t="array" ref="F18">IF(AH18&lt;=0.000000000001,"",INDEX(Lister!$C$4:$H$100,AH18,$AG18))</f>
        <v/>
      </c>
      <c r="G18" s="5" t="str" cm="1">
        <f t="array" ref="G18">IF(AI18&lt;=0.000000000001,"",INDEX(Lister!$J$4:$O$100,AI18,$AG18))</f>
        <v/>
      </c>
      <c r="H18" t="str">
        <f t="shared" si="5"/>
        <v/>
      </c>
      <c r="I18" t="str">
        <f t="shared" si="1"/>
        <v/>
      </c>
      <c r="J18" t="str">
        <f t="shared" si="1"/>
        <v/>
      </c>
      <c r="K18" t="str">
        <f t="shared" si="1"/>
        <v/>
      </c>
      <c r="O18" t="str">
        <f>IF(C18=0,"",E18&amp;"."&amp;F18&amp;"."&amp;G18)</f>
        <v/>
      </c>
      <c r="P18" t="str">
        <f t="shared" si="6"/>
        <v/>
      </c>
      <c r="Q18" t="str">
        <f t="shared" si="2"/>
        <v/>
      </c>
      <c r="R18" t="str">
        <f t="shared" si="2"/>
        <v/>
      </c>
      <c r="S18" t="str">
        <f t="shared" si="2"/>
        <v/>
      </c>
      <c r="T18" t="str">
        <f t="shared" si="2"/>
        <v/>
      </c>
      <c r="U18" t="str">
        <f t="shared" si="2"/>
        <v/>
      </c>
      <c r="V18" t="str">
        <f t="shared" si="2"/>
        <v/>
      </c>
      <c r="W18" t="str">
        <f t="shared" si="2"/>
        <v/>
      </c>
      <c r="X18" t="str">
        <f t="shared" si="2"/>
        <v/>
      </c>
      <c r="Y18" t="str">
        <f t="shared" si="2"/>
        <v/>
      </c>
      <c r="Z18" t="str">
        <f t="shared" si="2"/>
        <v/>
      </c>
      <c r="AA18" t="str">
        <f t="shared" si="2"/>
        <v/>
      </c>
      <c r="AD18" s="5" t="s">
        <v>173</v>
      </c>
      <c r="AE18" s="84">
        <v>0</v>
      </c>
      <c r="AF18" s="84">
        <v>1</v>
      </c>
      <c r="AG18" s="84">
        <v>5</v>
      </c>
      <c r="AH18" s="110">
        <v>1E-14</v>
      </c>
      <c r="AI18" s="110">
        <v>1E-14</v>
      </c>
      <c r="AJ18" s="84">
        <v>0</v>
      </c>
      <c r="AK18" s="84">
        <v>0</v>
      </c>
      <c r="AL18" t="s">
        <v>223</v>
      </c>
      <c r="AM18" t="s">
        <v>223</v>
      </c>
    </row>
    <row r="19" spans="2:39" x14ac:dyDescent="0.25">
      <c r="B19" s="101" t="str">
        <f t="shared" si="3"/>
        <v>screc14</v>
      </c>
      <c r="C19" s="84">
        <f t="shared" si="4"/>
        <v>0</v>
      </c>
      <c r="D19" s="84">
        <f t="shared" si="0"/>
        <v>1</v>
      </c>
      <c r="E19" s="5" t="str" cm="1">
        <f t="array" ref="E19">IF(AG19&lt;=0,"",INDEX(listRoot,AG19))</f>
        <v>Fuel</v>
      </c>
      <c r="F19" s="5" t="str" cm="1">
        <f t="array" ref="F19">IF(AH19&lt;=0.000000000001,"",INDEX(Lister!$C$4:$H$100,AH19,$AG19))</f>
        <v/>
      </c>
      <c r="G19" s="5" t="str" cm="1">
        <f t="array" ref="G19">IF(AI19&lt;=0.000000000001,"",INDEX(Lister!$J$4:$O$100,AI19,$AG19))</f>
        <v/>
      </c>
      <c r="H19" t="str">
        <f t="shared" si="5"/>
        <v/>
      </c>
      <c r="I19" t="str">
        <f t="shared" si="1"/>
        <v/>
      </c>
      <c r="J19" t="str">
        <f t="shared" si="1"/>
        <v/>
      </c>
      <c r="K19" t="str">
        <f t="shared" si="1"/>
        <v/>
      </c>
      <c r="O19" t="str">
        <f>IF(C19=0,"",E19&amp;"."&amp;F19&amp;"."&amp;G19)</f>
        <v/>
      </c>
      <c r="P19" t="str">
        <f t="shared" si="6"/>
        <v/>
      </c>
      <c r="Q19" t="str">
        <f t="shared" si="2"/>
        <v/>
      </c>
      <c r="R19" t="str">
        <f t="shared" si="2"/>
        <v/>
      </c>
      <c r="S19" t="str">
        <f t="shared" si="2"/>
        <v/>
      </c>
      <c r="T19" t="str">
        <f t="shared" si="2"/>
        <v/>
      </c>
      <c r="U19" t="str">
        <f t="shared" si="2"/>
        <v/>
      </c>
      <c r="V19" t="str">
        <f t="shared" si="2"/>
        <v/>
      </c>
      <c r="W19" t="str">
        <f t="shared" si="2"/>
        <v/>
      </c>
      <c r="X19" t="str">
        <f t="shared" si="2"/>
        <v/>
      </c>
      <c r="Y19" t="str">
        <f t="shared" si="2"/>
        <v/>
      </c>
      <c r="Z19" t="str">
        <f t="shared" si="2"/>
        <v/>
      </c>
      <c r="AA19" t="str">
        <f t="shared" si="2"/>
        <v/>
      </c>
      <c r="AD19" s="5" t="s">
        <v>175</v>
      </c>
      <c r="AE19" s="84">
        <v>0</v>
      </c>
      <c r="AF19" s="84">
        <v>1</v>
      </c>
      <c r="AG19" s="84">
        <v>5</v>
      </c>
      <c r="AH19" s="110">
        <v>1E-14</v>
      </c>
      <c r="AI19" s="110">
        <v>1E-14</v>
      </c>
      <c r="AJ19" s="84">
        <v>0</v>
      </c>
      <c r="AK19" s="84">
        <v>0</v>
      </c>
      <c r="AL19" t="s">
        <v>223</v>
      </c>
      <c r="AM19" t="s">
        <v>223</v>
      </c>
    </row>
    <row r="20" spans="2:39" x14ac:dyDescent="0.25">
      <c r="B20" s="101" t="str">
        <f t="shared" si="3"/>
        <v>screc15</v>
      </c>
      <c r="C20" s="84">
        <f t="shared" si="4"/>
        <v>0</v>
      </c>
      <c r="D20" s="84">
        <f t="shared" si="0"/>
        <v>2</v>
      </c>
      <c r="E20" s="5" t="str" cm="1">
        <f t="array" ref="E20">IF(AG20&lt;=0,"",INDEX(listRoot,AG20))</f>
        <v>Control</v>
      </c>
      <c r="F20" s="5" t="str" cm="1">
        <f t="array" ref="F20">IF(AH20&lt;=0.000000000001,"",INDEX(Lister!$C$4:$H$100,AH20,$AG20))</f>
        <v/>
      </c>
      <c r="G20" s="5" t="str" cm="1">
        <f t="array" ref="G20">IF(AI20&lt;=0.000000000001,"",INDEX(Lister!$J$4:$O$100,AI20,$AG20))</f>
        <v/>
      </c>
      <c r="H20" t="str">
        <f t="shared" si="5"/>
        <v/>
      </c>
      <c r="I20" t="str">
        <f t="shared" si="1"/>
        <v/>
      </c>
      <c r="J20" t="str">
        <f t="shared" si="1"/>
        <v/>
      </c>
      <c r="K20" t="str">
        <f t="shared" si="1"/>
        <v/>
      </c>
      <c r="O20" t="str">
        <f>IF(C20=0,"",E20&amp;"."&amp;F20&amp;"."&amp;G20)</f>
        <v/>
      </c>
      <c r="P20" t="str">
        <f t="shared" si="6"/>
        <v/>
      </c>
      <c r="Q20" t="str">
        <f t="shared" si="2"/>
        <v/>
      </c>
      <c r="R20" t="str">
        <f t="shared" si="2"/>
        <v/>
      </c>
      <c r="S20" t="str">
        <f t="shared" si="2"/>
        <v/>
      </c>
      <c r="T20" t="str">
        <f t="shared" si="2"/>
        <v/>
      </c>
      <c r="U20" t="str">
        <f t="shared" si="2"/>
        <v/>
      </c>
      <c r="V20" t="str">
        <f t="shared" si="2"/>
        <v/>
      </c>
      <c r="W20" t="str">
        <f t="shared" si="2"/>
        <v/>
      </c>
      <c r="X20" t="str">
        <f t="shared" si="2"/>
        <v/>
      </c>
      <c r="Y20" t="str">
        <f t="shared" si="2"/>
        <v/>
      </c>
      <c r="Z20" t="str">
        <f t="shared" si="2"/>
        <v/>
      </c>
      <c r="AA20" t="str">
        <f t="shared" si="2"/>
        <v/>
      </c>
      <c r="AD20" s="5" t="s">
        <v>177</v>
      </c>
      <c r="AE20" s="84">
        <v>0</v>
      </c>
      <c r="AF20" s="84">
        <v>2</v>
      </c>
      <c r="AG20" s="84">
        <v>1</v>
      </c>
      <c r="AH20" s="110">
        <v>1E-14</v>
      </c>
      <c r="AI20" s="110">
        <v>1E-14</v>
      </c>
      <c r="AJ20" s="84">
        <v>0</v>
      </c>
      <c r="AK20" s="84">
        <v>0</v>
      </c>
      <c r="AL20" t="s">
        <v>223</v>
      </c>
      <c r="AM20" t="s">
        <v>223</v>
      </c>
    </row>
    <row r="21" spans="2:39" x14ac:dyDescent="0.25">
      <c r="B21" s="101" t="str">
        <f t="shared" si="3"/>
        <v>screc16</v>
      </c>
      <c r="C21" s="84">
        <f t="shared" si="4"/>
        <v>0</v>
      </c>
      <c r="D21" s="84">
        <f t="shared" si="0"/>
        <v>2</v>
      </c>
      <c r="E21" s="5" t="str" cm="1">
        <f t="array" ref="E21">IF(AG21&lt;=0,"",INDEX(listRoot,AG21))</f>
        <v>Storage</v>
      </c>
      <c r="F21" s="5" t="str" cm="1">
        <f t="array" ref="F21">IF(AH21&lt;=0.000000000001,"",INDEX(Lister!$C$4:$H$100,AH21,$AG21))</f>
        <v/>
      </c>
      <c r="G21" s="5" t="str" cm="1">
        <f t="array" ref="G21">IF(AI21&lt;=0.000000000001,"",INDEX(Lister!$J$4:$O$100,AI21,$AG21))</f>
        <v/>
      </c>
      <c r="H21" t="str">
        <f t="shared" si="5"/>
        <v/>
      </c>
      <c r="I21" t="str">
        <f t="shared" si="1"/>
        <v/>
      </c>
      <c r="J21" t="str">
        <f t="shared" si="1"/>
        <v/>
      </c>
      <c r="K21" t="str">
        <f t="shared" si="1"/>
        <v/>
      </c>
      <c r="O21" t="str">
        <f>IF(C21=0,"",E21&amp;"."&amp;F21&amp;"."&amp;G21)</f>
        <v/>
      </c>
      <c r="P21" t="str">
        <f t="shared" si="6"/>
        <v/>
      </c>
      <c r="Q21" t="str">
        <f t="shared" si="2"/>
        <v/>
      </c>
      <c r="R21" t="str">
        <f t="shared" si="2"/>
        <v/>
      </c>
      <c r="S21" t="str">
        <f t="shared" si="2"/>
        <v/>
      </c>
      <c r="T21" t="str">
        <f t="shared" si="2"/>
        <v/>
      </c>
      <c r="U21" t="str">
        <f t="shared" si="2"/>
        <v/>
      </c>
      <c r="V21" t="str">
        <f t="shared" si="2"/>
        <v/>
      </c>
      <c r="W21" t="str">
        <f t="shared" si="2"/>
        <v/>
      </c>
      <c r="X21" t="str">
        <f t="shared" si="2"/>
        <v/>
      </c>
      <c r="Y21" t="str">
        <f t="shared" si="2"/>
        <v/>
      </c>
      <c r="Z21" t="str">
        <f t="shared" si="2"/>
        <v/>
      </c>
      <c r="AA21" t="str">
        <f t="shared" si="2"/>
        <v/>
      </c>
      <c r="AD21" s="5" t="s">
        <v>179</v>
      </c>
      <c r="AE21" s="84">
        <v>0</v>
      </c>
      <c r="AF21" s="84">
        <v>2</v>
      </c>
      <c r="AG21" s="84">
        <v>3</v>
      </c>
      <c r="AH21" s="110">
        <v>1E-14</v>
      </c>
      <c r="AI21" s="110">
        <v>1E-14</v>
      </c>
      <c r="AJ21" s="84">
        <v>0</v>
      </c>
      <c r="AK21" s="84">
        <v>0</v>
      </c>
      <c r="AL21" t="s">
        <v>223</v>
      </c>
      <c r="AM21" t="s">
        <v>223</v>
      </c>
    </row>
    <row r="22" spans="2:39" x14ac:dyDescent="0.25">
      <c r="B22" s="101" t="str">
        <f t="shared" si="3"/>
        <v/>
      </c>
      <c r="C22" s="84">
        <f t="shared" si="4"/>
        <v>0</v>
      </c>
      <c r="D22" s="84" t="str">
        <f t="shared" ref="D22:D45" si="7">IF(ISBLANK(AF22),"",AF22)</f>
        <v/>
      </c>
      <c r="E22" s="5" t="str" cm="1">
        <f t="array" ref="E22">IF(AG22&lt;=0,"",INDEX(listRoot,AG22))</f>
        <v/>
      </c>
      <c r="F22" s="5" t="str" cm="1">
        <f t="array" ref="F22">IF(AH22&lt;=0.000000000001,"",INDEX(Lister!$C$4:$H$100,AH22,$AG22))</f>
        <v/>
      </c>
      <c r="G22" s="5" t="str" cm="1">
        <f t="array" ref="G22">IF(AI22&lt;=0.000000000001,"",INDEX(Lister!$J$4:$O$100,AI22,$AG22))</f>
        <v/>
      </c>
      <c r="H22" t="str">
        <f t="shared" si="5"/>
        <v/>
      </c>
      <c r="I22" t="str">
        <f t="shared" ref="I22:I42" si="8">IF(AK22&lt;0.000000000001,"",AK22)</f>
        <v/>
      </c>
      <c r="J22" t="str">
        <f t="shared" ref="J22:J42" si="9">IF(AL22&lt;0.000000000001,"",AL22)</f>
        <v/>
      </c>
      <c r="K22" t="str">
        <f t="shared" ref="K22:K42" si="10">IF(AM22&lt;0.000000000001,"",AM22)</f>
        <v/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6"/>
        <v/>
      </c>
      <c r="AA22" t="str">
        <f t="shared" si="6"/>
        <v/>
      </c>
    </row>
    <row r="23" spans="2:39" x14ac:dyDescent="0.25">
      <c r="B23" s="101" t="str">
        <f t="shared" si="3"/>
        <v/>
      </c>
      <c r="C23" s="84">
        <f t="shared" si="4"/>
        <v>0</v>
      </c>
      <c r="D23" s="84" t="str">
        <f t="shared" si="7"/>
        <v/>
      </c>
      <c r="E23" s="5" t="str" cm="1">
        <f t="array" ref="E23">IF(AG23&lt;=0,"",INDEX(listRoot,AG23))</f>
        <v/>
      </c>
      <c r="F23" s="5" t="str" cm="1">
        <f t="array" ref="F23">IF(AH23&lt;=0.000000000001,"",INDEX(Lister!$C$4:$H$100,AH23,$AG23))</f>
        <v/>
      </c>
      <c r="G23" s="5" t="str" cm="1">
        <f t="array" ref="G23">IF(AI23&lt;=0.000000000001,"",INDEX(Lister!$J$4:$O$100,AI23,$AG23))</f>
        <v/>
      </c>
      <c r="H23" t="str">
        <f t="shared" si="5"/>
        <v/>
      </c>
      <c r="I23" t="str">
        <f t="shared" si="8"/>
        <v/>
      </c>
      <c r="J23" t="str">
        <f t="shared" si="9"/>
        <v/>
      </c>
      <c r="K23" t="str">
        <f t="shared" si="10"/>
        <v/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6"/>
        <v/>
      </c>
      <c r="AA23" t="str">
        <f t="shared" si="6"/>
        <v/>
      </c>
    </row>
    <row r="24" spans="2:39" x14ac:dyDescent="0.25">
      <c r="B24" s="101" t="str">
        <f t="shared" si="3"/>
        <v/>
      </c>
      <c r="C24" s="84">
        <f t="shared" si="4"/>
        <v>0</v>
      </c>
      <c r="D24" s="84" t="str">
        <f t="shared" si="7"/>
        <v/>
      </c>
      <c r="E24" s="5" t="str" cm="1">
        <f t="array" ref="E24">IF(AG24&lt;=0,"",INDEX(listRoot,AG24))</f>
        <v/>
      </c>
      <c r="F24" s="5" t="str" cm="1">
        <f t="array" ref="F24">IF(AH24&lt;=0.000000000001,"",INDEX(Lister!$C$4:$H$100,AH24,$AG24))</f>
        <v/>
      </c>
      <c r="G24" s="5" t="str" cm="1">
        <f t="array" ref="G24">IF(AI24&lt;=0.000000000001,"",INDEX(Lister!$J$4:$O$100,AI24,$AG24))</f>
        <v/>
      </c>
      <c r="H24" t="str">
        <f t="shared" si="5"/>
        <v/>
      </c>
      <c r="I24" t="str">
        <f t="shared" si="8"/>
        <v/>
      </c>
      <c r="J24" t="str">
        <f t="shared" si="9"/>
        <v/>
      </c>
      <c r="K24" t="str">
        <f t="shared" si="10"/>
        <v/>
      </c>
      <c r="P24" t="str">
        <f t="shared" si="6"/>
        <v/>
      </c>
      <c r="Q24" t="str">
        <f t="shared" si="6"/>
        <v/>
      </c>
      <c r="R24" t="str">
        <f t="shared" si="6"/>
        <v/>
      </c>
      <c r="S24" t="str">
        <f t="shared" si="6"/>
        <v/>
      </c>
      <c r="T24" t="str">
        <f t="shared" si="6"/>
        <v/>
      </c>
      <c r="U24" t="str">
        <f t="shared" si="6"/>
        <v/>
      </c>
      <c r="V24" t="str">
        <f t="shared" si="6"/>
        <v/>
      </c>
      <c r="W24" t="str">
        <f t="shared" si="6"/>
        <v/>
      </c>
      <c r="X24" t="str">
        <f t="shared" si="6"/>
        <v/>
      </c>
      <c r="Y24" t="str">
        <f t="shared" si="6"/>
        <v/>
      </c>
      <c r="Z24" t="str">
        <f t="shared" si="6"/>
        <v/>
      </c>
      <c r="AA24" t="str">
        <f t="shared" si="6"/>
        <v/>
      </c>
    </row>
    <row r="25" spans="2:39" x14ac:dyDescent="0.25">
      <c r="B25" s="101" t="str">
        <f t="shared" si="3"/>
        <v/>
      </c>
      <c r="C25" s="84">
        <f t="shared" si="4"/>
        <v>0</v>
      </c>
      <c r="D25" s="84" t="str">
        <f t="shared" si="7"/>
        <v/>
      </c>
      <c r="E25" s="5" t="str" cm="1">
        <f t="array" ref="E25">IF(AG25&lt;=0,"",INDEX(listRoot,AG25))</f>
        <v/>
      </c>
      <c r="F25" s="5" t="str" cm="1">
        <f t="array" ref="F25">IF(AH25&lt;=0.000000000001,"",INDEX(Lister!$C$4:$H$100,AH25,$AG25))</f>
        <v/>
      </c>
      <c r="G25" s="5" t="str" cm="1">
        <f t="array" ref="G25">IF(AI25&lt;=0.000000000001,"",INDEX(Lister!$J$4:$O$100,AI25,$AG25))</f>
        <v/>
      </c>
      <c r="H25" t="str">
        <f t="shared" si="5"/>
        <v/>
      </c>
      <c r="I25" t="str">
        <f t="shared" si="8"/>
        <v/>
      </c>
      <c r="J25" t="str">
        <f t="shared" si="9"/>
        <v/>
      </c>
      <c r="K25" t="str">
        <f t="shared" si="10"/>
        <v/>
      </c>
      <c r="P25" t="str">
        <f t="shared" si="6"/>
        <v/>
      </c>
      <c r="Q25" t="str">
        <f t="shared" si="6"/>
        <v/>
      </c>
      <c r="R25" t="str">
        <f t="shared" si="6"/>
        <v/>
      </c>
      <c r="S25" t="str">
        <f t="shared" si="6"/>
        <v/>
      </c>
      <c r="T25" t="str">
        <f t="shared" si="6"/>
        <v/>
      </c>
      <c r="U25" t="str">
        <f t="shared" si="6"/>
        <v/>
      </c>
      <c r="V25" t="str">
        <f t="shared" si="6"/>
        <v/>
      </c>
      <c r="W25" t="str">
        <f t="shared" si="6"/>
        <v/>
      </c>
      <c r="X25" t="str">
        <f t="shared" si="6"/>
        <v/>
      </c>
      <c r="Y25" t="str">
        <f t="shared" si="6"/>
        <v/>
      </c>
      <c r="Z25" t="str">
        <f t="shared" si="6"/>
        <v/>
      </c>
      <c r="AA25" t="str">
        <f t="shared" si="6"/>
        <v/>
      </c>
    </row>
    <row r="26" spans="2:39" x14ac:dyDescent="0.25">
      <c r="B26" s="101" t="str">
        <f t="shared" si="3"/>
        <v/>
      </c>
      <c r="C26" s="84">
        <f t="shared" si="4"/>
        <v>0</v>
      </c>
      <c r="D26" s="84" t="str">
        <f t="shared" si="7"/>
        <v/>
      </c>
      <c r="E26" s="5" t="str" cm="1">
        <f t="array" ref="E26">IF(AG26&lt;=0,"",INDEX(listRoot,AG26))</f>
        <v/>
      </c>
      <c r="F26" s="5" t="str" cm="1">
        <f t="array" ref="F26">IF(AH26&lt;=0.000000000001,"",INDEX(Lister!$C$4:$H$100,AH26,$AG26))</f>
        <v/>
      </c>
      <c r="G26" s="5" t="str" cm="1">
        <f t="array" ref="G26">IF(AI26&lt;=0.000000000001,"",INDEX(Lister!$J$4:$O$100,AI26,$AG26))</f>
        <v/>
      </c>
      <c r="H26" t="str">
        <f t="shared" si="5"/>
        <v/>
      </c>
      <c r="I26" t="str">
        <f t="shared" si="8"/>
        <v/>
      </c>
      <c r="J26" t="str">
        <f t="shared" si="9"/>
        <v/>
      </c>
      <c r="K26" t="str">
        <f t="shared" si="10"/>
        <v/>
      </c>
      <c r="P26" t="str">
        <f t="shared" si="6"/>
        <v/>
      </c>
      <c r="Q26" t="str">
        <f t="shared" si="6"/>
        <v/>
      </c>
      <c r="R26" t="str">
        <f t="shared" si="6"/>
        <v/>
      </c>
      <c r="S26" t="str">
        <f t="shared" si="6"/>
        <v/>
      </c>
      <c r="T26" t="str">
        <f t="shared" si="6"/>
        <v/>
      </c>
      <c r="U26" t="str">
        <f t="shared" si="6"/>
        <v/>
      </c>
      <c r="V26" t="str">
        <f t="shared" si="6"/>
        <v/>
      </c>
      <c r="W26" t="str">
        <f t="shared" si="6"/>
        <v/>
      </c>
      <c r="X26" t="str">
        <f t="shared" si="6"/>
        <v/>
      </c>
      <c r="Y26" t="str">
        <f t="shared" si="6"/>
        <v/>
      </c>
      <c r="Z26" t="str">
        <f t="shared" si="6"/>
        <v/>
      </c>
      <c r="AA26" t="str">
        <f t="shared" si="6"/>
        <v/>
      </c>
    </row>
    <row r="27" spans="2:39" x14ac:dyDescent="0.25">
      <c r="B27" s="101" t="str">
        <f t="shared" si="3"/>
        <v/>
      </c>
      <c r="C27" s="84">
        <f t="shared" si="4"/>
        <v>0</v>
      </c>
      <c r="D27" s="84" t="str">
        <f t="shared" si="7"/>
        <v/>
      </c>
      <c r="E27" s="5" t="str" cm="1">
        <f t="array" ref="E27">IF(AG27&lt;=0,"",INDEX(listRoot,AG27))</f>
        <v/>
      </c>
      <c r="F27" s="5" t="str" cm="1">
        <f t="array" ref="F27">IF(AH27&lt;=0.000000000001,"",INDEX(Lister!$C$4:$H$100,AH27,$AG27))</f>
        <v/>
      </c>
      <c r="G27" s="5" t="str" cm="1">
        <f t="array" ref="G27">IF(AI27&lt;=0.000000000001,"",INDEX(Lister!$J$4:$O$100,AI27,$AG27))</f>
        <v/>
      </c>
      <c r="H27" t="str">
        <f t="shared" si="5"/>
        <v/>
      </c>
      <c r="I27" t="str">
        <f t="shared" si="8"/>
        <v/>
      </c>
      <c r="J27" t="str">
        <f t="shared" si="9"/>
        <v/>
      </c>
      <c r="K27" t="str">
        <f t="shared" si="10"/>
        <v/>
      </c>
      <c r="P27" t="str">
        <f t="shared" si="6"/>
        <v/>
      </c>
      <c r="Q27" t="str">
        <f t="shared" si="6"/>
        <v/>
      </c>
      <c r="R27" t="str">
        <f t="shared" si="6"/>
        <v/>
      </c>
      <c r="S27" t="str">
        <f t="shared" si="6"/>
        <v/>
      </c>
      <c r="T27" t="str">
        <f t="shared" si="6"/>
        <v/>
      </c>
      <c r="U27" t="str">
        <f t="shared" si="6"/>
        <v/>
      </c>
      <c r="V27" t="str">
        <f t="shared" si="6"/>
        <v/>
      </c>
      <c r="W27" t="str">
        <f t="shared" si="6"/>
        <v/>
      </c>
      <c r="X27" t="str">
        <f t="shared" si="6"/>
        <v/>
      </c>
      <c r="Y27" t="str">
        <f t="shared" si="6"/>
        <v/>
      </c>
      <c r="Z27" t="str">
        <f t="shared" si="6"/>
        <v/>
      </c>
      <c r="AA27" t="str">
        <f t="shared" si="6"/>
        <v/>
      </c>
    </row>
    <row r="28" spans="2:39" x14ac:dyDescent="0.25">
      <c r="B28" s="101" t="str">
        <f t="shared" si="3"/>
        <v/>
      </c>
      <c r="C28" s="84">
        <f t="shared" si="4"/>
        <v>0</v>
      </c>
      <c r="D28" s="84" t="str">
        <f t="shared" si="7"/>
        <v/>
      </c>
      <c r="E28" s="5" t="str" cm="1">
        <f t="array" ref="E28">IF(AG28&lt;=0,"",INDEX(listRoot,AG28))</f>
        <v/>
      </c>
      <c r="F28" s="5" t="str" cm="1">
        <f t="array" ref="F28">IF(AH28&lt;=0.000000000001,"",INDEX(Lister!$C$4:$H$100,AH28,$AG28))</f>
        <v/>
      </c>
      <c r="G28" s="5" t="str" cm="1">
        <f t="array" ref="G28">IF(AI28&lt;=0.000000000001,"",INDEX(Lister!$J$4:$O$100,AI28,$AG28))</f>
        <v/>
      </c>
      <c r="H28" t="str">
        <f t="shared" si="5"/>
        <v/>
      </c>
      <c r="I28" t="str">
        <f t="shared" si="8"/>
        <v/>
      </c>
      <c r="J28" t="str">
        <f t="shared" si="9"/>
        <v/>
      </c>
      <c r="K28" t="str">
        <f t="shared" si="10"/>
        <v/>
      </c>
      <c r="P28" t="str">
        <f t="shared" si="6"/>
        <v/>
      </c>
      <c r="Q28" t="str">
        <f t="shared" si="6"/>
        <v/>
      </c>
      <c r="R28" t="str">
        <f t="shared" si="6"/>
        <v/>
      </c>
      <c r="S28" t="str">
        <f t="shared" si="6"/>
        <v/>
      </c>
      <c r="T28" t="str">
        <f t="shared" si="6"/>
        <v/>
      </c>
      <c r="U28" t="str">
        <f t="shared" si="6"/>
        <v/>
      </c>
      <c r="V28" t="str">
        <f t="shared" si="6"/>
        <v/>
      </c>
      <c r="W28" t="str">
        <f t="shared" si="6"/>
        <v/>
      </c>
      <c r="X28" t="str">
        <f t="shared" si="6"/>
        <v/>
      </c>
      <c r="Y28" t="str">
        <f t="shared" si="6"/>
        <v/>
      </c>
      <c r="Z28" t="str">
        <f t="shared" si="6"/>
        <v/>
      </c>
      <c r="AA28" t="str">
        <f t="shared" si="6"/>
        <v/>
      </c>
    </row>
    <row r="29" spans="2:39" x14ac:dyDescent="0.25">
      <c r="B29" s="101" t="str">
        <f t="shared" si="3"/>
        <v/>
      </c>
      <c r="C29" s="84">
        <f t="shared" si="4"/>
        <v>0</v>
      </c>
      <c r="D29" s="84" t="str">
        <f t="shared" si="7"/>
        <v/>
      </c>
      <c r="E29" s="5" t="str" cm="1">
        <f t="array" ref="E29">IF(AG29&lt;=0,"",INDEX(listRoot,AG29))</f>
        <v/>
      </c>
      <c r="F29" s="5" t="str" cm="1">
        <f t="array" ref="F29">IF(AH29&lt;=0.000000000001,"",INDEX(Lister!$C$4:$H$100,AH29,$AG29))</f>
        <v/>
      </c>
      <c r="G29" s="5" t="str" cm="1">
        <f t="array" ref="G29">IF(AI29&lt;=0.000000000001,"",INDEX(Lister!$J$4:$O$100,AI29,$AG29))</f>
        <v/>
      </c>
      <c r="H29" t="str">
        <f t="shared" si="5"/>
        <v/>
      </c>
      <c r="I29" t="str">
        <f t="shared" si="8"/>
        <v/>
      </c>
      <c r="J29" t="str">
        <f t="shared" si="9"/>
        <v/>
      </c>
      <c r="K29" t="str">
        <f t="shared" si="10"/>
        <v/>
      </c>
      <c r="P29" t="str">
        <f t="shared" si="6"/>
        <v/>
      </c>
      <c r="Q29" t="str">
        <f t="shared" si="6"/>
        <v/>
      </c>
      <c r="R29" t="str">
        <f t="shared" si="6"/>
        <v/>
      </c>
      <c r="S29" t="str">
        <f t="shared" si="6"/>
        <v/>
      </c>
      <c r="T29" t="str">
        <f t="shared" si="6"/>
        <v/>
      </c>
      <c r="U29" t="str">
        <f t="shared" si="6"/>
        <v/>
      </c>
      <c r="V29" t="str">
        <f t="shared" si="6"/>
        <v/>
      </c>
      <c r="W29" t="str">
        <f t="shared" si="6"/>
        <v/>
      </c>
      <c r="X29" t="str">
        <f t="shared" si="6"/>
        <v/>
      </c>
      <c r="Y29" t="str">
        <f t="shared" si="6"/>
        <v/>
      </c>
      <c r="Z29" t="str">
        <f t="shared" si="6"/>
        <v/>
      </c>
      <c r="AA29" t="str">
        <f t="shared" si="6"/>
        <v/>
      </c>
    </row>
    <row r="30" spans="2:39" x14ac:dyDescent="0.25">
      <c r="B30" s="101" t="str">
        <f t="shared" si="3"/>
        <v/>
      </c>
      <c r="C30" s="84">
        <f t="shared" si="4"/>
        <v>0</v>
      </c>
      <c r="D30" s="84" t="str">
        <f t="shared" si="7"/>
        <v/>
      </c>
      <c r="E30" s="5" t="str" cm="1">
        <f t="array" ref="E30">IF(AG30&lt;=0,"",INDEX(listRoot,AG30))</f>
        <v/>
      </c>
      <c r="F30" s="5" t="str" cm="1">
        <f t="array" ref="F30">IF(AH30&lt;=0.000000000001,"",INDEX(Lister!$C$4:$H$100,AH30,$AG30))</f>
        <v/>
      </c>
      <c r="G30" s="5" t="str" cm="1">
        <f t="array" ref="G30">IF(AI30&lt;=0.000000000001,"",INDEX(Lister!$J$4:$O$100,AI30,$AG30))</f>
        <v/>
      </c>
      <c r="H30" t="str">
        <f t="shared" si="5"/>
        <v/>
      </c>
      <c r="I30" t="str">
        <f t="shared" si="8"/>
        <v/>
      </c>
      <c r="J30" t="str">
        <f t="shared" si="9"/>
        <v/>
      </c>
      <c r="K30" t="str">
        <f t="shared" si="10"/>
        <v/>
      </c>
      <c r="P30" t="str">
        <f t="shared" si="6"/>
        <v/>
      </c>
      <c r="Q30" t="str">
        <f t="shared" si="6"/>
        <v/>
      </c>
      <c r="R30" t="str">
        <f t="shared" si="6"/>
        <v/>
      </c>
      <c r="S30" t="str">
        <f t="shared" si="6"/>
        <v/>
      </c>
      <c r="T30" t="str">
        <f t="shared" si="6"/>
        <v/>
      </c>
      <c r="U30" t="str">
        <f t="shared" si="6"/>
        <v/>
      </c>
      <c r="V30" t="str">
        <f t="shared" si="6"/>
        <v/>
      </c>
      <c r="W30" t="str">
        <f t="shared" si="6"/>
        <v/>
      </c>
      <c r="X30" t="str">
        <f t="shared" si="6"/>
        <v/>
      </c>
      <c r="Y30" t="str">
        <f t="shared" si="6"/>
        <v/>
      </c>
      <c r="Z30" t="str">
        <f t="shared" si="6"/>
        <v/>
      </c>
      <c r="AA30" t="str">
        <f t="shared" si="6"/>
        <v/>
      </c>
    </row>
    <row r="31" spans="2:39" x14ac:dyDescent="0.25">
      <c r="B31" s="101" t="str">
        <f t="shared" si="3"/>
        <v/>
      </c>
      <c r="C31" s="84">
        <f t="shared" si="4"/>
        <v>0</v>
      </c>
      <c r="D31" s="84" t="str">
        <f t="shared" si="7"/>
        <v/>
      </c>
      <c r="E31" s="5" t="str" cm="1">
        <f t="array" ref="E31">IF(AG31&lt;=0,"",INDEX(listRoot,AG31))</f>
        <v/>
      </c>
      <c r="F31" s="5" t="str" cm="1">
        <f t="array" ref="F31">IF(AH31&lt;=0.000000000001,"",INDEX(Lister!$C$4:$H$100,AH31,$AG31))</f>
        <v/>
      </c>
      <c r="G31" s="5" t="str" cm="1">
        <f t="array" ref="G31">IF(AI31&lt;=0.000000000001,"",INDEX(Lister!$J$4:$O$100,AI31,$AG31))</f>
        <v/>
      </c>
      <c r="H31" t="str">
        <f t="shared" si="5"/>
        <v/>
      </c>
      <c r="I31" t="str">
        <f t="shared" si="8"/>
        <v/>
      </c>
      <c r="J31" t="str">
        <f t="shared" si="9"/>
        <v/>
      </c>
      <c r="K31" t="str">
        <f t="shared" si="10"/>
        <v/>
      </c>
      <c r="P31" t="str">
        <f t="shared" si="6"/>
        <v/>
      </c>
      <c r="Q31" t="str">
        <f t="shared" si="6"/>
        <v/>
      </c>
      <c r="R31" t="str">
        <f t="shared" si="6"/>
        <v/>
      </c>
      <c r="S31" t="str">
        <f t="shared" si="6"/>
        <v/>
      </c>
      <c r="T31" t="str">
        <f t="shared" si="6"/>
        <v/>
      </c>
      <c r="U31" t="str">
        <f t="shared" si="6"/>
        <v/>
      </c>
      <c r="V31" t="str">
        <f t="shared" si="6"/>
        <v/>
      </c>
      <c r="W31" t="str">
        <f t="shared" si="6"/>
        <v/>
      </c>
      <c r="X31" t="str">
        <f t="shared" si="6"/>
        <v/>
      </c>
      <c r="Y31" t="str">
        <f t="shared" si="6"/>
        <v/>
      </c>
      <c r="Z31" t="str">
        <f t="shared" si="6"/>
        <v/>
      </c>
      <c r="AA31" t="str">
        <f t="shared" si="6"/>
        <v/>
      </c>
    </row>
    <row r="32" spans="2:39" x14ac:dyDescent="0.25">
      <c r="B32" s="101" t="str">
        <f t="shared" si="3"/>
        <v/>
      </c>
      <c r="C32" s="84">
        <f t="shared" si="4"/>
        <v>0</v>
      </c>
      <c r="D32" s="84" t="str">
        <f t="shared" si="7"/>
        <v/>
      </c>
      <c r="E32" s="5" t="str" cm="1">
        <f t="array" ref="E32">IF(AG32&lt;=0,"",INDEX(listRoot,AG32))</f>
        <v/>
      </c>
      <c r="F32" s="5" t="str" cm="1">
        <f t="array" ref="F32">IF(AH32&lt;=0.000000000001,"",INDEX(Lister!$C$4:$H$100,AH32,$AG32))</f>
        <v/>
      </c>
      <c r="G32" s="5" t="str" cm="1">
        <f t="array" ref="G32">IF(AI32&lt;=0.000000000001,"",INDEX(Lister!$J$4:$O$100,AI32,$AG32))</f>
        <v/>
      </c>
      <c r="H32" t="str">
        <f t="shared" si="5"/>
        <v/>
      </c>
      <c r="I32" t="str">
        <f t="shared" si="8"/>
        <v/>
      </c>
      <c r="J32" t="str">
        <f t="shared" si="9"/>
        <v/>
      </c>
      <c r="K32" t="str">
        <f t="shared" si="10"/>
        <v/>
      </c>
      <c r="P32" t="str">
        <f t="shared" si="6"/>
        <v/>
      </c>
      <c r="Q32" t="str">
        <f t="shared" si="6"/>
        <v/>
      </c>
      <c r="R32" t="str">
        <f t="shared" si="6"/>
        <v/>
      </c>
      <c r="S32" t="str">
        <f t="shared" si="6"/>
        <v/>
      </c>
      <c r="T32" t="str">
        <f t="shared" si="6"/>
        <v/>
      </c>
      <c r="U32" t="str">
        <f t="shared" si="6"/>
        <v/>
      </c>
      <c r="V32" t="str">
        <f t="shared" si="6"/>
        <v/>
      </c>
      <c r="W32" t="str">
        <f t="shared" si="6"/>
        <v/>
      </c>
      <c r="X32" t="str">
        <f t="shared" si="6"/>
        <v/>
      </c>
      <c r="Y32" t="str">
        <f t="shared" si="6"/>
        <v/>
      </c>
      <c r="Z32" t="str">
        <f t="shared" si="6"/>
        <v/>
      </c>
      <c r="AA32" t="str">
        <f t="shared" si="6"/>
        <v/>
      </c>
    </row>
    <row r="33" spans="2:27" x14ac:dyDescent="0.25">
      <c r="B33" s="101" t="str">
        <f t="shared" si="3"/>
        <v/>
      </c>
      <c r="C33" s="84">
        <f t="shared" si="4"/>
        <v>0</v>
      </c>
      <c r="D33" s="84" t="str">
        <f t="shared" si="7"/>
        <v/>
      </c>
      <c r="E33" s="5" t="str" cm="1">
        <f t="array" ref="E33">IF(AG33&lt;=0,"",INDEX(listRoot,AG33))</f>
        <v/>
      </c>
      <c r="F33" s="5" t="str" cm="1">
        <f t="array" ref="F33">IF(AH33&lt;=0.000000000001,"",INDEX(Lister!$C$4:$H$100,AH33,$AG33))</f>
        <v/>
      </c>
      <c r="G33" s="5" t="str" cm="1">
        <f t="array" ref="G33">IF(AI33&lt;=0.000000000001,"",INDEX(Lister!$J$4:$O$100,AI33,$AG33))</f>
        <v/>
      </c>
      <c r="H33" t="str">
        <f t="shared" si="5"/>
        <v/>
      </c>
      <c r="I33" t="str">
        <f t="shared" si="8"/>
        <v/>
      </c>
      <c r="J33" t="str">
        <f t="shared" si="9"/>
        <v/>
      </c>
      <c r="K33" t="str">
        <f t="shared" si="10"/>
        <v/>
      </c>
      <c r="P33" t="str">
        <f t="shared" si="6"/>
        <v/>
      </c>
      <c r="Q33" t="str">
        <f t="shared" si="6"/>
        <v/>
      </c>
      <c r="R33" t="str">
        <f t="shared" si="6"/>
        <v/>
      </c>
      <c r="S33" t="str">
        <f t="shared" si="6"/>
        <v/>
      </c>
      <c r="T33" t="str">
        <f t="shared" si="6"/>
        <v/>
      </c>
      <c r="U33" t="str">
        <f t="shared" si="6"/>
        <v/>
      </c>
      <c r="V33" t="str">
        <f t="shared" si="6"/>
        <v/>
      </c>
      <c r="W33" t="str">
        <f t="shared" si="6"/>
        <v/>
      </c>
      <c r="X33" t="str">
        <f t="shared" si="6"/>
        <v/>
      </c>
      <c r="Y33" t="str">
        <f t="shared" si="6"/>
        <v/>
      </c>
      <c r="Z33" t="str">
        <f t="shared" si="6"/>
        <v/>
      </c>
      <c r="AA33" t="str">
        <f t="shared" si="6"/>
        <v/>
      </c>
    </row>
    <row r="34" spans="2:27" x14ac:dyDescent="0.25">
      <c r="B34" s="101" t="str">
        <f t="shared" si="3"/>
        <v/>
      </c>
      <c r="C34" s="84">
        <f t="shared" si="4"/>
        <v>0</v>
      </c>
      <c r="D34" s="84" t="str">
        <f t="shared" si="7"/>
        <v/>
      </c>
      <c r="E34" s="5" t="str" cm="1">
        <f t="array" ref="E34">IF(AG34&lt;=0,"",INDEX(listRoot,AG34))</f>
        <v/>
      </c>
      <c r="F34" s="5" t="str" cm="1">
        <f t="array" ref="F34">IF(AH34&lt;=0.000000000001,"",INDEX(Lister!$C$4:$H$100,AH34,$AG34))</f>
        <v/>
      </c>
      <c r="G34" s="5" t="str" cm="1">
        <f t="array" ref="G34">IF(AI34&lt;=0.000000000001,"",INDEX(Lister!$J$4:$O$100,AI34,$AG34))</f>
        <v/>
      </c>
      <c r="H34" t="str">
        <f t="shared" si="5"/>
        <v/>
      </c>
      <c r="I34" t="str">
        <f t="shared" si="8"/>
        <v/>
      </c>
      <c r="J34" t="str">
        <f t="shared" si="9"/>
        <v/>
      </c>
      <c r="K34" t="str">
        <f t="shared" si="10"/>
        <v/>
      </c>
      <c r="P34" t="str">
        <f t="shared" si="6"/>
        <v/>
      </c>
      <c r="Q34" t="str">
        <f t="shared" si="6"/>
        <v/>
      </c>
      <c r="R34" t="str">
        <f t="shared" si="6"/>
        <v/>
      </c>
      <c r="S34" t="str">
        <f t="shared" si="6"/>
        <v/>
      </c>
      <c r="T34" t="str">
        <f t="shared" si="6"/>
        <v/>
      </c>
      <c r="U34" t="str">
        <f t="shared" si="6"/>
        <v/>
      </c>
      <c r="V34" t="str">
        <f t="shared" si="6"/>
        <v/>
      </c>
      <c r="W34" t="str">
        <f t="shared" si="6"/>
        <v/>
      </c>
      <c r="X34" t="str">
        <f t="shared" si="6"/>
        <v/>
      </c>
      <c r="Y34" t="str">
        <f t="shared" si="6"/>
        <v/>
      </c>
      <c r="Z34" t="str">
        <f t="shared" si="6"/>
        <v/>
      </c>
      <c r="AA34" t="str">
        <f t="shared" si="6"/>
        <v/>
      </c>
    </row>
    <row r="35" spans="2:27" x14ac:dyDescent="0.25">
      <c r="B35" s="101" t="str">
        <f t="shared" si="3"/>
        <v/>
      </c>
      <c r="C35" s="84">
        <f t="shared" si="4"/>
        <v>0</v>
      </c>
      <c r="D35" s="84" t="str">
        <f t="shared" si="7"/>
        <v/>
      </c>
      <c r="E35" s="5" t="str" cm="1">
        <f t="array" ref="E35">IF(AG35&lt;=0,"",INDEX(listRoot,AG35))</f>
        <v/>
      </c>
      <c r="F35" s="5" t="str" cm="1">
        <f t="array" ref="F35">IF(AH35&lt;=0.000000000001,"",INDEX(Lister!$C$4:$H$100,AH35,$AG35))</f>
        <v/>
      </c>
      <c r="G35" s="5" t="str" cm="1">
        <f t="array" ref="G35">IF(AI35&lt;=0.000000000001,"",INDEX(Lister!$J$4:$O$100,AI35,$AG35))</f>
        <v/>
      </c>
      <c r="H35" t="str">
        <f t="shared" si="5"/>
        <v/>
      </c>
      <c r="I35" t="str">
        <f t="shared" si="8"/>
        <v/>
      </c>
      <c r="J35" t="str">
        <f t="shared" si="9"/>
        <v/>
      </c>
      <c r="K35" t="str">
        <f t="shared" si="10"/>
        <v/>
      </c>
      <c r="P35" t="str">
        <f t="shared" si="6"/>
        <v/>
      </c>
      <c r="Q35" t="str">
        <f t="shared" si="6"/>
        <v/>
      </c>
      <c r="R35" t="str">
        <f t="shared" si="6"/>
        <v/>
      </c>
      <c r="S35" t="str">
        <f t="shared" si="6"/>
        <v/>
      </c>
      <c r="T35" t="str">
        <f t="shared" si="6"/>
        <v/>
      </c>
      <c r="U35" t="str">
        <f t="shared" si="6"/>
        <v/>
      </c>
      <c r="V35" t="str">
        <f t="shared" si="6"/>
        <v/>
      </c>
      <c r="W35" t="str">
        <f t="shared" si="6"/>
        <v/>
      </c>
      <c r="X35" t="str">
        <f t="shared" si="6"/>
        <v/>
      </c>
      <c r="Y35" t="str">
        <f t="shared" si="6"/>
        <v/>
      </c>
      <c r="Z35" t="str">
        <f t="shared" si="6"/>
        <v/>
      </c>
      <c r="AA35" t="str">
        <f t="shared" si="6"/>
        <v/>
      </c>
    </row>
    <row r="36" spans="2:27" x14ac:dyDescent="0.25">
      <c r="B36" s="101" t="str">
        <f t="shared" si="3"/>
        <v/>
      </c>
      <c r="C36" s="84">
        <f t="shared" si="4"/>
        <v>0</v>
      </c>
      <c r="D36" s="84" t="str">
        <f t="shared" si="7"/>
        <v/>
      </c>
      <c r="E36" s="5" t="str" cm="1">
        <f t="array" ref="E36">IF(AG36&lt;=0,"",INDEX(listRoot,AG36))</f>
        <v/>
      </c>
      <c r="F36" s="5" t="str" cm="1">
        <f t="array" ref="F36">IF(AH36&lt;=0.000000000001,"",INDEX(Lister!$C$4:$H$100,AH36,$AG36))</f>
        <v/>
      </c>
      <c r="G36" s="5" t="str" cm="1">
        <f t="array" ref="G36">IF(AI36&lt;=0.000000000001,"",INDEX(Lister!$J$4:$O$100,AI36,$AG36))</f>
        <v/>
      </c>
      <c r="H36" t="str">
        <f t="shared" si="5"/>
        <v/>
      </c>
      <c r="I36" t="str">
        <f t="shared" si="8"/>
        <v/>
      </c>
      <c r="J36" t="str">
        <f t="shared" si="9"/>
        <v/>
      </c>
      <c r="K36" t="str">
        <f t="shared" si="10"/>
        <v/>
      </c>
      <c r="P36" t="str">
        <f t="shared" si="6"/>
        <v/>
      </c>
      <c r="Q36" t="str">
        <f t="shared" si="6"/>
        <v/>
      </c>
      <c r="R36" t="str">
        <f t="shared" si="6"/>
        <v/>
      </c>
      <c r="S36" t="str">
        <f t="shared" si="6"/>
        <v/>
      </c>
      <c r="T36" t="str">
        <f t="shared" si="6"/>
        <v/>
      </c>
      <c r="U36" t="str">
        <f t="shared" si="6"/>
        <v/>
      </c>
      <c r="V36" t="str">
        <f t="shared" si="6"/>
        <v/>
      </c>
      <c r="W36" t="str">
        <f t="shared" si="6"/>
        <v/>
      </c>
      <c r="X36" t="str">
        <f t="shared" si="6"/>
        <v/>
      </c>
      <c r="Y36" t="str">
        <f t="shared" si="6"/>
        <v/>
      </c>
      <c r="Z36" t="str">
        <f t="shared" si="6"/>
        <v/>
      </c>
      <c r="AA36" t="str">
        <f t="shared" si="6"/>
        <v/>
      </c>
    </row>
    <row r="37" spans="2:27" x14ac:dyDescent="0.25">
      <c r="B37" s="101" t="str">
        <f t="shared" si="3"/>
        <v/>
      </c>
      <c r="C37" s="84">
        <f t="shared" si="4"/>
        <v>0</v>
      </c>
      <c r="D37" s="84" t="str">
        <f t="shared" si="7"/>
        <v/>
      </c>
      <c r="E37" s="5" t="str" cm="1">
        <f t="array" ref="E37">IF(AG37&lt;=0,"",INDEX(listRoot,AG37))</f>
        <v/>
      </c>
      <c r="F37" s="5" t="str" cm="1">
        <f t="array" ref="F37">IF(AH37&lt;=0.000000000001,"",INDEX(Lister!$C$4:$H$100,AH37,$AG37))</f>
        <v/>
      </c>
      <c r="G37" s="5" t="str" cm="1">
        <f t="array" ref="G37">IF(AI37&lt;=0.000000000001,"",INDEX(Lister!$J$4:$O$100,AI37,$AG37))</f>
        <v/>
      </c>
      <c r="H37" t="str">
        <f t="shared" si="5"/>
        <v/>
      </c>
      <c r="I37" t="str">
        <f t="shared" si="8"/>
        <v/>
      </c>
      <c r="J37" t="str">
        <f t="shared" si="9"/>
        <v/>
      </c>
      <c r="K37" t="str">
        <f t="shared" si="10"/>
        <v/>
      </c>
      <c r="P37" t="str">
        <f t="shared" si="6"/>
        <v/>
      </c>
      <c r="Q37" t="str">
        <f t="shared" si="6"/>
        <v/>
      </c>
      <c r="R37" t="str">
        <f t="shared" si="6"/>
        <v/>
      </c>
      <c r="S37" t="str">
        <f t="shared" si="6"/>
        <v/>
      </c>
      <c r="T37" t="str">
        <f t="shared" si="6"/>
        <v/>
      </c>
      <c r="U37" t="str">
        <f t="shared" si="6"/>
        <v/>
      </c>
      <c r="V37" t="str">
        <f t="shared" si="6"/>
        <v/>
      </c>
      <c r="W37" t="str">
        <f t="shared" si="6"/>
        <v/>
      </c>
      <c r="X37" t="str">
        <f t="shared" si="6"/>
        <v/>
      </c>
      <c r="Y37" t="str">
        <f t="shared" si="6"/>
        <v/>
      </c>
      <c r="Z37" t="str">
        <f t="shared" si="6"/>
        <v/>
      </c>
      <c r="AA37" t="str">
        <f t="shared" si="6"/>
        <v/>
      </c>
    </row>
    <row r="38" spans="2:27" x14ac:dyDescent="0.25">
      <c r="B38" s="101" t="str">
        <f t="shared" si="3"/>
        <v/>
      </c>
      <c r="C38" s="84">
        <f t="shared" si="4"/>
        <v>0</v>
      </c>
      <c r="D38" s="84" t="str">
        <f t="shared" si="7"/>
        <v/>
      </c>
      <c r="E38" s="5" t="str" cm="1">
        <f t="array" ref="E38">IF(AG38&lt;=0,"",INDEX(listRoot,AG38))</f>
        <v/>
      </c>
      <c r="F38" s="5" t="str" cm="1">
        <f t="array" ref="F38">IF(AH38&lt;=0.000000000001,"",INDEX(Lister!$C$4:$H$100,AH38,$AG38))</f>
        <v/>
      </c>
      <c r="G38" s="5" t="str" cm="1">
        <f t="array" ref="G38">IF(AI38&lt;=0.000000000001,"",INDEX(Lister!$J$4:$O$100,AI38,$AG38))</f>
        <v/>
      </c>
      <c r="H38" t="str">
        <f t="shared" si="5"/>
        <v/>
      </c>
      <c r="I38" t="str">
        <f t="shared" si="8"/>
        <v/>
      </c>
      <c r="J38" t="str">
        <f t="shared" si="9"/>
        <v/>
      </c>
      <c r="K38" t="str">
        <f t="shared" si="10"/>
        <v/>
      </c>
      <c r="P38" t="str">
        <f t="shared" si="6"/>
        <v/>
      </c>
      <c r="Q38" t="str">
        <f t="shared" si="6"/>
        <v/>
      </c>
      <c r="R38" t="str">
        <f t="shared" si="6"/>
        <v/>
      </c>
      <c r="S38" t="str">
        <f t="shared" si="6"/>
        <v/>
      </c>
      <c r="T38" t="str">
        <f t="shared" si="6"/>
        <v/>
      </c>
      <c r="U38" t="str">
        <f t="shared" si="6"/>
        <v/>
      </c>
      <c r="V38" t="str">
        <f t="shared" si="6"/>
        <v/>
      </c>
      <c r="W38" t="str">
        <f t="shared" si="6"/>
        <v/>
      </c>
      <c r="X38" t="str">
        <f t="shared" si="6"/>
        <v/>
      </c>
      <c r="Y38" t="str">
        <f t="shared" si="6"/>
        <v/>
      </c>
      <c r="Z38" t="str">
        <f t="shared" si="6"/>
        <v/>
      </c>
      <c r="AA38" t="str">
        <f t="shared" si="6"/>
        <v/>
      </c>
    </row>
    <row r="39" spans="2:27" x14ac:dyDescent="0.25">
      <c r="B39" s="101" t="str">
        <f t="shared" si="3"/>
        <v/>
      </c>
      <c r="C39" s="84">
        <f t="shared" si="4"/>
        <v>0</v>
      </c>
      <c r="D39" s="84" t="str">
        <f t="shared" si="7"/>
        <v/>
      </c>
      <c r="E39" s="5" t="str" cm="1">
        <f t="array" ref="E39">IF(AG39&lt;=0,"",INDEX(listRoot,AG39))</f>
        <v/>
      </c>
      <c r="F39" s="5" t="str" cm="1">
        <f t="array" ref="F39">IF(AH39&lt;=0.000000000001,"",INDEX(Lister!$C$4:$H$100,AH39,$AG39))</f>
        <v/>
      </c>
      <c r="G39" s="5" t="str" cm="1">
        <f t="array" ref="G39">IF(AI39&lt;=0.000000000001,"",INDEX(Lister!$J$4:$O$100,AI39,$AG39))</f>
        <v/>
      </c>
      <c r="H39" t="str">
        <f t="shared" si="5"/>
        <v/>
      </c>
      <c r="I39" t="str">
        <f t="shared" si="8"/>
        <v/>
      </c>
      <c r="J39" t="str">
        <f t="shared" si="9"/>
        <v/>
      </c>
      <c r="K39" t="str">
        <f t="shared" si="10"/>
        <v/>
      </c>
      <c r="P39" t="str">
        <f t="shared" si="6"/>
        <v/>
      </c>
      <c r="Q39" t="str">
        <f t="shared" si="6"/>
        <v/>
      </c>
      <c r="R39" t="str">
        <f t="shared" si="6"/>
        <v/>
      </c>
      <c r="S39" t="str">
        <f t="shared" si="6"/>
        <v/>
      </c>
      <c r="T39" t="str">
        <f t="shared" si="6"/>
        <v/>
      </c>
      <c r="U39" t="str">
        <f t="shared" si="6"/>
        <v/>
      </c>
      <c r="V39" t="str">
        <f t="shared" si="6"/>
        <v/>
      </c>
      <c r="W39" t="str">
        <f t="shared" si="6"/>
        <v/>
      </c>
      <c r="X39" t="str">
        <f t="shared" si="6"/>
        <v/>
      </c>
      <c r="Y39" t="str">
        <f t="shared" si="6"/>
        <v/>
      </c>
      <c r="Z39" t="str">
        <f t="shared" si="6"/>
        <v/>
      </c>
      <c r="AA39" t="str">
        <f t="shared" si="6"/>
        <v/>
      </c>
    </row>
    <row r="40" spans="2:27" x14ac:dyDescent="0.25">
      <c r="B40" s="101" t="str">
        <f t="shared" si="3"/>
        <v/>
      </c>
      <c r="C40" s="84">
        <f t="shared" si="4"/>
        <v>0</v>
      </c>
      <c r="D40" s="84" t="str">
        <f t="shared" si="7"/>
        <v/>
      </c>
      <c r="E40" s="5" t="str" cm="1">
        <f t="array" ref="E40">IF(AG40&lt;=0,"",INDEX(listRoot,AG40))</f>
        <v/>
      </c>
      <c r="F40" s="5" t="str" cm="1">
        <f t="array" ref="F40">IF(AH40&lt;=0.000000000001,"",INDEX(Lister!$C$4:$H$100,AH40,$AG40))</f>
        <v/>
      </c>
      <c r="G40" s="5" t="str" cm="1">
        <f t="array" ref="G40">IF(AI40&lt;=0.000000000001,"",INDEX(Lister!$J$4:$O$100,AI40,$AG40))</f>
        <v/>
      </c>
      <c r="H40" t="str">
        <f t="shared" si="5"/>
        <v/>
      </c>
      <c r="I40" t="str">
        <f t="shared" si="8"/>
        <v/>
      </c>
      <c r="J40" t="str">
        <f t="shared" si="9"/>
        <v/>
      </c>
      <c r="K40" t="str">
        <f t="shared" si="10"/>
        <v/>
      </c>
      <c r="P40" t="str">
        <f t="shared" si="6"/>
        <v/>
      </c>
      <c r="Q40" t="str">
        <f t="shared" si="6"/>
        <v/>
      </c>
      <c r="R40" t="str">
        <f t="shared" si="6"/>
        <v/>
      </c>
      <c r="S40" t="str">
        <f t="shared" si="6"/>
        <v/>
      </c>
      <c r="T40" t="str">
        <f t="shared" si="6"/>
        <v/>
      </c>
      <c r="U40" t="str">
        <f t="shared" si="6"/>
        <v/>
      </c>
      <c r="V40" t="str">
        <f t="shared" si="6"/>
        <v/>
      </c>
      <c r="W40" t="str">
        <f t="shared" si="6"/>
        <v/>
      </c>
      <c r="X40" t="str">
        <f t="shared" si="6"/>
        <v/>
      </c>
      <c r="Y40" t="str">
        <f t="shared" si="6"/>
        <v/>
      </c>
      <c r="Z40" t="str">
        <f t="shared" si="6"/>
        <v/>
      </c>
      <c r="AA40" t="str">
        <f t="shared" si="6"/>
        <v/>
      </c>
    </row>
    <row r="41" spans="2:27" x14ac:dyDescent="0.25">
      <c r="B41" s="101" t="str">
        <f t="shared" si="3"/>
        <v/>
      </c>
      <c r="C41" s="84">
        <f t="shared" si="4"/>
        <v>0</v>
      </c>
      <c r="D41" s="84" t="str">
        <f t="shared" si="7"/>
        <v/>
      </c>
      <c r="E41" s="5" t="str" cm="1">
        <f t="array" ref="E41">IF(AG41&lt;=0,"",INDEX(listRoot,AG41))</f>
        <v/>
      </c>
      <c r="F41" s="5" t="str" cm="1">
        <f t="array" ref="F41">IF(AH41&lt;=0.000000000001,"",INDEX(Lister!$C$4:$H$100,AH41,$AG41))</f>
        <v/>
      </c>
      <c r="G41" s="5" t="str" cm="1">
        <f t="array" ref="G41">IF(AI41&lt;=0.000000000001,"",INDEX(Lister!$J$4:$O$100,AI41,$AG41))</f>
        <v/>
      </c>
      <c r="H41" t="str">
        <f t="shared" si="5"/>
        <v/>
      </c>
      <c r="I41" t="str">
        <f t="shared" si="8"/>
        <v/>
      </c>
      <c r="J41" t="str">
        <f t="shared" si="9"/>
        <v/>
      </c>
      <c r="K41" t="str">
        <f t="shared" si="10"/>
        <v/>
      </c>
      <c r="P41" t="str">
        <f t="shared" si="6"/>
        <v/>
      </c>
      <c r="Q41" t="str">
        <f t="shared" si="6"/>
        <v/>
      </c>
      <c r="R41" t="str">
        <f t="shared" si="6"/>
        <v/>
      </c>
      <c r="S41" t="str">
        <f t="shared" si="6"/>
        <v/>
      </c>
      <c r="T41" t="str">
        <f t="shared" si="6"/>
        <v/>
      </c>
      <c r="U41" t="str">
        <f t="shared" si="6"/>
        <v/>
      </c>
      <c r="V41" t="str">
        <f t="shared" si="6"/>
        <v/>
      </c>
      <c r="W41" t="str">
        <f t="shared" si="6"/>
        <v/>
      </c>
      <c r="X41" t="str">
        <f t="shared" si="6"/>
        <v/>
      </c>
      <c r="Y41" t="str">
        <f t="shared" si="6"/>
        <v/>
      </c>
      <c r="Z41" t="str">
        <f t="shared" si="6"/>
        <v/>
      </c>
      <c r="AA41" t="str">
        <f t="shared" si="6"/>
        <v/>
      </c>
    </row>
    <row r="42" spans="2:27" x14ac:dyDescent="0.25">
      <c r="B42" s="101" t="str">
        <f t="shared" si="3"/>
        <v/>
      </c>
      <c r="C42" s="84">
        <f t="shared" si="4"/>
        <v>0</v>
      </c>
      <c r="D42" s="84" t="str">
        <f t="shared" si="7"/>
        <v/>
      </c>
      <c r="E42" s="5" t="str" cm="1">
        <f t="array" ref="E42">IF(AG42&lt;=0,"",INDEX(listRoot,AG42))</f>
        <v/>
      </c>
      <c r="F42" s="5" t="str" cm="1">
        <f t="array" ref="F42">IF(AH42&lt;=0.000000000001,"",INDEX(Lister!$C$4:$H$100,AH42,$AG42))</f>
        <v/>
      </c>
      <c r="G42" s="5" t="str" cm="1">
        <f t="array" ref="G42">IF(AI42&lt;=0.000000000001,"",INDEX(Lister!$J$4:$O$100,AI42,$AG42))</f>
        <v/>
      </c>
      <c r="H42" t="str">
        <f t="shared" si="5"/>
        <v/>
      </c>
      <c r="I42" t="str">
        <f t="shared" si="8"/>
        <v/>
      </c>
      <c r="J42" t="str">
        <f t="shared" si="9"/>
        <v/>
      </c>
      <c r="K42" t="str">
        <f t="shared" si="10"/>
        <v/>
      </c>
      <c r="P42" t="str">
        <f t="shared" ref="P42:AA42" si="11">IF(OR(P$5&lt;$H42,P$5&gt;$I42),"",$J42+(P$5-$H42)*($K42-$J42)/($I42-$H42))</f>
        <v/>
      </c>
      <c r="Q42" t="str">
        <f t="shared" si="11"/>
        <v/>
      </c>
      <c r="R42" t="str">
        <f t="shared" si="11"/>
        <v/>
      </c>
      <c r="S42" t="str">
        <f t="shared" si="11"/>
        <v/>
      </c>
      <c r="T42" t="str">
        <f t="shared" si="11"/>
        <v/>
      </c>
      <c r="U42" t="str">
        <f t="shared" si="11"/>
        <v/>
      </c>
      <c r="V42" t="str">
        <f t="shared" si="11"/>
        <v/>
      </c>
      <c r="W42" t="str">
        <f t="shared" si="11"/>
        <v/>
      </c>
      <c r="X42" t="str">
        <f t="shared" si="11"/>
        <v/>
      </c>
      <c r="Y42" t="str">
        <f t="shared" si="11"/>
        <v/>
      </c>
      <c r="Z42" t="str">
        <f t="shared" si="11"/>
        <v/>
      </c>
      <c r="AA42" t="str">
        <f t="shared" si="11"/>
        <v/>
      </c>
    </row>
    <row r="43" spans="2:27" x14ac:dyDescent="0.25">
      <c r="B43" s="101" t="str">
        <f t="shared" si="3"/>
        <v/>
      </c>
      <c r="C43" t="str">
        <f t="shared" ref="C22:C45" si="12">IF(ISBLANK(AE43),"",AE43)</f>
        <v/>
      </c>
      <c r="D43" t="str">
        <f t="shared" si="7"/>
        <v/>
      </c>
    </row>
    <row r="44" spans="2:27" x14ac:dyDescent="0.25">
      <c r="B44" s="101" t="str">
        <f t="shared" si="3"/>
        <v/>
      </c>
      <c r="C44" t="str">
        <f t="shared" si="12"/>
        <v/>
      </c>
      <c r="D44" t="str">
        <f t="shared" si="7"/>
        <v/>
      </c>
    </row>
    <row r="45" spans="2:27" x14ac:dyDescent="0.25">
      <c r="B45" s="101" t="str">
        <f t="shared" si="3"/>
        <v/>
      </c>
      <c r="C45" t="str">
        <f t="shared" si="12"/>
        <v/>
      </c>
      <c r="D45" t="str">
        <f t="shared" si="7"/>
        <v/>
      </c>
    </row>
  </sheetData>
  <conditionalFormatting sqref="H7:L15 C6:C17 E6:L6 E7:G42">
    <cfRule type="cellIs" dxfId="8" priority="16" operator="equal">
      <formula>NaN</formula>
    </cfRule>
  </conditionalFormatting>
  <conditionalFormatting sqref="B6:C6 C7:C42 B7:B45">
    <cfRule type="cellIs" dxfId="0" priority="15" operator="between">
      <formula>-0.000000000001</formula>
      <formula>0.000000000001</formula>
    </cfRule>
  </conditionalFormatting>
  <conditionalFormatting sqref="D6:D42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H6:I21">
    <cfRule type="expression" dxfId="5" priority="11">
      <formula>OR($E6="Fuel",$G6="Aktiv")</formula>
    </cfRule>
  </conditionalFormatting>
  <conditionalFormatting sqref="C6:C42">
    <cfRule type="cellIs" dxfId="4" priority="10" operator="greaterThan">
      <formula>0.5</formula>
    </cfRule>
  </conditionalFormatting>
  <conditionalFormatting sqref="AE6:AE17">
    <cfRule type="cellIs" dxfId="3" priority="9" operator="equal">
      <formula>NaN</formula>
    </cfRule>
  </conditionalFormatting>
  <conditionalFormatting sqref="AE6:AE42">
    <cfRule type="cellIs" dxfId="2" priority="8" operator="equal">
      <formula>0</formula>
    </cfRule>
  </conditionalFormatting>
  <conditionalFormatting sqref="AE6:AE42">
    <cfRule type="cellIs" dxfId="1" priority="7" operator="greaterThan">
      <formula>0.5</formula>
    </cfRule>
  </conditionalFormatting>
  <conditionalFormatting sqref="AG6:AG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H6:AH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I6:AI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J6:AJ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K6:AK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F6:AF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6EDFFFEC-469A-4C9F-B421-772A19AA764A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ScenInput!P6:AA6</xm:f>
              <xm:sqref>N6</xm:sqref>
            </x14:sparkline>
            <x14:sparkline>
              <xm:f>ScenInput!P7:AA7</xm:f>
              <xm:sqref>N7</xm:sqref>
            </x14:sparkline>
            <x14:sparkline>
              <xm:f>ScenInput!P8:AA8</xm:f>
              <xm:sqref>N8</xm:sqref>
            </x14:sparkline>
            <x14:sparkline>
              <xm:f>ScenInput!P9:AA9</xm:f>
              <xm:sqref>N9</xm:sqref>
            </x14:sparkline>
            <x14:sparkline>
              <xm:f>ScenInput!P10:AA10</xm:f>
              <xm:sqref>N10</xm:sqref>
            </x14:sparkline>
            <x14:sparkline>
              <xm:f>ScenInput!P11:AA11</xm:f>
              <xm:sqref>N11</xm:sqref>
            </x14:sparkline>
            <x14:sparkline>
              <xm:f>ScenInput!P12:AA12</xm:f>
              <xm:sqref>N12</xm:sqref>
            </x14:sparkline>
            <x14:sparkline>
              <xm:f>ScenInput!P13:AA13</xm:f>
              <xm:sqref>N13</xm:sqref>
            </x14:sparkline>
            <x14:sparkline>
              <xm:f>ScenInput!P14:AA14</xm:f>
              <xm:sqref>N14</xm:sqref>
            </x14:sparkline>
            <x14:sparkline>
              <xm:f>ScenInput!P15:AA15</xm:f>
              <xm:sqref>N15</xm:sqref>
            </x14:sparkline>
            <x14:sparkline>
              <xm:f>ScenInput!P16:AA16</xm:f>
              <xm:sqref>N16</xm:sqref>
            </x14:sparkline>
            <x14:sparkline>
              <xm:f>ScenInput!P17:AA17</xm:f>
              <xm:sqref>N17</xm:sqref>
            </x14:sparkline>
            <x14:sparkline>
              <xm:f>ScenInput!P18:AA18</xm:f>
              <xm:sqref>N18</xm:sqref>
            </x14:sparkline>
            <x14:sparkline>
              <xm:f>ScenInput!P19:AA19</xm:f>
              <xm:sqref>N19</xm:sqref>
            </x14:sparkline>
            <x14:sparkline>
              <xm:f>ScenInput!P20:AA20</xm:f>
              <xm:sqref>N20</xm:sqref>
            </x14:sparkline>
            <x14:sparkline>
              <xm:f>ScenInput!P21:AA21</xm:f>
              <xm:sqref>N21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dimension ref="A1:AM59"/>
  <sheetViews>
    <sheetView zoomScale="70" zoomScaleNormal="70" workbookViewId="0">
      <selection activeCell="J4" sqref="J4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201</v>
      </c>
      <c r="E1">
        <f>COUNTA(E4:E30)</f>
        <v>2</v>
      </c>
      <c r="R1" s="102" t="s">
        <v>202</v>
      </c>
      <c r="S1" t="s">
        <v>203</v>
      </c>
      <c r="T1" s="103" t="s">
        <v>204</v>
      </c>
    </row>
    <row r="2" spans="1:26" x14ac:dyDescent="0.25">
      <c r="B2" s="82" t="s">
        <v>205</v>
      </c>
      <c r="C2" s="82" t="s">
        <v>206</v>
      </c>
      <c r="J2" s="82" t="s">
        <v>207</v>
      </c>
      <c r="O2" s="104" t="s">
        <v>208</v>
      </c>
      <c r="S2" t="s">
        <v>209</v>
      </c>
      <c r="T2" s="103" t="s">
        <v>210</v>
      </c>
    </row>
    <row r="3" spans="1:26" x14ac:dyDescent="0.25">
      <c r="B3" s="105" t="s">
        <v>211</v>
      </c>
      <c r="C3" s="106" t="str" cm="1">
        <f t="array" ref="C3:H3">TRANSPOSE(B4:B9)&amp;"2"</f>
        <v>Control2</v>
      </c>
      <c r="D3" s="106" t="str">
        <v>Plant2</v>
      </c>
      <c r="E3" s="106" t="str">
        <v>Storage2</v>
      </c>
      <c r="F3" s="106" t="str">
        <v>Prognoses2</v>
      </c>
      <c r="G3" s="106" t="str">
        <v>Fuel2</v>
      </c>
      <c r="H3" s="106" t="str">
        <v>FuelBounds2</v>
      </c>
      <c r="I3" s="106"/>
      <c r="J3" s="99" t="str" cm="1">
        <f t="array" ref="J3:O3">TRANSPOSE(B4:B9)&amp;"3"</f>
        <v>Control3</v>
      </c>
      <c r="K3" s="99" t="str">
        <v>Plant3</v>
      </c>
      <c r="L3" s="99" t="str">
        <v>Storage3</v>
      </c>
      <c r="M3" s="99" t="str">
        <v>Prognoses3</v>
      </c>
      <c r="N3" s="99" t="str">
        <v>Fuel3</v>
      </c>
      <c r="O3" s="99" t="str">
        <v>FuelBounds3</v>
      </c>
      <c r="P3" s="99"/>
    </row>
    <row r="4" spans="1:26" x14ac:dyDescent="0.25">
      <c r="B4" t="s">
        <v>138</v>
      </c>
      <c r="C4" t="str" cm="1">
        <f t="array" ref="C4:C13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140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140</v>
      </c>
      <c r="N4" t="str" cm="1">
        <f t="array" ref="N4:N19">_xlfn.LET(_xlpm.ran,TRANSPOSE(listFuelAttr),_xlpm.ran)</f>
        <v>Aktiv</v>
      </c>
      <c r="O4" t="s">
        <v>212</v>
      </c>
      <c r="R4" s="82" t="s">
        <v>205</v>
      </c>
      <c r="S4" s="82" t="s">
        <v>206</v>
      </c>
      <c r="T4" s="82" t="s">
        <v>207</v>
      </c>
      <c r="U4" s="82" t="s">
        <v>213</v>
      </c>
      <c r="V4" s="89" t="s">
        <v>214</v>
      </c>
    </row>
    <row r="5" spans="1:26" x14ac:dyDescent="0.25">
      <c r="B5" t="s">
        <v>146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215</v>
      </c>
      <c r="R5" t="s">
        <v>146</v>
      </c>
      <c r="S5" t="s">
        <v>41</v>
      </c>
      <c r="T5" t="s">
        <v>127</v>
      </c>
      <c r="U5" s="107">
        <v>44197</v>
      </c>
      <c r="V5" s="108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168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155</v>
      </c>
      <c r="R6" t="s">
        <v>146</v>
      </c>
      <c r="S6" t="s">
        <v>41</v>
      </c>
      <c r="T6" t="s">
        <v>127</v>
      </c>
      <c r="U6" s="107">
        <v>44531</v>
      </c>
      <c r="V6" s="108"/>
      <c r="X6" t="str">
        <f ca="1"/>
        <v>Ovn3</v>
      </c>
      <c r="Z6" t="str">
        <f ca="1"/>
        <v>sto2</v>
      </c>
    </row>
    <row r="7" spans="1:26" x14ac:dyDescent="0.25">
      <c r="B7" t="s">
        <v>149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216</v>
      </c>
      <c r="R7" t="s">
        <v>146</v>
      </c>
      <c r="S7" t="s">
        <v>40</v>
      </c>
      <c r="T7" t="s">
        <v>127</v>
      </c>
      <c r="U7" s="107">
        <v>44531</v>
      </c>
      <c r="V7" s="108"/>
      <c r="X7" t="str">
        <f ca="1"/>
        <v>FlisK</v>
      </c>
      <c r="Z7">
        <f ca="1"/>
        <v>0</v>
      </c>
    </row>
    <row r="8" spans="1:26" x14ac:dyDescent="0.25">
      <c r="B8" t="s">
        <v>154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217</v>
      </c>
      <c r="R8" t="s">
        <v>146</v>
      </c>
      <c r="U8" s="107">
        <v>44197</v>
      </c>
      <c r="V8" s="108"/>
      <c r="X8" t="str">
        <f ca="1"/>
        <v>NS</v>
      </c>
      <c r="Z8">
        <f ca="1"/>
        <v>0</v>
      </c>
    </row>
    <row r="9" spans="1:26" x14ac:dyDescent="0.25">
      <c r="B9" t="s">
        <v>158</v>
      </c>
      <c r="C9" t="str">
        <v>FixAffald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159</v>
      </c>
      <c r="R9" t="s">
        <v>168</v>
      </c>
      <c r="S9" t="s">
        <v>218</v>
      </c>
      <c r="U9" s="107">
        <v>44682</v>
      </c>
      <c r="V9" s="108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RgkRabatSats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219</v>
      </c>
      <c r="R10" t="s">
        <v>146</v>
      </c>
      <c r="S10" t="s">
        <v>40</v>
      </c>
      <c r="U10" s="107">
        <v>47665</v>
      </c>
      <c r="V10" s="108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RgkAndelRabat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146</v>
      </c>
      <c r="U11" s="107"/>
      <c r="V11" s="108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Varmesalgspris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146</v>
      </c>
      <c r="S12" t="s">
        <v>45</v>
      </c>
      <c r="U12" s="107"/>
      <c r="V12" s="108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EgetforbrugKVV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146</v>
      </c>
      <c r="S13" t="s">
        <v>45</v>
      </c>
      <c r="U13" s="107"/>
      <c r="V13" s="108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146</v>
      </c>
      <c r="U14" s="107"/>
      <c r="V14" s="108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146</v>
      </c>
      <c r="U15" s="107"/>
      <c r="V15" s="108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146</v>
      </c>
      <c r="U16" s="107"/>
      <c r="V16" s="108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107"/>
      <c r="V17" s="108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107"/>
      <c r="V18" s="108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107"/>
      <c r="V19" s="108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107"/>
      <c r="V20" s="108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107"/>
      <c r="V21" s="108"/>
      <c r="Z21">
        <f ca="1"/>
        <v>0</v>
      </c>
    </row>
    <row r="22" spans="2:26" x14ac:dyDescent="0.25">
      <c r="B22" t="s">
        <v>220</v>
      </c>
      <c r="F22" t="str">
        <v>ETSaff</v>
      </c>
      <c r="G22" t="str">
        <v>Halm</v>
      </c>
      <c r="H22" t="str">
        <v>Halm</v>
      </c>
      <c r="U22" s="107"/>
      <c r="V22" s="108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107"/>
      <c r="V23" s="108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107"/>
      <c r="V24" s="108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107"/>
      <c r="V25" s="108"/>
    </row>
    <row r="26" spans="2:26" x14ac:dyDescent="0.25">
      <c r="F26" t="str">
        <v>EnrPeak</v>
      </c>
      <c r="G26" t="str">
        <v>NyAff2</v>
      </c>
      <c r="H26" t="str">
        <v>NyAff2</v>
      </c>
      <c r="U26" s="107"/>
      <c r="V26" s="108"/>
    </row>
    <row r="27" spans="2:26" x14ac:dyDescent="0.25">
      <c r="F27" t="str">
        <v>CO2peak</v>
      </c>
      <c r="G27" t="str">
        <v>NyAff3</v>
      </c>
      <c r="H27" t="str">
        <v>NyAff3</v>
      </c>
      <c r="U27" s="107"/>
      <c r="V27" s="108"/>
    </row>
    <row r="28" spans="2:26" x14ac:dyDescent="0.25">
      <c r="F28" t="str">
        <v>NOxPeak</v>
      </c>
      <c r="G28" t="str">
        <v>NyAff4</v>
      </c>
      <c r="H28" t="str">
        <v>NyAff4</v>
      </c>
      <c r="U28" s="107"/>
      <c r="V28" s="108"/>
    </row>
    <row r="29" spans="2:26" x14ac:dyDescent="0.25">
      <c r="G29" t="str">
        <v>NyAff5</v>
      </c>
      <c r="H29" t="str">
        <v>NyAff5</v>
      </c>
      <c r="U29" s="107"/>
      <c r="V29" s="108"/>
    </row>
    <row r="30" spans="2:26" x14ac:dyDescent="0.25">
      <c r="G30" t="str">
        <v>Flis</v>
      </c>
      <c r="H30" t="str">
        <v>Flis</v>
      </c>
      <c r="U30" s="107"/>
      <c r="V30" s="108"/>
    </row>
    <row r="31" spans="2:26" x14ac:dyDescent="0.25">
      <c r="G31" t="str">
        <v>NSvarme</v>
      </c>
      <c r="H31" t="str">
        <v>NSvarme</v>
      </c>
      <c r="U31" s="107"/>
      <c r="V31" s="108"/>
    </row>
    <row r="32" spans="2:26" x14ac:dyDescent="0.25">
      <c r="G32" t="str">
        <v>PeakFuel</v>
      </c>
      <c r="H32" t="str">
        <v>PeakFuel</v>
      </c>
      <c r="U32" s="107"/>
      <c r="V32" s="108"/>
    </row>
    <row r="33" spans="1:31" x14ac:dyDescent="0.25">
      <c r="U33" s="107"/>
      <c r="V33" s="108"/>
    </row>
    <row r="34" spans="1:31" x14ac:dyDescent="0.25">
      <c r="U34" s="107"/>
      <c r="V34" s="108"/>
    </row>
    <row r="35" spans="1:31" x14ac:dyDescent="0.25">
      <c r="U35" s="107"/>
      <c r="V35" s="108"/>
    </row>
    <row r="36" spans="1:31" x14ac:dyDescent="0.25">
      <c r="U36" s="107"/>
      <c r="V36" s="108"/>
    </row>
    <row r="37" spans="1:31" x14ac:dyDescent="0.25">
      <c r="U37" s="107"/>
      <c r="V37" s="108"/>
    </row>
    <row r="38" spans="1:31" x14ac:dyDescent="0.25">
      <c r="A38" t="s">
        <v>221</v>
      </c>
      <c r="B38" s="82" t="s">
        <v>130</v>
      </c>
      <c r="U38" s="107"/>
      <c r="V38" s="108"/>
    </row>
    <row r="39" spans="1:31" x14ac:dyDescent="0.25">
      <c r="A39" s="84">
        <f>COUNTA(_xlfn.ANCHORARRAY(C39))</f>
        <v>10</v>
      </c>
      <c r="B39" t="str">
        <f>B4</f>
        <v>Control</v>
      </c>
      <c r="C39" t="str" cm="1">
        <f t="array" ref="C39:L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</v>
      </c>
      <c r="I39" t="str">
        <v>RgkRabatSats</v>
      </c>
      <c r="J39" t="str">
        <v>RgkAndelRabat</v>
      </c>
      <c r="K39" t="str">
        <v>Varmesalgspris</v>
      </c>
      <c r="L39" t="str">
        <v>EgetforbrugKVV</v>
      </c>
      <c r="U39" s="107"/>
      <c r="V39" s="108"/>
    </row>
    <row r="40" spans="1:31" x14ac:dyDescent="0.25">
      <c r="A40" s="84">
        <f t="shared" ref="A40:A45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107"/>
      <c r="V40" s="108"/>
    </row>
    <row r="41" spans="1:31" x14ac:dyDescent="0.25">
      <c r="A41" s="84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4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4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4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4"/>
    </row>
    <row r="46" spans="1:31" x14ac:dyDescent="0.25">
      <c r="A46" s="84"/>
    </row>
    <row r="47" spans="1:31" x14ac:dyDescent="0.25">
      <c r="A47" s="84"/>
      <c r="B47" s="82" t="s">
        <v>131</v>
      </c>
    </row>
    <row r="48" spans="1:31" x14ac:dyDescent="0.25">
      <c r="A48" s="84"/>
      <c r="B48" t="str">
        <f>B4</f>
        <v>Control</v>
      </c>
      <c r="C48" t="s">
        <v>140</v>
      </c>
    </row>
    <row r="49" spans="1:39" x14ac:dyDescent="0.25">
      <c r="A49" s="84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4">
        <f t="shared" ref="A50:A54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4">
        <f t="shared" si="3"/>
        <v>1</v>
      </c>
      <c r="B51" t="str">
        <f t="shared" si="2"/>
        <v>Prognoses</v>
      </c>
      <c r="C51" t="s">
        <v>140</v>
      </c>
    </row>
    <row r="52" spans="1:39" x14ac:dyDescent="0.25">
      <c r="A52" s="84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4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4"/>
    </row>
    <row r="56" spans="1:39" x14ac:dyDescent="0.25">
      <c r="A56" t="s">
        <v>222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I110"/>
  <sheetViews>
    <sheetView zoomScale="85" zoomScaleNormal="85" workbookViewId="0">
      <selection activeCell="I3" sqref="I3"/>
    </sheetView>
  </sheetViews>
  <sheetFormatPr defaultRowHeight="15" x14ac:dyDescent="0.25"/>
  <cols>
    <col min="2" max="2" width="21.7109375" bestFit="1" customWidth="1"/>
    <col min="3" max="3" width="32" bestFit="1" customWidth="1"/>
    <col min="5" max="5" width="40.42578125" bestFit="1" customWidth="1"/>
    <col min="6" max="6" width="18.85546875" bestFit="1" customWidth="1"/>
  </cols>
  <sheetData>
    <row r="2" spans="2:9" x14ac:dyDescent="0.25">
      <c r="B2" s="82" t="s">
        <v>105</v>
      </c>
      <c r="C2" s="83" t="str">
        <f>valgtKategori</f>
        <v>Nøgletal</v>
      </c>
      <c r="E2" s="82" t="s">
        <v>107</v>
      </c>
      <c r="H2" t="s">
        <v>108</v>
      </c>
    </row>
    <row r="3" spans="2:9" ht="15.75" x14ac:dyDescent="0.25">
      <c r="B3" s="81" t="str" cm="1">
        <f t="array" ref="B3:B7">_xlfn.UNIQUE(LEFT(_xlfn.ANCHORARRAY(E3),FIND(".",_xlfn.ANCHORARRAY(E3))-1))</f>
        <v>Prognose</v>
      </c>
      <c r="C3" t="str" cm="1">
        <f t="array" ref="C3:C44">_xlfn.LET(_xlpm.res,_xlfn._xlws.FILTER(_xlfn.ANCHORARRAY(E3),LEFT(_xlfn.ANCHORARRAY(E3),LEN($C$2))=$C$2),MID(_xlpm.res,LEN($C$2)+2,999))</f>
        <v>FJV-behov</v>
      </c>
      <c r="E3" t="str" cm="1">
        <f t="array" ref="E3:E110">_xlfn._xlws.FILTER(listScenTopics,LEN(listScenTopics)&gt;0,)</f>
        <v>Prognose.Elpris</v>
      </c>
      <c r="F3" t="str" cm="1">
        <f t="array" ref="F3:F7">_xlfn.UNIQUE(LEFT(_xlfn.ANCHORARRAY(E3),FIND(".",_xlfn.ANCHORARRAY(E3))-1))</f>
        <v>Prognose</v>
      </c>
      <c r="H3" t="s">
        <v>109</v>
      </c>
      <c r="I3" cm="1">
        <f t="array" ref="I3">MATCH(TRUE,ISBLANK(Overblik!$D$4:$CC$4),0)-1</f>
        <v>11</v>
      </c>
    </row>
    <row r="4" spans="2:9" ht="15.75" x14ac:dyDescent="0.25">
      <c r="B4" s="81" t="str">
        <v>Nøgletal</v>
      </c>
      <c r="C4" t="str">
        <v>Total-NPV</v>
      </c>
      <c r="E4" t="str">
        <v>Prognose.ETS</v>
      </c>
      <c r="F4" t="str">
        <v>Nøgletal</v>
      </c>
      <c r="I4" cm="1">
        <f t="array" ref="I4">MATCH(TRUE,ISBLANK(Overblik!$D$4:$CC$4),0)-1</f>
        <v>11</v>
      </c>
    </row>
    <row r="5" spans="2:9" ht="15.75" x14ac:dyDescent="0.25">
      <c r="B5" s="81" t="str">
        <v>Varmemængder</v>
      </c>
      <c r="C5" t="str">
        <v>Total-Var-Varmeproduktions-Omk</v>
      </c>
      <c r="E5" t="str">
        <v>Nøgletal.FJV-behov</v>
      </c>
      <c r="F5" t="str">
        <v>Varmemængder</v>
      </c>
    </row>
    <row r="6" spans="2:9" ht="15.75" x14ac:dyDescent="0.25">
      <c r="B6" s="81" t="str">
        <v>Brændselsforbrug</v>
      </c>
      <c r="C6" t="str">
        <v>REFA-NPV</v>
      </c>
      <c r="E6" t="str">
        <v>Nøgletal.Total-NPV</v>
      </c>
      <c r="F6" t="str">
        <v>Brændselsforbrug</v>
      </c>
    </row>
    <row r="7" spans="2:9" ht="15.75" x14ac:dyDescent="0.25">
      <c r="B7" s="81" t="str">
        <v>Brændselsindkomst</v>
      </c>
      <c r="C7" t="str">
        <v>REFA-Var-Varmeproduktions-Omk</v>
      </c>
      <c r="E7" t="str">
        <v>Nøgletal.Total-Var-Varmeproduktions-Omk</v>
      </c>
      <c r="F7" t="str">
        <v>Brændselsindkomst</v>
      </c>
    </row>
    <row r="8" spans="2:9" ht="15.75" x14ac:dyDescent="0.25">
      <c r="B8" s="81"/>
      <c r="C8" t="str">
        <v>REFA-Daekningsbidrag</v>
      </c>
      <c r="E8" t="str">
        <v>Nøgletal.REFA-NPV</v>
      </c>
    </row>
    <row r="9" spans="2:9" ht="15.75" x14ac:dyDescent="0.25">
      <c r="B9" s="81"/>
      <c r="C9" t="str">
        <v>REFA-Total-Var-Indkomst</v>
      </c>
      <c r="E9" t="str">
        <v>Nøgletal.REFA-Var-Varmeproduktions-Omk</v>
      </c>
    </row>
    <row r="10" spans="2:9" ht="15.75" x14ac:dyDescent="0.25">
      <c r="B10" s="81"/>
      <c r="C10" t="str">
        <v>REFA-Affald-Modtagelse</v>
      </c>
      <c r="E10" t="str">
        <v>Nøgletal.REFA-Daekningsbidrag</v>
      </c>
    </row>
    <row r="11" spans="2:9" ht="15.75" x14ac:dyDescent="0.25">
      <c r="B11" s="81"/>
      <c r="C11" t="str">
        <v>REFA-RGK-Rabat</v>
      </c>
      <c r="E11" t="str">
        <v>Nøgletal.REFA-Total-Var-Indkomst</v>
      </c>
    </row>
    <row r="12" spans="2:9" ht="15.75" x14ac:dyDescent="0.25">
      <c r="B12" s="81"/>
      <c r="C12" t="str">
        <v>REFA-Elsalg</v>
      </c>
      <c r="E12" t="str">
        <v>Nøgletal.REFA-Affald-Modtagelse</v>
      </c>
    </row>
    <row r="13" spans="2:9" x14ac:dyDescent="0.25">
      <c r="C13" t="str">
        <v>REFA-Varmesalg</v>
      </c>
      <c r="E13" t="str">
        <v>Nøgletal.REFA-RGK-Rabat</v>
      </c>
    </row>
    <row r="14" spans="2:9" x14ac:dyDescent="0.25">
      <c r="C14" t="str">
        <v>REFA-Total-Var-Omkostning</v>
      </c>
      <c r="E14" t="str">
        <v>Nøgletal.REFA-Elsalg</v>
      </c>
    </row>
    <row r="15" spans="2:9" x14ac:dyDescent="0.25">
      <c r="C15" t="str">
        <v>REFA-AnlaegsVarOmk</v>
      </c>
      <c r="E15" t="str">
        <v>Nøgletal.REFA-Varmesalg</v>
      </c>
    </row>
    <row r="16" spans="2:9" x14ac:dyDescent="0.25">
      <c r="C16" t="str">
        <v>REFA-BraendselOmk</v>
      </c>
      <c r="E16" t="str">
        <v>Nøgletal.REFA-Total-Var-Omkostning</v>
      </c>
    </row>
    <row r="17" spans="3:5" x14ac:dyDescent="0.25">
      <c r="C17" t="str">
        <v>REFA-Afgifter</v>
      </c>
      <c r="E17" t="str">
        <v>Nøgletal.REFA-AnlaegsVarOmk</v>
      </c>
    </row>
    <row r="18" spans="3:5" x14ac:dyDescent="0.25">
      <c r="C18" t="str">
        <v>REFA-CO2-Kvoteomk</v>
      </c>
      <c r="E18" t="str">
        <v>Nøgletal.REFA-BraendselOmk</v>
      </c>
    </row>
    <row r="19" spans="3:5" x14ac:dyDescent="0.25">
      <c r="C19" t="str">
        <v>REFA-Lageromkostning</v>
      </c>
      <c r="E19" t="str">
        <v>Nøgletal.REFA-Afgifter</v>
      </c>
    </row>
    <row r="20" spans="3:5" x14ac:dyDescent="0.25">
      <c r="C20" t="str">
        <v>REFA-CO2-Emission-Afgift</v>
      </c>
      <c r="E20" t="str">
        <v>Nøgletal.REFA-CO2-Kvoteomk</v>
      </c>
    </row>
    <row r="21" spans="3:5" x14ac:dyDescent="0.25">
      <c r="C21" t="str">
        <v>REFA-CO2-Emission-Kvote</v>
      </c>
      <c r="E21" t="str">
        <v>Nøgletal.REFA-Lageromkostning</v>
      </c>
    </row>
    <row r="22" spans="3:5" x14ac:dyDescent="0.25">
      <c r="C22" t="str">
        <v>REFA-El-produktion-Brutto</v>
      </c>
      <c r="E22" t="str">
        <v>Nøgletal.REFA-CO2-Emission-Afgift</v>
      </c>
    </row>
    <row r="23" spans="3:5" x14ac:dyDescent="0.25">
      <c r="C23" t="str">
        <v>REFA-El-produktion-Netto</v>
      </c>
      <c r="E23" t="str">
        <v>Nøgletal.REFA-CO2-Emission-Kvote</v>
      </c>
    </row>
    <row r="24" spans="3:5" x14ac:dyDescent="0.25">
      <c r="C24" t="str">
        <v>REFA-Total-Affald-Raadighed</v>
      </c>
      <c r="E24" t="str">
        <v>Nøgletal.REFA-El-produktion-Brutto</v>
      </c>
    </row>
    <row r="25" spans="3:5" x14ac:dyDescent="0.25">
      <c r="C25" t="str">
        <v>REFA-Affald-anvendt</v>
      </c>
      <c r="E25" t="str">
        <v>Nøgletal.REFA-El-produktion-Netto</v>
      </c>
    </row>
    <row r="26" spans="3:5" x14ac:dyDescent="0.25">
      <c r="C26" t="str">
        <v>REFA-Affald-Uudnyttet</v>
      </c>
      <c r="E26" t="str">
        <v>Nøgletal.REFA-Total-Affald-Raadighed</v>
      </c>
    </row>
    <row r="27" spans="3:5" x14ac:dyDescent="0.25">
      <c r="C27" t="str">
        <v>REFA-Affald-Lagret</v>
      </c>
      <c r="E27" t="str">
        <v>Nøgletal.REFA-Affald-anvendt</v>
      </c>
    </row>
    <row r="28" spans="3:5" x14ac:dyDescent="0.25">
      <c r="C28" t="str">
        <v>REFA-Total-Varme-Produktion</v>
      </c>
      <c r="E28" t="str">
        <v>Nøgletal.REFA-Affald-Uudnyttet</v>
      </c>
    </row>
    <row r="29" spans="3:5" x14ac:dyDescent="0.25">
      <c r="C29" t="str">
        <v>REFA-Leveret-Varme</v>
      </c>
      <c r="E29" t="str">
        <v>Nøgletal.REFA-Affald-Lagret</v>
      </c>
    </row>
    <row r="30" spans="3:5" x14ac:dyDescent="0.25">
      <c r="C30" t="str">
        <v>REFA-Modtryk-Varme</v>
      </c>
      <c r="E30" t="str">
        <v>Nøgletal.REFA-Total-Varme-Produktion</v>
      </c>
    </row>
    <row r="31" spans="3:5" x14ac:dyDescent="0.25">
      <c r="C31" t="str">
        <v>REFA-Bypass-Varme</v>
      </c>
      <c r="E31" t="str">
        <v>Nøgletal.REFA-Leveret-Varme</v>
      </c>
    </row>
    <row r="32" spans="3:5" x14ac:dyDescent="0.25">
      <c r="C32" t="str">
        <v>REFA-RGK-Varme</v>
      </c>
      <c r="E32" t="str">
        <v>Nøgletal.REFA-Modtryk-Varme</v>
      </c>
    </row>
    <row r="33" spans="3:5" x14ac:dyDescent="0.25">
      <c r="C33" t="str">
        <v>REFA-Bortkoelet-Varme</v>
      </c>
      <c r="E33" t="str">
        <v>Nøgletal.REFA-Bypass-Varme</v>
      </c>
    </row>
    <row r="34" spans="3:5" x14ac:dyDescent="0.25">
      <c r="C34" t="str">
        <v>GSF-Total-Var-Omkostning</v>
      </c>
      <c r="E34" t="str">
        <v>Nøgletal.REFA-RGK-Varme</v>
      </c>
    </row>
    <row r="35" spans="3:5" x14ac:dyDescent="0.25">
      <c r="C35" t="str">
        <v>GSF-AnlaegsVarOmk</v>
      </c>
      <c r="E35" t="str">
        <v>Nøgletal.REFA-Bortkoelet-Varme</v>
      </c>
    </row>
    <row r="36" spans="3:5" x14ac:dyDescent="0.25">
      <c r="C36" t="str">
        <v>GSF-BraendselOmk</v>
      </c>
      <c r="E36" t="str">
        <v>Nøgletal.GSF-Total-Var-Omkostning</v>
      </c>
    </row>
    <row r="37" spans="3:5" x14ac:dyDescent="0.25">
      <c r="C37" t="str">
        <v>GSF-Afgifter</v>
      </c>
      <c r="E37" t="str">
        <v>Nøgletal.GSF-AnlaegsVarOmk</v>
      </c>
    </row>
    <row r="38" spans="3:5" x14ac:dyDescent="0.25">
      <c r="C38" t="str">
        <v>GSF-CO2-Emission</v>
      </c>
      <c r="E38" t="str">
        <v>Nøgletal.GSF-BraendselOmk</v>
      </c>
    </row>
    <row r="39" spans="3:5" x14ac:dyDescent="0.25">
      <c r="C39" t="str">
        <v>GSF-Total-Varme-Produktion</v>
      </c>
      <c r="E39" t="str">
        <v>Nøgletal.GSF-Afgifter</v>
      </c>
    </row>
    <row r="40" spans="3:5" x14ac:dyDescent="0.25">
      <c r="C40" t="str">
        <v>NS-Total-Varme-Produktion</v>
      </c>
      <c r="E40" t="str">
        <v>Nøgletal.GSF-CO2-Emission</v>
      </c>
    </row>
    <row r="41" spans="3:5" x14ac:dyDescent="0.25">
      <c r="C41" t="str">
        <v>Virtuel-Varme-Kilde</v>
      </c>
      <c r="E41" t="str">
        <v>Nøgletal.GSF-Total-Varme-Produktion</v>
      </c>
    </row>
    <row r="42" spans="3:5" x14ac:dyDescent="0.25">
      <c r="C42" t="str">
        <v>Virtuel-Varme-Draen</v>
      </c>
      <c r="E42" t="str">
        <v>Nøgletal.NS-Total-Varme-Produktion</v>
      </c>
    </row>
    <row r="43" spans="3:5" x14ac:dyDescent="0.25">
      <c r="C43" t="str">
        <v>Virtuel-Affaldstonnage-Kilde</v>
      </c>
      <c r="E43" t="str">
        <v>Nøgletal.Virtuel-Varme-Kilde</v>
      </c>
    </row>
    <row r="44" spans="3:5" x14ac:dyDescent="0.25">
      <c r="C44" t="str">
        <v>Virtuel-Affaldstonnage-Draen</v>
      </c>
      <c r="E44" t="str">
        <v>Nøgletal.Virtuel-Varme-Draen</v>
      </c>
    </row>
    <row r="45" spans="3:5" x14ac:dyDescent="0.25">
      <c r="E45" t="str">
        <v>Nøgletal.Virtuel-Affaldstonnage-Kilde</v>
      </c>
    </row>
    <row r="46" spans="3:5" x14ac:dyDescent="0.25">
      <c r="E46" t="str">
        <v>Nøgletal.Virtuel-Affaldstonnage-Draen</v>
      </c>
    </row>
    <row r="47" spans="3:5" x14ac:dyDescent="0.25">
      <c r="E47" t="str">
        <v>Varmemængder.Ovn2</v>
      </c>
    </row>
    <row r="48" spans="3:5" x14ac:dyDescent="0.25">
      <c r="E48" t="str">
        <v>Varmemængder.Ovn3</v>
      </c>
    </row>
    <row r="49" spans="5:5" x14ac:dyDescent="0.25">
      <c r="E49" t="str">
        <v>Varmemængder.FlisK</v>
      </c>
    </row>
    <row r="50" spans="5:5" x14ac:dyDescent="0.25">
      <c r="E50" t="str">
        <v>Varmemængder.NS</v>
      </c>
    </row>
    <row r="51" spans="5:5" x14ac:dyDescent="0.25">
      <c r="E51" t="str">
        <v>Varmemængder.Cooler</v>
      </c>
    </row>
    <row r="52" spans="5:5" x14ac:dyDescent="0.25">
      <c r="E52" t="str">
        <v>Varmemængder.PeakK</v>
      </c>
    </row>
    <row r="53" spans="5:5" x14ac:dyDescent="0.25">
      <c r="E53" t="str">
        <v>Brændselsforbrug.DepoSort</v>
      </c>
    </row>
    <row r="54" spans="5:5" x14ac:dyDescent="0.25">
      <c r="E54" t="str">
        <v>Brændselsforbrug.DepoSmaat</v>
      </c>
    </row>
    <row r="55" spans="5:5" x14ac:dyDescent="0.25">
      <c r="E55" t="str">
        <v>Brændselsforbrug.DepoNedd</v>
      </c>
    </row>
    <row r="56" spans="5:5" x14ac:dyDescent="0.25">
      <c r="E56" t="str">
        <v>Brændselsforbrug.Dagren</v>
      </c>
    </row>
    <row r="57" spans="5:5" x14ac:dyDescent="0.25">
      <c r="E57" t="str">
        <v>Brændselsforbrug.AndetBrand</v>
      </c>
    </row>
    <row r="58" spans="5:5" x14ac:dyDescent="0.25">
      <c r="E58" t="str">
        <v>Brændselsforbrug.Trae</v>
      </c>
    </row>
    <row r="59" spans="5:5" x14ac:dyDescent="0.25">
      <c r="E59" t="str">
        <v>Brændselsforbrug.DagrenRast</v>
      </c>
    </row>
    <row r="60" spans="5:5" x14ac:dyDescent="0.25">
      <c r="E60" t="str">
        <v>Brændselsforbrug.DagrenInst</v>
      </c>
    </row>
    <row r="61" spans="5:5" x14ac:dyDescent="0.25">
      <c r="E61" t="str">
        <v>Brændselsforbrug.DagrenHandel</v>
      </c>
    </row>
    <row r="62" spans="5:5" x14ac:dyDescent="0.25">
      <c r="E62" t="str">
        <v>Brændselsforbrug.DagrenRestau</v>
      </c>
    </row>
    <row r="63" spans="5:5" x14ac:dyDescent="0.25">
      <c r="E63" t="str">
        <v>Brændselsforbrug.Erhverv</v>
      </c>
    </row>
    <row r="64" spans="5:5" x14ac:dyDescent="0.25">
      <c r="E64" t="str">
        <v>Brændselsforbrug.DagrenErhverv</v>
      </c>
    </row>
    <row r="65" spans="5:5" x14ac:dyDescent="0.25">
      <c r="E65" t="str">
        <v>Brændselsforbrug.HandelKontor</v>
      </c>
    </row>
    <row r="66" spans="5:5" x14ac:dyDescent="0.25">
      <c r="E66" t="str">
        <v>Brændselsforbrug.Privat</v>
      </c>
    </row>
    <row r="67" spans="5:5" x14ac:dyDescent="0.25">
      <c r="E67" t="str">
        <v>Brændselsforbrug.TyskRest</v>
      </c>
    </row>
    <row r="68" spans="5:5" x14ac:dyDescent="0.25">
      <c r="E68" t="str">
        <v>Brændselsforbrug.PolskRest</v>
      </c>
    </row>
    <row r="69" spans="5:5" x14ac:dyDescent="0.25">
      <c r="E69" t="str">
        <v>Brændselsforbrug.PcbTrae</v>
      </c>
    </row>
    <row r="70" spans="5:5" x14ac:dyDescent="0.25">
      <c r="E70" t="str">
        <v>Brændselsforbrug.TraeRekv</v>
      </c>
    </row>
    <row r="71" spans="5:5" x14ac:dyDescent="0.25">
      <c r="E71" t="str">
        <v>Brændselsforbrug.Halm</v>
      </c>
    </row>
    <row r="72" spans="5:5" x14ac:dyDescent="0.25">
      <c r="E72" t="str">
        <v>Brændselsforbrug.Pulver</v>
      </c>
    </row>
    <row r="73" spans="5:5" x14ac:dyDescent="0.25">
      <c r="E73" t="str">
        <v>Brændselsforbrug.FlisAffald</v>
      </c>
    </row>
    <row r="74" spans="5:5" x14ac:dyDescent="0.25">
      <c r="E74" t="str">
        <v>Brændselsforbrug.NyAff1</v>
      </c>
    </row>
    <row r="75" spans="5:5" x14ac:dyDescent="0.25">
      <c r="E75" t="str">
        <v>Brændselsforbrug.NyAff2</v>
      </c>
    </row>
    <row r="76" spans="5:5" x14ac:dyDescent="0.25">
      <c r="E76" t="str">
        <v>Brændselsforbrug.NyAff3</v>
      </c>
    </row>
    <row r="77" spans="5:5" x14ac:dyDescent="0.25">
      <c r="E77" t="str">
        <v>Brændselsforbrug.NyAff4</v>
      </c>
    </row>
    <row r="78" spans="5:5" x14ac:dyDescent="0.25">
      <c r="E78" t="str">
        <v>Brændselsforbrug.NyAff5</v>
      </c>
    </row>
    <row r="79" spans="5:5" x14ac:dyDescent="0.25">
      <c r="E79" t="str">
        <v>Brændselsforbrug.Flis</v>
      </c>
    </row>
    <row r="80" spans="5:5" x14ac:dyDescent="0.25">
      <c r="E80" t="str">
        <v>Brændselsforbrug.NSvarme</v>
      </c>
    </row>
    <row r="81" spans="5:5" x14ac:dyDescent="0.25">
      <c r="E81" t="str">
        <v>Brændselsforbrug.PeakFuel</v>
      </c>
    </row>
    <row r="82" spans="5:5" x14ac:dyDescent="0.25">
      <c r="E82" t="str">
        <v>Brændselsindkomst.DepoSort</v>
      </c>
    </row>
    <row r="83" spans="5:5" x14ac:dyDescent="0.25">
      <c r="E83" t="str">
        <v>Brændselsindkomst.DepoSmaat</v>
      </c>
    </row>
    <row r="84" spans="5:5" x14ac:dyDescent="0.25">
      <c r="E84" t="str">
        <v>Brændselsindkomst.DepoNedd</v>
      </c>
    </row>
    <row r="85" spans="5:5" x14ac:dyDescent="0.25">
      <c r="E85" t="str">
        <v>Brændselsindkomst.Dagren</v>
      </c>
    </row>
    <row r="86" spans="5:5" x14ac:dyDescent="0.25">
      <c r="E86" t="str">
        <v>Brændselsindkomst.AndetBrand</v>
      </c>
    </row>
    <row r="87" spans="5:5" x14ac:dyDescent="0.25">
      <c r="E87" t="str">
        <v>Brændselsindkomst.Trae</v>
      </c>
    </row>
    <row r="88" spans="5:5" x14ac:dyDescent="0.25">
      <c r="E88" t="str">
        <v>Brændselsindkomst.DagrenRast</v>
      </c>
    </row>
    <row r="89" spans="5:5" x14ac:dyDescent="0.25">
      <c r="E89" t="str">
        <v>Brændselsindkomst.DagrenInst</v>
      </c>
    </row>
    <row r="90" spans="5:5" x14ac:dyDescent="0.25">
      <c r="E90" t="str">
        <v>Brændselsindkomst.DagrenHandel</v>
      </c>
    </row>
    <row r="91" spans="5:5" x14ac:dyDescent="0.25">
      <c r="E91" t="str">
        <v>Brændselsindkomst.DagrenRestau</v>
      </c>
    </row>
    <row r="92" spans="5:5" x14ac:dyDescent="0.25">
      <c r="E92" t="str">
        <v>Brændselsindkomst.Erhverv</v>
      </c>
    </row>
    <row r="93" spans="5:5" x14ac:dyDescent="0.25">
      <c r="E93" t="str">
        <v>Brændselsindkomst.DagrenErhverv</v>
      </c>
    </row>
    <row r="94" spans="5:5" x14ac:dyDescent="0.25">
      <c r="E94" t="str">
        <v>Brændselsindkomst.HandelKontor</v>
      </c>
    </row>
    <row r="95" spans="5:5" x14ac:dyDescent="0.25">
      <c r="E95" t="str">
        <v>Brændselsindkomst.Privat</v>
      </c>
    </row>
    <row r="96" spans="5:5" x14ac:dyDescent="0.25">
      <c r="E96" t="str">
        <v>Brændselsindkomst.TyskRest</v>
      </c>
    </row>
    <row r="97" spans="5:5" x14ac:dyDescent="0.25">
      <c r="E97" t="str">
        <v>Brændselsindkomst.PolskRest</v>
      </c>
    </row>
    <row r="98" spans="5:5" x14ac:dyDescent="0.25">
      <c r="E98" t="str">
        <v>Brændselsindkomst.PcbTrae</v>
      </c>
    </row>
    <row r="99" spans="5:5" x14ac:dyDescent="0.25">
      <c r="E99" t="str">
        <v>Brændselsindkomst.TraeRekv</v>
      </c>
    </row>
    <row r="100" spans="5:5" x14ac:dyDescent="0.25">
      <c r="E100" t="str">
        <v>Brændselsindkomst.Halm</v>
      </c>
    </row>
    <row r="101" spans="5:5" x14ac:dyDescent="0.25">
      <c r="E101" t="str">
        <v>Brændselsindkomst.Pulver</v>
      </c>
    </row>
    <row r="102" spans="5:5" x14ac:dyDescent="0.25">
      <c r="E102" t="str">
        <v>Brændselsindkomst.FlisAffald</v>
      </c>
    </row>
    <row r="103" spans="5:5" x14ac:dyDescent="0.25">
      <c r="E103" t="str">
        <v>Brændselsindkomst.NyAff1</v>
      </c>
    </row>
    <row r="104" spans="5:5" x14ac:dyDescent="0.25">
      <c r="E104" t="str">
        <v>Brændselsindkomst.NyAff2</v>
      </c>
    </row>
    <row r="105" spans="5:5" x14ac:dyDescent="0.25">
      <c r="E105" t="str">
        <v>Brændselsindkomst.NyAff3</v>
      </c>
    </row>
    <row r="106" spans="5:5" x14ac:dyDescent="0.25">
      <c r="E106" t="str">
        <v>Brændselsindkomst.NyAff4</v>
      </c>
    </row>
    <row r="107" spans="5:5" x14ac:dyDescent="0.25">
      <c r="E107" t="str">
        <v>Brændselsindkomst.NyAff5</v>
      </c>
    </row>
    <row r="108" spans="5:5" x14ac:dyDescent="0.25">
      <c r="E108" t="str">
        <v>Brændselsindkomst.Flis</v>
      </c>
    </row>
    <row r="109" spans="5:5" x14ac:dyDescent="0.25">
      <c r="E109" t="str">
        <v>Brændselsindkomst.NSvarme</v>
      </c>
    </row>
    <row r="110" spans="5:5" x14ac:dyDescent="0.25">
      <c r="E110" t="str">
        <v>Brændselsindkomst.PeakFuel</v>
      </c>
    </row>
  </sheetData>
  <dataValidations count="1">
    <dataValidation type="list" allowBlank="1" showInputMessage="1" showErrorMessage="1" sqref="C2" xr:uid="{8F7B67C0-C570-47CF-A382-F352CB44410F}">
      <formula1>listKategori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4832D-E449-4790-9E70-36A245834D5C}">
  <sheetPr>
    <tabColor theme="1" tint="0.499984740745262"/>
  </sheetPr>
  <dimension ref="B2:Y21"/>
  <sheetViews>
    <sheetView zoomScale="85" zoomScaleNormal="85" workbookViewId="0">
      <selection activeCell="P21" sqref="P21"/>
    </sheetView>
  </sheetViews>
  <sheetFormatPr defaultRowHeight="15" outlineLevelCol="1" x14ac:dyDescent="0.25"/>
  <cols>
    <col min="2" max="2" width="10" style="5" customWidth="1" outlineLevel="1"/>
    <col min="3" max="4" width="9.140625" style="84" outlineLevel="1"/>
    <col min="5" max="7" width="8.85546875" style="84" customWidth="1" outlineLevel="1"/>
    <col min="8" max="8" width="10.7109375" style="84" customWidth="1" outlineLevel="1"/>
    <col min="9" max="9" width="10.28515625" style="84" customWidth="1" outlineLevel="1"/>
    <col min="10" max="10" width="10" customWidth="1" outlineLevel="1"/>
    <col min="11" max="11" width="9.5703125" customWidth="1" outlineLevel="1"/>
    <col min="13" max="13" width="17.5703125" customWidth="1"/>
  </cols>
  <sheetData>
    <row r="2" spans="2:25" x14ac:dyDescent="0.25">
      <c r="B2" s="91" t="s">
        <v>117</v>
      </c>
    </row>
    <row r="4" spans="2:25" x14ac:dyDescent="0.25">
      <c r="E4" s="84" t="s">
        <v>122</v>
      </c>
      <c r="F4" s="84" t="s">
        <v>123</v>
      </c>
      <c r="G4" s="84" t="s">
        <v>124</v>
      </c>
      <c r="N4" t="s">
        <v>125</v>
      </c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</row>
    <row r="5" spans="2:25" x14ac:dyDescent="0.25">
      <c r="B5" s="98" t="s">
        <v>126</v>
      </c>
      <c r="C5" s="97" t="s">
        <v>127</v>
      </c>
      <c r="D5" s="97" t="s">
        <v>128</v>
      </c>
      <c r="E5" s="97" t="s">
        <v>129</v>
      </c>
      <c r="F5" s="97" t="s">
        <v>130</v>
      </c>
      <c r="G5" s="97" t="s">
        <v>131</v>
      </c>
      <c r="H5" s="97" t="s">
        <v>132</v>
      </c>
      <c r="I5" s="97" t="s">
        <v>133</v>
      </c>
      <c r="J5" s="97" t="s">
        <v>134</v>
      </c>
      <c r="K5" s="97" t="s">
        <v>135</v>
      </c>
      <c r="N5" s="100">
        <v>1</v>
      </c>
      <c r="O5" s="100">
        <v>2</v>
      </c>
      <c r="P5" s="100">
        <v>3</v>
      </c>
      <c r="Q5" s="100">
        <v>4</v>
      </c>
      <c r="R5" s="100">
        <v>5</v>
      </c>
      <c r="S5" s="100">
        <v>6</v>
      </c>
      <c r="T5" s="100">
        <v>7</v>
      </c>
      <c r="U5" s="100">
        <v>8</v>
      </c>
      <c r="V5" s="100">
        <v>9</v>
      </c>
      <c r="W5" s="100">
        <v>10</v>
      </c>
      <c r="X5" s="100">
        <v>11</v>
      </c>
      <c r="Y5" s="100">
        <v>12</v>
      </c>
    </row>
    <row r="6" spans="2:25" x14ac:dyDescent="0.25">
      <c r="B6" s="5" t="s">
        <v>141</v>
      </c>
      <c r="C6" s="101">
        <v>1</v>
      </c>
      <c r="D6" s="89">
        <v>1</v>
      </c>
      <c r="E6" s="89">
        <v>1</v>
      </c>
      <c r="F6" s="89">
        <v>6</v>
      </c>
      <c r="G6" s="89">
        <v>1</v>
      </c>
      <c r="H6" s="89">
        <v>0</v>
      </c>
      <c r="I6" s="89">
        <v>0</v>
      </c>
      <c r="J6">
        <v>0</v>
      </c>
      <c r="K6" t="s">
        <v>223</v>
      </c>
      <c r="N6" t="str">
        <f>IF(OR(N$5&lt;$H6,N$5&gt;$I6),"",$J6+(N$5-$H6)*($K6-$J6)/($I6-$H6))</f>
        <v/>
      </c>
      <c r="O6" t="str">
        <f t="shared" ref="O6:Y21" si="0">IF(OR(O$5&lt;$H6,O$5&gt;$I6),"",$J6+(O$5-$H6)*($K6-$J6)/($I6-$H6))</f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</row>
    <row r="7" spans="2:25" x14ac:dyDescent="0.25">
      <c r="B7" s="5" t="s">
        <v>144</v>
      </c>
      <c r="C7" s="101">
        <v>1</v>
      </c>
      <c r="D7" s="89">
        <v>1</v>
      </c>
      <c r="E7" s="89">
        <v>1</v>
      </c>
      <c r="F7" s="89">
        <v>10</v>
      </c>
      <c r="G7" s="89">
        <v>1</v>
      </c>
      <c r="H7" s="89">
        <v>0</v>
      </c>
      <c r="I7" s="89">
        <v>0</v>
      </c>
      <c r="J7">
        <v>22.22</v>
      </c>
      <c r="K7" t="s">
        <v>223</v>
      </c>
      <c r="N7" t="str">
        <f t="shared" ref="N7:N21" si="1">IF(OR(N$5&lt;$H7,N$5&gt;$I7),"",$J7+(N$5-$H7)*($K7-$J7)/($I7-$H7))</f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</row>
    <row r="8" spans="2:25" x14ac:dyDescent="0.25">
      <c r="B8" s="5" t="s">
        <v>147</v>
      </c>
      <c r="C8" s="101">
        <v>1</v>
      </c>
      <c r="D8" s="89">
        <v>1</v>
      </c>
      <c r="E8" s="89">
        <v>2</v>
      </c>
      <c r="F8" s="89">
        <v>3</v>
      </c>
      <c r="G8" s="89">
        <v>1</v>
      </c>
      <c r="H8" s="89">
        <v>0</v>
      </c>
      <c r="I8" s="89">
        <v>0</v>
      </c>
      <c r="J8">
        <v>0</v>
      </c>
      <c r="K8" t="s">
        <v>223</v>
      </c>
      <c r="N8" t="str">
        <f t="shared" si="1"/>
        <v/>
      </c>
      <c r="O8" t="str">
        <f t="shared" si="0"/>
        <v/>
      </c>
      <c r="P8" t="str">
        <f t="shared" si="0"/>
        <v/>
      </c>
      <c r="Q8" t="str">
        <f t="shared" si="0"/>
        <v/>
      </c>
      <c r="R8" t="str">
        <f t="shared" si="0"/>
        <v/>
      </c>
      <c r="S8" t="str">
        <f t="shared" si="0"/>
        <v/>
      </c>
      <c r="T8" t="str">
        <f t="shared" si="0"/>
        <v/>
      </c>
      <c r="U8" t="str">
        <f t="shared" si="0"/>
        <v/>
      </c>
      <c r="V8" t="str">
        <f t="shared" si="0"/>
        <v/>
      </c>
      <c r="W8" t="str">
        <f t="shared" si="0"/>
        <v/>
      </c>
      <c r="X8" t="str">
        <f t="shared" si="0"/>
        <v/>
      </c>
      <c r="Y8" t="str">
        <f t="shared" si="0"/>
        <v/>
      </c>
    </row>
    <row r="9" spans="2:25" x14ac:dyDescent="0.25">
      <c r="B9" s="5" t="s">
        <v>150</v>
      </c>
      <c r="C9" s="101">
        <v>1</v>
      </c>
      <c r="D9" s="89">
        <v>1</v>
      </c>
      <c r="E9" s="89">
        <v>4</v>
      </c>
      <c r="F9" s="89">
        <v>14</v>
      </c>
      <c r="G9" s="89">
        <v>1</v>
      </c>
      <c r="H9" s="89">
        <v>1</v>
      </c>
      <c r="I9" s="89">
        <v>4</v>
      </c>
      <c r="J9">
        <v>555</v>
      </c>
      <c r="K9">
        <v>855</v>
      </c>
      <c r="N9">
        <f t="shared" si="1"/>
        <v>555</v>
      </c>
      <c r="O9">
        <f t="shared" si="0"/>
        <v>655</v>
      </c>
      <c r="P9">
        <f t="shared" si="0"/>
        <v>755</v>
      </c>
      <c r="Q9">
        <f t="shared" si="0"/>
        <v>855</v>
      </c>
      <c r="R9" t="str">
        <f t="shared" si="0"/>
        <v/>
      </c>
      <c r="S9" t="str">
        <f t="shared" si="0"/>
        <v/>
      </c>
      <c r="T9" t="str">
        <f t="shared" si="0"/>
        <v/>
      </c>
      <c r="U9" t="str">
        <f t="shared" si="0"/>
        <v/>
      </c>
      <c r="V9" t="str">
        <f t="shared" si="0"/>
        <v/>
      </c>
      <c r="W9" t="str">
        <f t="shared" si="0"/>
        <v/>
      </c>
      <c r="X9" t="str">
        <f t="shared" si="0"/>
        <v/>
      </c>
      <c r="Y9" t="str">
        <f t="shared" si="0"/>
        <v/>
      </c>
    </row>
    <row r="10" spans="2:25" x14ac:dyDescent="0.25">
      <c r="B10" s="5" t="s">
        <v>152</v>
      </c>
      <c r="C10" s="101">
        <v>1</v>
      </c>
      <c r="D10" s="89">
        <v>1</v>
      </c>
      <c r="E10" s="89">
        <v>4</v>
      </c>
      <c r="F10" s="89">
        <v>15</v>
      </c>
      <c r="G10" s="89">
        <v>1</v>
      </c>
      <c r="H10" s="89">
        <v>2</v>
      </c>
      <c r="I10" s="89">
        <v>6</v>
      </c>
      <c r="J10">
        <v>444</v>
      </c>
      <c r="K10">
        <v>944</v>
      </c>
      <c r="N10" t="str">
        <f t="shared" si="1"/>
        <v/>
      </c>
      <c r="O10">
        <f t="shared" si="0"/>
        <v>444</v>
      </c>
      <c r="P10">
        <f t="shared" si="0"/>
        <v>569</v>
      </c>
      <c r="Q10">
        <f t="shared" si="0"/>
        <v>694</v>
      </c>
      <c r="R10">
        <f t="shared" si="0"/>
        <v>819</v>
      </c>
      <c r="S10">
        <f t="shared" si="0"/>
        <v>944</v>
      </c>
      <c r="T10" t="str">
        <f t="shared" si="0"/>
        <v/>
      </c>
      <c r="U10" t="str">
        <f t="shared" si="0"/>
        <v/>
      </c>
      <c r="V10" t="str">
        <f t="shared" si="0"/>
        <v/>
      </c>
      <c r="W10" t="str">
        <f t="shared" si="0"/>
        <v/>
      </c>
      <c r="X10" t="str">
        <f t="shared" si="0"/>
        <v/>
      </c>
      <c r="Y10" t="str">
        <f t="shared" si="0"/>
        <v/>
      </c>
    </row>
    <row r="11" spans="2:25" x14ac:dyDescent="0.25">
      <c r="B11" s="5" t="s">
        <v>156</v>
      </c>
      <c r="C11" s="101">
        <v>1</v>
      </c>
      <c r="D11" s="89">
        <v>1</v>
      </c>
      <c r="E11" s="89">
        <v>5</v>
      </c>
      <c r="F11" s="89">
        <v>22</v>
      </c>
      <c r="G11" s="89">
        <v>9</v>
      </c>
      <c r="H11" s="89">
        <v>0</v>
      </c>
      <c r="I11" s="89">
        <v>0</v>
      </c>
      <c r="J11">
        <v>99999</v>
      </c>
      <c r="K11" t="s">
        <v>223</v>
      </c>
      <c r="N11" t="str">
        <f t="shared" si="1"/>
        <v/>
      </c>
      <c r="O11" t="str">
        <f t="shared" si="0"/>
        <v/>
      </c>
      <c r="P11" t="str">
        <f t="shared" si="0"/>
        <v/>
      </c>
      <c r="Q11" t="str">
        <f t="shared" si="0"/>
        <v/>
      </c>
      <c r="R11" t="str">
        <f t="shared" si="0"/>
        <v/>
      </c>
      <c r="S11" t="str">
        <f t="shared" si="0"/>
        <v/>
      </c>
      <c r="T11" t="str">
        <f t="shared" si="0"/>
        <v/>
      </c>
      <c r="U11" t="str">
        <f t="shared" si="0"/>
        <v/>
      </c>
      <c r="V11" t="str">
        <f t="shared" si="0"/>
        <v/>
      </c>
      <c r="W11" t="str">
        <f t="shared" si="0"/>
        <v/>
      </c>
      <c r="X11" t="str">
        <f t="shared" si="0"/>
        <v/>
      </c>
      <c r="Y11" t="str">
        <f t="shared" si="0"/>
        <v/>
      </c>
    </row>
    <row r="12" spans="2:25" x14ac:dyDescent="0.25">
      <c r="B12" s="5" t="s">
        <v>160</v>
      </c>
      <c r="C12" s="101">
        <v>1</v>
      </c>
      <c r="D12" s="89">
        <v>1</v>
      </c>
      <c r="E12" s="89">
        <v>6</v>
      </c>
      <c r="F12" s="89">
        <v>22</v>
      </c>
      <c r="G12" s="89">
        <v>6</v>
      </c>
      <c r="H12" s="89">
        <v>6</v>
      </c>
      <c r="I12" s="89">
        <v>36</v>
      </c>
      <c r="J12">
        <v>9.8765400000000003</v>
      </c>
      <c r="K12">
        <v>12.345677999999999</v>
      </c>
      <c r="N12" t="str">
        <f t="shared" si="1"/>
        <v/>
      </c>
      <c r="O12" t="str">
        <f t="shared" si="0"/>
        <v/>
      </c>
      <c r="P12" t="str">
        <f t="shared" si="0"/>
        <v/>
      </c>
      <c r="Q12" t="str">
        <f t="shared" si="0"/>
        <v/>
      </c>
      <c r="R12" t="str">
        <f t="shared" si="0"/>
        <v/>
      </c>
      <c r="S12">
        <f t="shared" si="0"/>
        <v>9.8765400000000003</v>
      </c>
      <c r="T12">
        <f t="shared" si="0"/>
        <v>9.9588446000000008</v>
      </c>
      <c r="U12">
        <f t="shared" si="0"/>
        <v>10.0411492</v>
      </c>
      <c r="V12">
        <f t="shared" si="0"/>
        <v>10.1234538</v>
      </c>
      <c r="W12">
        <f t="shared" si="0"/>
        <v>10.205758400000001</v>
      </c>
      <c r="X12">
        <f t="shared" si="0"/>
        <v>10.288063000000001</v>
      </c>
      <c r="Y12">
        <f t="shared" si="0"/>
        <v>10.3703676</v>
      </c>
    </row>
    <row r="13" spans="2:25" x14ac:dyDescent="0.25">
      <c r="B13" s="5" t="s">
        <v>162</v>
      </c>
      <c r="C13" s="101">
        <v>0</v>
      </c>
      <c r="D13" s="89">
        <v>1</v>
      </c>
      <c r="E13" s="89">
        <v>1</v>
      </c>
      <c r="F13" s="89" t="s">
        <v>223</v>
      </c>
      <c r="G13" s="89" t="s">
        <v>223</v>
      </c>
      <c r="H13" s="89">
        <v>0</v>
      </c>
      <c r="I13" s="89">
        <v>0</v>
      </c>
      <c r="J13" t="s">
        <v>223</v>
      </c>
      <c r="K13" t="s">
        <v>223</v>
      </c>
      <c r="N13" t="str">
        <f t="shared" si="1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</row>
    <row r="14" spans="2:25" x14ac:dyDescent="0.25">
      <c r="B14" s="5" t="s">
        <v>164</v>
      </c>
      <c r="C14" s="101">
        <v>0</v>
      </c>
      <c r="D14" s="89">
        <v>1</v>
      </c>
      <c r="E14" s="89">
        <v>2</v>
      </c>
      <c r="F14" s="89" t="s">
        <v>223</v>
      </c>
      <c r="G14" s="89" t="s">
        <v>223</v>
      </c>
      <c r="H14" s="89">
        <v>0</v>
      </c>
      <c r="I14" s="89">
        <v>0</v>
      </c>
      <c r="J14" t="s">
        <v>223</v>
      </c>
      <c r="K14" t="s">
        <v>223</v>
      </c>
      <c r="N14" t="str">
        <f t="shared" si="1"/>
        <v/>
      </c>
      <c r="O14" t="str">
        <f t="shared" si="0"/>
        <v/>
      </c>
      <c r="P14" t="str">
        <f t="shared" si="0"/>
        <v/>
      </c>
      <c r="Q14" t="str">
        <f t="shared" si="0"/>
        <v/>
      </c>
      <c r="R14" t="str">
        <f t="shared" si="0"/>
        <v/>
      </c>
      <c r="S14" t="str">
        <f t="shared" si="0"/>
        <v/>
      </c>
      <c r="T14" t="str">
        <f t="shared" si="0"/>
        <v/>
      </c>
      <c r="U14" t="str">
        <f t="shared" si="0"/>
        <v/>
      </c>
      <c r="V14" t="str">
        <f t="shared" si="0"/>
        <v/>
      </c>
      <c r="W14" t="str">
        <f t="shared" si="0"/>
        <v/>
      </c>
      <c r="X14" t="str">
        <f t="shared" si="0"/>
        <v/>
      </c>
      <c r="Y14" t="str">
        <f t="shared" si="0"/>
        <v/>
      </c>
    </row>
    <row r="15" spans="2:25" x14ac:dyDescent="0.25">
      <c r="B15" s="5" t="s">
        <v>166</v>
      </c>
      <c r="C15" s="101">
        <v>0</v>
      </c>
      <c r="D15" s="89">
        <v>1</v>
      </c>
      <c r="E15" s="89">
        <v>2</v>
      </c>
      <c r="F15" s="89" t="s">
        <v>223</v>
      </c>
      <c r="G15" s="89" t="s">
        <v>223</v>
      </c>
      <c r="H15" s="89">
        <v>0</v>
      </c>
      <c r="I15" s="89">
        <v>0</v>
      </c>
      <c r="J15" t="s">
        <v>223</v>
      </c>
      <c r="K15" t="s">
        <v>223</v>
      </c>
      <c r="N15" t="str">
        <f t="shared" si="1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</row>
    <row r="16" spans="2:25" x14ac:dyDescent="0.25">
      <c r="B16" s="5" t="s">
        <v>169</v>
      </c>
      <c r="C16" s="101">
        <v>0</v>
      </c>
      <c r="D16" s="84">
        <v>1</v>
      </c>
      <c r="E16" s="84">
        <v>3</v>
      </c>
      <c r="F16" s="84" t="s">
        <v>223</v>
      </c>
      <c r="G16" s="84" t="s">
        <v>223</v>
      </c>
      <c r="H16" s="84">
        <v>0</v>
      </c>
      <c r="I16" s="84">
        <v>0</v>
      </c>
      <c r="J16" t="s">
        <v>223</v>
      </c>
      <c r="K16" t="s">
        <v>223</v>
      </c>
      <c r="N16" t="str">
        <f t="shared" si="1"/>
        <v/>
      </c>
      <c r="O16" t="str">
        <f t="shared" si="0"/>
        <v/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</row>
    <row r="17" spans="2:25" x14ac:dyDescent="0.25">
      <c r="B17" s="5" t="s">
        <v>171</v>
      </c>
      <c r="C17" s="101">
        <v>0</v>
      </c>
      <c r="D17" s="84">
        <v>1</v>
      </c>
      <c r="E17" s="84">
        <v>4</v>
      </c>
      <c r="F17" s="84" t="s">
        <v>223</v>
      </c>
      <c r="G17" s="84" t="s">
        <v>223</v>
      </c>
      <c r="H17" s="84">
        <v>0</v>
      </c>
      <c r="I17" s="84">
        <v>0</v>
      </c>
      <c r="J17" t="s">
        <v>223</v>
      </c>
      <c r="K17" t="s">
        <v>223</v>
      </c>
      <c r="N17" t="str">
        <f t="shared" si="1"/>
        <v/>
      </c>
      <c r="O17" t="str">
        <f t="shared" si="0"/>
        <v/>
      </c>
      <c r="P17" t="str">
        <f t="shared" si="0"/>
        <v/>
      </c>
      <c r="Q17" t="str">
        <f t="shared" si="0"/>
        <v/>
      </c>
      <c r="R17" t="str">
        <f t="shared" si="0"/>
        <v/>
      </c>
      <c r="S17" t="str">
        <f t="shared" si="0"/>
        <v/>
      </c>
      <c r="T17" t="str">
        <f t="shared" si="0"/>
        <v/>
      </c>
      <c r="U17" t="str">
        <f t="shared" si="0"/>
        <v/>
      </c>
      <c r="V17" t="str">
        <f t="shared" si="0"/>
        <v/>
      </c>
      <c r="W17" t="str">
        <f t="shared" si="0"/>
        <v/>
      </c>
      <c r="X17" t="str">
        <f t="shared" si="0"/>
        <v/>
      </c>
      <c r="Y17" t="str">
        <f t="shared" si="0"/>
        <v/>
      </c>
    </row>
    <row r="18" spans="2:25" x14ac:dyDescent="0.25">
      <c r="B18" s="5" t="s">
        <v>173</v>
      </c>
      <c r="C18" s="84">
        <v>0</v>
      </c>
      <c r="D18" s="84">
        <v>1</v>
      </c>
      <c r="E18" s="84">
        <v>5</v>
      </c>
      <c r="F18" s="84" t="s">
        <v>223</v>
      </c>
      <c r="G18" s="84" t="s">
        <v>223</v>
      </c>
      <c r="H18" s="84">
        <v>0</v>
      </c>
      <c r="I18" s="84">
        <v>0</v>
      </c>
      <c r="J18" t="s">
        <v>223</v>
      </c>
      <c r="K18" t="s">
        <v>223</v>
      </c>
      <c r="N18" t="str">
        <f t="shared" si="1"/>
        <v/>
      </c>
      <c r="O18" t="str">
        <f t="shared" si="0"/>
        <v/>
      </c>
      <c r="P18" t="str">
        <f t="shared" si="0"/>
        <v/>
      </c>
      <c r="Q18" t="str">
        <f t="shared" si="0"/>
        <v/>
      </c>
      <c r="R18" t="str">
        <f t="shared" si="0"/>
        <v/>
      </c>
      <c r="S18" t="str">
        <f t="shared" si="0"/>
        <v/>
      </c>
      <c r="T18" t="str">
        <f t="shared" si="0"/>
        <v/>
      </c>
      <c r="U18" t="str">
        <f t="shared" si="0"/>
        <v/>
      </c>
      <c r="V18" t="str">
        <f t="shared" si="0"/>
        <v/>
      </c>
      <c r="W18" t="str">
        <f t="shared" si="0"/>
        <v/>
      </c>
      <c r="X18" t="str">
        <f t="shared" si="0"/>
        <v/>
      </c>
      <c r="Y18" t="str">
        <f t="shared" si="0"/>
        <v/>
      </c>
    </row>
    <row r="19" spans="2:25" x14ac:dyDescent="0.25">
      <c r="B19" s="5" t="s">
        <v>175</v>
      </c>
      <c r="C19" s="84">
        <v>0</v>
      </c>
      <c r="D19" s="84">
        <v>1</v>
      </c>
      <c r="E19" s="84">
        <v>5</v>
      </c>
      <c r="F19" s="84" t="s">
        <v>223</v>
      </c>
      <c r="G19" s="84" t="s">
        <v>223</v>
      </c>
      <c r="H19" s="84">
        <v>0</v>
      </c>
      <c r="I19" s="84">
        <v>0</v>
      </c>
      <c r="J19" t="s">
        <v>223</v>
      </c>
      <c r="K19" t="s">
        <v>223</v>
      </c>
      <c r="N19" t="str">
        <f t="shared" si="1"/>
        <v/>
      </c>
      <c r="O19" t="str">
        <f t="shared" si="0"/>
        <v/>
      </c>
      <c r="P19" t="str">
        <f t="shared" si="0"/>
        <v/>
      </c>
      <c r="Q19" t="str">
        <f t="shared" si="0"/>
        <v/>
      </c>
      <c r="R19" t="str">
        <f t="shared" si="0"/>
        <v/>
      </c>
      <c r="S19" t="str">
        <f t="shared" si="0"/>
        <v/>
      </c>
      <c r="T19" t="str">
        <f t="shared" si="0"/>
        <v/>
      </c>
      <c r="U19" t="str">
        <f t="shared" si="0"/>
        <v/>
      </c>
      <c r="V19" t="str">
        <f t="shared" si="0"/>
        <v/>
      </c>
      <c r="W19" t="str">
        <f t="shared" si="0"/>
        <v/>
      </c>
      <c r="X19" t="str">
        <f t="shared" si="0"/>
        <v/>
      </c>
      <c r="Y19" t="str">
        <f t="shared" si="0"/>
        <v/>
      </c>
    </row>
    <row r="20" spans="2:25" x14ac:dyDescent="0.25">
      <c r="B20" s="5" t="s">
        <v>177</v>
      </c>
      <c r="C20" s="84">
        <v>0</v>
      </c>
      <c r="D20" s="84">
        <v>2</v>
      </c>
      <c r="E20" s="84">
        <v>1</v>
      </c>
      <c r="F20" s="84" t="s">
        <v>223</v>
      </c>
      <c r="G20" s="84" t="s">
        <v>223</v>
      </c>
      <c r="H20" s="84">
        <v>0</v>
      </c>
      <c r="I20" s="84">
        <v>0</v>
      </c>
      <c r="J20" t="s">
        <v>223</v>
      </c>
      <c r="K20" t="s">
        <v>223</v>
      </c>
      <c r="N20" t="str">
        <f t="shared" si="1"/>
        <v/>
      </c>
      <c r="O20" t="str">
        <f t="shared" si="0"/>
        <v/>
      </c>
      <c r="P20" t="str">
        <f t="shared" si="0"/>
        <v/>
      </c>
      <c r="Q20" t="str">
        <f t="shared" si="0"/>
        <v/>
      </c>
      <c r="R20" t="str">
        <f t="shared" si="0"/>
        <v/>
      </c>
      <c r="S20" t="str">
        <f t="shared" si="0"/>
        <v/>
      </c>
      <c r="T20" t="str">
        <f t="shared" si="0"/>
        <v/>
      </c>
      <c r="U20" t="str">
        <f t="shared" si="0"/>
        <v/>
      </c>
      <c r="V20" t="str">
        <f t="shared" si="0"/>
        <v/>
      </c>
      <c r="W20" t="str">
        <f t="shared" si="0"/>
        <v/>
      </c>
      <c r="X20" t="str">
        <f t="shared" si="0"/>
        <v/>
      </c>
      <c r="Y20" t="str">
        <f t="shared" si="0"/>
        <v/>
      </c>
    </row>
    <row r="21" spans="2:25" x14ac:dyDescent="0.25">
      <c r="B21" s="5" t="s">
        <v>179</v>
      </c>
      <c r="C21" s="84">
        <v>0</v>
      </c>
      <c r="D21" s="84">
        <v>2</v>
      </c>
      <c r="E21" s="84">
        <v>3</v>
      </c>
      <c r="F21" s="84" t="s">
        <v>223</v>
      </c>
      <c r="G21" s="84" t="s">
        <v>223</v>
      </c>
      <c r="H21" s="84">
        <v>0</v>
      </c>
      <c r="I21" s="84">
        <v>0</v>
      </c>
      <c r="J21" t="s">
        <v>223</v>
      </c>
      <c r="K21" t="s">
        <v>223</v>
      </c>
      <c r="N21" t="str">
        <f t="shared" si="1"/>
        <v/>
      </c>
      <c r="O21" t="str">
        <f t="shared" si="0"/>
        <v/>
      </c>
      <c r="P21" t="str">
        <f t="shared" si="0"/>
        <v/>
      </c>
      <c r="Q21" t="str">
        <f t="shared" si="0"/>
        <v/>
      </c>
      <c r="R21" t="str">
        <f t="shared" si="0"/>
        <v/>
      </c>
      <c r="S21" t="str">
        <f t="shared" si="0"/>
        <v/>
      </c>
      <c r="T21" t="str">
        <f t="shared" si="0"/>
        <v/>
      </c>
      <c r="U21" t="str">
        <f t="shared" si="0"/>
        <v/>
      </c>
      <c r="V21" t="str">
        <f t="shared" si="0"/>
        <v/>
      </c>
      <c r="W21" t="str">
        <f t="shared" si="0"/>
        <v/>
      </c>
      <c r="X21" t="str">
        <f t="shared" si="0"/>
        <v/>
      </c>
      <c r="Y21" t="str">
        <f t="shared" si="0"/>
        <v/>
      </c>
    </row>
  </sheetData>
  <conditionalFormatting sqref="C6:C17">
    <cfRule type="cellIs" dxfId="20" priority="9" operator="equal">
      <formula>NaN</formula>
    </cfRule>
  </conditionalFormatting>
  <conditionalFormatting sqref="C6:C42">
    <cfRule type="cellIs" dxfId="19" priority="8" operator="equal">
      <formula>0</formula>
    </cfRule>
  </conditionalFormatting>
  <conditionalFormatting sqref="C6:C42">
    <cfRule type="cellIs" dxfId="18" priority="7" operator="greaterThan">
      <formula>0.5</formula>
    </cfRule>
  </conditionalFormatting>
  <conditionalFormatting sqref="E6:E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F6:F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G6:G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H6:H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I6:I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D6:D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35912D76-7FDC-4103-AD05-E2FCCE8955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SletMig!N6:Y6</xm:f>
              <xm:sqref>M6</xm:sqref>
            </x14:sparkline>
            <x14:sparkline>
              <xm:f>SletMig!N7:Y7</xm:f>
              <xm:sqref>M7</xm:sqref>
            </x14:sparkline>
            <x14:sparkline>
              <xm:f>SletMig!N8:Y8</xm:f>
              <xm:sqref>M8</xm:sqref>
            </x14:sparkline>
            <x14:sparkline>
              <xm:f>SletMig!N9:Y9</xm:f>
              <xm:sqref>M9</xm:sqref>
            </x14:sparkline>
            <x14:sparkline>
              <xm:f>SletMig!N10:Y10</xm:f>
              <xm:sqref>M10</xm:sqref>
            </x14:sparkline>
            <x14:sparkline>
              <xm:f>SletMig!N11:Y11</xm:f>
              <xm:sqref>M11</xm:sqref>
            </x14:sparkline>
            <x14:sparkline>
              <xm:f>SletMig!N12:Y12</xm:f>
              <xm:sqref>M12</xm:sqref>
            </x14:sparkline>
            <x14:sparkline>
              <xm:f>SletMig!N13:Y13</xm:f>
              <xm:sqref>M13</xm:sqref>
            </x14:sparkline>
            <x14:sparkline>
              <xm:f>SletMig!N14:Y14</xm:f>
              <xm:sqref>M14</xm:sqref>
            </x14:sparkline>
            <x14:sparkline>
              <xm:f>SletMig!N15:Y15</xm:f>
              <xm:sqref>M15</xm:sqref>
            </x14:sparkline>
            <x14:sparkline>
              <xm:f>SletMig!N16:Y16</xm:f>
              <xm:sqref>M16</xm:sqref>
            </x14:sparkline>
            <x14:sparkline>
              <xm:f>SletMig!N17:Y17</xm:f>
              <xm:sqref>M17</xm:sqref>
            </x14:sparkline>
            <x14:sparkline>
              <xm:f>SletMig!N18:Y18</xm:f>
              <xm:sqref>M18</xm:sqref>
            </x14:sparkline>
            <x14:sparkline>
              <xm:f>SletMig!N19:Y19</xm:f>
              <xm:sqref>M19</xm:sqref>
            </x14:sparkline>
            <x14:sparkline>
              <xm:f>SletMig!N20:Y20</xm:f>
              <xm:sqref>M20</xm:sqref>
            </x14:sparkline>
            <x14:sparkline>
              <xm:f>SletMig!N21:Y21</xm:f>
              <xm:sqref>M21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Charts</vt:lpstr>
      <vt:lpstr>Overblik</vt:lpstr>
      <vt:lpstr>Scen</vt:lpstr>
      <vt:lpstr>ScenInput</vt:lpstr>
      <vt:lpstr>Lister</vt:lpstr>
      <vt:lpstr>Lister1</vt:lpstr>
      <vt:lpstr>SletMig</vt:lpstr>
      <vt:lpstr>arrNiv2</vt:lpstr>
      <vt:lpstr>arrNiv3</vt:lpstr>
      <vt:lpstr>listFuelBounds</vt:lpstr>
      <vt:lpstr>listHeaders</vt:lpstr>
      <vt:lpstr>listRoot</vt:lpstr>
      <vt:lpstr>listScenTopics</vt:lpstr>
      <vt:lpstr>listScenTopicsTopLeft</vt:lpstr>
      <vt:lpstr>Nscen</vt:lpstr>
      <vt:lpstr>OfzNiveau2</vt:lpstr>
      <vt:lpstr>OfzNiveau3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2022-02-02T10:33:13Z</dcterms:modified>
</cp:coreProperties>
</file>