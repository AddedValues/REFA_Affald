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E121448-C3B8-4F08-A852-535FAE6B1618}" xr6:coauthVersionLast="47" xr6:coauthVersionMax="47" xr10:uidLastSave="{00000000-0000-0000-0000-000000000000}"/>
  <bookViews>
    <workbookView xWindow="-120" yWindow="-120" windowWidth="29040" windowHeight="17520" activeTab="2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Overblik!$A$4:$A$124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7" l="1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6" i="7"/>
  <c r="BA2" i="7"/>
  <c r="A52" i="1"/>
  <c r="A21" i="1"/>
  <c r="A22" i="1"/>
  <c r="A23" i="1"/>
  <c r="A24" i="1"/>
  <c r="G7" i="7" l="1" a="1"/>
  <c r="G7" i="7" s="1"/>
  <c r="G8" i="7" a="1"/>
  <c r="G8" i="7" s="1"/>
  <c r="G9" i="7" a="1"/>
  <c r="G9" i="7" s="1"/>
  <c r="G10" i="7" a="1"/>
  <c r="G10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J4" i="7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R4" i="7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Q4" i="7"/>
  <c r="AQ5" i="7" s="1"/>
  <c r="AR4" i="7"/>
  <c r="AR5" i="7" s="1"/>
  <c r="J5" i="7"/>
  <c r="Q5" i="7"/>
  <c r="R5" i="7"/>
  <c r="Z5" i="7"/>
  <c r="AH5" i="7"/>
  <c r="AP5" i="7"/>
  <c r="I4" i="7"/>
  <c r="I5" i="7" s="1"/>
  <c r="M4" i="3" a="1"/>
  <c r="M4" i="3" s="1"/>
  <c r="M5" i="3" a="1"/>
  <c r="M5" i="3" s="1"/>
  <c r="D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2" i="1"/>
  <c r="A93" i="1"/>
  <c r="A124" i="1"/>
  <c r="A125" i="1"/>
  <c r="A126" i="1"/>
  <c r="A127" i="1"/>
  <c r="A128" i="1"/>
  <c r="A129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95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63" i="1"/>
  <c r="A56" i="1"/>
  <c r="A57" i="1"/>
  <c r="A58" i="1"/>
  <c r="A59" i="1"/>
  <c r="A60" i="1"/>
  <c r="A61" i="1"/>
  <c r="A5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3" i="1"/>
  <c r="J1" i="1"/>
  <c r="M9" i="7" l="1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X5" i="6" a="1"/>
  <c r="X5" i="6" s="1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J3" i="3" l="1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<sst xmlns="http://schemas.openxmlformats.org/spreadsheetml/2006/main" count="427" uniqueCount="195">
  <si>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</si>
  <si>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</si>
  <si>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</si>
  <si>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</si>
  <si>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</si>
  <si>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</si>
  <si>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</si>
  <si>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</si>
  <si>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</si>
  <si>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</si>
  <si>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</si>
  <si>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</si>
  <si>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</si>
  <si>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</si>
  <si>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</si>
  <si>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</si>
  <si>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</si>
  <si>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</si>
  <si>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</si>
  <si>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</si>
  <si>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</si>
  <si>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</si>
  <si>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</si>
  <si>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</si>
  <si>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</si>
  <si>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</si>
  <si>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</si>
  <si>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</si>
  <si>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</si>
  <si>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</si>
  <si>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</si>
  <si>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</si>
  <si>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</si>
  <si>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</si>
  <si>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</si>
  <si>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</si>
  <si>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</si>
  <si>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</si>
  <si>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</si>
  <si>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</si>
  <si>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</si>
  <si>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</si>
  <si>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</si>
  <si>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</si>
  <si>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</si>
  <si>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</si>
  <si>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</si>
  <si>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</si>
  <si>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</si>
  <si>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</si>
  <si>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</si>
  <si>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</si>
  <si>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</si>
  <si>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</si>
  <si>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</si>
  <si>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</si>
  <si>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</si>
  <si>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</si>
  <si>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</si>
  <si>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</si>
  <si>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</si>
  <si>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</si>
  <si>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</si>
  <si>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</si>
  <si>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</si>
  <si>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</si>
  <si>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</si>
  <si>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</si>
  <si>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</si>
  <si>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</si>
  <si>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</si>
  <si>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</si>
  <si>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</si>
  <si>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</si>
  <si>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</si>
  <si>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</si>
  <si>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</si>
  <si>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</si>
  <si>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</si>
  <si>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</si>
  <si>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</si>
  <si>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</si>
  <si>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</si>
  <si>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</si>
  <si>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</si>
  <si>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</si>
  <si>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</si>
  <si>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</si>
  <si>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</si>
  <si>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</si>
  <si>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</si>
  <si>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</si>
  <si>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</si>
  <si>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</si>
  <si>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</si>
  <si>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</si>
  <si>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</si>
  <si>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</si>
  <si>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</si>
  <si>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</si>
  <si>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</si>
  <si>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</si>
  <si>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</si>
  <si>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</si>
  <si>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</si>
  <si>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</si>
  <si>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</si>
  <si>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</si>
  <si>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</si>
  <si>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</si>
  <si>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</si>
  <si>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screc1</t>
  </si>
  <si>
    <t>screc2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</si>
  <si>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</si>
  <si>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</si>
  <si>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</si>
  <si>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</si>
  <si>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</si>
  <si>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</si>
  <si>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</si>
  <si>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</si>
  <si>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</si>
  <si>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</si>
  <si>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</si>
  <si>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</si>
  <si>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</si>
  <si>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</si>
  <si>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</si>
  <si>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</si>
  <si>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</si>
  <si>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</si>
  <si>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</si>
  <si>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</si>
  <si>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</si>
  <si>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</si>
  <si>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</si>
  <si>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</si>
  <si>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</si>
  <si>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</si>
  <si>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</si>
  <si>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</si>
  <si>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</si>
  <si>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</si>
  <si>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</si>
  <si>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</si>
  <si>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</si>
  <si>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</si>
  <si>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</si>
  <si>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</si>
  <si>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</si>
  <si>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</si>
  <si>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</si>
  <si>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</si>
  <si>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</si>
  <si>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</si>
  <si>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</si>
  <si>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</si>
  <si>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</si>
  <si>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</si>
  <si>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</si>
  <si>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</si>
  <si>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</si>
  <si>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</si>
  <si>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</si>
  <si>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mo1</t>
  </si>
  <si>
    <t>mo2</t>
  </si>
  <si>
    <t>mo3</t>
  </si>
  <si>
    <t>mo4</t>
  </si>
  <si>
    <t>mo5</t>
  </si>
  <si>
    <t>mo6</t>
  </si>
  <si>
    <t>mo9</t>
  </si>
  <si>
    <t>mo10</t>
  </si>
  <si>
    <t>mo11</t>
  </si>
  <si>
    <t>mo12</t>
  </si>
  <si>
    <t>scen2</t>
  </si>
  <si>
    <t>scen3</t>
  </si>
  <si>
    <t>scen4</t>
  </si>
  <si>
    <t>scen5</t>
  </si>
  <si>
    <t>screc11</t>
  </si>
  <si>
    <t>screc12</t>
  </si>
  <si>
    <t>screc13</t>
  </si>
  <si>
    <t>screc14</t>
  </si>
  <si>
    <t>screc15</t>
  </si>
  <si>
    <t>screc16</t>
  </si>
  <si>
    <t>screc17</t>
  </si>
  <si>
    <t>screc18</t>
  </si>
  <si>
    <t>screc19</t>
  </si>
  <si>
    <t>screc20</t>
  </si>
  <si>
    <t>mo7</t>
  </si>
  <si>
    <t>mo8</t>
  </si>
  <si>
    <t>scen6</t>
  </si>
  <si>
    <t>scen7</t>
  </si>
  <si>
    <t>scen8</t>
  </si>
  <si>
    <t>scen9</t>
  </si>
  <si>
    <t>scen10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</si>
</sst>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9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0" fontId="0" fillId="8" borderId="10" xfId="0" quotePrefix="1" applyFill="1" applyBorder="1"/>
    <xf numFmtId="0" fontId="2" fillId="8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8" borderId="0" xfId="0" quotePrefix="1" applyFont="1" applyFill="1" applyAlignment="1">
      <alignment horizontal="center"/>
    </xf>
    <xf numFmtId="178" fontId="24" fillId="8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8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-1967.2878598487266</c:v>
                </c:pt>
                <c:pt idx="1">
                  <c:v>-20787.187607657106</c:v>
                </c:pt>
                <c:pt idx="2">
                  <c:v>-13899.344653270642</c:v>
                </c:pt>
                <c:pt idx="3">
                  <c:v>-7091.7997051347702</c:v>
                </c:pt>
                <c:pt idx="4">
                  <c:v>1432.085667510057</c:v>
                </c:pt>
                <c:pt idx="5">
                  <c:v>9577.3983984165661</c:v>
                </c:pt>
                <c:pt idx="6">
                  <c:v>-36481.910633073923</c:v>
                </c:pt>
                <c:pt idx="7">
                  <c:v>-29594.067677127638</c:v>
                </c:pt>
                <c:pt idx="8">
                  <c:v>-22786.522729151166</c:v>
                </c:pt>
                <c:pt idx="9">
                  <c:v>-14943.60110046294</c:v>
                </c:pt>
                <c:pt idx="10">
                  <c:v>-6914.1024571227081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74416.499832803485</c:v>
                </c:pt>
                <c:pt idx="1">
                  <c:v>54279.715892418797</c:v>
                </c:pt>
                <c:pt idx="2">
                  <c:v>61087.260840764626</c:v>
                </c:pt>
                <c:pt idx="3">
                  <c:v>67894.805788900514</c:v>
                </c:pt>
                <c:pt idx="4">
                  <c:v>78115.923644442941</c:v>
                </c:pt>
                <c:pt idx="5">
                  <c:v>86940.140320209684</c:v>
                </c:pt>
                <c:pt idx="6">
                  <c:v>54279.714154073547</c:v>
                </c:pt>
                <c:pt idx="7">
                  <c:v>61087.259102050011</c:v>
                </c:pt>
                <c:pt idx="8">
                  <c:v>67894.804050026491</c:v>
                </c:pt>
                <c:pt idx="9">
                  <c:v>78115.921905199808</c:v>
                </c:pt>
                <c:pt idx="10">
                  <c:v>86595.719243898231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76383.787692652215</c:v>
                </c:pt>
                <c:pt idx="1">
                  <c:v>75066.903500075903</c:v>
                </c:pt>
                <c:pt idx="2">
                  <c:v>74986.605494035277</c:v>
                </c:pt>
                <c:pt idx="3">
                  <c:v>74986.605494035277</c:v>
                </c:pt>
                <c:pt idx="4">
                  <c:v>76683.837976932889</c:v>
                </c:pt>
                <c:pt idx="5">
                  <c:v>77362.741921793131</c:v>
                </c:pt>
                <c:pt idx="6">
                  <c:v>90761.624787147462</c:v>
                </c:pt>
                <c:pt idx="7">
                  <c:v>90681.326779177631</c:v>
                </c:pt>
                <c:pt idx="8">
                  <c:v>90681.326779177631</c:v>
                </c:pt>
                <c:pt idx="9">
                  <c:v>93059.523005662733</c:v>
                </c:pt>
                <c:pt idx="10">
                  <c:v>93509.821701020919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45395.543295862488</c:v>
                </c:pt>
                <c:pt idx="1">
                  <c:v>46631.827421556787</c:v>
                </c:pt>
                <c:pt idx="2">
                  <c:v>46551.529412921176</c:v>
                </c:pt>
                <c:pt idx="3">
                  <c:v>46551.529412921176</c:v>
                </c:pt>
                <c:pt idx="4">
                  <c:v>44729.732652000566</c:v>
                </c:pt>
                <c:pt idx="5">
                  <c:v>44361.991918856154</c:v>
                </c:pt>
                <c:pt idx="6">
                  <c:v>46631.826535501532</c:v>
                </c:pt>
                <c:pt idx="7">
                  <c:v>46551.5285275317</c:v>
                </c:pt>
                <c:pt idx="8">
                  <c:v>46551.5285275317</c:v>
                </c:pt>
                <c:pt idx="9">
                  <c:v>45410.695507963421</c:v>
                </c:pt>
                <c:pt idx="10">
                  <c:v>45210.712299076797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11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  <c:pt idx="6">
                  <c:v>sc-6</c:v>
                </c:pt>
                <c:pt idx="7">
                  <c:v>sc-7</c:v>
                </c:pt>
                <c:pt idx="8">
                  <c:v>sc-8</c:v>
                </c:pt>
                <c:pt idx="9">
                  <c:v>sc-9</c:v>
                </c:pt>
                <c:pt idx="10">
                  <c:v>sc-10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39.236808465824915</c:v>
                </c:pt>
                <c:pt idx="1">
                  <c:v>39.236808469388016</c:v>
                </c:pt>
                <c:pt idx="2">
                  <c:v>39.236808465824907</c:v>
                </c:pt>
                <c:pt idx="3">
                  <c:v>39.236808465824907</c:v>
                </c:pt>
                <c:pt idx="4">
                  <c:v>39.236808468806956</c:v>
                </c:pt>
                <c:pt idx="5">
                  <c:v>39.236808468806956</c:v>
                </c:pt>
                <c:pt idx="6">
                  <c:v>39.23680729299182</c:v>
                </c:pt>
                <c:pt idx="7">
                  <c:v>39.23680729299182</c:v>
                </c:pt>
                <c:pt idx="8">
                  <c:v>39.23680729299182</c:v>
                </c:pt>
                <c:pt idx="9">
                  <c:v>39.236807292991813</c:v>
                </c:pt>
                <c:pt idx="10">
                  <c:v>39.236807292991813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E-V"/>
      <sheetName val="Lister"/>
      <sheetName val="Resultater"/>
      <sheetName val="OptimDump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Prognoses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>
        <row r="6">
          <cell r="D6" t="str">
            <v>Fel</v>
          </cell>
        </row>
      </sheetData>
      <sheetData sheetId="7">
        <row r="6">
          <cell r="D6" t="str">
            <v>FlisK</v>
          </cell>
        </row>
      </sheetData>
      <sheetData sheetId="8">
        <row r="6">
          <cell r="D6" t="str">
            <v>jan</v>
          </cell>
          <cell r="E6" t="str">
            <v>feb</v>
          </cell>
        </row>
      </sheetData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8" customWidth="1"/>
    <col min="46" max="47" width="11.28515625" style="5" customWidth="1" outlineLevel="1"/>
    <col min="48" max="49" width="9.140625" style="80" customWidth="1" outlineLevel="1"/>
    <col min="50" max="50" width="10.5703125" style="80" bestFit="1" customWidth="1" outlineLevel="1"/>
    <col min="51" max="52" width="11" style="80" bestFit="1" customWidth="1" outlineLevel="1"/>
    <col min="53" max="53" width="10.7109375" style="80" customWidth="1" outlineLevel="1"/>
  </cols>
  <sheetData>
    <row r="1" spans="2:89" x14ac:dyDescent="0.25">
      <c r="I1" s="89"/>
      <c r="U1" s="89"/>
      <c r="AG1" s="89"/>
    </row>
    <row r="2" spans="2:89" x14ac:dyDescent="0.25">
      <c r="B2" s="78" t="s">
        <v>98</v>
      </c>
      <c r="I2" s="89"/>
      <c r="U2" s="89"/>
      <c r="AG2" s="89"/>
      <c r="AT2" s="87" t="s">
        <v>142</v>
      </c>
      <c r="AU2" s="87"/>
      <c r="BA2" s="80" t="b">
        <f>ISBLANK(BA9)</f>
        <v>0</v>
      </c>
    </row>
    <row r="3" spans="2:89" x14ac:dyDescent="0.25">
      <c r="H3" s="78"/>
      <c r="I3" s="114"/>
      <c r="J3" s="107"/>
      <c r="K3" s="107"/>
      <c r="L3" s="107"/>
      <c r="M3" s="107"/>
      <c r="N3" s="107"/>
      <c r="O3" s="107"/>
      <c r="P3" s="107"/>
      <c r="Q3" s="107"/>
      <c r="U3" s="89"/>
      <c r="AG3" s="89"/>
    </row>
    <row r="4" spans="2:89" x14ac:dyDescent="0.25">
      <c r="C4" s="90" t="s">
        <v>99</v>
      </c>
      <c r="H4" s="80"/>
      <c r="I4" s="113">
        <f t="shared" ref="I4:AR4" si="0">DATE(YEAR(PerStart),COLUMN(I4)-COLUMN($I$4)+1,1)</f>
        <v>44197</v>
      </c>
      <c r="J4" s="110">
        <f t="shared" si="0"/>
        <v>44228</v>
      </c>
      <c r="K4" s="110">
        <f t="shared" si="0"/>
        <v>44256</v>
      </c>
      <c r="L4" s="110">
        <f t="shared" si="0"/>
        <v>44287</v>
      </c>
      <c r="M4" s="110">
        <f t="shared" si="0"/>
        <v>44317</v>
      </c>
      <c r="N4" s="110">
        <f t="shared" si="0"/>
        <v>44348</v>
      </c>
      <c r="O4" s="110">
        <f t="shared" si="0"/>
        <v>44378</v>
      </c>
      <c r="P4" s="110">
        <f t="shared" si="0"/>
        <v>44409</v>
      </c>
      <c r="Q4" s="110">
        <f t="shared" si="0"/>
        <v>44440</v>
      </c>
      <c r="R4" s="110">
        <f t="shared" si="0"/>
        <v>44470</v>
      </c>
      <c r="S4" s="110">
        <f t="shared" si="0"/>
        <v>44501</v>
      </c>
      <c r="T4" s="110">
        <f t="shared" si="0"/>
        <v>44531</v>
      </c>
      <c r="U4" s="113">
        <f t="shared" si="0"/>
        <v>44562</v>
      </c>
      <c r="V4" s="110">
        <f t="shared" si="0"/>
        <v>44593</v>
      </c>
      <c r="W4" s="110">
        <f t="shared" si="0"/>
        <v>44621</v>
      </c>
      <c r="X4" s="110">
        <f t="shared" si="0"/>
        <v>44652</v>
      </c>
      <c r="Y4" s="110">
        <f t="shared" si="0"/>
        <v>44682</v>
      </c>
      <c r="Z4" s="110">
        <f t="shared" si="0"/>
        <v>44713</v>
      </c>
      <c r="AA4" s="110">
        <f t="shared" si="0"/>
        <v>44743</v>
      </c>
      <c r="AB4" s="110">
        <f t="shared" si="0"/>
        <v>44774</v>
      </c>
      <c r="AC4" s="110">
        <f t="shared" si="0"/>
        <v>44805</v>
      </c>
      <c r="AD4" s="110">
        <f t="shared" si="0"/>
        <v>44835</v>
      </c>
      <c r="AE4" s="110">
        <f t="shared" si="0"/>
        <v>44866</v>
      </c>
      <c r="AF4" s="110">
        <f t="shared" si="0"/>
        <v>44896</v>
      </c>
      <c r="AG4" s="113">
        <f t="shared" si="0"/>
        <v>44927</v>
      </c>
      <c r="AH4" s="110">
        <f t="shared" si="0"/>
        <v>44958</v>
      </c>
      <c r="AI4" s="110">
        <f t="shared" si="0"/>
        <v>44986</v>
      </c>
      <c r="AJ4" s="110">
        <f t="shared" si="0"/>
        <v>45017</v>
      </c>
      <c r="AK4" s="110">
        <f t="shared" si="0"/>
        <v>45047</v>
      </c>
      <c r="AL4" s="110">
        <f t="shared" si="0"/>
        <v>45078</v>
      </c>
      <c r="AM4" s="110">
        <f t="shared" si="0"/>
        <v>45108</v>
      </c>
      <c r="AN4" s="110">
        <f t="shared" si="0"/>
        <v>45139</v>
      </c>
      <c r="AO4" s="110">
        <f t="shared" si="0"/>
        <v>45170</v>
      </c>
      <c r="AP4" s="110">
        <f t="shared" si="0"/>
        <v>45200</v>
      </c>
      <c r="AQ4" s="110">
        <f t="shared" si="0"/>
        <v>45231</v>
      </c>
      <c r="AR4" s="110">
        <f t="shared" si="0"/>
        <v>45261</v>
      </c>
      <c r="AX4" s="80" t="s">
        <v>100</v>
      </c>
      <c r="AY4" s="80" t="s">
        <v>101</v>
      </c>
      <c r="AZ4" s="80" t="s">
        <v>102</v>
      </c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</row>
    <row r="5" spans="2:89" x14ac:dyDescent="0.25">
      <c r="B5" s="91" t="s">
        <v>103</v>
      </c>
      <c r="C5" s="91" t="s">
        <v>104</v>
      </c>
      <c r="D5" s="91" t="s">
        <v>105</v>
      </c>
      <c r="E5" s="91" t="s">
        <v>106</v>
      </c>
      <c r="F5" s="91" t="s">
        <v>107</v>
      </c>
      <c r="G5" s="91" t="s">
        <v>108</v>
      </c>
      <c r="H5" s="91" t="s">
        <v>146</v>
      </c>
      <c r="I5" s="109" t="str">
        <f>UPPER(TEXT(I4,"mmm'åå"))</f>
        <v>JAN'21</v>
      </c>
      <c r="J5" s="109" t="str">
        <f t="shared" ref="J5:AR5" si="1">UPPER(TEXT(J4,"mmm'åå"))</f>
        <v>FEB'21</v>
      </c>
      <c r="K5" s="109" t="str">
        <f t="shared" si="1"/>
        <v>MAR'21</v>
      </c>
      <c r="L5" s="109" t="str">
        <f t="shared" si="1"/>
        <v>APR'21</v>
      </c>
      <c r="M5" s="109" t="str">
        <f t="shared" si="1"/>
        <v>MAJ'21</v>
      </c>
      <c r="N5" s="109" t="str">
        <f t="shared" si="1"/>
        <v>JUN'21</v>
      </c>
      <c r="O5" s="109" t="str">
        <f t="shared" si="1"/>
        <v>JUL'21</v>
      </c>
      <c r="P5" s="109" t="str">
        <f t="shared" si="1"/>
        <v>AUG'21</v>
      </c>
      <c r="Q5" s="109" t="str">
        <f t="shared" si="1"/>
        <v>SEP'21</v>
      </c>
      <c r="R5" s="109" t="str">
        <f t="shared" si="1"/>
        <v>OKT'21</v>
      </c>
      <c r="S5" s="109" t="str">
        <f t="shared" si="1"/>
        <v>NOV'21</v>
      </c>
      <c r="T5" s="109" t="str">
        <f t="shared" si="1"/>
        <v>DEC'21</v>
      </c>
      <c r="U5" s="109" t="str">
        <f t="shared" si="1"/>
        <v>JAN'22</v>
      </c>
      <c r="V5" s="109" t="str">
        <f t="shared" si="1"/>
        <v>FEB'22</v>
      </c>
      <c r="W5" s="109" t="str">
        <f t="shared" si="1"/>
        <v>MAR'22</v>
      </c>
      <c r="X5" s="109" t="str">
        <f t="shared" si="1"/>
        <v>APR'22</v>
      </c>
      <c r="Y5" s="109" t="str">
        <f t="shared" si="1"/>
        <v>MAJ'22</v>
      </c>
      <c r="Z5" s="109" t="str">
        <f t="shared" si="1"/>
        <v>JUN'22</v>
      </c>
      <c r="AA5" s="109" t="str">
        <f t="shared" si="1"/>
        <v>JUL'22</v>
      </c>
      <c r="AB5" s="109" t="str">
        <f t="shared" si="1"/>
        <v>AUG'22</v>
      </c>
      <c r="AC5" s="109" t="str">
        <f t="shared" si="1"/>
        <v>SEP'22</v>
      </c>
      <c r="AD5" s="109" t="str">
        <f t="shared" si="1"/>
        <v>OKT'22</v>
      </c>
      <c r="AE5" s="109" t="str">
        <f t="shared" si="1"/>
        <v>NOV'22</v>
      </c>
      <c r="AF5" s="109" t="str">
        <f t="shared" si="1"/>
        <v>DEC'22</v>
      </c>
      <c r="AG5" s="109" t="str">
        <f t="shared" si="1"/>
        <v>JAN'23</v>
      </c>
      <c r="AH5" s="109" t="str">
        <f t="shared" si="1"/>
        <v>FEB'23</v>
      </c>
      <c r="AI5" s="109" t="str">
        <f t="shared" si="1"/>
        <v>MAR'23</v>
      </c>
      <c r="AJ5" s="109" t="str">
        <f t="shared" si="1"/>
        <v>APR'23</v>
      </c>
      <c r="AK5" s="109" t="str">
        <f t="shared" si="1"/>
        <v>MAJ'23</v>
      </c>
      <c r="AL5" s="109" t="str">
        <f t="shared" si="1"/>
        <v>JUN'23</v>
      </c>
      <c r="AM5" s="109" t="str">
        <f t="shared" si="1"/>
        <v>JUL'23</v>
      </c>
      <c r="AN5" s="109" t="str">
        <f t="shared" si="1"/>
        <v>AUG'23</v>
      </c>
      <c r="AO5" s="109" t="str">
        <f t="shared" si="1"/>
        <v>SEP'23</v>
      </c>
      <c r="AP5" s="109" t="str">
        <f t="shared" si="1"/>
        <v>OKT'23</v>
      </c>
      <c r="AQ5" s="109" t="str">
        <f t="shared" si="1"/>
        <v>NOV'23</v>
      </c>
      <c r="AR5" s="109" t="str">
        <f t="shared" si="1"/>
        <v>DEC'23</v>
      </c>
      <c r="AS5" s="105"/>
      <c r="AT5" s="106"/>
      <c r="AU5" s="112" t="s">
        <v>149</v>
      </c>
      <c r="AV5" s="104" t="s">
        <v>105</v>
      </c>
      <c r="AW5" s="104" t="s">
        <v>104</v>
      </c>
      <c r="AX5" s="104" t="s">
        <v>106</v>
      </c>
      <c r="AY5" s="104" t="s">
        <v>107</v>
      </c>
      <c r="AZ5" s="104" t="s">
        <v>108</v>
      </c>
      <c r="BA5" s="104" t="s">
        <v>146</v>
      </c>
      <c r="BB5" s="108" t="s">
        <v>164</v>
      </c>
      <c r="BC5" s="108" t="s">
        <v>165</v>
      </c>
      <c r="BD5" s="108" t="s">
        <v>166</v>
      </c>
      <c r="BE5" s="108" t="s">
        <v>167</v>
      </c>
      <c r="BF5" s="108" t="s">
        <v>168</v>
      </c>
      <c r="BG5" s="108" t="s">
        <v>169</v>
      </c>
      <c r="BH5" s="108" t="s">
        <v>188</v>
      </c>
      <c r="BI5" s="108" t="s">
        <v>189</v>
      </c>
      <c r="BJ5" s="108" t="s">
        <v>170</v>
      </c>
      <c r="BK5" s="108" t="s">
        <v>171</v>
      </c>
      <c r="BL5" s="108" t="s">
        <v>172</v>
      </c>
      <c r="BM5" s="108" t="s">
        <v>173</v>
      </c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</row>
    <row r="6" spans="2:89" x14ac:dyDescent="0.25">
      <c r="B6" s="93" t="str">
        <f>IF(ISBLANK(AT6),"",AT6)</f>
        <v>screc1</v>
      </c>
      <c r="C6" s="93">
        <f>IF(ISBLANK(AW6),0,AW6)</f>
        <v>1</v>
      </c>
      <c r="D6" s="85">
        <f>IF(ISBLANK(AV6),"",AV6)</f>
        <v>1</v>
      </c>
      <c r="E6" s="5" t="str" cm="1">
        <f t="array" ref="E6">IF(AX6&lt;=0,"",INDEX(listRoot,AX6))</f>
        <v>Prognoses</v>
      </c>
      <c r="F6" s="5" t="str" cm="1">
        <f t="array" ref="F6">IF(AY6&lt;=0.000000000001,"",INDEX(Lister!$C$4:$H$100,AY6,$AX6))</f>
        <v>Elpris</v>
      </c>
      <c r="G6" s="5" t="str" cm="1">
        <f t="array" ref="G6">IF(OR(AZ6=1,AZ6&lt;=0.000000000001),"",INDEX(Lister!$J$4:$O$100,AZ6,$AX6))</f>
        <v/>
      </c>
      <c r="H6" s="80">
        <f>IF(C6=0,"",IF(BA6=NotANumber,"",BA6))</f>
        <v>200</v>
      </c>
      <c r="I6">
        <f>IF(OR($C6=0,I$4&lt;PerStart2,I$4&gt;PerSlut2),"",IF($BA6&lt;&gt;NotANumber,$H6,BB6))</f>
        <v>200</v>
      </c>
      <c r="J6">
        <f>IF(OR($C6=0,J$4&lt;PerStart2,J$4&gt;PerSlut2),"",IF($BA6&lt;&gt;NotANumber,$H6,BC6))</f>
        <v>200</v>
      </c>
      <c r="K6">
        <f>IF(OR($C6=0,K$4&lt;PerStart2,K$4&gt;PerSlut2),"",IF($BA6&lt;&gt;NotANumber,$H6,BD6))</f>
        <v>200</v>
      </c>
      <c r="L6">
        <f>IF(OR($C6=0,L$4&lt;PerStart2,L$4&gt;PerSlut2),"",IF($BA6&lt;&gt;NotANumber,$H6,BE6))</f>
        <v>200</v>
      </c>
      <c r="M6">
        <f>IF(OR($C6=0,M$4&lt;PerStart2,M$4&gt;PerSlut2),"",IF($BA6&lt;&gt;NotANumber,$H6,BF6))</f>
        <v>200</v>
      </c>
      <c r="N6">
        <f>IF(OR($C6=0,N$4&lt;PerStart2,N$4&gt;PerSlut2),"",IF($BA6&lt;&gt;NotANumber,$H6,BG6))</f>
        <v>200</v>
      </c>
      <c r="O6">
        <f>IF(OR($C6=0,O$4&lt;PerStart2,O$4&gt;PerSlut2),"",IF($BA6&lt;&gt;NotANumber,$H6,BH6))</f>
        <v>200</v>
      </c>
      <c r="P6">
        <f>IF(OR($C6=0,P$4&lt;PerStart2,P$4&gt;PerSlut2),"",IF($BA6&lt;&gt;NotANumber,$H6,BI6))</f>
        <v>200</v>
      </c>
      <c r="Q6">
        <f>IF(OR($C6=0,Q$4&lt;PerStart2,Q$4&gt;PerSlut2),"",IF($BA6&lt;&gt;NotANumber,$H6,BJ6))</f>
        <v>200</v>
      </c>
      <c r="R6">
        <f>IF(OR($C6=0,R$4&lt;PerStart2,R$4&gt;PerSlut2),"",IF($BA6&lt;&gt;NotANumber,$H6,BK6))</f>
        <v>200</v>
      </c>
      <c r="S6">
        <f>IF(OR($C6=0,S$4&lt;PerStart2,S$4&gt;PerSlut2),"",IF($BA6&lt;&gt;NotANumber,$H6,BL6))</f>
        <v>200</v>
      </c>
      <c r="T6">
        <f>IF(OR($C6=0,T$4&lt;PerStart2,T$4&gt;PerSlut2),"",IF($BA6&lt;&gt;NotANumber,$H6,BM6))</f>
        <v>200</v>
      </c>
      <c r="U6" s="89" t="str">
        <f>IF(OR($C6=0,U$4&lt;PerStart2,U$4&gt;PerSlut2),"",IF($BA6&lt;&gt;NotANumber,$H6,BN6))</f>
        <v/>
      </c>
      <c r="V6" t="str">
        <f>IF(OR($C6=0,V$4&lt;PerStart2,V$4&gt;PerSlut2),"",IF($BA6&lt;&gt;NotANumber,$H6,BO6))</f>
        <v/>
      </c>
      <c r="W6" t="str">
        <f>IF(OR($C6=0,W$4&lt;PerStart2,W$4&gt;PerSlut2),"",IF($BA6&lt;&gt;NotANumber,$H6,BP6))</f>
        <v/>
      </c>
      <c r="X6" t="str">
        <f>IF(OR($C6=0,X$4&lt;PerStart2,X$4&gt;PerSlut2),"",IF($BA6&lt;&gt;NotANumber,$H6,BQ6))</f>
        <v/>
      </c>
      <c r="Y6" t="str">
        <f>IF(OR($C6=0,Y$4&lt;PerStart2,Y$4&gt;PerSlut2),"",IF($BA6&lt;&gt;NotANumber,$H6,BR6))</f>
        <v/>
      </c>
      <c r="Z6" t="str">
        <f>IF(OR($C6=0,Z$4&lt;PerStart2,Z$4&gt;PerSlut2),"",IF($BA6&lt;&gt;NotANumber,$H6,BS6))</f>
        <v/>
      </c>
      <c r="AA6" t="str">
        <f>IF(OR($C6=0,AA$4&lt;PerStart2,AA$4&gt;PerSlut2),"",IF($BA6&lt;&gt;NotANumber,$H6,BT6))</f>
        <v/>
      </c>
      <c r="AB6" t="str">
        <f>IF(OR($C6=0,AB$4&lt;PerStart2,AB$4&gt;PerSlut2),"",IF($BA6&lt;&gt;NotANumber,$H6,BU6))</f>
        <v/>
      </c>
      <c r="AC6" t="str">
        <f>IF(OR($C6=0,AC$4&lt;PerStart2,AC$4&gt;PerSlut2),"",IF($BA6&lt;&gt;NotANumber,$H6,BV6))</f>
        <v/>
      </c>
      <c r="AD6" t="str">
        <f>IF(OR($C6=0,AD$4&lt;PerStart2,AD$4&gt;PerSlut2),"",IF($BA6&lt;&gt;NotANumber,$H6,BW6))</f>
        <v/>
      </c>
      <c r="AE6" t="str">
        <f>IF(OR($C6=0,AE$4&lt;PerStart2,AE$4&gt;PerSlut2),"",IF($BA6&lt;&gt;NotANumber,$H6,BX6))</f>
        <v/>
      </c>
      <c r="AF6" t="str">
        <f>IF(OR($C6=0,AF$4&lt;PerStart2,AF$4&gt;PerSlut2),"",IF($BA6&lt;&gt;NotANumber,$H6,BY6))</f>
        <v/>
      </c>
      <c r="AG6" s="89" t="str">
        <f>IF(OR($C6=0,AG$4&lt;PerStart2,AG$4&gt;PerSlut2),"",IF($BA6&lt;&gt;NotANumber,$H6,BZ6))</f>
        <v/>
      </c>
      <c r="AH6" t="str">
        <f>IF(OR($C6=0,AH$4&lt;PerStart2,AH$4&gt;PerSlut2),"",IF($BA6&lt;&gt;NotANumber,$H6,CA6))</f>
        <v/>
      </c>
      <c r="AI6" t="str">
        <f>IF(OR($C6=0,AI$4&lt;PerStart2,AI$4&gt;PerSlut2),"",IF($BA6&lt;&gt;NotANumber,$H6,CB6))</f>
        <v/>
      </c>
      <c r="AJ6" t="str">
        <f>IF(OR($C6=0,AJ$4&lt;PerStart2,AJ$4&gt;PerSlut2),"",IF($BA6&lt;&gt;NotANumber,$H6,CC6))</f>
        <v/>
      </c>
      <c r="AK6" t="str">
        <f>IF(OR($C6=0,AK$4&lt;PerStart2,AK$4&gt;PerSlut2),"",IF($BA6&lt;&gt;NotANumber,$H6,CD6))</f>
        <v/>
      </c>
      <c r="AL6" t="str">
        <f>IF(OR($C6=0,AL$4&lt;PerStart2,AL$4&gt;PerSlut2),"",IF($BA6&lt;&gt;NotANumber,$H6,CE6))</f>
        <v/>
      </c>
      <c r="AM6" t="str">
        <f>IF(OR($C6=0,AM$4&lt;PerStart2,AM$4&gt;PerSlut2),"",IF($BA6&lt;&gt;NotANumber,$H6,CF6))</f>
        <v/>
      </c>
      <c r="AN6" t="str">
        <f>IF(OR($C6=0,AN$4&lt;PerStart2,AN$4&gt;PerSlut2),"",IF($BA6&lt;&gt;NotANumber,$H6,CG6))</f>
        <v/>
      </c>
      <c r="AO6" t="str">
        <f>IF(OR($C6=0,AO$4&lt;PerStart2,AO$4&gt;PerSlut2),"",IF($BA6&lt;&gt;NotANumber,$H6,CH6))</f>
        <v/>
      </c>
      <c r="AP6" t="str">
        <f>IF(OR($C6=0,AP$4&lt;PerStart2,AP$4&gt;PerSlut2),"",IF($BA6&lt;&gt;NotANumber,$H6,CI6))</f>
        <v/>
      </c>
      <c r="AQ6" t="str">
        <f>IF(OR($C6=0,AQ$4&lt;PerStart2,AQ$4&gt;PerSlut2),"",IF($BA6&lt;&gt;NotANumber,$H6,CJ6))</f>
        <v/>
      </c>
      <c r="AR6" t="str">
        <f>IF(OR($C6=0,AR$4&lt;PerStart2,AR$4&gt;PerSlut2),"",IF($BA6&lt;&gt;NotANumber,$H6,CK6))</f>
        <v/>
      </c>
      <c r="AT6" s="9" t="s">
        <v>111</v>
      </c>
      <c r="AU6" s="80">
        <v>1</v>
      </c>
      <c r="AV6" s="93">
        <v>1</v>
      </c>
      <c r="AW6" s="85">
        <v>1</v>
      </c>
      <c r="AX6" s="85">
        <v>4</v>
      </c>
      <c r="AY6" s="85">
        <v>14</v>
      </c>
      <c r="AZ6" s="85">
        <v>-1</v>
      </c>
      <c r="BA6" s="80">
        <v>200</v>
      </c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2:89" x14ac:dyDescent="0.25">
      <c r="B7" s="93" t="str">
        <f t="shared" ref="B7:B45" si="2">IF(ISBLANK(AT7),"",AT7)</f>
        <v>screc2</v>
      </c>
      <c r="C7" s="93">
        <f t="shared" ref="C7:C42" si="3">IF(ISBLANK(AW7),0,AW7)</f>
        <v>1</v>
      </c>
      <c r="D7" s="85">
        <f t="shared" ref="D7:D21" si="4">IF(ISBLANK(AW7),"",AW7)</f>
        <v>1</v>
      </c>
      <c r="E7" s="5" t="str" cm="1">
        <f t="array" ref="E7">IF(AX7&lt;=0,"",INDEX(listRoot,AX7))</f>
        <v>Prognoses</v>
      </c>
      <c r="F7" s="5" t="str" cm="1">
        <f t="array" ref="F7">IF(AY7&lt;=0.000000000001,"",INDEX(Lister!$C$4:$H$100,AY7,$AX7))</f>
        <v>ETS</v>
      </c>
      <c r="G7" s="5" t="str" cm="1">
        <f t="array" ref="G7">IF(OR(AZ7=1,AZ7&lt;=0.000000000001),"",INDEX(Lister!$J$4:$O$100,AZ7,$AX7))</f>
        <v/>
      </c>
      <c r="H7" s="80">
        <f>IF(C7=0,"",IF(BA7=NotANumber,"",BA7))</f>
        <v>400</v>
      </c>
      <c r="I7">
        <f>IF(OR($C7=0,I$4&lt;PerStart2,I$4&gt;PerSlut2),"",IF($BA7&lt;&gt;NotANumber,$H7,BB7))</f>
        <v>400</v>
      </c>
      <c r="J7">
        <f>IF(OR($C7=0,J$4&lt;PerStart2,J$4&gt;PerSlut2),"",IF($BA7&lt;&gt;NotANumber,$H7,BC7))</f>
        <v>400</v>
      </c>
      <c r="K7">
        <f>IF(OR($C7=0,K$4&lt;PerStart2,K$4&gt;PerSlut2),"",IF($BA7&lt;&gt;NotANumber,$H7,BD7))</f>
        <v>400</v>
      </c>
      <c r="L7">
        <f>IF(OR($C7=0,L$4&lt;PerStart2,L$4&gt;PerSlut2),"",IF($BA7&lt;&gt;NotANumber,$H7,BE7))</f>
        <v>400</v>
      </c>
      <c r="M7">
        <f>IF(OR($C7=0,M$4&lt;PerStart2,M$4&gt;PerSlut2),"",IF($BA7&lt;&gt;NotANumber,$H7,BF7))</f>
        <v>400</v>
      </c>
      <c r="N7">
        <f>IF(OR($C7=0,N$4&lt;PerStart2,N$4&gt;PerSlut2),"",IF($BA7&lt;&gt;NotANumber,$H7,BG7))</f>
        <v>400</v>
      </c>
      <c r="O7">
        <f>IF(OR($C7=0,O$4&lt;PerStart2,O$4&gt;PerSlut2),"",IF($BA7&lt;&gt;NotANumber,$H7,BH7))</f>
        <v>400</v>
      </c>
      <c r="P7">
        <f>IF(OR($C7=0,P$4&lt;PerStart2,P$4&gt;PerSlut2),"",IF($BA7&lt;&gt;NotANumber,$H7,BI7))</f>
        <v>400</v>
      </c>
      <c r="Q7">
        <f>IF(OR($C7=0,Q$4&lt;PerStart2,Q$4&gt;PerSlut2),"",IF($BA7&lt;&gt;NotANumber,$H7,BJ7))</f>
        <v>400</v>
      </c>
      <c r="R7">
        <f>IF(OR($C7=0,R$4&lt;PerStart2,R$4&gt;PerSlut2),"",IF($BA7&lt;&gt;NotANumber,$H7,BK7))</f>
        <v>400</v>
      </c>
      <c r="S7">
        <f>IF(OR($C7=0,S$4&lt;PerStart2,S$4&gt;PerSlut2),"",IF($BA7&lt;&gt;NotANumber,$H7,BL7))</f>
        <v>400</v>
      </c>
      <c r="T7">
        <f>IF(OR($C7=0,T$4&lt;PerStart2,T$4&gt;PerSlut2),"",IF($BA7&lt;&gt;NotANumber,$H7,BM7))</f>
        <v>400</v>
      </c>
      <c r="U7" s="89" t="str">
        <f>IF(OR($C7=0,U$4&lt;PerStart2,U$4&gt;PerSlut2),"",IF($BA7&lt;&gt;NotANumber,$H7,BN7))</f>
        <v/>
      </c>
      <c r="V7" t="str">
        <f>IF(OR($C7=0,V$4&lt;PerStart2,V$4&gt;PerSlut2),"",IF($BA7&lt;&gt;NotANumber,$H7,BO7))</f>
        <v/>
      </c>
      <c r="W7" t="str">
        <f>IF(OR($C7=0,W$4&lt;PerStart2,W$4&gt;PerSlut2),"",IF($BA7&lt;&gt;NotANumber,$H7,BP7))</f>
        <v/>
      </c>
      <c r="X7" t="str">
        <f>IF(OR($C7=0,X$4&lt;PerStart2,X$4&gt;PerSlut2),"",IF($BA7&lt;&gt;NotANumber,$H7,BQ7))</f>
        <v/>
      </c>
      <c r="Y7" t="str">
        <f>IF(OR($C7=0,Y$4&lt;PerStart2,Y$4&gt;PerSlut2),"",IF($BA7&lt;&gt;NotANumber,$H7,BR7))</f>
        <v/>
      </c>
      <c r="Z7" t="str">
        <f>IF(OR($C7=0,Z$4&lt;PerStart2,Z$4&gt;PerSlut2),"",IF($BA7&lt;&gt;NotANumber,$H7,BS7))</f>
        <v/>
      </c>
      <c r="AA7" t="str">
        <f>IF(OR($C7=0,AA$4&lt;PerStart2,AA$4&gt;PerSlut2),"",IF($BA7&lt;&gt;NotANumber,$H7,BT7))</f>
        <v/>
      </c>
      <c r="AB7" t="str">
        <f>IF(OR($C7=0,AB$4&lt;PerStart2,AB$4&gt;PerSlut2),"",IF($BA7&lt;&gt;NotANumber,$H7,BU7))</f>
        <v/>
      </c>
      <c r="AC7" t="str">
        <f>IF(OR($C7=0,AC$4&lt;PerStart2,AC$4&gt;PerSlut2),"",IF($BA7&lt;&gt;NotANumber,$H7,BV7))</f>
        <v/>
      </c>
      <c r="AD7" t="str">
        <f>IF(OR($C7=0,AD$4&lt;PerStart2,AD$4&gt;PerSlut2),"",IF($BA7&lt;&gt;NotANumber,$H7,BW7))</f>
        <v/>
      </c>
      <c r="AE7" t="str">
        <f>IF(OR($C7=0,AE$4&lt;PerStart2,AE$4&gt;PerSlut2),"",IF($BA7&lt;&gt;NotANumber,$H7,BX7))</f>
        <v/>
      </c>
      <c r="AF7" t="str">
        <f>IF(OR($C7=0,AF$4&lt;PerStart2,AF$4&gt;PerSlut2),"",IF($BA7&lt;&gt;NotANumber,$H7,BY7))</f>
        <v/>
      </c>
      <c r="AG7" s="89" t="str">
        <f>IF(OR($C7=0,AG$4&lt;PerStart2,AG$4&gt;PerSlut2),"",IF($BA7&lt;&gt;NotANumber,$H7,BZ7))</f>
        <v/>
      </c>
      <c r="AH7" t="str">
        <f>IF(OR($C7=0,AH$4&lt;PerStart2,AH$4&gt;PerSlut2),"",IF($BA7&lt;&gt;NotANumber,$H7,CA7))</f>
        <v/>
      </c>
      <c r="AI7" t="str">
        <f>IF(OR($C7=0,AI$4&lt;PerStart2,AI$4&gt;PerSlut2),"",IF($BA7&lt;&gt;NotANumber,$H7,CB7))</f>
        <v/>
      </c>
      <c r="AJ7" t="str">
        <f>IF(OR($C7=0,AJ$4&lt;PerStart2,AJ$4&gt;PerSlut2),"",IF($BA7&lt;&gt;NotANumber,$H7,CC7))</f>
        <v/>
      </c>
      <c r="AK7" t="str">
        <f>IF(OR($C7=0,AK$4&lt;PerStart2,AK$4&gt;PerSlut2),"",IF($BA7&lt;&gt;NotANumber,$H7,CD7))</f>
        <v/>
      </c>
      <c r="AL7" t="str">
        <f>IF(OR($C7=0,AL$4&lt;PerStart2,AL$4&gt;PerSlut2),"",IF($BA7&lt;&gt;NotANumber,$H7,CE7))</f>
        <v/>
      </c>
      <c r="AM7" t="str">
        <f>IF(OR($C7=0,AM$4&lt;PerStart2,AM$4&gt;PerSlut2),"",IF($BA7&lt;&gt;NotANumber,$H7,CF7))</f>
        <v/>
      </c>
      <c r="AN7" t="str">
        <f>IF(OR($C7=0,AN$4&lt;PerStart2,AN$4&gt;PerSlut2),"",IF($BA7&lt;&gt;NotANumber,$H7,CG7))</f>
        <v/>
      </c>
      <c r="AO7" t="str">
        <f>IF(OR($C7=0,AO$4&lt;PerStart2,AO$4&gt;PerSlut2),"",IF($BA7&lt;&gt;NotANumber,$H7,CH7))</f>
        <v/>
      </c>
      <c r="AP7" t="str">
        <f>IF(OR($C7=0,AP$4&lt;PerStart2,AP$4&gt;PerSlut2),"",IF($BA7&lt;&gt;NotANumber,$H7,CI7))</f>
        <v/>
      </c>
      <c r="AQ7" t="str">
        <f>IF(OR($C7=0,AQ$4&lt;PerStart2,AQ$4&gt;PerSlut2),"",IF($BA7&lt;&gt;NotANumber,$H7,CJ7))</f>
        <v/>
      </c>
      <c r="AR7" t="str">
        <f>IF(OR($C7=0,AR$4&lt;PerStart2,AR$4&gt;PerSlut2),"",IF($BA7&lt;&gt;NotANumber,$H7,CK7))</f>
        <v/>
      </c>
      <c r="AT7" s="9" t="s">
        <v>112</v>
      </c>
      <c r="AU7" s="80">
        <v>1</v>
      </c>
      <c r="AV7" s="93">
        <v>1</v>
      </c>
      <c r="AW7" s="85">
        <v>1</v>
      </c>
      <c r="AX7" s="85">
        <v>4</v>
      </c>
      <c r="AY7" s="85">
        <v>15</v>
      </c>
      <c r="AZ7" s="85">
        <v>-1</v>
      </c>
      <c r="BA7" s="80">
        <v>400</v>
      </c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2:89" x14ac:dyDescent="0.25">
      <c r="B8" s="93" t="str">
        <f t="shared" si="2"/>
        <v>screc3</v>
      </c>
      <c r="C8" s="93">
        <f t="shared" si="3"/>
        <v>1</v>
      </c>
      <c r="D8" s="85">
        <f t="shared" si="4"/>
        <v>1</v>
      </c>
      <c r="E8" s="5" t="str" cm="1">
        <f t="array" ref="E8">IF(AX8&lt;=0,"",INDEX(listRoot,AX8))</f>
        <v>Prognoses</v>
      </c>
      <c r="F8" s="5" t="str" cm="1">
        <f t="array" ref="F8">IF(AY8&lt;=0.000000000001,"",INDEX(Lister!$C$4:$H$100,AY8,$AX8))</f>
        <v>Elpris</v>
      </c>
      <c r="G8" s="5" t="str" cm="1">
        <f t="array" ref="G8">IF(OR(AZ8=1,AZ8&lt;=0.000000000001),"",INDEX(Lister!$J$4:$O$100,AZ8,$AX8))</f>
        <v/>
      </c>
      <c r="H8" s="80">
        <f>IF(C8=0,"",IF(BA8=NotANumber,"",BA8))</f>
        <v>400</v>
      </c>
      <c r="I8">
        <f>IF(OR($C8=0,I$4&lt;PerStart2,I$4&gt;PerSlut2),"",IF($BA8&lt;&gt;NotANumber,$H8,BB8))</f>
        <v>400</v>
      </c>
      <c r="J8">
        <f>IF(OR($C8=0,J$4&lt;PerStart2,J$4&gt;PerSlut2),"",IF($BA8&lt;&gt;NotANumber,$H8,BC8))</f>
        <v>400</v>
      </c>
      <c r="K8">
        <f>IF(OR($C8=0,K$4&lt;PerStart2,K$4&gt;PerSlut2),"",IF($BA8&lt;&gt;NotANumber,$H8,BD8))</f>
        <v>400</v>
      </c>
      <c r="L8">
        <f>IF(OR($C8=0,L$4&lt;PerStart2,L$4&gt;PerSlut2),"",IF($BA8&lt;&gt;NotANumber,$H8,BE8))</f>
        <v>400</v>
      </c>
      <c r="M8">
        <f>IF(OR($C8=0,M$4&lt;PerStart2,M$4&gt;PerSlut2),"",IF($BA8&lt;&gt;NotANumber,$H8,BF8))</f>
        <v>400</v>
      </c>
      <c r="N8">
        <f>IF(OR($C8=0,N$4&lt;PerStart2,N$4&gt;PerSlut2),"",IF($BA8&lt;&gt;NotANumber,$H8,BG8))</f>
        <v>400</v>
      </c>
      <c r="O8">
        <f>IF(OR($C8=0,O$4&lt;PerStart2,O$4&gt;PerSlut2),"",IF($BA8&lt;&gt;NotANumber,$H8,BH8))</f>
        <v>400</v>
      </c>
      <c r="P8">
        <f>IF(OR($C8=0,P$4&lt;PerStart2,P$4&gt;PerSlut2),"",IF($BA8&lt;&gt;NotANumber,$H8,BI8))</f>
        <v>400</v>
      </c>
      <c r="Q8">
        <f>IF(OR($C8=0,Q$4&lt;PerStart2,Q$4&gt;PerSlut2),"",IF($BA8&lt;&gt;NotANumber,$H8,BJ8))</f>
        <v>400</v>
      </c>
      <c r="R8">
        <f>IF(OR($C8=0,R$4&lt;PerStart2,R$4&gt;PerSlut2),"",IF($BA8&lt;&gt;NotANumber,$H8,BK8))</f>
        <v>400</v>
      </c>
      <c r="S8">
        <f>IF(OR($C8=0,S$4&lt;PerStart2,S$4&gt;PerSlut2),"",IF($BA8&lt;&gt;NotANumber,$H8,BL8))</f>
        <v>400</v>
      </c>
      <c r="T8">
        <f>IF(OR($C8=0,T$4&lt;PerStart2,T$4&gt;PerSlut2),"",IF($BA8&lt;&gt;NotANumber,$H8,BM8))</f>
        <v>400</v>
      </c>
      <c r="U8" s="89" t="str">
        <f>IF(OR($C8=0,U$4&lt;PerStart2,U$4&gt;PerSlut2),"",IF($BA8&lt;&gt;NotANumber,$H8,BN8))</f>
        <v/>
      </c>
      <c r="V8" t="str">
        <f>IF(OR($C8=0,V$4&lt;PerStart2,V$4&gt;PerSlut2),"",IF($BA8&lt;&gt;NotANumber,$H8,BO8))</f>
        <v/>
      </c>
      <c r="W8" t="str">
        <f>IF(OR($C8=0,W$4&lt;PerStart2,W$4&gt;PerSlut2),"",IF($BA8&lt;&gt;NotANumber,$H8,BP8))</f>
        <v/>
      </c>
      <c r="X8" t="str">
        <f>IF(OR($C8=0,X$4&lt;PerStart2,X$4&gt;PerSlut2),"",IF($BA8&lt;&gt;NotANumber,$H8,BQ8))</f>
        <v/>
      </c>
      <c r="Y8" t="str">
        <f>IF(OR($C8=0,Y$4&lt;PerStart2,Y$4&gt;PerSlut2),"",IF($BA8&lt;&gt;NotANumber,$H8,BR8))</f>
        <v/>
      </c>
      <c r="Z8" t="str">
        <f>IF(OR($C8=0,Z$4&lt;PerStart2,Z$4&gt;PerSlut2),"",IF($BA8&lt;&gt;NotANumber,$H8,BS8))</f>
        <v/>
      </c>
      <c r="AA8" t="str">
        <f>IF(OR($C8=0,AA$4&lt;PerStart2,AA$4&gt;PerSlut2),"",IF($BA8&lt;&gt;NotANumber,$H8,BT8))</f>
        <v/>
      </c>
      <c r="AB8" t="str">
        <f>IF(OR($C8=0,AB$4&lt;PerStart2,AB$4&gt;PerSlut2),"",IF($BA8&lt;&gt;NotANumber,$H8,BU8))</f>
        <v/>
      </c>
      <c r="AC8" t="str">
        <f>IF(OR($C8=0,AC$4&lt;PerStart2,AC$4&gt;PerSlut2),"",IF($BA8&lt;&gt;NotANumber,$H8,BV8))</f>
        <v/>
      </c>
      <c r="AD8" t="str">
        <f>IF(OR($C8=0,AD$4&lt;PerStart2,AD$4&gt;PerSlut2),"",IF($BA8&lt;&gt;NotANumber,$H8,BW8))</f>
        <v/>
      </c>
      <c r="AE8" t="str">
        <f>IF(OR($C8=0,AE$4&lt;PerStart2,AE$4&gt;PerSlut2),"",IF($BA8&lt;&gt;NotANumber,$H8,BX8))</f>
        <v/>
      </c>
      <c r="AF8" t="str">
        <f>IF(OR($C8=0,AF$4&lt;PerStart2,AF$4&gt;PerSlut2),"",IF($BA8&lt;&gt;NotANumber,$H8,BY8))</f>
        <v/>
      </c>
      <c r="AG8" s="89" t="str">
        <f>IF(OR($C8=0,AG$4&lt;PerStart2,AG$4&gt;PerSlut2),"",IF($BA8&lt;&gt;NotANumber,$H8,BZ8))</f>
        <v/>
      </c>
      <c r="AH8" t="str">
        <f>IF(OR($C8=0,AH$4&lt;PerStart2,AH$4&gt;PerSlut2),"",IF($BA8&lt;&gt;NotANumber,$H8,CA8))</f>
        <v/>
      </c>
      <c r="AI8" t="str">
        <f>IF(OR($C8=0,AI$4&lt;PerStart2,AI$4&gt;PerSlut2),"",IF($BA8&lt;&gt;NotANumber,$H8,CB8))</f>
        <v/>
      </c>
      <c r="AJ8" t="str">
        <f>IF(OR($C8=0,AJ$4&lt;PerStart2,AJ$4&gt;PerSlut2),"",IF($BA8&lt;&gt;NotANumber,$H8,CC8))</f>
        <v/>
      </c>
      <c r="AK8" t="str">
        <f>IF(OR($C8=0,AK$4&lt;PerStart2,AK$4&gt;PerSlut2),"",IF($BA8&lt;&gt;NotANumber,$H8,CD8))</f>
        <v/>
      </c>
      <c r="AL8" t="str">
        <f>IF(OR($C8=0,AL$4&lt;PerStart2,AL$4&gt;PerSlut2),"",IF($BA8&lt;&gt;NotANumber,$H8,CE8))</f>
        <v/>
      </c>
      <c r="AM8" t="str">
        <f>IF(OR($C8=0,AM$4&lt;PerStart2,AM$4&gt;PerSlut2),"",IF($BA8&lt;&gt;NotANumber,$H8,CF8))</f>
        <v/>
      </c>
      <c r="AN8" t="str">
        <f>IF(OR($C8=0,AN$4&lt;PerStart2,AN$4&gt;PerSlut2),"",IF($BA8&lt;&gt;NotANumber,$H8,CG8))</f>
        <v/>
      </c>
      <c r="AO8" t="str">
        <f>IF(OR($C8=0,AO$4&lt;PerStart2,AO$4&gt;PerSlut2),"",IF($BA8&lt;&gt;NotANumber,$H8,CH8))</f>
        <v/>
      </c>
      <c r="AP8" t="str">
        <f>IF(OR($C8=0,AP$4&lt;PerStart2,AP$4&gt;PerSlut2),"",IF($BA8&lt;&gt;NotANumber,$H8,CI8))</f>
        <v/>
      </c>
      <c r="AQ8" t="str">
        <f>IF(OR($C8=0,AQ$4&lt;PerStart2,AQ$4&gt;PerSlut2),"",IF($BA8&lt;&gt;NotANumber,$H8,CJ8))</f>
        <v/>
      </c>
      <c r="AR8" t="str">
        <f>IF(OR($C8=0,AR$4&lt;PerStart2,AR$4&gt;PerSlut2),"",IF($BA8&lt;&gt;NotANumber,$H8,CK8))</f>
        <v/>
      </c>
      <c r="AT8" s="9" t="s">
        <v>156</v>
      </c>
      <c r="AU8" s="80">
        <v>1</v>
      </c>
      <c r="AV8" s="93">
        <v>2</v>
      </c>
      <c r="AW8" s="85">
        <v>1</v>
      </c>
      <c r="AX8" s="85">
        <v>4</v>
      </c>
      <c r="AY8" s="85">
        <v>14</v>
      </c>
      <c r="AZ8" s="85">
        <v>-1</v>
      </c>
      <c r="BA8" s="80">
        <v>400</v>
      </c>
      <c r="BB8" s="74">
        <v>1</v>
      </c>
      <c r="BC8" s="74">
        <v>1</v>
      </c>
      <c r="BD8" s="74">
        <v>1</v>
      </c>
      <c r="BE8" s="74">
        <v>1</v>
      </c>
      <c r="BF8" s="74">
        <v>1</v>
      </c>
      <c r="BG8" s="74">
        <v>1</v>
      </c>
      <c r="BH8" s="74">
        <v>1</v>
      </c>
      <c r="BI8" s="74">
        <v>1</v>
      </c>
      <c r="BJ8" s="74">
        <v>1</v>
      </c>
      <c r="BK8" s="74">
        <v>1</v>
      </c>
      <c r="BL8" s="74">
        <v>1</v>
      </c>
      <c r="BM8" s="74">
        <v>1</v>
      </c>
      <c r="BN8" s="74"/>
    </row>
    <row r="9" spans="2:89" x14ac:dyDescent="0.25">
      <c r="B9" s="93" t="str">
        <f t="shared" si="2"/>
        <v>screc4</v>
      </c>
      <c r="C9" s="93">
        <f t="shared" si="3"/>
        <v>1</v>
      </c>
      <c r="D9" s="85">
        <f t="shared" si="4"/>
        <v>1</v>
      </c>
      <c r="E9" s="5" t="str" cm="1">
        <f t="array" ref="E9">IF(AX9&lt;=0,"",INDEX(listRoot,AX9))</f>
        <v>Prognoses</v>
      </c>
      <c r="F9" s="5" t="str" cm="1">
        <f t="array" ref="F9">IF(AY9&lt;=0.000000000001,"",INDEX(Lister!$C$4:$H$100,AY9,$AX9))</f>
        <v>ETS</v>
      </c>
      <c r="G9" s="5" t="str" cm="1">
        <f t="array" ref="G9">IF(OR(AZ9=1,AZ9&lt;=0.000000000001),"",INDEX(Lister!$J$4:$O$100,AZ9,$AX9))</f>
        <v/>
      </c>
      <c r="H9" s="80">
        <f>IF(C9=0,"",IF(BA9=NotANumber,"",BA9))</f>
        <v>400</v>
      </c>
      <c r="I9">
        <f>IF(OR($C9=0,I$4&lt;PerStart2,I$4&gt;PerSlut2),"",IF($BA9&lt;&gt;NotANumber,$H9,BB9))</f>
        <v>400</v>
      </c>
      <c r="J9">
        <f>IF(OR($C9=0,J$4&lt;PerStart2,J$4&gt;PerSlut2),"",IF($BA9&lt;&gt;NotANumber,$H9,BC9))</f>
        <v>400</v>
      </c>
      <c r="K9">
        <f>IF(OR($C9=0,K$4&lt;PerStart2,K$4&gt;PerSlut2),"",IF($BA9&lt;&gt;NotANumber,$H9,BD9))</f>
        <v>400</v>
      </c>
      <c r="L9">
        <f>IF(OR($C9=0,L$4&lt;PerStart2,L$4&gt;PerSlut2),"",IF($BA9&lt;&gt;NotANumber,$H9,BE9))</f>
        <v>400</v>
      </c>
      <c r="M9">
        <f>IF(OR($C9=0,M$4&lt;PerStart2,M$4&gt;PerSlut2),"",IF($BA9&lt;&gt;NotANumber,$H9,BF9))</f>
        <v>400</v>
      </c>
      <c r="N9">
        <f>IF(OR($C9=0,N$4&lt;PerStart2,N$4&gt;PerSlut2),"",IF($BA9&lt;&gt;NotANumber,$H9,BG9))</f>
        <v>400</v>
      </c>
      <c r="O9">
        <f>IF(OR($C9=0,O$4&lt;PerStart2,O$4&gt;PerSlut2),"",IF($BA9&lt;&gt;NotANumber,$H9,BH9))</f>
        <v>400</v>
      </c>
      <c r="P9">
        <f>IF(OR($C9=0,P$4&lt;PerStart2,P$4&gt;PerSlut2),"",IF($BA9&lt;&gt;NotANumber,$H9,BI9))</f>
        <v>400</v>
      </c>
      <c r="Q9">
        <f>IF(OR($C9=0,Q$4&lt;PerStart2,Q$4&gt;PerSlut2),"",IF($BA9&lt;&gt;NotANumber,$H9,BJ9))</f>
        <v>400</v>
      </c>
      <c r="R9">
        <f>IF(OR($C9=0,R$4&lt;PerStart2,R$4&gt;PerSlut2),"",IF($BA9&lt;&gt;NotANumber,$H9,BK9))</f>
        <v>400</v>
      </c>
      <c r="S9">
        <f>IF(OR($C9=0,S$4&lt;PerStart2,S$4&gt;PerSlut2),"",IF($BA9&lt;&gt;NotANumber,$H9,BL9))</f>
        <v>400</v>
      </c>
      <c r="T9">
        <f>IF(OR($C9=0,T$4&lt;PerStart2,T$4&gt;PerSlut2),"",IF($BA9&lt;&gt;NotANumber,$H9,BM9))</f>
        <v>400</v>
      </c>
      <c r="U9" s="89" t="str">
        <f>IF(OR($C9=0,U$4&lt;PerStart2,U$4&gt;PerSlut2),"",IF($BA9&lt;&gt;NotANumber,$H9,BN9))</f>
        <v/>
      </c>
      <c r="V9" t="str">
        <f>IF(OR($C9=0,V$4&lt;PerStart2,V$4&gt;PerSlut2),"",IF($BA9&lt;&gt;NotANumber,$H9,BO9))</f>
        <v/>
      </c>
      <c r="W9" t="str">
        <f>IF(OR($C9=0,W$4&lt;PerStart2,W$4&gt;PerSlut2),"",IF($BA9&lt;&gt;NotANumber,$H9,BP9))</f>
        <v/>
      </c>
      <c r="X9" t="str">
        <f>IF(OR($C9=0,X$4&lt;PerStart2,X$4&gt;PerSlut2),"",IF($BA9&lt;&gt;NotANumber,$H9,BQ9))</f>
        <v/>
      </c>
      <c r="Y9" t="str">
        <f>IF(OR($C9=0,Y$4&lt;PerStart2,Y$4&gt;PerSlut2),"",IF($BA9&lt;&gt;NotANumber,$H9,BR9))</f>
        <v/>
      </c>
      <c r="Z9" t="str">
        <f>IF(OR($C9=0,Z$4&lt;PerStart2,Z$4&gt;PerSlut2),"",IF($BA9&lt;&gt;NotANumber,$H9,BS9))</f>
        <v/>
      </c>
      <c r="AA9" t="str">
        <f>IF(OR($C9=0,AA$4&lt;PerStart2,AA$4&gt;PerSlut2),"",IF($BA9&lt;&gt;NotANumber,$H9,BT9))</f>
        <v/>
      </c>
      <c r="AB9" t="str">
        <f>IF(OR($C9=0,AB$4&lt;PerStart2,AB$4&gt;PerSlut2),"",IF($BA9&lt;&gt;NotANumber,$H9,BU9))</f>
        <v/>
      </c>
      <c r="AC9" t="str">
        <f>IF(OR($C9=0,AC$4&lt;PerStart2,AC$4&gt;PerSlut2),"",IF($BA9&lt;&gt;NotANumber,$H9,BV9))</f>
        <v/>
      </c>
      <c r="AD9" t="str">
        <f>IF(OR($C9=0,AD$4&lt;PerStart2,AD$4&gt;PerSlut2),"",IF($BA9&lt;&gt;NotANumber,$H9,BW9))</f>
        <v/>
      </c>
      <c r="AE9" t="str">
        <f>IF(OR($C9=0,AE$4&lt;PerStart2,AE$4&gt;PerSlut2),"",IF($BA9&lt;&gt;NotANumber,$H9,BX9))</f>
        <v/>
      </c>
      <c r="AF9" t="str">
        <f>IF(OR($C9=0,AF$4&lt;PerStart2,AF$4&gt;PerSlut2),"",IF($BA9&lt;&gt;NotANumber,$H9,BY9))</f>
        <v/>
      </c>
      <c r="AG9" s="89" t="str">
        <f>IF(OR($C9=0,AG$4&lt;PerStart2,AG$4&gt;PerSlut2),"",IF($BA9&lt;&gt;NotANumber,$H9,BZ9))</f>
        <v/>
      </c>
      <c r="AH9" t="str">
        <f>IF(OR($C9=0,AH$4&lt;PerStart2,AH$4&gt;PerSlut2),"",IF($BA9&lt;&gt;NotANumber,$H9,CA9))</f>
        <v/>
      </c>
      <c r="AI9" t="str">
        <f>IF(OR($C9=0,AI$4&lt;PerStart2,AI$4&gt;PerSlut2),"",IF($BA9&lt;&gt;NotANumber,$H9,CB9))</f>
        <v/>
      </c>
      <c r="AJ9" t="str">
        <f>IF(OR($C9=0,AJ$4&lt;PerStart2,AJ$4&gt;PerSlut2),"",IF($BA9&lt;&gt;NotANumber,$H9,CC9))</f>
        <v/>
      </c>
      <c r="AK9" t="str">
        <f>IF(OR($C9=0,AK$4&lt;PerStart2,AK$4&gt;PerSlut2),"",IF($BA9&lt;&gt;NotANumber,$H9,CD9))</f>
        <v/>
      </c>
      <c r="AL9" t="str">
        <f>IF(OR($C9=0,AL$4&lt;PerStart2,AL$4&gt;PerSlut2),"",IF($BA9&lt;&gt;NotANumber,$H9,CE9))</f>
        <v/>
      </c>
      <c r="AM9" t="str">
        <f>IF(OR($C9=0,AM$4&lt;PerStart2,AM$4&gt;PerSlut2),"",IF($BA9&lt;&gt;NotANumber,$H9,CF9))</f>
        <v/>
      </c>
      <c r="AN9" t="str">
        <f>IF(OR($C9=0,AN$4&lt;PerStart2,AN$4&gt;PerSlut2),"",IF($BA9&lt;&gt;NotANumber,$H9,CG9))</f>
        <v/>
      </c>
      <c r="AO9" t="str">
        <f>IF(OR($C9=0,AO$4&lt;PerStart2,AO$4&gt;PerSlut2),"",IF($BA9&lt;&gt;NotANumber,$H9,CH9))</f>
        <v/>
      </c>
      <c r="AP9" t="str">
        <f>IF(OR($C9=0,AP$4&lt;PerStart2,AP$4&gt;PerSlut2),"",IF($BA9&lt;&gt;NotANumber,$H9,CI9))</f>
        <v/>
      </c>
      <c r="AQ9" t="str">
        <f>IF(OR($C9=0,AQ$4&lt;PerStart2,AQ$4&gt;PerSlut2),"",IF($BA9&lt;&gt;NotANumber,$H9,CJ9))</f>
        <v/>
      </c>
      <c r="AR9" t="str">
        <f>IF(OR($C9=0,AR$4&lt;PerStart2,AR$4&gt;PerSlut2),"",IF($BA9&lt;&gt;NotANumber,$H9,CK9))</f>
        <v/>
      </c>
      <c r="AT9" s="9" t="s">
        <v>157</v>
      </c>
      <c r="AU9" s="80">
        <v>1</v>
      </c>
      <c r="AV9" s="93">
        <v>2</v>
      </c>
      <c r="AW9" s="85">
        <v>1</v>
      </c>
      <c r="AX9" s="85">
        <v>4</v>
      </c>
      <c r="AY9" s="85">
        <v>15</v>
      </c>
      <c r="AZ9" s="85">
        <v>-1</v>
      </c>
      <c r="BA9" s="80">
        <v>400</v>
      </c>
      <c r="BB9" s="74">
        <v>378.33708333333323</v>
      </c>
      <c r="BC9" s="74">
        <v>356.0961527777776</v>
      </c>
      <c r="BD9" s="74">
        <v>347.18100806451616</v>
      </c>
      <c r="BE9" s="74">
        <v>356.0961527777776</v>
      </c>
      <c r="BF9" s="74">
        <v>410.46177419354831</v>
      </c>
      <c r="BG9" s="74">
        <v>547.42162499999972</v>
      </c>
      <c r="BH9" s="74">
        <v>605.37407258064457</v>
      </c>
      <c r="BI9" s="74">
        <v>627.85237903225811</v>
      </c>
      <c r="BJ9" s="74">
        <v>920.7574305555554</v>
      </c>
      <c r="BK9" s="74">
        <v>794.33760752688215</v>
      </c>
      <c r="BL9" s="74">
        <v>1014.278430555556</v>
      </c>
      <c r="BM9" s="74">
        <v>1420.7891397849471</v>
      </c>
      <c r="BN9" s="74"/>
    </row>
    <row r="10" spans="2:89" x14ac:dyDescent="0.25">
      <c r="B10" s="93" t="str">
        <f t="shared" si="2"/>
        <v>screc5</v>
      </c>
      <c r="C10" s="93">
        <f t="shared" si="3"/>
        <v>1</v>
      </c>
      <c r="D10" s="85">
        <f t="shared" si="4"/>
        <v>1</v>
      </c>
      <c r="E10" s="5" t="str" cm="1">
        <f t="array" ref="E10">IF(AX10&lt;=0,"",INDEX(listRoot,AX10))</f>
        <v>Prognoses</v>
      </c>
      <c r="F10" s="5" t="str" cm="1">
        <f t="array" ref="F10">IF(AY10&lt;=0.000000000001,"",INDEX(Lister!$C$4:$H$100,AY10,$AX10))</f>
        <v>Elpris</v>
      </c>
      <c r="G10" s="5" t="str" cm="1">
        <f t="array" ref="G10">IF(OR(AZ10=1,AZ10&lt;=0.000000000001),"",INDEX(Lister!$J$4:$O$100,AZ10,$AX10))</f>
        <v/>
      </c>
      <c r="H10" s="80">
        <f>IF(C10=0,"",IF(BA10=NotANumber,"",BA10))</f>
        <v>600</v>
      </c>
      <c r="I10">
        <f>IF(OR($C10=0,I$4&lt;PerStart2,I$4&gt;PerSlut2),"",IF($BA10&lt;&gt;NotANumber,$H10,BB10))</f>
        <v>600</v>
      </c>
      <c r="J10">
        <f>IF(OR($C10=0,J$4&lt;PerStart2,J$4&gt;PerSlut2),"",IF($BA10&lt;&gt;NotANumber,$H10,BC10))</f>
        <v>600</v>
      </c>
      <c r="K10">
        <f>IF(OR($C10=0,K$4&lt;PerStart2,K$4&gt;PerSlut2),"",IF($BA10&lt;&gt;NotANumber,$H10,BD10))</f>
        <v>600</v>
      </c>
      <c r="L10">
        <f>IF(OR($C10=0,L$4&lt;PerStart2,L$4&gt;PerSlut2),"",IF($BA10&lt;&gt;NotANumber,$H10,BE10))</f>
        <v>600</v>
      </c>
      <c r="M10">
        <f>IF(OR($C10=0,M$4&lt;PerStart2,M$4&gt;PerSlut2),"",IF($BA10&lt;&gt;NotANumber,$H10,BF10))</f>
        <v>600</v>
      </c>
      <c r="N10">
        <f>IF(OR($C10=0,N$4&lt;PerStart2,N$4&gt;PerSlut2),"",IF($BA10&lt;&gt;NotANumber,$H10,BG10))</f>
        <v>600</v>
      </c>
      <c r="O10">
        <f>IF(OR($C10=0,O$4&lt;PerStart2,O$4&gt;PerSlut2),"",IF($BA10&lt;&gt;NotANumber,$H10,BH10))</f>
        <v>600</v>
      </c>
      <c r="P10">
        <f>IF(OR($C10=0,P$4&lt;PerStart2,P$4&gt;PerSlut2),"",IF($BA10&lt;&gt;NotANumber,$H10,BI10))</f>
        <v>600</v>
      </c>
      <c r="Q10">
        <f>IF(OR($C10=0,Q$4&lt;PerStart2,Q$4&gt;PerSlut2),"",IF($BA10&lt;&gt;NotANumber,$H10,BJ10))</f>
        <v>600</v>
      </c>
      <c r="R10">
        <f>IF(OR($C10=0,R$4&lt;PerStart2,R$4&gt;PerSlut2),"",IF($BA10&lt;&gt;NotANumber,$H10,BK10))</f>
        <v>600</v>
      </c>
      <c r="S10">
        <f>IF(OR($C10=0,S$4&lt;PerStart2,S$4&gt;PerSlut2),"",IF($BA10&lt;&gt;NotANumber,$H10,BL10))</f>
        <v>600</v>
      </c>
      <c r="T10">
        <f>IF(OR($C10=0,T$4&lt;PerStart2,T$4&gt;PerSlut2),"",IF($BA10&lt;&gt;NotANumber,$H10,BM10))</f>
        <v>600</v>
      </c>
      <c r="U10" s="89" t="str">
        <f>IF(OR($C10=0,U$4&lt;PerStart2,U$4&gt;PerSlut2),"",IF($BA10&lt;&gt;NotANumber,$H10,BN10))</f>
        <v/>
      </c>
      <c r="V10" t="str">
        <f>IF(OR($C10=0,V$4&lt;PerStart2,V$4&gt;PerSlut2),"",IF($BA10&lt;&gt;NotANumber,$H10,BO10))</f>
        <v/>
      </c>
      <c r="W10" t="str">
        <f>IF(OR($C10=0,W$4&lt;PerStart2,W$4&gt;PerSlut2),"",IF($BA10&lt;&gt;NotANumber,$H10,BP10))</f>
        <v/>
      </c>
      <c r="X10" t="str">
        <f>IF(OR($C10=0,X$4&lt;PerStart2,X$4&gt;PerSlut2),"",IF($BA10&lt;&gt;NotANumber,$H10,BQ10))</f>
        <v/>
      </c>
      <c r="Y10" t="str">
        <f>IF(OR($C10=0,Y$4&lt;PerStart2,Y$4&gt;PerSlut2),"",IF($BA10&lt;&gt;NotANumber,$H10,BR10))</f>
        <v/>
      </c>
      <c r="Z10" t="str">
        <f>IF(OR($C10=0,Z$4&lt;PerStart2,Z$4&gt;PerSlut2),"",IF($BA10&lt;&gt;NotANumber,$H10,BS10))</f>
        <v/>
      </c>
      <c r="AA10" t="str">
        <f>IF(OR($C10=0,AA$4&lt;PerStart2,AA$4&gt;PerSlut2),"",IF($BA10&lt;&gt;NotANumber,$H10,BT10))</f>
        <v/>
      </c>
      <c r="AB10" t="str">
        <f>IF(OR($C10=0,AB$4&lt;PerStart2,AB$4&gt;PerSlut2),"",IF($BA10&lt;&gt;NotANumber,$H10,BU10))</f>
        <v/>
      </c>
      <c r="AC10" t="str">
        <f>IF(OR($C10=0,AC$4&lt;PerStart2,AC$4&gt;PerSlut2),"",IF($BA10&lt;&gt;NotANumber,$H10,BV10))</f>
        <v/>
      </c>
      <c r="AD10" t="str">
        <f>IF(OR($C10=0,AD$4&lt;PerStart2,AD$4&gt;PerSlut2),"",IF($BA10&lt;&gt;NotANumber,$H10,BW10))</f>
        <v/>
      </c>
      <c r="AE10" t="str">
        <f>IF(OR($C10=0,AE$4&lt;PerStart2,AE$4&gt;PerSlut2),"",IF($BA10&lt;&gt;NotANumber,$H10,BX10))</f>
        <v/>
      </c>
      <c r="AF10" t="str">
        <f>IF(OR($C10=0,AF$4&lt;PerStart2,AF$4&gt;PerSlut2),"",IF($BA10&lt;&gt;NotANumber,$H10,BY10))</f>
        <v/>
      </c>
      <c r="AG10" s="89" t="str">
        <f>IF(OR($C10=0,AG$4&lt;PerStart2,AG$4&gt;PerSlut2),"",IF($BA10&lt;&gt;NotANumber,$H10,BZ10))</f>
        <v/>
      </c>
      <c r="AH10" t="str">
        <f>IF(OR($C10=0,AH$4&lt;PerStart2,AH$4&gt;PerSlut2),"",IF($BA10&lt;&gt;NotANumber,$H10,CA10))</f>
        <v/>
      </c>
      <c r="AI10" t="str">
        <f>IF(OR($C10=0,AI$4&lt;PerStart2,AI$4&gt;PerSlut2),"",IF($BA10&lt;&gt;NotANumber,$H10,CB10))</f>
        <v/>
      </c>
      <c r="AJ10" t="str">
        <f>IF(OR($C10=0,AJ$4&lt;PerStart2,AJ$4&gt;PerSlut2),"",IF($BA10&lt;&gt;NotANumber,$H10,CC10))</f>
        <v/>
      </c>
      <c r="AK10" t="str">
        <f>IF(OR($C10=0,AK$4&lt;PerStart2,AK$4&gt;PerSlut2),"",IF($BA10&lt;&gt;NotANumber,$H10,CD10))</f>
        <v/>
      </c>
      <c r="AL10" t="str">
        <f>IF(OR($C10=0,AL$4&lt;PerStart2,AL$4&gt;PerSlut2),"",IF($BA10&lt;&gt;NotANumber,$H10,CE10))</f>
        <v/>
      </c>
      <c r="AM10" t="str">
        <f>IF(OR($C10=0,AM$4&lt;PerStart2,AM$4&gt;PerSlut2),"",IF($BA10&lt;&gt;NotANumber,$H10,CF10))</f>
        <v/>
      </c>
      <c r="AN10" t="str">
        <f>IF(OR($C10=0,AN$4&lt;PerStart2,AN$4&gt;PerSlut2),"",IF($BA10&lt;&gt;NotANumber,$H10,CG10))</f>
        <v/>
      </c>
      <c r="AO10" t="str">
        <f>IF(OR($C10=0,AO$4&lt;PerStart2,AO$4&gt;PerSlut2),"",IF($BA10&lt;&gt;NotANumber,$H10,CH10))</f>
        <v/>
      </c>
      <c r="AP10" t="str">
        <f>IF(OR($C10=0,AP$4&lt;PerStart2,AP$4&gt;PerSlut2),"",IF($BA10&lt;&gt;NotANumber,$H10,CI10))</f>
        <v/>
      </c>
      <c r="AQ10" t="str">
        <f>IF(OR($C10=0,AQ$4&lt;PerStart2,AQ$4&gt;PerSlut2),"",IF($BA10&lt;&gt;NotANumber,$H10,CJ10))</f>
        <v/>
      </c>
      <c r="AR10" t="str">
        <f>IF(OR($C10=0,AR$4&lt;PerStart2,AR$4&gt;PerSlut2),"",IF($BA10&lt;&gt;NotANumber,$H10,CK10))</f>
        <v/>
      </c>
      <c r="AT10" s="9" t="s">
        <v>158</v>
      </c>
      <c r="AU10" s="80">
        <v>1</v>
      </c>
      <c r="AV10" s="93">
        <v>3</v>
      </c>
      <c r="AW10" s="85">
        <v>1</v>
      </c>
      <c r="AX10" s="85">
        <v>4</v>
      </c>
      <c r="AY10" s="85">
        <v>14</v>
      </c>
      <c r="AZ10" s="85">
        <v>-1</v>
      </c>
      <c r="BA10" s="80">
        <v>600</v>
      </c>
    </row>
    <row r="11" spans="2:89" x14ac:dyDescent="0.25">
      <c r="B11" s="93" t="str">
        <f t="shared" si="2"/>
        <v>screc6</v>
      </c>
      <c r="C11" s="93">
        <f t="shared" si="3"/>
        <v>1</v>
      </c>
      <c r="D11" s="85">
        <f t="shared" si="4"/>
        <v>1</v>
      </c>
      <c r="E11" s="5" t="str" cm="1">
        <f t="array" ref="E11">IF(AX11&lt;=0,"",INDEX(listRoot,AX11))</f>
        <v>Prognoses</v>
      </c>
      <c r="F11" s="5" t="str" cm="1">
        <f t="array" ref="F11">IF(AY11&lt;=0.000000000001,"",INDEX(Lister!$C$4:$H$100,AY11,$AX11))</f>
        <v>ETS</v>
      </c>
      <c r="G11" s="5" t="str" cm="1">
        <f t="array" ref="G11">IF(OR(AZ11=1,AZ11&lt;=0.000000000001),"",INDEX(Lister!$J$4:$O$100,AZ11,$AX11))</f>
        <v/>
      </c>
      <c r="H11" s="80">
        <f>IF(C11=0,"",IF(BA11=NotANumber,"",BA11))</f>
        <v>400</v>
      </c>
      <c r="I11">
        <f>IF(OR($C11=0,I$4&lt;PerStart2,I$4&gt;PerSlut2),"",IF($BA11&lt;&gt;NotANumber,$H11,BB11))</f>
        <v>400</v>
      </c>
      <c r="J11">
        <f>IF(OR($C11=0,J$4&lt;PerStart2,J$4&gt;PerSlut2),"",IF($BA11&lt;&gt;NotANumber,$H11,BC11))</f>
        <v>400</v>
      </c>
      <c r="K11">
        <f>IF(OR($C11=0,K$4&lt;PerStart2,K$4&gt;PerSlut2),"",IF($BA11&lt;&gt;NotANumber,$H11,BD11))</f>
        <v>400</v>
      </c>
      <c r="L11">
        <f>IF(OR($C11=0,L$4&lt;PerStart2,L$4&gt;PerSlut2),"",IF($BA11&lt;&gt;NotANumber,$H11,BE11))</f>
        <v>400</v>
      </c>
      <c r="M11">
        <f>IF(OR($C11=0,M$4&lt;PerStart2,M$4&gt;PerSlut2),"",IF($BA11&lt;&gt;NotANumber,$H11,BF11))</f>
        <v>400</v>
      </c>
      <c r="N11">
        <f>IF(OR($C11=0,N$4&lt;PerStart2,N$4&gt;PerSlut2),"",IF($BA11&lt;&gt;NotANumber,$H11,BG11))</f>
        <v>400</v>
      </c>
      <c r="O11">
        <f>IF(OR($C11=0,O$4&lt;PerStart2,O$4&gt;PerSlut2),"",IF($BA11&lt;&gt;NotANumber,$H11,BH11))</f>
        <v>400</v>
      </c>
      <c r="P11">
        <f>IF(OR($C11=0,P$4&lt;PerStart2,P$4&gt;PerSlut2),"",IF($BA11&lt;&gt;NotANumber,$H11,BI11))</f>
        <v>400</v>
      </c>
      <c r="Q11">
        <f>IF(OR($C11=0,Q$4&lt;PerStart2,Q$4&gt;PerSlut2),"",IF($BA11&lt;&gt;NotANumber,$H11,BJ11))</f>
        <v>400</v>
      </c>
      <c r="R11">
        <f>IF(OR($C11=0,R$4&lt;PerStart2,R$4&gt;PerSlut2),"",IF($BA11&lt;&gt;NotANumber,$H11,BK11))</f>
        <v>400</v>
      </c>
      <c r="S11">
        <f>IF(OR($C11=0,S$4&lt;PerStart2,S$4&gt;PerSlut2),"",IF($BA11&lt;&gt;NotANumber,$H11,BL11))</f>
        <v>400</v>
      </c>
      <c r="T11">
        <f>IF(OR($C11=0,T$4&lt;PerStart2,T$4&gt;PerSlut2),"",IF($BA11&lt;&gt;NotANumber,$H11,BM11))</f>
        <v>400</v>
      </c>
      <c r="U11" s="89" t="str">
        <f>IF(OR($C11=0,U$4&lt;PerStart2,U$4&gt;PerSlut2),"",IF($BA11&lt;&gt;NotANumber,$H11,BN11))</f>
        <v/>
      </c>
      <c r="V11" t="str">
        <f>IF(OR($C11=0,V$4&lt;PerStart2,V$4&gt;PerSlut2),"",IF($BA11&lt;&gt;NotANumber,$H11,BO11))</f>
        <v/>
      </c>
      <c r="W11" t="str">
        <f>IF(OR($C11=0,W$4&lt;PerStart2,W$4&gt;PerSlut2),"",IF($BA11&lt;&gt;NotANumber,$H11,BP11))</f>
        <v/>
      </c>
      <c r="X11" t="str">
        <f>IF(OR($C11=0,X$4&lt;PerStart2,X$4&gt;PerSlut2),"",IF($BA11&lt;&gt;NotANumber,$H11,BQ11))</f>
        <v/>
      </c>
      <c r="Y11" t="str">
        <f>IF(OR($C11=0,Y$4&lt;PerStart2,Y$4&gt;PerSlut2),"",IF($BA11&lt;&gt;NotANumber,$H11,BR11))</f>
        <v/>
      </c>
      <c r="Z11" t="str">
        <f>IF(OR($C11=0,Z$4&lt;PerStart2,Z$4&gt;PerSlut2),"",IF($BA11&lt;&gt;NotANumber,$H11,BS11))</f>
        <v/>
      </c>
      <c r="AA11" t="str">
        <f>IF(OR($C11=0,AA$4&lt;PerStart2,AA$4&gt;PerSlut2),"",IF($BA11&lt;&gt;NotANumber,$H11,BT11))</f>
        <v/>
      </c>
      <c r="AB11" t="str">
        <f>IF(OR($C11=0,AB$4&lt;PerStart2,AB$4&gt;PerSlut2),"",IF($BA11&lt;&gt;NotANumber,$H11,BU11))</f>
        <v/>
      </c>
      <c r="AC11" t="str">
        <f>IF(OR($C11=0,AC$4&lt;PerStart2,AC$4&gt;PerSlut2),"",IF($BA11&lt;&gt;NotANumber,$H11,BV11))</f>
        <v/>
      </c>
      <c r="AD11" t="str">
        <f>IF(OR($C11=0,AD$4&lt;PerStart2,AD$4&gt;PerSlut2),"",IF($BA11&lt;&gt;NotANumber,$H11,BW11))</f>
        <v/>
      </c>
      <c r="AE11" t="str">
        <f>IF(OR($C11=0,AE$4&lt;PerStart2,AE$4&gt;PerSlut2),"",IF($BA11&lt;&gt;NotANumber,$H11,BX11))</f>
        <v/>
      </c>
      <c r="AF11" t="str">
        <f>IF(OR($C11=0,AF$4&lt;PerStart2,AF$4&gt;PerSlut2),"",IF($BA11&lt;&gt;NotANumber,$H11,BY11))</f>
        <v/>
      </c>
      <c r="AG11" s="89" t="str">
        <f>IF(OR($C11=0,AG$4&lt;PerStart2,AG$4&gt;PerSlut2),"",IF($BA11&lt;&gt;NotANumber,$H11,BZ11))</f>
        <v/>
      </c>
      <c r="AH11" t="str">
        <f>IF(OR($C11=0,AH$4&lt;PerStart2,AH$4&gt;PerSlut2),"",IF($BA11&lt;&gt;NotANumber,$H11,CA11))</f>
        <v/>
      </c>
      <c r="AI11" t="str">
        <f>IF(OR($C11=0,AI$4&lt;PerStart2,AI$4&gt;PerSlut2),"",IF($BA11&lt;&gt;NotANumber,$H11,CB11))</f>
        <v/>
      </c>
      <c r="AJ11" t="str">
        <f>IF(OR($C11=0,AJ$4&lt;PerStart2,AJ$4&gt;PerSlut2),"",IF($BA11&lt;&gt;NotANumber,$H11,CC11))</f>
        <v/>
      </c>
      <c r="AK11" t="str">
        <f>IF(OR($C11=0,AK$4&lt;PerStart2,AK$4&gt;PerSlut2),"",IF($BA11&lt;&gt;NotANumber,$H11,CD11))</f>
        <v/>
      </c>
      <c r="AL11" t="str">
        <f>IF(OR($C11=0,AL$4&lt;PerStart2,AL$4&gt;PerSlut2),"",IF($BA11&lt;&gt;NotANumber,$H11,CE11))</f>
        <v/>
      </c>
      <c r="AM11" t="str">
        <f>IF(OR($C11=0,AM$4&lt;PerStart2,AM$4&gt;PerSlut2),"",IF($BA11&lt;&gt;NotANumber,$H11,CF11))</f>
        <v/>
      </c>
      <c r="AN11" t="str">
        <f>IF(OR($C11=0,AN$4&lt;PerStart2,AN$4&gt;PerSlut2),"",IF($BA11&lt;&gt;NotANumber,$H11,CG11))</f>
        <v/>
      </c>
      <c r="AO11" t="str">
        <f>IF(OR($C11=0,AO$4&lt;PerStart2,AO$4&gt;PerSlut2),"",IF($BA11&lt;&gt;NotANumber,$H11,CH11))</f>
        <v/>
      </c>
      <c r="AP11" t="str">
        <f>IF(OR($C11=0,AP$4&lt;PerStart2,AP$4&gt;PerSlut2),"",IF($BA11&lt;&gt;NotANumber,$H11,CI11))</f>
        <v/>
      </c>
      <c r="AQ11" t="str">
        <f>IF(OR($C11=0,AQ$4&lt;PerStart2,AQ$4&gt;PerSlut2),"",IF($BA11&lt;&gt;NotANumber,$H11,CJ11))</f>
        <v/>
      </c>
      <c r="AR11" t="str">
        <f>IF(OR($C11=0,AR$4&lt;PerStart2,AR$4&gt;PerSlut2),"",IF($BA11&lt;&gt;NotANumber,$H11,CK11))</f>
        <v/>
      </c>
      <c r="AT11" s="9" t="s">
        <v>159</v>
      </c>
      <c r="AU11" s="80">
        <v>1</v>
      </c>
      <c r="AV11" s="93">
        <v>3</v>
      </c>
      <c r="AW11" s="85">
        <v>1</v>
      </c>
      <c r="AX11" s="85">
        <v>4</v>
      </c>
      <c r="AY11" s="85">
        <v>15</v>
      </c>
      <c r="AZ11" s="85">
        <v>-1</v>
      </c>
      <c r="BA11" s="80">
        <v>400</v>
      </c>
    </row>
    <row r="12" spans="2:89" x14ac:dyDescent="0.25">
      <c r="B12" s="93" t="str">
        <f t="shared" si="2"/>
        <v>screc7</v>
      </c>
      <c r="C12" s="93">
        <f t="shared" si="3"/>
        <v>1</v>
      </c>
      <c r="D12" s="85">
        <f t="shared" si="4"/>
        <v>1</v>
      </c>
      <c r="E12" s="5" t="str" cm="1">
        <f t="array" ref="E12">IF(AX12&lt;=0,"",INDEX(listRoot,AX12))</f>
        <v>Prognoses</v>
      </c>
      <c r="F12" s="5" t="str" cm="1">
        <f t="array" ref="F12">IF(AY12&lt;=0.000000000001,"",INDEX(Lister!$C$4:$H$100,AY12,$AX12))</f>
        <v>Elpris</v>
      </c>
      <c r="G12" s="5" t="str" cm="1">
        <f t="array" ref="G12">IF(OR(AZ12=1,AZ12&lt;=0.000000000001),"",INDEX(Lister!$J$4:$O$100,AZ12,$AX12))</f>
        <v/>
      </c>
      <c r="H12" s="80">
        <f>IF(C12=0,"",IF(BA12=NotANumber,"",BA12))</f>
        <v>800</v>
      </c>
      <c r="I12">
        <f>IF(OR($C12=0,I$4&lt;PerStart2,I$4&gt;PerSlut2),"",IF($BA12&lt;&gt;NotANumber,$H12,BB12))</f>
        <v>800</v>
      </c>
      <c r="J12">
        <f>IF(OR($C12=0,J$4&lt;PerStart2,J$4&gt;PerSlut2),"",IF($BA12&lt;&gt;NotANumber,$H12,BC12))</f>
        <v>800</v>
      </c>
      <c r="K12">
        <f>IF(OR($C12=0,K$4&lt;PerStart2,K$4&gt;PerSlut2),"",IF($BA12&lt;&gt;NotANumber,$H12,BD12))</f>
        <v>800</v>
      </c>
      <c r="L12">
        <f>IF(OR($C12=0,L$4&lt;PerStart2,L$4&gt;PerSlut2),"",IF($BA12&lt;&gt;NotANumber,$H12,BE12))</f>
        <v>800</v>
      </c>
      <c r="M12">
        <f>IF(OR($C12=0,M$4&lt;PerStart2,M$4&gt;PerSlut2),"",IF($BA12&lt;&gt;NotANumber,$H12,BF12))</f>
        <v>800</v>
      </c>
      <c r="N12">
        <f>IF(OR($C12=0,N$4&lt;PerStart2,N$4&gt;PerSlut2),"",IF($BA12&lt;&gt;NotANumber,$H12,BG12))</f>
        <v>800</v>
      </c>
      <c r="O12">
        <f>IF(OR($C12=0,O$4&lt;PerStart2,O$4&gt;PerSlut2),"",IF($BA12&lt;&gt;NotANumber,$H12,BH12))</f>
        <v>800</v>
      </c>
      <c r="P12">
        <f>IF(OR($C12=0,P$4&lt;PerStart2,P$4&gt;PerSlut2),"",IF($BA12&lt;&gt;NotANumber,$H12,BI12))</f>
        <v>800</v>
      </c>
      <c r="Q12">
        <f>IF(OR($C12=0,Q$4&lt;PerStart2,Q$4&gt;PerSlut2),"",IF($BA12&lt;&gt;NotANumber,$H12,BJ12))</f>
        <v>800</v>
      </c>
      <c r="R12">
        <f>IF(OR($C12=0,R$4&lt;PerStart2,R$4&gt;PerSlut2),"",IF($BA12&lt;&gt;NotANumber,$H12,BK12))</f>
        <v>800</v>
      </c>
      <c r="S12">
        <f>IF(OR($C12=0,S$4&lt;PerStart2,S$4&gt;PerSlut2),"",IF($BA12&lt;&gt;NotANumber,$H12,BL12))</f>
        <v>800</v>
      </c>
      <c r="T12">
        <f>IF(OR($C12=0,T$4&lt;PerStart2,T$4&gt;PerSlut2),"",IF($BA12&lt;&gt;NotANumber,$H12,BM12))</f>
        <v>800</v>
      </c>
      <c r="U12" s="89" t="str">
        <f>IF(OR($C12=0,U$4&lt;PerStart2,U$4&gt;PerSlut2),"",IF($BA12&lt;&gt;NotANumber,$H12,BN12))</f>
        <v/>
      </c>
      <c r="V12" t="str">
        <f>IF(OR($C12=0,V$4&lt;PerStart2,V$4&gt;PerSlut2),"",IF($BA12&lt;&gt;NotANumber,$H12,BO12))</f>
        <v/>
      </c>
      <c r="W12" t="str">
        <f>IF(OR($C12=0,W$4&lt;PerStart2,W$4&gt;PerSlut2),"",IF($BA12&lt;&gt;NotANumber,$H12,BP12))</f>
        <v/>
      </c>
      <c r="X12" t="str">
        <f>IF(OR($C12=0,X$4&lt;PerStart2,X$4&gt;PerSlut2),"",IF($BA12&lt;&gt;NotANumber,$H12,BQ12))</f>
        <v/>
      </c>
      <c r="Y12" t="str">
        <f>IF(OR($C12=0,Y$4&lt;PerStart2,Y$4&gt;PerSlut2),"",IF($BA12&lt;&gt;NotANumber,$H12,BR12))</f>
        <v/>
      </c>
      <c r="Z12" t="str">
        <f>IF(OR($C12=0,Z$4&lt;PerStart2,Z$4&gt;PerSlut2),"",IF($BA12&lt;&gt;NotANumber,$H12,BS12))</f>
        <v/>
      </c>
      <c r="AA12" t="str">
        <f>IF(OR($C12=0,AA$4&lt;PerStart2,AA$4&gt;PerSlut2),"",IF($BA12&lt;&gt;NotANumber,$H12,BT12))</f>
        <v/>
      </c>
      <c r="AB12" t="str">
        <f>IF(OR($C12=0,AB$4&lt;PerStart2,AB$4&gt;PerSlut2),"",IF($BA12&lt;&gt;NotANumber,$H12,BU12))</f>
        <v/>
      </c>
      <c r="AC12" t="str">
        <f>IF(OR($C12=0,AC$4&lt;PerStart2,AC$4&gt;PerSlut2),"",IF($BA12&lt;&gt;NotANumber,$H12,BV12))</f>
        <v/>
      </c>
      <c r="AD12" t="str">
        <f>IF(OR($C12=0,AD$4&lt;PerStart2,AD$4&gt;PerSlut2),"",IF($BA12&lt;&gt;NotANumber,$H12,BW12))</f>
        <v/>
      </c>
      <c r="AE12" t="str">
        <f>IF(OR($C12=0,AE$4&lt;PerStart2,AE$4&gt;PerSlut2),"",IF($BA12&lt;&gt;NotANumber,$H12,BX12))</f>
        <v/>
      </c>
      <c r="AF12" t="str">
        <f>IF(OR($C12=0,AF$4&lt;PerStart2,AF$4&gt;PerSlut2),"",IF($BA12&lt;&gt;NotANumber,$H12,BY12))</f>
        <v/>
      </c>
      <c r="AG12" s="89" t="str">
        <f>IF(OR($C12=0,AG$4&lt;PerStart2,AG$4&gt;PerSlut2),"",IF($BA12&lt;&gt;NotANumber,$H12,BZ12))</f>
        <v/>
      </c>
      <c r="AH12" t="str">
        <f>IF(OR($C12=0,AH$4&lt;PerStart2,AH$4&gt;PerSlut2),"",IF($BA12&lt;&gt;NotANumber,$H12,CA12))</f>
        <v/>
      </c>
      <c r="AI12" t="str">
        <f>IF(OR($C12=0,AI$4&lt;PerStart2,AI$4&gt;PerSlut2),"",IF($BA12&lt;&gt;NotANumber,$H12,CB12))</f>
        <v/>
      </c>
      <c r="AJ12" t="str">
        <f>IF(OR($C12=0,AJ$4&lt;PerStart2,AJ$4&gt;PerSlut2),"",IF($BA12&lt;&gt;NotANumber,$H12,CC12))</f>
        <v/>
      </c>
      <c r="AK12" t="str">
        <f>IF(OR($C12=0,AK$4&lt;PerStart2,AK$4&gt;PerSlut2),"",IF($BA12&lt;&gt;NotANumber,$H12,CD12))</f>
        <v/>
      </c>
      <c r="AL12" t="str">
        <f>IF(OR($C12=0,AL$4&lt;PerStart2,AL$4&gt;PerSlut2),"",IF($BA12&lt;&gt;NotANumber,$H12,CE12))</f>
        <v/>
      </c>
      <c r="AM12" t="str">
        <f>IF(OR($C12=0,AM$4&lt;PerStart2,AM$4&gt;PerSlut2),"",IF($BA12&lt;&gt;NotANumber,$H12,CF12))</f>
        <v/>
      </c>
      <c r="AN12" t="str">
        <f>IF(OR($C12=0,AN$4&lt;PerStart2,AN$4&gt;PerSlut2),"",IF($BA12&lt;&gt;NotANumber,$H12,CG12))</f>
        <v/>
      </c>
      <c r="AO12" t="str">
        <f>IF(OR($C12=0,AO$4&lt;PerStart2,AO$4&gt;PerSlut2),"",IF($BA12&lt;&gt;NotANumber,$H12,CH12))</f>
        <v/>
      </c>
      <c r="AP12" t="str">
        <f>IF(OR($C12=0,AP$4&lt;PerStart2,AP$4&gt;PerSlut2),"",IF($BA12&lt;&gt;NotANumber,$H12,CI12))</f>
        <v/>
      </c>
      <c r="AQ12" t="str">
        <f>IF(OR($C12=0,AQ$4&lt;PerStart2,AQ$4&gt;PerSlut2),"",IF($BA12&lt;&gt;NotANumber,$H12,CJ12))</f>
        <v/>
      </c>
      <c r="AR12" t="str">
        <f>IF(OR($C12=0,AR$4&lt;PerStart2,AR$4&gt;PerSlut2),"",IF($BA12&lt;&gt;NotANumber,$H12,CK12))</f>
        <v/>
      </c>
      <c r="AT12" s="9" t="s">
        <v>160</v>
      </c>
      <c r="AU12" s="80">
        <v>1</v>
      </c>
      <c r="AV12" s="93">
        <v>4</v>
      </c>
      <c r="AW12" s="85">
        <v>1</v>
      </c>
      <c r="AX12" s="85">
        <v>4</v>
      </c>
      <c r="AY12" s="85">
        <v>14</v>
      </c>
      <c r="AZ12" s="85">
        <v>-1</v>
      </c>
      <c r="BA12" s="80">
        <v>800</v>
      </c>
      <c r="BB12">
        <v>10.500999999999999</v>
      </c>
      <c r="BC12">
        <v>10.500999999999999</v>
      </c>
      <c r="BD12">
        <v>10.500999999999999</v>
      </c>
      <c r="BE12">
        <v>10.500999999999999</v>
      </c>
      <c r="BF12">
        <v>10.500999999999999</v>
      </c>
      <c r="BG12">
        <v>10.500999999999999</v>
      </c>
      <c r="BH12">
        <v>10.500999999999999</v>
      </c>
      <c r="BI12">
        <v>10.500999999999999</v>
      </c>
      <c r="BJ12">
        <v>10.500999999999999</v>
      </c>
      <c r="BK12">
        <v>10.500999999999999</v>
      </c>
      <c r="BL12">
        <v>10.500999999999999</v>
      </c>
      <c r="BM12">
        <v>10.500999999999999</v>
      </c>
    </row>
    <row r="13" spans="2:89" x14ac:dyDescent="0.25">
      <c r="B13" s="93" t="str">
        <f t="shared" si="2"/>
        <v>screc8</v>
      </c>
      <c r="C13" s="93">
        <f t="shared" si="3"/>
        <v>1</v>
      </c>
      <c r="D13" s="85">
        <f t="shared" si="4"/>
        <v>1</v>
      </c>
      <c r="E13" s="5" t="str" cm="1">
        <f t="array" ref="E13">IF(AX13&lt;=0,"",INDEX(listRoot,AX13))</f>
        <v>Prognoses</v>
      </c>
      <c r="F13" s="5" t="str" cm="1">
        <f t="array" ref="F13">IF(AY13&lt;=0.000000000001,"",INDEX(Lister!$C$4:$H$100,AY13,$AX13))</f>
        <v>ETS</v>
      </c>
      <c r="G13" s="5" t="str" cm="1">
        <f t="array" ref="G13">IF(OR(AZ13=1,AZ13&lt;=0.000000000001),"",INDEX(Lister!$J$4:$O$100,AZ13,$AX13))</f>
        <v/>
      </c>
      <c r="H13" s="80">
        <f>IF(C13=0,"",IF(BA13=NotANumber,"",BA13))</f>
        <v>400</v>
      </c>
      <c r="I13">
        <f>IF(OR($C13=0,I$4&lt;PerStart2,I$4&gt;PerSlut2),"",IF($BA13&lt;&gt;NotANumber,$H13,BB13))</f>
        <v>400</v>
      </c>
      <c r="J13">
        <f>IF(OR($C13=0,J$4&lt;PerStart2,J$4&gt;PerSlut2),"",IF($BA13&lt;&gt;NotANumber,$H13,BC13))</f>
        <v>400</v>
      </c>
      <c r="K13">
        <f>IF(OR($C13=0,K$4&lt;PerStart2,K$4&gt;PerSlut2),"",IF($BA13&lt;&gt;NotANumber,$H13,BD13))</f>
        <v>400</v>
      </c>
      <c r="L13">
        <f>IF(OR($C13=0,L$4&lt;PerStart2,L$4&gt;PerSlut2),"",IF($BA13&lt;&gt;NotANumber,$H13,BE13))</f>
        <v>400</v>
      </c>
      <c r="M13">
        <f>IF(OR($C13=0,M$4&lt;PerStart2,M$4&gt;PerSlut2),"",IF($BA13&lt;&gt;NotANumber,$H13,BF13))</f>
        <v>400</v>
      </c>
      <c r="N13">
        <f>IF(OR($C13=0,N$4&lt;PerStart2,N$4&gt;PerSlut2),"",IF($BA13&lt;&gt;NotANumber,$H13,BG13))</f>
        <v>400</v>
      </c>
      <c r="O13">
        <f>IF(OR($C13=0,O$4&lt;PerStart2,O$4&gt;PerSlut2),"",IF($BA13&lt;&gt;NotANumber,$H13,BH13))</f>
        <v>400</v>
      </c>
      <c r="P13">
        <f>IF(OR($C13=0,P$4&lt;PerStart2,P$4&gt;PerSlut2),"",IF($BA13&lt;&gt;NotANumber,$H13,BI13))</f>
        <v>400</v>
      </c>
      <c r="Q13">
        <f>IF(OR($C13=0,Q$4&lt;PerStart2,Q$4&gt;PerSlut2),"",IF($BA13&lt;&gt;NotANumber,$H13,BJ13))</f>
        <v>400</v>
      </c>
      <c r="R13">
        <f>IF(OR($C13=0,R$4&lt;PerStart2,R$4&gt;PerSlut2),"",IF($BA13&lt;&gt;NotANumber,$H13,BK13))</f>
        <v>400</v>
      </c>
      <c r="S13">
        <f>IF(OR($C13=0,S$4&lt;PerStart2,S$4&gt;PerSlut2),"",IF($BA13&lt;&gt;NotANumber,$H13,BL13))</f>
        <v>400</v>
      </c>
      <c r="T13">
        <f>IF(OR($C13=0,T$4&lt;PerStart2,T$4&gt;PerSlut2),"",IF($BA13&lt;&gt;NotANumber,$H13,BM13))</f>
        <v>400</v>
      </c>
      <c r="U13" s="89" t="str">
        <f>IF(OR($C13=0,U$4&lt;PerStart2,U$4&gt;PerSlut2),"",IF($BA13&lt;&gt;NotANumber,$H13,BN13))</f>
        <v/>
      </c>
      <c r="V13" t="str">
        <f>IF(OR($C13=0,V$4&lt;PerStart2,V$4&gt;PerSlut2),"",IF($BA13&lt;&gt;NotANumber,$H13,BO13))</f>
        <v/>
      </c>
      <c r="W13" t="str">
        <f>IF(OR($C13=0,W$4&lt;PerStart2,W$4&gt;PerSlut2),"",IF($BA13&lt;&gt;NotANumber,$H13,BP13))</f>
        <v/>
      </c>
      <c r="X13" t="str">
        <f>IF(OR($C13=0,X$4&lt;PerStart2,X$4&gt;PerSlut2),"",IF($BA13&lt;&gt;NotANumber,$H13,BQ13))</f>
        <v/>
      </c>
      <c r="Y13" t="str">
        <f>IF(OR($C13=0,Y$4&lt;PerStart2,Y$4&gt;PerSlut2),"",IF($BA13&lt;&gt;NotANumber,$H13,BR13))</f>
        <v/>
      </c>
      <c r="Z13" t="str">
        <f>IF(OR($C13=0,Z$4&lt;PerStart2,Z$4&gt;PerSlut2),"",IF($BA13&lt;&gt;NotANumber,$H13,BS13))</f>
        <v/>
      </c>
      <c r="AA13" t="str">
        <f>IF(OR($C13=0,AA$4&lt;PerStart2,AA$4&gt;PerSlut2),"",IF($BA13&lt;&gt;NotANumber,$H13,BT13))</f>
        <v/>
      </c>
      <c r="AB13" t="str">
        <f>IF(OR($C13=0,AB$4&lt;PerStart2,AB$4&gt;PerSlut2),"",IF($BA13&lt;&gt;NotANumber,$H13,BU13))</f>
        <v/>
      </c>
      <c r="AC13" t="str">
        <f>IF(OR($C13=0,AC$4&lt;PerStart2,AC$4&gt;PerSlut2),"",IF($BA13&lt;&gt;NotANumber,$H13,BV13))</f>
        <v/>
      </c>
      <c r="AD13" t="str">
        <f>IF(OR($C13=0,AD$4&lt;PerStart2,AD$4&gt;PerSlut2),"",IF($BA13&lt;&gt;NotANumber,$H13,BW13))</f>
        <v/>
      </c>
      <c r="AE13" t="str">
        <f>IF(OR($C13=0,AE$4&lt;PerStart2,AE$4&gt;PerSlut2),"",IF($BA13&lt;&gt;NotANumber,$H13,BX13))</f>
        <v/>
      </c>
      <c r="AF13" t="str">
        <f>IF(OR($C13=0,AF$4&lt;PerStart2,AF$4&gt;PerSlut2),"",IF($BA13&lt;&gt;NotANumber,$H13,BY13))</f>
        <v/>
      </c>
      <c r="AG13" s="89" t="str">
        <f>IF(OR($C13=0,AG$4&lt;PerStart2,AG$4&gt;PerSlut2),"",IF($BA13&lt;&gt;NotANumber,$H13,BZ13))</f>
        <v/>
      </c>
      <c r="AH13" t="str">
        <f>IF(OR($C13=0,AH$4&lt;PerStart2,AH$4&gt;PerSlut2),"",IF($BA13&lt;&gt;NotANumber,$H13,CA13))</f>
        <v/>
      </c>
      <c r="AI13" t="str">
        <f>IF(OR($C13=0,AI$4&lt;PerStart2,AI$4&gt;PerSlut2),"",IF($BA13&lt;&gt;NotANumber,$H13,CB13))</f>
        <v/>
      </c>
      <c r="AJ13" t="str">
        <f>IF(OR($C13=0,AJ$4&lt;PerStart2,AJ$4&gt;PerSlut2),"",IF($BA13&lt;&gt;NotANumber,$H13,CC13))</f>
        <v/>
      </c>
      <c r="AK13" t="str">
        <f>IF(OR($C13=0,AK$4&lt;PerStart2,AK$4&gt;PerSlut2),"",IF($BA13&lt;&gt;NotANumber,$H13,CD13))</f>
        <v/>
      </c>
      <c r="AL13" t="str">
        <f>IF(OR($C13=0,AL$4&lt;PerStart2,AL$4&gt;PerSlut2),"",IF($BA13&lt;&gt;NotANumber,$H13,CE13))</f>
        <v/>
      </c>
      <c r="AM13" t="str">
        <f>IF(OR($C13=0,AM$4&lt;PerStart2,AM$4&gt;PerSlut2),"",IF($BA13&lt;&gt;NotANumber,$H13,CF13))</f>
        <v/>
      </c>
      <c r="AN13" t="str">
        <f>IF(OR($C13=0,AN$4&lt;PerStart2,AN$4&gt;PerSlut2),"",IF($BA13&lt;&gt;NotANumber,$H13,CG13))</f>
        <v/>
      </c>
      <c r="AO13" t="str">
        <f>IF(OR($C13=0,AO$4&lt;PerStart2,AO$4&gt;PerSlut2),"",IF($BA13&lt;&gt;NotANumber,$H13,CH13))</f>
        <v/>
      </c>
      <c r="AP13" t="str">
        <f>IF(OR($C13=0,AP$4&lt;PerStart2,AP$4&gt;PerSlut2),"",IF($BA13&lt;&gt;NotANumber,$H13,CI13))</f>
        <v/>
      </c>
      <c r="AQ13" t="str">
        <f>IF(OR($C13=0,AQ$4&lt;PerStart2,AQ$4&gt;PerSlut2),"",IF($BA13&lt;&gt;NotANumber,$H13,CJ13))</f>
        <v/>
      </c>
      <c r="AR13" t="str">
        <f>IF(OR($C13=0,AR$4&lt;PerStart2,AR$4&gt;PerSlut2),"",IF($BA13&lt;&gt;NotANumber,$H13,CK13))</f>
        <v/>
      </c>
      <c r="AT13" s="9" t="s">
        <v>161</v>
      </c>
      <c r="AU13" s="80">
        <v>1</v>
      </c>
      <c r="AV13" s="93">
        <v>4</v>
      </c>
      <c r="AW13" s="85">
        <v>1</v>
      </c>
      <c r="AX13" s="85">
        <v>4</v>
      </c>
      <c r="AY13" s="101">
        <v>15</v>
      </c>
      <c r="AZ13" s="101">
        <v>-1</v>
      </c>
      <c r="BA13" s="80">
        <v>400</v>
      </c>
      <c r="BB13">
        <v>401</v>
      </c>
      <c r="BC13">
        <v>401</v>
      </c>
      <c r="BD13">
        <v>401</v>
      </c>
      <c r="BE13">
        <v>401</v>
      </c>
      <c r="BF13">
        <v>401</v>
      </c>
      <c r="BG13">
        <v>401</v>
      </c>
      <c r="BH13">
        <v>401</v>
      </c>
      <c r="BI13">
        <v>401</v>
      </c>
      <c r="BJ13">
        <v>401</v>
      </c>
      <c r="BK13">
        <v>401</v>
      </c>
      <c r="BL13">
        <v>401</v>
      </c>
      <c r="BM13">
        <v>401</v>
      </c>
    </row>
    <row r="14" spans="2:89" x14ac:dyDescent="0.25">
      <c r="B14" s="93" t="str">
        <f t="shared" si="2"/>
        <v>screc9</v>
      </c>
      <c r="C14" s="93">
        <f t="shared" si="3"/>
        <v>1</v>
      </c>
      <c r="D14" s="85">
        <f t="shared" si="4"/>
        <v>1</v>
      </c>
      <c r="E14" s="5" t="str" cm="1">
        <f t="array" ref="E14">IF(AX14&lt;=0,"",INDEX(listRoot,AX14))</f>
        <v>Prognoses</v>
      </c>
      <c r="F14" s="5" t="str" cm="1">
        <f t="array" ref="F14">IF(AY14&lt;=0.000000000001,"",INDEX(Lister!$C$4:$H$100,AY14,$AX14))</f>
        <v>Elpris</v>
      </c>
      <c r="G14" s="5" t="str" cm="1">
        <f t="array" ref="G14">IF(OR(AZ14=1,AZ14&lt;=0.000000000001),"",INDEX(Lister!$J$4:$O$100,AZ14,$AX14))</f>
        <v/>
      </c>
      <c r="H14" s="80">
        <f>IF(C14=0,"",IF(BA14=NotANumber,"",BA14))</f>
        <v>1000</v>
      </c>
      <c r="I14">
        <f>IF(OR($C14=0,I$4&lt;PerStart2,I$4&gt;PerSlut2),"",IF($BA14&lt;&gt;NotANumber,$H14,BB14))</f>
        <v>1000</v>
      </c>
      <c r="J14">
        <f>IF(OR($C14=0,J$4&lt;PerStart2,J$4&gt;PerSlut2),"",IF($BA14&lt;&gt;NotANumber,$H14,BC14))</f>
        <v>1000</v>
      </c>
      <c r="K14">
        <f>IF(OR($C14=0,K$4&lt;PerStart2,K$4&gt;PerSlut2),"",IF($BA14&lt;&gt;NotANumber,$H14,BD14))</f>
        <v>1000</v>
      </c>
      <c r="L14">
        <f>IF(OR($C14=0,L$4&lt;PerStart2,L$4&gt;PerSlut2),"",IF($BA14&lt;&gt;NotANumber,$H14,BE14))</f>
        <v>1000</v>
      </c>
      <c r="M14">
        <f>IF(OR($C14=0,M$4&lt;PerStart2,M$4&gt;PerSlut2),"",IF($BA14&lt;&gt;NotANumber,$H14,BF14))</f>
        <v>1000</v>
      </c>
      <c r="N14">
        <f>IF(OR($C14=0,N$4&lt;PerStart2,N$4&gt;PerSlut2),"",IF($BA14&lt;&gt;NotANumber,$H14,BG14))</f>
        <v>1000</v>
      </c>
      <c r="O14">
        <f>IF(OR($C14=0,O$4&lt;PerStart2,O$4&gt;PerSlut2),"",IF($BA14&lt;&gt;NotANumber,$H14,BH14))</f>
        <v>1000</v>
      </c>
      <c r="P14">
        <f>IF(OR($C14=0,P$4&lt;PerStart2,P$4&gt;PerSlut2),"",IF($BA14&lt;&gt;NotANumber,$H14,BI14))</f>
        <v>1000</v>
      </c>
      <c r="Q14">
        <f>IF(OR($C14=0,Q$4&lt;PerStart2,Q$4&gt;PerSlut2),"",IF($BA14&lt;&gt;NotANumber,$H14,BJ14))</f>
        <v>1000</v>
      </c>
      <c r="R14">
        <f>IF(OR($C14=0,R$4&lt;PerStart2,R$4&gt;PerSlut2),"",IF($BA14&lt;&gt;NotANumber,$H14,BK14))</f>
        <v>1000</v>
      </c>
      <c r="S14">
        <f>IF(OR($C14=0,S$4&lt;PerStart2,S$4&gt;PerSlut2),"",IF($BA14&lt;&gt;NotANumber,$H14,BL14))</f>
        <v>1000</v>
      </c>
      <c r="T14">
        <f>IF(OR($C14=0,T$4&lt;PerStart2,T$4&gt;PerSlut2),"",IF($BA14&lt;&gt;NotANumber,$H14,BM14))</f>
        <v>1000</v>
      </c>
      <c r="U14" s="89" t="str">
        <f>IF(OR($C14=0,U$4&lt;PerStart2,U$4&gt;PerSlut2),"",IF($BA14&lt;&gt;NotANumber,$H14,BN14))</f>
        <v/>
      </c>
      <c r="V14" t="str">
        <f>IF(OR($C14=0,V$4&lt;PerStart2,V$4&gt;PerSlut2),"",IF($BA14&lt;&gt;NotANumber,$H14,BO14))</f>
        <v/>
      </c>
      <c r="W14" t="str">
        <f>IF(OR($C14=0,W$4&lt;PerStart2,W$4&gt;PerSlut2),"",IF($BA14&lt;&gt;NotANumber,$H14,BP14))</f>
        <v/>
      </c>
      <c r="X14" t="str">
        <f>IF(OR($C14=0,X$4&lt;PerStart2,X$4&gt;PerSlut2),"",IF($BA14&lt;&gt;NotANumber,$H14,BQ14))</f>
        <v/>
      </c>
      <c r="Y14" t="str">
        <f>IF(OR($C14=0,Y$4&lt;PerStart2,Y$4&gt;PerSlut2),"",IF($BA14&lt;&gt;NotANumber,$H14,BR14))</f>
        <v/>
      </c>
      <c r="Z14" t="str">
        <f>IF(OR($C14=0,Z$4&lt;PerStart2,Z$4&gt;PerSlut2),"",IF($BA14&lt;&gt;NotANumber,$H14,BS14))</f>
        <v/>
      </c>
      <c r="AA14" t="str">
        <f>IF(OR($C14=0,AA$4&lt;PerStart2,AA$4&gt;PerSlut2),"",IF($BA14&lt;&gt;NotANumber,$H14,BT14))</f>
        <v/>
      </c>
      <c r="AB14" t="str">
        <f>IF(OR($C14=0,AB$4&lt;PerStart2,AB$4&gt;PerSlut2),"",IF($BA14&lt;&gt;NotANumber,$H14,BU14))</f>
        <v/>
      </c>
      <c r="AC14" t="str">
        <f>IF(OR($C14=0,AC$4&lt;PerStart2,AC$4&gt;PerSlut2),"",IF($BA14&lt;&gt;NotANumber,$H14,BV14))</f>
        <v/>
      </c>
      <c r="AD14" t="str">
        <f>IF(OR($C14=0,AD$4&lt;PerStart2,AD$4&gt;PerSlut2),"",IF($BA14&lt;&gt;NotANumber,$H14,BW14))</f>
        <v/>
      </c>
      <c r="AE14" t="str">
        <f>IF(OR($C14=0,AE$4&lt;PerStart2,AE$4&gt;PerSlut2),"",IF($BA14&lt;&gt;NotANumber,$H14,BX14))</f>
        <v/>
      </c>
      <c r="AF14" t="str">
        <f>IF(OR($C14=0,AF$4&lt;PerStart2,AF$4&gt;PerSlut2),"",IF($BA14&lt;&gt;NotANumber,$H14,BY14))</f>
        <v/>
      </c>
      <c r="AG14" s="89" t="str">
        <f>IF(OR($C14=0,AG$4&lt;PerStart2,AG$4&gt;PerSlut2),"",IF($BA14&lt;&gt;NotANumber,$H14,BZ14))</f>
        <v/>
      </c>
      <c r="AH14" t="str">
        <f>IF(OR($C14=0,AH$4&lt;PerStart2,AH$4&gt;PerSlut2),"",IF($BA14&lt;&gt;NotANumber,$H14,CA14))</f>
        <v/>
      </c>
      <c r="AI14" t="str">
        <f>IF(OR($C14=0,AI$4&lt;PerStart2,AI$4&gt;PerSlut2),"",IF($BA14&lt;&gt;NotANumber,$H14,CB14))</f>
        <v/>
      </c>
      <c r="AJ14" t="str">
        <f>IF(OR($C14=0,AJ$4&lt;PerStart2,AJ$4&gt;PerSlut2),"",IF($BA14&lt;&gt;NotANumber,$H14,CC14))</f>
        <v/>
      </c>
      <c r="AK14" t="str">
        <f>IF(OR($C14=0,AK$4&lt;PerStart2,AK$4&gt;PerSlut2),"",IF($BA14&lt;&gt;NotANumber,$H14,CD14))</f>
        <v/>
      </c>
      <c r="AL14" t="str">
        <f>IF(OR($C14=0,AL$4&lt;PerStart2,AL$4&gt;PerSlut2),"",IF($BA14&lt;&gt;NotANumber,$H14,CE14))</f>
        <v/>
      </c>
      <c r="AM14" t="str">
        <f>IF(OR($C14=0,AM$4&lt;PerStart2,AM$4&gt;PerSlut2),"",IF($BA14&lt;&gt;NotANumber,$H14,CF14))</f>
        <v/>
      </c>
      <c r="AN14" t="str">
        <f>IF(OR($C14=0,AN$4&lt;PerStart2,AN$4&gt;PerSlut2),"",IF($BA14&lt;&gt;NotANumber,$H14,CG14))</f>
        <v/>
      </c>
      <c r="AO14" t="str">
        <f>IF(OR($C14=0,AO$4&lt;PerStart2,AO$4&gt;PerSlut2),"",IF($BA14&lt;&gt;NotANumber,$H14,CH14))</f>
        <v/>
      </c>
      <c r="AP14" t="str">
        <f>IF(OR($C14=0,AP$4&lt;PerStart2,AP$4&gt;PerSlut2),"",IF($BA14&lt;&gt;NotANumber,$H14,CI14))</f>
        <v/>
      </c>
      <c r="AQ14" t="str">
        <f>IF(OR($C14=0,AQ$4&lt;PerStart2,AQ$4&gt;PerSlut2),"",IF($BA14&lt;&gt;NotANumber,$H14,CJ14))</f>
        <v/>
      </c>
      <c r="AR14" t="str">
        <f>IF(OR($C14=0,AR$4&lt;PerStart2,AR$4&gt;PerSlut2),"",IF($BA14&lt;&gt;NotANumber,$H14,CK14))</f>
        <v/>
      </c>
      <c r="AT14" s="9" t="s">
        <v>162</v>
      </c>
      <c r="AU14" s="80">
        <v>1</v>
      </c>
      <c r="AV14" s="93">
        <v>5</v>
      </c>
      <c r="AW14" s="85">
        <v>1</v>
      </c>
      <c r="AX14" s="85">
        <v>4</v>
      </c>
      <c r="AY14" s="101">
        <v>14</v>
      </c>
      <c r="AZ14" s="101">
        <v>-1</v>
      </c>
      <c r="BA14" s="80">
        <v>1000</v>
      </c>
    </row>
    <row r="15" spans="2:89" x14ac:dyDescent="0.25">
      <c r="B15" s="93" t="str">
        <f t="shared" si="2"/>
        <v>screc10</v>
      </c>
      <c r="C15" s="93">
        <f t="shared" si="3"/>
        <v>1</v>
      </c>
      <c r="D15" s="85">
        <f t="shared" si="4"/>
        <v>1</v>
      </c>
      <c r="E15" s="5" t="str" cm="1">
        <f t="array" ref="E15">IF(AX15&lt;=0,"",INDEX(listRoot,AX15))</f>
        <v>Prognoses</v>
      </c>
      <c r="F15" s="5" t="str" cm="1">
        <f t="array" ref="F15">IF(AY15&lt;=0.000000000001,"",INDEX(Lister!$C$4:$H$100,AY15,$AX15))</f>
        <v>ETS</v>
      </c>
      <c r="G15" s="5" t="str" cm="1">
        <f t="array" ref="G15">IF(OR(AZ15=1,AZ15&lt;=0.000000000001),"",INDEX(Lister!$J$4:$O$100,AZ15,$AX15))</f>
        <v/>
      </c>
      <c r="H15" s="80">
        <f>IF(C15=0,"",IF(BA15=NotANumber,"",BA15))</f>
        <v>400</v>
      </c>
      <c r="I15">
        <f>IF(OR($C15=0,I$4&lt;PerStart2,I$4&gt;PerSlut2),"",IF($BA15&lt;&gt;NotANumber,$H15,BB15))</f>
        <v>400</v>
      </c>
      <c r="J15">
        <f>IF(OR($C15=0,J$4&lt;PerStart2,J$4&gt;PerSlut2),"",IF($BA15&lt;&gt;NotANumber,$H15,BC15))</f>
        <v>400</v>
      </c>
      <c r="K15">
        <f>IF(OR($C15=0,K$4&lt;PerStart2,K$4&gt;PerSlut2),"",IF($BA15&lt;&gt;NotANumber,$H15,BD15))</f>
        <v>400</v>
      </c>
      <c r="L15">
        <f>IF(OR($C15=0,L$4&lt;PerStart2,L$4&gt;PerSlut2),"",IF($BA15&lt;&gt;NotANumber,$H15,BE15))</f>
        <v>400</v>
      </c>
      <c r="M15">
        <f>IF(OR($C15=0,M$4&lt;PerStart2,M$4&gt;PerSlut2),"",IF($BA15&lt;&gt;NotANumber,$H15,BF15))</f>
        <v>400</v>
      </c>
      <c r="N15">
        <f>IF(OR($C15=0,N$4&lt;PerStart2,N$4&gt;PerSlut2),"",IF($BA15&lt;&gt;NotANumber,$H15,BG15))</f>
        <v>400</v>
      </c>
      <c r="O15">
        <f>IF(OR($C15=0,O$4&lt;PerStart2,O$4&gt;PerSlut2),"",IF($BA15&lt;&gt;NotANumber,$H15,BH15))</f>
        <v>400</v>
      </c>
      <c r="P15">
        <f>IF(OR($C15=0,P$4&lt;PerStart2,P$4&gt;PerSlut2),"",IF($BA15&lt;&gt;NotANumber,$H15,BI15))</f>
        <v>400</v>
      </c>
      <c r="Q15">
        <f>IF(OR($C15=0,Q$4&lt;PerStart2,Q$4&gt;PerSlut2),"",IF($BA15&lt;&gt;NotANumber,$H15,BJ15))</f>
        <v>400</v>
      </c>
      <c r="R15">
        <f>IF(OR($C15=0,R$4&lt;PerStart2,R$4&gt;PerSlut2),"",IF($BA15&lt;&gt;NotANumber,$H15,BK15))</f>
        <v>400</v>
      </c>
      <c r="S15">
        <f>IF(OR($C15=0,S$4&lt;PerStart2,S$4&gt;PerSlut2),"",IF($BA15&lt;&gt;NotANumber,$H15,BL15))</f>
        <v>400</v>
      </c>
      <c r="T15">
        <f>IF(OR($C15=0,T$4&lt;PerStart2,T$4&gt;PerSlut2),"",IF($BA15&lt;&gt;NotANumber,$H15,BM15))</f>
        <v>400</v>
      </c>
      <c r="U15" s="89" t="str">
        <f>IF(OR($C15=0,U$4&lt;PerStart2,U$4&gt;PerSlut2),"",IF($BA15&lt;&gt;NotANumber,$H15,BN15))</f>
        <v/>
      </c>
      <c r="V15" t="str">
        <f>IF(OR($C15=0,V$4&lt;PerStart2,V$4&gt;PerSlut2),"",IF($BA15&lt;&gt;NotANumber,$H15,BO15))</f>
        <v/>
      </c>
      <c r="W15" t="str">
        <f>IF(OR($C15=0,W$4&lt;PerStart2,W$4&gt;PerSlut2),"",IF($BA15&lt;&gt;NotANumber,$H15,BP15))</f>
        <v/>
      </c>
      <c r="X15" t="str">
        <f>IF(OR($C15=0,X$4&lt;PerStart2,X$4&gt;PerSlut2),"",IF($BA15&lt;&gt;NotANumber,$H15,BQ15))</f>
        <v/>
      </c>
      <c r="Y15" t="str">
        <f>IF(OR($C15=0,Y$4&lt;PerStart2,Y$4&gt;PerSlut2),"",IF($BA15&lt;&gt;NotANumber,$H15,BR15))</f>
        <v/>
      </c>
      <c r="Z15" t="str">
        <f>IF(OR($C15=0,Z$4&lt;PerStart2,Z$4&gt;PerSlut2),"",IF($BA15&lt;&gt;NotANumber,$H15,BS15))</f>
        <v/>
      </c>
      <c r="AA15" t="str">
        <f>IF(OR($C15=0,AA$4&lt;PerStart2,AA$4&gt;PerSlut2),"",IF($BA15&lt;&gt;NotANumber,$H15,BT15))</f>
        <v/>
      </c>
      <c r="AB15" t="str">
        <f>IF(OR($C15=0,AB$4&lt;PerStart2,AB$4&gt;PerSlut2),"",IF($BA15&lt;&gt;NotANumber,$H15,BU15))</f>
        <v/>
      </c>
      <c r="AC15" t="str">
        <f>IF(OR($C15=0,AC$4&lt;PerStart2,AC$4&gt;PerSlut2),"",IF($BA15&lt;&gt;NotANumber,$H15,BV15))</f>
        <v/>
      </c>
      <c r="AD15" t="str">
        <f>IF(OR($C15=0,AD$4&lt;PerStart2,AD$4&gt;PerSlut2),"",IF($BA15&lt;&gt;NotANumber,$H15,BW15))</f>
        <v/>
      </c>
      <c r="AE15" t="str">
        <f>IF(OR($C15=0,AE$4&lt;PerStart2,AE$4&gt;PerSlut2),"",IF($BA15&lt;&gt;NotANumber,$H15,BX15))</f>
        <v/>
      </c>
      <c r="AF15" t="str">
        <f>IF(OR($C15=0,AF$4&lt;PerStart2,AF$4&gt;PerSlut2),"",IF($BA15&lt;&gt;NotANumber,$H15,BY15))</f>
        <v/>
      </c>
      <c r="AG15" s="89" t="str">
        <f>IF(OR($C15=0,AG$4&lt;PerStart2,AG$4&gt;PerSlut2),"",IF($BA15&lt;&gt;NotANumber,$H15,BZ15))</f>
        <v/>
      </c>
      <c r="AH15" t="str">
        <f>IF(OR($C15=0,AH$4&lt;PerStart2,AH$4&gt;PerSlut2),"",IF($BA15&lt;&gt;NotANumber,$H15,CA15))</f>
        <v/>
      </c>
      <c r="AI15" t="str">
        <f>IF(OR($C15=0,AI$4&lt;PerStart2,AI$4&gt;PerSlut2),"",IF($BA15&lt;&gt;NotANumber,$H15,CB15))</f>
        <v/>
      </c>
      <c r="AJ15" t="str">
        <f>IF(OR($C15=0,AJ$4&lt;PerStart2,AJ$4&gt;PerSlut2),"",IF($BA15&lt;&gt;NotANumber,$H15,CC15))</f>
        <v/>
      </c>
      <c r="AK15" t="str">
        <f>IF(OR($C15=0,AK$4&lt;PerStart2,AK$4&gt;PerSlut2),"",IF($BA15&lt;&gt;NotANumber,$H15,CD15))</f>
        <v/>
      </c>
      <c r="AL15" t="str">
        <f>IF(OR($C15=0,AL$4&lt;PerStart2,AL$4&gt;PerSlut2),"",IF($BA15&lt;&gt;NotANumber,$H15,CE15))</f>
        <v/>
      </c>
      <c r="AM15" t="str">
        <f>IF(OR($C15=0,AM$4&lt;PerStart2,AM$4&gt;PerSlut2),"",IF($BA15&lt;&gt;NotANumber,$H15,CF15))</f>
        <v/>
      </c>
      <c r="AN15" t="str">
        <f>IF(OR($C15=0,AN$4&lt;PerStart2,AN$4&gt;PerSlut2),"",IF($BA15&lt;&gt;NotANumber,$H15,CG15))</f>
        <v/>
      </c>
      <c r="AO15" t="str">
        <f>IF(OR($C15=0,AO$4&lt;PerStart2,AO$4&gt;PerSlut2),"",IF($BA15&lt;&gt;NotANumber,$H15,CH15))</f>
        <v/>
      </c>
      <c r="AP15" t="str">
        <f>IF(OR($C15=0,AP$4&lt;PerStart2,AP$4&gt;PerSlut2),"",IF($BA15&lt;&gt;NotANumber,$H15,CI15))</f>
        <v/>
      </c>
      <c r="AQ15" t="str">
        <f>IF(OR($C15=0,AQ$4&lt;PerStart2,AQ$4&gt;PerSlut2),"",IF($BA15&lt;&gt;NotANumber,$H15,CJ15))</f>
        <v/>
      </c>
      <c r="AR15" t="str">
        <f>IF(OR($C15=0,AR$4&lt;PerStart2,AR$4&gt;PerSlut2),"",IF($BA15&lt;&gt;NotANumber,$H15,CK15))</f>
        <v/>
      </c>
      <c r="AT15" s="9" t="s">
        <v>163</v>
      </c>
      <c r="AU15" s="80">
        <v>1</v>
      </c>
      <c r="AV15" s="93">
        <v>5</v>
      </c>
      <c r="AW15" s="85">
        <v>1</v>
      </c>
      <c r="AX15" s="85">
        <v>4</v>
      </c>
      <c r="AY15" s="101">
        <v>15</v>
      </c>
      <c r="AZ15" s="101">
        <v>-1</v>
      </c>
      <c r="BA15" s="80">
        <v>400</v>
      </c>
    </row>
    <row r="16" spans="2:89" x14ac:dyDescent="0.25">
      <c r="B16" s="93" t="str">
        <f t="shared" si="2"/>
        <v>screc11</v>
      </c>
      <c r="C16" s="93">
        <f t="shared" si="3"/>
        <v>1</v>
      </c>
      <c r="D16" s="80">
        <f t="shared" si="4"/>
        <v>1</v>
      </c>
      <c r="E16" s="5" t="str" cm="1">
        <f t="array" ref="E16">IF(AX16&lt;=0,"",INDEX(listRoot,AX16))</f>
        <v>Prognoses</v>
      </c>
      <c r="F16" s="5" t="str" cm="1">
        <f t="array" ref="F16">IF(AY16&lt;=0.000000000001,"",INDEX(Lister!$C$4:$H$100,AY16,$AX16))</f>
        <v>Elpris</v>
      </c>
      <c r="G16" s="5" t="str" cm="1">
        <f t="array" ref="G16">IF(OR(AZ16=1,AZ16&lt;=0.000000000001),"",INDEX(Lister!$J$4:$O$100,AZ16,$AX16))</f>
        <v/>
      </c>
      <c r="H16" s="80">
        <f>IF(C16=0,"",IF(BA16=NotANumber,"",BA16))</f>
        <v>200</v>
      </c>
      <c r="I16">
        <f>IF(OR($C16=0,I$4&lt;PerStart2,I$4&gt;PerSlut2),"",IF($BA16&lt;&gt;NotANumber,$H16,BB16))</f>
        <v>200</v>
      </c>
      <c r="J16">
        <f>IF(OR($C16=0,J$4&lt;PerStart2,J$4&gt;PerSlut2),"",IF($BA16&lt;&gt;NotANumber,$H16,BC16))</f>
        <v>200</v>
      </c>
      <c r="K16">
        <f>IF(OR($C16=0,K$4&lt;PerStart2,K$4&gt;PerSlut2),"",IF($BA16&lt;&gt;NotANumber,$H16,BD16))</f>
        <v>200</v>
      </c>
      <c r="L16">
        <f>IF(OR($C16=0,L$4&lt;PerStart2,L$4&gt;PerSlut2),"",IF($BA16&lt;&gt;NotANumber,$H16,BE16))</f>
        <v>200</v>
      </c>
      <c r="M16">
        <f>IF(OR($C16=0,M$4&lt;PerStart2,M$4&gt;PerSlut2),"",IF($BA16&lt;&gt;NotANumber,$H16,BF16))</f>
        <v>200</v>
      </c>
      <c r="N16">
        <f>IF(OR($C16=0,N$4&lt;PerStart2,N$4&gt;PerSlut2),"",IF($BA16&lt;&gt;NotANumber,$H16,BG16))</f>
        <v>200</v>
      </c>
      <c r="O16">
        <f>IF(OR($C16=0,O$4&lt;PerStart2,O$4&gt;PerSlut2),"",IF($BA16&lt;&gt;NotANumber,$H16,BH16))</f>
        <v>200</v>
      </c>
      <c r="P16">
        <f>IF(OR($C16=0,P$4&lt;PerStart2,P$4&gt;PerSlut2),"",IF($BA16&lt;&gt;NotANumber,$H16,BI16))</f>
        <v>200</v>
      </c>
      <c r="Q16">
        <f>IF(OR($C16=0,Q$4&lt;PerStart2,Q$4&gt;PerSlut2),"",IF($BA16&lt;&gt;NotANumber,$H16,BJ16))</f>
        <v>200</v>
      </c>
      <c r="R16">
        <f>IF(OR($C16=0,R$4&lt;PerStart2,R$4&gt;PerSlut2),"",IF($BA16&lt;&gt;NotANumber,$H16,BK16))</f>
        <v>200</v>
      </c>
      <c r="S16">
        <f>IF(OR($C16=0,S$4&lt;PerStart2,S$4&gt;PerSlut2),"",IF($BA16&lt;&gt;NotANumber,$H16,BL16))</f>
        <v>200</v>
      </c>
      <c r="T16">
        <f>IF(OR($C16=0,T$4&lt;PerStart2,T$4&gt;PerSlut2),"",IF($BA16&lt;&gt;NotANumber,$H16,BM16))</f>
        <v>200</v>
      </c>
      <c r="U16" s="89" t="str">
        <f>IF(OR($C16=0,U$4&lt;PerStart2,U$4&gt;PerSlut2),"",IF($BA16&lt;&gt;NotANumber,$H16,BN16))</f>
        <v/>
      </c>
      <c r="V16" t="str">
        <f>IF(OR($C16=0,V$4&lt;PerStart2,V$4&gt;PerSlut2),"",IF($BA16&lt;&gt;NotANumber,$H16,BO16))</f>
        <v/>
      </c>
      <c r="W16" t="str">
        <f>IF(OR($C16=0,W$4&lt;PerStart2,W$4&gt;PerSlut2),"",IF($BA16&lt;&gt;NotANumber,$H16,BP16))</f>
        <v/>
      </c>
      <c r="X16" t="str">
        <f>IF(OR($C16=0,X$4&lt;PerStart2,X$4&gt;PerSlut2),"",IF($BA16&lt;&gt;NotANumber,$H16,BQ16))</f>
        <v/>
      </c>
      <c r="Y16" t="str">
        <f>IF(OR($C16=0,Y$4&lt;PerStart2,Y$4&gt;PerSlut2),"",IF($BA16&lt;&gt;NotANumber,$H16,BR16))</f>
        <v/>
      </c>
      <c r="Z16" t="str">
        <f>IF(OR($C16=0,Z$4&lt;PerStart2,Z$4&gt;PerSlut2),"",IF($BA16&lt;&gt;NotANumber,$H16,BS16))</f>
        <v/>
      </c>
      <c r="AA16" t="str">
        <f>IF(OR($C16=0,AA$4&lt;PerStart2,AA$4&gt;PerSlut2),"",IF($BA16&lt;&gt;NotANumber,$H16,BT16))</f>
        <v/>
      </c>
      <c r="AB16" t="str">
        <f>IF(OR($C16=0,AB$4&lt;PerStart2,AB$4&gt;PerSlut2),"",IF($BA16&lt;&gt;NotANumber,$H16,BU16))</f>
        <v/>
      </c>
      <c r="AC16" t="str">
        <f>IF(OR($C16=0,AC$4&lt;PerStart2,AC$4&gt;PerSlut2),"",IF($BA16&lt;&gt;NotANumber,$H16,BV16))</f>
        <v/>
      </c>
      <c r="AD16" t="str">
        <f>IF(OR($C16=0,AD$4&lt;PerStart2,AD$4&gt;PerSlut2),"",IF($BA16&lt;&gt;NotANumber,$H16,BW16))</f>
        <v/>
      </c>
      <c r="AE16" t="str">
        <f>IF(OR($C16=0,AE$4&lt;PerStart2,AE$4&gt;PerSlut2),"",IF($BA16&lt;&gt;NotANumber,$H16,BX16))</f>
        <v/>
      </c>
      <c r="AF16" t="str">
        <f>IF(OR($C16=0,AF$4&lt;PerStart2,AF$4&gt;PerSlut2),"",IF($BA16&lt;&gt;NotANumber,$H16,BY16))</f>
        <v/>
      </c>
      <c r="AG16" s="89" t="str">
        <f>IF(OR($C16=0,AG$4&lt;PerStart2,AG$4&gt;PerSlut2),"",IF($BA16&lt;&gt;NotANumber,$H16,BZ16))</f>
        <v/>
      </c>
      <c r="AH16" t="str">
        <f>IF(OR($C16=0,AH$4&lt;PerStart2,AH$4&gt;PerSlut2),"",IF($BA16&lt;&gt;NotANumber,$H16,CA16))</f>
        <v/>
      </c>
      <c r="AI16" t="str">
        <f>IF(OR($C16=0,AI$4&lt;PerStart2,AI$4&gt;PerSlut2),"",IF($BA16&lt;&gt;NotANumber,$H16,CB16))</f>
        <v/>
      </c>
      <c r="AJ16" t="str">
        <f>IF(OR($C16=0,AJ$4&lt;PerStart2,AJ$4&gt;PerSlut2),"",IF($BA16&lt;&gt;NotANumber,$H16,CC16))</f>
        <v/>
      </c>
      <c r="AK16" t="str">
        <f>IF(OR($C16=0,AK$4&lt;PerStart2,AK$4&gt;PerSlut2),"",IF($BA16&lt;&gt;NotANumber,$H16,CD16))</f>
        <v/>
      </c>
      <c r="AL16" t="str">
        <f>IF(OR($C16=0,AL$4&lt;PerStart2,AL$4&gt;PerSlut2),"",IF($BA16&lt;&gt;NotANumber,$H16,CE16))</f>
        <v/>
      </c>
      <c r="AM16" t="str">
        <f>IF(OR($C16=0,AM$4&lt;PerStart2,AM$4&gt;PerSlut2),"",IF($BA16&lt;&gt;NotANumber,$H16,CF16))</f>
        <v/>
      </c>
      <c r="AN16" t="str">
        <f>IF(OR($C16=0,AN$4&lt;PerStart2,AN$4&gt;PerSlut2),"",IF($BA16&lt;&gt;NotANumber,$H16,CG16))</f>
        <v/>
      </c>
      <c r="AO16" t="str">
        <f>IF(OR($C16=0,AO$4&lt;PerStart2,AO$4&gt;PerSlut2),"",IF($BA16&lt;&gt;NotANumber,$H16,CH16))</f>
        <v/>
      </c>
      <c r="AP16" t="str">
        <f>IF(OR($C16=0,AP$4&lt;PerStart2,AP$4&gt;PerSlut2),"",IF($BA16&lt;&gt;NotANumber,$H16,CI16))</f>
        <v/>
      </c>
      <c r="AQ16" t="str">
        <f>IF(OR($C16=0,AQ$4&lt;PerStart2,AQ$4&gt;PerSlut2),"",IF($BA16&lt;&gt;NotANumber,$H16,CJ16))</f>
        <v/>
      </c>
      <c r="AR16" t="str">
        <f>IF(OR($C16=0,AR$4&lt;PerStart2,AR$4&gt;PerSlut2),"",IF($BA16&lt;&gt;NotANumber,$H16,CK16))</f>
        <v/>
      </c>
      <c r="AT16" s="9" t="s">
        <v>178</v>
      </c>
      <c r="AU16" s="80">
        <v>1</v>
      </c>
      <c r="AV16" s="93">
        <v>6</v>
      </c>
      <c r="AW16" s="80">
        <v>1</v>
      </c>
      <c r="AX16" s="80">
        <v>4</v>
      </c>
      <c r="AY16" s="102">
        <v>14</v>
      </c>
      <c r="AZ16" s="102">
        <v>-1</v>
      </c>
      <c r="BA16" s="80">
        <v>200</v>
      </c>
    </row>
    <row r="17" spans="2:53" x14ac:dyDescent="0.25">
      <c r="B17" s="93" t="str">
        <f t="shared" si="2"/>
        <v>screc12</v>
      </c>
      <c r="C17" s="93">
        <f t="shared" si="3"/>
        <v>1</v>
      </c>
      <c r="D17" s="80">
        <f t="shared" si="4"/>
        <v>1</v>
      </c>
      <c r="E17" s="5" t="str" cm="1">
        <f t="array" ref="E17">IF(AX17&lt;=0,"",INDEX(listRoot,AX17))</f>
        <v>Prognoses</v>
      </c>
      <c r="F17" s="5" t="str" cm="1">
        <f t="array" ref="F17">IF(AY17&lt;=0.000000000001,"",INDEX(Lister!$C$4:$H$100,AY17,$AX17))</f>
        <v>ETS</v>
      </c>
      <c r="G17" s="5" t="str" cm="1">
        <f t="array" ref="G17">IF(OR(AZ17=1,AZ17&lt;=0.000000000001),"",INDEX(Lister!$J$4:$O$100,AZ17,$AX17))</f>
        <v/>
      </c>
      <c r="H17" s="80">
        <f>IF(C17=0,"",IF(BA17=NotANumber,"",BA17))</f>
        <v>800</v>
      </c>
      <c r="I17">
        <f>IF(OR($C17=0,I$4&lt;PerStart2,I$4&gt;PerSlut2),"",IF($BA17&lt;&gt;NotANumber,$H17,BB17))</f>
        <v>800</v>
      </c>
      <c r="J17">
        <f>IF(OR($C17=0,J$4&lt;PerStart2,J$4&gt;PerSlut2),"",IF($BA17&lt;&gt;NotANumber,$H17,BC17))</f>
        <v>800</v>
      </c>
      <c r="K17">
        <f>IF(OR($C17=0,K$4&lt;PerStart2,K$4&gt;PerSlut2),"",IF($BA17&lt;&gt;NotANumber,$H17,BD17))</f>
        <v>800</v>
      </c>
      <c r="L17">
        <f>IF(OR($C17=0,L$4&lt;PerStart2,L$4&gt;PerSlut2),"",IF($BA17&lt;&gt;NotANumber,$H17,BE17))</f>
        <v>800</v>
      </c>
      <c r="M17">
        <f>IF(OR($C17=0,M$4&lt;PerStart2,M$4&gt;PerSlut2),"",IF($BA17&lt;&gt;NotANumber,$H17,BF17))</f>
        <v>800</v>
      </c>
      <c r="N17">
        <f>IF(OR($C17=0,N$4&lt;PerStart2,N$4&gt;PerSlut2),"",IF($BA17&lt;&gt;NotANumber,$H17,BG17))</f>
        <v>800</v>
      </c>
      <c r="O17">
        <f>IF(OR($C17=0,O$4&lt;PerStart2,O$4&gt;PerSlut2),"",IF($BA17&lt;&gt;NotANumber,$H17,BH17))</f>
        <v>800</v>
      </c>
      <c r="P17">
        <f>IF(OR($C17=0,P$4&lt;PerStart2,P$4&gt;PerSlut2),"",IF($BA17&lt;&gt;NotANumber,$H17,BI17))</f>
        <v>800</v>
      </c>
      <c r="Q17">
        <f>IF(OR($C17=0,Q$4&lt;PerStart2,Q$4&gt;PerSlut2),"",IF($BA17&lt;&gt;NotANumber,$H17,BJ17))</f>
        <v>800</v>
      </c>
      <c r="R17">
        <f>IF(OR($C17=0,R$4&lt;PerStart2,R$4&gt;PerSlut2),"",IF($BA17&lt;&gt;NotANumber,$H17,BK17))</f>
        <v>800</v>
      </c>
      <c r="S17">
        <f>IF(OR($C17=0,S$4&lt;PerStart2,S$4&gt;PerSlut2),"",IF($BA17&lt;&gt;NotANumber,$H17,BL17))</f>
        <v>800</v>
      </c>
      <c r="T17">
        <f>IF(OR($C17=0,T$4&lt;PerStart2,T$4&gt;PerSlut2),"",IF($BA17&lt;&gt;NotANumber,$H17,BM17))</f>
        <v>800</v>
      </c>
      <c r="U17" s="89" t="str">
        <f>IF(OR($C17=0,U$4&lt;PerStart2,U$4&gt;PerSlut2),"",IF($BA17&lt;&gt;NotANumber,$H17,BN17))</f>
        <v/>
      </c>
      <c r="V17" t="str">
        <f>IF(OR($C17=0,V$4&lt;PerStart2,V$4&gt;PerSlut2),"",IF($BA17&lt;&gt;NotANumber,$H17,BO17))</f>
        <v/>
      </c>
      <c r="W17" t="str">
        <f>IF(OR($C17=0,W$4&lt;PerStart2,W$4&gt;PerSlut2),"",IF($BA17&lt;&gt;NotANumber,$H17,BP17))</f>
        <v/>
      </c>
      <c r="X17" t="str">
        <f>IF(OR($C17=0,X$4&lt;PerStart2,X$4&gt;PerSlut2),"",IF($BA17&lt;&gt;NotANumber,$H17,BQ17))</f>
        <v/>
      </c>
      <c r="Y17" t="str">
        <f>IF(OR($C17=0,Y$4&lt;PerStart2,Y$4&gt;PerSlut2),"",IF($BA17&lt;&gt;NotANumber,$H17,BR17))</f>
        <v/>
      </c>
      <c r="Z17" t="str">
        <f>IF(OR($C17=0,Z$4&lt;PerStart2,Z$4&gt;PerSlut2),"",IF($BA17&lt;&gt;NotANumber,$H17,BS17))</f>
        <v/>
      </c>
      <c r="AA17" t="str">
        <f>IF(OR($C17=0,AA$4&lt;PerStart2,AA$4&gt;PerSlut2),"",IF($BA17&lt;&gt;NotANumber,$H17,BT17))</f>
        <v/>
      </c>
      <c r="AB17" t="str">
        <f>IF(OR($C17=0,AB$4&lt;PerStart2,AB$4&gt;PerSlut2),"",IF($BA17&lt;&gt;NotANumber,$H17,BU17))</f>
        <v/>
      </c>
      <c r="AC17" t="str">
        <f>IF(OR($C17=0,AC$4&lt;PerStart2,AC$4&gt;PerSlut2),"",IF($BA17&lt;&gt;NotANumber,$H17,BV17))</f>
        <v/>
      </c>
      <c r="AD17" t="str">
        <f>IF(OR($C17=0,AD$4&lt;PerStart2,AD$4&gt;PerSlut2),"",IF($BA17&lt;&gt;NotANumber,$H17,BW17))</f>
        <v/>
      </c>
      <c r="AE17" t="str">
        <f>IF(OR($C17=0,AE$4&lt;PerStart2,AE$4&gt;PerSlut2),"",IF($BA17&lt;&gt;NotANumber,$H17,BX17))</f>
        <v/>
      </c>
      <c r="AF17" t="str">
        <f>IF(OR($C17=0,AF$4&lt;PerStart2,AF$4&gt;PerSlut2),"",IF($BA17&lt;&gt;NotANumber,$H17,BY17))</f>
        <v/>
      </c>
      <c r="AG17" s="89" t="str">
        <f>IF(OR($C17=0,AG$4&lt;PerStart2,AG$4&gt;PerSlut2),"",IF($BA17&lt;&gt;NotANumber,$H17,BZ17))</f>
        <v/>
      </c>
      <c r="AH17" t="str">
        <f>IF(OR($C17=0,AH$4&lt;PerStart2,AH$4&gt;PerSlut2),"",IF($BA17&lt;&gt;NotANumber,$H17,CA17))</f>
        <v/>
      </c>
      <c r="AI17" t="str">
        <f>IF(OR($C17=0,AI$4&lt;PerStart2,AI$4&gt;PerSlut2),"",IF($BA17&lt;&gt;NotANumber,$H17,CB17))</f>
        <v/>
      </c>
      <c r="AJ17" t="str">
        <f>IF(OR($C17=0,AJ$4&lt;PerStart2,AJ$4&gt;PerSlut2),"",IF($BA17&lt;&gt;NotANumber,$H17,CC17))</f>
        <v/>
      </c>
      <c r="AK17" t="str">
        <f>IF(OR($C17=0,AK$4&lt;PerStart2,AK$4&gt;PerSlut2),"",IF($BA17&lt;&gt;NotANumber,$H17,CD17))</f>
        <v/>
      </c>
      <c r="AL17" t="str">
        <f>IF(OR($C17=0,AL$4&lt;PerStart2,AL$4&gt;PerSlut2),"",IF($BA17&lt;&gt;NotANumber,$H17,CE17))</f>
        <v/>
      </c>
      <c r="AM17" t="str">
        <f>IF(OR($C17=0,AM$4&lt;PerStart2,AM$4&gt;PerSlut2),"",IF($BA17&lt;&gt;NotANumber,$H17,CF17))</f>
        <v/>
      </c>
      <c r="AN17" t="str">
        <f>IF(OR($C17=0,AN$4&lt;PerStart2,AN$4&gt;PerSlut2),"",IF($BA17&lt;&gt;NotANumber,$H17,CG17))</f>
        <v/>
      </c>
      <c r="AO17" t="str">
        <f>IF(OR($C17=0,AO$4&lt;PerStart2,AO$4&gt;PerSlut2),"",IF($BA17&lt;&gt;NotANumber,$H17,CH17))</f>
        <v/>
      </c>
      <c r="AP17" t="str">
        <f>IF(OR($C17=0,AP$4&lt;PerStart2,AP$4&gt;PerSlut2),"",IF($BA17&lt;&gt;NotANumber,$H17,CI17))</f>
        <v/>
      </c>
      <c r="AQ17" t="str">
        <f>IF(OR($C17=0,AQ$4&lt;PerStart2,AQ$4&gt;PerSlut2),"",IF($BA17&lt;&gt;NotANumber,$H17,CJ17))</f>
        <v/>
      </c>
      <c r="AR17" t="str">
        <f>IF(OR($C17=0,AR$4&lt;PerStart2,AR$4&gt;PerSlut2),"",IF($BA17&lt;&gt;NotANumber,$H17,CK17))</f>
        <v/>
      </c>
      <c r="AT17" s="9" t="s">
        <v>179</v>
      </c>
      <c r="AU17" s="80">
        <v>1</v>
      </c>
      <c r="AV17" s="93">
        <v>6</v>
      </c>
      <c r="AW17" s="80">
        <v>1</v>
      </c>
      <c r="AX17" s="80">
        <v>4</v>
      </c>
      <c r="AY17" s="102">
        <v>15</v>
      </c>
      <c r="AZ17" s="102">
        <v>-1</v>
      </c>
      <c r="BA17" s="80">
        <v>800</v>
      </c>
    </row>
    <row r="18" spans="2:53" x14ac:dyDescent="0.25">
      <c r="B18" s="93" t="str">
        <f t="shared" si="2"/>
        <v>screc13</v>
      </c>
      <c r="C18" s="93">
        <f t="shared" si="3"/>
        <v>1</v>
      </c>
      <c r="D18" s="80">
        <f t="shared" si="4"/>
        <v>1</v>
      </c>
      <c r="E18" s="5" t="str" cm="1">
        <f t="array" ref="E18">IF(AX18&lt;=0,"",INDEX(listRoot,AX18))</f>
        <v>Prognoses</v>
      </c>
      <c r="F18" s="5" t="str" cm="1">
        <f t="array" ref="F18">IF(AY18&lt;=0.000000000001,"",INDEX(Lister!$C$4:$H$100,AY18,$AX18))</f>
        <v>Elpris</v>
      </c>
      <c r="G18" s="5" t="str" cm="1">
        <f t="array" ref="G18">IF(OR(AZ18=1,AZ18&lt;=0.000000000001),"",INDEX(Lister!$J$4:$O$100,AZ18,$AX18))</f>
        <v/>
      </c>
      <c r="H18" s="80">
        <f>IF(C18=0,"",IF(BA18=NotANumber,"",BA18))</f>
        <v>400</v>
      </c>
      <c r="I18">
        <f>IF(OR($C18=0,I$4&lt;PerStart2,I$4&gt;PerSlut2),"",IF($BA18&lt;&gt;NotANumber,$H18,BB18))</f>
        <v>400</v>
      </c>
      <c r="J18">
        <f>IF(OR($C18=0,J$4&lt;PerStart2,J$4&gt;PerSlut2),"",IF($BA18&lt;&gt;NotANumber,$H18,BC18))</f>
        <v>400</v>
      </c>
      <c r="K18">
        <f>IF(OR($C18=0,K$4&lt;PerStart2,K$4&gt;PerSlut2),"",IF($BA18&lt;&gt;NotANumber,$H18,BD18))</f>
        <v>400</v>
      </c>
      <c r="L18">
        <f>IF(OR($C18=0,L$4&lt;PerStart2,L$4&gt;PerSlut2),"",IF($BA18&lt;&gt;NotANumber,$H18,BE18))</f>
        <v>400</v>
      </c>
      <c r="M18">
        <f>IF(OR($C18=0,M$4&lt;PerStart2,M$4&gt;PerSlut2),"",IF($BA18&lt;&gt;NotANumber,$H18,BF18))</f>
        <v>400</v>
      </c>
      <c r="N18">
        <f>IF(OR($C18=0,N$4&lt;PerStart2,N$4&gt;PerSlut2),"",IF($BA18&lt;&gt;NotANumber,$H18,BG18))</f>
        <v>400</v>
      </c>
      <c r="O18">
        <f>IF(OR($C18=0,O$4&lt;PerStart2,O$4&gt;PerSlut2),"",IF($BA18&lt;&gt;NotANumber,$H18,BH18))</f>
        <v>400</v>
      </c>
      <c r="P18">
        <f>IF(OR($C18=0,P$4&lt;PerStart2,P$4&gt;PerSlut2),"",IF($BA18&lt;&gt;NotANumber,$H18,BI18))</f>
        <v>400</v>
      </c>
      <c r="Q18">
        <f>IF(OR($C18=0,Q$4&lt;PerStart2,Q$4&gt;PerSlut2),"",IF($BA18&lt;&gt;NotANumber,$H18,BJ18))</f>
        <v>400</v>
      </c>
      <c r="R18">
        <f>IF(OR($C18=0,R$4&lt;PerStart2,R$4&gt;PerSlut2),"",IF($BA18&lt;&gt;NotANumber,$H18,BK18))</f>
        <v>400</v>
      </c>
      <c r="S18">
        <f>IF(OR($C18=0,S$4&lt;PerStart2,S$4&gt;PerSlut2),"",IF($BA18&lt;&gt;NotANumber,$H18,BL18))</f>
        <v>400</v>
      </c>
      <c r="T18">
        <f>IF(OR($C18=0,T$4&lt;PerStart2,T$4&gt;PerSlut2),"",IF($BA18&lt;&gt;NotANumber,$H18,BM18))</f>
        <v>400</v>
      </c>
      <c r="U18" s="89" t="str">
        <f>IF(OR($C18=0,U$4&lt;PerStart2,U$4&gt;PerSlut2),"",IF($BA18&lt;&gt;NotANumber,$H18,BN18))</f>
        <v/>
      </c>
      <c r="V18" t="str">
        <f>IF(OR($C18=0,V$4&lt;PerStart2,V$4&gt;PerSlut2),"",IF($BA18&lt;&gt;NotANumber,$H18,BO18))</f>
        <v/>
      </c>
      <c r="W18" t="str">
        <f>IF(OR($C18=0,W$4&lt;PerStart2,W$4&gt;PerSlut2),"",IF($BA18&lt;&gt;NotANumber,$H18,BP18))</f>
        <v/>
      </c>
      <c r="X18" t="str">
        <f>IF(OR($C18=0,X$4&lt;PerStart2,X$4&gt;PerSlut2),"",IF($BA18&lt;&gt;NotANumber,$H18,BQ18))</f>
        <v/>
      </c>
      <c r="Y18" t="str">
        <f>IF(OR($C18=0,Y$4&lt;PerStart2,Y$4&gt;PerSlut2),"",IF($BA18&lt;&gt;NotANumber,$H18,BR18))</f>
        <v/>
      </c>
      <c r="Z18" t="str">
        <f>IF(OR($C18=0,Z$4&lt;PerStart2,Z$4&gt;PerSlut2),"",IF($BA18&lt;&gt;NotANumber,$H18,BS18))</f>
        <v/>
      </c>
      <c r="AA18" t="str">
        <f>IF(OR($C18=0,AA$4&lt;PerStart2,AA$4&gt;PerSlut2),"",IF($BA18&lt;&gt;NotANumber,$H18,BT18))</f>
        <v/>
      </c>
      <c r="AB18" t="str">
        <f>IF(OR($C18=0,AB$4&lt;PerStart2,AB$4&gt;PerSlut2),"",IF($BA18&lt;&gt;NotANumber,$H18,BU18))</f>
        <v/>
      </c>
      <c r="AC18" t="str">
        <f>IF(OR($C18=0,AC$4&lt;PerStart2,AC$4&gt;PerSlut2),"",IF($BA18&lt;&gt;NotANumber,$H18,BV18))</f>
        <v/>
      </c>
      <c r="AD18" t="str">
        <f>IF(OR($C18=0,AD$4&lt;PerStart2,AD$4&gt;PerSlut2),"",IF($BA18&lt;&gt;NotANumber,$H18,BW18))</f>
        <v/>
      </c>
      <c r="AE18" t="str">
        <f>IF(OR($C18=0,AE$4&lt;PerStart2,AE$4&gt;PerSlut2),"",IF($BA18&lt;&gt;NotANumber,$H18,BX18))</f>
        <v/>
      </c>
      <c r="AF18" t="str">
        <f>IF(OR($C18=0,AF$4&lt;PerStart2,AF$4&gt;PerSlut2),"",IF($BA18&lt;&gt;NotANumber,$H18,BY18))</f>
        <v/>
      </c>
      <c r="AG18" s="89" t="str">
        <f>IF(OR($C18=0,AG$4&lt;PerStart2,AG$4&gt;PerSlut2),"",IF($BA18&lt;&gt;NotANumber,$H18,BZ18))</f>
        <v/>
      </c>
      <c r="AH18" t="str">
        <f>IF(OR($C18=0,AH$4&lt;PerStart2,AH$4&gt;PerSlut2),"",IF($BA18&lt;&gt;NotANumber,$H18,CA18))</f>
        <v/>
      </c>
      <c r="AI18" t="str">
        <f>IF(OR($C18=0,AI$4&lt;PerStart2,AI$4&gt;PerSlut2),"",IF($BA18&lt;&gt;NotANumber,$H18,CB18))</f>
        <v/>
      </c>
      <c r="AJ18" t="str">
        <f>IF(OR($C18=0,AJ$4&lt;PerStart2,AJ$4&gt;PerSlut2),"",IF($BA18&lt;&gt;NotANumber,$H18,CC18))</f>
        <v/>
      </c>
      <c r="AK18" t="str">
        <f>IF(OR($C18=0,AK$4&lt;PerStart2,AK$4&gt;PerSlut2),"",IF($BA18&lt;&gt;NotANumber,$H18,CD18))</f>
        <v/>
      </c>
      <c r="AL18" t="str">
        <f>IF(OR($C18=0,AL$4&lt;PerStart2,AL$4&gt;PerSlut2),"",IF($BA18&lt;&gt;NotANumber,$H18,CE18))</f>
        <v/>
      </c>
      <c r="AM18" t="str">
        <f>IF(OR($C18=0,AM$4&lt;PerStart2,AM$4&gt;PerSlut2),"",IF($BA18&lt;&gt;NotANumber,$H18,CF18))</f>
        <v/>
      </c>
      <c r="AN18" t="str">
        <f>IF(OR($C18=0,AN$4&lt;PerStart2,AN$4&gt;PerSlut2),"",IF($BA18&lt;&gt;NotANumber,$H18,CG18))</f>
        <v/>
      </c>
      <c r="AO18" t="str">
        <f>IF(OR($C18=0,AO$4&lt;PerStart2,AO$4&gt;PerSlut2),"",IF($BA18&lt;&gt;NotANumber,$H18,CH18))</f>
        <v/>
      </c>
      <c r="AP18" t="str">
        <f>IF(OR($C18=0,AP$4&lt;PerStart2,AP$4&gt;PerSlut2),"",IF($BA18&lt;&gt;NotANumber,$H18,CI18))</f>
        <v/>
      </c>
      <c r="AQ18" t="str">
        <f>IF(OR($C18=0,AQ$4&lt;PerStart2,AQ$4&gt;PerSlut2),"",IF($BA18&lt;&gt;NotANumber,$H18,CJ18))</f>
        <v/>
      </c>
      <c r="AR18" t="str">
        <f>IF(OR($C18=0,AR$4&lt;PerStart2,AR$4&gt;PerSlut2),"",IF($BA18&lt;&gt;NotANumber,$H18,CK18))</f>
        <v/>
      </c>
      <c r="AT18" s="9" t="s">
        <v>180</v>
      </c>
      <c r="AU18" s="80">
        <v>1</v>
      </c>
      <c r="AV18" s="80">
        <v>7</v>
      </c>
      <c r="AW18" s="80">
        <v>1</v>
      </c>
      <c r="AX18" s="80">
        <v>4</v>
      </c>
      <c r="AY18" s="102">
        <v>14</v>
      </c>
      <c r="AZ18" s="102">
        <v>-1</v>
      </c>
      <c r="BA18" s="80">
        <v>400</v>
      </c>
    </row>
    <row r="19" spans="2:53" x14ac:dyDescent="0.25">
      <c r="B19" s="93" t="str">
        <f t="shared" si="2"/>
        <v>screc14</v>
      </c>
      <c r="C19" s="93">
        <f t="shared" si="3"/>
        <v>1</v>
      </c>
      <c r="D19" s="80">
        <f t="shared" si="4"/>
        <v>1</v>
      </c>
      <c r="E19" s="5" t="str" cm="1">
        <f t="array" ref="E19">IF(AX19&lt;=0,"",INDEX(listRoot,AX19))</f>
        <v>Prognoses</v>
      </c>
      <c r="F19" s="5" t="str" cm="1">
        <f t="array" ref="F19">IF(AY19&lt;=0.000000000001,"",INDEX(Lister!$C$4:$H$100,AY19,$AX19))</f>
        <v>ETS</v>
      </c>
      <c r="G19" s="5" t="str" cm="1">
        <f t="array" ref="G19">IF(OR(AZ19=1,AZ19&lt;=0.000000000001),"",INDEX(Lister!$J$4:$O$100,AZ19,$AX19))</f>
        <v/>
      </c>
      <c r="H19" s="80">
        <f>IF(C19=0,"",IF(BA19=NotANumber,"",BA19))</f>
        <v>800</v>
      </c>
      <c r="I19">
        <f>IF(OR($C19=0,I$4&lt;PerStart2,I$4&gt;PerSlut2),"",IF($BA19&lt;&gt;NotANumber,$H19,BB19))</f>
        <v>800</v>
      </c>
      <c r="J19">
        <f>IF(OR($C19=0,J$4&lt;PerStart2,J$4&gt;PerSlut2),"",IF($BA19&lt;&gt;NotANumber,$H19,BC19))</f>
        <v>800</v>
      </c>
      <c r="K19">
        <f>IF(OR($C19=0,K$4&lt;PerStart2,K$4&gt;PerSlut2),"",IF($BA19&lt;&gt;NotANumber,$H19,BD19))</f>
        <v>800</v>
      </c>
      <c r="L19">
        <f>IF(OR($C19=0,L$4&lt;PerStart2,L$4&gt;PerSlut2),"",IF($BA19&lt;&gt;NotANumber,$H19,BE19))</f>
        <v>800</v>
      </c>
      <c r="M19">
        <f>IF(OR($C19=0,M$4&lt;PerStart2,M$4&gt;PerSlut2),"",IF($BA19&lt;&gt;NotANumber,$H19,BF19))</f>
        <v>800</v>
      </c>
      <c r="N19">
        <f>IF(OR($C19=0,N$4&lt;PerStart2,N$4&gt;PerSlut2),"",IF($BA19&lt;&gt;NotANumber,$H19,BG19))</f>
        <v>800</v>
      </c>
      <c r="O19">
        <f>IF(OR($C19=0,O$4&lt;PerStart2,O$4&gt;PerSlut2),"",IF($BA19&lt;&gt;NotANumber,$H19,BH19))</f>
        <v>800</v>
      </c>
      <c r="P19">
        <f>IF(OR($C19=0,P$4&lt;PerStart2,P$4&gt;PerSlut2),"",IF($BA19&lt;&gt;NotANumber,$H19,BI19))</f>
        <v>800</v>
      </c>
      <c r="Q19">
        <f>IF(OR($C19=0,Q$4&lt;PerStart2,Q$4&gt;PerSlut2),"",IF($BA19&lt;&gt;NotANumber,$H19,BJ19))</f>
        <v>800</v>
      </c>
      <c r="R19">
        <f>IF(OR($C19=0,R$4&lt;PerStart2,R$4&gt;PerSlut2),"",IF($BA19&lt;&gt;NotANumber,$H19,BK19))</f>
        <v>800</v>
      </c>
      <c r="S19">
        <f>IF(OR($C19=0,S$4&lt;PerStart2,S$4&gt;PerSlut2),"",IF($BA19&lt;&gt;NotANumber,$H19,BL19))</f>
        <v>800</v>
      </c>
      <c r="T19">
        <f>IF(OR($C19=0,T$4&lt;PerStart2,T$4&gt;PerSlut2),"",IF($BA19&lt;&gt;NotANumber,$H19,BM19))</f>
        <v>800</v>
      </c>
      <c r="U19" s="89" t="str">
        <f>IF(OR($C19=0,U$4&lt;PerStart2,U$4&gt;PerSlut2),"",IF($BA19&lt;&gt;NotANumber,$H19,BN19))</f>
        <v/>
      </c>
      <c r="V19" t="str">
        <f>IF(OR($C19=0,V$4&lt;PerStart2,V$4&gt;PerSlut2),"",IF($BA19&lt;&gt;NotANumber,$H19,BO19))</f>
        <v/>
      </c>
      <c r="W19" t="str">
        <f>IF(OR($C19=0,W$4&lt;PerStart2,W$4&gt;PerSlut2),"",IF($BA19&lt;&gt;NotANumber,$H19,BP19))</f>
        <v/>
      </c>
      <c r="X19" t="str">
        <f>IF(OR($C19=0,X$4&lt;PerStart2,X$4&gt;PerSlut2),"",IF($BA19&lt;&gt;NotANumber,$H19,BQ19))</f>
        <v/>
      </c>
      <c r="Y19" t="str">
        <f>IF(OR($C19=0,Y$4&lt;PerStart2,Y$4&gt;PerSlut2),"",IF($BA19&lt;&gt;NotANumber,$H19,BR19))</f>
        <v/>
      </c>
      <c r="Z19" t="str">
        <f>IF(OR($C19=0,Z$4&lt;PerStart2,Z$4&gt;PerSlut2),"",IF($BA19&lt;&gt;NotANumber,$H19,BS19))</f>
        <v/>
      </c>
      <c r="AA19" t="str">
        <f>IF(OR($C19=0,AA$4&lt;PerStart2,AA$4&gt;PerSlut2),"",IF($BA19&lt;&gt;NotANumber,$H19,BT19))</f>
        <v/>
      </c>
      <c r="AB19" t="str">
        <f>IF(OR($C19=0,AB$4&lt;PerStart2,AB$4&gt;PerSlut2),"",IF($BA19&lt;&gt;NotANumber,$H19,BU19))</f>
        <v/>
      </c>
      <c r="AC19" t="str">
        <f>IF(OR($C19=0,AC$4&lt;PerStart2,AC$4&gt;PerSlut2),"",IF($BA19&lt;&gt;NotANumber,$H19,BV19))</f>
        <v/>
      </c>
      <c r="AD19" t="str">
        <f>IF(OR($C19=0,AD$4&lt;PerStart2,AD$4&gt;PerSlut2),"",IF($BA19&lt;&gt;NotANumber,$H19,BW19))</f>
        <v/>
      </c>
      <c r="AE19" t="str">
        <f>IF(OR($C19=0,AE$4&lt;PerStart2,AE$4&gt;PerSlut2),"",IF($BA19&lt;&gt;NotANumber,$H19,BX19))</f>
        <v/>
      </c>
      <c r="AF19" t="str">
        <f>IF(OR($C19=0,AF$4&lt;PerStart2,AF$4&gt;PerSlut2),"",IF($BA19&lt;&gt;NotANumber,$H19,BY19))</f>
        <v/>
      </c>
      <c r="AG19" s="89" t="str">
        <f>IF(OR($C19=0,AG$4&lt;PerStart2,AG$4&gt;PerSlut2),"",IF($BA19&lt;&gt;NotANumber,$H19,BZ19))</f>
        <v/>
      </c>
      <c r="AH19" t="str">
        <f>IF(OR($C19=0,AH$4&lt;PerStart2,AH$4&gt;PerSlut2),"",IF($BA19&lt;&gt;NotANumber,$H19,CA19))</f>
        <v/>
      </c>
      <c r="AI19" t="str">
        <f>IF(OR($C19=0,AI$4&lt;PerStart2,AI$4&gt;PerSlut2),"",IF($BA19&lt;&gt;NotANumber,$H19,CB19))</f>
        <v/>
      </c>
      <c r="AJ19" t="str">
        <f>IF(OR($C19=0,AJ$4&lt;PerStart2,AJ$4&gt;PerSlut2),"",IF($BA19&lt;&gt;NotANumber,$H19,CC19))</f>
        <v/>
      </c>
      <c r="AK19" t="str">
        <f>IF(OR($C19=0,AK$4&lt;PerStart2,AK$4&gt;PerSlut2),"",IF($BA19&lt;&gt;NotANumber,$H19,CD19))</f>
        <v/>
      </c>
      <c r="AL19" t="str">
        <f>IF(OR($C19=0,AL$4&lt;PerStart2,AL$4&gt;PerSlut2),"",IF($BA19&lt;&gt;NotANumber,$H19,CE19))</f>
        <v/>
      </c>
      <c r="AM19" t="str">
        <f>IF(OR($C19=0,AM$4&lt;PerStart2,AM$4&gt;PerSlut2),"",IF($BA19&lt;&gt;NotANumber,$H19,CF19))</f>
        <v/>
      </c>
      <c r="AN19" t="str">
        <f>IF(OR($C19=0,AN$4&lt;PerStart2,AN$4&gt;PerSlut2),"",IF($BA19&lt;&gt;NotANumber,$H19,CG19))</f>
        <v/>
      </c>
      <c r="AO19" t="str">
        <f>IF(OR($C19=0,AO$4&lt;PerStart2,AO$4&gt;PerSlut2),"",IF($BA19&lt;&gt;NotANumber,$H19,CH19))</f>
        <v/>
      </c>
      <c r="AP19" t="str">
        <f>IF(OR($C19=0,AP$4&lt;PerStart2,AP$4&gt;PerSlut2),"",IF($BA19&lt;&gt;NotANumber,$H19,CI19))</f>
        <v/>
      </c>
      <c r="AQ19" t="str">
        <f>IF(OR($C19=0,AQ$4&lt;PerStart2,AQ$4&gt;PerSlut2),"",IF($BA19&lt;&gt;NotANumber,$H19,CJ19))</f>
        <v/>
      </c>
      <c r="AR19" t="str">
        <f>IF(OR($C19=0,AR$4&lt;PerStart2,AR$4&gt;PerSlut2),"",IF($BA19&lt;&gt;NotANumber,$H19,CK19))</f>
        <v/>
      </c>
      <c r="AT19" s="9" t="s">
        <v>181</v>
      </c>
      <c r="AU19" s="80">
        <v>1</v>
      </c>
      <c r="AV19" s="80">
        <v>7</v>
      </c>
      <c r="AW19" s="80">
        <v>1</v>
      </c>
      <c r="AX19" s="80">
        <v>4</v>
      </c>
      <c r="AY19" s="102">
        <v>15</v>
      </c>
      <c r="AZ19" s="102">
        <v>-1</v>
      </c>
      <c r="BA19" s="80">
        <v>800</v>
      </c>
    </row>
    <row r="20" spans="2:53" x14ac:dyDescent="0.25">
      <c r="B20" s="93" t="str">
        <f t="shared" si="2"/>
        <v>screc15</v>
      </c>
      <c r="C20" s="93">
        <f t="shared" si="3"/>
        <v>1</v>
      </c>
      <c r="D20" s="80">
        <f t="shared" si="4"/>
        <v>1</v>
      </c>
      <c r="E20" s="5" t="str" cm="1">
        <f t="array" ref="E20">IF(AX20&lt;=0,"",INDEX(listRoot,AX20))</f>
        <v>Prognoses</v>
      </c>
      <c r="F20" s="5" t="str" cm="1">
        <f t="array" ref="F20">IF(AY20&lt;=0.000000000001,"",INDEX(Lister!$C$4:$H$100,AY20,$AX20))</f>
        <v>Elpris</v>
      </c>
      <c r="G20" s="5" t="str" cm="1">
        <f t="array" ref="G20">IF(OR(AZ20=1,AZ20&lt;=0.000000000001),"",INDEX(Lister!$J$4:$O$100,AZ20,$AX20))</f>
        <v/>
      </c>
      <c r="H20" s="80">
        <f>IF(C20=0,"",IF(BA20=NotANumber,"",BA20))</f>
        <v>600</v>
      </c>
      <c r="I20">
        <f>IF(OR($C20=0,I$4&lt;PerStart2,I$4&gt;PerSlut2),"",IF($BA20&lt;&gt;NotANumber,$H20,BB20))</f>
        <v>600</v>
      </c>
      <c r="J20">
        <f>IF(OR($C20=0,J$4&lt;PerStart2,J$4&gt;PerSlut2),"",IF($BA20&lt;&gt;NotANumber,$H20,BC20))</f>
        <v>600</v>
      </c>
      <c r="K20">
        <f>IF(OR($C20=0,K$4&lt;PerStart2,K$4&gt;PerSlut2),"",IF($BA20&lt;&gt;NotANumber,$H20,BD20))</f>
        <v>600</v>
      </c>
      <c r="L20">
        <f>IF(OR($C20=0,L$4&lt;PerStart2,L$4&gt;PerSlut2),"",IF($BA20&lt;&gt;NotANumber,$H20,BE20))</f>
        <v>600</v>
      </c>
      <c r="M20">
        <f>IF(OR($C20=0,M$4&lt;PerStart2,M$4&gt;PerSlut2),"",IF($BA20&lt;&gt;NotANumber,$H20,BF20))</f>
        <v>600</v>
      </c>
      <c r="N20">
        <f>IF(OR($C20=0,N$4&lt;PerStart2,N$4&gt;PerSlut2),"",IF($BA20&lt;&gt;NotANumber,$H20,BG20))</f>
        <v>600</v>
      </c>
      <c r="O20">
        <f>IF(OR($C20=0,O$4&lt;PerStart2,O$4&gt;PerSlut2),"",IF($BA20&lt;&gt;NotANumber,$H20,BH20))</f>
        <v>600</v>
      </c>
      <c r="P20">
        <f>IF(OR($C20=0,P$4&lt;PerStart2,P$4&gt;PerSlut2),"",IF($BA20&lt;&gt;NotANumber,$H20,BI20))</f>
        <v>600</v>
      </c>
      <c r="Q20">
        <f>IF(OR($C20=0,Q$4&lt;PerStart2,Q$4&gt;PerSlut2),"",IF($BA20&lt;&gt;NotANumber,$H20,BJ20))</f>
        <v>600</v>
      </c>
      <c r="R20">
        <f>IF(OR($C20=0,R$4&lt;PerStart2,R$4&gt;PerSlut2),"",IF($BA20&lt;&gt;NotANumber,$H20,BK20))</f>
        <v>600</v>
      </c>
      <c r="S20">
        <f>IF(OR($C20=0,S$4&lt;PerStart2,S$4&gt;PerSlut2),"",IF($BA20&lt;&gt;NotANumber,$H20,BL20))</f>
        <v>600</v>
      </c>
      <c r="T20">
        <f>IF(OR($C20=0,T$4&lt;PerStart2,T$4&gt;PerSlut2),"",IF($BA20&lt;&gt;NotANumber,$H20,BM20))</f>
        <v>600</v>
      </c>
      <c r="U20" s="89" t="str">
        <f>IF(OR($C20=0,U$4&lt;PerStart2,U$4&gt;PerSlut2),"",IF($BA20&lt;&gt;NotANumber,$H20,BN20))</f>
        <v/>
      </c>
      <c r="V20" t="str">
        <f>IF(OR($C20=0,V$4&lt;PerStart2,V$4&gt;PerSlut2),"",IF($BA20&lt;&gt;NotANumber,$H20,BO20))</f>
        <v/>
      </c>
      <c r="W20" t="str">
        <f>IF(OR($C20=0,W$4&lt;PerStart2,W$4&gt;PerSlut2),"",IF($BA20&lt;&gt;NotANumber,$H20,BP20))</f>
        <v/>
      </c>
      <c r="X20" t="str">
        <f>IF(OR($C20=0,X$4&lt;PerStart2,X$4&gt;PerSlut2),"",IF($BA20&lt;&gt;NotANumber,$H20,BQ20))</f>
        <v/>
      </c>
      <c r="Y20" t="str">
        <f>IF(OR($C20=0,Y$4&lt;PerStart2,Y$4&gt;PerSlut2),"",IF($BA20&lt;&gt;NotANumber,$H20,BR20))</f>
        <v/>
      </c>
      <c r="Z20" t="str">
        <f>IF(OR($C20=0,Z$4&lt;PerStart2,Z$4&gt;PerSlut2),"",IF($BA20&lt;&gt;NotANumber,$H20,BS20))</f>
        <v/>
      </c>
      <c r="AA20" t="str">
        <f>IF(OR($C20=0,AA$4&lt;PerStart2,AA$4&gt;PerSlut2),"",IF($BA20&lt;&gt;NotANumber,$H20,BT20))</f>
        <v/>
      </c>
      <c r="AB20" t="str">
        <f>IF(OR($C20=0,AB$4&lt;PerStart2,AB$4&gt;PerSlut2),"",IF($BA20&lt;&gt;NotANumber,$H20,BU20))</f>
        <v/>
      </c>
      <c r="AC20" t="str">
        <f>IF(OR($C20=0,AC$4&lt;PerStart2,AC$4&gt;PerSlut2),"",IF($BA20&lt;&gt;NotANumber,$H20,BV20))</f>
        <v/>
      </c>
      <c r="AD20" t="str">
        <f>IF(OR($C20=0,AD$4&lt;PerStart2,AD$4&gt;PerSlut2),"",IF($BA20&lt;&gt;NotANumber,$H20,BW20))</f>
        <v/>
      </c>
      <c r="AE20" t="str">
        <f>IF(OR($C20=0,AE$4&lt;PerStart2,AE$4&gt;PerSlut2),"",IF($BA20&lt;&gt;NotANumber,$H20,BX20))</f>
        <v/>
      </c>
      <c r="AF20" t="str">
        <f>IF(OR($C20=0,AF$4&lt;PerStart2,AF$4&gt;PerSlut2),"",IF($BA20&lt;&gt;NotANumber,$H20,BY20))</f>
        <v/>
      </c>
      <c r="AG20" s="89" t="str">
        <f>IF(OR($C20=0,AG$4&lt;PerStart2,AG$4&gt;PerSlut2),"",IF($BA20&lt;&gt;NotANumber,$H20,BZ20))</f>
        <v/>
      </c>
      <c r="AH20" t="str">
        <f>IF(OR($C20=0,AH$4&lt;PerStart2,AH$4&gt;PerSlut2),"",IF($BA20&lt;&gt;NotANumber,$H20,CA20))</f>
        <v/>
      </c>
      <c r="AI20" t="str">
        <f>IF(OR($C20=0,AI$4&lt;PerStart2,AI$4&gt;PerSlut2),"",IF($BA20&lt;&gt;NotANumber,$H20,CB20))</f>
        <v/>
      </c>
      <c r="AJ20" t="str">
        <f>IF(OR($C20=0,AJ$4&lt;PerStart2,AJ$4&gt;PerSlut2),"",IF($BA20&lt;&gt;NotANumber,$H20,CC20))</f>
        <v/>
      </c>
      <c r="AK20" t="str">
        <f>IF(OR($C20=0,AK$4&lt;PerStart2,AK$4&gt;PerSlut2),"",IF($BA20&lt;&gt;NotANumber,$H20,CD20))</f>
        <v/>
      </c>
      <c r="AL20" t="str">
        <f>IF(OR($C20=0,AL$4&lt;PerStart2,AL$4&gt;PerSlut2),"",IF($BA20&lt;&gt;NotANumber,$H20,CE20))</f>
        <v/>
      </c>
      <c r="AM20" t="str">
        <f>IF(OR($C20=0,AM$4&lt;PerStart2,AM$4&gt;PerSlut2),"",IF($BA20&lt;&gt;NotANumber,$H20,CF20))</f>
        <v/>
      </c>
      <c r="AN20" t="str">
        <f>IF(OR($C20=0,AN$4&lt;PerStart2,AN$4&gt;PerSlut2),"",IF($BA20&lt;&gt;NotANumber,$H20,CG20))</f>
        <v/>
      </c>
      <c r="AO20" t="str">
        <f>IF(OR($C20=0,AO$4&lt;PerStart2,AO$4&gt;PerSlut2),"",IF($BA20&lt;&gt;NotANumber,$H20,CH20))</f>
        <v/>
      </c>
      <c r="AP20" t="str">
        <f>IF(OR($C20=0,AP$4&lt;PerStart2,AP$4&gt;PerSlut2),"",IF($BA20&lt;&gt;NotANumber,$H20,CI20))</f>
        <v/>
      </c>
      <c r="AQ20" t="str">
        <f>IF(OR($C20=0,AQ$4&lt;PerStart2,AQ$4&gt;PerSlut2),"",IF($BA20&lt;&gt;NotANumber,$H20,CJ20))</f>
        <v/>
      </c>
      <c r="AR20" t="str">
        <f>IF(OR($C20=0,AR$4&lt;PerStart2,AR$4&gt;PerSlut2),"",IF($BA20&lt;&gt;NotANumber,$H20,CK20))</f>
        <v/>
      </c>
      <c r="AT20" s="9" t="s">
        <v>182</v>
      </c>
      <c r="AU20" s="80">
        <v>1</v>
      </c>
      <c r="AV20" s="80">
        <v>8</v>
      </c>
      <c r="AW20" s="80">
        <v>1</v>
      </c>
      <c r="AX20" s="80">
        <v>4</v>
      </c>
      <c r="AY20" s="102">
        <v>14</v>
      </c>
      <c r="AZ20" s="102">
        <v>-1</v>
      </c>
      <c r="BA20" s="80">
        <v>600</v>
      </c>
    </row>
    <row r="21" spans="2:53" x14ac:dyDescent="0.25">
      <c r="B21" s="93" t="str">
        <f t="shared" si="2"/>
        <v>screc16</v>
      </c>
      <c r="C21" s="93">
        <f t="shared" si="3"/>
        <v>1</v>
      </c>
      <c r="D21" s="80">
        <f t="shared" si="4"/>
        <v>1</v>
      </c>
      <c r="E21" s="5" t="str" cm="1">
        <f t="array" ref="E21">IF(AX21&lt;=0,"",INDEX(listRoot,AX21))</f>
        <v>Prognoses</v>
      </c>
      <c r="F21" s="5" t="str" cm="1">
        <f t="array" ref="F21">IF(AY21&lt;=0.000000000001,"",INDEX(Lister!$C$4:$H$100,AY21,$AX21))</f>
        <v>ETS</v>
      </c>
      <c r="G21" s="5" t="str" cm="1">
        <f t="array" ref="G21">IF(OR(AZ21=1,AZ21&lt;=0.000000000001),"",INDEX(Lister!$J$4:$O$100,AZ21,$AX21))</f>
        <v/>
      </c>
      <c r="H21" s="80">
        <f>IF(C21=0,"",IF(BA21=NotANumber,"",BA21))</f>
        <v>800</v>
      </c>
      <c r="I21">
        <f>IF(OR($C21=0,I$4&lt;PerStart2,I$4&gt;PerSlut2),"",IF($BA21&lt;&gt;NotANumber,$H21,BB21))</f>
        <v>800</v>
      </c>
      <c r="J21">
        <f>IF(OR($C21=0,J$4&lt;PerStart2,J$4&gt;PerSlut2),"",IF($BA21&lt;&gt;NotANumber,$H21,BC21))</f>
        <v>800</v>
      </c>
      <c r="K21">
        <f>IF(OR($C21=0,K$4&lt;PerStart2,K$4&gt;PerSlut2),"",IF($BA21&lt;&gt;NotANumber,$H21,BD21))</f>
        <v>800</v>
      </c>
      <c r="L21">
        <f>IF(OR($C21=0,L$4&lt;PerStart2,L$4&gt;PerSlut2),"",IF($BA21&lt;&gt;NotANumber,$H21,BE21))</f>
        <v>800</v>
      </c>
      <c r="M21">
        <f>IF(OR($C21=0,M$4&lt;PerStart2,M$4&gt;PerSlut2),"",IF($BA21&lt;&gt;NotANumber,$H21,BF21))</f>
        <v>800</v>
      </c>
      <c r="N21">
        <f>IF(OR($C21=0,N$4&lt;PerStart2,N$4&gt;PerSlut2),"",IF($BA21&lt;&gt;NotANumber,$H21,BG21))</f>
        <v>800</v>
      </c>
      <c r="O21">
        <f>IF(OR($C21=0,O$4&lt;PerStart2,O$4&gt;PerSlut2),"",IF($BA21&lt;&gt;NotANumber,$H21,BH21))</f>
        <v>800</v>
      </c>
      <c r="P21">
        <f>IF(OR($C21=0,P$4&lt;PerStart2,P$4&gt;PerSlut2),"",IF($BA21&lt;&gt;NotANumber,$H21,BI21))</f>
        <v>800</v>
      </c>
      <c r="Q21">
        <f>IF(OR($C21=0,Q$4&lt;PerStart2,Q$4&gt;PerSlut2),"",IF($BA21&lt;&gt;NotANumber,$H21,BJ21))</f>
        <v>800</v>
      </c>
      <c r="R21">
        <f>IF(OR($C21=0,R$4&lt;PerStart2,R$4&gt;PerSlut2),"",IF($BA21&lt;&gt;NotANumber,$H21,BK21))</f>
        <v>800</v>
      </c>
      <c r="S21">
        <f>IF(OR($C21=0,S$4&lt;PerStart2,S$4&gt;PerSlut2),"",IF($BA21&lt;&gt;NotANumber,$H21,BL21))</f>
        <v>800</v>
      </c>
      <c r="T21">
        <f>IF(OR($C21=0,T$4&lt;PerStart2,T$4&gt;PerSlut2),"",IF($BA21&lt;&gt;NotANumber,$H21,BM21))</f>
        <v>800</v>
      </c>
      <c r="U21" s="89" t="str">
        <f>IF(OR($C21=0,U$4&lt;PerStart2,U$4&gt;PerSlut2),"",IF($BA21&lt;&gt;NotANumber,$H21,BN21))</f>
        <v/>
      </c>
      <c r="V21" t="str">
        <f>IF(OR($C21=0,V$4&lt;PerStart2,V$4&gt;PerSlut2),"",IF($BA21&lt;&gt;NotANumber,$H21,BO21))</f>
        <v/>
      </c>
      <c r="W21" t="str">
        <f>IF(OR($C21=0,W$4&lt;PerStart2,W$4&gt;PerSlut2),"",IF($BA21&lt;&gt;NotANumber,$H21,BP21))</f>
        <v/>
      </c>
      <c r="X21" t="str">
        <f>IF(OR($C21=0,X$4&lt;PerStart2,X$4&gt;PerSlut2),"",IF($BA21&lt;&gt;NotANumber,$H21,BQ21))</f>
        <v/>
      </c>
      <c r="Y21" t="str">
        <f>IF(OR($C21=0,Y$4&lt;PerStart2,Y$4&gt;PerSlut2),"",IF($BA21&lt;&gt;NotANumber,$H21,BR21))</f>
        <v/>
      </c>
      <c r="Z21" t="str">
        <f>IF(OR($C21=0,Z$4&lt;PerStart2,Z$4&gt;PerSlut2),"",IF($BA21&lt;&gt;NotANumber,$H21,BS21))</f>
        <v/>
      </c>
      <c r="AA21" t="str">
        <f>IF(OR($C21=0,AA$4&lt;PerStart2,AA$4&gt;PerSlut2),"",IF($BA21&lt;&gt;NotANumber,$H21,BT21))</f>
        <v/>
      </c>
      <c r="AB21" t="str">
        <f>IF(OR($C21=0,AB$4&lt;PerStart2,AB$4&gt;PerSlut2),"",IF($BA21&lt;&gt;NotANumber,$H21,BU21))</f>
        <v/>
      </c>
      <c r="AC21" t="str">
        <f>IF(OR($C21=0,AC$4&lt;PerStart2,AC$4&gt;PerSlut2),"",IF($BA21&lt;&gt;NotANumber,$H21,BV21))</f>
        <v/>
      </c>
      <c r="AD21" t="str">
        <f>IF(OR($C21=0,AD$4&lt;PerStart2,AD$4&gt;PerSlut2),"",IF($BA21&lt;&gt;NotANumber,$H21,BW21))</f>
        <v/>
      </c>
      <c r="AE21" t="str">
        <f>IF(OR($C21=0,AE$4&lt;PerStart2,AE$4&gt;PerSlut2),"",IF($BA21&lt;&gt;NotANumber,$H21,BX21))</f>
        <v/>
      </c>
      <c r="AF21" t="str">
        <f>IF(OR($C21=0,AF$4&lt;PerStart2,AF$4&gt;PerSlut2),"",IF($BA21&lt;&gt;NotANumber,$H21,BY21))</f>
        <v/>
      </c>
      <c r="AG21" s="89" t="str">
        <f>IF(OR($C21=0,AG$4&lt;PerStart2,AG$4&gt;PerSlut2),"",IF($BA21&lt;&gt;NotANumber,$H21,BZ21))</f>
        <v/>
      </c>
      <c r="AH21" t="str">
        <f>IF(OR($C21=0,AH$4&lt;PerStart2,AH$4&gt;PerSlut2),"",IF($BA21&lt;&gt;NotANumber,$H21,CA21))</f>
        <v/>
      </c>
      <c r="AI21" t="str">
        <f>IF(OR($C21=0,AI$4&lt;PerStart2,AI$4&gt;PerSlut2),"",IF($BA21&lt;&gt;NotANumber,$H21,CB21))</f>
        <v/>
      </c>
      <c r="AJ21" t="str">
        <f>IF(OR($C21=0,AJ$4&lt;PerStart2,AJ$4&gt;PerSlut2),"",IF($BA21&lt;&gt;NotANumber,$H21,CC21))</f>
        <v/>
      </c>
      <c r="AK21" t="str">
        <f>IF(OR($C21=0,AK$4&lt;PerStart2,AK$4&gt;PerSlut2),"",IF($BA21&lt;&gt;NotANumber,$H21,CD21))</f>
        <v/>
      </c>
      <c r="AL21" t="str">
        <f>IF(OR($C21=0,AL$4&lt;PerStart2,AL$4&gt;PerSlut2),"",IF($BA21&lt;&gt;NotANumber,$H21,CE21))</f>
        <v/>
      </c>
      <c r="AM21" t="str">
        <f>IF(OR($C21=0,AM$4&lt;PerStart2,AM$4&gt;PerSlut2),"",IF($BA21&lt;&gt;NotANumber,$H21,CF21))</f>
        <v/>
      </c>
      <c r="AN21" t="str">
        <f>IF(OR($C21=0,AN$4&lt;PerStart2,AN$4&gt;PerSlut2),"",IF($BA21&lt;&gt;NotANumber,$H21,CG21))</f>
        <v/>
      </c>
      <c r="AO21" t="str">
        <f>IF(OR($C21=0,AO$4&lt;PerStart2,AO$4&gt;PerSlut2),"",IF($BA21&lt;&gt;NotANumber,$H21,CH21))</f>
        <v/>
      </c>
      <c r="AP21" t="str">
        <f>IF(OR($C21=0,AP$4&lt;PerStart2,AP$4&gt;PerSlut2),"",IF($BA21&lt;&gt;NotANumber,$H21,CI21))</f>
        <v/>
      </c>
      <c r="AQ21" t="str">
        <f>IF(OR($C21=0,AQ$4&lt;PerStart2,AQ$4&gt;PerSlut2),"",IF($BA21&lt;&gt;NotANumber,$H21,CJ21))</f>
        <v/>
      </c>
      <c r="AR21" t="str">
        <f>IF(OR($C21=0,AR$4&lt;PerStart2,AR$4&gt;PerSlut2),"",IF($BA21&lt;&gt;NotANumber,$H21,CK21))</f>
        <v/>
      </c>
      <c r="AT21" s="9" t="s">
        <v>183</v>
      </c>
      <c r="AU21" s="80">
        <v>1</v>
      </c>
      <c r="AV21" s="80">
        <v>8</v>
      </c>
      <c r="AW21" s="80">
        <v>1</v>
      </c>
      <c r="AX21" s="80">
        <v>4</v>
      </c>
      <c r="AY21" s="102">
        <v>15</v>
      </c>
      <c r="AZ21" s="102">
        <v>-1</v>
      </c>
      <c r="BA21" s="80">
        <v>800</v>
      </c>
    </row>
    <row r="22" spans="2:53" x14ac:dyDescent="0.25">
      <c r="B22" s="93" t="str">
        <f t="shared" si="2"/>
        <v>screc17</v>
      </c>
      <c r="C22" s="93">
        <f t="shared" si="3"/>
        <v>1</v>
      </c>
      <c r="D22" s="80">
        <f t="shared" ref="D22:D45" si="5">IF(ISBLANK(AW22),"",AW22)</f>
        <v>1</v>
      </c>
      <c r="E22" s="5" t="str" cm="1">
        <f t="array" ref="E22">IF(AX22&lt;=0,"",INDEX(listRoot,AX22))</f>
        <v>Prognoses</v>
      </c>
      <c r="F22" s="5" t="str" cm="1">
        <f t="array" ref="F22">IF(AY22&lt;=0.000000000001,"",INDEX(Lister!$C$4:$H$100,AY22,$AX22))</f>
        <v>Elpris</v>
      </c>
      <c r="G22" s="5" t="str" cm="1">
        <f t="array" ref="G22">IF(OR(AZ22=1,AZ22&lt;=0.000000000001),"",INDEX(Lister!$J$4:$O$100,AZ22,$AX22))</f>
        <v/>
      </c>
      <c r="H22" s="80">
        <f>IF(C22=0,"",IF(BA22=NotANumber,"",BA22))</f>
        <v>800</v>
      </c>
      <c r="I22">
        <f>IF(OR($C22=0,I$4&lt;PerStart2,I$4&gt;PerSlut2),"",IF($BA22&lt;&gt;NotANumber,$H22,BB22))</f>
        <v>800</v>
      </c>
      <c r="J22">
        <f>IF(OR($C22=0,J$4&lt;PerStart2,J$4&gt;PerSlut2),"",IF($BA22&lt;&gt;NotANumber,$H22,BC22))</f>
        <v>800</v>
      </c>
      <c r="K22">
        <f>IF(OR($C22=0,K$4&lt;PerStart2,K$4&gt;PerSlut2),"",IF($BA22&lt;&gt;NotANumber,$H22,BD22))</f>
        <v>800</v>
      </c>
      <c r="L22">
        <f>IF(OR($C22=0,L$4&lt;PerStart2,L$4&gt;PerSlut2),"",IF($BA22&lt;&gt;NotANumber,$H22,BE22))</f>
        <v>800</v>
      </c>
      <c r="M22">
        <f>IF(OR($C22=0,M$4&lt;PerStart2,M$4&gt;PerSlut2),"",IF($BA22&lt;&gt;NotANumber,$H22,BF22))</f>
        <v>800</v>
      </c>
      <c r="N22">
        <f>IF(OR($C22=0,N$4&lt;PerStart2,N$4&gt;PerSlut2),"",IF($BA22&lt;&gt;NotANumber,$H22,BG22))</f>
        <v>800</v>
      </c>
      <c r="O22">
        <f>IF(OR($C22=0,O$4&lt;PerStart2,O$4&gt;PerSlut2),"",IF($BA22&lt;&gt;NotANumber,$H22,BH22))</f>
        <v>800</v>
      </c>
      <c r="P22">
        <f>IF(OR($C22=0,P$4&lt;PerStart2,P$4&gt;PerSlut2),"",IF($BA22&lt;&gt;NotANumber,$H22,BI22))</f>
        <v>800</v>
      </c>
      <c r="Q22">
        <f>IF(OR($C22=0,Q$4&lt;PerStart2,Q$4&gt;PerSlut2),"",IF($BA22&lt;&gt;NotANumber,$H22,BJ22))</f>
        <v>800</v>
      </c>
      <c r="R22">
        <f>IF(OR($C22=0,R$4&lt;PerStart2,R$4&gt;PerSlut2),"",IF($BA22&lt;&gt;NotANumber,$H22,BK22))</f>
        <v>800</v>
      </c>
      <c r="S22">
        <f>IF(OR($C22=0,S$4&lt;PerStart2,S$4&gt;PerSlut2),"",IF($BA22&lt;&gt;NotANumber,$H22,BL22))</f>
        <v>800</v>
      </c>
      <c r="T22">
        <f>IF(OR($C22=0,T$4&lt;PerStart2,T$4&gt;PerSlut2),"",IF($BA22&lt;&gt;NotANumber,$H22,BM22))</f>
        <v>800</v>
      </c>
      <c r="U22" s="89" t="str">
        <f>IF(OR($C22=0,U$4&lt;PerStart2,U$4&gt;PerSlut2),"",IF($BA22&lt;&gt;NotANumber,$H22,BN22))</f>
        <v/>
      </c>
      <c r="V22" t="str">
        <f>IF(OR($C22=0,V$4&lt;PerStart2,V$4&gt;PerSlut2),"",IF($BA22&lt;&gt;NotANumber,$H22,BO22))</f>
        <v/>
      </c>
      <c r="W22" t="str">
        <f>IF(OR($C22=0,W$4&lt;PerStart2,W$4&gt;PerSlut2),"",IF($BA22&lt;&gt;NotANumber,$H22,BP22))</f>
        <v/>
      </c>
      <c r="X22" t="str">
        <f>IF(OR($C22=0,X$4&lt;PerStart2,X$4&gt;PerSlut2),"",IF($BA22&lt;&gt;NotANumber,$H22,BQ22))</f>
        <v/>
      </c>
      <c r="Y22" t="str">
        <f>IF(OR($C22=0,Y$4&lt;PerStart2,Y$4&gt;PerSlut2),"",IF($BA22&lt;&gt;NotANumber,$H22,BR22))</f>
        <v/>
      </c>
      <c r="Z22" t="str">
        <f>IF(OR($C22=0,Z$4&lt;PerStart2,Z$4&gt;PerSlut2),"",IF($BA22&lt;&gt;NotANumber,$H22,BS22))</f>
        <v/>
      </c>
      <c r="AA22" t="str">
        <f>IF(OR($C22=0,AA$4&lt;PerStart2,AA$4&gt;PerSlut2),"",IF($BA22&lt;&gt;NotANumber,$H22,BT22))</f>
        <v/>
      </c>
      <c r="AB22" t="str">
        <f>IF(OR($C22=0,AB$4&lt;PerStart2,AB$4&gt;PerSlut2),"",IF($BA22&lt;&gt;NotANumber,$H22,BU22))</f>
        <v/>
      </c>
      <c r="AC22" t="str">
        <f>IF(OR($C22=0,AC$4&lt;PerStart2,AC$4&gt;PerSlut2),"",IF($BA22&lt;&gt;NotANumber,$H22,BV22))</f>
        <v/>
      </c>
      <c r="AD22" t="str">
        <f>IF(OR($C22=0,AD$4&lt;PerStart2,AD$4&gt;PerSlut2),"",IF($BA22&lt;&gt;NotANumber,$H22,BW22))</f>
        <v/>
      </c>
      <c r="AE22" t="str">
        <f>IF(OR($C22=0,AE$4&lt;PerStart2,AE$4&gt;PerSlut2),"",IF($BA22&lt;&gt;NotANumber,$H22,BX22))</f>
        <v/>
      </c>
      <c r="AF22" t="str">
        <f>IF(OR($C22=0,AF$4&lt;PerStart2,AF$4&gt;PerSlut2),"",IF($BA22&lt;&gt;NotANumber,$H22,BY22))</f>
        <v/>
      </c>
      <c r="AG22" s="89" t="str">
        <f>IF(OR($C22=0,AG$4&lt;PerStart2,AG$4&gt;PerSlut2),"",IF($BA22&lt;&gt;NotANumber,$H22,BZ22))</f>
        <v/>
      </c>
      <c r="AH22" t="str">
        <f>IF(OR($C22=0,AH$4&lt;PerStart2,AH$4&gt;PerSlut2),"",IF($BA22&lt;&gt;NotANumber,$H22,CA22))</f>
        <v/>
      </c>
      <c r="AI22" t="str">
        <f>IF(OR($C22=0,AI$4&lt;PerStart2,AI$4&gt;PerSlut2),"",IF($BA22&lt;&gt;NotANumber,$H22,CB22))</f>
        <v/>
      </c>
      <c r="AJ22" t="str">
        <f>IF(OR($C22=0,AJ$4&lt;PerStart2,AJ$4&gt;PerSlut2),"",IF($BA22&lt;&gt;NotANumber,$H22,CC22))</f>
        <v/>
      </c>
      <c r="AK22" t="str">
        <f>IF(OR($C22=0,AK$4&lt;PerStart2,AK$4&gt;PerSlut2),"",IF($BA22&lt;&gt;NotANumber,$H22,CD22))</f>
        <v/>
      </c>
      <c r="AL22" t="str">
        <f>IF(OR($C22=0,AL$4&lt;PerStart2,AL$4&gt;PerSlut2),"",IF($BA22&lt;&gt;NotANumber,$H22,CE22))</f>
        <v/>
      </c>
      <c r="AM22" t="str">
        <f>IF(OR($C22=0,AM$4&lt;PerStart2,AM$4&gt;PerSlut2),"",IF($BA22&lt;&gt;NotANumber,$H22,CF22))</f>
        <v/>
      </c>
      <c r="AN22" t="str">
        <f>IF(OR($C22=0,AN$4&lt;PerStart2,AN$4&gt;PerSlut2),"",IF($BA22&lt;&gt;NotANumber,$H22,CG22))</f>
        <v/>
      </c>
      <c r="AO22" t="str">
        <f>IF(OR($C22=0,AO$4&lt;PerStart2,AO$4&gt;PerSlut2),"",IF($BA22&lt;&gt;NotANumber,$H22,CH22))</f>
        <v/>
      </c>
      <c r="AP22" t="str">
        <f>IF(OR($C22=0,AP$4&lt;PerStart2,AP$4&gt;PerSlut2),"",IF($BA22&lt;&gt;NotANumber,$H22,CI22))</f>
        <v/>
      </c>
      <c r="AQ22" t="str">
        <f>IF(OR($C22=0,AQ$4&lt;PerStart2,AQ$4&gt;PerSlut2),"",IF($BA22&lt;&gt;NotANumber,$H22,CJ22))</f>
        <v/>
      </c>
      <c r="AR22" t="str">
        <f>IF(OR($C22=0,AR$4&lt;PerStart2,AR$4&gt;PerSlut2),"",IF($BA22&lt;&gt;NotANumber,$H22,CK22))</f>
        <v/>
      </c>
      <c r="AT22" s="9" t="s">
        <v>184</v>
      </c>
      <c r="AU22" s="80">
        <v>1</v>
      </c>
      <c r="AV22" s="80">
        <v>9</v>
      </c>
      <c r="AW22" s="80">
        <v>1</v>
      </c>
      <c r="AX22" s="80">
        <v>4</v>
      </c>
      <c r="AY22" s="80">
        <v>14</v>
      </c>
      <c r="AZ22" s="80">
        <v>-1</v>
      </c>
      <c r="BA22" s="80">
        <v>800</v>
      </c>
    </row>
    <row r="23" spans="2:53" x14ac:dyDescent="0.25">
      <c r="B23" s="93" t="str">
        <f t="shared" si="2"/>
        <v>screc18</v>
      </c>
      <c r="C23" s="93">
        <f t="shared" si="3"/>
        <v>1</v>
      </c>
      <c r="D23" s="80">
        <f t="shared" si="5"/>
        <v>1</v>
      </c>
      <c r="E23" s="5" t="str" cm="1">
        <f t="array" ref="E23">IF(AX23&lt;=0,"",INDEX(listRoot,AX23))</f>
        <v>Prognoses</v>
      </c>
      <c r="F23" s="5" t="str" cm="1">
        <f t="array" ref="F23">IF(AY23&lt;=0.000000000001,"",INDEX(Lister!$C$4:$H$100,AY23,$AX23))</f>
        <v>ETS</v>
      </c>
      <c r="G23" s="5" t="str" cm="1">
        <f t="array" ref="G23">IF(OR(AZ23=1,AZ23&lt;=0.000000000001),"",INDEX(Lister!$J$4:$O$100,AZ23,$AX23))</f>
        <v/>
      </c>
      <c r="H23" s="80">
        <f>IF(C23=0,"",IF(BA23=NotANumber,"",BA23))</f>
        <v>800</v>
      </c>
      <c r="I23">
        <f>IF(OR($C23=0,I$4&lt;PerStart2,I$4&gt;PerSlut2),"",IF($BA23&lt;&gt;NotANumber,$H23,BB23))</f>
        <v>800</v>
      </c>
      <c r="J23">
        <f>IF(OR($C23=0,J$4&lt;PerStart2,J$4&gt;PerSlut2),"",IF($BA23&lt;&gt;NotANumber,$H23,BC23))</f>
        <v>800</v>
      </c>
      <c r="K23">
        <f>IF(OR($C23=0,K$4&lt;PerStart2,K$4&gt;PerSlut2),"",IF($BA23&lt;&gt;NotANumber,$H23,BD23))</f>
        <v>800</v>
      </c>
      <c r="L23">
        <f>IF(OR($C23=0,L$4&lt;PerStart2,L$4&gt;PerSlut2),"",IF($BA23&lt;&gt;NotANumber,$H23,BE23))</f>
        <v>800</v>
      </c>
      <c r="M23">
        <f>IF(OR($C23=0,M$4&lt;PerStart2,M$4&gt;PerSlut2),"",IF($BA23&lt;&gt;NotANumber,$H23,BF23))</f>
        <v>800</v>
      </c>
      <c r="N23">
        <f>IF(OR($C23=0,N$4&lt;PerStart2,N$4&gt;PerSlut2),"",IF($BA23&lt;&gt;NotANumber,$H23,BG23))</f>
        <v>800</v>
      </c>
      <c r="O23">
        <f>IF(OR($C23=0,O$4&lt;PerStart2,O$4&gt;PerSlut2),"",IF($BA23&lt;&gt;NotANumber,$H23,BH23))</f>
        <v>800</v>
      </c>
      <c r="P23">
        <f>IF(OR($C23=0,P$4&lt;PerStart2,P$4&gt;PerSlut2),"",IF($BA23&lt;&gt;NotANumber,$H23,BI23))</f>
        <v>800</v>
      </c>
      <c r="Q23">
        <f>IF(OR($C23=0,Q$4&lt;PerStart2,Q$4&gt;PerSlut2),"",IF($BA23&lt;&gt;NotANumber,$H23,BJ23))</f>
        <v>800</v>
      </c>
      <c r="R23">
        <f>IF(OR($C23=0,R$4&lt;PerStart2,R$4&gt;PerSlut2),"",IF($BA23&lt;&gt;NotANumber,$H23,BK23))</f>
        <v>800</v>
      </c>
      <c r="S23">
        <f>IF(OR($C23=0,S$4&lt;PerStart2,S$4&gt;PerSlut2),"",IF($BA23&lt;&gt;NotANumber,$H23,BL23))</f>
        <v>800</v>
      </c>
      <c r="T23">
        <f>IF(OR($C23=0,T$4&lt;PerStart2,T$4&gt;PerSlut2),"",IF($BA23&lt;&gt;NotANumber,$H23,BM23))</f>
        <v>800</v>
      </c>
      <c r="U23" s="89" t="str">
        <f>IF(OR($C23=0,U$4&lt;PerStart2,U$4&gt;PerSlut2),"",IF($BA23&lt;&gt;NotANumber,$H23,BN23))</f>
        <v/>
      </c>
      <c r="V23" t="str">
        <f>IF(OR($C23=0,V$4&lt;PerStart2,V$4&gt;PerSlut2),"",IF($BA23&lt;&gt;NotANumber,$H23,BO23))</f>
        <v/>
      </c>
      <c r="W23" t="str">
        <f>IF(OR($C23=0,W$4&lt;PerStart2,W$4&gt;PerSlut2),"",IF($BA23&lt;&gt;NotANumber,$H23,BP23))</f>
        <v/>
      </c>
      <c r="X23" t="str">
        <f>IF(OR($C23=0,X$4&lt;PerStart2,X$4&gt;PerSlut2),"",IF($BA23&lt;&gt;NotANumber,$H23,BQ23))</f>
        <v/>
      </c>
      <c r="Y23" t="str">
        <f>IF(OR($C23=0,Y$4&lt;PerStart2,Y$4&gt;PerSlut2),"",IF($BA23&lt;&gt;NotANumber,$H23,BR23))</f>
        <v/>
      </c>
      <c r="Z23" t="str">
        <f>IF(OR($C23=0,Z$4&lt;PerStart2,Z$4&gt;PerSlut2),"",IF($BA23&lt;&gt;NotANumber,$H23,BS23))</f>
        <v/>
      </c>
      <c r="AA23" t="str">
        <f>IF(OR($C23=0,AA$4&lt;PerStart2,AA$4&gt;PerSlut2),"",IF($BA23&lt;&gt;NotANumber,$H23,BT23))</f>
        <v/>
      </c>
      <c r="AB23" t="str">
        <f>IF(OR($C23=0,AB$4&lt;PerStart2,AB$4&gt;PerSlut2),"",IF($BA23&lt;&gt;NotANumber,$H23,BU23))</f>
        <v/>
      </c>
      <c r="AC23" t="str">
        <f>IF(OR($C23=0,AC$4&lt;PerStart2,AC$4&gt;PerSlut2),"",IF($BA23&lt;&gt;NotANumber,$H23,BV23))</f>
        <v/>
      </c>
      <c r="AD23" t="str">
        <f>IF(OR($C23=0,AD$4&lt;PerStart2,AD$4&gt;PerSlut2),"",IF($BA23&lt;&gt;NotANumber,$H23,BW23))</f>
        <v/>
      </c>
      <c r="AE23" t="str">
        <f>IF(OR($C23=0,AE$4&lt;PerStart2,AE$4&gt;PerSlut2),"",IF($BA23&lt;&gt;NotANumber,$H23,BX23))</f>
        <v/>
      </c>
      <c r="AF23" t="str">
        <f>IF(OR($C23=0,AF$4&lt;PerStart2,AF$4&gt;PerSlut2),"",IF($BA23&lt;&gt;NotANumber,$H23,BY23))</f>
        <v/>
      </c>
      <c r="AG23" s="89" t="str">
        <f>IF(OR($C23=0,AG$4&lt;PerStart2,AG$4&gt;PerSlut2),"",IF($BA23&lt;&gt;NotANumber,$H23,BZ23))</f>
        <v/>
      </c>
      <c r="AH23" t="str">
        <f>IF(OR($C23=0,AH$4&lt;PerStart2,AH$4&gt;PerSlut2),"",IF($BA23&lt;&gt;NotANumber,$H23,CA23))</f>
        <v/>
      </c>
      <c r="AI23" t="str">
        <f>IF(OR($C23=0,AI$4&lt;PerStart2,AI$4&gt;PerSlut2),"",IF($BA23&lt;&gt;NotANumber,$H23,CB23))</f>
        <v/>
      </c>
      <c r="AJ23" t="str">
        <f>IF(OR($C23=0,AJ$4&lt;PerStart2,AJ$4&gt;PerSlut2),"",IF($BA23&lt;&gt;NotANumber,$H23,CC23))</f>
        <v/>
      </c>
      <c r="AK23" t="str">
        <f>IF(OR($C23=0,AK$4&lt;PerStart2,AK$4&gt;PerSlut2),"",IF($BA23&lt;&gt;NotANumber,$H23,CD23))</f>
        <v/>
      </c>
      <c r="AL23" t="str">
        <f>IF(OR($C23=0,AL$4&lt;PerStart2,AL$4&gt;PerSlut2),"",IF($BA23&lt;&gt;NotANumber,$H23,CE23))</f>
        <v/>
      </c>
      <c r="AM23" t="str">
        <f>IF(OR($C23=0,AM$4&lt;PerStart2,AM$4&gt;PerSlut2),"",IF($BA23&lt;&gt;NotANumber,$H23,CF23))</f>
        <v/>
      </c>
      <c r="AN23" t="str">
        <f>IF(OR($C23=0,AN$4&lt;PerStart2,AN$4&gt;PerSlut2),"",IF($BA23&lt;&gt;NotANumber,$H23,CG23))</f>
        <v/>
      </c>
      <c r="AO23" t="str">
        <f>IF(OR($C23=0,AO$4&lt;PerStart2,AO$4&gt;PerSlut2),"",IF($BA23&lt;&gt;NotANumber,$H23,CH23))</f>
        <v/>
      </c>
      <c r="AP23" t="str">
        <f>IF(OR($C23=0,AP$4&lt;PerStart2,AP$4&gt;PerSlut2),"",IF($BA23&lt;&gt;NotANumber,$H23,CI23))</f>
        <v/>
      </c>
      <c r="AQ23" t="str">
        <f>IF(OR($C23=0,AQ$4&lt;PerStart2,AQ$4&gt;PerSlut2),"",IF($BA23&lt;&gt;NotANumber,$H23,CJ23))</f>
        <v/>
      </c>
      <c r="AR23" t="str">
        <f>IF(OR($C23=0,AR$4&lt;PerStart2,AR$4&gt;PerSlut2),"",IF($BA23&lt;&gt;NotANumber,$H23,CK23))</f>
        <v/>
      </c>
      <c r="AT23" s="9" t="s">
        <v>185</v>
      </c>
      <c r="AU23" s="80">
        <v>1</v>
      </c>
      <c r="AV23" s="80">
        <v>9</v>
      </c>
      <c r="AW23" s="80">
        <v>1</v>
      </c>
      <c r="AX23" s="80">
        <v>4</v>
      </c>
      <c r="AY23" s="80">
        <v>15</v>
      </c>
      <c r="AZ23" s="80">
        <v>-1</v>
      </c>
      <c r="BA23" s="80">
        <v>800</v>
      </c>
    </row>
    <row r="24" spans="2:53" x14ac:dyDescent="0.25">
      <c r="B24" s="93" t="str">
        <f t="shared" si="2"/>
        <v>screc19</v>
      </c>
      <c r="C24" s="93">
        <f t="shared" si="3"/>
        <v>1</v>
      </c>
      <c r="D24" s="80">
        <f t="shared" si="5"/>
        <v>1</v>
      </c>
      <c r="E24" s="5" t="str" cm="1">
        <f t="array" ref="E24">IF(AX24&lt;=0,"",INDEX(listRoot,AX24))</f>
        <v>Prognoses</v>
      </c>
      <c r="F24" s="5" t="str" cm="1">
        <f t="array" ref="F24">IF(AY24&lt;=0.000000000001,"",INDEX(Lister!$C$4:$H$100,AY24,$AX24))</f>
        <v>Elpris</v>
      </c>
      <c r="G24" s="5" t="str" cm="1">
        <f t="array" ref="G24">IF(OR(AZ24=1,AZ24&lt;=0.000000000001),"",INDEX(Lister!$J$4:$O$100,AZ24,$AX24))</f>
        <v/>
      </c>
      <c r="H24" s="80">
        <f>IF(C24=0,"",IF(BA24=NotANumber,"",BA24))</f>
        <v>1000</v>
      </c>
      <c r="I24">
        <f>IF(OR($C24=0,I$4&lt;PerStart2,I$4&gt;PerSlut2),"",IF($BA24&lt;&gt;NotANumber,$H24,BB24))</f>
        <v>1000</v>
      </c>
      <c r="J24">
        <f>IF(OR($C24=0,J$4&lt;PerStart2,J$4&gt;PerSlut2),"",IF($BA24&lt;&gt;NotANumber,$H24,BC24))</f>
        <v>1000</v>
      </c>
      <c r="K24">
        <f>IF(OR($C24=0,K$4&lt;PerStart2,K$4&gt;PerSlut2),"",IF($BA24&lt;&gt;NotANumber,$H24,BD24))</f>
        <v>1000</v>
      </c>
      <c r="L24">
        <f>IF(OR($C24=0,L$4&lt;PerStart2,L$4&gt;PerSlut2),"",IF($BA24&lt;&gt;NotANumber,$H24,BE24))</f>
        <v>1000</v>
      </c>
      <c r="M24">
        <f>IF(OR($C24=0,M$4&lt;PerStart2,M$4&gt;PerSlut2),"",IF($BA24&lt;&gt;NotANumber,$H24,BF24))</f>
        <v>1000</v>
      </c>
      <c r="N24">
        <f>IF(OR($C24=0,N$4&lt;PerStart2,N$4&gt;PerSlut2),"",IF($BA24&lt;&gt;NotANumber,$H24,BG24))</f>
        <v>1000</v>
      </c>
      <c r="O24">
        <f>IF(OR($C24=0,O$4&lt;PerStart2,O$4&gt;PerSlut2),"",IF($BA24&lt;&gt;NotANumber,$H24,BH24))</f>
        <v>1000</v>
      </c>
      <c r="P24">
        <f>IF(OR($C24=0,P$4&lt;PerStart2,P$4&gt;PerSlut2),"",IF($BA24&lt;&gt;NotANumber,$H24,BI24))</f>
        <v>1000</v>
      </c>
      <c r="Q24">
        <f>IF(OR($C24=0,Q$4&lt;PerStart2,Q$4&gt;PerSlut2),"",IF($BA24&lt;&gt;NotANumber,$H24,BJ24))</f>
        <v>1000</v>
      </c>
      <c r="R24">
        <f>IF(OR($C24=0,R$4&lt;PerStart2,R$4&gt;PerSlut2),"",IF($BA24&lt;&gt;NotANumber,$H24,BK24))</f>
        <v>1000</v>
      </c>
      <c r="S24">
        <f>IF(OR($C24=0,S$4&lt;PerStart2,S$4&gt;PerSlut2),"",IF($BA24&lt;&gt;NotANumber,$H24,BL24))</f>
        <v>1000</v>
      </c>
      <c r="T24">
        <f>IF(OR($C24=0,T$4&lt;PerStart2,T$4&gt;PerSlut2),"",IF($BA24&lt;&gt;NotANumber,$H24,BM24))</f>
        <v>1000</v>
      </c>
      <c r="U24" s="89" t="str">
        <f>IF(OR($C24=0,U$4&lt;PerStart2,U$4&gt;PerSlut2),"",IF($BA24&lt;&gt;NotANumber,$H24,BN24))</f>
        <v/>
      </c>
      <c r="V24" t="str">
        <f>IF(OR($C24=0,V$4&lt;PerStart2,V$4&gt;PerSlut2),"",IF($BA24&lt;&gt;NotANumber,$H24,BO24))</f>
        <v/>
      </c>
      <c r="W24" t="str">
        <f>IF(OR($C24=0,W$4&lt;PerStart2,W$4&gt;PerSlut2),"",IF($BA24&lt;&gt;NotANumber,$H24,BP24))</f>
        <v/>
      </c>
      <c r="X24" t="str">
        <f>IF(OR($C24=0,X$4&lt;PerStart2,X$4&gt;PerSlut2),"",IF($BA24&lt;&gt;NotANumber,$H24,BQ24))</f>
        <v/>
      </c>
      <c r="Y24" t="str">
        <f>IF(OR($C24=0,Y$4&lt;PerStart2,Y$4&gt;PerSlut2),"",IF($BA24&lt;&gt;NotANumber,$H24,BR24))</f>
        <v/>
      </c>
      <c r="Z24" t="str">
        <f>IF(OR($C24=0,Z$4&lt;PerStart2,Z$4&gt;PerSlut2),"",IF($BA24&lt;&gt;NotANumber,$H24,BS24))</f>
        <v/>
      </c>
      <c r="AA24" t="str">
        <f>IF(OR($C24=0,AA$4&lt;PerStart2,AA$4&gt;PerSlut2),"",IF($BA24&lt;&gt;NotANumber,$H24,BT24))</f>
        <v/>
      </c>
      <c r="AB24" t="str">
        <f>IF(OR($C24=0,AB$4&lt;PerStart2,AB$4&gt;PerSlut2),"",IF($BA24&lt;&gt;NotANumber,$H24,BU24))</f>
        <v/>
      </c>
      <c r="AC24" t="str">
        <f>IF(OR($C24=0,AC$4&lt;PerStart2,AC$4&gt;PerSlut2),"",IF($BA24&lt;&gt;NotANumber,$H24,BV24))</f>
        <v/>
      </c>
      <c r="AD24" t="str">
        <f>IF(OR($C24=0,AD$4&lt;PerStart2,AD$4&gt;PerSlut2),"",IF($BA24&lt;&gt;NotANumber,$H24,BW24))</f>
        <v/>
      </c>
      <c r="AE24" t="str">
        <f>IF(OR($C24=0,AE$4&lt;PerStart2,AE$4&gt;PerSlut2),"",IF($BA24&lt;&gt;NotANumber,$H24,BX24))</f>
        <v/>
      </c>
      <c r="AF24" t="str">
        <f>IF(OR($C24=0,AF$4&lt;PerStart2,AF$4&gt;PerSlut2),"",IF($BA24&lt;&gt;NotANumber,$H24,BY24))</f>
        <v/>
      </c>
      <c r="AG24" s="89" t="str">
        <f>IF(OR($C24=0,AG$4&lt;PerStart2,AG$4&gt;PerSlut2),"",IF($BA24&lt;&gt;NotANumber,$H24,BZ24))</f>
        <v/>
      </c>
      <c r="AH24" t="str">
        <f>IF(OR($C24=0,AH$4&lt;PerStart2,AH$4&gt;PerSlut2),"",IF($BA24&lt;&gt;NotANumber,$H24,CA24))</f>
        <v/>
      </c>
      <c r="AI24" t="str">
        <f>IF(OR($C24=0,AI$4&lt;PerStart2,AI$4&gt;PerSlut2),"",IF($BA24&lt;&gt;NotANumber,$H24,CB24))</f>
        <v/>
      </c>
      <c r="AJ24" t="str">
        <f>IF(OR($C24=0,AJ$4&lt;PerStart2,AJ$4&gt;PerSlut2),"",IF($BA24&lt;&gt;NotANumber,$H24,CC24))</f>
        <v/>
      </c>
      <c r="AK24" t="str">
        <f>IF(OR($C24=0,AK$4&lt;PerStart2,AK$4&gt;PerSlut2),"",IF($BA24&lt;&gt;NotANumber,$H24,CD24))</f>
        <v/>
      </c>
      <c r="AL24" t="str">
        <f>IF(OR($C24=0,AL$4&lt;PerStart2,AL$4&gt;PerSlut2),"",IF($BA24&lt;&gt;NotANumber,$H24,CE24))</f>
        <v/>
      </c>
      <c r="AM24" t="str">
        <f>IF(OR($C24=0,AM$4&lt;PerStart2,AM$4&gt;PerSlut2),"",IF($BA24&lt;&gt;NotANumber,$H24,CF24))</f>
        <v/>
      </c>
      <c r="AN24" t="str">
        <f>IF(OR($C24=0,AN$4&lt;PerStart2,AN$4&gt;PerSlut2),"",IF($BA24&lt;&gt;NotANumber,$H24,CG24))</f>
        <v/>
      </c>
      <c r="AO24" t="str">
        <f>IF(OR($C24=0,AO$4&lt;PerStart2,AO$4&gt;PerSlut2),"",IF($BA24&lt;&gt;NotANumber,$H24,CH24))</f>
        <v/>
      </c>
      <c r="AP24" t="str">
        <f>IF(OR($C24=0,AP$4&lt;PerStart2,AP$4&gt;PerSlut2),"",IF($BA24&lt;&gt;NotANumber,$H24,CI24))</f>
        <v/>
      </c>
      <c r="AQ24" t="str">
        <f>IF(OR($C24=0,AQ$4&lt;PerStart2,AQ$4&gt;PerSlut2),"",IF($BA24&lt;&gt;NotANumber,$H24,CJ24))</f>
        <v/>
      </c>
      <c r="AR24" t="str">
        <f>IF(OR($C24=0,AR$4&lt;PerStart2,AR$4&gt;PerSlut2),"",IF($BA24&lt;&gt;NotANumber,$H24,CK24))</f>
        <v/>
      </c>
      <c r="AT24" s="9" t="s">
        <v>186</v>
      </c>
      <c r="AU24" s="80">
        <v>1</v>
      </c>
      <c r="AV24" s="80">
        <v>10</v>
      </c>
      <c r="AW24" s="80">
        <v>1</v>
      </c>
      <c r="AX24" s="80">
        <v>4</v>
      </c>
      <c r="AY24" s="80">
        <v>14</v>
      </c>
      <c r="AZ24" s="80">
        <v>-1</v>
      </c>
      <c r="BA24" s="80">
        <v>1000</v>
      </c>
    </row>
    <row r="25" spans="2:53" x14ac:dyDescent="0.25">
      <c r="B25" s="93" t="str">
        <f t="shared" si="2"/>
        <v>screc20</v>
      </c>
      <c r="C25" s="93">
        <f t="shared" si="3"/>
        <v>1</v>
      </c>
      <c r="D25" s="80">
        <f t="shared" si="5"/>
        <v>1</v>
      </c>
      <c r="E25" s="5" t="str" cm="1">
        <f t="array" ref="E25">IF(AX25&lt;=0,"",INDEX(listRoot,AX25))</f>
        <v>Prognoses</v>
      </c>
      <c r="F25" s="5" t="str" cm="1">
        <f t="array" ref="F25">IF(AY25&lt;=0.000000000001,"",INDEX(Lister!$C$4:$H$100,AY25,$AX25))</f>
        <v>ETS</v>
      </c>
      <c r="G25" s="5" t="str" cm="1">
        <f t="array" ref="G25">IF(OR(AZ25=1,AZ25&lt;=0.000000000001),"",INDEX(Lister!$J$4:$O$100,AZ25,$AX25))</f>
        <v/>
      </c>
      <c r="H25" s="80">
        <f>IF(C25=0,"",IF(BA25=NotANumber,"",BA25))</f>
        <v>800</v>
      </c>
      <c r="I25">
        <f>IF(OR($C25=0,I$4&lt;PerStart2,I$4&gt;PerSlut2),"",IF($BA25&lt;&gt;NotANumber,$H25,BB25))</f>
        <v>800</v>
      </c>
      <c r="J25">
        <f>IF(OR($C25=0,J$4&lt;PerStart2,J$4&gt;PerSlut2),"",IF($BA25&lt;&gt;NotANumber,$H25,BC25))</f>
        <v>800</v>
      </c>
      <c r="K25">
        <f>IF(OR($C25=0,K$4&lt;PerStart2,K$4&gt;PerSlut2),"",IF($BA25&lt;&gt;NotANumber,$H25,BD25))</f>
        <v>800</v>
      </c>
      <c r="L25">
        <f>IF(OR($C25=0,L$4&lt;PerStart2,L$4&gt;PerSlut2),"",IF($BA25&lt;&gt;NotANumber,$H25,BE25))</f>
        <v>800</v>
      </c>
      <c r="M25">
        <f>IF(OR($C25=0,M$4&lt;PerStart2,M$4&gt;PerSlut2),"",IF($BA25&lt;&gt;NotANumber,$H25,BF25))</f>
        <v>800</v>
      </c>
      <c r="N25">
        <f>IF(OR($C25=0,N$4&lt;PerStart2,N$4&gt;PerSlut2),"",IF($BA25&lt;&gt;NotANumber,$H25,BG25))</f>
        <v>800</v>
      </c>
      <c r="O25">
        <f>IF(OR($C25=0,O$4&lt;PerStart2,O$4&gt;PerSlut2),"",IF($BA25&lt;&gt;NotANumber,$H25,BH25))</f>
        <v>800</v>
      </c>
      <c r="P25">
        <f>IF(OR($C25=0,P$4&lt;PerStart2,P$4&gt;PerSlut2),"",IF($BA25&lt;&gt;NotANumber,$H25,BI25))</f>
        <v>800</v>
      </c>
      <c r="Q25">
        <f>IF(OR($C25=0,Q$4&lt;PerStart2,Q$4&gt;PerSlut2),"",IF($BA25&lt;&gt;NotANumber,$H25,BJ25))</f>
        <v>800</v>
      </c>
      <c r="R25">
        <f>IF(OR($C25=0,R$4&lt;PerStart2,R$4&gt;PerSlut2),"",IF($BA25&lt;&gt;NotANumber,$H25,BK25))</f>
        <v>800</v>
      </c>
      <c r="S25">
        <f>IF(OR($C25=0,S$4&lt;PerStart2,S$4&gt;PerSlut2),"",IF($BA25&lt;&gt;NotANumber,$H25,BL25))</f>
        <v>800</v>
      </c>
      <c r="T25">
        <f>IF(OR($C25=0,T$4&lt;PerStart2,T$4&gt;PerSlut2),"",IF($BA25&lt;&gt;NotANumber,$H25,BM25))</f>
        <v>800</v>
      </c>
      <c r="U25" s="89" t="str">
        <f>IF(OR($C25=0,U$4&lt;PerStart2,U$4&gt;PerSlut2),"",IF($BA25&lt;&gt;NotANumber,$H25,BN25))</f>
        <v/>
      </c>
      <c r="V25" t="str">
        <f>IF(OR($C25=0,V$4&lt;PerStart2,V$4&gt;PerSlut2),"",IF($BA25&lt;&gt;NotANumber,$H25,BO25))</f>
        <v/>
      </c>
      <c r="W25" t="str">
        <f>IF(OR($C25=0,W$4&lt;PerStart2,W$4&gt;PerSlut2),"",IF($BA25&lt;&gt;NotANumber,$H25,BP25))</f>
        <v/>
      </c>
      <c r="X25" t="str">
        <f>IF(OR($C25=0,X$4&lt;PerStart2,X$4&gt;PerSlut2),"",IF($BA25&lt;&gt;NotANumber,$H25,BQ25))</f>
        <v/>
      </c>
      <c r="Y25" t="str">
        <f>IF(OR($C25=0,Y$4&lt;PerStart2,Y$4&gt;PerSlut2),"",IF($BA25&lt;&gt;NotANumber,$H25,BR25))</f>
        <v/>
      </c>
      <c r="Z25" t="str">
        <f>IF(OR($C25=0,Z$4&lt;PerStart2,Z$4&gt;PerSlut2),"",IF($BA25&lt;&gt;NotANumber,$H25,BS25))</f>
        <v/>
      </c>
      <c r="AA25" t="str">
        <f>IF(OR($C25=0,AA$4&lt;PerStart2,AA$4&gt;PerSlut2),"",IF($BA25&lt;&gt;NotANumber,$H25,BT25))</f>
        <v/>
      </c>
      <c r="AB25" t="str">
        <f>IF(OR($C25=0,AB$4&lt;PerStart2,AB$4&gt;PerSlut2),"",IF($BA25&lt;&gt;NotANumber,$H25,BU25))</f>
        <v/>
      </c>
      <c r="AC25" t="str">
        <f>IF(OR($C25=0,AC$4&lt;PerStart2,AC$4&gt;PerSlut2),"",IF($BA25&lt;&gt;NotANumber,$H25,BV25))</f>
        <v/>
      </c>
      <c r="AD25" t="str">
        <f>IF(OR($C25=0,AD$4&lt;PerStart2,AD$4&gt;PerSlut2),"",IF($BA25&lt;&gt;NotANumber,$H25,BW25))</f>
        <v/>
      </c>
      <c r="AE25" t="str">
        <f>IF(OR($C25=0,AE$4&lt;PerStart2,AE$4&gt;PerSlut2),"",IF($BA25&lt;&gt;NotANumber,$H25,BX25))</f>
        <v/>
      </c>
      <c r="AF25" t="str">
        <f>IF(OR($C25=0,AF$4&lt;PerStart2,AF$4&gt;PerSlut2),"",IF($BA25&lt;&gt;NotANumber,$H25,BY25))</f>
        <v/>
      </c>
      <c r="AG25" s="89" t="str">
        <f>IF(OR($C25=0,AG$4&lt;PerStart2,AG$4&gt;PerSlut2),"",IF($BA25&lt;&gt;NotANumber,$H25,BZ25))</f>
        <v/>
      </c>
      <c r="AH25" t="str">
        <f>IF(OR($C25=0,AH$4&lt;PerStart2,AH$4&gt;PerSlut2),"",IF($BA25&lt;&gt;NotANumber,$H25,CA25))</f>
        <v/>
      </c>
      <c r="AI25" t="str">
        <f>IF(OR($C25=0,AI$4&lt;PerStart2,AI$4&gt;PerSlut2),"",IF($BA25&lt;&gt;NotANumber,$H25,CB25))</f>
        <v/>
      </c>
      <c r="AJ25" t="str">
        <f>IF(OR($C25=0,AJ$4&lt;PerStart2,AJ$4&gt;PerSlut2),"",IF($BA25&lt;&gt;NotANumber,$H25,CC25))</f>
        <v/>
      </c>
      <c r="AK25" t="str">
        <f>IF(OR($C25=0,AK$4&lt;PerStart2,AK$4&gt;PerSlut2),"",IF($BA25&lt;&gt;NotANumber,$H25,CD25))</f>
        <v/>
      </c>
      <c r="AL25" t="str">
        <f>IF(OR($C25=0,AL$4&lt;PerStart2,AL$4&gt;PerSlut2),"",IF($BA25&lt;&gt;NotANumber,$H25,CE25))</f>
        <v/>
      </c>
      <c r="AM25" t="str">
        <f>IF(OR($C25=0,AM$4&lt;PerStart2,AM$4&gt;PerSlut2),"",IF($BA25&lt;&gt;NotANumber,$H25,CF25))</f>
        <v/>
      </c>
      <c r="AN25" t="str">
        <f>IF(OR($C25=0,AN$4&lt;PerStart2,AN$4&gt;PerSlut2),"",IF($BA25&lt;&gt;NotANumber,$H25,CG25))</f>
        <v/>
      </c>
      <c r="AO25" t="str">
        <f>IF(OR($C25=0,AO$4&lt;PerStart2,AO$4&gt;PerSlut2),"",IF($BA25&lt;&gt;NotANumber,$H25,CH25))</f>
        <v/>
      </c>
      <c r="AP25" t="str">
        <f>IF(OR($C25=0,AP$4&lt;PerStart2,AP$4&gt;PerSlut2),"",IF($BA25&lt;&gt;NotANumber,$H25,CI25))</f>
        <v/>
      </c>
      <c r="AQ25" t="str">
        <f>IF(OR($C25=0,AQ$4&lt;PerStart2,AQ$4&gt;PerSlut2),"",IF($BA25&lt;&gt;NotANumber,$H25,CJ25))</f>
        <v/>
      </c>
      <c r="AR25" t="str">
        <f>IF(OR($C25=0,AR$4&lt;PerStart2,AR$4&gt;PerSlut2),"",IF($BA25&lt;&gt;NotANumber,$H25,CK25))</f>
        <v/>
      </c>
      <c r="AT25" s="9" t="s">
        <v>187</v>
      </c>
      <c r="AU25" s="80">
        <v>1</v>
      </c>
      <c r="AV25" s="80">
        <v>10</v>
      </c>
      <c r="AW25" s="80">
        <v>1</v>
      </c>
      <c r="AX25" s="80">
        <v>4</v>
      </c>
      <c r="AY25" s="80">
        <v>15</v>
      </c>
      <c r="AZ25" s="80">
        <v>-1</v>
      </c>
      <c r="BA25" s="80">
        <v>800</v>
      </c>
    </row>
    <row r="26" spans="2:53" x14ac:dyDescent="0.25">
      <c r="B26" s="93" t="str">
        <f t="shared" si="2"/>
        <v/>
      </c>
      <c r="C26" s="93">
        <f t="shared" si="3"/>
        <v>0</v>
      </c>
      <c r="D26" s="80" t="str">
        <f t="shared" si="5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80" t="str">
        <f>IF(C26=0,"",IF(BA26=NotANumber,"",BA26))</f>
        <v/>
      </c>
      <c r="I26" t="str">
        <f>IF(OR($C26=0,I$4&lt;PerStart2,I$4&gt;PerSlut2),"",IF($BA26&lt;&gt;NotANumber,$H26,BB26))</f>
        <v/>
      </c>
      <c r="J26" t="str">
        <f>IF(OR($C26=0,J$4&lt;PerStart2,J$4&gt;PerSlut2),"",IF($BA26&lt;&gt;NotANumber,$H26,BC26))</f>
        <v/>
      </c>
      <c r="K26" t="str">
        <f>IF(OR($C26=0,K$4&lt;PerStart2,K$4&gt;PerSlut2),"",IF($BA26&lt;&gt;NotANumber,$H26,BD26))</f>
        <v/>
      </c>
      <c r="L26" t="str">
        <f>IF(OR($C26=0,L$4&lt;PerStart2,L$4&gt;PerSlut2),"",IF($BA26&lt;&gt;NotANumber,$H26,BE26))</f>
        <v/>
      </c>
      <c r="M26" t="str">
        <f>IF(OR($C26=0,M$4&lt;PerStart2,M$4&gt;PerSlut2),"",IF($BA26&lt;&gt;NotANumber,$H26,BF26))</f>
        <v/>
      </c>
      <c r="N26" t="str">
        <f>IF(OR($C26=0,N$4&lt;PerStart2,N$4&gt;PerSlut2),"",IF($BA26&lt;&gt;NotANumber,$H26,BG26))</f>
        <v/>
      </c>
      <c r="O26" t="str">
        <f>IF(OR($C26=0,O$4&lt;PerStart2,O$4&gt;PerSlut2),"",IF($BA26&lt;&gt;NotANumber,$H26,BH26))</f>
        <v/>
      </c>
      <c r="P26" t="str">
        <f>IF(OR($C26=0,P$4&lt;PerStart2,P$4&gt;PerSlut2),"",IF($BA26&lt;&gt;NotANumber,$H26,BI26))</f>
        <v/>
      </c>
      <c r="Q26" t="str">
        <f>IF(OR($C26=0,Q$4&lt;PerStart2,Q$4&gt;PerSlut2),"",IF($BA26&lt;&gt;NotANumber,$H26,BJ26))</f>
        <v/>
      </c>
      <c r="R26" t="str">
        <f>IF(OR($C26=0,R$4&lt;PerStart2,R$4&gt;PerSlut2),"",IF($BA26&lt;&gt;NotANumber,$H26,BK26))</f>
        <v/>
      </c>
      <c r="S26" t="str">
        <f>IF(OR($C26=0,S$4&lt;PerStart2,S$4&gt;PerSlut2),"",IF($BA26&lt;&gt;NotANumber,$H26,BL26))</f>
        <v/>
      </c>
      <c r="T26" t="str">
        <f>IF(OR($C26=0,T$4&lt;PerStart2,T$4&gt;PerSlut2),"",IF($BA26&lt;&gt;NotANumber,$H26,BM26))</f>
        <v/>
      </c>
      <c r="U26" s="89" t="str">
        <f>IF(OR($C26=0,U$4&lt;PerStart2,U$4&gt;PerSlut2),"",IF($BA26&lt;&gt;NotANumber,$H26,BN26))</f>
        <v/>
      </c>
      <c r="V26" t="str">
        <f>IF(OR($C26=0,V$4&lt;PerStart2,V$4&gt;PerSlut2),"",IF($BA26&lt;&gt;NotANumber,$H26,BO26))</f>
        <v/>
      </c>
      <c r="W26" t="str">
        <f>IF(OR($C26=0,W$4&lt;PerStart2,W$4&gt;PerSlut2),"",IF($BA26&lt;&gt;NotANumber,$H26,BP26))</f>
        <v/>
      </c>
      <c r="X26" t="str">
        <f>IF(OR($C26=0,X$4&lt;PerStart2,X$4&gt;PerSlut2),"",IF($BA26&lt;&gt;NotANumber,$H26,BQ26))</f>
        <v/>
      </c>
      <c r="Y26" t="str">
        <f>IF(OR($C26=0,Y$4&lt;PerStart2,Y$4&gt;PerSlut2),"",IF($BA26&lt;&gt;NotANumber,$H26,BR26))</f>
        <v/>
      </c>
      <c r="Z26" t="str">
        <f>IF(OR($C26=0,Z$4&lt;PerStart2,Z$4&gt;PerSlut2),"",IF($BA26&lt;&gt;NotANumber,$H26,BS26))</f>
        <v/>
      </c>
      <c r="AA26" t="str">
        <f>IF(OR($C26=0,AA$4&lt;PerStart2,AA$4&gt;PerSlut2),"",IF($BA26&lt;&gt;NotANumber,$H26,BT26))</f>
        <v/>
      </c>
      <c r="AB26" t="str">
        <f>IF(OR($C26=0,AB$4&lt;PerStart2,AB$4&gt;PerSlut2),"",IF($BA26&lt;&gt;NotANumber,$H26,BU26))</f>
        <v/>
      </c>
      <c r="AC26" t="str">
        <f>IF(OR($C26=0,AC$4&lt;PerStart2,AC$4&gt;PerSlut2),"",IF($BA26&lt;&gt;NotANumber,$H26,BV26))</f>
        <v/>
      </c>
      <c r="AD26" t="str">
        <f>IF(OR($C26=0,AD$4&lt;PerStart2,AD$4&gt;PerSlut2),"",IF($BA26&lt;&gt;NotANumber,$H26,BW26))</f>
        <v/>
      </c>
      <c r="AE26" t="str">
        <f>IF(OR($C26=0,AE$4&lt;PerStart2,AE$4&gt;PerSlut2),"",IF($BA26&lt;&gt;NotANumber,$H26,BX26))</f>
        <v/>
      </c>
      <c r="AF26" t="str">
        <f>IF(OR($C26=0,AF$4&lt;PerStart2,AF$4&gt;PerSlut2),"",IF($BA26&lt;&gt;NotANumber,$H26,BY26))</f>
        <v/>
      </c>
      <c r="AG26" s="89" t="str">
        <f>IF(OR($C26=0,AG$4&lt;PerStart2,AG$4&gt;PerSlut2),"",IF($BA26&lt;&gt;NotANumber,$H26,BZ26))</f>
        <v/>
      </c>
      <c r="AH26" t="str">
        <f>IF(OR($C26=0,AH$4&lt;PerStart2,AH$4&gt;PerSlut2),"",IF($BA26&lt;&gt;NotANumber,$H26,CA26))</f>
        <v/>
      </c>
      <c r="AI26" t="str">
        <f>IF(OR($C26=0,AI$4&lt;PerStart2,AI$4&gt;PerSlut2),"",IF($BA26&lt;&gt;NotANumber,$H26,CB26))</f>
        <v/>
      </c>
      <c r="AJ26" t="str">
        <f>IF(OR($C26=0,AJ$4&lt;PerStart2,AJ$4&gt;PerSlut2),"",IF($BA26&lt;&gt;NotANumber,$H26,CC26))</f>
        <v/>
      </c>
      <c r="AK26" t="str">
        <f>IF(OR($C26=0,AK$4&lt;PerStart2,AK$4&gt;PerSlut2),"",IF($BA26&lt;&gt;NotANumber,$H26,CD26))</f>
        <v/>
      </c>
      <c r="AL26" t="str">
        <f>IF(OR($C26=0,AL$4&lt;PerStart2,AL$4&gt;PerSlut2),"",IF($BA26&lt;&gt;NotANumber,$H26,CE26))</f>
        <v/>
      </c>
      <c r="AM26" t="str">
        <f>IF(OR($C26=0,AM$4&lt;PerStart2,AM$4&gt;PerSlut2),"",IF($BA26&lt;&gt;NotANumber,$H26,CF26))</f>
        <v/>
      </c>
      <c r="AN26" t="str">
        <f>IF(OR($C26=0,AN$4&lt;PerStart2,AN$4&gt;PerSlut2),"",IF($BA26&lt;&gt;NotANumber,$H26,CG26))</f>
        <v/>
      </c>
      <c r="AO26" t="str">
        <f>IF(OR($C26=0,AO$4&lt;PerStart2,AO$4&gt;PerSlut2),"",IF($BA26&lt;&gt;NotANumber,$H26,CH26))</f>
        <v/>
      </c>
      <c r="AP26" t="str">
        <f>IF(OR($C26=0,AP$4&lt;PerStart2,AP$4&gt;PerSlut2),"",IF($BA26&lt;&gt;NotANumber,$H26,CI26))</f>
        <v/>
      </c>
      <c r="AQ26" t="str">
        <f>IF(OR($C26=0,AQ$4&lt;PerStart2,AQ$4&gt;PerSlut2),"",IF($BA26&lt;&gt;NotANumber,$H26,CJ26))</f>
        <v/>
      </c>
      <c r="AR26" t="str">
        <f>IF(OR($C26=0,AR$4&lt;PerStart2,AR$4&gt;PerSlut2),"",IF($BA26&lt;&gt;NotANumber,$H26,CK26))</f>
        <v/>
      </c>
      <c r="AU26" s="80"/>
    </row>
    <row r="27" spans="2:53" x14ac:dyDescent="0.25">
      <c r="B27" s="93" t="str">
        <f t="shared" si="2"/>
        <v/>
      </c>
      <c r="C27" s="93">
        <f t="shared" si="3"/>
        <v>0</v>
      </c>
      <c r="D27" s="80" t="str">
        <f t="shared" si="5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80" t="str">
        <f>IF(C27=0,"",IF(BA27=NotANumber,"",BA27))</f>
        <v/>
      </c>
      <c r="I27" t="str">
        <f>IF(OR($C27=0,I$4&lt;PerStart2,I$4&gt;PerSlut2),"",IF($BA27&lt;&gt;NotANumber,$H27,BB27))</f>
        <v/>
      </c>
      <c r="J27" t="str">
        <f>IF(OR($C27=0,J$4&lt;PerStart2,J$4&gt;PerSlut2),"",IF($BA27&lt;&gt;NotANumber,$H27,BC27))</f>
        <v/>
      </c>
      <c r="K27" t="str">
        <f>IF(OR($C27=0,K$4&lt;PerStart2,K$4&gt;PerSlut2),"",IF($BA27&lt;&gt;NotANumber,$H27,BD27))</f>
        <v/>
      </c>
      <c r="L27" t="str">
        <f>IF(OR($C27=0,L$4&lt;PerStart2,L$4&gt;PerSlut2),"",IF($BA27&lt;&gt;NotANumber,$H27,BE27))</f>
        <v/>
      </c>
      <c r="M27" t="str">
        <f>IF(OR($C27=0,M$4&lt;PerStart2,M$4&gt;PerSlut2),"",IF($BA27&lt;&gt;NotANumber,$H27,BF27))</f>
        <v/>
      </c>
      <c r="N27" t="str">
        <f>IF(OR($C27=0,N$4&lt;PerStart2,N$4&gt;PerSlut2),"",IF($BA27&lt;&gt;NotANumber,$H27,BG27))</f>
        <v/>
      </c>
      <c r="O27" t="str">
        <f>IF(OR($C27=0,O$4&lt;PerStart2,O$4&gt;PerSlut2),"",IF($BA27&lt;&gt;NotANumber,$H27,BH27))</f>
        <v/>
      </c>
      <c r="P27" t="str">
        <f>IF(OR($C27=0,P$4&lt;PerStart2,P$4&gt;PerSlut2),"",IF($BA27&lt;&gt;NotANumber,$H27,BI27))</f>
        <v/>
      </c>
      <c r="Q27" t="str">
        <f>IF(OR($C27=0,Q$4&lt;PerStart2,Q$4&gt;PerSlut2),"",IF($BA27&lt;&gt;NotANumber,$H27,BJ27))</f>
        <v/>
      </c>
      <c r="R27" t="str">
        <f>IF(OR($C27=0,R$4&lt;PerStart2,R$4&gt;PerSlut2),"",IF($BA27&lt;&gt;NotANumber,$H27,BK27))</f>
        <v/>
      </c>
      <c r="S27" t="str">
        <f>IF(OR($C27=0,S$4&lt;PerStart2,S$4&gt;PerSlut2),"",IF($BA27&lt;&gt;NotANumber,$H27,BL27))</f>
        <v/>
      </c>
      <c r="T27" t="str">
        <f>IF(OR($C27=0,T$4&lt;PerStart2,T$4&gt;PerSlut2),"",IF($BA27&lt;&gt;NotANumber,$H27,BM27))</f>
        <v/>
      </c>
      <c r="U27" s="89" t="str">
        <f>IF(OR($C27=0,U$4&lt;PerStart2,U$4&gt;PerSlut2),"",IF($BA27&lt;&gt;NotANumber,$H27,BN27))</f>
        <v/>
      </c>
      <c r="V27" t="str">
        <f>IF(OR($C27=0,V$4&lt;PerStart2,V$4&gt;PerSlut2),"",IF($BA27&lt;&gt;NotANumber,$H27,BO27))</f>
        <v/>
      </c>
      <c r="W27" t="str">
        <f>IF(OR($C27=0,W$4&lt;PerStart2,W$4&gt;PerSlut2),"",IF($BA27&lt;&gt;NotANumber,$H27,BP27))</f>
        <v/>
      </c>
      <c r="X27" t="str">
        <f>IF(OR($C27=0,X$4&lt;PerStart2,X$4&gt;PerSlut2),"",IF($BA27&lt;&gt;NotANumber,$H27,BQ27))</f>
        <v/>
      </c>
      <c r="Y27" t="str">
        <f>IF(OR($C27=0,Y$4&lt;PerStart2,Y$4&gt;PerSlut2),"",IF($BA27&lt;&gt;NotANumber,$H27,BR27))</f>
        <v/>
      </c>
      <c r="Z27" t="str">
        <f>IF(OR($C27=0,Z$4&lt;PerStart2,Z$4&gt;PerSlut2),"",IF($BA27&lt;&gt;NotANumber,$H27,BS27))</f>
        <v/>
      </c>
      <c r="AA27" t="str">
        <f>IF(OR($C27=0,AA$4&lt;PerStart2,AA$4&gt;PerSlut2),"",IF($BA27&lt;&gt;NotANumber,$H27,BT27))</f>
        <v/>
      </c>
      <c r="AB27" t="str">
        <f>IF(OR($C27=0,AB$4&lt;PerStart2,AB$4&gt;PerSlut2),"",IF($BA27&lt;&gt;NotANumber,$H27,BU27))</f>
        <v/>
      </c>
      <c r="AC27" t="str">
        <f>IF(OR($C27=0,AC$4&lt;PerStart2,AC$4&gt;PerSlut2),"",IF($BA27&lt;&gt;NotANumber,$H27,BV27))</f>
        <v/>
      </c>
      <c r="AD27" t="str">
        <f>IF(OR($C27=0,AD$4&lt;PerStart2,AD$4&gt;PerSlut2),"",IF($BA27&lt;&gt;NotANumber,$H27,BW27))</f>
        <v/>
      </c>
      <c r="AE27" t="str">
        <f>IF(OR($C27=0,AE$4&lt;PerStart2,AE$4&gt;PerSlut2),"",IF($BA27&lt;&gt;NotANumber,$H27,BX27))</f>
        <v/>
      </c>
      <c r="AF27" t="str">
        <f>IF(OR($C27=0,AF$4&lt;PerStart2,AF$4&gt;PerSlut2),"",IF($BA27&lt;&gt;NotANumber,$H27,BY27))</f>
        <v/>
      </c>
      <c r="AG27" s="89" t="str">
        <f>IF(OR($C27=0,AG$4&lt;PerStart2,AG$4&gt;PerSlut2),"",IF($BA27&lt;&gt;NotANumber,$H27,BZ27))</f>
        <v/>
      </c>
      <c r="AH27" t="str">
        <f>IF(OR($C27=0,AH$4&lt;PerStart2,AH$4&gt;PerSlut2),"",IF($BA27&lt;&gt;NotANumber,$H27,CA27))</f>
        <v/>
      </c>
      <c r="AI27" t="str">
        <f>IF(OR($C27=0,AI$4&lt;PerStart2,AI$4&gt;PerSlut2),"",IF($BA27&lt;&gt;NotANumber,$H27,CB27))</f>
        <v/>
      </c>
      <c r="AJ27" t="str">
        <f>IF(OR($C27=0,AJ$4&lt;PerStart2,AJ$4&gt;PerSlut2),"",IF($BA27&lt;&gt;NotANumber,$H27,CC27))</f>
        <v/>
      </c>
      <c r="AK27" t="str">
        <f>IF(OR($C27=0,AK$4&lt;PerStart2,AK$4&gt;PerSlut2),"",IF($BA27&lt;&gt;NotANumber,$H27,CD27))</f>
        <v/>
      </c>
      <c r="AL27" t="str">
        <f>IF(OR($C27=0,AL$4&lt;PerStart2,AL$4&gt;PerSlut2),"",IF($BA27&lt;&gt;NotANumber,$H27,CE27))</f>
        <v/>
      </c>
      <c r="AM27" t="str">
        <f>IF(OR($C27=0,AM$4&lt;PerStart2,AM$4&gt;PerSlut2),"",IF($BA27&lt;&gt;NotANumber,$H27,CF27))</f>
        <v/>
      </c>
      <c r="AN27" t="str">
        <f>IF(OR($C27=0,AN$4&lt;PerStart2,AN$4&gt;PerSlut2),"",IF($BA27&lt;&gt;NotANumber,$H27,CG27))</f>
        <v/>
      </c>
      <c r="AO27" t="str">
        <f>IF(OR($C27=0,AO$4&lt;PerStart2,AO$4&gt;PerSlut2),"",IF($BA27&lt;&gt;NotANumber,$H27,CH27))</f>
        <v/>
      </c>
      <c r="AP27" t="str">
        <f>IF(OR($C27=0,AP$4&lt;PerStart2,AP$4&gt;PerSlut2),"",IF($BA27&lt;&gt;NotANumber,$H27,CI27))</f>
        <v/>
      </c>
      <c r="AQ27" t="str">
        <f>IF(OR($C27=0,AQ$4&lt;PerStart2,AQ$4&gt;PerSlut2),"",IF($BA27&lt;&gt;NotANumber,$H27,CJ27))</f>
        <v/>
      </c>
      <c r="AR27" t="str">
        <f>IF(OR($C27=0,AR$4&lt;PerStart2,AR$4&gt;PerSlut2),"",IF($BA27&lt;&gt;NotANumber,$H27,CK27))</f>
        <v/>
      </c>
      <c r="AU27" s="80"/>
    </row>
    <row r="28" spans="2:53" x14ac:dyDescent="0.25">
      <c r="B28" s="93" t="str">
        <f t="shared" si="2"/>
        <v/>
      </c>
      <c r="C28" s="93">
        <f t="shared" si="3"/>
        <v>0</v>
      </c>
      <c r="D28" s="80" t="str">
        <f t="shared" si="5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80" t="str">
        <f>IF(C28=0,"",IF(BA28=NotANumber,"",BA28))</f>
        <v/>
      </c>
      <c r="I28" t="str">
        <f>IF(OR($C28=0,I$4&lt;PerStart2,I$4&gt;PerSlut2),"",IF($BA28&lt;&gt;NotANumber,$H28,BB28))</f>
        <v/>
      </c>
      <c r="J28" t="str">
        <f>IF(OR($C28=0,J$4&lt;PerStart2,J$4&gt;PerSlut2),"",IF($BA28&lt;&gt;NotANumber,$H28,BC28))</f>
        <v/>
      </c>
      <c r="K28" t="str">
        <f>IF(OR($C28=0,K$4&lt;PerStart2,K$4&gt;PerSlut2),"",IF($BA28&lt;&gt;NotANumber,$H28,BD28))</f>
        <v/>
      </c>
      <c r="L28" t="str">
        <f>IF(OR($C28=0,L$4&lt;PerStart2,L$4&gt;PerSlut2),"",IF($BA28&lt;&gt;NotANumber,$H28,BE28))</f>
        <v/>
      </c>
      <c r="M28" t="str">
        <f>IF(OR($C28=0,M$4&lt;PerStart2,M$4&gt;PerSlut2),"",IF($BA28&lt;&gt;NotANumber,$H28,BF28))</f>
        <v/>
      </c>
      <c r="N28" t="str">
        <f>IF(OR($C28=0,N$4&lt;PerStart2,N$4&gt;PerSlut2),"",IF($BA28&lt;&gt;NotANumber,$H28,BG28))</f>
        <v/>
      </c>
      <c r="O28" t="str">
        <f>IF(OR($C28=0,O$4&lt;PerStart2,O$4&gt;PerSlut2),"",IF($BA28&lt;&gt;NotANumber,$H28,BH28))</f>
        <v/>
      </c>
      <c r="P28" t="str">
        <f>IF(OR($C28=0,P$4&lt;PerStart2,P$4&gt;PerSlut2),"",IF($BA28&lt;&gt;NotANumber,$H28,BI28))</f>
        <v/>
      </c>
      <c r="Q28" t="str">
        <f>IF(OR($C28=0,Q$4&lt;PerStart2,Q$4&gt;PerSlut2),"",IF($BA28&lt;&gt;NotANumber,$H28,BJ28))</f>
        <v/>
      </c>
      <c r="R28" t="str">
        <f>IF(OR($C28=0,R$4&lt;PerStart2,R$4&gt;PerSlut2),"",IF($BA28&lt;&gt;NotANumber,$H28,BK28))</f>
        <v/>
      </c>
      <c r="S28" t="str">
        <f>IF(OR($C28=0,S$4&lt;PerStart2,S$4&gt;PerSlut2),"",IF($BA28&lt;&gt;NotANumber,$H28,BL28))</f>
        <v/>
      </c>
      <c r="T28" t="str">
        <f>IF(OR($C28=0,T$4&lt;PerStart2,T$4&gt;PerSlut2),"",IF($BA28&lt;&gt;NotANumber,$H28,BM28))</f>
        <v/>
      </c>
      <c r="U28" s="89" t="str">
        <f>IF(OR($C28=0,U$4&lt;PerStart2,U$4&gt;PerSlut2),"",IF($BA28&lt;&gt;NotANumber,$H28,BN28))</f>
        <v/>
      </c>
      <c r="V28" t="str">
        <f>IF(OR($C28=0,V$4&lt;PerStart2,V$4&gt;PerSlut2),"",IF($BA28&lt;&gt;NotANumber,$H28,BO28))</f>
        <v/>
      </c>
      <c r="W28" t="str">
        <f>IF(OR($C28=0,W$4&lt;PerStart2,W$4&gt;PerSlut2),"",IF($BA28&lt;&gt;NotANumber,$H28,BP28))</f>
        <v/>
      </c>
      <c r="X28" t="str">
        <f>IF(OR($C28=0,X$4&lt;PerStart2,X$4&gt;PerSlut2),"",IF($BA28&lt;&gt;NotANumber,$H28,BQ28))</f>
        <v/>
      </c>
      <c r="Y28" t="str">
        <f>IF(OR($C28=0,Y$4&lt;PerStart2,Y$4&gt;PerSlut2),"",IF($BA28&lt;&gt;NotANumber,$H28,BR28))</f>
        <v/>
      </c>
      <c r="Z28" t="str">
        <f>IF(OR($C28=0,Z$4&lt;PerStart2,Z$4&gt;PerSlut2),"",IF($BA28&lt;&gt;NotANumber,$H28,BS28))</f>
        <v/>
      </c>
      <c r="AA28" t="str">
        <f>IF(OR($C28=0,AA$4&lt;PerStart2,AA$4&gt;PerSlut2),"",IF($BA28&lt;&gt;NotANumber,$H28,BT28))</f>
        <v/>
      </c>
      <c r="AB28" t="str">
        <f>IF(OR($C28=0,AB$4&lt;PerStart2,AB$4&gt;PerSlut2),"",IF($BA28&lt;&gt;NotANumber,$H28,BU28))</f>
        <v/>
      </c>
      <c r="AC28" t="str">
        <f>IF(OR($C28=0,AC$4&lt;PerStart2,AC$4&gt;PerSlut2),"",IF($BA28&lt;&gt;NotANumber,$H28,BV28))</f>
        <v/>
      </c>
      <c r="AD28" t="str">
        <f>IF(OR($C28=0,AD$4&lt;PerStart2,AD$4&gt;PerSlut2),"",IF($BA28&lt;&gt;NotANumber,$H28,BW28))</f>
        <v/>
      </c>
      <c r="AE28" t="str">
        <f>IF(OR($C28=0,AE$4&lt;PerStart2,AE$4&gt;PerSlut2),"",IF($BA28&lt;&gt;NotANumber,$H28,BX28))</f>
        <v/>
      </c>
      <c r="AF28" t="str">
        <f>IF(OR($C28=0,AF$4&lt;PerStart2,AF$4&gt;PerSlut2),"",IF($BA28&lt;&gt;NotANumber,$H28,BY28))</f>
        <v/>
      </c>
      <c r="AG28" s="89" t="str">
        <f>IF(OR($C28=0,AG$4&lt;PerStart2,AG$4&gt;PerSlut2),"",IF($BA28&lt;&gt;NotANumber,$H28,BZ28))</f>
        <v/>
      </c>
      <c r="AH28" t="str">
        <f>IF(OR($C28=0,AH$4&lt;PerStart2,AH$4&gt;PerSlut2),"",IF($BA28&lt;&gt;NotANumber,$H28,CA28))</f>
        <v/>
      </c>
      <c r="AI28" t="str">
        <f>IF(OR($C28=0,AI$4&lt;PerStart2,AI$4&gt;PerSlut2),"",IF($BA28&lt;&gt;NotANumber,$H28,CB28))</f>
        <v/>
      </c>
      <c r="AJ28" t="str">
        <f>IF(OR($C28=0,AJ$4&lt;PerStart2,AJ$4&gt;PerSlut2),"",IF($BA28&lt;&gt;NotANumber,$H28,CC28))</f>
        <v/>
      </c>
      <c r="AK28" t="str">
        <f>IF(OR($C28=0,AK$4&lt;PerStart2,AK$4&gt;PerSlut2),"",IF($BA28&lt;&gt;NotANumber,$H28,CD28))</f>
        <v/>
      </c>
      <c r="AL28" t="str">
        <f>IF(OR($C28=0,AL$4&lt;PerStart2,AL$4&gt;PerSlut2),"",IF($BA28&lt;&gt;NotANumber,$H28,CE28))</f>
        <v/>
      </c>
      <c r="AM28" t="str">
        <f>IF(OR($C28=0,AM$4&lt;PerStart2,AM$4&gt;PerSlut2),"",IF($BA28&lt;&gt;NotANumber,$H28,CF28))</f>
        <v/>
      </c>
      <c r="AN28" t="str">
        <f>IF(OR($C28=0,AN$4&lt;PerStart2,AN$4&gt;PerSlut2),"",IF($BA28&lt;&gt;NotANumber,$H28,CG28))</f>
        <v/>
      </c>
      <c r="AO28" t="str">
        <f>IF(OR($C28=0,AO$4&lt;PerStart2,AO$4&gt;PerSlut2),"",IF($BA28&lt;&gt;NotANumber,$H28,CH28))</f>
        <v/>
      </c>
      <c r="AP28" t="str">
        <f>IF(OR($C28=0,AP$4&lt;PerStart2,AP$4&gt;PerSlut2),"",IF($BA28&lt;&gt;NotANumber,$H28,CI28))</f>
        <v/>
      </c>
      <c r="AQ28" t="str">
        <f>IF(OR($C28=0,AQ$4&lt;PerStart2,AQ$4&gt;PerSlut2),"",IF($BA28&lt;&gt;NotANumber,$H28,CJ28))</f>
        <v/>
      </c>
      <c r="AR28" t="str">
        <f>IF(OR($C28=0,AR$4&lt;PerStart2,AR$4&gt;PerSlut2),"",IF($BA28&lt;&gt;NotANumber,$H28,CK28))</f>
        <v/>
      </c>
      <c r="AU28" s="80"/>
    </row>
    <row r="29" spans="2:53" x14ac:dyDescent="0.25">
      <c r="B29" s="93" t="str">
        <f t="shared" si="2"/>
        <v/>
      </c>
      <c r="C29" s="93">
        <f t="shared" si="3"/>
        <v>0</v>
      </c>
      <c r="D29" s="80" t="str">
        <f t="shared" si="5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80" t="str">
        <f>IF(C29=0,"",IF(BA29=NotANumber,"",BA29))</f>
        <v/>
      </c>
      <c r="I29" t="str">
        <f>IF(OR($C29=0,I$4&lt;PerStart2,I$4&gt;PerSlut2),"",IF($BA29&lt;&gt;NotANumber,$H29,BB29))</f>
        <v/>
      </c>
      <c r="J29" t="str">
        <f>IF(OR($C29=0,J$4&lt;PerStart2,J$4&gt;PerSlut2),"",IF($BA29&lt;&gt;NotANumber,$H29,BC29))</f>
        <v/>
      </c>
      <c r="K29" t="str">
        <f>IF(OR($C29=0,K$4&lt;PerStart2,K$4&gt;PerSlut2),"",IF($BA29&lt;&gt;NotANumber,$H29,BD29))</f>
        <v/>
      </c>
      <c r="L29" t="str">
        <f>IF(OR($C29=0,L$4&lt;PerStart2,L$4&gt;PerSlut2),"",IF($BA29&lt;&gt;NotANumber,$H29,BE29))</f>
        <v/>
      </c>
      <c r="M29" t="str">
        <f>IF(OR($C29=0,M$4&lt;PerStart2,M$4&gt;PerSlut2),"",IF($BA29&lt;&gt;NotANumber,$H29,BF29))</f>
        <v/>
      </c>
      <c r="N29" t="str">
        <f>IF(OR($C29=0,N$4&lt;PerStart2,N$4&gt;PerSlut2),"",IF($BA29&lt;&gt;NotANumber,$H29,BG29))</f>
        <v/>
      </c>
      <c r="O29" t="str">
        <f>IF(OR($C29=0,O$4&lt;PerStart2,O$4&gt;PerSlut2),"",IF($BA29&lt;&gt;NotANumber,$H29,BH29))</f>
        <v/>
      </c>
      <c r="P29" t="str">
        <f>IF(OR($C29=0,P$4&lt;PerStart2,P$4&gt;PerSlut2),"",IF($BA29&lt;&gt;NotANumber,$H29,BI29))</f>
        <v/>
      </c>
      <c r="Q29" t="str">
        <f>IF(OR($C29=0,Q$4&lt;PerStart2,Q$4&gt;PerSlut2),"",IF($BA29&lt;&gt;NotANumber,$H29,BJ29))</f>
        <v/>
      </c>
      <c r="R29" t="str">
        <f>IF(OR($C29=0,R$4&lt;PerStart2,R$4&gt;PerSlut2),"",IF($BA29&lt;&gt;NotANumber,$H29,BK29))</f>
        <v/>
      </c>
      <c r="S29" t="str">
        <f>IF(OR($C29=0,S$4&lt;PerStart2,S$4&gt;PerSlut2),"",IF($BA29&lt;&gt;NotANumber,$H29,BL29))</f>
        <v/>
      </c>
      <c r="T29" t="str">
        <f>IF(OR($C29=0,T$4&lt;PerStart2,T$4&gt;PerSlut2),"",IF($BA29&lt;&gt;NotANumber,$H29,BM29))</f>
        <v/>
      </c>
      <c r="U29" s="89" t="str">
        <f>IF(OR($C29=0,U$4&lt;PerStart2,U$4&gt;PerSlut2),"",IF($BA29&lt;&gt;NotANumber,$H29,BN29))</f>
        <v/>
      </c>
      <c r="V29" t="str">
        <f>IF(OR($C29=0,V$4&lt;PerStart2,V$4&gt;PerSlut2),"",IF($BA29&lt;&gt;NotANumber,$H29,BO29))</f>
        <v/>
      </c>
      <c r="W29" t="str">
        <f>IF(OR($C29=0,W$4&lt;PerStart2,W$4&gt;PerSlut2),"",IF($BA29&lt;&gt;NotANumber,$H29,BP29))</f>
        <v/>
      </c>
      <c r="X29" t="str">
        <f>IF(OR($C29=0,X$4&lt;PerStart2,X$4&gt;PerSlut2),"",IF($BA29&lt;&gt;NotANumber,$H29,BQ29))</f>
        <v/>
      </c>
      <c r="Y29" t="str">
        <f>IF(OR($C29=0,Y$4&lt;PerStart2,Y$4&gt;PerSlut2),"",IF($BA29&lt;&gt;NotANumber,$H29,BR29))</f>
        <v/>
      </c>
      <c r="Z29" t="str">
        <f>IF(OR($C29=0,Z$4&lt;PerStart2,Z$4&gt;PerSlut2),"",IF($BA29&lt;&gt;NotANumber,$H29,BS29))</f>
        <v/>
      </c>
      <c r="AA29" t="str">
        <f>IF(OR($C29=0,AA$4&lt;PerStart2,AA$4&gt;PerSlut2),"",IF($BA29&lt;&gt;NotANumber,$H29,BT29))</f>
        <v/>
      </c>
      <c r="AB29" t="str">
        <f>IF(OR($C29=0,AB$4&lt;PerStart2,AB$4&gt;PerSlut2),"",IF($BA29&lt;&gt;NotANumber,$H29,BU29))</f>
        <v/>
      </c>
      <c r="AC29" t="str">
        <f>IF(OR($C29=0,AC$4&lt;PerStart2,AC$4&gt;PerSlut2),"",IF($BA29&lt;&gt;NotANumber,$H29,BV29))</f>
        <v/>
      </c>
      <c r="AD29" t="str">
        <f>IF(OR($C29=0,AD$4&lt;PerStart2,AD$4&gt;PerSlut2),"",IF($BA29&lt;&gt;NotANumber,$H29,BW29))</f>
        <v/>
      </c>
      <c r="AE29" t="str">
        <f>IF(OR($C29=0,AE$4&lt;PerStart2,AE$4&gt;PerSlut2),"",IF($BA29&lt;&gt;NotANumber,$H29,BX29))</f>
        <v/>
      </c>
      <c r="AF29" t="str">
        <f>IF(OR($C29=0,AF$4&lt;PerStart2,AF$4&gt;PerSlut2),"",IF($BA29&lt;&gt;NotANumber,$H29,BY29))</f>
        <v/>
      </c>
      <c r="AG29" s="89" t="str">
        <f>IF(OR($C29=0,AG$4&lt;PerStart2,AG$4&gt;PerSlut2),"",IF($BA29&lt;&gt;NotANumber,$H29,BZ29))</f>
        <v/>
      </c>
      <c r="AH29" t="str">
        <f>IF(OR($C29=0,AH$4&lt;PerStart2,AH$4&gt;PerSlut2),"",IF($BA29&lt;&gt;NotANumber,$H29,CA29))</f>
        <v/>
      </c>
      <c r="AI29" t="str">
        <f>IF(OR($C29=0,AI$4&lt;PerStart2,AI$4&gt;PerSlut2),"",IF($BA29&lt;&gt;NotANumber,$H29,CB29))</f>
        <v/>
      </c>
      <c r="AJ29" t="str">
        <f>IF(OR($C29=0,AJ$4&lt;PerStart2,AJ$4&gt;PerSlut2),"",IF($BA29&lt;&gt;NotANumber,$H29,CC29))</f>
        <v/>
      </c>
      <c r="AK29" t="str">
        <f>IF(OR($C29=0,AK$4&lt;PerStart2,AK$4&gt;PerSlut2),"",IF($BA29&lt;&gt;NotANumber,$H29,CD29))</f>
        <v/>
      </c>
      <c r="AL29" t="str">
        <f>IF(OR($C29=0,AL$4&lt;PerStart2,AL$4&gt;PerSlut2),"",IF($BA29&lt;&gt;NotANumber,$H29,CE29))</f>
        <v/>
      </c>
      <c r="AM29" t="str">
        <f>IF(OR($C29=0,AM$4&lt;PerStart2,AM$4&gt;PerSlut2),"",IF($BA29&lt;&gt;NotANumber,$H29,CF29))</f>
        <v/>
      </c>
      <c r="AN29" t="str">
        <f>IF(OR($C29=0,AN$4&lt;PerStart2,AN$4&gt;PerSlut2),"",IF($BA29&lt;&gt;NotANumber,$H29,CG29))</f>
        <v/>
      </c>
      <c r="AO29" t="str">
        <f>IF(OR($C29=0,AO$4&lt;PerStart2,AO$4&gt;PerSlut2),"",IF($BA29&lt;&gt;NotANumber,$H29,CH29))</f>
        <v/>
      </c>
      <c r="AP29" t="str">
        <f>IF(OR($C29=0,AP$4&lt;PerStart2,AP$4&gt;PerSlut2),"",IF($BA29&lt;&gt;NotANumber,$H29,CI29))</f>
        <v/>
      </c>
      <c r="AQ29" t="str">
        <f>IF(OR($C29=0,AQ$4&lt;PerStart2,AQ$4&gt;PerSlut2),"",IF($BA29&lt;&gt;NotANumber,$H29,CJ29))</f>
        <v/>
      </c>
      <c r="AR29" t="str">
        <f>IF(OR($C29=0,AR$4&lt;PerStart2,AR$4&gt;PerSlut2),"",IF($BA29&lt;&gt;NotANumber,$H29,CK29))</f>
        <v/>
      </c>
      <c r="AU29" s="80"/>
    </row>
    <row r="30" spans="2:53" x14ac:dyDescent="0.25">
      <c r="B30" s="93" t="str">
        <f t="shared" si="2"/>
        <v/>
      </c>
      <c r="C30" s="93">
        <f t="shared" si="3"/>
        <v>0</v>
      </c>
      <c r="D30" s="80" t="str">
        <f t="shared" si="5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80" t="str">
        <f>IF(C30=0,"",IF(BA30=NotANumber,"",BA30))</f>
        <v/>
      </c>
      <c r="I30" t="str">
        <f>IF(OR($C30=0,I$4&lt;PerStart2,I$4&gt;PerSlut2),"",IF($BA30&lt;&gt;NotANumber,$H30,BB30))</f>
        <v/>
      </c>
      <c r="J30" t="str">
        <f>IF(OR($C30=0,J$4&lt;PerStart2,J$4&gt;PerSlut2),"",IF($BA30&lt;&gt;NotANumber,$H30,BC30))</f>
        <v/>
      </c>
      <c r="K30" t="str">
        <f>IF(OR($C30=0,K$4&lt;PerStart2,K$4&gt;PerSlut2),"",IF($BA30&lt;&gt;NotANumber,$H30,BD30))</f>
        <v/>
      </c>
      <c r="L30" t="str">
        <f>IF(OR($C30=0,L$4&lt;PerStart2,L$4&gt;PerSlut2),"",IF($BA30&lt;&gt;NotANumber,$H30,BE30))</f>
        <v/>
      </c>
      <c r="M30" t="str">
        <f>IF(OR($C30=0,M$4&lt;PerStart2,M$4&gt;PerSlut2),"",IF($BA30&lt;&gt;NotANumber,$H30,BF30))</f>
        <v/>
      </c>
      <c r="N30" t="str">
        <f>IF(OR($C30=0,N$4&lt;PerStart2,N$4&gt;PerSlut2),"",IF($BA30&lt;&gt;NotANumber,$H30,BG30))</f>
        <v/>
      </c>
      <c r="O30" t="str">
        <f>IF(OR($C30=0,O$4&lt;PerStart2,O$4&gt;PerSlut2),"",IF($BA30&lt;&gt;NotANumber,$H30,BH30))</f>
        <v/>
      </c>
      <c r="P30" t="str">
        <f>IF(OR($C30=0,P$4&lt;PerStart2,P$4&gt;PerSlut2),"",IF($BA30&lt;&gt;NotANumber,$H30,BI30))</f>
        <v/>
      </c>
      <c r="Q30" t="str">
        <f>IF(OR($C30=0,Q$4&lt;PerStart2,Q$4&gt;PerSlut2),"",IF($BA30&lt;&gt;NotANumber,$H30,BJ30))</f>
        <v/>
      </c>
      <c r="R30" t="str">
        <f>IF(OR($C30=0,R$4&lt;PerStart2,R$4&gt;PerSlut2),"",IF($BA30&lt;&gt;NotANumber,$H30,BK30))</f>
        <v/>
      </c>
      <c r="S30" t="str">
        <f>IF(OR($C30=0,S$4&lt;PerStart2,S$4&gt;PerSlut2),"",IF($BA30&lt;&gt;NotANumber,$H30,BL30))</f>
        <v/>
      </c>
      <c r="T30" t="str">
        <f>IF(OR($C30=0,T$4&lt;PerStart2,T$4&gt;PerSlut2),"",IF($BA30&lt;&gt;NotANumber,$H30,BM30))</f>
        <v/>
      </c>
      <c r="U30" s="89" t="str">
        <f>IF(OR($C30=0,U$4&lt;PerStart2,U$4&gt;PerSlut2),"",IF($BA30&lt;&gt;NotANumber,$H30,BN30))</f>
        <v/>
      </c>
      <c r="V30" t="str">
        <f>IF(OR($C30=0,V$4&lt;PerStart2,V$4&gt;PerSlut2),"",IF($BA30&lt;&gt;NotANumber,$H30,BO30))</f>
        <v/>
      </c>
      <c r="W30" t="str">
        <f>IF(OR($C30=0,W$4&lt;PerStart2,W$4&gt;PerSlut2),"",IF($BA30&lt;&gt;NotANumber,$H30,BP30))</f>
        <v/>
      </c>
      <c r="X30" t="str">
        <f>IF(OR($C30=0,X$4&lt;PerStart2,X$4&gt;PerSlut2),"",IF($BA30&lt;&gt;NotANumber,$H30,BQ30))</f>
        <v/>
      </c>
      <c r="Y30" t="str">
        <f>IF(OR($C30=0,Y$4&lt;PerStart2,Y$4&gt;PerSlut2),"",IF($BA30&lt;&gt;NotANumber,$H30,BR30))</f>
        <v/>
      </c>
      <c r="Z30" t="str">
        <f>IF(OR($C30=0,Z$4&lt;PerStart2,Z$4&gt;PerSlut2),"",IF($BA30&lt;&gt;NotANumber,$H30,BS30))</f>
        <v/>
      </c>
      <c r="AA30" t="str">
        <f>IF(OR($C30=0,AA$4&lt;PerStart2,AA$4&gt;PerSlut2),"",IF($BA30&lt;&gt;NotANumber,$H30,BT30))</f>
        <v/>
      </c>
      <c r="AB30" t="str">
        <f>IF(OR($C30=0,AB$4&lt;PerStart2,AB$4&gt;PerSlut2),"",IF($BA30&lt;&gt;NotANumber,$H30,BU30))</f>
        <v/>
      </c>
      <c r="AC30" t="str">
        <f>IF(OR($C30=0,AC$4&lt;PerStart2,AC$4&gt;PerSlut2),"",IF($BA30&lt;&gt;NotANumber,$H30,BV30))</f>
        <v/>
      </c>
      <c r="AD30" t="str">
        <f>IF(OR($C30=0,AD$4&lt;PerStart2,AD$4&gt;PerSlut2),"",IF($BA30&lt;&gt;NotANumber,$H30,BW30))</f>
        <v/>
      </c>
      <c r="AE30" t="str">
        <f>IF(OR($C30=0,AE$4&lt;PerStart2,AE$4&gt;PerSlut2),"",IF($BA30&lt;&gt;NotANumber,$H30,BX30))</f>
        <v/>
      </c>
      <c r="AF30" t="str">
        <f>IF(OR($C30=0,AF$4&lt;PerStart2,AF$4&gt;PerSlut2),"",IF($BA30&lt;&gt;NotANumber,$H30,BY30))</f>
        <v/>
      </c>
      <c r="AG30" s="89" t="str">
        <f>IF(OR($C30=0,AG$4&lt;PerStart2,AG$4&gt;PerSlut2),"",IF($BA30&lt;&gt;NotANumber,$H30,BZ30))</f>
        <v/>
      </c>
      <c r="AH30" t="str">
        <f>IF(OR($C30=0,AH$4&lt;PerStart2,AH$4&gt;PerSlut2),"",IF($BA30&lt;&gt;NotANumber,$H30,CA30))</f>
        <v/>
      </c>
      <c r="AI30" t="str">
        <f>IF(OR($C30=0,AI$4&lt;PerStart2,AI$4&gt;PerSlut2),"",IF($BA30&lt;&gt;NotANumber,$H30,CB30))</f>
        <v/>
      </c>
      <c r="AJ30" t="str">
        <f>IF(OR($C30=0,AJ$4&lt;PerStart2,AJ$4&gt;PerSlut2),"",IF($BA30&lt;&gt;NotANumber,$H30,CC30))</f>
        <v/>
      </c>
      <c r="AK30" t="str">
        <f>IF(OR($C30=0,AK$4&lt;PerStart2,AK$4&gt;PerSlut2),"",IF($BA30&lt;&gt;NotANumber,$H30,CD30))</f>
        <v/>
      </c>
      <c r="AL30" t="str">
        <f>IF(OR($C30=0,AL$4&lt;PerStart2,AL$4&gt;PerSlut2),"",IF($BA30&lt;&gt;NotANumber,$H30,CE30))</f>
        <v/>
      </c>
      <c r="AM30" t="str">
        <f>IF(OR($C30=0,AM$4&lt;PerStart2,AM$4&gt;PerSlut2),"",IF($BA30&lt;&gt;NotANumber,$H30,CF30))</f>
        <v/>
      </c>
      <c r="AN30" t="str">
        <f>IF(OR($C30=0,AN$4&lt;PerStart2,AN$4&gt;PerSlut2),"",IF($BA30&lt;&gt;NotANumber,$H30,CG30))</f>
        <v/>
      </c>
      <c r="AO30" t="str">
        <f>IF(OR($C30=0,AO$4&lt;PerStart2,AO$4&gt;PerSlut2),"",IF($BA30&lt;&gt;NotANumber,$H30,CH30))</f>
        <v/>
      </c>
      <c r="AP30" t="str">
        <f>IF(OR($C30=0,AP$4&lt;PerStart2,AP$4&gt;PerSlut2),"",IF($BA30&lt;&gt;NotANumber,$H30,CI30))</f>
        <v/>
      </c>
      <c r="AQ30" t="str">
        <f>IF(OR($C30=0,AQ$4&lt;PerStart2,AQ$4&gt;PerSlut2),"",IF($BA30&lt;&gt;NotANumber,$H30,CJ30))</f>
        <v/>
      </c>
      <c r="AR30" t="str">
        <f>IF(OR($C30=0,AR$4&lt;PerStart2,AR$4&gt;PerSlut2),"",IF($BA30&lt;&gt;NotANumber,$H30,CK30))</f>
        <v/>
      </c>
      <c r="AU30" s="80"/>
    </row>
    <row r="31" spans="2:53" x14ac:dyDescent="0.25">
      <c r="B31" s="93" t="str">
        <f t="shared" si="2"/>
        <v/>
      </c>
      <c r="C31" s="93">
        <f t="shared" si="3"/>
        <v>0</v>
      </c>
      <c r="D31" s="80" t="str">
        <f t="shared" si="5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80" t="str">
        <f>IF(C31=0,"",IF(BA31=NotANumber,"",BA31))</f>
        <v/>
      </c>
      <c r="I31" t="str">
        <f>IF(OR($C31=0,I$4&lt;PerStart2,I$4&gt;PerSlut2),"",IF($BA31&lt;&gt;NotANumber,$H31,BB31))</f>
        <v/>
      </c>
      <c r="J31" t="str">
        <f>IF(OR($C31=0,J$4&lt;PerStart2,J$4&gt;PerSlut2),"",IF($BA31&lt;&gt;NotANumber,$H31,BC31))</f>
        <v/>
      </c>
      <c r="K31" t="str">
        <f>IF(OR($C31=0,K$4&lt;PerStart2,K$4&gt;PerSlut2),"",IF($BA31&lt;&gt;NotANumber,$H31,BD31))</f>
        <v/>
      </c>
      <c r="L31" t="str">
        <f>IF(OR($C31=0,L$4&lt;PerStart2,L$4&gt;PerSlut2),"",IF($BA31&lt;&gt;NotANumber,$H31,BE31))</f>
        <v/>
      </c>
      <c r="M31" t="str">
        <f>IF(OR($C31=0,M$4&lt;PerStart2,M$4&gt;PerSlut2),"",IF($BA31&lt;&gt;NotANumber,$H31,BF31))</f>
        <v/>
      </c>
      <c r="N31" t="str">
        <f>IF(OR($C31=0,N$4&lt;PerStart2,N$4&gt;PerSlut2),"",IF($BA31&lt;&gt;NotANumber,$H31,BG31))</f>
        <v/>
      </c>
      <c r="O31" t="str">
        <f>IF(OR($C31=0,O$4&lt;PerStart2,O$4&gt;PerSlut2),"",IF($BA31&lt;&gt;NotANumber,$H31,BH31))</f>
        <v/>
      </c>
      <c r="P31" t="str">
        <f>IF(OR($C31=0,P$4&lt;PerStart2,P$4&gt;PerSlut2),"",IF($BA31&lt;&gt;NotANumber,$H31,BI31))</f>
        <v/>
      </c>
      <c r="Q31" t="str">
        <f>IF(OR($C31=0,Q$4&lt;PerStart2,Q$4&gt;PerSlut2),"",IF($BA31&lt;&gt;NotANumber,$H31,BJ31))</f>
        <v/>
      </c>
      <c r="R31" t="str">
        <f>IF(OR($C31=0,R$4&lt;PerStart2,R$4&gt;PerSlut2),"",IF($BA31&lt;&gt;NotANumber,$H31,BK31))</f>
        <v/>
      </c>
      <c r="S31" t="str">
        <f>IF(OR($C31=0,S$4&lt;PerStart2,S$4&gt;PerSlut2),"",IF($BA31&lt;&gt;NotANumber,$H31,BL31))</f>
        <v/>
      </c>
      <c r="T31" t="str">
        <f>IF(OR($C31=0,T$4&lt;PerStart2,T$4&gt;PerSlut2),"",IF($BA31&lt;&gt;NotANumber,$H31,BM31))</f>
        <v/>
      </c>
      <c r="U31" s="89" t="str">
        <f>IF(OR($C31=0,U$4&lt;PerStart2,U$4&gt;PerSlut2),"",IF($BA31&lt;&gt;NotANumber,$H31,BN31))</f>
        <v/>
      </c>
      <c r="V31" t="str">
        <f>IF(OR($C31=0,V$4&lt;PerStart2,V$4&gt;PerSlut2),"",IF($BA31&lt;&gt;NotANumber,$H31,BO31))</f>
        <v/>
      </c>
      <c r="W31" t="str">
        <f>IF(OR($C31=0,W$4&lt;PerStart2,W$4&gt;PerSlut2),"",IF($BA31&lt;&gt;NotANumber,$H31,BP31))</f>
        <v/>
      </c>
      <c r="X31" t="str">
        <f>IF(OR($C31=0,X$4&lt;PerStart2,X$4&gt;PerSlut2),"",IF($BA31&lt;&gt;NotANumber,$H31,BQ31))</f>
        <v/>
      </c>
      <c r="Y31" t="str">
        <f>IF(OR($C31=0,Y$4&lt;PerStart2,Y$4&gt;PerSlut2),"",IF($BA31&lt;&gt;NotANumber,$H31,BR31))</f>
        <v/>
      </c>
      <c r="Z31" t="str">
        <f>IF(OR($C31=0,Z$4&lt;PerStart2,Z$4&gt;PerSlut2),"",IF($BA31&lt;&gt;NotANumber,$H31,BS31))</f>
        <v/>
      </c>
      <c r="AA31" t="str">
        <f>IF(OR($C31=0,AA$4&lt;PerStart2,AA$4&gt;PerSlut2),"",IF($BA31&lt;&gt;NotANumber,$H31,BT31))</f>
        <v/>
      </c>
      <c r="AB31" t="str">
        <f>IF(OR($C31=0,AB$4&lt;PerStart2,AB$4&gt;PerSlut2),"",IF($BA31&lt;&gt;NotANumber,$H31,BU31))</f>
        <v/>
      </c>
      <c r="AC31" t="str">
        <f>IF(OR($C31=0,AC$4&lt;PerStart2,AC$4&gt;PerSlut2),"",IF($BA31&lt;&gt;NotANumber,$H31,BV31))</f>
        <v/>
      </c>
      <c r="AD31" t="str">
        <f>IF(OR($C31=0,AD$4&lt;PerStart2,AD$4&gt;PerSlut2),"",IF($BA31&lt;&gt;NotANumber,$H31,BW31))</f>
        <v/>
      </c>
      <c r="AE31" t="str">
        <f>IF(OR($C31=0,AE$4&lt;PerStart2,AE$4&gt;PerSlut2),"",IF($BA31&lt;&gt;NotANumber,$H31,BX31))</f>
        <v/>
      </c>
      <c r="AF31" t="str">
        <f>IF(OR($C31=0,AF$4&lt;PerStart2,AF$4&gt;PerSlut2),"",IF($BA31&lt;&gt;NotANumber,$H31,BY31))</f>
        <v/>
      </c>
      <c r="AG31" s="89" t="str">
        <f>IF(OR($C31=0,AG$4&lt;PerStart2,AG$4&gt;PerSlut2),"",IF($BA31&lt;&gt;NotANumber,$H31,BZ31))</f>
        <v/>
      </c>
      <c r="AH31" t="str">
        <f>IF(OR($C31=0,AH$4&lt;PerStart2,AH$4&gt;PerSlut2),"",IF($BA31&lt;&gt;NotANumber,$H31,CA31))</f>
        <v/>
      </c>
      <c r="AI31" t="str">
        <f>IF(OR($C31=0,AI$4&lt;PerStart2,AI$4&gt;PerSlut2),"",IF($BA31&lt;&gt;NotANumber,$H31,CB31))</f>
        <v/>
      </c>
      <c r="AJ31" t="str">
        <f>IF(OR($C31=0,AJ$4&lt;PerStart2,AJ$4&gt;PerSlut2),"",IF($BA31&lt;&gt;NotANumber,$H31,CC31))</f>
        <v/>
      </c>
      <c r="AK31" t="str">
        <f>IF(OR($C31=0,AK$4&lt;PerStart2,AK$4&gt;PerSlut2),"",IF($BA31&lt;&gt;NotANumber,$H31,CD31))</f>
        <v/>
      </c>
      <c r="AL31" t="str">
        <f>IF(OR($C31=0,AL$4&lt;PerStart2,AL$4&gt;PerSlut2),"",IF($BA31&lt;&gt;NotANumber,$H31,CE31))</f>
        <v/>
      </c>
      <c r="AM31" t="str">
        <f>IF(OR($C31=0,AM$4&lt;PerStart2,AM$4&gt;PerSlut2),"",IF($BA31&lt;&gt;NotANumber,$H31,CF31))</f>
        <v/>
      </c>
      <c r="AN31" t="str">
        <f>IF(OR($C31=0,AN$4&lt;PerStart2,AN$4&gt;PerSlut2),"",IF($BA31&lt;&gt;NotANumber,$H31,CG31))</f>
        <v/>
      </c>
      <c r="AO31" t="str">
        <f>IF(OR($C31=0,AO$4&lt;PerStart2,AO$4&gt;PerSlut2),"",IF($BA31&lt;&gt;NotANumber,$H31,CH31))</f>
        <v/>
      </c>
      <c r="AP31" t="str">
        <f>IF(OR($C31=0,AP$4&lt;PerStart2,AP$4&gt;PerSlut2),"",IF($BA31&lt;&gt;NotANumber,$H31,CI31))</f>
        <v/>
      </c>
      <c r="AQ31" t="str">
        <f>IF(OR($C31=0,AQ$4&lt;PerStart2,AQ$4&gt;PerSlut2),"",IF($BA31&lt;&gt;NotANumber,$H31,CJ31))</f>
        <v/>
      </c>
      <c r="AR31" t="str">
        <f>IF(OR($C31=0,AR$4&lt;PerStart2,AR$4&gt;PerSlut2),"",IF($BA31&lt;&gt;NotANumber,$H31,CK31))</f>
        <v/>
      </c>
      <c r="AU31" s="80"/>
    </row>
    <row r="32" spans="2:53" x14ac:dyDescent="0.25">
      <c r="B32" s="93" t="str">
        <f t="shared" si="2"/>
        <v/>
      </c>
      <c r="C32" s="93">
        <f t="shared" si="3"/>
        <v>0</v>
      </c>
      <c r="D32" s="80" t="str">
        <f t="shared" si="5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80" t="str">
        <f>IF(C32=0,"",IF(BA32=NotANumber,"",BA32))</f>
        <v/>
      </c>
      <c r="I32" t="str">
        <f>IF(OR($C32=0,I$4&lt;PerStart2,I$4&gt;PerSlut2),"",IF($BA32&lt;&gt;NotANumber,$H32,BB32))</f>
        <v/>
      </c>
      <c r="J32" t="str">
        <f>IF(OR($C32=0,J$4&lt;PerStart2,J$4&gt;PerSlut2),"",IF($BA32&lt;&gt;NotANumber,$H32,BC32))</f>
        <v/>
      </c>
      <c r="K32" t="str">
        <f>IF(OR($C32=0,K$4&lt;PerStart2,K$4&gt;PerSlut2),"",IF($BA32&lt;&gt;NotANumber,$H32,BD32))</f>
        <v/>
      </c>
      <c r="L32" t="str">
        <f>IF(OR($C32=0,L$4&lt;PerStart2,L$4&gt;PerSlut2),"",IF($BA32&lt;&gt;NotANumber,$H32,BE32))</f>
        <v/>
      </c>
      <c r="M32" t="str">
        <f>IF(OR($C32=0,M$4&lt;PerStart2,M$4&gt;PerSlut2),"",IF($BA32&lt;&gt;NotANumber,$H32,BF32))</f>
        <v/>
      </c>
      <c r="N32" t="str">
        <f>IF(OR($C32=0,N$4&lt;PerStart2,N$4&gt;PerSlut2),"",IF($BA32&lt;&gt;NotANumber,$H32,BG32))</f>
        <v/>
      </c>
      <c r="O32" t="str">
        <f>IF(OR($C32=0,O$4&lt;PerStart2,O$4&gt;PerSlut2),"",IF($BA32&lt;&gt;NotANumber,$H32,BH32))</f>
        <v/>
      </c>
      <c r="P32" t="str">
        <f>IF(OR($C32=0,P$4&lt;PerStart2,P$4&gt;PerSlut2),"",IF($BA32&lt;&gt;NotANumber,$H32,BI32))</f>
        <v/>
      </c>
      <c r="Q32" t="str">
        <f>IF(OR($C32=0,Q$4&lt;PerStart2,Q$4&gt;PerSlut2),"",IF($BA32&lt;&gt;NotANumber,$H32,BJ32))</f>
        <v/>
      </c>
      <c r="R32" t="str">
        <f>IF(OR($C32=0,R$4&lt;PerStart2,R$4&gt;PerSlut2),"",IF($BA32&lt;&gt;NotANumber,$H32,BK32))</f>
        <v/>
      </c>
      <c r="S32" t="str">
        <f>IF(OR($C32=0,S$4&lt;PerStart2,S$4&gt;PerSlut2),"",IF($BA32&lt;&gt;NotANumber,$H32,BL32))</f>
        <v/>
      </c>
      <c r="T32" t="str">
        <f>IF(OR($C32=0,T$4&lt;PerStart2,T$4&gt;PerSlut2),"",IF($BA32&lt;&gt;NotANumber,$H32,BM32))</f>
        <v/>
      </c>
      <c r="U32" s="89" t="str">
        <f>IF(OR($C32=0,U$4&lt;PerStart2,U$4&gt;PerSlut2),"",IF($BA32&lt;&gt;NotANumber,$H32,BN32))</f>
        <v/>
      </c>
      <c r="V32" t="str">
        <f>IF(OR($C32=0,V$4&lt;PerStart2,V$4&gt;PerSlut2),"",IF($BA32&lt;&gt;NotANumber,$H32,BO32))</f>
        <v/>
      </c>
      <c r="W32" t="str">
        <f>IF(OR($C32=0,W$4&lt;PerStart2,W$4&gt;PerSlut2),"",IF($BA32&lt;&gt;NotANumber,$H32,BP32))</f>
        <v/>
      </c>
      <c r="X32" t="str">
        <f>IF(OR($C32=0,X$4&lt;PerStart2,X$4&gt;PerSlut2),"",IF($BA32&lt;&gt;NotANumber,$H32,BQ32))</f>
        <v/>
      </c>
      <c r="Y32" t="str">
        <f>IF(OR($C32=0,Y$4&lt;PerStart2,Y$4&gt;PerSlut2),"",IF($BA32&lt;&gt;NotANumber,$H32,BR32))</f>
        <v/>
      </c>
      <c r="Z32" t="str">
        <f>IF(OR($C32=0,Z$4&lt;PerStart2,Z$4&gt;PerSlut2),"",IF($BA32&lt;&gt;NotANumber,$H32,BS32))</f>
        <v/>
      </c>
      <c r="AA32" t="str">
        <f>IF(OR($C32=0,AA$4&lt;PerStart2,AA$4&gt;PerSlut2),"",IF($BA32&lt;&gt;NotANumber,$H32,BT32))</f>
        <v/>
      </c>
      <c r="AB32" t="str">
        <f>IF(OR($C32=0,AB$4&lt;PerStart2,AB$4&gt;PerSlut2),"",IF($BA32&lt;&gt;NotANumber,$H32,BU32))</f>
        <v/>
      </c>
      <c r="AC32" t="str">
        <f>IF(OR($C32=0,AC$4&lt;PerStart2,AC$4&gt;PerSlut2),"",IF($BA32&lt;&gt;NotANumber,$H32,BV32))</f>
        <v/>
      </c>
      <c r="AD32" t="str">
        <f>IF(OR($C32=0,AD$4&lt;PerStart2,AD$4&gt;PerSlut2),"",IF($BA32&lt;&gt;NotANumber,$H32,BW32))</f>
        <v/>
      </c>
      <c r="AE32" t="str">
        <f>IF(OR($C32=0,AE$4&lt;PerStart2,AE$4&gt;PerSlut2),"",IF($BA32&lt;&gt;NotANumber,$H32,BX32))</f>
        <v/>
      </c>
      <c r="AF32" t="str">
        <f>IF(OR($C32=0,AF$4&lt;PerStart2,AF$4&gt;PerSlut2),"",IF($BA32&lt;&gt;NotANumber,$H32,BY32))</f>
        <v/>
      </c>
      <c r="AG32" s="89" t="str">
        <f>IF(OR($C32=0,AG$4&lt;PerStart2,AG$4&gt;PerSlut2),"",IF($BA32&lt;&gt;NotANumber,$H32,BZ32))</f>
        <v/>
      </c>
      <c r="AH32" t="str">
        <f>IF(OR($C32=0,AH$4&lt;PerStart2,AH$4&gt;PerSlut2),"",IF($BA32&lt;&gt;NotANumber,$H32,CA32))</f>
        <v/>
      </c>
      <c r="AI32" t="str">
        <f>IF(OR($C32=0,AI$4&lt;PerStart2,AI$4&gt;PerSlut2),"",IF($BA32&lt;&gt;NotANumber,$H32,CB32))</f>
        <v/>
      </c>
      <c r="AJ32" t="str">
        <f>IF(OR($C32=0,AJ$4&lt;PerStart2,AJ$4&gt;PerSlut2),"",IF($BA32&lt;&gt;NotANumber,$H32,CC32))</f>
        <v/>
      </c>
      <c r="AK32" t="str">
        <f>IF(OR($C32=0,AK$4&lt;PerStart2,AK$4&gt;PerSlut2),"",IF($BA32&lt;&gt;NotANumber,$H32,CD32))</f>
        <v/>
      </c>
      <c r="AL32" t="str">
        <f>IF(OR($C32=0,AL$4&lt;PerStart2,AL$4&gt;PerSlut2),"",IF($BA32&lt;&gt;NotANumber,$H32,CE32))</f>
        <v/>
      </c>
      <c r="AM32" t="str">
        <f>IF(OR($C32=0,AM$4&lt;PerStart2,AM$4&gt;PerSlut2),"",IF($BA32&lt;&gt;NotANumber,$H32,CF32))</f>
        <v/>
      </c>
      <c r="AN32" t="str">
        <f>IF(OR($C32=0,AN$4&lt;PerStart2,AN$4&gt;PerSlut2),"",IF($BA32&lt;&gt;NotANumber,$H32,CG32))</f>
        <v/>
      </c>
      <c r="AO32" t="str">
        <f>IF(OR($C32=0,AO$4&lt;PerStart2,AO$4&gt;PerSlut2),"",IF($BA32&lt;&gt;NotANumber,$H32,CH32))</f>
        <v/>
      </c>
      <c r="AP32" t="str">
        <f>IF(OR($C32=0,AP$4&lt;PerStart2,AP$4&gt;PerSlut2),"",IF($BA32&lt;&gt;NotANumber,$H32,CI32))</f>
        <v/>
      </c>
      <c r="AQ32" t="str">
        <f>IF(OR($C32=0,AQ$4&lt;PerStart2,AQ$4&gt;PerSlut2),"",IF($BA32&lt;&gt;NotANumber,$H32,CJ32))</f>
        <v/>
      </c>
      <c r="AR32" t="str">
        <f>IF(OR($C32=0,AR$4&lt;PerStart2,AR$4&gt;PerSlut2),"",IF($BA32&lt;&gt;NotANumber,$H32,CK32))</f>
        <v/>
      </c>
      <c r="AU32" s="80"/>
    </row>
    <row r="33" spans="2:47" x14ac:dyDescent="0.25">
      <c r="B33" s="93" t="str">
        <f t="shared" si="2"/>
        <v/>
      </c>
      <c r="C33" s="93">
        <f t="shared" si="3"/>
        <v>0</v>
      </c>
      <c r="D33" s="80" t="str">
        <f t="shared" si="5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80" t="str">
        <f>IF(C33=0,"",IF(BA33=NotANumber,"",BA33))</f>
        <v/>
      </c>
      <c r="I33" t="str">
        <f>IF(OR($C33=0,I$4&lt;PerStart2,I$4&gt;PerSlut2),"",IF($BA33&lt;&gt;NotANumber,$H33,BB33))</f>
        <v/>
      </c>
      <c r="J33" t="str">
        <f>IF(OR($C33=0,J$4&lt;PerStart2,J$4&gt;PerSlut2),"",IF($BA33&lt;&gt;NotANumber,$H33,BC33))</f>
        <v/>
      </c>
      <c r="K33" t="str">
        <f>IF(OR($C33=0,K$4&lt;PerStart2,K$4&gt;PerSlut2),"",IF($BA33&lt;&gt;NotANumber,$H33,BD33))</f>
        <v/>
      </c>
      <c r="L33" t="str">
        <f>IF(OR($C33=0,L$4&lt;PerStart2,L$4&gt;PerSlut2),"",IF($BA33&lt;&gt;NotANumber,$H33,BE33))</f>
        <v/>
      </c>
      <c r="M33" t="str">
        <f>IF(OR($C33=0,M$4&lt;PerStart2,M$4&gt;PerSlut2),"",IF($BA33&lt;&gt;NotANumber,$H33,BF33))</f>
        <v/>
      </c>
      <c r="N33" t="str">
        <f>IF(OR($C33=0,N$4&lt;PerStart2,N$4&gt;PerSlut2),"",IF($BA33&lt;&gt;NotANumber,$H33,BG33))</f>
        <v/>
      </c>
      <c r="O33" t="str">
        <f>IF(OR($C33=0,O$4&lt;PerStart2,O$4&gt;PerSlut2),"",IF($BA33&lt;&gt;NotANumber,$H33,BH33))</f>
        <v/>
      </c>
      <c r="P33" t="str">
        <f>IF(OR($C33=0,P$4&lt;PerStart2,P$4&gt;PerSlut2),"",IF($BA33&lt;&gt;NotANumber,$H33,BI33))</f>
        <v/>
      </c>
      <c r="Q33" t="str">
        <f>IF(OR($C33=0,Q$4&lt;PerStart2,Q$4&gt;PerSlut2),"",IF($BA33&lt;&gt;NotANumber,$H33,BJ33))</f>
        <v/>
      </c>
      <c r="R33" t="str">
        <f>IF(OR($C33=0,R$4&lt;PerStart2,R$4&gt;PerSlut2),"",IF($BA33&lt;&gt;NotANumber,$H33,BK33))</f>
        <v/>
      </c>
      <c r="S33" t="str">
        <f>IF(OR($C33=0,S$4&lt;PerStart2,S$4&gt;PerSlut2),"",IF($BA33&lt;&gt;NotANumber,$H33,BL33))</f>
        <v/>
      </c>
      <c r="T33" t="str">
        <f>IF(OR($C33=0,T$4&lt;PerStart2,T$4&gt;PerSlut2),"",IF($BA33&lt;&gt;NotANumber,$H33,BM33))</f>
        <v/>
      </c>
      <c r="U33" s="89" t="str">
        <f>IF(OR($C33=0,U$4&lt;PerStart2,U$4&gt;PerSlut2),"",IF($BA33&lt;&gt;NotANumber,$H33,BN33))</f>
        <v/>
      </c>
      <c r="V33" t="str">
        <f>IF(OR($C33=0,V$4&lt;PerStart2,V$4&gt;PerSlut2),"",IF($BA33&lt;&gt;NotANumber,$H33,BO33))</f>
        <v/>
      </c>
      <c r="W33" t="str">
        <f>IF(OR($C33=0,W$4&lt;PerStart2,W$4&gt;PerSlut2),"",IF($BA33&lt;&gt;NotANumber,$H33,BP33))</f>
        <v/>
      </c>
      <c r="X33" t="str">
        <f>IF(OR($C33=0,X$4&lt;PerStart2,X$4&gt;PerSlut2),"",IF($BA33&lt;&gt;NotANumber,$H33,BQ33))</f>
        <v/>
      </c>
      <c r="Y33" t="str">
        <f>IF(OR($C33=0,Y$4&lt;PerStart2,Y$4&gt;PerSlut2),"",IF($BA33&lt;&gt;NotANumber,$H33,BR33))</f>
        <v/>
      </c>
      <c r="Z33" t="str">
        <f>IF(OR($C33=0,Z$4&lt;PerStart2,Z$4&gt;PerSlut2),"",IF($BA33&lt;&gt;NotANumber,$H33,BS33))</f>
        <v/>
      </c>
      <c r="AA33" t="str">
        <f>IF(OR($C33=0,AA$4&lt;PerStart2,AA$4&gt;PerSlut2),"",IF($BA33&lt;&gt;NotANumber,$H33,BT33))</f>
        <v/>
      </c>
      <c r="AB33" t="str">
        <f>IF(OR($C33=0,AB$4&lt;PerStart2,AB$4&gt;PerSlut2),"",IF($BA33&lt;&gt;NotANumber,$H33,BU33))</f>
        <v/>
      </c>
      <c r="AC33" t="str">
        <f>IF(OR($C33=0,AC$4&lt;PerStart2,AC$4&gt;PerSlut2),"",IF($BA33&lt;&gt;NotANumber,$H33,BV33))</f>
        <v/>
      </c>
      <c r="AD33" t="str">
        <f>IF(OR($C33=0,AD$4&lt;PerStart2,AD$4&gt;PerSlut2),"",IF($BA33&lt;&gt;NotANumber,$H33,BW33))</f>
        <v/>
      </c>
      <c r="AE33" t="str">
        <f>IF(OR($C33=0,AE$4&lt;PerStart2,AE$4&gt;PerSlut2),"",IF($BA33&lt;&gt;NotANumber,$H33,BX33))</f>
        <v/>
      </c>
      <c r="AF33" t="str">
        <f>IF(OR($C33=0,AF$4&lt;PerStart2,AF$4&gt;PerSlut2),"",IF($BA33&lt;&gt;NotANumber,$H33,BY33))</f>
        <v/>
      </c>
      <c r="AG33" s="89" t="str">
        <f>IF(OR($C33=0,AG$4&lt;PerStart2,AG$4&gt;PerSlut2),"",IF($BA33&lt;&gt;NotANumber,$H33,BZ33))</f>
        <v/>
      </c>
      <c r="AH33" t="str">
        <f>IF(OR($C33=0,AH$4&lt;PerStart2,AH$4&gt;PerSlut2),"",IF($BA33&lt;&gt;NotANumber,$H33,CA33))</f>
        <v/>
      </c>
      <c r="AI33" t="str">
        <f>IF(OR($C33=0,AI$4&lt;PerStart2,AI$4&gt;PerSlut2),"",IF($BA33&lt;&gt;NotANumber,$H33,CB33))</f>
        <v/>
      </c>
      <c r="AJ33" t="str">
        <f>IF(OR($C33=0,AJ$4&lt;PerStart2,AJ$4&gt;PerSlut2),"",IF($BA33&lt;&gt;NotANumber,$H33,CC33))</f>
        <v/>
      </c>
      <c r="AK33" t="str">
        <f>IF(OR($C33=0,AK$4&lt;PerStart2,AK$4&gt;PerSlut2),"",IF($BA33&lt;&gt;NotANumber,$H33,CD33))</f>
        <v/>
      </c>
      <c r="AL33" t="str">
        <f>IF(OR($C33=0,AL$4&lt;PerStart2,AL$4&gt;PerSlut2),"",IF($BA33&lt;&gt;NotANumber,$H33,CE33))</f>
        <v/>
      </c>
      <c r="AM33" t="str">
        <f>IF(OR($C33=0,AM$4&lt;PerStart2,AM$4&gt;PerSlut2),"",IF($BA33&lt;&gt;NotANumber,$H33,CF33))</f>
        <v/>
      </c>
      <c r="AN33" t="str">
        <f>IF(OR($C33=0,AN$4&lt;PerStart2,AN$4&gt;PerSlut2),"",IF($BA33&lt;&gt;NotANumber,$H33,CG33))</f>
        <v/>
      </c>
      <c r="AO33" t="str">
        <f>IF(OR($C33=0,AO$4&lt;PerStart2,AO$4&gt;PerSlut2),"",IF($BA33&lt;&gt;NotANumber,$H33,CH33))</f>
        <v/>
      </c>
      <c r="AP33" t="str">
        <f>IF(OR($C33=0,AP$4&lt;PerStart2,AP$4&gt;PerSlut2),"",IF($BA33&lt;&gt;NotANumber,$H33,CI33))</f>
        <v/>
      </c>
      <c r="AQ33" t="str">
        <f>IF(OR($C33=0,AQ$4&lt;PerStart2,AQ$4&gt;PerSlut2),"",IF($BA33&lt;&gt;NotANumber,$H33,CJ33))</f>
        <v/>
      </c>
      <c r="AR33" t="str">
        <f>IF(OR($C33=0,AR$4&lt;PerStart2,AR$4&gt;PerSlut2),"",IF($BA33&lt;&gt;NotANumber,$H33,CK33))</f>
        <v/>
      </c>
      <c r="AU33" s="80"/>
    </row>
    <row r="34" spans="2:47" x14ac:dyDescent="0.25">
      <c r="B34" s="93" t="str">
        <f t="shared" si="2"/>
        <v/>
      </c>
      <c r="C34" s="93">
        <f t="shared" si="3"/>
        <v>0</v>
      </c>
      <c r="D34" s="80" t="str">
        <f t="shared" si="5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80" t="str">
        <f>IF(C34=0,"",IF(BA34=NotANumber,"",BA34))</f>
        <v/>
      </c>
      <c r="I34" t="str">
        <f>IF(OR($C34=0,I$4&lt;PerStart2,I$4&gt;PerSlut2),"",IF($BA34&lt;&gt;NotANumber,$H34,BB34))</f>
        <v/>
      </c>
      <c r="J34" t="str">
        <f>IF(OR($C34=0,J$4&lt;PerStart2,J$4&gt;PerSlut2),"",IF($BA34&lt;&gt;NotANumber,$H34,BC34))</f>
        <v/>
      </c>
      <c r="K34" t="str">
        <f>IF(OR($C34=0,K$4&lt;PerStart2,K$4&gt;PerSlut2),"",IF($BA34&lt;&gt;NotANumber,$H34,BD34))</f>
        <v/>
      </c>
      <c r="L34" t="str">
        <f>IF(OR($C34=0,L$4&lt;PerStart2,L$4&gt;PerSlut2),"",IF($BA34&lt;&gt;NotANumber,$H34,BE34))</f>
        <v/>
      </c>
      <c r="M34" t="str">
        <f>IF(OR($C34=0,M$4&lt;PerStart2,M$4&gt;PerSlut2),"",IF($BA34&lt;&gt;NotANumber,$H34,BF34))</f>
        <v/>
      </c>
      <c r="N34" t="str">
        <f>IF(OR($C34=0,N$4&lt;PerStart2,N$4&gt;PerSlut2),"",IF($BA34&lt;&gt;NotANumber,$H34,BG34))</f>
        <v/>
      </c>
      <c r="O34" t="str">
        <f>IF(OR($C34=0,O$4&lt;PerStart2,O$4&gt;PerSlut2),"",IF($BA34&lt;&gt;NotANumber,$H34,BH34))</f>
        <v/>
      </c>
      <c r="P34" t="str">
        <f>IF(OR($C34=0,P$4&lt;PerStart2,P$4&gt;PerSlut2),"",IF($BA34&lt;&gt;NotANumber,$H34,BI34))</f>
        <v/>
      </c>
      <c r="Q34" t="str">
        <f>IF(OR($C34=0,Q$4&lt;PerStart2,Q$4&gt;PerSlut2),"",IF($BA34&lt;&gt;NotANumber,$H34,BJ34))</f>
        <v/>
      </c>
      <c r="R34" t="str">
        <f>IF(OR($C34=0,R$4&lt;PerStart2,R$4&gt;PerSlut2),"",IF($BA34&lt;&gt;NotANumber,$H34,BK34))</f>
        <v/>
      </c>
      <c r="S34" t="str">
        <f>IF(OR($C34=0,S$4&lt;PerStart2,S$4&gt;PerSlut2),"",IF($BA34&lt;&gt;NotANumber,$H34,BL34))</f>
        <v/>
      </c>
      <c r="T34" t="str">
        <f>IF(OR($C34=0,T$4&lt;PerStart2,T$4&gt;PerSlut2),"",IF($BA34&lt;&gt;NotANumber,$H34,BM34))</f>
        <v/>
      </c>
      <c r="U34" s="89" t="str">
        <f>IF(OR($C34=0,U$4&lt;PerStart2,U$4&gt;PerSlut2),"",IF($BA34&lt;&gt;NotANumber,$H34,BN34))</f>
        <v/>
      </c>
      <c r="V34" t="str">
        <f>IF(OR($C34=0,V$4&lt;PerStart2,V$4&gt;PerSlut2),"",IF($BA34&lt;&gt;NotANumber,$H34,BO34))</f>
        <v/>
      </c>
      <c r="W34" t="str">
        <f>IF(OR($C34=0,W$4&lt;PerStart2,W$4&gt;PerSlut2),"",IF($BA34&lt;&gt;NotANumber,$H34,BP34))</f>
        <v/>
      </c>
      <c r="X34" t="str">
        <f>IF(OR($C34=0,X$4&lt;PerStart2,X$4&gt;PerSlut2),"",IF($BA34&lt;&gt;NotANumber,$H34,BQ34))</f>
        <v/>
      </c>
      <c r="Y34" t="str">
        <f>IF(OR($C34=0,Y$4&lt;PerStart2,Y$4&gt;PerSlut2),"",IF($BA34&lt;&gt;NotANumber,$H34,BR34))</f>
        <v/>
      </c>
      <c r="Z34" t="str">
        <f>IF(OR($C34=0,Z$4&lt;PerStart2,Z$4&gt;PerSlut2),"",IF($BA34&lt;&gt;NotANumber,$H34,BS34))</f>
        <v/>
      </c>
      <c r="AA34" t="str">
        <f>IF(OR($C34=0,AA$4&lt;PerStart2,AA$4&gt;PerSlut2),"",IF($BA34&lt;&gt;NotANumber,$H34,BT34))</f>
        <v/>
      </c>
      <c r="AB34" t="str">
        <f>IF(OR($C34=0,AB$4&lt;PerStart2,AB$4&gt;PerSlut2),"",IF($BA34&lt;&gt;NotANumber,$H34,BU34))</f>
        <v/>
      </c>
      <c r="AC34" t="str">
        <f>IF(OR($C34=0,AC$4&lt;PerStart2,AC$4&gt;PerSlut2),"",IF($BA34&lt;&gt;NotANumber,$H34,BV34))</f>
        <v/>
      </c>
      <c r="AD34" t="str">
        <f>IF(OR($C34=0,AD$4&lt;PerStart2,AD$4&gt;PerSlut2),"",IF($BA34&lt;&gt;NotANumber,$H34,BW34))</f>
        <v/>
      </c>
      <c r="AE34" t="str">
        <f>IF(OR($C34=0,AE$4&lt;PerStart2,AE$4&gt;PerSlut2),"",IF($BA34&lt;&gt;NotANumber,$H34,BX34))</f>
        <v/>
      </c>
      <c r="AF34" t="str">
        <f>IF(OR($C34=0,AF$4&lt;PerStart2,AF$4&gt;PerSlut2),"",IF($BA34&lt;&gt;NotANumber,$H34,BY34))</f>
        <v/>
      </c>
      <c r="AG34" s="89" t="str">
        <f>IF(OR($C34=0,AG$4&lt;PerStart2,AG$4&gt;PerSlut2),"",IF($BA34&lt;&gt;NotANumber,$H34,BZ34))</f>
        <v/>
      </c>
      <c r="AH34" t="str">
        <f>IF(OR($C34=0,AH$4&lt;PerStart2,AH$4&gt;PerSlut2),"",IF($BA34&lt;&gt;NotANumber,$H34,CA34))</f>
        <v/>
      </c>
      <c r="AI34" t="str">
        <f>IF(OR($C34=0,AI$4&lt;PerStart2,AI$4&gt;PerSlut2),"",IF($BA34&lt;&gt;NotANumber,$H34,CB34))</f>
        <v/>
      </c>
      <c r="AJ34" t="str">
        <f>IF(OR($C34=0,AJ$4&lt;PerStart2,AJ$4&gt;PerSlut2),"",IF($BA34&lt;&gt;NotANumber,$H34,CC34))</f>
        <v/>
      </c>
      <c r="AK34" t="str">
        <f>IF(OR($C34=0,AK$4&lt;PerStart2,AK$4&gt;PerSlut2),"",IF($BA34&lt;&gt;NotANumber,$H34,CD34))</f>
        <v/>
      </c>
      <c r="AL34" t="str">
        <f>IF(OR($C34=0,AL$4&lt;PerStart2,AL$4&gt;PerSlut2),"",IF($BA34&lt;&gt;NotANumber,$H34,CE34))</f>
        <v/>
      </c>
      <c r="AM34" t="str">
        <f>IF(OR($C34=0,AM$4&lt;PerStart2,AM$4&gt;PerSlut2),"",IF($BA34&lt;&gt;NotANumber,$H34,CF34))</f>
        <v/>
      </c>
      <c r="AN34" t="str">
        <f>IF(OR($C34=0,AN$4&lt;PerStart2,AN$4&gt;PerSlut2),"",IF($BA34&lt;&gt;NotANumber,$H34,CG34))</f>
        <v/>
      </c>
      <c r="AO34" t="str">
        <f>IF(OR($C34=0,AO$4&lt;PerStart2,AO$4&gt;PerSlut2),"",IF($BA34&lt;&gt;NotANumber,$H34,CH34))</f>
        <v/>
      </c>
      <c r="AP34" t="str">
        <f>IF(OR($C34=0,AP$4&lt;PerStart2,AP$4&gt;PerSlut2),"",IF($BA34&lt;&gt;NotANumber,$H34,CI34))</f>
        <v/>
      </c>
      <c r="AQ34" t="str">
        <f>IF(OR($C34=0,AQ$4&lt;PerStart2,AQ$4&gt;PerSlut2),"",IF($BA34&lt;&gt;NotANumber,$H34,CJ34))</f>
        <v/>
      </c>
      <c r="AR34" t="str">
        <f>IF(OR($C34=0,AR$4&lt;PerStart2,AR$4&gt;PerSlut2),"",IF($BA34&lt;&gt;NotANumber,$H34,CK34))</f>
        <v/>
      </c>
      <c r="AU34" s="80"/>
    </row>
    <row r="35" spans="2:47" x14ac:dyDescent="0.25">
      <c r="B35" s="93" t="str">
        <f t="shared" si="2"/>
        <v/>
      </c>
      <c r="C35" s="93">
        <f t="shared" si="3"/>
        <v>0</v>
      </c>
      <c r="D35" s="80" t="str">
        <f t="shared" si="5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80" t="str">
        <f>IF(C35=0,"",IF(BA35=NotANumber,"",BA35))</f>
        <v/>
      </c>
      <c r="I35" t="str">
        <f>IF(OR($C35=0,I$4&lt;PerStart2,I$4&gt;PerSlut2),"",IF($BA35&lt;&gt;NotANumber,$H35,BB35))</f>
        <v/>
      </c>
      <c r="J35" t="str">
        <f>IF(OR($C35=0,J$4&lt;PerStart2,J$4&gt;PerSlut2),"",IF($BA35&lt;&gt;NotANumber,$H35,BC35))</f>
        <v/>
      </c>
      <c r="K35" t="str">
        <f>IF(OR($C35=0,K$4&lt;PerStart2,K$4&gt;PerSlut2),"",IF($BA35&lt;&gt;NotANumber,$H35,BD35))</f>
        <v/>
      </c>
      <c r="L35" t="str">
        <f>IF(OR($C35=0,L$4&lt;PerStart2,L$4&gt;PerSlut2),"",IF($BA35&lt;&gt;NotANumber,$H35,BE35))</f>
        <v/>
      </c>
      <c r="M35" t="str">
        <f>IF(OR($C35=0,M$4&lt;PerStart2,M$4&gt;PerSlut2),"",IF($BA35&lt;&gt;NotANumber,$H35,BF35))</f>
        <v/>
      </c>
      <c r="N35" t="str">
        <f>IF(OR($C35=0,N$4&lt;PerStart2,N$4&gt;PerSlut2),"",IF($BA35&lt;&gt;NotANumber,$H35,BG35))</f>
        <v/>
      </c>
      <c r="O35" t="str">
        <f>IF(OR($C35=0,O$4&lt;PerStart2,O$4&gt;PerSlut2),"",IF($BA35&lt;&gt;NotANumber,$H35,BH35))</f>
        <v/>
      </c>
      <c r="P35" t="str">
        <f>IF(OR($C35=0,P$4&lt;PerStart2,P$4&gt;PerSlut2),"",IF($BA35&lt;&gt;NotANumber,$H35,BI35))</f>
        <v/>
      </c>
      <c r="Q35" t="str">
        <f>IF(OR($C35=0,Q$4&lt;PerStart2,Q$4&gt;PerSlut2),"",IF($BA35&lt;&gt;NotANumber,$H35,BJ35))</f>
        <v/>
      </c>
      <c r="R35" t="str">
        <f>IF(OR($C35=0,R$4&lt;PerStart2,R$4&gt;PerSlut2),"",IF($BA35&lt;&gt;NotANumber,$H35,BK35))</f>
        <v/>
      </c>
      <c r="S35" t="str">
        <f>IF(OR($C35=0,S$4&lt;PerStart2,S$4&gt;PerSlut2),"",IF($BA35&lt;&gt;NotANumber,$H35,BL35))</f>
        <v/>
      </c>
      <c r="T35" t="str">
        <f>IF(OR($C35=0,T$4&lt;PerStart2,T$4&gt;PerSlut2),"",IF($BA35&lt;&gt;NotANumber,$H35,BM35))</f>
        <v/>
      </c>
      <c r="U35" s="89" t="str">
        <f>IF(OR($C35=0,U$4&lt;PerStart2,U$4&gt;PerSlut2),"",IF($BA35&lt;&gt;NotANumber,$H35,BN35))</f>
        <v/>
      </c>
      <c r="V35" t="str">
        <f>IF(OR($C35=0,V$4&lt;PerStart2,V$4&gt;PerSlut2),"",IF($BA35&lt;&gt;NotANumber,$H35,BO35))</f>
        <v/>
      </c>
      <c r="W35" t="str">
        <f>IF(OR($C35=0,W$4&lt;PerStart2,W$4&gt;PerSlut2),"",IF($BA35&lt;&gt;NotANumber,$H35,BP35))</f>
        <v/>
      </c>
      <c r="X35" t="str">
        <f>IF(OR($C35=0,X$4&lt;PerStart2,X$4&gt;PerSlut2),"",IF($BA35&lt;&gt;NotANumber,$H35,BQ35))</f>
        <v/>
      </c>
      <c r="Y35" t="str">
        <f>IF(OR($C35=0,Y$4&lt;PerStart2,Y$4&gt;PerSlut2),"",IF($BA35&lt;&gt;NotANumber,$H35,BR35))</f>
        <v/>
      </c>
      <c r="Z35" t="str">
        <f>IF(OR($C35=0,Z$4&lt;PerStart2,Z$4&gt;PerSlut2),"",IF($BA35&lt;&gt;NotANumber,$H35,BS35))</f>
        <v/>
      </c>
      <c r="AA35" t="str">
        <f>IF(OR($C35=0,AA$4&lt;PerStart2,AA$4&gt;PerSlut2),"",IF($BA35&lt;&gt;NotANumber,$H35,BT35))</f>
        <v/>
      </c>
      <c r="AB35" t="str">
        <f>IF(OR($C35=0,AB$4&lt;PerStart2,AB$4&gt;PerSlut2),"",IF($BA35&lt;&gt;NotANumber,$H35,BU35))</f>
        <v/>
      </c>
      <c r="AC35" t="str">
        <f>IF(OR($C35=0,AC$4&lt;PerStart2,AC$4&gt;PerSlut2),"",IF($BA35&lt;&gt;NotANumber,$H35,BV35))</f>
        <v/>
      </c>
      <c r="AD35" t="str">
        <f>IF(OR($C35=0,AD$4&lt;PerStart2,AD$4&gt;PerSlut2),"",IF($BA35&lt;&gt;NotANumber,$H35,BW35))</f>
        <v/>
      </c>
      <c r="AE35" t="str">
        <f>IF(OR($C35=0,AE$4&lt;PerStart2,AE$4&gt;PerSlut2),"",IF($BA35&lt;&gt;NotANumber,$H35,BX35))</f>
        <v/>
      </c>
      <c r="AF35" t="str">
        <f>IF(OR($C35=0,AF$4&lt;PerStart2,AF$4&gt;PerSlut2),"",IF($BA35&lt;&gt;NotANumber,$H35,BY35))</f>
        <v/>
      </c>
      <c r="AG35" s="89" t="str">
        <f>IF(OR($C35=0,AG$4&lt;PerStart2,AG$4&gt;PerSlut2),"",IF($BA35&lt;&gt;NotANumber,$H35,BZ35))</f>
        <v/>
      </c>
      <c r="AH35" t="str">
        <f>IF(OR($C35=0,AH$4&lt;PerStart2,AH$4&gt;PerSlut2),"",IF($BA35&lt;&gt;NotANumber,$H35,CA35))</f>
        <v/>
      </c>
      <c r="AI35" t="str">
        <f>IF(OR($C35=0,AI$4&lt;PerStart2,AI$4&gt;PerSlut2),"",IF($BA35&lt;&gt;NotANumber,$H35,CB35))</f>
        <v/>
      </c>
      <c r="AJ35" t="str">
        <f>IF(OR($C35=0,AJ$4&lt;PerStart2,AJ$4&gt;PerSlut2),"",IF($BA35&lt;&gt;NotANumber,$H35,CC35))</f>
        <v/>
      </c>
      <c r="AK35" t="str">
        <f>IF(OR($C35=0,AK$4&lt;PerStart2,AK$4&gt;PerSlut2),"",IF($BA35&lt;&gt;NotANumber,$H35,CD35))</f>
        <v/>
      </c>
      <c r="AL35" t="str">
        <f>IF(OR($C35=0,AL$4&lt;PerStart2,AL$4&gt;PerSlut2),"",IF($BA35&lt;&gt;NotANumber,$H35,CE35))</f>
        <v/>
      </c>
      <c r="AM35" t="str">
        <f>IF(OR($C35=0,AM$4&lt;PerStart2,AM$4&gt;PerSlut2),"",IF($BA35&lt;&gt;NotANumber,$H35,CF35))</f>
        <v/>
      </c>
      <c r="AN35" t="str">
        <f>IF(OR($C35=0,AN$4&lt;PerStart2,AN$4&gt;PerSlut2),"",IF($BA35&lt;&gt;NotANumber,$H35,CG35))</f>
        <v/>
      </c>
      <c r="AO35" t="str">
        <f>IF(OR($C35=0,AO$4&lt;PerStart2,AO$4&gt;PerSlut2),"",IF($BA35&lt;&gt;NotANumber,$H35,CH35))</f>
        <v/>
      </c>
      <c r="AP35" t="str">
        <f>IF(OR($C35=0,AP$4&lt;PerStart2,AP$4&gt;PerSlut2),"",IF($BA35&lt;&gt;NotANumber,$H35,CI35))</f>
        <v/>
      </c>
      <c r="AQ35" t="str">
        <f>IF(OR($C35=0,AQ$4&lt;PerStart2,AQ$4&gt;PerSlut2),"",IF($BA35&lt;&gt;NotANumber,$H35,CJ35))</f>
        <v/>
      </c>
      <c r="AR35" t="str">
        <f>IF(OR($C35=0,AR$4&lt;PerStart2,AR$4&gt;PerSlut2),"",IF($BA35&lt;&gt;NotANumber,$H35,CK35))</f>
        <v/>
      </c>
      <c r="AU35" s="80"/>
    </row>
    <row r="36" spans="2:47" x14ac:dyDescent="0.25">
      <c r="B36" s="93" t="str">
        <f t="shared" si="2"/>
        <v/>
      </c>
      <c r="C36" s="93">
        <f t="shared" si="3"/>
        <v>0</v>
      </c>
      <c r="D36" s="80" t="str">
        <f t="shared" si="5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80" t="str">
        <f>IF(C36=0,"",IF(BA36=NotANumber,"",BA36))</f>
        <v/>
      </c>
      <c r="I36" t="str">
        <f>IF(OR($C36=0,I$4&lt;PerStart2,I$4&gt;PerSlut2),"",IF($BA36&lt;&gt;NotANumber,$H36,BB36))</f>
        <v/>
      </c>
      <c r="J36" t="str">
        <f>IF(OR($C36=0,J$4&lt;PerStart2,J$4&gt;PerSlut2),"",IF($BA36&lt;&gt;NotANumber,$H36,BC36))</f>
        <v/>
      </c>
      <c r="K36" t="str">
        <f>IF(OR($C36=0,K$4&lt;PerStart2,K$4&gt;PerSlut2),"",IF($BA36&lt;&gt;NotANumber,$H36,BD36))</f>
        <v/>
      </c>
      <c r="L36" t="str">
        <f>IF(OR($C36=0,L$4&lt;PerStart2,L$4&gt;PerSlut2),"",IF($BA36&lt;&gt;NotANumber,$H36,BE36))</f>
        <v/>
      </c>
      <c r="M36" t="str">
        <f>IF(OR($C36=0,M$4&lt;PerStart2,M$4&gt;PerSlut2),"",IF($BA36&lt;&gt;NotANumber,$H36,BF36))</f>
        <v/>
      </c>
      <c r="N36" t="str">
        <f>IF(OR($C36=0,N$4&lt;PerStart2,N$4&gt;PerSlut2),"",IF($BA36&lt;&gt;NotANumber,$H36,BG36))</f>
        <v/>
      </c>
      <c r="O36" t="str">
        <f>IF(OR($C36=0,O$4&lt;PerStart2,O$4&gt;PerSlut2),"",IF($BA36&lt;&gt;NotANumber,$H36,BH36))</f>
        <v/>
      </c>
      <c r="P36" t="str">
        <f>IF(OR($C36=0,P$4&lt;PerStart2,P$4&gt;PerSlut2),"",IF($BA36&lt;&gt;NotANumber,$H36,BI36))</f>
        <v/>
      </c>
      <c r="Q36" t="str">
        <f>IF(OR($C36=0,Q$4&lt;PerStart2,Q$4&gt;PerSlut2),"",IF($BA36&lt;&gt;NotANumber,$H36,BJ36))</f>
        <v/>
      </c>
      <c r="R36" t="str">
        <f>IF(OR($C36=0,R$4&lt;PerStart2,R$4&gt;PerSlut2),"",IF($BA36&lt;&gt;NotANumber,$H36,BK36))</f>
        <v/>
      </c>
      <c r="S36" t="str">
        <f>IF(OR($C36=0,S$4&lt;PerStart2,S$4&gt;PerSlut2),"",IF($BA36&lt;&gt;NotANumber,$H36,BL36))</f>
        <v/>
      </c>
      <c r="T36" t="str">
        <f>IF(OR($C36=0,T$4&lt;PerStart2,T$4&gt;PerSlut2),"",IF($BA36&lt;&gt;NotANumber,$H36,BM36))</f>
        <v/>
      </c>
      <c r="U36" s="89" t="str">
        <f>IF(OR($C36=0,U$4&lt;PerStart2,U$4&gt;PerSlut2),"",IF($BA36&lt;&gt;NotANumber,$H36,BN36))</f>
        <v/>
      </c>
      <c r="V36" t="str">
        <f>IF(OR($C36=0,V$4&lt;PerStart2,V$4&gt;PerSlut2),"",IF($BA36&lt;&gt;NotANumber,$H36,BO36))</f>
        <v/>
      </c>
      <c r="W36" t="str">
        <f>IF(OR($C36=0,W$4&lt;PerStart2,W$4&gt;PerSlut2),"",IF($BA36&lt;&gt;NotANumber,$H36,BP36))</f>
        <v/>
      </c>
      <c r="X36" t="str">
        <f>IF(OR($C36=0,X$4&lt;PerStart2,X$4&gt;PerSlut2),"",IF($BA36&lt;&gt;NotANumber,$H36,BQ36))</f>
        <v/>
      </c>
      <c r="Y36" t="str">
        <f>IF(OR($C36=0,Y$4&lt;PerStart2,Y$4&gt;PerSlut2),"",IF($BA36&lt;&gt;NotANumber,$H36,BR36))</f>
        <v/>
      </c>
      <c r="Z36" t="str">
        <f>IF(OR($C36=0,Z$4&lt;PerStart2,Z$4&gt;PerSlut2),"",IF($BA36&lt;&gt;NotANumber,$H36,BS36))</f>
        <v/>
      </c>
      <c r="AA36" t="str">
        <f>IF(OR($C36=0,AA$4&lt;PerStart2,AA$4&gt;PerSlut2),"",IF($BA36&lt;&gt;NotANumber,$H36,BT36))</f>
        <v/>
      </c>
      <c r="AB36" t="str">
        <f>IF(OR($C36=0,AB$4&lt;PerStart2,AB$4&gt;PerSlut2),"",IF($BA36&lt;&gt;NotANumber,$H36,BU36))</f>
        <v/>
      </c>
      <c r="AC36" t="str">
        <f>IF(OR($C36=0,AC$4&lt;PerStart2,AC$4&gt;PerSlut2),"",IF($BA36&lt;&gt;NotANumber,$H36,BV36))</f>
        <v/>
      </c>
      <c r="AD36" t="str">
        <f>IF(OR($C36=0,AD$4&lt;PerStart2,AD$4&gt;PerSlut2),"",IF($BA36&lt;&gt;NotANumber,$H36,BW36))</f>
        <v/>
      </c>
      <c r="AE36" t="str">
        <f>IF(OR($C36=0,AE$4&lt;PerStart2,AE$4&gt;PerSlut2),"",IF($BA36&lt;&gt;NotANumber,$H36,BX36))</f>
        <v/>
      </c>
      <c r="AF36" t="str">
        <f>IF(OR($C36=0,AF$4&lt;PerStart2,AF$4&gt;PerSlut2),"",IF($BA36&lt;&gt;NotANumber,$H36,BY36))</f>
        <v/>
      </c>
      <c r="AG36" s="89" t="str">
        <f>IF(OR($C36=0,AG$4&lt;PerStart2,AG$4&gt;PerSlut2),"",IF($BA36&lt;&gt;NotANumber,$H36,BZ36))</f>
        <v/>
      </c>
      <c r="AH36" t="str">
        <f>IF(OR($C36=0,AH$4&lt;PerStart2,AH$4&gt;PerSlut2),"",IF($BA36&lt;&gt;NotANumber,$H36,CA36))</f>
        <v/>
      </c>
      <c r="AI36" t="str">
        <f>IF(OR($C36=0,AI$4&lt;PerStart2,AI$4&gt;PerSlut2),"",IF($BA36&lt;&gt;NotANumber,$H36,CB36))</f>
        <v/>
      </c>
      <c r="AJ36" t="str">
        <f>IF(OR($C36=0,AJ$4&lt;PerStart2,AJ$4&gt;PerSlut2),"",IF($BA36&lt;&gt;NotANumber,$H36,CC36))</f>
        <v/>
      </c>
      <c r="AK36" t="str">
        <f>IF(OR($C36=0,AK$4&lt;PerStart2,AK$4&gt;PerSlut2),"",IF($BA36&lt;&gt;NotANumber,$H36,CD36))</f>
        <v/>
      </c>
      <c r="AL36" t="str">
        <f>IF(OR($C36=0,AL$4&lt;PerStart2,AL$4&gt;PerSlut2),"",IF($BA36&lt;&gt;NotANumber,$H36,CE36))</f>
        <v/>
      </c>
      <c r="AM36" t="str">
        <f>IF(OR($C36=0,AM$4&lt;PerStart2,AM$4&gt;PerSlut2),"",IF($BA36&lt;&gt;NotANumber,$H36,CF36))</f>
        <v/>
      </c>
      <c r="AN36" t="str">
        <f>IF(OR($C36=0,AN$4&lt;PerStart2,AN$4&gt;PerSlut2),"",IF($BA36&lt;&gt;NotANumber,$H36,CG36))</f>
        <v/>
      </c>
      <c r="AO36" t="str">
        <f>IF(OR($C36=0,AO$4&lt;PerStart2,AO$4&gt;PerSlut2),"",IF($BA36&lt;&gt;NotANumber,$H36,CH36))</f>
        <v/>
      </c>
      <c r="AP36" t="str">
        <f>IF(OR($C36=0,AP$4&lt;PerStart2,AP$4&gt;PerSlut2),"",IF($BA36&lt;&gt;NotANumber,$H36,CI36))</f>
        <v/>
      </c>
      <c r="AQ36" t="str">
        <f>IF(OR($C36=0,AQ$4&lt;PerStart2,AQ$4&gt;PerSlut2),"",IF($BA36&lt;&gt;NotANumber,$H36,CJ36))</f>
        <v/>
      </c>
      <c r="AR36" t="str">
        <f>IF(OR($C36=0,AR$4&lt;PerStart2,AR$4&gt;PerSlut2),"",IF($BA36&lt;&gt;NotANumber,$H36,CK36))</f>
        <v/>
      </c>
      <c r="AU36" s="80"/>
    </row>
    <row r="37" spans="2:47" x14ac:dyDescent="0.25">
      <c r="B37" s="93" t="str">
        <f t="shared" si="2"/>
        <v/>
      </c>
      <c r="C37" s="93">
        <f t="shared" si="3"/>
        <v>0</v>
      </c>
      <c r="D37" s="80" t="str">
        <f t="shared" si="5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80" t="str">
        <f>IF(C37=0,"",IF(BA37=NotANumber,"",BA37))</f>
        <v/>
      </c>
      <c r="I37" t="str">
        <f>IF(OR($C37=0,I$4&lt;PerStart2,I$4&gt;PerSlut2),"",IF($BA37&lt;&gt;NotANumber,$H37,BB37))</f>
        <v/>
      </c>
      <c r="J37" t="str">
        <f>IF(OR($C37=0,J$4&lt;PerStart2,J$4&gt;PerSlut2),"",IF($BA37&lt;&gt;NotANumber,$H37,BC37))</f>
        <v/>
      </c>
      <c r="K37" t="str">
        <f>IF(OR($C37=0,K$4&lt;PerStart2,K$4&gt;PerSlut2),"",IF($BA37&lt;&gt;NotANumber,$H37,BD37))</f>
        <v/>
      </c>
      <c r="L37" t="str">
        <f>IF(OR($C37=0,L$4&lt;PerStart2,L$4&gt;PerSlut2),"",IF($BA37&lt;&gt;NotANumber,$H37,BE37))</f>
        <v/>
      </c>
      <c r="M37" t="str">
        <f>IF(OR($C37=0,M$4&lt;PerStart2,M$4&gt;PerSlut2),"",IF($BA37&lt;&gt;NotANumber,$H37,BF37))</f>
        <v/>
      </c>
      <c r="N37" t="str">
        <f>IF(OR($C37=0,N$4&lt;PerStart2,N$4&gt;PerSlut2),"",IF($BA37&lt;&gt;NotANumber,$H37,BG37))</f>
        <v/>
      </c>
      <c r="O37" t="str">
        <f>IF(OR($C37=0,O$4&lt;PerStart2,O$4&gt;PerSlut2),"",IF($BA37&lt;&gt;NotANumber,$H37,BH37))</f>
        <v/>
      </c>
      <c r="P37" t="str">
        <f>IF(OR($C37=0,P$4&lt;PerStart2,P$4&gt;PerSlut2),"",IF($BA37&lt;&gt;NotANumber,$H37,BI37))</f>
        <v/>
      </c>
      <c r="Q37" t="str">
        <f>IF(OR($C37=0,Q$4&lt;PerStart2,Q$4&gt;PerSlut2),"",IF($BA37&lt;&gt;NotANumber,$H37,BJ37))</f>
        <v/>
      </c>
      <c r="R37" t="str">
        <f>IF(OR($C37=0,R$4&lt;PerStart2,R$4&gt;PerSlut2),"",IF($BA37&lt;&gt;NotANumber,$H37,BK37))</f>
        <v/>
      </c>
      <c r="S37" t="str">
        <f>IF(OR($C37=0,S$4&lt;PerStart2,S$4&gt;PerSlut2),"",IF($BA37&lt;&gt;NotANumber,$H37,BL37))</f>
        <v/>
      </c>
      <c r="T37" t="str">
        <f>IF(OR($C37=0,T$4&lt;PerStart2,T$4&gt;PerSlut2),"",IF($BA37&lt;&gt;NotANumber,$H37,BM37))</f>
        <v/>
      </c>
      <c r="U37" s="89" t="str">
        <f>IF(OR($C37=0,U$4&lt;PerStart2,U$4&gt;PerSlut2),"",IF($BA37&lt;&gt;NotANumber,$H37,BN37))</f>
        <v/>
      </c>
      <c r="V37" t="str">
        <f>IF(OR($C37=0,V$4&lt;PerStart2,V$4&gt;PerSlut2),"",IF($BA37&lt;&gt;NotANumber,$H37,BO37))</f>
        <v/>
      </c>
      <c r="W37" t="str">
        <f>IF(OR($C37=0,W$4&lt;PerStart2,W$4&gt;PerSlut2),"",IF($BA37&lt;&gt;NotANumber,$H37,BP37))</f>
        <v/>
      </c>
      <c r="X37" t="str">
        <f>IF(OR($C37=0,X$4&lt;PerStart2,X$4&gt;PerSlut2),"",IF($BA37&lt;&gt;NotANumber,$H37,BQ37))</f>
        <v/>
      </c>
      <c r="Y37" t="str">
        <f>IF(OR($C37=0,Y$4&lt;PerStart2,Y$4&gt;PerSlut2),"",IF($BA37&lt;&gt;NotANumber,$H37,BR37))</f>
        <v/>
      </c>
      <c r="Z37" t="str">
        <f>IF(OR($C37=0,Z$4&lt;PerStart2,Z$4&gt;PerSlut2),"",IF($BA37&lt;&gt;NotANumber,$H37,BS37))</f>
        <v/>
      </c>
      <c r="AA37" t="str">
        <f>IF(OR($C37=0,AA$4&lt;PerStart2,AA$4&gt;PerSlut2),"",IF($BA37&lt;&gt;NotANumber,$H37,BT37))</f>
        <v/>
      </c>
      <c r="AB37" t="str">
        <f>IF(OR($C37=0,AB$4&lt;PerStart2,AB$4&gt;PerSlut2),"",IF($BA37&lt;&gt;NotANumber,$H37,BU37))</f>
        <v/>
      </c>
      <c r="AC37" t="str">
        <f>IF(OR($C37=0,AC$4&lt;PerStart2,AC$4&gt;PerSlut2),"",IF($BA37&lt;&gt;NotANumber,$H37,BV37))</f>
        <v/>
      </c>
      <c r="AD37" t="str">
        <f>IF(OR($C37=0,AD$4&lt;PerStart2,AD$4&gt;PerSlut2),"",IF($BA37&lt;&gt;NotANumber,$H37,BW37))</f>
        <v/>
      </c>
      <c r="AE37" t="str">
        <f>IF(OR($C37=0,AE$4&lt;PerStart2,AE$4&gt;PerSlut2),"",IF($BA37&lt;&gt;NotANumber,$H37,BX37))</f>
        <v/>
      </c>
      <c r="AF37" t="str">
        <f>IF(OR($C37=0,AF$4&lt;PerStart2,AF$4&gt;PerSlut2),"",IF($BA37&lt;&gt;NotANumber,$H37,BY37))</f>
        <v/>
      </c>
      <c r="AG37" s="89" t="str">
        <f>IF(OR($C37=0,AG$4&lt;PerStart2,AG$4&gt;PerSlut2),"",IF($BA37&lt;&gt;NotANumber,$H37,BZ37))</f>
        <v/>
      </c>
      <c r="AH37" t="str">
        <f>IF(OR($C37=0,AH$4&lt;PerStart2,AH$4&gt;PerSlut2),"",IF($BA37&lt;&gt;NotANumber,$H37,CA37))</f>
        <v/>
      </c>
      <c r="AI37" t="str">
        <f>IF(OR($C37=0,AI$4&lt;PerStart2,AI$4&gt;PerSlut2),"",IF($BA37&lt;&gt;NotANumber,$H37,CB37))</f>
        <v/>
      </c>
      <c r="AJ37" t="str">
        <f>IF(OR($C37=0,AJ$4&lt;PerStart2,AJ$4&gt;PerSlut2),"",IF($BA37&lt;&gt;NotANumber,$H37,CC37))</f>
        <v/>
      </c>
      <c r="AK37" t="str">
        <f>IF(OR($C37=0,AK$4&lt;PerStart2,AK$4&gt;PerSlut2),"",IF($BA37&lt;&gt;NotANumber,$H37,CD37))</f>
        <v/>
      </c>
      <c r="AL37" t="str">
        <f>IF(OR($C37=0,AL$4&lt;PerStart2,AL$4&gt;PerSlut2),"",IF($BA37&lt;&gt;NotANumber,$H37,CE37))</f>
        <v/>
      </c>
      <c r="AM37" t="str">
        <f>IF(OR($C37=0,AM$4&lt;PerStart2,AM$4&gt;PerSlut2),"",IF($BA37&lt;&gt;NotANumber,$H37,CF37))</f>
        <v/>
      </c>
      <c r="AN37" t="str">
        <f>IF(OR($C37=0,AN$4&lt;PerStart2,AN$4&gt;PerSlut2),"",IF($BA37&lt;&gt;NotANumber,$H37,CG37))</f>
        <v/>
      </c>
      <c r="AO37" t="str">
        <f>IF(OR($C37=0,AO$4&lt;PerStart2,AO$4&gt;PerSlut2),"",IF($BA37&lt;&gt;NotANumber,$H37,CH37))</f>
        <v/>
      </c>
      <c r="AP37" t="str">
        <f>IF(OR($C37=0,AP$4&lt;PerStart2,AP$4&gt;PerSlut2),"",IF($BA37&lt;&gt;NotANumber,$H37,CI37))</f>
        <v/>
      </c>
      <c r="AQ37" t="str">
        <f>IF(OR($C37=0,AQ$4&lt;PerStart2,AQ$4&gt;PerSlut2),"",IF($BA37&lt;&gt;NotANumber,$H37,CJ37))</f>
        <v/>
      </c>
      <c r="AR37" t="str">
        <f>IF(OR($C37=0,AR$4&lt;PerStart2,AR$4&gt;PerSlut2),"",IF($BA37&lt;&gt;NotANumber,$H37,CK37))</f>
        <v/>
      </c>
      <c r="AU37" s="80"/>
    </row>
    <row r="38" spans="2:47" x14ac:dyDescent="0.25">
      <c r="B38" s="93" t="str">
        <f t="shared" si="2"/>
        <v/>
      </c>
      <c r="C38" s="93">
        <f t="shared" si="3"/>
        <v>0</v>
      </c>
      <c r="D38" s="80" t="str">
        <f t="shared" si="5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80" t="str">
        <f>IF(C38=0,"",IF(BA38=NotANumber,"",BA38))</f>
        <v/>
      </c>
      <c r="I38" t="str">
        <f>IF(OR($C38=0,I$4&lt;PerStart2,I$4&gt;PerSlut2),"",IF($BA38&lt;&gt;NotANumber,$H38,BB38))</f>
        <v/>
      </c>
      <c r="J38" t="str">
        <f>IF(OR($C38=0,J$4&lt;PerStart2,J$4&gt;PerSlut2),"",IF($BA38&lt;&gt;NotANumber,$H38,BC38))</f>
        <v/>
      </c>
      <c r="K38" t="str">
        <f>IF(OR($C38=0,K$4&lt;PerStart2,K$4&gt;PerSlut2),"",IF($BA38&lt;&gt;NotANumber,$H38,BD38))</f>
        <v/>
      </c>
      <c r="L38" t="str">
        <f>IF(OR($C38=0,L$4&lt;PerStart2,L$4&gt;PerSlut2),"",IF($BA38&lt;&gt;NotANumber,$H38,BE38))</f>
        <v/>
      </c>
      <c r="M38" t="str">
        <f>IF(OR($C38=0,M$4&lt;PerStart2,M$4&gt;PerSlut2),"",IF($BA38&lt;&gt;NotANumber,$H38,BF38))</f>
        <v/>
      </c>
      <c r="N38" t="str">
        <f>IF(OR($C38=0,N$4&lt;PerStart2,N$4&gt;PerSlut2),"",IF($BA38&lt;&gt;NotANumber,$H38,BG38))</f>
        <v/>
      </c>
      <c r="O38" t="str">
        <f>IF(OR($C38=0,O$4&lt;PerStart2,O$4&gt;PerSlut2),"",IF($BA38&lt;&gt;NotANumber,$H38,BH38))</f>
        <v/>
      </c>
      <c r="P38" t="str">
        <f>IF(OR($C38=0,P$4&lt;PerStart2,P$4&gt;PerSlut2),"",IF($BA38&lt;&gt;NotANumber,$H38,BI38))</f>
        <v/>
      </c>
      <c r="Q38" t="str">
        <f>IF(OR($C38=0,Q$4&lt;PerStart2,Q$4&gt;PerSlut2),"",IF($BA38&lt;&gt;NotANumber,$H38,BJ38))</f>
        <v/>
      </c>
      <c r="R38" t="str">
        <f>IF(OR($C38=0,R$4&lt;PerStart2,R$4&gt;PerSlut2),"",IF($BA38&lt;&gt;NotANumber,$H38,BK38))</f>
        <v/>
      </c>
      <c r="S38" t="str">
        <f>IF(OR($C38=0,S$4&lt;PerStart2,S$4&gt;PerSlut2),"",IF($BA38&lt;&gt;NotANumber,$H38,BL38))</f>
        <v/>
      </c>
      <c r="T38" t="str">
        <f>IF(OR($C38=0,T$4&lt;PerStart2,T$4&gt;PerSlut2),"",IF($BA38&lt;&gt;NotANumber,$H38,BM38))</f>
        <v/>
      </c>
      <c r="U38" s="89" t="str">
        <f>IF(OR($C38=0,U$4&lt;PerStart2,U$4&gt;PerSlut2),"",IF($BA38&lt;&gt;NotANumber,$H38,BN38))</f>
        <v/>
      </c>
      <c r="V38" t="str">
        <f>IF(OR($C38=0,V$4&lt;PerStart2,V$4&gt;PerSlut2),"",IF($BA38&lt;&gt;NotANumber,$H38,BO38))</f>
        <v/>
      </c>
      <c r="W38" t="str">
        <f>IF(OR($C38=0,W$4&lt;PerStart2,W$4&gt;PerSlut2),"",IF($BA38&lt;&gt;NotANumber,$H38,BP38))</f>
        <v/>
      </c>
      <c r="X38" t="str">
        <f>IF(OR($C38=0,X$4&lt;PerStart2,X$4&gt;PerSlut2),"",IF($BA38&lt;&gt;NotANumber,$H38,BQ38))</f>
        <v/>
      </c>
      <c r="Y38" t="str">
        <f>IF(OR($C38=0,Y$4&lt;PerStart2,Y$4&gt;PerSlut2),"",IF($BA38&lt;&gt;NotANumber,$H38,BR38))</f>
        <v/>
      </c>
      <c r="Z38" t="str">
        <f>IF(OR($C38=0,Z$4&lt;PerStart2,Z$4&gt;PerSlut2),"",IF($BA38&lt;&gt;NotANumber,$H38,BS38))</f>
        <v/>
      </c>
      <c r="AA38" t="str">
        <f>IF(OR($C38=0,AA$4&lt;PerStart2,AA$4&gt;PerSlut2),"",IF($BA38&lt;&gt;NotANumber,$H38,BT38))</f>
        <v/>
      </c>
      <c r="AB38" t="str">
        <f>IF(OR($C38=0,AB$4&lt;PerStart2,AB$4&gt;PerSlut2),"",IF($BA38&lt;&gt;NotANumber,$H38,BU38))</f>
        <v/>
      </c>
      <c r="AC38" t="str">
        <f>IF(OR($C38=0,AC$4&lt;PerStart2,AC$4&gt;PerSlut2),"",IF($BA38&lt;&gt;NotANumber,$H38,BV38))</f>
        <v/>
      </c>
      <c r="AD38" t="str">
        <f>IF(OR($C38=0,AD$4&lt;PerStart2,AD$4&gt;PerSlut2),"",IF($BA38&lt;&gt;NotANumber,$H38,BW38))</f>
        <v/>
      </c>
      <c r="AE38" t="str">
        <f>IF(OR($C38=0,AE$4&lt;PerStart2,AE$4&gt;PerSlut2),"",IF($BA38&lt;&gt;NotANumber,$H38,BX38))</f>
        <v/>
      </c>
      <c r="AF38" t="str">
        <f>IF(OR($C38=0,AF$4&lt;PerStart2,AF$4&gt;PerSlut2),"",IF($BA38&lt;&gt;NotANumber,$H38,BY38))</f>
        <v/>
      </c>
      <c r="AG38" s="89" t="str">
        <f>IF(OR($C38=0,AG$4&lt;PerStart2,AG$4&gt;PerSlut2),"",IF($BA38&lt;&gt;NotANumber,$H38,BZ38))</f>
        <v/>
      </c>
      <c r="AH38" t="str">
        <f>IF(OR($C38=0,AH$4&lt;PerStart2,AH$4&gt;PerSlut2),"",IF($BA38&lt;&gt;NotANumber,$H38,CA38))</f>
        <v/>
      </c>
      <c r="AI38" t="str">
        <f>IF(OR($C38=0,AI$4&lt;PerStart2,AI$4&gt;PerSlut2),"",IF($BA38&lt;&gt;NotANumber,$H38,CB38))</f>
        <v/>
      </c>
      <c r="AJ38" t="str">
        <f>IF(OR($C38=0,AJ$4&lt;PerStart2,AJ$4&gt;PerSlut2),"",IF($BA38&lt;&gt;NotANumber,$H38,CC38))</f>
        <v/>
      </c>
      <c r="AK38" t="str">
        <f>IF(OR($C38=0,AK$4&lt;PerStart2,AK$4&gt;PerSlut2),"",IF($BA38&lt;&gt;NotANumber,$H38,CD38))</f>
        <v/>
      </c>
      <c r="AL38" t="str">
        <f>IF(OR($C38=0,AL$4&lt;PerStart2,AL$4&gt;PerSlut2),"",IF($BA38&lt;&gt;NotANumber,$H38,CE38))</f>
        <v/>
      </c>
      <c r="AM38" t="str">
        <f>IF(OR($C38=0,AM$4&lt;PerStart2,AM$4&gt;PerSlut2),"",IF($BA38&lt;&gt;NotANumber,$H38,CF38))</f>
        <v/>
      </c>
      <c r="AN38" t="str">
        <f>IF(OR($C38=0,AN$4&lt;PerStart2,AN$4&gt;PerSlut2),"",IF($BA38&lt;&gt;NotANumber,$H38,CG38))</f>
        <v/>
      </c>
      <c r="AO38" t="str">
        <f>IF(OR($C38=0,AO$4&lt;PerStart2,AO$4&gt;PerSlut2),"",IF($BA38&lt;&gt;NotANumber,$H38,CH38))</f>
        <v/>
      </c>
      <c r="AP38" t="str">
        <f>IF(OR($C38=0,AP$4&lt;PerStart2,AP$4&gt;PerSlut2),"",IF($BA38&lt;&gt;NotANumber,$H38,CI38))</f>
        <v/>
      </c>
      <c r="AQ38" t="str">
        <f>IF(OR($C38=0,AQ$4&lt;PerStart2,AQ$4&gt;PerSlut2),"",IF($BA38&lt;&gt;NotANumber,$H38,CJ38))</f>
        <v/>
      </c>
      <c r="AR38" t="str">
        <f>IF(OR($C38=0,AR$4&lt;PerStart2,AR$4&gt;PerSlut2),"",IF($BA38&lt;&gt;NotANumber,$H38,CK38))</f>
        <v/>
      </c>
      <c r="AU38" s="80"/>
    </row>
    <row r="39" spans="2:47" x14ac:dyDescent="0.25">
      <c r="B39" s="93" t="str">
        <f t="shared" si="2"/>
        <v/>
      </c>
      <c r="C39" s="93">
        <f t="shared" si="3"/>
        <v>0</v>
      </c>
      <c r="D39" s="80" t="str">
        <f t="shared" si="5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80" t="str">
        <f>IF(C39=0,"",IF(BA39=NotANumber,"",BA39))</f>
        <v/>
      </c>
      <c r="I39" t="str">
        <f>IF(OR($C39=0,I$4&lt;PerStart2,I$4&gt;PerSlut2),"",IF($BA39&lt;&gt;NotANumber,$H39,BB39))</f>
        <v/>
      </c>
      <c r="J39" t="str">
        <f>IF(OR($C39=0,J$4&lt;PerStart2,J$4&gt;PerSlut2),"",IF($BA39&lt;&gt;NotANumber,$H39,BC39))</f>
        <v/>
      </c>
      <c r="K39" t="str">
        <f>IF(OR($C39=0,K$4&lt;PerStart2,K$4&gt;PerSlut2),"",IF($BA39&lt;&gt;NotANumber,$H39,BD39))</f>
        <v/>
      </c>
      <c r="L39" t="str">
        <f>IF(OR($C39=0,L$4&lt;PerStart2,L$4&gt;PerSlut2),"",IF($BA39&lt;&gt;NotANumber,$H39,BE39))</f>
        <v/>
      </c>
      <c r="M39" t="str">
        <f>IF(OR($C39=0,M$4&lt;PerStart2,M$4&gt;PerSlut2),"",IF($BA39&lt;&gt;NotANumber,$H39,BF39))</f>
        <v/>
      </c>
      <c r="N39" t="str">
        <f>IF(OR($C39=0,N$4&lt;PerStart2,N$4&gt;PerSlut2),"",IF($BA39&lt;&gt;NotANumber,$H39,BG39))</f>
        <v/>
      </c>
      <c r="O39" t="str">
        <f>IF(OR($C39=0,O$4&lt;PerStart2,O$4&gt;PerSlut2),"",IF($BA39&lt;&gt;NotANumber,$H39,BH39))</f>
        <v/>
      </c>
      <c r="P39" t="str">
        <f>IF(OR($C39=0,P$4&lt;PerStart2,P$4&gt;PerSlut2),"",IF($BA39&lt;&gt;NotANumber,$H39,BI39))</f>
        <v/>
      </c>
      <c r="Q39" t="str">
        <f>IF(OR($C39=0,Q$4&lt;PerStart2,Q$4&gt;PerSlut2),"",IF($BA39&lt;&gt;NotANumber,$H39,BJ39))</f>
        <v/>
      </c>
      <c r="R39" t="str">
        <f>IF(OR($C39=0,R$4&lt;PerStart2,R$4&gt;PerSlut2),"",IF($BA39&lt;&gt;NotANumber,$H39,BK39))</f>
        <v/>
      </c>
      <c r="S39" t="str">
        <f>IF(OR($C39=0,S$4&lt;PerStart2,S$4&gt;PerSlut2),"",IF($BA39&lt;&gt;NotANumber,$H39,BL39))</f>
        <v/>
      </c>
      <c r="T39" t="str">
        <f>IF(OR($C39=0,T$4&lt;PerStart2,T$4&gt;PerSlut2),"",IF($BA39&lt;&gt;NotANumber,$H39,BM39))</f>
        <v/>
      </c>
      <c r="U39" s="89" t="str">
        <f>IF(OR($C39=0,U$4&lt;PerStart2,U$4&gt;PerSlut2),"",IF($BA39&lt;&gt;NotANumber,$H39,BN39))</f>
        <v/>
      </c>
      <c r="V39" t="str">
        <f>IF(OR($C39=0,V$4&lt;PerStart2,V$4&gt;PerSlut2),"",IF($BA39&lt;&gt;NotANumber,$H39,BO39))</f>
        <v/>
      </c>
      <c r="W39" t="str">
        <f>IF(OR($C39=0,W$4&lt;PerStart2,W$4&gt;PerSlut2),"",IF($BA39&lt;&gt;NotANumber,$H39,BP39))</f>
        <v/>
      </c>
      <c r="X39" t="str">
        <f>IF(OR($C39=0,X$4&lt;PerStart2,X$4&gt;PerSlut2),"",IF($BA39&lt;&gt;NotANumber,$H39,BQ39))</f>
        <v/>
      </c>
      <c r="Y39" t="str">
        <f>IF(OR($C39=0,Y$4&lt;PerStart2,Y$4&gt;PerSlut2),"",IF($BA39&lt;&gt;NotANumber,$H39,BR39))</f>
        <v/>
      </c>
      <c r="Z39" t="str">
        <f>IF(OR($C39=0,Z$4&lt;PerStart2,Z$4&gt;PerSlut2),"",IF($BA39&lt;&gt;NotANumber,$H39,BS39))</f>
        <v/>
      </c>
      <c r="AA39" t="str">
        <f>IF(OR($C39=0,AA$4&lt;PerStart2,AA$4&gt;PerSlut2),"",IF($BA39&lt;&gt;NotANumber,$H39,BT39))</f>
        <v/>
      </c>
      <c r="AB39" t="str">
        <f>IF(OR($C39=0,AB$4&lt;PerStart2,AB$4&gt;PerSlut2),"",IF($BA39&lt;&gt;NotANumber,$H39,BU39))</f>
        <v/>
      </c>
      <c r="AC39" t="str">
        <f>IF(OR($C39=0,AC$4&lt;PerStart2,AC$4&gt;PerSlut2),"",IF($BA39&lt;&gt;NotANumber,$H39,BV39))</f>
        <v/>
      </c>
      <c r="AD39" t="str">
        <f>IF(OR($C39=0,AD$4&lt;PerStart2,AD$4&gt;PerSlut2),"",IF($BA39&lt;&gt;NotANumber,$H39,BW39))</f>
        <v/>
      </c>
      <c r="AE39" t="str">
        <f>IF(OR($C39=0,AE$4&lt;PerStart2,AE$4&gt;PerSlut2),"",IF($BA39&lt;&gt;NotANumber,$H39,BX39))</f>
        <v/>
      </c>
      <c r="AF39" t="str">
        <f>IF(OR($C39=0,AF$4&lt;PerStart2,AF$4&gt;PerSlut2),"",IF($BA39&lt;&gt;NotANumber,$H39,BY39))</f>
        <v/>
      </c>
      <c r="AG39" s="89" t="str">
        <f>IF(OR($C39=0,AG$4&lt;PerStart2,AG$4&gt;PerSlut2),"",IF($BA39&lt;&gt;NotANumber,$H39,BZ39))</f>
        <v/>
      </c>
      <c r="AH39" t="str">
        <f>IF(OR($C39=0,AH$4&lt;PerStart2,AH$4&gt;PerSlut2),"",IF($BA39&lt;&gt;NotANumber,$H39,CA39))</f>
        <v/>
      </c>
      <c r="AI39" t="str">
        <f>IF(OR($C39=0,AI$4&lt;PerStart2,AI$4&gt;PerSlut2),"",IF($BA39&lt;&gt;NotANumber,$H39,CB39))</f>
        <v/>
      </c>
      <c r="AJ39" t="str">
        <f>IF(OR($C39=0,AJ$4&lt;PerStart2,AJ$4&gt;PerSlut2),"",IF($BA39&lt;&gt;NotANumber,$H39,CC39))</f>
        <v/>
      </c>
      <c r="AK39" t="str">
        <f>IF(OR($C39=0,AK$4&lt;PerStart2,AK$4&gt;PerSlut2),"",IF($BA39&lt;&gt;NotANumber,$H39,CD39))</f>
        <v/>
      </c>
      <c r="AL39" t="str">
        <f>IF(OR($C39=0,AL$4&lt;PerStart2,AL$4&gt;PerSlut2),"",IF($BA39&lt;&gt;NotANumber,$H39,CE39))</f>
        <v/>
      </c>
      <c r="AM39" t="str">
        <f>IF(OR($C39=0,AM$4&lt;PerStart2,AM$4&gt;PerSlut2),"",IF($BA39&lt;&gt;NotANumber,$H39,CF39))</f>
        <v/>
      </c>
      <c r="AN39" t="str">
        <f>IF(OR($C39=0,AN$4&lt;PerStart2,AN$4&gt;PerSlut2),"",IF($BA39&lt;&gt;NotANumber,$H39,CG39))</f>
        <v/>
      </c>
      <c r="AO39" t="str">
        <f>IF(OR($C39=0,AO$4&lt;PerStart2,AO$4&gt;PerSlut2),"",IF($BA39&lt;&gt;NotANumber,$H39,CH39))</f>
        <v/>
      </c>
      <c r="AP39" t="str">
        <f>IF(OR($C39=0,AP$4&lt;PerStart2,AP$4&gt;PerSlut2),"",IF($BA39&lt;&gt;NotANumber,$H39,CI39))</f>
        <v/>
      </c>
      <c r="AQ39" t="str">
        <f>IF(OR($C39=0,AQ$4&lt;PerStart2,AQ$4&gt;PerSlut2),"",IF($BA39&lt;&gt;NotANumber,$H39,CJ39))</f>
        <v/>
      </c>
      <c r="AR39" t="str">
        <f>IF(OR($C39=0,AR$4&lt;PerStart2,AR$4&gt;PerSlut2),"",IF($BA39&lt;&gt;NotANumber,$H39,CK39))</f>
        <v/>
      </c>
      <c r="AU39" s="80"/>
    </row>
    <row r="40" spans="2:47" x14ac:dyDescent="0.25">
      <c r="B40" s="93" t="str">
        <f t="shared" si="2"/>
        <v/>
      </c>
      <c r="C40" s="93">
        <f t="shared" si="3"/>
        <v>0</v>
      </c>
      <c r="D40" s="80" t="str">
        <f t="shared" si="5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80" t="str">
        <f>IF(C40=0,"",IF(BA40=NotANumber,"",BA40))</f>
        <v/>
      </c>
      <c r="I40" t="str">
        <f>IF(OR($C40=0,I$4&lt;PerStart2,I$4&gt;PerSlut2),"",IF($BA40&lt;&gt;NotANumber,$H40,BB40))</f>
        <v/>
      </c>
      <c r="J40" t="str">
        <f>IF(OR($C40=0,J$4&lt;PerStart2,J$4&gt;PerSlut2),"",IF($BA40&lt;&gt;NotANumber,$H40,BC40))</f>
        <v/>
      </c>
      <c r="K40" t="str">
        <f>IF(OR($C40=0,K$4&lt;PerStart2,K$4&gt;PerSlut2),"",IF($BA40&lt;&gt;NotANumber,$H40,BD40))</f>
        <v/>
      </c>
      <c r="L40" t="str">
        <f>IF(OR($C40=0,L$4&lt;PerStart2,L$4&gt;PerSlut2),"",IF($BA40&lt;&gt;NotANumber,$H40,BE40))</f>
        <v/>
      </c>
      <c r="M40" t="str">
        <f>IF(OR($C40=0,M$4&lt;PerStart2,M$4&gt;PerSlut2),"",IF($BA40&lt;&gt;NotANumber,$H40,BF40))</f>
        <v/>
      </c>
      <c r="N40" t="str">
        <f>IF(OR($C40=0,N$4&lt;PerStart2,N$4&gt;PerSlut2),"",IF($BA40&lt;&gt;NotANumber,$H40,BG40))</f>
        <v/>
      </c>
      <c r="O40" t="str">
        <f>IF(OR($C40=0,O$4&lt;PerStart2,O$4&gt;PerSlut2),"",IF($BA40&lt;&gt;NotANumber,$H40,BH40))</f>
        <v/>
      </c>
      <c r="P40" t="str">
        <f>IF(OR($C40=0,P$4&lt;PerStart2,P$4&gt;PerSlut2),"",IF($BA40&lt;&gt;NotANumber,$H40,BI40))</f>
        <v/>
      </c>
      <c r="Q40" t="str">
        <f>IF(OR($C40=0,Q$4&lt;PerStart2,Q$4&gt;PerSlut2),"",IF($BA40&lt;&gt;NotANumber,$H40,BJ40))</f>
        <v/>
      </c>
      <c r="R40" t="str">
        <f>IF(OR($C40=0,R$4&lt;PerStart2,R$4&gt;PerSlut2),"",IF($BA40&lt;&gt;NotANumber,$H40,BK40))</f>
        <v/>
      </c>
      <c r="S40" t="str">
        <f>IF(OR($C40=0,S$4&lt;PerStart2,S$4&gt;PerSlut2),"",IF($BA40&lt;&gt;NotANumber,$H40,BL40))</f>
        <v/>
      </c>
      <c r="T40" t="str">
        <f>IF(OR($C40=0,T$4&lt;PerStart2,T$4&gt;PerSlut2),"",IF($BA40&lt;&gt;NotANumber,$H40,BM40))</f>
        <v/>
      </c>
      <c r="U40" s="89" t="str">
        <f>IF(OR($C40=0,U$4&lt;PerStart2,U$4&gt;PerSlut2),"",IF($BA40&lt;&gt;NotANumber,$H40,BN40))</f>
        <v/>
      </c>
      <c r="V40" t="str">
        <f>IF(OR($C40=0,V$4&lt;PerStart2,V$4&gt;PerSlut2),"",IF($BA40&lt;&gt;NotANumber,$H40,BO40))</f>
        <v/>
      </c>
      <c r="W40" t="str">
        <f>IF(OR($C40=0,W$4&lt;PerStart2,W$4&gt;PerSlut2),"",IF($BA40&lt;&gt;NotANumber,$H40,BP40))</f>
        <v/>
      </c>
      <c r="X40" t="str">
        <f>IF(OR($C40=0,X$4&lt;PerStart2,X$4&gt;PerSlut2),"",IF($BA40&lt;&gt;NotANumber,$H40,BQ40))</f>
        <v/>
      </c>
      <c r="Y40" t="str">
        <f>IF(OR($C40=0,Y$4&lt;PerStart2,Y$4&gt;PerSlut2),"",IF($BA40&lt;&gt;NotANumber,$H40,BR40))</f>
        <v/>
      </c>
      <c r="Z40" t="str">
        <f>IF(OR($C40=0,Z$4&lt;PerStart2,Z$4&gt;PerSlut2),"",IF($BA40&lt;&gt;NotANumber,$H40,BS40))</f>
        <v/>
      </c>
      <c r="AA40" t="str">
        <f>IF(OR($C40=0,AA$4&lt;PerStart2,AA$4&gt;PerSlut2),"",IF($BA40&lt;&gt;NotANumber,$H40,BT40))</f>
        <v/>
      </c>
      <c r="AB40" t="str">
        <f>IF(OR($C40=0,AB$4&lt;PerStart2,AB$4&gt;PerSlut2),"",IF($BA40&lt;&gt;NotANumber,$H40,BU40))</f>
        <v/>
      </c>
      <c r="AC40" t="str">
        <f>IF(OR($C40=0,AC$4&lt;PerStart2,AC$4&gt;PerSlut2),"",IF($BA40&lt;&gt;NotANumber,$H40,BV40))</f>
        <v/>
      </c>
      <c r="AD40" t="str">
        <f>IF(OR($C40=0,AD$4&lt;PerStart2,AD$4&gt;PerSlut2),"",IF($BA40&lt;&gt;NotANumber,$H40,BW40))</f>
        <v/>
      </c>
      <c r="AE40" t="str">
        <f>IF(OR($C40=0,AE$4&lt;PerStart2,AE$4&gt;PerSlut2),"",IF($BA40&lt;&gt;NotANumber,$H40,BX40))</f>
        <v/>
      </c>
      <c r="AF40" t="str">
        <f>IF(OR($C40=0,AF$4&lt;PerStart2,AF$4&gt;PerSlut2),"",IF($BA40&lt;&gt;NotANumber,$H40,BY40))</f>
        <v/>
      </c>
      <c r="AG40" s="89" t="str">
        <f>IF(OR($C40=0,AG$4&lt;PerStart2,AG$4&gt;PerSlut2),"",IF($BA40&lt;&gt;NotANumber,$H40,BZ40))</f>
        <v/>
      </c>
      <c r="AH40" t="str">
        <f>IF(OR($C40=0,AH$4&lt;PerStart2,AH$4&gt;PerSlut2),"",IF($BA40&lt;&gt;NotANumber,$H40,CA40))</f>
        <v/>
      </c>
      <c r="AI40" t="str">
        <f>IF(OR($C40=0,AI$4&lt;PerStart2,AI$4&gt;PerSlut2),"",IF($BA40&lt;&gt;NotANumber,$H40,CB40))</f>
        <v/>
      </c>
      <c r="AJ40" t="str">
        <f>IF(OR($C40=0,AJ$4&lt;PerStart2,AJ$4&gt;PerSlut2),"",IF($BA40&lt;&gt;NotANumber,$H40,CC40))</f>
        <v/>
      </c>
      <c r="AK40" t="str">
        <f>IF(OR($C40=0,AK$4&lt;PerStart2,AK$4&gt;PerSlut2),"",IF($BA40&lt;&gt;NotANumber,$H40,CD40))</f>
        <v/>
      </c>
      <c r="AL40" t="str">
        <f>IF(OR($C40=0,AL$4&lt;PerStart2,AL$4&gt;PerSlut2),"",IF($BA40&lt;&gt;NotANumber,$H40,CE40))</f>
        <v/>
      </c>
      <c r="AM40" t="str">
        <f>IF(OR($C40=0,AM$4&lt;PerStart2,AM$4&gt;PerSlut2),"",IF($BA40&lt;&gt;NotANumber,$H40,CF40))</f>
        <v/>
      </c>
      <c r="AN40" t="str">
        <f>IF(OR($C40=0,AN$4&lt;PerStart2,AN$4&gt;PerSlut2),"",IF($BA40&lt;&gt;NotANumber,$H40,CG40))</f>
        <v/>
      </c>
      <c r="AO40" t="str">
        <f>IF(OR($C40=0,AO$4&lt;PerStart2,AO$4&gt;PerSlut2),"",IF($BA40&lt;&gt;NotANumber,$H40,CH40))</f>
        <v/>
      </c>
      <c r="AP40" t="str">
        <f>IF(OR($C40=0,AP$4&lt;PerStart2,AP$4&gt;PerSlut2),"",IF($BA40&lt;&gt;NotANumber,$H40,CI40))</f>
        <v/>
      </c>
      <c r="AQ40" t="str">
        <f>IF(OR($C40=0,AQ$4&lt;PerStart2,AQ$4&gt;PerSlut2),"",IF($BA40&lt;&gt;NotANumber,$H40,CJ40))</f>
        <v/>
      </c>
      <c r="AR40" t="str">
        <f>IF(OR($C40=0,AR$4&lt;PerStart2,AR$4&gt;PerSlut2),"",IF($BA40&lt;&gt;NotANumber,$H40,CK40))</f>
        <v/>
      </c>
      <c r="AU40" s="80"/>
    </row>
    <row r="41" spans="2:47" x14ac:dyDescent="0.25">
      <c r="B41" s="93" t="str">
        <f t="shared" si="2"/>
        <v/>
      </c>
      <c r="C41" s="93">
        <f t="shared" si="3"/>
        <v>0</v>
      </c>
      <c r="D41" s="80" t="str">
        <f t="shared" si="5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80" t="str">
        <f>IF(C41=0,"",IF(BA41=NotANumber,"",BA41))</f>
        <v/>
      </c>
      <c r="I41" t="str">
        <f>IF(OR($C41=0,I$4&lt;PerStart2,I$4&gt;PerSlut2),"",IF($BA41&lt;&gt;NotANumber,$H41,BB41))</f>
        <v/>
      </c>
      <c r="J41" t="str">
        <f>IF(OR($C41=0,J$4&lt;PerStart2,J$4&gt;PerSlut2),"",IF($BA41&lt;&gt;NotANumber,$H41,BC41))</f>
        <v/>
      </c>
      <c r="K41" t="str">
        <f>IF(OR($C41=0,K$4&lt;PerStart2,K$4&gt;PerSlut2),"",IF($BA41&lt;&gt;NotANumber,$H41,BD41))</f>
        <v/>
      </c>
      <c r="L41" t="str">
        <f>IF(OR($C41=0,L$4&lt;PerStart2,L$4&gt;PerSlut2),"",IF($BA41&lt;&gt;NotANumber,$H41,BE41))</f>
        <v/>
      </c>
      <c r="M41" t="str">
        <f>IF(OR($C41=0,M$4&lt;PerStart2,M$4&gt;PerSlut2),"",IF($BA41&lt;&gt;NotANumber,$H41,BF41))</f>
        <v/>
      </c>
      <c r="N41" t="str">
        <f>IF(OR($C41=0,N$4&lt;PerStart2,N$4&gt;PerSlut2),"",IF($BA41&lt;&gt;NotANumber,$H41,BG41))</f>
        <v/>
      </c>
      <c r="O41" t="str">
        <f>IF(OR($C41=0,O$4&lt;PerStart2,O$4&gt;PerSlut2),"",IF($BA41&lt;&gt;NotANumber,$H41,BH41))</f>
        <v/>
      </c>
      <c r="P41" t="str">
        <f>IF(OR($C41=0,P$4&lt;PerStart2,P$4&gt;PerSlut2),"",IF($BA41&lt;&gt;NotANumber,$H41,BI41))</f>
        <v/>
      </c>
      <c r="Q41" t="str">
        <f>IF(OR($C41=0,Q$4&lt;PerStart2,Q$4&gt;PerSlut2),"",IF($BA41&lt;&gt;NotANumber,$H41,BJ41))</f>
        <v/>
      </c>
      <c r="R41" t="str">
        <f>IF(OR($C41=0,R$4&lt;PerStart2,R$4&gt;PerSlut2),"",IF($BA41&lt;&gt;NotANumber,$H41,BK41))</f>
        <v/>
      </c>
      <c r="S41" t="str">
        <f>IF(OR($C41=0,S$4&lt;PerStart2,S$4&gt;PerSlut2),"",IF($BA41&lt;&gt;NotANumber,$H41,BL41))</f>
        <v/>
      </c>
      <c r="T41" t="str">
        <f>IF(OR($C41=0,T$4&lt;PerStart2,T$4&gt;PerSlut2),"",IF($BA41&lt;&gt;NotANumber,$H41,BM41))</f>
        <v/>
      </c>
      <c r="U41" s="89" t="str">
        <f>IF(OR($C41=0,U$4&lt;PerStart2,U$4&gt;PerSlut2),"",IF($BA41&lt;&gt;NotANumber,$H41,BN41))</f>
        <v/>
      </c>
      <c r="V41" t="str">
        <f>IF(OR($C41=0,V$4&lt;PerStart2,V$4&gt;PerSlut2),"",IF($BA41&lt;&gt;NotANumber,$H41,BO41))</f>
        <v/>
      </c>
      <c r="W41" t="str">
        <f>IF(OR($C41=0,W$4&lt;PerStart2,W$4&gt;PerSlut2),"",IF($BA41&lt;&gt;NotANumber,$H41,BP41))</f>
        <v/>
      </c>
      <c r="X41" t="str">
        <f>IF(OR($C41=0,X$4&lt;PerStart2,X$4&gt;PerSlut2),"",IF($BA41&lt;&gt;NotANumber,$H41,BQ41))</f>
        <v/>
      </c>
      <c r="Y41" t="str">
        <f>IF(OR($C41=0,Y$4&lt;PerStart2,Y$4&gt;PerSlut2),"",IF($BA41&lt;&gt;NotANumber,$H41,BR41))</f>
        <v/>
      </c>
      <c r="Z41" t="str">
        <f>IF(OR($C41=0,Z$4&lt;PerStart2,Z$4&gt;PerSlut2),"",IF($BA41&lt;&gt;NotANumber,$H41,BS41))</f>
        <v/>
      </c>
      <c r="AA41" t="str">
        <f>IF(OR($C41=0,AA$4&lt;PerStart2,AA$4&gt;PerSlut2),"",IF($BA41&lt;&gt;NotANumber,$H41,BT41))</f>
        <v/>
      </c>
      <c r="AB41" t="str">
        <f>IF(OR($C41=0,AB$4&lt;PerStart2,AB$4&gt;PerSlut2),"",IF($BA41&lt;&gt;NotANumber,$H41,BU41))</f>
        <v/>
      </c>
      <c r="AC41" t="str">
        <f>IF(OR($C41=0,AC$4&lt;PerStart2,AC$4&gt;PerSlut2),"",IF($BA41&lt;&gt;NotANumber,$H41,BV41))</f>
        <v/>
      </c>
      <c r="AD41" t="str">
        <f>IF(OR($C41=0,AD$4&lt;PerStart2,AD$4&gt;PerSlut2),"",IF($BA41&lt;&gt;NotANumber,$H41,BW41))</f>
        <v/>
      </c>
      <c r="AE41" t="str">
        <f>IF(OR($C41=0,AE$4&lt;PerStart2,AE$4&gt;PerSlut2),"",IF($BA41&lt;&gt;NotANumber,$H41,BX41))</f>
        <v/>
      </c>
      <c r="AF41" t="str">
        <f>IF(OR($C41=0,AF$4&lt;PerStart2,AF$4&gt;PerSlut2),"",IF($BA41&lt;&gt;NotANumber,$H41,BY41))</f>
        <v/>
      </c>
      <c r="AG41" s="89" t="str">
        <f>IF(OR($C41=0,AG$4&lt;PerStart2,AG$4&gt;PerSlut2),"",IF($BA41&lt;&gt;NotANumber,$H41,BZ41))</f>
        <v/>
      </c>
      <c r="AH41" t="str">
        <f>IF(OR($C41=0,AH$4&lt;PerStart2,AH$4&gt;PerSlut2),"",IF($BA41&lt;&gt;NotANumber,$H41,CA41))</f>
        <v/>
      </c>
      <c r="AI41" t="str">
        <f>IF(OR($C41=0,AI$4&lt;PerStart2,AI$4&gt;PerSlut2),"",IF($BA41&lt;&gt;NotANumber,$H41,CB41))</f>
        <v/>
      </c>
      <c r="AJ41" t="str">
        <f>IF(OR($C41=0,AJ$4&lt;PerStart2,AJ$4&gt;PerSlut2),"",IF($BA41&lt;&gt;NotANumber,$H41,CC41))</f>
        <v/>
      </c>
      <c r="AK41" t="str">
        <f>IF(OR($C41=0,AK$4&lt;PerStart2,AK$4&gt;PerSlut2),"",IF($BA41&lt;&gt;NotANumber,$H41,CD41))</f>
        <v/>
      </c>
      <c r="AL41" t="str">
        <f>IF(OR($C41=0,AL$4&lt;PerStart2,AL$4&gt;PerSlut2),"",IF($BA41&lt;&gt;NotANumber,$H41,CE41))</f>
        <v/>
      </c>
      <c r="AM41" t="str">
        <f>IF(OR($C41=0,AM$4&lt;PerStart2,AM$4&gt;PerSlut2),"",IF($BA41&lt;&gt;NotANumber,$H41,CF41))</f>
        <v/>
      </c>
      <c r="AN41" t="str">
        <f>IF(OR($C41=0,AN$4&lt;PerStart2,AN$4&gt;PerSlut2),"",IF($BA41&lt;&gt;NotANumber,$H41,CG41))</f>
        <v/>
      </c>
      <c r="AO41" t="str">
        <f>IF(OR($C41=0,AO$4&lt;PerStart2,AO$4&gt;PerSlut2),"",IF($BA41&lt;&gt;NotANumber,$H41,CH41))</f>
        <v/>
      </c>
      <c r="AP41" t="str">
        <f>IF(OR($C41=0,AP$4&lt;PerStart2,AP$4&gt;PerSlut2),"",IF($BA41&lt;&gt;NotANumber,$H41,CI41))</f>
        <v/>
      </c>
      <c r="AQ41" t="str">
        <f>IF(OR($C41=0,AQ$4&lt;PerStart2,AQ$4&gt;PerSlut2),"",IF($BA41&lt;&gt;NotANumber,$H41,CJ41))</f>
        <v/>
      </c>
      <c r="AR41" t="str">
        <f>IF(OR($C41=0,AR$4&lt;PerStart2,AR$4&gt;PerSlut2),"",IF($BA41&lt;&gt;NotANumber,$H41,CK41))</f>
        <v/>
      </c>
      <c r="AU41" s="80"/>
    </row>
    <row r="42" spans="2:47" x14ac:dyDescent="0.25">
      <c r="B42" s="93" t="str">
        <f t="shared" si="2"/>
        <v/>
      </c>
      <c r="C42" s="93">
        <f t="shared" si="3"/>
        <v>0</v>
      </c>
      <c r="D42" s="80" t="str">
        <f t="shared" si="5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80" t="str">
        <f>IF(C42=0,"",IF(BA42=NotANumber,"",BA42))</f>
        <v/>
      </c>
      <c r="I42" t="str">
        <f>IF(OR($C42=0,I$4&lt;PerStart2,I$4&gt;PerSlut2),"",IF($BA42&lt;&gt;NotANumber,$H42,BB42))</f>
        <v/>
      </c>
      <c r="J42" t="str">
        <f>IF(OR($C42=0,J$4&lt;PerStart2,J$4&gt;PerSlut2),"",IF($BA42&lt;&gt;NotANumber,$H42,BC42))</f>
        <v/>
      </c>
      <c r="K42" t="str">
        <f>IF(OR($C42=0,K$4&lt;PerStart2,K$4&gt;PerSlut2),"",IF($BA42&lt;&gt;NotANumber,$H42,BD42))</f>
        <v/>
      </c>
      <c r="L42" t="str">
        <f>IF(OR($C42=0,L$4&lt;PerStart2,L$4&gt;PerSlut2),"",IF($BA42&lt;&gt;NotANumber,$H42,BE42))</f>
        <v/>
      </c>
      <c r="M42" t="str">
        <f>IF(OR($C42=0,M$4&lt;PerStart2,M$4&gt;PerSlut2),"",IF($BA42&lt;&gt;NotANumber,$H42,BF42))</f>
        <v/>
      </c>
      <c r="N42" t="str">
        <f>IF(OR($C42=0,N$4&lt;PerStart2,N$4&gt;PerSlut2),"",IF($BA42&lt;&gt;NotANumber,$H42,BG42))</f>
        <v/>
      </c>
      <c r="O42" t="str">
        <f>IF(OR($C42=0,O$4&lt;PerStart2,O$4&gt;PerSlut2),"",IF($BA42&lt;&gt;NotANumber,$H42,BH42))</f>
        <v/>
      </c>
      <c r="P42" t="str">
        <f>IF(OR($C42=0,P$4&lt;PerStart2,P$4&gt;PerSlut2),"",IF($BA42&lt;&gt;NotANumber,$H42,BI42))</f>
        <v/>
      </c>
      <c r="Q42" t="str">
        <f>IF(OR($C42=0,Q$4&lt;PerStart2,Q$4&gt;PerSlut2),"",IF($BA42&lt;&gt;NotANumber,$H42,BJ42))</f>
        <v/>
      </c>
      <c r="R42" t="str">
        <f>IF(OR($C42=0,R$4&lt;PerStart2,R$4&gt;PerSlut2),"",IF($BA42&lt;&gt;NotANumber,$H42,BK42))</f>
        <v/>
      </c>
      <c r="S42" t="str">
        <f>IF(OR($C42=0,S$4&lt;PerStart2,S$4&gt;PerSlut2),"",IF($BA42&lt;&gt;NotANumber,$H42,BL42))</f>
        <v/>
      </c>
      <c r="T42" t="str">
        <f>IF(OR($C42=0,T$4&lt;PerStart2,T$4&gt;PerSlut2),"",IF($BA42&lt;&gt;NotANumber,$H42,BM42))</f>
        <v/>
      </c>
      <c r="U42" s="89" t="str">
        <f>IF(OR($C42=0,U$4&lt;PerStart2,U$4&gt;PerSlut2),"",IF($BA42&lt;&gt;NotANumber,$H42,BN42))</f>
        <v/>
      </c>
      <c r="V42" t="str">
        <f>IF(OR($C42=0,V$4&lt;PerStart2,V$4&gt;PerSlut2),"",IF($BA42&lt;&gt;NotANumber,$H42,BO42))</f>
        <v/>
      </c>
      <c r="W42" t="str">
        <f>IF(OR($C42=0,W$4&lt;PerStart2,W$4&gt;PerSlut2),"",IF($BA42&lt;&gt;NotANumber,$H42,BP42))</f>
        <v/>
      </c>
      <c r="X42" t="str">
        <f>IF(OR($C42=0,X$4&lt;PerStart2,X$4&gt;PerSlut2),"",IF($BA42&lt;&gt;NotANumber,$H42,BQ42))</f>
        <v/>
      </c>
      <c r="Y42" t="str">
        <f>IF(OR($C42=0,Y$4&lt;PerStart2,Y$4&gt;PerSlut2),"",IF($BA42&lt;&gt;NotANumber,$H42,BR42))</f>
        <v/>
      </c>
      <c r="Z42" t="str">
        <f>IF(OR($C42=0,Z$4&lt;PerStart2,Z$4&gt;PerSlut2),"",IF($BA42&lt;&gt;NotANumber,$H42,BS42))</f>
        <v/>
      </c>
      <c r="AA42" t="str">
        <f>IF(OR($C42=0,AA$4&lt;PerStart2,AA$4&gt;PerSlut2),"",IF($BA42&lt;&gt;NotANumber,$H42,BT42))</f>
        <v/>
      </c>
      <c r="AB42" t="str">
        <f>IF(OR($C42=0,AB$4&lt;PerStart2,AB$4&gt;PerSlut2),"",IF($BA42&lt;&gt;NotANumber,$H42,BU42))</f>
        <v/>
      </c>
      <c r="AC42" t="str">
        <f>IF(OR($C42=0,AC$4&lt;PerStart2,AC$4&gt;PerSlut2),"",IF($BA42&lt;&gt;NotANumber,$H42,BV42))</f>
        <v/>
      </c>
      <c r="AD42" t="str">
        <f>IF(OR($C42=0,AD$4&lt;PerStart2,AD$4&gt;PerSlut2),"",IF($BA42&lt;&gt;NotANumber,$H42,BW42))</f>
        <v/>
      </c>
      <c r="AE42" t="str">
        <f>IF(OR($C42=0,AE$4&lt;PerStart2,AE$4&gt;PerSlut2),"",IF($BA42&lt;&gt;NotANumber,$H42,BX42))</f>
        <v/>
      </c>
      <c r="AF42" t="str">
        <f>IF(OR($C42=0,AF$4&lt;PerStart2,AF$4&gt;PerSlut2),"",IF($BA42&lt;&gt;NotANumber,$H42,BY42))</f>
        <v/>
      </c>
      <c r="AG42" s="89" t="str">
        <f>IF(OR($C42=0,AG$4&lt;PerStart2,AG$4&gt;PerSlut2),"",IF($BA42&lt;&gt;NotANumber,$H42,BZ42))</f>
        <v/>
      </c>
      <c r="AH42" t="str">
        <f>IF(OR($C42=0,AH$4&lt;PerStart2,AH$4&gt;PerSlut2),"",IF($BA42&lt;&gt;NotANumber,$H42,CA42))</f>
        <v/>
      </c>
      <c r="AI42" t="str">
        <f>IF(OR($C42=0,AI$4&lt;PerStart2,AI$4&gt;PerSlut2),"",IF($BA42&lt;&gt;NotANumber,$H42,CB42))</f>
        <v/>
      </c>
      <c r="AJ42" t="str">
        <f>IF(OR($C42=0,AJ$4&lt;PerStart2,AJ$4&gt;PerSlut2),"",IF($BA42&lt;&gt;NotANumber,$H42,CC42))</f>
        <v/>
      </c>
      <c r="AK42" t="str">
        <f>IF(OR($C42=0,AK$4&lt;PerStart2,AK$4&gt;PerSlut2),"",IF($BA42&lt;&gt;NotANumber,$H42,CD42))</f>
        <v/>
      </c>
      <c r="AL42" t="str">
        <f>IF(OR($C42=0,AL$4&lt;PerStart2,AL$4&gt;PerSlut2),"",IF($BA42&lt;&gt;NotANumber,$H42,CE42))</f>
        <v/>
      </c>
      <c r="AM42" t="str">
        <f>IF(OR($C42=0,AM$4&lt;PerStart2,AM$4&gt;PerSlut2),"",IF($BA42&lt;&gt;NotANumber,$H42,CF42))</f>
        <v/>
      </c>
      <c r="AN42" t="str">
        <f>IF(OR($C42=0,AN$4&lt;PerStart2,AN$4&gt;PerSlut2),"",IF($BA42&lt;&gt;NotANumber,$H42,CG42))</f>
        <v/>
      </c>
      <c r="AO42" t="str">
        <f>IF(OR($C42=0,AO$4&lt;PerStart2,AO$4&gt;PerSlut2),"",IF($BA42&lt;&gt;NotANumber,$H42,CH42))</f>
        <v/>
      </c>
      <c r="AP42" t="str">
        <f>IF(OR($C42=0,AP$4&lt;PerStart2,AP$4&gt;PerSlut2),"",IF($BA42&lt;&gt;NotANumber,$H42,CI42))</f>
        <v/>
      </c>
      <c r="AQ42" t="str">
        <f>IF(OR($C42=0,AQ$4&lt;PerStart2,AQ$4&gt;PerSlut2),"",IF($BA42&lt;&gt;NotANumber,$H42,CJ42))</f>
        <v/>
      </c>
      <c r="AR42" t="str">
        <f>IF(OR($C42=0,AR$4&lt;PerStart2,AR$4&gt;PerSlut2),"",IF($BA42&lt;&gt;NotANumber,$H42,CK42))</f>
        <v/>
      </c>
      <c r="AU42" s="80"/>
    </row>
    <row r="43" spans="2:47" x14ac:dyDescent="0.25">
      <c r="C43" t="str">
        <f t="shared" ref="C43:C45" si="6">IF(ISBLANK(AV43),"",AV43)</f>
        <v/>
      </c>
      <c r="D43" t="str">
        <f t="shared" si="5"/>
        <v/>
      </c>
      <c r="U43" s="89"/>
      <c r="AG43" s="89"/>
      <c r="AU43" s="80"/>
    </row>
    <row r="44" spans="2:47" x14ac:dyDescent="0.25">
      <c r="B44" s="93" t="str">
        <f t="shared" si="2"/>
        <v/>
      </c>
      <c r="C44" t="str">
        <f t="shared" si="6"/>
        <v/>
      </c>
      <c r="D44" t="str">
        <f t="shared" si="5"/>
        <v/>
      </c>
      <c r="U44" s="89"/>
      <c r="AG44" s="89"/>
      <c r="AU44" s="80"/>
    </row>
    <row r="45" spans="2:47" x14ac:dyDescent="0.25">
      <c r="B45" s="93" t="str">
        <f t="shared" si="2"/>
        <v/>
      </c>
      <c r="C45" t="str">
        <f t="shared" si="6"/>
        <v/>
      </c>
      <c r="D45" t="str">
        <f t="shared" si="5"/>
        <v/>
      </c>
      <c r="U45" s="89"/>
      <c r="AG45" s="89"/>
      <c r="AU45" s="80"/>
    </row>
    <row r="46" spans="2:47" x14ac:dyDescent="0.25">
      <c r="U46" s="89"/>
      <c r="AG46" s="89"/>
      <c r="AU46" s="80"/>
    </row>
    <row r="47" spans="2:47" x14ac:dyDescent="0.25">
      <c r="U47" s="89"/>
      <c r="AG47" s="89"/>
      <c r="AU47" s="80"/>
    </row>
    <row r="48" spans="2:47" x14ac:dyDescent="0.25">
      <c r="U48" s="89"/>
      <c r="AG48" s="89"/>
      <c r="AU48" s="80"/>
    </row>
    <row r="49" spans="21:47" x14ac:dyDescent="0.25">
      <c r="U49" s="89"/>
      <c r="AG49" s="89"/>
      <c r="AU49" s="80"/>
    </row>
    <row r="50" spans="21:47" x14ac:dyDescent="0.25">
      <c r="U50" s="89"/>
      <c r="AG50" s="89"/>
      <c r="AU50" s="80"/>
    </row>
    <row r="51" spans="21:47" x14ac:dyDescent="0.25">
      <c r="U51" s="89"/>
      <c r="AG51" s="89"/>
      <c r="AU51" s="80"/>
    </row>
    <row r="52" spans="21:47" x14ac:dyDescent="0.25">
      <c r="U52" s="89"/>
      <c r="AG52" s="89"/>
      <c r="AU52" s="80"/>
    </row>
    <row r="53" spans="21:47" x14ac:dyDescent="0.25">
      <c r="U53" s="89"/>
      <c r="AG53" s="89"/>
      <c r="AU53" s="80"/>
    </row>
    <row r="54" spans="21:47" x14ac:dyDescent="0.25">
      <c r="U54" s="89"/>
      <c r="AG54" s="89"/>
      <c r="AU54" s="80"/>
    </row>
  </sheetData>
  <phoneticPr fontId="5" type="noConversion"/>
  <conditionalFormatting sqref="C6:C42 E6:H42">
    <cfRule type="cellIs" dxfId="129" priority="22" operator="equal">
      <formula>NaN</formula>
    </cfRule>
  </conditionalFormatting>
  <conditionalFormatting sqref="B6:C42 B44:B45">
    <cfRule type="cellIs" dxfId="128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7" priority="16" operator="greaterThan">
      <formula>0.5</formula>
    </cfRule>
  </conditionalFormatting>
  <conditionalFormatting sqref="AV6:AV17">
    <cfRule type="cellIs" dxfId="126" priority="15" operator="equal">
      <formula>NaN</formula>
    </cfRule>
  </conditionalFormatting>
  <conditionalFormatting sqref="AV6:AV42">
    <cfRule type="cellIs" dxfId="125" priority="14" operator="lessThan">
      <formula>0.000000000001</formula>
    </cfRule>
  </conditionalFormatting>
  <conditionalFormatting sqref="AV6:AV42">
    <cfRule type="cellIs" dxfId="124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3" priority="6" operator="equal">
      <formula>NaN</formula>
    </cfRule>
  </conditionalFormatting>
  <conditionalFormatting sqref="I5:AR5">
    <cfRule type="expression" dxfId="122" priority="4">
      <formula>OR(I4&lt;PerStart2,I4&gt;PerSlut2)</formula>
    </cfRule>
  </conditionalFormatting>
  <conditionalFormatting sqref="AU6:AU42">
    <cfRule type="cellIs" dxfId="121" priority="3" operator="equal">
      <formula>NaN</formula>
    </cfRule>
  </conditionalFormatting>
  <conditionalFormatting sqref="B6:B42 H6:H42">
    <cfRule type="expression" dxfId="120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7"/>
  <sheetViews>
    <sheetView zoomScale="85" zoomScaleNormal="85" workbookViewId="0">
      <pane xSplit="3" ySplit="3" topLeftCell="D24" activePane="bottomRight" state="frozen"/>
      <selection pane="topRight" activeCell="D1" sqref="D1"/>
      <selection pane="bottomLeft" activeCell="A6" sqref="A6"/>
      <selection pane="bottomRight" activeCell="D55" sqref="D55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44599.530775868057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86</v>
      </c>
      <c r="D4" s="32" t="s">
        <v>143</v>
      </c>
      <c r="E4" s="32" t="s">
        <v>74</v>
      </c>
      <c r="F4" s="32" t="s">
        <v>174</v>
      </c>
      <c r="G4" s="32" t="s">
        <v>175</v>
      </c>
      <c r="H4" s="32" t="s">
        <v>176</v>
      </c>
      <c r="I4" s="32" t="s">
        <v>177</v>
      </c>
      <c r="J4" s="32" t="s">
        <v>190</v>
      </c>
      <c r="K4" s="32" t="s">
        <v>191</v>
      </c>
      <c r="L4" s="32" t="s">
        <v>192</v>
      </c>
      <c r="M4" s="32" t="s">
        <v>193</v>
      </c>
      <c r="N4" s="32" t="s">
        <v>194</v>
      </c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0.52987865740578854</v>
      </c>
      <c r="E5" s="38">
        <v>0.5299695370340487</v>
      </c>
      <c r="F5" s="38">
        <v>0.53005549768568017</v>
      </c>
      <c r="G5" s="38">
        <v>0.53013504629780073</v>
      </c>
      <c r="H5" s="38">
        <v>0.53020619213202735</v>
      </c>
      <c r="I5" s="38">
        <v>0.53031886574171949</v>
      </c>
      <c r="J5" s="38">
        <v>0.53040292824152857</v>
      </c>
      <c r="K5" s="38">
        <v>0.53048671295982786</v>
      </c>
      <c r="L5" s="38">
        <v>0.53057043981243623</v>
      </c>
      <c r="M5" s="38">
        <v>0.53065875000174856</v>
      </c>
      <c r="N5" s="38">
        <v>0.53074431713321246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53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>
        <v>240000</v>
      </c>
      <c r="I6" s="7">
        <v>240000</v>
      </c>
      <c r="J6" s="7">
        <v>240000</v>
      </c>
      <c r="K6" s="7">
        <v>240000</v>
      </c>
      <c r="L6" s="7">
        <v>240000</v>
      </c>
      <c r="M6" s="7">
        <v>240000</v>
      </c>
      <c r="N6" s="7">
        <v>240000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-4097338.601338265</v>
      </c>
      <c r="E7" s="11">
        <v>-22934780.436825119</v>
      </c>
      <c r="F7" s="11">
        <v>-16046937.482436363</v>
      </c>
      <c r="G7" s="11">
        <v>-9239392.5343005024</v>
      </c>
      <c r="H7" s="11">
        <v>-715212.24797422951</v>
      </c>
      <c r="I7" s="11">
        <v>7464204.5563096153</v>
      </c>
      <c r="J7" s="11">
        <v>-38629503.462239765</v>
      </c>
      <c r="K7" s="11">
        <v>-31741660.506293464</v>
      </c>
      <c r="L7" s="11">
        <v>-24934115.558316994</v>
      </c>
      <c r="M7" s="11">
        <v>-17090899.015954215</v>
      </c>
      <c r="N7" s="11">
        <v>-9044153.1986192558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Nøgletal.Total-Var-Varmeproduktions-Omk</v>
      </c>
      <c r="B8" s="8" t="s">
        <v>6</v>
      </c>
      <c r="C8" s="9" t="s">
        <v>80</v>
      </c>
      <c r="D8" s="10">
        <v>110.67028819276544</v>
      </c>
      <c r="E8" s="10">
        <v>1111.0392016194542</v>
      </c>
      <c r="F8" s="10">
        <v>791.63805044174819</v>
      </c>
      <c r="G8" s="10">
        <v>464.03986732449783</v>
      </c>
      <c r="H8" s="10">
        <v>-56.148308443408425</v>
      </c>
      <c r="I8" s="10">
        <v>-504.62577152001575</v>
      </c>
      <c r="J8" s="10">
        <v>2031.5883568647018</v>
      </c>
      <c r="K8" s="10">
        <v>1664.5116604737586</v>
      </c>
      <c r="L8" s="10">
        <v>1363.0368526748423</v>
      </c>
      <c r="M8" s="10">
        <v>901.48521018676718</v>
      </c>
      <c r="N8" s="10">
        <v>484.43030882604444</v>
      </c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81</v>
      </c>
      <c r="D9" s="11">
        <v>-2282938.601338265</v>
      </c>
      <c r="E9" s="11">
        <v>-21120380.436825119</v>
      </c>
      <c r="F9" s="11">
        <v>-14232537.482436363</v>
      </c>
      <c r="G9" s="11">
        <v>-7424992.5343005024</v>
      </c>
      <c r="H9" s="11">
        <v>1099187.7520257705</v>
      </c>
      <c r="I9" s="11">
        <v>9278604.5563096143</v>
      </c>
      <c r="J9" s="11">
        <v>-36815103.462239765</v>
      </c>
      <c r="K9" s="11">
        <v>-29927260.506293464</v>
      </c>
      <c r="L9" s="11">
        <v>-23119715.558316994</v>
      </c>
      <c r="M9" s="11">
        <v>-15276499.015954215</v>
      </c>
      <c r="N9" s="11">
        <v>-7229753.1986192558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Nøgletal.REFA-Var-Varmeproduktions-Omk</v>
      </c>
      <c r="B10" s="8" t="s">
        <v>6</v>
      </c>
      <c r="C10" s="13" t="s">
        <v>82</v>
      </c>
      <c r="D10" s="10">
        <v>38.768382732653265</v>
      </c>
      <c r="E10" s="10">
        <v>1082.2713046115307</v>
      </c>
      <c r="F10" s="10">
        <v>753.56906186648087</v>
      </c>
      <c r="G10" s="10">
        <v>418.30517841682331</v>
      </c>
      <c r="H10" s="10">
        <v>-109.64209013531115</v>
      </c>
      <c r="I10" s="10">
        <v>-570.59803479731511</v>
      </c>
      <c r="J10" s="10">
        <v>2018.9082984344398</v>
      </c>
      <c r="K10" s="10">
        <v>1647.1401514796817</v>
      </c>
      <c r="L10" s="10">
        <v>1335.7468049287484</v>
      </c>
      <c r="M10" s="10">
        <v>864.07926707404579</v>
      </c>
      <c r="N10" s="10">
        <v>439.26527292909481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Nøgletal.REFA-Daekningsbidrag</v>
      </c>
      <c r="B11" s="57" t="s">
        <v>2</v>
      </c>
      <c r="C11" s="58" t="s">
        <v>7</v>
      </c>
      <c r="D11" s="56">
        <v>-1967287.8598487265</v>
      </c>
      <c r="E11" s="56">
        <v>-20787187.607657105</v>
      </c>
      <c r="F11" s="56">
        <v>-13899344.653270641</v>
      </c>
      <c r="G11" s="56">
        <v>-7091799.7051347699</v>
      </c>
      <c r="H11" s="56">
        <v>1432085.6675100569</v>
      </c>
      <c r="I11" s="56">
        <v>9577398.3984165657</v>
      </c>
      <c r="J11" s="56">
        <v>-36481910.633073926</v>
      </c>
      <c r="K11" s="56">
        <v>-29594067.677127637</v>
      </c>
      <c r="L11" s="56">
        <v>-22786522.729151167</v>
      </c>
      <c r="M11" s="56">
        <v>-14943601.10046294</v>
      </c>
      <c r="N11" s="56">
        <v>-6914102.4571227077</v>
      </c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Nøgletal.REFA-Total-Var-Indkomst</v>
      </c>
      <c r="B12" s="12" t="s">
        <v>2</v>
      </c>
      <c r="C12" s="14" t="s">
        <v>8</v>
      </c>
      <c r="D12" s="11">
        <v>74416499.832803488</v>
      </c>
      <c r="E12" s="11">
        <v>54279715.892418794</v>
      </c>
      <c r="F12" s="11">
        <v>61087260.840764627</v>
      </c>
      <c r="G12" s="11">
        <v>67894805.788900509</v>
      </c>
      <c r="H12" s="11">
        <v>78115923.644442946</v>
      </c>
      <c r="I12" s="11">
        <v>86940140.320209682</v>
      </c>
      <c r="J12" s="11">
        <v>54279714.154073544</v>
      </c>
      <c r="K12" s="11">
        <v>61087259.102050014</v>
      </c>
      <c r="L12" s="11">
        <v>67894804.050026491</v>
      </c>
      <c r="M12" s="11">
        <v>78115921.905199811</v>
      </c>
      <c r="N12" s="11">
        <v>86595719.243898228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Nøgletal.REFA-Affald-Modtagelse</v>
      </c>
      <c r="B13" s="12" t="s">
        <v>2</v>
      </c>
      <c r="C13" s="15" t="s">
        <v>9</v>
      </c>
      <c r="D13" s="11">
        <v>46087280.829558991</v>
      </c>
      <c r="E13" s="11">
        <v>46087280.829558991</v>
      </c>
      <c r="F13" s="11">
        <v>46087280.829558991</v>
      </c>
      <c r="G13" s="11">
        <v>46087280.829558991</v>
      </c>
      <c r="H13" s="11">
        <v>46087280.830420531</v>
      </c>
      <c r="I13" s="11">
        <v>46087280.830420524</v>
      </c>
      <c r="J13" s="11">
        <v>46087279.09115997</v>
      </c>
      <c r="K13" s="11">
        <v>46087279.09115997</v>
      </c>
      <c r="L13" s="11">
        <v>46087279.09115997</v>
      </c>
      <c r="M13" s="11">
        <v>46087279.091159977</v>
      </c>
      <c r="N13" s="11">
        <v>46087279.091159962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Nøgletal.REFA-RGK-Rabat</v>
      </c>
      <c r="B14" s="12" t="s">
        <v>2</v>
      </c>
      <c r="C14" s="15" t="s">
        <v>10</v>
      </c>
      <c r="D14" s="11">
        <v>1356888.7307688503</v>
      </c>
      <c r="E14" s="11">
        <v>1521041.0138966369</v>
      </c>
      <c r="F14" s="11">
        <v>1521041.0138966369</v>
      </c>
      <c r="G14" s="11">
        <v>1521041.0138966369</v>
      </c>
      <c r="H14" s="11">
        <v>1521041.0138966369</v>
      </c>
      <c r="I14" s="11">
        <v>1142684.5870799036</v>
      </c>
      <c r="J14" s="11">
        <v>1521041.0138966369</v>
      </c>
      <c r="K14" s="11">
        <v>1521041.0138966369</v>
      </c>
      <c r="L14" s="11">
        <v>1521041.0138966369</v>
      </c>
      <c r="M14" s="11">
        <v>1521041.0138966369</v>
      </c>
      <c r="N14" s="11">
        <v>1327902.1423838048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Nøgletal.REFA-Elsalg</v>
      </c>
      <c r="B15" s="12" t="s">
        <v>2</v>
      </c>
      <c r="C15" s="15" t="s">
        <v>11</v>
      </c>
      <c r="D15" s="11">
        <v>26972330.272475649</v>
      </c>
      <c r="E15" s="11">
        <v>6671394.0489631705</v>
      </c>
      <c r="F15" s="11">
        <v>13478938.99730902</v>
      </c>
      <c r="G15" s="11">
        <v>20286483.945444889</v>
      </c>
      <c r="H15" s="11">
        <v>30507601.800125774</v>
      </c>
      <c r="I15" s="11">
        <v>39710174.902709261</v>
      </c>
      <c r="J15" s="11">
        <v>6671394.0490169358</v>
      </c>
      <c r="K15" s="11">
        <v>13478938.9969934</v>
      </c>
      <c r="L15" s="11">
        <v>20286483.94496987</v>
      </c>
      <c r="M15" s="11">
        <v>30507601.800143212</v>
      </c>
      <c r="N15" s="11">
        <v>39180538.010354444</v>
      </c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Nøgletal.REFA-Varmesalg</v>
      </c>
      <c r="B16" s="12" t="s">
        <v>2</v>
      </c>
      <c r="C16" s="15" t="s">
        <v>83</v>
      </c>
      <c r="D16" s="11">
        <v>1.1999999999999997E-13</v>
      </c>
      <c r="E16" s="11">
        <v>1.1999999999999997E-13</v>
      </c>
      <c r="F16" s="11">
        <v>1.1999999999999997E-13</v>
      </c>
      <c r="G16" s="11">
        <v>1.1999999999999997E-13</v>
      </c>
      <c r="H16" s="11">
        <v>1.1999999999999997E-13</v>
      </c>
      <c r="I16" s="11">
        <v>1.1999999999999997E-13</v>
      </c>
      <c r="J16" s="11">
        <v>1.1999999999999997E-13</v>
      </c>
      <c r="K16" s="11">
        <v>1.1999999999999997E-13</v>
      </c>
      <c r="L16" s="11">
        <v>1.1999999999999997E-13</v>
      </c>
      <c r="M16" s="11">
        <v>1.1999999999999997E-13</v>
      </c>
      <c r="N16" s="11">
        <v>1.1999999999999997E-13</v>
      </c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Nøgletal.REFA-Total-Var-Omkostning</v>
      </c>
      <c r="B17" s="12" t="s">
        <v>2</v>
      </c>
      <c r="C17" s="14" t="s">
        <v>12</v>
      </c>
      <c r="D17" s="11">
        <v>76383787.692652211</v>
      </c>
      <c r="E17" s="11">
        <v>75066903.500075907</v>
      </c>
      <c r="F17" s="11">
        <v>74986605.494035274</v>
      </c>
      <c r="G17" s="11">
        <v>74986605.494035274</v>
      </c>
      <c r="H17" s="11">
        <v>76683837.976932883</v>
      </c>
      <c r="I17" s="11">
        <v>77362741.921793133</v>
      </c>
      <c r="J17" s="11">
        <v>90761624.787147462</v>
      </c>
      <c r="K17" s="11">
        <v>90681326.779177636</v>
      </c>
      <c r="L17" s="11">
        <v>90681326.779177636</v>
      </c>
      <c r="M17" s="11">
        <v>93059523.005662739</v>
      </c>
      <c r="N17" s="11">
        <v>93509821.701020926</v>
      </c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Nøgletal.REFA-AnlaegsVarOmk</v>
      </c>
      <c r="B18" s="12" t="s">
        <v>2</v>
      </c>
      <c r="C18" s="15" t="s">
        <v>13</v>
      </c>
      <c r="D18" s="11">
        <v>11554249.131239869</v>
      </c>
      <c r="E18" s="11">
        <v>11110706.90532597</v>
      </c>
      <c r="F18" s="11">
        <v>11110706.905470131</v>
      </c>
      <c r="G18" s="11">
        <v>11110706.905470131</v>
      </c>
      <c r="H18" s="11">
        <v>11947050.638599057</v>
      </c>
      <c r="I18" s="11">
        <v>12054120.373141544</v>
      </c>
      <c r="J18" s="11">
        <v>11110706.612363562</v>
      </c>
      <c r="K18" s="11">
        <v>11110706.612363562</v>
      </c>
      <c r="L18" s="11">
        <v>11110706.612363562</v>
      </c>
      <c r="M18" s="11">
        <v>11947050.345688261</v>
      </c>
      <c r="N18" s="11">
        <v>12029992.070189398</v>
      </c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Nøgletal.REFA-BraendselOmk</v>
      </c>
      <c r="B19" s="12" t="s">
        <v>2</v>
      </c>
      <c r="C19" s="15" t="s">
        <v>14</v>
      </c>
      <c r="D19" s="11">
        <v>3356712.9966781009</v>
      </c>
      <c r="E19" s="11">
        <v>1629645.7854379392</v>
      </c>
      <c r="F19" s="11">
        <v>1629645.7893140167</v>
      </c>
      <c r="G19" s="11">
        <v>1629645.7893140153</v>
      </c>
      <c r="H19" s="11">
        <v>4312331.298810469</v>
      </c>
      <c r="I19" s="11">
        <v>5251906.2422726415</v>
      </c>
      <c r="J19" s="11">
        <v>1629645.8048889344</v>
      </c>
      <c r="K19" s="11">
        <v>1629645.8048889341</v>
      </c>
      <c r="L19" s="11">
        <v>1629645.8048889325</v>
      </c>
      <c r="M19" s="11">
        <v>4312331.3176176175</v>
      </c>
      <c r="N19" s="11">
        <v>4879671.4973612763</v>
      </c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Nøgletal.REFA-Afgifter</v>
      </c>
      <c r="B20" s="12" t="s">
        <v>2</v>
      </c>
      <c r="C20" s="115" t="s">
        <v>15</v>
      </c>
      <c r="D20" s="11">
        <v>45395543.295862488</v>
      </c>
      <c r="E20" s="11">
        <v>46631827.421556786</v>
      </c>
      <c r="F20" s="11">
        <v>46551529.412921175</v>
      </c>
      <c r="G20" s="11">
        <v>46551529.412921175</v>
      </c>
      <c r="H20" s="11">
        <v>44729732.652000569</v>
      </c>
      <c r="I20" s="11">
        <v>44361991.918856151</v>
      </c>
      <c r="J20" s="11">
        <v>46631826.535501532</v>
      </c>
      <c r="K20" s="11">
        <v>46551528.527531698</v>
      </c>
      <c r="L20" s="11">
        <v>46551528.527531698</v>
      </c>
      <c r="M20" s="11">
        <v>45410695.507963419</v>
      </c>
      <c r="N20" s="11">
        <v>45210712.299076796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Nøgletal.REFA-Affaldvarme-afgift</v>
      </c>
      <c r="B21" s="12" t="s">
        <v>2</v>
      </c>
      <c r="C21" s="116" t="s">
        <v>151</v>
      </c>
      <c r="D21" s="11">
        <v>19499827.931628067</v>
      </c>
      <c r="E21" s="11">
        <v>20581958.901413683</v>
      </c>
      <c r="F21" s="11">
        <v>20581958.898985043</v>
      </c>
      <c r="G21" s="11">
        <v>20581958.898985043</v>
      </c>
      <c r="H21" s="11">
        <v>18901064.806891985</v>
      </c>
      <c r="I21" s="11">
        <v>18312353.992316972</v>
      </c>
      <c r="J21" s="11">
        <v>20581958.889226243</v>
      </c>
      <c r="K21" s="11">
        <v>20581958.889226243</v>
      </c>
      <c r="L21" s="11">
        <v>20581958.889226247</v>
      </c>
      <c r="M21" s="11">
        <v>18901064.795107961</v>
      </c>
      <c r="N21" s="11">
        <v>18545585.648200009</v>
      </c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Nøgletal.REFA-Tillaegs-Afgift</v>
      </c>
      <c r="B22" s="12" t="s">
        <v>2</v>
      </c>
      <c r="C22" s="116" t="s">
        <v>152</v>
      </c>
      <c r="D22" s="11">
        <v>20649181.306123223</v>
      </c>
      <c r="E22" s="11">
        <v>20736412.568435181</v>
      </c>
      <c r="F22" s="11">
        <v>20669923.57377059</v>
      </c>
      <c r="G22" s="11">
        <v>20669923.57377059</v>
      </c>
      <c r="H22" s="11">
        <v>20553252.223544799</v>
      </c>
      <c r="I22" s="11">
        <v>20817099.050928492</v>
      </c>
      <c r="J22" s="11">
        <v>20736411.861010928</v>
      </c>
      <c r="K22" s="11">
        <v>20669922.86484015</v>
      </c>
      <c r="L22" s="11">
        <v>20669922.864840154</v>
      </c>
      <c r="M22" s="11">
        <v>21117108.537630852</v>
      </c>
      <c r="N22" s="11">
        <v>21287133.592271134</v>
      </c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7" t="str">
        <f t="shared" si="0"/>
        <v>Nøgletal.REFA-CO2-Afgift</v>
      </c>
      <c r="B23" s="12" t="s">
        <v>2</v>
      </c>
      <c r="C23" s="116" t="s">
        <v>153</v>
      </c>
      <c r="D23" s="11">
        <v>4667310.8697804073</v>
      </c>
      <c r="E23" s="11">
        <v>4734232.7633209899</v>
      </c>
      <c r="F23" s="11">
        <v>4720423.7518347539</v>
      </c>
      <c r="G23" s="11">
        <v>4720423.7518347539</v>
      </c>
      <c r="H23" s="11">
        <v>4696192.4332005959</v>
      </c>
      <c r="I23" s="11">
        <v>4653315.6872475017</v>
      </c>
      <c r="J23" s="11">
        <v>4734232.6163969804</v>
      </c>
      <c r="K23" s="11">
        <v>4720423.6045979271</v>
      </c>
      <c r="L23" s="11">
        <v>4720423.6045979271</v>
      </c>
      <c r="M23" s="11">
        <v>4813299.0063572414</v>
      </c>
      <c r="N23" s="11">
        <v>4798769.8897382896</v>
      </c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7" t="str">
        <f t="shared" si="0"/>
        <v>Nøgletal.REFA-NOx-Afgift</v>
      </c>
      <c r="B24" s="12" t="s">
        <v>2</v>
      </c>
      <c r="C24" s="116" t="s">
        <v>154</v>
      </c>
      <c r="D24" s="11">
        <v>579223.18833078269</v>
      </c>
      <c r="E24" s="11">
        <v>579223.18838692561</v>
      </c>
      <c r="F24" s="11">
        <v>579223.18833078269</v>
      </c>
      <c r="G24" s="11">
        <v>579223.18833078281</v>
      </c>
      <c r="H24" s="11">
        <v>579223.18836318783</v>
      </c>
      <c r="I24" s="11">
        <v>579223.18836318783</v>
      </c>
      <c r="J24" s="11">
        <v>579223.1688673622</v>
      </c>
      <c r="K24" s="11">
        <v>579223.1688673622</v>
      </c>
      <c r="L24" s="11">
        <v>579223.1688673622</v>
      </c>
      <c r="M24" s="11">
        <v>579223.1688673622</v>
      </c>
      <c r="N24" s="11">
        <v>579223.1688673622</v>
      </c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7" t="str">
        <f t="shared" si="0"/>
        <v>Nøgletal.REFA-CO2-Kvoteomk</v>
      </c>
      <c r="B25" s="12" t="s">
        <v>2</v>
      </c>
      <c r="C25" s="15" t="s">
        <v>16</v>
      </c>
      <c r="D25" s="11">
        <v>16077282.268871753</v>
      </c>
      <c r="E25" s="11">
        <v>15694723.387755202</v>
      </c>
      <c r="F25" s="11">
        <v>15694723.386329962</v>
      </c>
      <c r="G25" s="11">
        <v>15694723.386329964</v>
      </c>
      <c r="H25" s="11">
        <v>15694723.387522783</v>
      </c>
      <c r="I25" s="11">
        <v>15694723.387522783</v>
      </c>
      <c r="J25" s="11">
        <v>31389445.834393449</v>
      </c>
      <c r="K25" s="11">
        <v>31389445.834393449</v>
      </c>
      <c r="L25" s="11">
        <v>31389445.834393453</v>
      </c>
      <c r="M25" s="11">
        <v>31389445.834393449</v>
      </c>
      <c r="N25" s="11">
        <v>31389445.834393445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7" t="str">
        <f t="shared" si="0"/>
        <v>Nøgletal.REFA-Lageromkostning</v>
      </c>
      <c r="B26" s="12" t="s">
        <v>2</v>
      </c>
      <c r="C26" s="15" t="s">
        <v>17</v>
      </c>
      <c r="D26" s="11">
        <v>1.1999999999999997E-13</v>
      </c>
      <c r="E26" s="11">
        <v>1.1999999999999997E-13</v>
      </c>
      <c r="F26" s="11">
        <v>1.1999999999999997E-13</v>
      </c>
      <c r="G26" s="11">
        <v>1.1999999999999997E-13</v>
      </c>
      <c r="H26" s="11">
        <v>1.1999999999999997E-13</v>
      </c>
      <c r="I26" s="11">
        <v>1.1999999999999997E-13</v>
      </c>
      <c r="J26" s="11">
        <v>1.1999999999999997E-13</v>
      </c>
      <c r="K26" s="11">
        <v>1.1999999999999997E-13</v>
      </c>
      <c r="L26" s="11">
        <v>1.1999999999999997E-13</v>
      </c>
      <c r="M26" s="11">
        <v>1.1999999999999997E-13</v>
      </c>
      <c r="N26" s="11">
        <v>1.1999999999999997E-13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8" t="str">
        <f t="shared" si="0"/>
        <v>Nøgletal.REFA-CO2-Emission-Afgift</v>
      </c>
      <c r="B27" s="8" t="s">
        <v>18</v>
      </c>
      <c r="C27" s="13" t="s">
        <v>19</v>
      </c>
      <c r="D27" s="16">
        <v>39236.808465824914</v>
      </c>
      <c r="E27" s="16">
        <v>39236.808469388016</v>
      </c>
      <c r="F27" s="16">
        <v>39236.808465824906</v>
      </c>
      <c r="G27" s="16">
        <v>39236.808465824906</v>
      </c>
      <c r="H27" s="16">
        <v>39236.808468806958</v>
      </c>
      <c r="I27" s="16">
        <v>39236.808468806958</v>
      </c>
      <c r="J27" s="16">
        <v>39236.80729299182</v>
      </c>
      <c r="K27" s="16">
        <v>39236.80729299182</v>
      </c>
      <c r="L27" s="16">
        <v>39236.80729299182</v>
      </c>
      <c r="M27" s="16">
        <v>39236.807292991813</v>
      </c>
      <c r="N27" s="16">
        <v>39236.807292991813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 outlineLevel="1" x14ac:dyDescent="0.25">
      <c r="A28" s="68" t="str">
        <f t="shared" si="0"/>
        <v>Nøgletal.REFA-CO2-Emission-Kvote</v>
      </c>
      <c r="B28" s="8" t="s">
        <v>18</v>
      </c>
      <c r="C28" s="13" t="s">
        <v>20</v>
      </c>
      <c r="D28" s="16">
        <v>39236.808465824914</v>
      </c>
      <c r="E28" s="16">
        <v>39236.808469388016</v>
      </c>
      <c r="F28" s="16">
        <v>39236.808465824906</v>
      </c>
      <c r="G28" s="16">
        <v>39236.808465824906</v>
      </c>
      <c r="H28" s="16">
        <v>39236.808468806958</v>
      </c>
      <c r="I28" s="16">
        <v>39236.808468806958</v>
      </c>
      <c r="J28" s="16">
        <v>39236.80729299182</v>
      </c>
      <c r="K28" s="16">
        <v>39236.80729299182</v>
      </c>
      <c r="L28" s="16">
        <v>39236.80729299182</v>
      </c>
      <c r="M28" s="16">
        <v>39236.807292991813</v>
      </c>
      <c r="N28" s="16">
        <v>39236.807292991813</v>
      </c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8" t="str">
        <f t="shared" si="0"/>
        <v>Nøgletal.REFA-El-produktion-Brutto</v>
      </c>
      <c r="B29" s="8" t="s">
        <v>21</v>
      </c>
      <c r="C29" s="13" t="s">
        <v>22</v>
      </c>
      <c r="D29" s="16">
        <v>44123.440146857953</v>
      </c>
      <c r="E29" s="16">
        <v>40998.930295163569</v>
      </c>
      <c r="F29" s="16">
        <v>40998.930296234903</v>
      </c>
      <c r="G29" s="16">
        <v>40998.930296234903</v>
      </c>
      <c r="H29" s="16">
        <v>45287.338470286413</v>
      </c>
      <c r="I29" s="16">
        <v>46830.859072331907</v>
      </c>
      <c r="J29" s="16">
        <v>40998.930295437887</v>
      </c>
      <c r="K29" s="16">
        <v>40998.930295437887</v>
      </c>
      <c r="L29" s="16">
        <v>40998.930295437887</v>
      </c>
      <c r="M29" s="16">
        <v>45287.338470308321</v>
      </c>
      <c r="N29" s="16">
        <v>46299.09512418451</v>
      </c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8" t="str">
        <f t="shared" si="0"/>
        <v>Nøgletal.REFA-El-produktion-Netto</v>
      </c>
      <c r="B30" s="8" t="s">
        <v>21</v>
      </c>
      <c r="C30" s="13" t="s">
        <v>23</v>
      </c>
      <c r="D30" s="16">
        <v>37162.234591302396</v>
      </c>
      <c r="E30" s="16">
        <v>34037.724739608013</v>
      </c>
      <c r="F30" s="16">
        <v>34037.724740679347</v>
      </c>
      <c r="G30" s="16">
        <v>34037.724740679347</v>
      </c>
      <c r="H30" s="16">
        <v>38326.132914730864</v>
      </c>
      <c r="I30" s="16">
        <v>39869.65351677635</v>
      </c>
      <c r="J30" s="16">
        <v>34037.724739882331</v>
      </c>
      <c r="K30" s="16">
        <v>34037.724739882331</v>
      </c>
      <c r="L30" s="16">
        <v>34037.724739882331</v>
      </c>
      <c r="M30" s="16">
        <v>38326.132914752772</v>
      </c>
      <c r="N30" s="16">
        <v>39337.889568628954</v>
      </c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9" t="str">
        <f t="shared" si="0"/>
        <v>Nøgletal.REFA-Total-Affald-Raadighed</v>
      </c>
      <c r="B31" s="8" t="s">
        <v>18</v>
      </c>
      <c r="C31" s="14" t="s">
        <v>24</v>
      </c>
      <c r="D31" s="7">
        <v>857435.84900000028</v>
      </c>
      <c r="E31" s="7">
        <v>857435.84900000028</v>
      </c>
      <c r="F31" s="7">
        <v>857435.84900000028</v>
      </c>
      <c r="G31" s="7">
        <v>857435.84900000028</v>
      </c>
      <c r="H31" s="7">
        <v>857435.84900000028</v>
      </c>
      <c r="I31" s="7">
        <v>857435.84900000028</v>
      </c>
      <c r="J31" s="7">
        <v>857435.84900000028</v>
      </c>
      <c r="K31" s="7">
        <v>857435.84900000028</v>
      </c>
      <c r="L31" s="7">
        <v>857435.84900000028</v>
      </c>
      <c r="M31" s="7">
        <v>857435.84900000028</v>
      </c>
      <c r="N31" s="7">
        <v>857435.84900000028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Nøgletal.REFA-Affald-anvendt</v>
      </c>
      <c r="B32" s="8" t="s">
        <v>18</v>
      </c>
      <c r="C32" s="15" t="s">
        <v>25</v>
      </c>
      <c r="D32" s="7">
        <v>102209.48824799468</v>
      </c>
      <c r="E32" s="7">
        <v>97918.638043363404</v>
      </c>
      <c r="F32" s="7">
        <v>97918.638043363404</v>
      </c>
      <c r="G32" s="7">
        <v>97918.638043363404</v>
      </c>
      <c r="H32" s="7">
        <v>104583.69521537256</v>
      </c>
      <c r="I32" s="7">
        <v>106918.04290099286</v>
      </c>
      <c r="J32" s="7">
        <v>97918.634743564762</v>
      </c>
      <c r="K32" s="7">
        <v>97918.634743564762</v>
      </c>
      <c r="L32" s="7">
        <v>97918.634743564762</v>
      </c>
      <c r="M32" s="7">
        <v>104583.69191804597</v>
      </c>
      <c r="N32" s="7">
        <v>105993.23273728487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8" t="str">
        <f t="shared" si="0"/>
        <v>Nøgletal.REFA-Affald-Uudnyttet</v>
      </c>
      <c r="B33" s="8" t="s">
        <v>18</v>
      </c>
      <c r="C33" s="15" t="s">
        <v>26</v>
      </c>
      <c r="D33" s="7">
        <v>1.1999999999999997E-13</v>
      </c>
      <c r="E33" s="7">
        <v>1.1999999999999997E-13</v>
      </c>
      <c r="F33" s="7">
        <v>1.1999999999999997E-13</v>
      </c>
      <c r="G33" s="7">
        <v>1.1999999999999997E-13</v>
      </c>
      <c r="H33" s="7">
        <v>1.1999999999999997E-13</v>
      </c>
      <c r="I33" s="7">
        <v>1.1999999999999997E-13</v>
      </c>
      <c r="J33" s="7">
        <v>1.1999999999999997E-13</v>
      </c>
      <c r="K33" s="7">
        <v>1.1999999999999997E-13</v>
      </c>
      <c r="L33" s="7">
        <v>1.1999999999999997E-13</v>
      </c>
      <c r="M33" s="7">
        <v>1.1999999999999997E-13</v>
      </c>
      <c r="N33" s="7">
        <v>1.1999999999999997E-13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8" t="str">
        <f t="shared" si="0"/>
        <v>Nøgletal.REFA-Affald-Lagret</v>
      </c>
      <c r="B34" s="8" t="s">
        <v>18</v>
      </c>
      <c r="C34" s="15" t="s">
        <v>27</v>
      </c>
      <c r="D34" s="7">
        <v>1.1999999999999997E-13</v>
      </c>
      <c r="E34" s="7">
        <v>1.1999999999999997E-13</v>
      </c>
      <c r="F34" s="7">
        <v>1.1999999999999997E-13</v>
      </c>
      <c r="G34" s="7">
        <v>1.1999999999999997E-13</v>
      </c>
      <c r="H34" s="7">
        <v>1.1999999999999997E-13</v>
      </c>
      <c r="I34" s="7">
        <v>1.1999999999999997E-13</v>
      </c>
      <c r="J34" s="7">
        <v>1.1999999999999997E-13</v>
      </c>
      <c r="K34" s="7">
        <v>1.1999999999999997E-13</v>
      </c>
      <c r="L34" s="7">
        <v>1.1999999999999997E-13</v>
      </c>
      <c r="M34" s="7">
        <v>1.1999999999999997E-13</v>
      </c>
      <c r="N34" s="7">
        <v>1.1999999999999997E-13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9" t="str">
        <f t="shared" si="0"/>
        <v>Nøgletal.REFA-Total-Varme-Produktion</v>
      </c>
      <c r="B35" s="8" t="s">
        <v>4</v>
      </c>
      <c r="C35" s="14" t="s">
        <v>28</v>
      </c>
      <c r="D35" s="7">
        <v>254231.51033398003</v>
      </c>
      <c r="E35" s="7">
        <v>246997.13834229717</v>
      </c>
      <c r="F35" s="7">
        <v>246997.13834469984</v>
      </c>
      <c r="G35" s="7">
        <v>246997.13834469984</v>
      </c>
      <c r="H35" s="7">
        <v>260931.51033788937</v>
      </c>
      <c r="I35" s="7">
        <v>262412.85826135438</v>
      </c>
      <c r="J35" s="7">
        <v>246997.13101830395</v>
      </c>
      <c r="K35" s="7">
        <v>246997.13101830395</v>
      </c>
      <c r="L35" s="7">
        <v>246997.13101830395</v>
      </c>
      <c r="M35" s="7">
        <v>260931.50301345318</v>
      </c>
      <c r="N35" s="7">
        <v>262160.556708519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8" t="str">
        <f t="shared" si="0"/>
        <v>Nøgletal.REFA-Leveret-Varme</v>
      </c>
      <c r="B36" s="8" t="s">
        <v>4</v>
      </c>
      <c r="C36" s="15" t="s">
        <v>76</v>
      </c>
      <c r="D36" s="7">
        <v>230400</v>
      </c>
      <c r="E36" s="7">
        <v>230400</v>
      </c>
      <c r="F36" s="7">
        <v>230400</v>
      </c>
      <c r="G36" s="7">
        <v>230400</v>
      </c>
      <c r="H36" s="7">
        <v>230400</v>
      </c>
      <c r="I36" s="7">
        <v>230400</v>
      </c>
      <c r="J36" s="7">
        <v>230400</v>
      </c>
      <c r="K36" s="7">
        <v>230400</v>
      </c>
      <c r="L36" s="7">
        <v>230400</v>
      </c>
      <c r="M36" s="7">
        <v>230400</v>
      </c>
      <c r="N36" s="7">
        <v>230400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8" t="str">
        <f t="shared" si="0"/>
        <v>Nøgletal.REFA-Modtryk-Varme</v>
      </c>
      <c r="B37" s="8" t="s">
        <v>4</v>
      </c>
      <c r="C37" s="15" t="s">
        <v>29</v>
      </c>
      <c r="D37" s="7">
        <v>216502.0361850253</v>
      </c>
      <c r="E37" s="7">
        <v>207513.45542549522</v>
      </c>
      <c r="F37" s="7">
        <v>207513.45542812743</v>
      </c>
      <c r="G37" s="7">
        <v>207513.45542812743</v>
      </c>
      <c r="H37" s="7">
        <v>221477.31878946204</v>
      </c>
      <c r="I37" s="7">
        <v>226369.07405066193</v>
      </c>
      <c r="J37" s="7">
        <v>207513.44810171996</v>
      </c>
      <c r="K37" s="7">
        <v>207513.44810171996</v>
      </c>
      <c r="L37" s="7">
        <v>207513.44810171996</v>
      </c>
      <c r="M37" s="7">
        <v>221477.31146432552</v>
      </c>
      <c r="N37" s="7">
        <v>224431.08255886391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8" t="str">
        <f t="shared" si="0"/>
        <v>Nøgletal.REFA-Bypass-Varme</v>
      </c>
      <c r="B38" s="8" t="s">
        <v>4</v>
      </c>
      <c r="C38" s="15" t="s">
        <v>30</v>
      </c>
      <c r="D38" s="7">
        <v>4769.7371518689379</v>
      </c>
      <c r="E38" s="7">
        <v>4799.2285202435696</v>
      </c>
      <c r="F38" s="7">
        <v>4799.2285200140595</v>
      </c>
      <c r="G38" s="7">
        <v>4799.2285200140595</v>
      </c>
      <c r="H38" s="7">
        <v>4769.7371518689379</v>
      </c>
      <c r="I38" s="7">
        <v>4769.7371518689379</v>
      </c>
      <c r="J38" s="7">
        <v>4799.2285200256247</v>
      </c>
      <c r="K38" s="7">
        <v>4799.2285200256247</v>
      </c>
      <c r="L38" s="7">
        <v>4799.2285200256247</v>
      </c>
      <c r="M38" s="7">
        <v>4769.7371525692797</v>
      </c>
      <c r="N38" s="7">
        <v>4769.7371525692797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8" t="str">
        <f t="shared" si="0"/>
        <v>Nøgletal.REFA-RGK-Varme</v>
      </c>
      <c r="B39" s="8" t="s">
        <v>4</v>
      </c>
      <c r="C39" s="15" t="s">
        <v>31</v>
      </c>
      <c r="D39" s="7">
        <v>26795.336997085818</v>
      </c>
      <c r="E39" s="7">
        <v>28520.054396558389</v>
      </c>
      <c r="F39" s="7">
        <v>28520.054396558389</v>
      </c>
      <c r="G39" s="7">
        <v>28520.054396558389</v>
      </c>
      <c r="H39" s="7">
        <v>28520.054396558389</v>
      </c>
      <c r="I39" s="7">
        <v>25109.647058823528</v>
      </c>
      <c r="J39" s="7">
        <v>28520.054396558389</v>
      </c>
      <c r="K39" s="7">
        <v>28520.054396558389</v>
      </c>
      <c r="L39" s="7">
        <v>28520.054396558389</v>
      </c>
      <c r="M39" s="7">
        <v>28520.054396558389</v>
      </c>
      <c r="N39" s="7">
        <v>26795.336997085822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8" t="str">
        <f t="shared" si="0"/>
        <v>Nøgletal.REFA-Bortkoelet-Varme</v>
      </c>
      <c r="B40" s="8" t="s">
        <v>4</v>
      </c>
      <c r="C40" s="15" t="s">
        <v>32</v>
      </c>
      <c r="D40" s="7">
        <v>23831.510333980012</v>
      </c>
      <c r="E40" s="7">
        <v>16597.138342297163</v>
      </c>
      <c r="F40" s="7">
        <v>16597.138344699859</v>
      </c>
      <c r="G40" s="7">
        <v>16597.138344699855</v>
      </c>
      <c r="H40" s="7">
        <v>30531.510337889373</v>
      </c>
      <c r="I40" s="7">
        <v>32012.858261354377</v>
      </c>
      <c r="J40" s="7">
        <v>16597.131018303939</v>
      </c>
      <c r="K40" s="7">
        <v>16597.131018303939</v>
      </c>
      <c r="L40" s="7">
        <v>16597.131018303939</v>
      </c>
      <c r="M40" s="7">
        <v>30531.503013453192</v>
      </c>
      <c r="N40" s="7">
        <v>31760.556708519027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9" t="str">
        <f t="shared" si="0"/>
        <v>Nøgletal.GSF-Total-Var-Omkostning</v>
      </c>
      <c r="B41" s="12" t="s">
        <v>2</v>
      </c>
      <c r="C41" s="21" t="s">
        <v>33</v>
      </c>
      <c r="D41" s="11">
        <v>1814400</v>
      </c>
      <c r="E41" s="11">
        <v>1814400</v>
      </c>
      <c r="F41" s="11">
        <v>1814400</v>
      </c>
      <c r="G41" s="11">
        <v>1814400</v>
      </c>
      <c r="H41" s="11">
        <v>1814400</v>
      </c>
      <c r="I41" s="11">
        <v>1814400</v>
      </c>
      <c r="J41" s="11">
        <v>1814400</v>
      </c>
      <c r="K41" s="11">
        <v>1814400</v>
      </c>
      <c r="L41" s="11">
        <v>1814400</v>
      </c>
      <c r="M41" s="11">
        <v>1814400</v>
      </c>
      <c r="N41" s="11">
        <v>1814400</v>
      </c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outlineLevel="1" x14ac:dyDescent="0.25">
      <c r="A42" s="66" t="str">
        <f t="shared" si="0"/>
        <v>Nøgletal.GSF-AnlaegsVarOmk</v>
      </c>
      <c r="B42" s="12" t="s">
        <v>2</v>
      </c>
      <c r="C42" s="34" t="s">
        <v>34</v>
      </c>
      <c r="D42" s="11">
        <v>1.1999999999999997E-13</v>
      </c>
      <c r="E42" s="11">
        <v>1.1999999999999997E-13</v>
      </c>
      <c r="F42" s="11">
        <v>1.1999999999999997E-13</v>
      </c>
      <c r="G42" s="11">
        <v>1.1999999999999997E-13</v>
      </c>
      <c r="H42" s="11">
        <v>1.1999999999999997E-13</v>
      </c>
      <c r="I42" s="11">
        <v>1.1999999999999997E-13</v>
      </c>
      <c r="J42" s="11">
        <v>1.1999999999999997E-13</v>
      </c>
      <c r="K42" s="11">
        <v>1.1999999999999997E-13</v>
      </c>
      <c r="L42" s="11">
        <v>1.1999999999999997E-13</v>
      </c>
      <c r="M42" s="11">
        <v>1.1999999999999997E-13</v>
      </c>
      <c r="N42" s="11">
        <v>1.1999999999999997E-13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7" t="str">
        <f t="shared" si="0"/>
        <v>Nøgletal.GSF-BraendselOmk</v>
      </c>
      <c r="B43" s="12" t="s">
        <v>2</v>
      </c>
      <c r="C43" s="17" t="s">
        <v>35</v>
      </c>
      <c r="D43" s="11">
        <v>1814400</v>
      </c>
      <c r="E43" s="11">
        <v>1814400</v>
      </c>
      <c r="F43" s="11">
        <v>1814400</v>
      </c>
      <c r="G43" s="11">
        <v>1814400</v>
      </c>
      <c r="H43" s="11">
        <v>1814400</v>
      </c>
      <c r="I43" s="11">
        <v>1814400</v>
      </c>
      <c r="J43" s="11">
        <v>1814400</v>
      </c>
      <c r="K43" s="11">
        <v>1814400</v>
      </c>
      <c r="L43" s="11">
        <v>1814400</v>
      </c>
      <c r="M43" s="11">
        <v>1814400</v>
      </c>
      <c r="N43" s="11">
        <v>1814400</v>
      </c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7" t="str">
        <f t="shared" si="0"/>
        <v>Nøgletal.GSF-Afgifter</v>
      </c>
      <c r="B44" s="12" t="s">
        <v>2</v>
      </c>
      <c r="C44" s="17" t="s">
        <v>36</v>
      </c>
      <c r="D44" s="11">
        <v>1.1999999999999997E-13</v>
      </c>
      <c r="E44" s="11">
        <v>1.1999999999999997E-13</v>
      </c>
      <c r="F44" s="11">
        <v>1.1999999999999997E-13</v>
      </c>
      <c r="G44" s="11">
        <v>1.1999999999999997E-13</v>
      </c>
      <c r="H44" s="11">
        <v>1.1999999999999997E-13</v>
      </c>
      <c r="I44" s="11">
        <v>1.1999999999999997E-13</v>
      </c>
      <c r="J44" s="11">
        <v>1.1999999999999997E-13</v>
      </c>
      <c r="K44" s="11">
        <v>1.1999999999999997E-13</v>
      </c>
      <c r="L44" s="11">
        <v>1.1999999999999997E-13</v>
      </c>
      <c r="M44" s="11">
        <v>1.1999999999999997E-13</v>
      </c>
      <c r="N44" s="11">
        <v>1.1999999999999997E-13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8" t="str">
        <f t="shared" si="0"/>
        <v>Nøgletal.GSF-CO2-Emission</v>
      </c>
      <c r="B45" s="8" t="s">
        <v>18</v>
      </c>
      <c r="C45" s="17" t="s">
        <v>37</v>
      </c>
      <c r="D45" s="11">
        <v>1.1999999999999997E-13</v>
      </c>
      <c r="E45" s="11">
        <v>1.1999999999999997E-13</v>
      </c>
      <c r="F45" s="11">
        <v>1.1999999999999997E-13</v>
      </c>
      <c r="G45" s="11">
        <v>1.1999999999999997E-13</v>
      </c>
      <c r="H45" s="11">
        <v>1.1999999999999997E-13</v>
      </c>
      <c r="I45" s="11">
        <v>1.1999999999999997E-13</v>
      </c>
      <c r="J45" s="11">
        <v>1.1999999999999997E-13</v>
      </c>
      <c r="K45" s="11">
        <v>1.1999999999999997E-13</v>
      </c>
      <c r="L45" s="11">
        <v>1.1999999999999997E-13</v>
      </c>
      <c r="M45" s="11">
        <v>1.1999999999999997E-13</v>
      </c>
      <c r="N45" s="11">
        <v>1.1999999999999997E-13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8" t="str">
        <f t="shared" si="0"/>
        <v>Nøgletal.GSF-Total-Varme-Produktion</v>
      </c>
      <c r="B46" s="8" t="s">
        <v>4</v>
      </c>
      <c r="C46" s="18" t="s">
        <v>38</v>
      </c>
      <c r="D46" s="16">
        <v>1.1999999999999997E-13</v>
      </c>
      <c r="E46" s="16">
        <v>1.1999999999999997E-13</v>
      </c>
      <c r="F46" s="16">
        <v>1.1999999999999997E-13</v>
      </c>
      <c r="G46" s="16">
        <v>1.1999999999999997E-13</v>
      </c>
      <c r="H46" s="16">
        <v>1.1999999999999997E-13</v>
      </c>
      <c r="I46" s="16">
        <v>1.1999999999999997E-13</v>
      </c>
      <c r="J46" s="16">
        <v>1.1999999999999997E-13</v>
      </c>
      <c r="K46" s="16">
        <v>1.1999999999999997E-13</v>
      </c>
      <c r="L46" s="16">
        <v>1.1999999999999997E-13</v>
      </c>
      <c r="M46" s="16">
        <v>1.1999999999999997E-13</v>
      </c>
      <c r="N46" s="16">
        <v>1.1999999999999997E-13</v>
      </c>
      <c r="O46" s="16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8" t="str">
        <f t="shared" si="0"/>
        <v>Nøgletal.NS-Total-Varme-Produktion</v>
      </c>
      <c r="B47" s="8" t="s">
        <v>4</v>
      </c>
      <c r="C47" s="35" t="s">
        <v>75</v>
      </c>
      <c r="D47" s="16">
        <v>9600</v>
      </c>
      <c r="E47" s="16">
        <v>9600</v>
      </c>
      <c r="F47" s="16">
        <v>9600</v>
      </c>
      <c r="G47" s="16">
        <v>9600</v>
      </c>
      <c r="H47" s="16">
        <v>9600</v>
      </c>
      <c r="I47" s="16">
        <v>9600</v>
      </c>
      <c r="J47" s="16">
        <v>9600</v>
      </c>
      <c r="K47" s="16">
        <v>9600</v>
      </c>
      <c r="L47" s="16">
        <v>9600</v>
      </c>
      <c r="M47" s="16">
        <v>9600</v>
      </c>
      <c r="N47" s="16">
        <v>9600</v>
      </c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s="44" customFormat="1" outlineLevel="1" x14ac:dyDescent="0.25">
      <c r="A48" s="70" t="str">
        <f t="shared" si="0"/>
        <v>Nøgletal.Virtuel-Varme-Kilde</v>
      </c>
      <c r="B48" s="43" t="s">
        <v>4</v>
      </c>
      <c r="C48" s="47" t="s">
        <v>77</v>
      </c>
      <c r="D48" s="42">
        <v>1.1999999999999997E-13</v>
      </c>
      <c r="E48" s="42">
        <v>1.1999999999999997E-13</v>
      </c>
      <c r="F48" s="42">
        <v>1.1999999999999997E-13</v>
      </c>
      <c r="G48" s="42">
        <v>1.1999999999999997E-13</v>
      </c>
      <c r="H48" s="42">
        <v>1.1999999999999997E-13</v>
      </c>
      <c r="I48" s="42">
        <v>1.1999999999999997E-13</v>
      </c>
      <c r="J48" s="42">
        <v>1.1999999999999997E-13</v>
      </c>
      <c r="K48" s="42">
        <v>1.1999999999999997E-13</v>
      </c>
      <c r="L48" s="42">
        <v>1.1999999999999997E-13</v>
      </c>
      <c r="M48" s="42">
        <v>1.1999999999999997E-13</v>
      </c>
      <c r="N48" s="42">
        <v>1.1999999999999997E-13</v>
      </c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8" outlineLevel="1" x14ac:dyDescent="0.25">
      <c r="A49" s="68" t="str">
        <f t="shared" si="0"/>
        <v>Nøgletal.Virtuel-Varme-Draen</v>
      </c>
      <c r="B49" s="8" t="s">
        <v>4</v>
      </c>
      <c r="C49" s="48" t="s">
        <v>84</v>
      </c>
      <c r="D49" s="16">
        <v>1.1999999999999997E-13</v>
      </c>
      <c r="E49" s="16">
        <v>1.1999999999999997E-13</v>
      </c>
      <c r="F49" s="16">
        <v>1.1999999999999997E-13</v>
      </c>
      <c r="G49" s="16">
        <v>1.1999999999999997E-13</v>
      </c>
      <c r="H49" s="16">
        <v>1.1999999999999997E-13</v>
      </c>
      <c r="I49" s="16">
        <v>1.1999999999999997E-13</v>
      </c>
      <c r="J49" s="16">
        <v>1.1999999999999997E-13</v>
      </c>
      <c r="K49" s="16">
        <v>1.1999999999999997E-13</v>
      </c>
      <c r="L49" s="16">
        <v>1.1999999999999997E-13</v>
      </c>
      <c r="M49" s="16">
        <v>1.1999999999999997E-13</v>
      </c>
      <c r="N49" s="16">
        <v>1.1999999999999997E-13</v>
      </c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8" outlineLevel="1" x14ac:dyDescent="0.25">
      <c r="A50" s="68" t="str">
        <f t="shared" si="0"/>
        <v>Nøgletal.Virtuel-Affaldstonnage-Kilde</v>
      </c>
      <c r="B50" s="8" t="s">
        <v>18</v>
      </c>
      <c r="C50" s="48" t="s">
        <v>78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>
        <v>1.1999999999999997E-13</v>
      </c>
      <c r="I50" s="16">
        <v>1.1999999999999997E-13</v>
      </c>
      <c r="J50" s="16">
        <v>1.1999999999999997E-13</v>
      </c>
      <c r="K50" s="16">
        <v>1.1999999999999997E-13</v>
      </c>
      <c r="L50" s="16">
        <v>1.1999999999999997E-13</v>
      </c>
      <c r="M50" s="16">
        <v>1.1999999999999997E-13</v>
      </c>
      <c r="N50" s="16">
        <v>1.1999999999999997E-13</v>
      </c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8" t="str">
        <f t="shared" si="0"/>
        <v>Nøgletal.Virtuel-Affaldstonnage-Draen</v>
      </c>
      <c r="B51" s="8" t="s">
        <v>18</v>
      </c>
      <c r="C51" s="48" t="s">
        <v>85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>
        <v>1.1999999999999997E-13</v>
      </c>
      <c r="I51" s="16">
        <v>1.1999999999999997E-13</v>
      </c>
      <c r="J51" s="16">
        <v>1.1999999999999997E-13</v>
      </c>
      <c r="K51" s="16">
        <v>1.1999999999999997E-13</v>
      </c>
      <c r="L51" s="16">
        <v>1.1999999999999997E-13</v>
      </c>
      <c r="M51" s="16">
        <v>1.1999999999999997E-13</v>
      </c>
      <c r="N51" s="16">
        <v>1.1999999999999997E-13</v>
      </c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s="6" customFormat="1" ht="18.75" x14ac:dyDescent="0.3">
      <c r="A52" s="62" t="str">
        <f t="shared" ref="A52" si="1">IF(B52="Enhed",C52,IF(NOT(ISBLANK(C52)),$C$4&amp;"."&amp;C52,""))</f>
        <v/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6" customFormat="1" ht="18.75" x14ac:dyDescent="0.3">
      <c r="A53" s="62" t="str">
        <f t="shared" si="0"/>
        <v/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20" customFormat="1" ht="18.75" x14ac:dyDescent="0.3">
      <c r="A54" s="63"/>
      <c r="B54" s="33" t="s">
        <v>3</v>
      </c>
      <c r="C54" s="33" t="s">
        <v>155</v>
      </c>
      <c r="D54" s="32" t="s">
        <v>143</v>
      </c>
      <c r="E54" s="32" t="s">
        <v>74</v>
      </c>
      <c r="F54" s="32" t="s">
        <v>174</v>
      </c>
      <c r="G54" s="32" t="s">
        <v>175</v>
      </c>
      <c r="H54" s="32" t="s">
        <v>176</v>
      </c>
      <c r="I54" s="32" t="s">
        <v>177</v>
      </c>
      <c r="J54" s="32" t="s">
        <v>190</v>
      </c>
      <c r="K54" s="32" t="s">
        <v>191</v>
      </c>
      <c r="L54" s="32" t="s">
        <v>192</v>
      </c>
      <c r="M54" s="32" t="s">
        <v>193</v>
      </c>
      <c r="N54" s="32" t="s">
        <v>194</v>
      </c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8" outlineLevel="1" x14ac:dyDescent="0.25">
      <c r="A55" s="67" t="str">
        <f>IF(NOT(ISBLANK(C55)),$C$54&amp;"."&amp;C55,"")</f>
        <v>Varmemængder.Ovn2</v>
      </c>
      <c r="B55" s="8" t="s">
        <v>4</v>
      </c>
      <c r="C55" s="23" t="s">
        <v>39</v>
      </c>
      <c r="D55" s="22">
        <v>62076.589939946527</v>
      </c>
      <c r="E55" s="22">
        <v>62550.585260593012</v>
      </c>
      <c r="F55" s="22">
        <v>62550.585260593012</v>
      </c>
      <c r="G55" s="22">
        <v>62550.585260593012</v>
      </c>
      <c r="H55" s="22">
        <v>62536.514583715238</v>
      </c>
      <c r="I55" s="22">
        <v>61627.072626985944</v>
      </c>
      <c r="J55" s="22">
        <v>62550.577936733651</v>
      </c>
      <c r="K55" s="22">
        <v>62550.577936733636</v>
      </c>
      <c r="L55" s="22">
        <v>62550.577936733651</v>
      </c>
      <c r="M55" s="22">
        <v>62536.507255946519</v>
      </c>
      <c r="N55" s="22">
        <v>62076.582616087166</v>
      </c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8" outlineLevel="1" x14ac:dyDescent="0.25">
      <c r="A56" s="67" t="str">
        <f t="shared" ref="A56:A61" si="2">IF(NOT(ISBLANK(C56)),$C$54&amp;"."&amp;C56,"")</f>
        <v>Varmemængder.Ovn3</v>
      </c>
      <c r="B56" s="8" t="s">
        <v>4</v>
      </c>
      <c r="C56" s="23" t="s">
        <v>40</v>
      </c>
      <c r="D56" s="22">
        <v>185990.52039403349</v>
      </c>
      <c r="E56" s="22">
        <v>178282.15308170416</v>
      </c>
      <c r="F56" s="22">
        <v>178282.15308410686</v>
      </c>
      <c r="G56" s="22">
        <v>178282.15308410686</v>
      </c>
      <c r="H56" s="22">
        <v>192230.59575417417</v>
      </c>
      <c r="I56" s="22">
        <v>194621.38563436843</v>
      </c>
      <c r="J56" s="22">
        <v>178282.15308157032</v>
      </c>
      <c r="K56" s="22">
        <v>178282.15308157032</v>
      </c>
      <c r="L56" s="22">
        <v>178282.15308157032</v>
      </c>
      <c r="M56" s="22">
        <v>192230.59575750667</v>
      </c>
      <c r="N56" s="22">
        <v>193919.57409243187</v>
      </c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8" t="str">
        <f t="shared" si="2"/>
        <v>Varmemængder.FlisK</v>
      </c>
      <c r="B57" s="8" t="s">
        <v>4</v>
      </c>
      <c r="C57" s="23" t="s">
        <v>41</v>
      </c>
      <c r="D57" s="22">
        <v>6164.3999999999978</v>
      </c>
      <c r="E57" s="22">
        <v>6164.3999999999978</v>
      </c>
      <c r="F57" s="22">
        <v>6164.3999999999978</v>
      </c>
      <c r="G57" s="22">
        <v>6164.3999999999978</v>
      </c>
      <c r="H57" s="22">
        <v>6164.3999999999978</v>
      </c>
      <c r="I57" s="22">
        <v>6164.3999999999978</v>
      </c>
      <c r="J57" s="22">
        <v>6164.3999999999978</v>
      </c>
      <c r="K57" s="22">
        <v>6164.3999999999978</v>
      </c>
      <c r="L57" s="22">
        <v>6164.3999999999978</v>
      </c>
      <c r="M57" s="22">
        <v>6164.3999999999978</v>
      </c>
      <c r="N57" s="22">
        <v>6164.3999999999978</v>
      </c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8" t="str">
        <f t="shared" si="2"/>
        <v>Varmemængder.NS</v>
      </c>
      <c r="B58" s="8" t="s">
        <v>4</v>
      </c>
      <c r="C58" s="23" t="s">
        <v>42</v>
      </c>
      <c r="D58" s="49">
        <v>9600</v>
      </c>
      <c r="E58" s="22">
        <v>9600</v>
      </c>
      <c r="F58" s="22">
        <v>9600</v>
      </c>
      <c r="G58" s="22">
        <v>9600</v>
      </c>
      <c r="H58" s="22">
        <v>9600</v>
      </c>
      <c r="I58" s="22">
        <v>9600</v>
      </c>
      <c r="J58" s="22">
        <v>9600</v>
      </c>
      <c r="K58" s="22">
        <v>9600</v>
      </c>
      <c r="L58" s="22">
        <v>9600</v>
      </c>
      <c r="M58" s="22">
        <v>9600</v>
      </c>
      <c r="N58" s="22">
        <v>9600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8" t="str">
        <f t="shared" si="2"/>
        <v>Varmemængder.Cooler</v>
      </c>
      <c r="B59" s="8" t="s">
        <v>4</v>
      </c>
      <c r="C59" s="23" t="s">
        <v>43</v>
      </c>
      <c r="D59" s="22">
        <v>-23831.510333980012</v>
      </c>
      <c r="E59" s="22">
        <v>-16597.138342297163</v>
      </c>
      <c r="F59" s="22">
        <v>-16597.138344699859</v>
      </c>
      <c r="G59" s="22">
        <v>-16597.138344699855</v>
      </c>
      <c r="H59" s="22">
        <v>-30531.510337889373</v>
      </c>
      <c r="I59" s="22">
        <v>-32012.858261354377</v>
      </c>
      <c r="J59" s="22">
        <v>-16597.131018303939</v>
      </c>
      <c r="K59" s="22">
        <v>-16597.131018303939</v>
      </c>
      <c r="L59" s="22">
        <v>-16597.131018303939</v>
      </c>
      <c r="M59" s="22">
        <v>-30531.503013453192</v>
      </c>
      <c r="N59" s="22">
        <v>-31760.556708519027</v>
      </c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8" t="str">
        <f t="shared" si="2"/>
        <v>Varmemængder.PeakK</v>
      </c>
      <c r="B60" s="8" t="s">
        <v>4</v>
      </c>
      <c r="C60" s="23" t="s">
        <v>44</v>
      </c>
      <c r="D60" s="22">
        <v>1.1999999999999997E-13</v>
      </c>
      <c r="E60" s="22">
        <v>1.1999999999999997E-13</v>
      </c>
      <c r="F60" s="22">
        <v>1.1999999999999997E-13</v>
      </c>
      <c r="G60" s="22">
        <v>1.1999999999999997E-13</v>
      </c>
      <c r="H60" s="22">
        <v>1.1999999999999997E-13</v>
      </c>
      <c r="I60" s="22">
        <v>1.1999999999999997E-13</v>
      </c>
      <c r="J60" s="22">
        <v>1.1999999999999997E-13</v>
      </c>
      <c r="K60" s="22">
        <v>1.1999999999999997E-13</v>
      </c>
      <c r="L60" s="22">
        <v>1.1999999999999997E-13</v>
      </c>
      <c r="M60" s="22">
        <v>1.1999999999999997E-13</v>
      </c>
      <c r="N60" s="22">
        <v>1.1999999999999997E-13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71" t="str">
        <f t="shared" si="2"/>
        <v/>
      </c>
      <c r="B61" s="25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</row>
    <row r="62" spans="1:28" s="20" customFormat="1" ht="18.75" x14ac:dyDescent="0.3">
      <c r="A62" s="63"/>
      <c r="B62" s="33" t="s">
        <v>3</v>
      </c>
      <c r="C62" s="33" t="s">
        <v>144</v>
      </c>
      <c r="D62" s="32" t="s">
        <v>143</v>
      </c>
      <c r="E62" s="32" t="s">
        <v>74</v>
      </c>
      <c r="F62" s="32" t="s">
        <v>174</v>
      </c>
      <c r="G62" s="32" t="s">
        <v>175</v>
      </c>
      <c r="H62" s="32" t="s">
        <v>176</v>
      </c>
      <c r="I62" s="32" t="s">
        <v>177</v>
      </c>
      <c r="J62" s="32" t="s">
        <v>190</v>
      </c>
      <c r="K62" s="32" t="s">
        <v>191</v>
      </c>
      <c r="L62" s="32" t="s">
        <v>192</v>
      </c>
      <c r="M62" s="32" t="s">
        <v>193</v>
      </c>
      <c r="N62" s="32" t="s">
        <v>194</v>
      </c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8" outlineLevel="1" x14ac:dyDescent="0.25">
      <c r="A63" s="67" t="str">
        <f>IF(NOT(ISBLANK(C63)),$C$62&amp;"."&amp;C63,"")</f>
        <v>Brændselsforbrug.DepoSort</v>
      </c>
      <c r="B63" s="28" t="s">
        <v>18</v>
      </c>
      <c r="C63" s="29" t="s">
        <v>45</v>
      </c>
      <c r="D63" s="50">
        <v>12915.312915299997</v>
      </c>
      <c r="E63" s="50">
        <v>12915.312915299997</v>
      </c>
      <c r="F63" s="50">
        <v>12915.312915299997</v>
      </c>
      <c r="G63" s="50">
        <v>12915.312915299997</v>
      </c>
      <c r="H63" s="50">
        <v>12915.312915299997</v>
      </c>
      <c r="I63" s="50">
        <v>12915.312915299997</v>
      </c>
      <c r="J63" s="50">
        <v>12915.312915299997</v>
      </c>
      <c r="K63" s="50">
        <v>12915.312915299997</v>
      </c>
      <c r="L63" s="50">
        <v>12915.312915299999</v>
      </c>
      <c r="M63" s="50">
        <v>12915.312915299997</v>
      </c>
      <c r="N63" s="50">
        <v>12915.312915299997</v>
      </c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8" outlineLevel="1" x14ac:dyDescent="0.25">
      <c r="A64" s="72" t="str">
        <f t="shared" ref="A64:A93" si="3">IF(NOT(ISBLANK(C64)),$C$62&amp;"."&amp;C64,"")</f>
        <v>Brændselsforbrug.DepoSmaat</v>
      </c>
      <c r="B64" s="28" t="s">
        <v>18</v>
      </c>
      <c r="C64" s="29" t="s">
        <v>46</v>
      </c>
      <c r="D64" s="50">
        <v>-1.1999999999999997E-13</v>
      </c>
      <c r="E64" s="50">
        <v>-1.1999999999999997E-13</v>
      </c>
      <c r="F64" s="50">
        <v>-1.1999999999999997E-13</v>
      </c>
      <c r="G64" s="50">
        <v>-1.1999999999999997E-13</v>
      </c>
      <c r="H64" s="50">
        <v>-1.1999999999999997E-13</v>
      </c>
      <c r="I64" s="50">
        <v>-1.1999999999999997E-13</v>
      </c>
      <c r="J64" s="50">
        <v>-1.1999999999999997E-13</v>
      </c>
      <c r="K64" s="50">
        <v>-1.1999999999999997E-13</v>
      </c>
      <c r="L64" s="50">
        <v>-1.1999999999999997E-13</v>
      </c>
      <c r="M64" s="50">
        <v>-1.1999999999999997E-13</v>
      </c>
      <c r="N64" s="50">
        <v>-1.1999999999999997E-13</v>
      </c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3"/>
        <v>Brændselsforbrug.DepoNedd</v>
      </c>
      <c r="B65" s="28" t="s">
        <v>18</v>
      </c>
      <c r="C65" s="29" t="s">
        <v>47</v>
      </c>
      <c r="D65" s="50">
        <v>-1.1999999999999997E-13</v>
      </c>
      <c r="E65" s="50">
        <v>-1.1999999999999997E-13</v>
      </c>
      <c r="F65" s="50">
        <v>-1.1999999999999997E-13</v>
      </c>
      <c r="G65" s="50">
        <v>-1.1999999999999997E-13</v>
      </c>
      <c r="H65" s="50">
        <v>-1.1999999999999997E-13</v>
      </c>
      <c r="I65" s="50">
        <v>-1.1999999999999997E-13</v>
      </c>
      <c r="J65" s="50">
        <v>-1.1999999999999997E-13</v>
      </c>
      <c r="K65" s="50">
        <v>-1.1999999999999997E-13</v>
      </c>
      <c r="L65" s="50">
        <v>-1.1999999999999997E-13</v>
      </c>
      <c r="M65" s="50">
        <v>-1.1999999999999997E-13</v>
      </c>
      <c r="N65" s="50">
        <v>-1.1999999999999997E-13</v>
      </c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3"/>
        <v>Brændselsforbrug.Dagren</v>
      </c>
      <c r="B66" s="28" t="s">
        <v>18</v>
      </c>
      <c r="C66" s="29" t="s">
        <v>48</v>
      </c>
      <c r="D66" s="50">
        <v>28766.808766779999</v>
      </c>
      <c r="E66" s="50">
        <v>28766.808766779999</v>
      </c>
      <c r="F66" s="50">
        <v>28766.808766779999</v>
      </c>
      <c r="G66" s="50">
        <v>28766.808766779999</v>
      </c>
      <c r="H66" s="50">
        <v>28766.808766779999</v>
      </c>
      <c r="I66" s="50">
        <v>28766.808766779999</v>
      </c>
      <c r="J66" s="50">
        <v>28766.806369548332</v>
      </c>
      <c r="K66" s="50">
        <v>28766.806369548332</v>
      </c>
      <c r="L66" s="50">
        <v>28766.806369548332</v>
      </c>
      <c r="M66" s="50">
        <v>28766.806369548332</v>
      </c>
      <c r="N66" s="50">
        <v>28766.806369548332</v>
      </c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3"/>
        <v>Brændselsforbrug.AndetBrand</v>
      </c>
      <c r="B67" s="28" t="s">
        <v>18</v>
      </c>
      <c r="C67" s="29" t="s">
        <v>49</v>
      </c>
      <c r="D67" s="50">
        <v>4232.4132324090006</v>
      </c>
      <c r="E67" s="50">
        <v>4232.4132324090006</v>
      </c>
      <c r="F67" s="50">
        <v>4232.4132324090006</v>
      </c>
      <c r="G67" s="50">
        <v>4232.4132324090006</v>
      </c>
      <c r="H67" s="50">
        <v>4232.4132324090006</v>
      </c>
      <c r="I67" s="50">
        <v>4232.4132324090006</v>
      </c>
      <c r="J67" s="50">
        <v>4232.4128797082512</v>
      </c>
      <c r="K67" s="50">
        <v>4232.4128797082512</v>
      </c>
      <c r="L67" s="50">
        <v>4232.4128797082512</v>
      </c>
      <c r="M67" s="50">
        <v>4232.4128797082512</v>
      </c>
      <c r="N67" s="50">
        <v>4232.4128797082512</v>
      </c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3"/>
        <v>Brændselsforbrug.Trae</v>
      </c>
      <c r="B68" s="28" t="s">
        <v>18</v>
      </c>
      <c r="C68" s="29" t="s">
        <v>50</v>
      </c>
      <c r="D68" s="50">
        <v>33.350025012499998</v>
      </c>
      <c r="E68" s="50">
        <v>33.350025012499998</v>
      </c>
      <c r="F68" s="50">
        <v>33.350025012499998</v>
      </c>
      <c r="G68" s="50">
        <v>33.350025012499998</v>
      </c>
      <c r="H68" s="50">
        <v>33.350030570833326</v>
      </c>
      <c r="I68" s="50">
        <v>33.350030570833326</v>
      </c>
      <c r="J68" s="50">
        <v>33.350000000000009</v>
      </c>
      <c r="K68" s="50">
        <v>33.350000000000009</v>
      </c>
      <c r="L68" s="50">
        <v>33.350000000000009</v>
      </c>
      <c r="M68" s="50">
        <v>33.350000000000009</v>
      </c>
      <c r="N68" s="50">
        <v>33.350000000000009</v>
      </c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3"/>
        <v>Brændselsforbrug.DagrenRast</v>
      </c>
      <c r="B69" s="28" t="s">
        <v>18</v>
      </c>
      <c r="C69" s="29" t="s">
        <v>51</v>
      </c>
      <c r="D69" s="50">
        <v>4289.7839322983318</v>
      </c>
      <c r="E69" s="50">
        <v>4289.7839322983318</v>
      </c>
      <c r="F69" s="50">
        <v>4289.7839322983318</v>
      </c>
      <c r="G69" s="50">
        <v>4289.7839322983318</v>
      </c>
      <c r="H69" s="50">
        <v>4289.7839322983318</v>
      </c>
      <c r="I69" s="50">
        <v>4289.7839322983318</v>
      </c>
      <c r="J69" s="50">
        <v>4289.7839322983318</v>
      </c>
      <c r="K69" s="50">
        <v>4289.7839322983318</v>
      </c>
      <c r="L69" s="50">
        <v>4289.7839322983318</v>
      </c>
      <c r="M69" s="50">
        <v>4289.7839322983318</v>
      </c>
      <c r="N69" s="50">
        <v>4289.7839322983318</v>
      </c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3"/>
        <v>Brændselsforbrug.DagrenInst</v>
      </c>
      <c r="B70" s="28" t="s">
        <v>18</v>
      </c>
      <c r="C70" s="29" t="s">
        <v>52</v>
      </c>
      <c r="D70" s="50">
        <v>106.90010689999995</v>
      </c>
      <c r="E70" s="50">
        <v>106.90010689999995</v>
      </c>
      <c r="F70" s="50">
        <v>106.90010689999995</v>
      </c>
      <c r="G70" s="50">
        <v>106.90010689999995</v>
      </c>
      <c r="H70" s="50">
        <v>106.90010689999995</v>
      </c>
      <c r="I70" s="50">
        <v>106.90010689999995</v>
      </c>
      <c r="J70" s="50">
        <v>106.90009799166663</v>
      </c>
      <c r="K70" s="50">
        <v>106.90009799166663</v>
      </c>
      <c r="L70" s="50">
        <v>106.90009799166663</v>
      </c>
      <c r="M70" s="50">
        <v>106.90009799166663</v>
      </c>
      <c r="N70" s="50">
        <v>106.90009799166663</v>
      </c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3"/>
        <v>Brændselsforbrug.DagrenHandel</v>
      </c>
      <c r="B71" s="28" t="s">
        <v>18</v>
      </c>
      <c r="C71" s="29" t="s">
        <v>53</v>
      </c>
      <c r="D71" s="50">
        <v>4266.0139105091657</v>
      </c>
      <c r="E71" s="50">
        <v>4266.0139105091657</v>
      </c>
      <c r="F71" s="50">
        <v>4266.0139105091657</v>
      </c>
      <c r="G71" s="50">
        <v>4266.0139105091657</v>
      </c>
      <c r="H71" s="50">
        <v>4266.0139105091657</v>
      </c>
      <c r="I71" s="50">
        <v>4266.0139105091657</v>
      </c>
      <c r="J71" s="50">
        <v>4266.0139105091657</v>
      </c>
      <c r="K71" s="50">
        <v>4266.0139105091657</v>
      </c>
      <c r="L71" s="50">
        <v>4266.0139105091657</v>
      </c>
      <c r="M71" s="50">
        <v>4266.0139105091657</v>
      </c>
      <c r="N71" s="50">
        <v>4266.0139105091657</v>
      </c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3"/>
        <v>Brændselsforbrug.DagrenRestau</v>
      </c>
      <c r="B72" s="28" t="s">
        <v>18</v>
      </c>
      <c r="C72" s="29" t="s">
        <v>54</v>
      </c>
      <c r="D72" s="50">
        <v>398.46039846000002</v>
      </c>
      <c r="E72" s="50">
        <v>398.46039846000002</v>
      </c>
      <c r="F72" s="50">
        <v>398.46039846000002</v>
      </c>
      <c r="G72" s="50">
        <v>398.46039846000002</v>
      </c>
      <c r="H72" s="50">
        <v>398.46039846000002</v>
      </c>
      <c r="I72" s="50">
        <v>398.46039846000002</v>
      </c>
      <c r="J72" s="50">
        <v>398.460365255</v>
      </c>
      <c r="K72" s="50">
        <v>398.460365255</v>
      </c>
      <c r="L72" s="50">
        <v>398.460365255</v>
      </c>
      <c r="M72" s="50">
        <v>398.460365255</v>
      </c>
      <c r="N72" s="50">
        <v>398.460365255</v>
      </c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3"/>
        <v>Brændselsforbrug.Erhverv</v>
      </c>
      <c r="B73" s="28" t="s">
        <v>18</v>
      </c>
      <c r="C73" s="29" t="s">
        <v>55</v>
      </c>
      <c r="D73" s="50">
        <v>6141.6761416699983</v>
      </c>
      <c r="E73" s="50">
        <v>6141.6761416699983</v>
      </c>
      <c r="F73" s="50">
        <v>6141.6761416699983</v>
      </c>
      <c r="G73" s="50">
        <v>6141.6761416699983</v>
      </c>
      <c r="H73" s="50">
        <v>6141.6761416699983</v>
      </c>
      <c r="I73" s="50">
        <v>6141.6761416699983</v>
      </c>
      <c r="J73" s="50">
        <v>6141.6756298641649</v>
      </c>
      <c r="K73" s="50">
        <v>6141.6756298641649</v>
      </c>
      <c r="L73" s="50">
        <v>6141.6756298641649</v>
      </c>
      <c r="M73" s="50">
        <v>6141.6756298641649</v>
      </c>
      <c r="N73" s="50">
        <v>6141.6756298641649</v>
      </c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3"/>
        <v>Brændselsforbrug.DagrenErhverv</v>
      </c>
      <c r="B74" s="28" t="s">
        <v>18</v>
      </c>
      <c r="C74" s="29" t="s">
        <v>56</v>
      </c>
      <c r="D74" s="50">
        <v>134.19013418999995</v>
      </c>
      <c r="E74" s="50">
        <v>134.19013418999995</v>
      </c>
      <c r="F74" s="50">
        <v>134.19013418999995</v>
      </c>
      <c r="G74" s="50">
        <v>134.19013418999995</v>
      </c>
      <c r="H74" s="50">
        <v>134.19013418999995</v>
      </c>
      <c r="I74" s="50">
        <v>134.19013418999995</v>
      </c>
      <c r="J74" s="50">
        <v>134.19013418999995</v>
      </c>
      <c r="K74" s="50">
        <v>134.19013418999995</v>
      </c>
      <c r="L74" s="50">
        <v>134.19013418999995</v>
      </c>
      <c r="M74" s="50">
        <v>134.19013418999995</v>
      </c>
      <c r="N74" s="50">
        <v>134.19013418999995</v>
      </c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3"/>
        <v>Brændselsforbrug.HandelKontor</v>
      </c>
      <c r="B75" s="28" t="s">
        <v>18</v>
      </c>
      <c r="C75" s="29" t="s">
        <v>57</v>
      </c>
      <c r="D75" s="50">
        <v>57.780009629999995</v>
      </c>
      <c r="E75" s="50">
        <v>57.780019259999996</v>
      </c>
      <c r="F75" s="50">
        <v>57.780009629999995</v>
      </c>
      <c r="G75" s="50">
        <v>57.780009629999995</v>
      </c>
      <c r="H75" s="50">
        <v>57.780009629999995</v>
      </c>
      <c r="I75" s="50">
        <v>57.780009629999995</v>
      </c>
      <c r="J75" s="50">
        <v>57.779999999999994</v>
      </c>
      <c r="K75" s="50">
        <v>57.779999999999994</v>
      </c>
      <c r="L75" s="50">
        <v>57.779999999999994</v>
      </c>
      <c r="M75" s="50">
        <v>57.779999999999994</v>
      </c>
      <c r="N75" s="50">
        <v>57.779999999999994</v>
      </c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3"/>
        <v>Brændselsforbrug.Privat</v>
      </c>
      <c r="B76" s="28" t="s">
        <v>18</v>
      </c>
      <c r="C76" s="29" t="s">
        <v>58</v>
      </c>
      <c r="D76" s="50">
        <v>12.890011815833333</v>
      </c>
      <c r="E76" s="50">
        <v>12.890011815833333</v>
      </c>
      <c r="F76" s="50">
        <v>12.890011815833333</v>
      </c>
      <c r="G76" s="50">
        <v>12.890011815833333</v>
      </c>
      <c r="H76" s="50">
        <v>12.890011815833333</v>
      </c>
      <c r="I76" s="50">
        <v>12.890011815833333</v>
      </c>
      <c r="J76" s="50">
        <v>12.890011815833333</v>
      </c>
      <c r="K76" s="50">
        <v>12.890011815833333</v>
      </c>
      <c r="L76" s="50">
        <v>12.890011815833333</v>
      </c>
      <c r="M76" s="50">
        <v>12.890011815833333</v>
      </c>
      <c r="N76" s="50">
        <v>12.890011815833333</v>
      </c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3"/>
        <v>Brændselsforbrug.TyskRest</v>
      </c>
      <c r="B77" s="28" t="s">
        <v>18</v>
      </c>
      <c r="C77" s="29" t="s">
        <v>59</v>
      </c>
      <c r="D77" s="50">
        <v>34232.724232690009</v>
      </c>
      <c r="E77" s="50">
        <v>34232.724232690001</v>
      </c>
      <c r="F77" s="50">
        <v>34232.724232689994</v>
      </c>
      <c r="G77" s="50">
        <v>34232.724232690009</v>
      </c>
      <c r="H77" s="50">
        <v>34232.724232690001</v>
      </c>
      <c r="I77" s="50">
        <v>34232.724232689994</v>
      </c>
      <c r="J77" s="50">
        <v>34232.724232690001</v>
      </c>
      <c r="K77" s="50">
        <v>34232.724232690009</v>
      </c>
      <c r="L77" s="50">
        <v>34232.724232690001</v>
      </c>
      <c r="M77" s="50">
        <v>34232.724232690001</v>
      </c>
      <c r="N77" s="50">
        <v>34232.724232690001</v>
      </c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3"/>
        <v>Brændselsforbrug.PolskRest</v>
      </c>
      <c r="B78" s="28" t="s">
        <v>18</v>
      </c>
      <c r="C78" s="29" t="s">
        <v>60</v>
      </c>
      <c r="D78" s="50">
        <v>154.09015409000003</v>
      </c>
      <c r="E78" s="50">
        <v>154.09015409000008</v>
      </c>
      <c r="F78" s="50">
        <v>154.09015409000003</v>
      </c>
      <c r="G78" s="50">
        <v>154.09015409000003</v>
      </c>
      <c r="H78" s="50">
        <v>154.09015409000008</v>
      </c>
      <c r="I78" s="50">
        <v>154.09015409000003</v>
      </c>
      <c r="J78" s="50">
        <v>154.09015409000008</v>
      </c>
      <c r="K78" s="50">
        <v>154.09015409000011</v>
      </c>
      <c r="L78" s="50">
        <v>154.09015409</v>
      </c>
      <c r="M78" s="50">
        <v>154.09015409000003</v>
      </c>
      <c r="N78" s="50">
        <v>154.09015409000008</v>
      </c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3"/>
        <v>Brændselsforbrug.PcbTrae</v>
      </c>
      <c r="B79" s="28" t="s">
        <v>18</v>
      </c>
      <c r="C79" s="29" t="s">
        <v>61</v>
      </c>
      <c r="D79" s="50">
        <v>-1.1999999999999997E-13</v>
      </c>
      <c r="E79" s="50">
        <v>-1.1999999999999997E-13</v>
      </c>
      <c r="F79" s="50">
        <v>-1.1999999999999997E-13</v>
      </c>
      <c r="G79" s="50">
        <v>-1.1999999999999997E-13</v>
      </c>
      <c r="H79" s="50">
        <v>-1.1999999999999997E-13</v>
      </c>
      <c r="I79" s="50">
        <v>-1.1999999999999997E-13</v>
      </c>
      <c r="J79" s="50">
        <v>-1.1999999999999997E-13</v>
      </c>
      <c r="K79" s="50">
        <v>-1.1999999999999997E-13</v>
      </c>
      <c r="L79" s="50">
        <v>-1.1999999999999997E-13</v>
      </c>
      <c r="M79" s="50">
        <v>-1.1999999999999997E-13</v>
      </c>
      <c r="N79" s="50">
        <v>-1.1999999999999997E-13</v>
      </c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3"/>
        <v>Brændselsforbrug.TraeRekv</v>
      </c>
      <c r="B80" s="28" t="s">
        <v>18</v>
      </c>
      <c r="C80" s="29" t="s">
        <v>62</v>
      </c>
      <c r="D80" s="50">
        <v>1044.53</v>
      </c>
      <c r="E80" s="50">
        <v>1044.53</v>
      </c>
      <c r="F80" s="50">
        <v>1044.53</v>
      </c>
      <c r="G80" s="50">
        <v>1044.53</v>
      </c>
      <c r="H80" s="50">
        <v>1044.53</v>
      </c>
      <c r="I80" s="50">
        <v>1044.53</v>
      </c>
      <c r="J80" s="50">
        <v>1044.53</v>
      </c>
      <c r="K80" s="50">
        <v>1044.5299999999997</v>
      </c>
      <c r="L80" s="50">
        <v>1044.53</v>
      </c>
      <c r="M80" s="50">
        <v>1044.53</v>
      </c>
      <c r="N80" s="50">
        <v>1044.53</v>
      </c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3"/>
        <v>Brændselsforbrug.Halm</v>
      </c>
      <c r="B81" s="28" t="s">
        <v>18</v>
      </c>
      <c r="C81" s="29" t="s">
        <v>63</v>
      </c>
      <c r="D81" s="50">
        <v>-1.1999999999999997E-13</v>
      </c>
      <c r="E81" s="50">
        <v>-1.1999999999999997E-13</v>
      </c>
      <c r="F81" s="50">
        <v>-1.1999999999999997E-13</v>
      </c>
      <c r="G81" s="50">
        <v>-1.1999999999999997E-13</v>
      </c>
      <c r="H81" s="50">
        <v>-1.1999999999999997E-13</v>
      </c>
      <c r="I81" s="50">
        <v>-1.1999999999999997E-13</v>
      </c>
      <c r="J81" s="50">
        <v>-1.1999999999999997E-13</v>
      </c>
      <c r="K81" s="50">
        <v>-1.1999999999999997E-13</v>
      </c>
      <c r="L81" s="50">
        <v>-1.1999999999999997E-13</v>
      </c>
      <c r="M81" s="50">
        <v>-1.1999999999999997E-13</v>
      </c>
      <c r="N81" s="50">
        <v>-1.1999999999999997E-13</v>
      </c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3"/>
        <v>Brændselsforbrug.Pulver</v>
      </c>
      <c r="B82" s="28" t="s">
        <v>18</v>
      </c>
      <c r="C82" s="29" t="s">
        <v>64</v>
      </c>
      <c r="D82" s="50">
        <v>113.940104445</v>
      </c>
      <c r="E82" s="50">
        <v>113.940104445</v>
      </c>
      <c r="F82" s="50">
        <v>113.940104445</v>
      </c>
      <c r="G82" s="50">
        <v>113.940104445</v>
      </c>
      <c r="H82" s="50">
        <v>113.940104445</v>
      </c>
      <c r="I82" s="50">
        <v>113.940104445</v>
      </c>
      <c r="J82" s="50">
        <v>113.940104445</v>
      </c>
      <c r="K82" s="50">
        <v>113.940104445</v>
      </c>
      <c r="L82" s="50">
        <v>113.940104445</v>
      </c>
      <c r="M82" s="50">
        <v>113.940104445</v>
      </c>
      <c r="N82" s="50">
        <v>113.940104445</v>
      </c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3"/>
        <v>Brændselsforbrug.FlisAffald</v>
      </c>
      <c r="B83" s="28" t="s">
        <v>18</v>
      </c>
      <c r="C83" s="29" t="s">
        <v>65</v>
      </c>
      <c r="D83" s="50">
        <v>212.20021220000004</v>
      </c>
      <c r="E83" s="50">
        <v>212.20021220000004</v>
      </c>
      <c r="F83" s="50">
        <v>212.20021220000004</v>
      </c>
      <c r="G83" s="50">
        <v>212.20021220000004</v>
      </c>
      <c r="H83" s="50">
        <v>212.20021220000004</v>
      </c>
      <c r="I83" s="50">
        <v>212.20021220000004</v>
      </c>
      <c r="J83" s="50">
        <v>212.20021220000004</v>
      </c>
      <c r="K83" s="50">
        <v>212.20021220000004</v>
      </c>
      <c r="L83" s="50">
        <v>212.20021220000004</v>
      </c>
      <c r="M83" s="50">
        <v>212.20021220000004</v>
      </c>
      <c r="N83" s="50">
        <v>212.20021220000004</v>
      </c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3"/>
        <v>Brændselsforbrug.NyAff1</v>
      </c>
      <c r="B84" s="28" t="s">
        <v>18</v>
      </c>
      <c r="C84" s="29" t="s">
        <v>66</v>
      </c>
      <c r="D84" s="50">
        <v>5096.4239595948447</v>
      </c>
      <c r="E84" s="50">
        <v>805.57374533357358</v>
      </c>
      <c r="F84" s="50">
        <v>805.57375496357997</v>
      </c>
      <c r="G84" s="50">
        <v>805.57375496357611</v>
      </c>
      <c r="H84" s="50">
        <v>7470.6309214143921</v>
      </c>
      <c r="I84" s="50">
        <v>9804.9786070346981</v>
      </c>
      <c r="J84" s="50">
        <v>805.57379365902705</v>
      </c>
      <c r="K84" s="50">
        <v>805.57379365902659</v>
      </c>
      <c r="L84" s="50">
        <v>805.57379365902295</v>
      </c>
      <c r="M84" s="50">
        <v>7470.630968140229</v>
      </c>
      <c r="N84" s="50">
        <v>8880.1717873791313</v>
      </c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3"/>
        <v>Brændselsforbrug.NyAff2</v>
      </c>
      <c r="B85" s="28" t="s">
        <v>18</v>
      </c>
      <c r="C85" s="29" t="s">
        <v>67</v>
      </c>
      <c r="D85" s="50">
        <v>-1.1999999999999997E-13</v>
      </c>
      <c r="E85" s="50">
        <v>-1.1999999999999997E-13</v>
      </c>
      <c r="F85" s="50">
        <v>-1.1999999999999997E-13</v>
      </c>
      <c r="G85" s="50">
        <v>-1.1999999999999997E-13</v>
      </c>
      <c r="H85" s="50">
        <v>-1.1999999999999997E-13</v>
      </c>
      <c r="I85" s="50">
        <v>-1.1999999999999997E-13</v>
      </c>
      <c r="J85" s="50">
        <v>-1.1999999999999997E-13</v>
      </c>
      <c r="K85" s="50">
        <v>-1.1999999999999997E-13</v>
      </c>
      <c r="L85" s="50">
        <v>-1.1999999999999997E-13</v>
      </c>
      <c r="M85" s="50">
        <v>-1.1999999999999997E-13</v>
      </c>
      <c r="N85" s="50">
        <v>-1.1999999999999997E-13</v>
      </c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3"/>
        <v>Brændselsforbrug.NyAff3</v>
      </c>
      <c r="B86" s="28" t="s">
        <v>18</v>
      </c>
      <c r="C86" s="29" t="s">
        <v>68</v>
      </c>
      <c r="D86" s="50">
        <v>-1.1999999999999997E-13</v>
      </c>
      <c r="E86" s="50">
        <v>-1.1999999999999997E-13</v>
      </c>
      <c r="F86" s="50">
        <v>-1.1999999999999997E-13</v>
      </c>
      <c r="G86" s="50">
        <v>-1.1999999999999997E-13</v>
      </c>
      <c r="H86" s="50">
        <v>-1.1999999999999997E-13</v>
      </c>
      <c r="I86" s="50">
        <v>-1.1999999999999997E-13</v>
      </c>
      <c r="J86" s="50">
        <v>-1.1999999999999997E-13</v>
      </c>
      <c r="K86" s="50">
        <v>-1.1999999999999997E-13</v>
      </c>
      <c r="L86" s="50">
        <v>-1.1999999999999997E-13</v>
      </c>
      <c r="M86" s="50">
        <v>-1.1999999999999997E-13</v>
      </c>
      <c r="N86" s="50">
        <v>-1.1999999999999997E-13</v>
      </c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2" t="str">
        <f t="shared" si="3"/>
        <v>Brændselsforbrug.NyAff4</v>
      </c>
      <c r="B87" s="28" t="s">
        <v>18</v>
      </c>
      <c r="C87" s="29" t="s">
        <v>69</v>
      </c>
      <c r="D87" s="50">
        <v>-1.1999999999999997E-13</v>
      </c>
      <c r="E87" s="50">
        <v>-1.1999999999999997E-13</v>
      </c>
      <c r="F87" s="50">
        <v>-1.1999999999999997E-13</v>
      </c>
      <c r="G87" s="50">
        <v>-1.1999999999999997E-13</v>
      </c>
      <c r="H87" s="50">
        <v>-1.1999999999999997E-13</v>
      </c>
      <c r="I87" s="50">
        <v>-1.1999999999999997E-13</v>
      </c>
      <c r="J87" s="50">
        <v>-1.1999999999999997E-13</v>
      </c>
      <c r="K87" s="50">
        <v>-1.1999999999999997E-13</v>
      </c>
      <c r="L87" s="50">
        <v>-1.1999999999999997E-13</v>
      </c>
      <c r="M87" s="50">
        <v>-1.1999999999999997E-13</v>
      </c>
      <c r="N87" s="50">
        <v>-1.1999999999999997E-13</v>
      </c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</row>
    <row r="88" spans="1:27" outlineLevel="1" x14ac:dyDescent="0.25">
      <c r="A88" s="72" t="str">
        <f t="shared" si="3"/>
        <v>Brændselsforbrug.NyAff5</v>
      </c>
      <c r="B88" s="28" t="s">
        <v>18</v>
      </c>
      <c r="C88" s="29" t="s">
        <v>70</v>
      </c>
      <c r="D88" s="50">
        <v>-1.1999999999999997E-13</v>
      </c>
      <c r="E88" s="50">
        <v>-1.1999999999999997E-13</v>
      </c>
      <c r="F88" s="50">
        <v>-1.1999999999999997E-13</v>
      </c>
      <c r="G88" s="50">
        <v>-1.1999999999999997E-13</v>
      </c>
      <c r="H88" s="50">
        <v>-1.1999999999999997E-13</v>
      </c>
      <c r="I88" s="50">
        <v>-1.1999999999999997E-13</v>
      </c>
      <c r="J88" s="50">
        <v>-1.1999999999999997E-13</v>
      </c>
      <c r="K88" s="50">
        <v>-1.1999999999999997E-13</v>
      </c>
      <c r="L88" s="50">
        <v>-1.1999999999999997E-13</v>
      </c>
      <c r="M88" s="50">
        <v>-1.1999999999999997E-13</v>
      </c>
      <c r="N88" s="50">
        <v>-1.1999999999999997E-13</v>
      </c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</row>
    <row r="89" spans="1:27" outlineLevel="1" x14ac:dyDescent="0.25">
      <c r="A89" s="72" t="str">
        <f t="shared" si="3"/>
        <v>Brændselsforbrug.Flis</v>
      </c>
      <c r="B89" s="28" t="s">
        <v>18</v>
      </c>
      <c r="C89" s="29" t="s">
        <v>71</v>
      </c>
      <c r="D89" s="50">
        <v>2777.4518147684594</v>
      </c>
      <c r="E89" s="50">
        <v>2777.4518147684594</v>
      </c>
      <c r="F89" s="50">
        <v>2777.4518147684594</v>
      </c>
      <c r="G89" s="50">
        <v>2777.4518147684594</v>
      </c>
      <c r="H89" s="50">
        <v>2777.4518147684594</v>
      </c>
      <c r="I89" s="50">
        <v>2777.4518147684594</v>
      </c>
      <c r="J89" s="50">
        <v>2777.4518147684594</v>
      </c>
      <c r="K89" s="50">
        <v>2777.4518147684594</v>
      </c>
      <c r="L89" s="50">
        <v>2777.4518147684594</v>
      </c>
      <c r="M89" s="50">
        <v>2777.4518147684594</v>
      </c>
      <c r="N89" s="50">
        <v>2777.4518147684594</v>
      </c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</row>
    <row r="90" spans="1:27" outlineLevel="1" x14ac:dyDescent="0.25">
      <c r="A90" s="72" t="str">
        <f t="shared" si="3"/>
        <v>Brændselsforbrug.NSvarme</v>
      </c>
      <c r="B90" s="28" t="s">
        <v>18</v>
      </c>
      <c r="C90" s="29" t="s">
        <v>72</v>
      </c>
      <c r="D90" s="50">
        <v>9600</v>
      </c>
      <c r="E90" s="50">
        <v>9600</v>
      </c>
      <c r="F90" s="50">
        <v>9600</v>
      </c>
      <c r="G90" s="50">
        <v>9600</v>
      </c>
      <c r="H90" s="50">
        <v>9600</v>
      </c>
      <c r="I90" s="50">
        <v>9600</v>
      </c>
      <c r="J90" s="50">
        <v>9600</v>
      </c>
      <c r="K90" s="50">
        <v>9600</v>
      </c>
      <c r="L90" s="50">
        <v>9600</v>
      </c>
      <c r="M90" s="50">
        <v>9600</v>
      </c>
      <c r="N90" s="50">
        <v>9600</v>
      </c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</row>
    <row r="91" spans="1:27" outlineLevel="1" x14ac:dyDescent="0.25">
      <c r="A91" s="72" t="str">
        <f t="shared" si="3"/>
        <v>Brændselsforbrug.PeakFuel</v>
      </c>
      <c r="B91" s="28" t="s">
        <v>18</v>
      </c>
      <c r="C91" s="29" t="s">
        <v>73</v>
      </c>
      <c r="D91" s="50">
        <v>1.1999999999999997E-13</v>
      </c>
      <c r="E91" s="50">
        <v>1.1999999999999997E-13</v>
      </c>
      <c r="F91" s="50">
        <v>1.1999999999999997E-13</v>
      </c>
      <c r="G91" s="50">
        <v>1.1999999999999997E-13</v>
      </c>
      <c r="H91" s="50">
        <v>1.1999999999999997E-13</v>
      </c>
      <c r="I91" s="50">
        <v>1.1999999999999997E-13</v>
      </c>
      <c r="J91" s="50">
        <v>1.1999999999999997E-13</v>
      </c>
      <c r="K91" s="50">
        <v>1.1999999999999997E-13</v>
      </c>
      <c r="L91" s="50">
        <v>1.1999999999999997E-13</v>
      </c>
      <c r="M91" s="50">
        <v>1.1999999999999997E-13</v>
      </c>
      <c r="N91" s="50">
        <v>1.1999999999999997E-13</v>
      </c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</row>
    <row r="92" spans="1:27" outlineLevel="1" x14ac:dyDescent="0.25">
      <c r="A92" s="73" t="str">
        <f t="shared" si="3"/>
        <v/>
      </c>
      <c r="B92" s="28"/>
      <c r="C92" s="29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1:27" outlineLevel="1" x14ac:dyDescent="0.25">
      <c r="A93" s="68" t="str">
        <f t="shared" si="3"/>
        <v/>
      </c>
      <c r="B93" s="8"/>
      <c r="C93" s="30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</row>
    <row r="94" spans="1:27" s="20" customFormat="1" ht="18.75" x14ac:dyDescent="0.3">
      <c r="A94" s="63"/>
      <c r="B94" s="33" t="s">
        <v>3</v>
      </c>
      <c r="C94" s="33" t="s">
        <v>145</v>
      </c>
      <c r="D94" s="32" t="s">
        <v>143</v>
      </c>
      <c r="E94" s="32" t="s">
        <v>74</v>
      </c>
      <c r="F94" s="32" t="s">
        <v>174</v>
      </c>
      <c r="G94" s="32" t="s">
        <v>175</v>
      </c>
      <c r="H94" s="32" t="s">
        <v>176</v>
      </c>
      <c r="I94" s="32" t="s">
        <v>177</v>
      </c>
      <c r="J94" s="32" t="s">
        <v>190</v>
      </c>
      <c r="K94" s="32" t="s">
        <v>191</v>
      </c>
      <c r="L94" s="32" t="s">
        <v>192</v>
      </c>
      <c r="M94" s="32" t="s">
        <v>193</v>
      </c>
      <c r="N94" s="32" t="s">
        <v>194</v>
      </c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outlineLevel="1" x14ac:dyDescent="0.25">
      <c r="A95" s="67" t="str">
        <f>IF(NOT(ISBLANK(C95)),$C$94&amp;"."&amp;C95,"")</f>
        <v>Brændselsindkomst.DepoSort</v>
      </c>
      <c r="B95" s="55" t="s">
        <v>2</v>
      </c>
      <c r="C95" s="52" t="s">
        <v>45</v>
      </c>
      <c r="D95" s="51">
        <v>6780539.2805324979</v>
      </c>
      <c r="E95" s="51">
        <v>6780539.2805324979</v>
      </c>
      <c r="F95" s="51">
        <v>6780539.2805324979</v>
      </c>
      <c r="G95" s="51">
        <v>6780539.2805324988</v>
      </c>
      <c r="H95" s="51">
        <v>6780539.2805324988</v>
      </c>
      <c r="I95" s="51">
        <v>6780539.2805324979</v>
      </c>
      <c r="J95" s="51">
        <v>6780539.2805324988</v>
      </c>
      <c r="K95" s="51">
        <v>6780539.2805324979</v>
      </c>
      <c r="L95" s="51">
        <v>6780539.2805324988</v>
      </c>
      <c r="M95" s="51">
        <v>6780539.2805324988</v>
      </c>
      <c r="N95" s="51">
        <v>6780539.2805324979</v>
      </c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ref="A96:A129" si="4">IF(NOT(ISBLANK(C96)),$C$94&amp;"."&amp;C96,"")</f>
        <v>Brændselsindkomst.DepoSmaat</v>
      </c>
      <c r="B96" s="55" t="s">
        <v>2</v>
      </c>
      <c r="C96" s="52" t="s">
        <v>46</v>
      </c>
      <c r="D96" s="51">
        <v>-1.1999999999999997E-13</v>
      </c>
      <c r="E96" s="51">
        <v>-1.1999999999999997E-13</v>
      </c>
      <c r="F96" s="51">
        <v>-1.1999999999999997E-13</v>
      </c>
      <c r="G96" s="51">
        <v>-1.1999999999999997E-13</v>
      </c>
      <c r="H96" s="51">
        <v>-1.1999999999999997E-13</v>
      </c>
      <c r="I96" s="51">
        <v>-1.1999999999999997E-13</v>
      </c>
      <c r="J96" s="51">
        <v>-1.1999999999999997E-13</v>
      </c>
      <c r="K96" s="51">
        <v>-1.1999999999999997E-13</v>
      </c>
      <c r="L96" s="51">
        <v>-1.1999999999999997E-13</v>
      </c>
      <c r="M96" s="51">
        <v>-1.1999999999999997E-13</v>
      </c>
      <c r="N96" s="51">
        <v>-1.1999999999999997E-13</v>
      </c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4"/>
        <v>Brændselsindkomst.DepoNedd</v>
      </c>
      <c r="B97" s="55" t="s">
        <v>2</v>
      </c>
      <c r="C97" s="52" t="s">
        <v>47</v>
      </c>
      <c r="D97" s="51">
        <v>-1.1999999999999997E-13</v>
      </c>
      <c r="E97" s="51">
        <v>-1.1999999999999997E-13</v>
      </c>
      <c r="F97" s="51">
        <v>-1.1999999999999997E-13</v>
      </c>
      <c r="G97" s="51">
        <v>-1.1999999999999997E-13</v>
      </c>
      <c r="H97" s="51">
        <v>-1.1999999999999997E-13</v>
      </c>
      <c r="I97" s="51">
        <v>-1.1999999999999997E-13</v>
      </c>
      <c r="J97" s="51">
        <v>-1.1999999999999997E-13</v>
      </c>
      <c r="K97" s="51">
        <v>-1.1999999999999997E-13</v>
      </c>
      <c r="L97" s="51">
        <v>-1.1999999999999997E-13</v>
      </c>
      <c r="M97" s="51">
        <v>-1.1999999999999997E-13</v>
      </c>
      <c r="N97" s="51">
        <v>-1.1999999999999997E-13</v>
      </c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4"/>
        <v>Brændselsindkomst.Dagren</v>
      </c>
      <c r="B98" s="55" t="s">
        <v>2</v>
      </c>
      <c r="C98" s="52" t="s">
        <v>48</v>
      </c>
      <c r="D98" s="51">
        <v>15102574.602559498</v>
      </c>
      <c r="E98" s="51">
        <v>15102574.602559498</v>
      </c>
      <c r="F98" s="51">
        <v>15102574.602559498</v>
      </c>
      <c r="G98" s="51">
        <v>15102574.602559498</v>
      </c>
      <c r="H98" s="51">
        <v>15102574.602559498</v>
      </c>
      <c r="I98" s="51">
        <v>15102574.602559498</v>
      </c>
      <c r="J98" s="51">
        <v>15102573.344012871</v>
      </c>
      <c r="K98" s="51">
        <v>15102573.344012871</v>
      </c>
      <c r="L98" s="51">
        <v>15102573.344012871</v>
      </c>
      <c r="M98" s="51">
        <v>15102573.344012871</v>
      </c>
      <c r="N98" s="51">
        <v>15102573.344012871</v>
      </c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4"/>
        <v>Brændselsindkomst.AndetBrand</v>
      </c>
      <c r="B99" s="55" t="s">
        <v>2</v>
      </c>
      <c r="C99" s="52" t="s">
        <v>49</v>
      </c>
      <c r="D99" s="51">
        <v>2222016.9470147253</v>
      </c>
      <c r="E99" s="51">
        <v>2222016.9470147253</v>
      </c>
      <c r="F99" s="51">
        <v>2222016.9470147253</v>
      </c>
      <c r="G99" s="51">
        <v>2222016.9470147253</v>
      </c>
      <c r="H99" s="51">
        <v>2222016.9470147253</v>
      </c>
      <c r="I99" s="51">
        <v>2222016.9470147253</v>
      </c>
      <c r="J99" s="51">
        <v>2222016.7618468315</v>
      </c>
      <c r="K99" s="51">
        <v>2222016.7618468315</v>
      </c>
      <c r="L99" s="51">
        <v>2222016.7618468315</v>
      </c>
      <c r="M99" s="51">
        <v>2222016.7618468315</v>
      </c>
      <c r="N99" s="51">
        <v>2222016.7618468315</v>
      </c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4"/>
        <v>Brændselsindkomst.Trae</v>
      </c>
      <c r="B100" s="55" t="s">
        <v>2</v>
      </c>
      <c r="C100" s="52" t="s">
        <v>50</v>
      </c>
      <c r="D100" s="51">
        <v>5169.2538769375005</v>
      </c>
      <c r="E100" s="51">
        <v>5169.2538769375005</v>
      </c>
      <c r="F100" s="51">
        <v>5169.2538769375005</v>
      </c>
      <c r="G100" s="51">
        <v>5169.2538769375005</v>
      </c>
      <c r="H100" s="51">
        <v>5169.2547384791669</v>
      </c>
      <c r="I100" s="51">
        <v>5169.2547384791669</v>
      </c>
      <c r="J100" s="51">
        <v>5169.25</v>
      </c>
      <c r="K100" s="51">
        <v>5169.25</v>
      </c>
      <c r="L100" s="51">
        <v>5169.25</v>
      </c>
      <c r="M100" s="51">
        <v>5169.25</v>
      </c>
      <c r="N100" s="51">
        <v>5169.25</v>
      </c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4"/>
        <v>Brændselsindkomst.DagrenRast</v>
      </c>
      <c r="B101" s="55" t="s">
        <v>2</v>
      </c>
      <c r="C101" s="52" t="s">
        <v>51</v>
      </c>
      <c r="D101" s="51">
        <v>2252136.5644566244</v>
      </c>
      <c r="E101" s="51">
        <v>2252136.5644566244</v>
      </c>
      <c r="F101" s="51">
        <v>2252136.5644566244</v>
      </c>
      <c r="G101" s="51">
        <v>2252136.5644566244</v>
      </c>
      <c r="H101" s="51">
        <v>2252136.5644566244</v>
      </c>
      <c r="I101" s="51">
        <v>2252136.5644566244</v>
      </c>
      <c r="J101" s="51">
        <v>2252136.5644566244</v>
      </c>
      <c r="K101" s="51">
        <v>2252136.5644566244</v>
      </c>
      <c r="L101" s="51">
        <v>2252136.5644566244</v>
      </c>
      <c r="M101" s="51">
        <v>2252136.5644566244</v>
      </c>
      <c r="N101" s="51">
        <v>2252136.5644566244</v>
      </c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4"/>
        <v>Brændselsindkomst.DagrenInst</v>
      </c>
      <c r="B102" s="55" t="s">
        <v>2</v>
      </c>
      <c r="C102" s="52" t="s">
        <v>52</v>
      </c>
      <c r="D102" s="51">
        <v>56122.556122499976</v>
      </c>
      <c r="E102" s="51">
        <v>56122.556122499976</v>
      </c>
      <c r="F102" s="51">
        <v>56122.556122499976</v>
      </c>
      <c r="G102" s="51">
        <v>56122.556122499976</v>
      </c>
      <c r="H102" s="51">
        <v>56122.556122499976</v>
      </c>
      <c r="I102" s="51">
        <v>56122.556122499976</v>
      </c>
      <c r="J102" s="51">
        <v>56122.55144562498</v>
      </c>
      <c r="K102" s="51">
        <v>56122.55144562498</v>
      </c>
      <c r="L102" s="51">
        <v>56122.55144562498</v>
      </c>
      <c r="M102" s="51">
        <v>56122.55144562498</v>
      </c>
      <c r="N102" s="51">
        <v>56122.55144562498</v>
      </c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4"/>
        <v>Brændselsindkomst.DagrenHandel</v>
      </c>
      <c r="B103" s="55" t="s">
        <v>2</v>
      </c>
      <c r="C103" s="52" t="s">
        <v>53</v>
      </c>
      <c r="D103" s="51">
        <v>2239657.3030173127</v>
      </c>
      <c r="E103" s="51">
        <v>2239657.3030173127</v>
      </c>
      <c r="F103" s="51">
        <v>2239657.3030173127</v>
      </c>
      <c r="G103" s="51">
        <v>2239657.3030173127</v>
      </c>
      <c r="H103" s="51">
        <v>2239657.3030173127</v>
      </c>
      <c r="I103" s="51">
        <v>2239657.3030173127</v>
      </c>
      <c r="J103" s="51">
        <v>2239657.3030173127</v>
      </c>
      <c r="K103" s="51">
        <v>2239657.3030173127</v>
      </c>
      <c r="L103" s="51">
        <v>2239657.3030173127</v>
      </c>
      <c r="M103" s="51">
        <v>2239657.3030173127</v>
      </c>
      <c r="N103" s="51">
        <v>2239657.3030173127</v>
      </c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4"/>
        <v>Brændselsindkomst.DagrenRestau</v>
      </c>
      <c r="B104" s="55" t="s">
        <v>2</v>
      </c>
      <c r="C104" s="52" t="s">
        <v>54</v>
      </c>
      <c r="D104" s="51">
        <v>209191.70919149995</v>
      </c>
      <c r="E104" s="51">
        <v>209191.70919149995</v>
      </c>
      <c r="F104" s="51">
        <v>209191.70919149995</v>
      </c>
      <c r="G104" s="51">
        <v>209191.70919149995</v>
      </c>
      <c r="H104" s="51">
        <v>209191.70919149995</v>
      </c>
      <c r="I104" s="51">
        <v>209191.70919149995</v>
      </c>
      <c r="J104" s="51">
        <v>209191.69175887495</v>
      </c>
      <c r="K104" s="51">
        <v>209191.69175887495</v>
      </c>
      <c r="L104" s="51">
        <v>209191.69175887495</v>
      </c>
      <c r="M104" s="51">
        <v>209191.69175887495</v>
      </c>
      <c r="N104" s="51">
        <v>209191.69175887495</v>
      </c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4"/>
        <v>Brændselsindkomst.Erhverv</v>
      </c>
      <c r="B105" s="55" t="s">
        <v>2</v>
      </c>
      <c r="C105" s="52" t="s">
        <v>55</v>
      </c>
      <c r="D105" s="51">
        <v>3224379.9743767488</v>
      </c>
      <c r="E105" s="51">
        <v>3224379.9743767488</v>
      </c>
      <c r="F105" s="51">
        <v>3224379.9743767488</v>
      </c>
      <c r="G105" s="51">
        <v>3224379.9743767488</v>
      </c>
      <c r="H105" s="51">
        <v>3224379.9743767488</v>
      </c>
      <c r="I105" s="51">
        <v>3224379.9743767488</v>
      </c>
      <c r="J105" s="51">
        <v>3224379.7056786865</v>
      </c>
      <c r="K105" s="51">
        <v>3224379.7056786865</v>
      </c>
      <c r="L105" s="51">
        <v>3224379.7056786865</v>
      </c>
      <c r="M105" s="51">
        <v>3224379.7056786865</v>
      </c>
      <c r="N105" s="51">
        <v>3224379.7056786865</v>
      </c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4"/>
        <v>Brændselsindkomst.DagrenErhverv</v>
      </c>
      <c r="B106" s="55" t="s">
        <v>2</v>
      </c>
      <c r="C106" s="52" t="s">
        <v>56</v>
      </c>
      <c r="D106" s="51">
        <v>105339.25533915001</v>
      </c>
      <c r="E106" s="51">
        <v>105339.25533915001</v>
      </c>
      <c r="F106" s="51">
        <v>105339.25533915001</v>
      </c>
      <c r="G106" s="51">
        <v>105339.25533915001</v>
      </c>
      <c r="H106" s="51">
        <v>105339.25533915001</v>
      </c>
      <c r="I106" s="51">
        <v>105339.25533915001</v>
      </c>
      <c r="J106" s="51">
        <v>105339.25533915001</v>
      </c>
      <c r="K106" s="51">
        <v>105339.25533915001</v>
      </c>
      <c r="L106" s="51">
        <v>105339.25533915001</v>
      </c>
      <c r="M106" s="51">
        <v>105339.25533915001</v>
      </c>
      <c r="N106" s="51">
        <v>105339.25533915001</v>
      </c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4"/>
        <v>Brændselsindkomst.HandelKontor</v>
      </c>
      <c r="B107" s="55" t="s">
        <v>2</v>
      </c>
      <c r="C107" s="52" t="s">
        <v>57</v>
      </c>
      <c r="D107" s="51">
        <v>1.1999999999999997E-13</v>
      </c>
      <c r="E107" s="51">
        <v>1.1999999999999997E-13</v>
      </c>
      <c r="F107" s="51">
        <v>1.1999999999999997E-13</v>
      </c>
      <c r="G107" s="51">
        <v>1.1999999999999997E-13</v>
      </c>
      <c r="H107" s="51">
        <v>1.1999999999999997E-13</v>
      </c>
      <c r="I107" s="51">
        <v>1.1999999999999997E-13</v>
      </c>
      <c r="J107" s="51">
        <v>1.1999999999999997E-13</v>
      </c>
      <c r="K107" s="51">
        <v>1.1999999999999997E-13</v>
      </c>
      <c r="L107" s="51">
        <v>1.1999999999999997E-13</v>
      </c>
      <c r="M107" s="51">
        <v>1.1999999999999997E-13</v>
      </c>
      <c r="N107" s="51">
        <v>1.1999999999999997E-13</v>
      </c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4"/>
        <v>Brændselsindkomst.Privat</v>
      </c>
      <c r="B108" s="55" t="s">
        <v>2</v>
      </c>
      <c r="C108" s="52" t="s">
        <v>58</v>
      </c>
      <c r="D108" s="51">
        <v>6767.2562033124977</v>
      </c>
      <c r="E108" s="51">
        <v>6767.2562033124977</v>
      </c>
      <c r="F108" s="51">
        <v>6767.2562033124977</v>
      </c>
      <c r="G108" s="51">
        <v>6767.2562033124977</v>
      </c>
      <c r="H108" s="51">
        <v>6767.2562033124977</v>
      </c>
      <c r="I108" s="51">
        <v>6767.2562033124977</v>
      </c>
      <c r="J108" s="51">
        <v>6767.2562033124977</v>
      </c>
      <c r="K108" s="51">
        <v>6767.2562033124977</v>
      </c>
      <c r="L108" s="51">
        <v>6767.2562033124977</v>
      </c>
      <c r="M108" s="51">
        <v>6767.2562033124977</v>
      </c>
      <c r="N108" s="51">
        <v>6767.2562033124977</v>
      </c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4"/>
        <v>Brændselsindkomst.TyskRest</v>
      </c>
      <c r="B109" s="55" t="s">
        <v>2</v>
      </c>
      <c r="C109" s="52" t="s">
        <v>59</v>
      </c>
      <c r="D109" s="51">
        <v>13693089.693076</v>
      </c>
      <c r="E109" s="51">
        <v>13693089.693076</v>
      </c>
      <c r="F109" s="51">
        <v>13693089.693076</v>
      </c>
      <c r="G109" s="51">
        <v>13693089.693076001</v>
      </c>
      <c r="H109" s="51">
        <v>13693089.693076001</v>
      </c>
      <c r="I109" s="51">
        <v>13693089.693076</v>
      </c>
      <c r="J109" s="51">
        <v>13693089.693076001</v>
      </c>
      <c r="K109" s="51">
        <v>13693089.693076001</v>
      </c>
      <c r="L109" s="51">
        <v>13693089.693076001</v>
      </c>
      <c r="M109" s="51">
        <v>13693089.693076003</v>
      </c>
      <c r="N109" s="51">
        <v>13693089.693076</v>
      </c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4"/>
        <v>Brændselsindkomst.PolskRest</v>
      </c>
      <c r="B110" s="55" t="s">
        <v>2</v>
      </c>
      <c r="C110" s="52" t="s">
        <v>60</v>
      </c>
      <c r="D110" s="51">
        <v>79356.42935635001</v>
      </c>
      <c r="E110" s="51">
        <v>79356.42935635001</v>
      </c>
      <c r="F110" s="51">
        <v>79356.42935635001</v>
      </c>
      <c r="G110" s="51">
        <v>79356.42935635001</v>
      </c>
      <c r="H110" s="51">
        <v>79356.42935635001</v>
      </c>
      <c r="I110" s="51">
        <v>79356.42935635001</v>
      </c>
      <c r="J110" s="51">
        <v>79356.42935635001</v>
      </c>
      <c r="K110" s="51">
        <v>79356.42935635001</v>
      </c>
      <c r="L110" s="51">
        <v>79356.42935635001</v>
      </c>
      <c r="M110" s="51">
        <v>79356.42935635001</v>
      </c>
      <c r="N110" s="51">
        <v>79356.42935635001</v>
      </c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4"/>
        <v>Brændselsindkomst.PcbTrae</v>
      </c>
      <c r="B111" s="55" t="s">
        <v>2</v>
      </c>
      <c r="C111" s="52" t="s">
        <v>61</v>
      </c>
      <c r="D111" s="51">
        <v>-1.1999999999999997E-13</v>
      </c>
      <c r="E111" s="51">
        <v>-1.1999999999999997E-13</v>
      </c>
      <c r="F111" s="51">
        <v>-1.1999999999999997E-13</v>
      </c>
      <c r="G111" s="51">
        <v>-1.1999999999999997E-13</v>
      </c>
      <c r="H111" s="51">
        <v>-1.1999999999999997E-13</v>
      </c>
      <c r="I111" s="51">
        <v>-1.1999999999999997E-13</v>
      </c>
      <c r="J111" s="51">
        <v>-1.1999999999999997E-13</v>
      </c>
      <c r="K111" s="51">
        <v>-1.1999999999999997E-13</v>
      </c>
      <c r="L111" s="51">
        <v>-1.1999999999999997E-13</v>
      </c>
      <c r="M111" s="51">
        <v>-1.1999999999999997E-13</v>
      </c>
      <c r="N111" s="51">
        <v>-1.1999999999999997E-13</v>
      </c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4"/>
        <v>Brændselsindkomst.TraeRekv</v>
      </c>
      <c r="B112" s="55" t="s">
        <v>2</v>
      </c>
      <c r="C112" s="52" t="s">
        <v>62</v>
      </c>
      <c r="D112" s="51">
        <v>1.1999999999999997E-13</v>
      </c>
      <c r="E112" s="51">
        <v>1.1999999999999997E-13</v>
      </c>
      <c r="F112" s="51">
        <v>1.1999999999999997E-13</v>
      </c>
      <c r="G112" s="51">
        <v>1.1999999999999997E-13</v>
      </c>
      <c r="H112" s="51">
        <v>1.1999999999999997E-13</v>
      </c>
      <c r="I112" s="51">
        <v>1.1999999999999997E-13</v>
      </c>
      <c r="J112" s="51">
        <v>1.1999999999999997E-13</v>
      </c>
      <c r="K112" s="51">
        <v>1.1999999999999997E-13</v>
      </c>
      <c r="L112" s="51">
        <v>1.1999999999999997E-13</v>
      </c>
      <c r="M112" s="51">
        <v>1.1999999999999997E-13</v>
      </c>
      <c r="N112" s="51">
        <v>1.1999999999999997E-13</v>
      </c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4"/>
        <v>Brændselsindkomst.Halm</v>
      </c>
      <c r="B113" s="55" t="s">
        <v>2</v>
      </c>
      <c r="C113" s="52" t="s">
        <v>63</v>
      </c>
      <c r="D113" s="51">
        <v>-1.1999999999999997E-13</v>
      </c>
      <c r="E113" s="51">
        <v>-1.1999999999999997E-13</v>
      </c>
      <c r="F113" s="51">
        <v>-1.1999999999999997E-13</v>
      </c>
      <c r="G113" s="51">
        <v>-1.1999999999999997E-13</v>
      </c>
      <c r="H113" s="51">
        <v>-1.1999999999999997E-13</v>
      </c>
      <c r="I113" s="51">
        <v>-1.1999999999999997E-13</v>
      </c>
      <c r="J113" s="51">
        <v>-1.1999999999999997E-13</v>
      </c>
      <c r="K113" s="51">
        <v>-1.1999999999999997E-13</v>
      </c>
      <c r="L113" s="51">
        <v>-1.1999999999999997E-13</v>
      </c>
      <c r="M113" s="51">
        <v>-1.1999999999999997E-13</v>
      </c>
      <c r="N113" s="51">
        <v>-1.1999999999999997E-13</v>
      </c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4"/>
        <v>Brændselsindkomst.Pulver</v>
      </c>
      <c r="B114" s="55" t="s">
        <v>2</v>
      </c>
      <c r="C114" s="52" t="s">
        <v>64</v>
      </c>
      <c r="D114" s="51">
        <v>78048.971544825006</v>
      </c>
      <c r="E114" s="51">
        <v>78048.971544825006</v>
      </c>
      <c r="F114" s="51">
        <v>78048.971544825006</v>
      </c>
      <c r="G114" s="51">
        <v>78048.971544825006</v>
      </c>
      <c r="H114" s="51">
        <v>78048.971544825006</v>
      </c>
      <c r="I114" s="51">
        <v>78048.971544825006</v>
      </c>
      <c r="J114" s="51">
        <v>78048.971544825006</v>
      </c>
      <c r="K114" s="51">
        <v>78048.971544825006</v>
      </c>
      <c r="L114" s="51">
        <v>78048.971544825006</v>
      </c>
      <c r="M114" s="51">
        <v>78048.971544825006</v>
      </c>
      <c r="N114" s="51">
        <v>78048.971544825006</v>
      </c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4"/>
        <v>Brændselsindkomst.FlisAffald</v>
      </c>
      <c r="B115" s="55" t="s">
        <v>2</v>
      </c>
      <c r="C115" s="52" t="s">
        <v>65</v>
      </c>
      <c r="D115" s="51">
        <v>32891.032891000003</v>
      </c>
      <c r="E115" s="51">
        <v>32891.032891000003</v>
      </c>
      <c r="F115" s="51">
        <v>32891.032891000003</v>
      </c>
      <c r="G115" s="51">
        <v>32891.032891000003</v>
      </c>
      <c r="H115" s="51">
        <v>32891.032891000003</v>
      </c>
      <c r="I115" s="51">
        <v>32891.032891000003</v>
      </c>
      <c r="J115" s="51">
        <v>32891.032891000003</v>
      </c>
      <c r="K115" s="51">
        <v>32891.032891000003</v>
      </c>
      <c r="L115" s="51">
        <v>32891.032891000003</v>
      </c>
      <c r="M115" s="51">
        <v>32891.032891000003</v>
      </c>
      <c r="N115" s="51">
        <v>32891.032891000003</v>
      </c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4"/>
        <v>Brændselsindkomst.NyAff1</v>
      </c>
      <c r="B116" s="55" t="s">
        <v>2</v>
      </c>
      <c r="C116" s="52" t="s">
        <v>66</v>
      </c>
      <c r="D116" s="51">
        <v>-2051310.643736925</v>
      </c>
      <c r="E116" s="51">
        <v>-324243.4324967633</v>
      </c>
      <c r="F116" s="51">
        <v>-324243.43637284089</v>
      </c>
      <c r="G116" s="51">
        <v>-324243.43637283932</v>
      </c>
      <c r="H116" s="51">
        <v>-3006928.9458692931</v>
      </c>
      <c r="I116" s="51">
        <v>-3946503.8893314661</v>
      </c>
      <c r="J116" s="51">
        <v>-324243.45194775832</v>
      </c>
      <c r="K116" s="51">
        <v>-324243.45194775815</v>
      </c>
      <c r="L116" s="51">
        <v>-324243.45194775669</v>
      </c>
      <c r="M116" s="51">
        <v>-3006928.9646764421</v>
      </c>
      <c r="N116" s="51">
        <v>-3574269.1444201004</v>
      </c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4"/>
        <v>Brændselsindkomst.NyAff2</v>
      </c>
      <c r="B117" s="55" t="s">
        <v>2</v>
      </c>
      <c r="C117" s="52" t="s">
        <v>67</v>
      </c>
      <c r="D117" s="51">
        <v>-1.1999999999999997E-13</v>
      </c>
      <c r="E117" s="51">
        <v>-1.1999999999999997E-13</v>
      </c>
      <c r="F117" s="51">
        <v>-1.1999999999999997E-13</v>
      </c>
      <c r="G117" s="51">
        <v>-1.1999999999999997E-13</v>
      </c>
      <c r="H117" s="51">
        <v>-1.1999999999999997E-13</v>
      </c>
      <c r="I117" s="51">
        <v>-1.1999999999999997E-13</v>
      </c>
      <c r="J117" s="51">
        <v>-1.1999999999999997E-13</v>
      </c>
      <c r="K117" s="51">
        <v>-1.1999999999999997E-13</v>
      </c>
      <c r="L117" s="51">
        <v>-1.1999999999999997E-13</v>
      </c>
      <c r="M117" s="51">
        <v>-1.1999999999999997E-13</v>
      </c>
      <c r="N117" s="51">
        <v>-1.1999999999999997E-13</v>
      </c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4"/>
        <v>Brændselsindkomst.NyAff3</v>
      </c>
      <c r="B118" s="55" t="s">
        <v>2</v>
      </c>
      <c r="C118" s="52" t="s">
        <v>68</v>
      </c>
      <c r="D118" s="51">
        <v>-1.1999999999999997E-13</v>
      </c>
      <c r="E118" s="51">
        <v>-1.1999999999999997E-13</v>
      </c>
      <c r="F118" s="51">
        <v>-1.1999999999999997E-13</v>
      </c>
      <c r="G118" s="51">
        <v>-1.1999999999999997E-13</v>
      </c>
      <c r="H118" s="51">
        <v>-1.1999999999999997E-13</v>
      </c>
      <c r="I118" s="51">
        <v>-1.1999999999999997E-13</v>
      </c>
      <c r="J118" s="51">
        <v>-1.1999999999999997E-13</v>
      </c>
      <c r="K118" s="51">
        <v>-1.1999999999999997E-13</v>
      </c>
      <c r="L118" s="51">
        <v>-1.1999999999999997E-13</v>
      </c>
      <c r="M118" s="51">
        <v>-1.1999999999999997E-13</v>
      </c>
      <c r="N118" s="51">
        <v>-1.1999999999999997E-13</v>
      </c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4"/>
        <v>Brændselsindkomst.NyAff4</v>
      </c>
      <c r="B119" s="55" t="s">
        <v>2</v>
      </c>
      <c r="C119" s="52" t="s">
        <v>69</v>
      </c>
      <c r="D119" s="51">
        <v>-1.1999999999999997E-13</v>
      </c>
      <c r="E119" s="51">
        <v>-1.1999999999999997E-13</v>
      </c>
      <c r="F119" s="51">
        <v>-1.1999999999999997E-13</v>
      </c>
      <c r="G119" s="51">
        <v>-1.1999999999999997E-13</v>
      </c>
      <c r="H119" s="51">
        <v>-1.1999999999999997E-13</v>
      </c>
      <c r="I119" s="51">
        <v>-1.1999999999999997E-13</v>
      </c>
      <c r="J119" s="51">
        <v>-1.1999999999999997E-13</v>
      </c>
      <c r="K119" s="51">
        <v>-1.1999999999999997E-13</v>
      </c>
      <c r="L119" s="51">
        <v>-1.1999999999999997E-13</v>
      </c>
      <c r="M119" s="51">
        <v>-1.1999999999999997E-13</v>
      </c>
      <c r="N119" s="51">
        <v>-1.1999999999999997E-13</v>
      </c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4"/>
        <v>Brændselsindkomst.NyAff5</v>
      </c>
      <c r="B120" s="55" t="s">
        <v>2</v>
      </c>
      <c r="C120" s="52" t="s">
        <v>70</v>
      </c>
      <c r="D120" s="51">
        <v>-1.1999999999999997E-13</v>
      </c>
      <c r="E120" s="51">
        <v>-1.1999999999999997E-13</v>
      </c>
      <c r="F120" s="51">
        <v>-1.1999999999999997E-13</v>
      </c>
      <c r="G120" s="51">
        <v>-1.1999999999999997E-13</v>
      </c>
      <c r="H120" s="51">
        <v>-1.1999999999999997E-13</v>
      </c>
      <c r="I120" s="51">
        <v>-1.1999999999999997E-13</v>
      </c>
      <c r="J120" s="51">
        <v>-1.1999999999999997E-13</v>
      </c>
      <c r="K120" s="51">
        <v>-1.1999999999999997E-13</v>
      </c>
      <c r="L120" s="51">
        <v>-1.1999999999999997E-13</v>
      </c>
      <c r="M120" s="51">
        <v>-1.1999999999999997E-13</v>
      </c>
      <c r="N120" s="51">
        <v>-1.1999999999999997E-13</v>
      </c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</row>
    <row r="121" spans="1:27" outlineLevel="1" x14ac:dyDescent="0.25">
      <c r="A121" s="72" t="str">
        <f t="shared" si="4"/>
        <v>Brændselsindkomst.Flis</v>
      </c>
      <c r="B121" s="55" t="s">
        <v>2</v>
      </c>
      <c r="C121" s="52" t="s">
        <v>71</v>
      </c>
      <c r="D121" s="51">
        <v>-1305402.3529411759</v>
      </c>
      <c r="E121" s="51">
        <v>-1305402.3529411759</v>
      </c>
      <c r="F121" s="51">
        <v>-1305402.3529411759</v>
      </c>
      <c r="G121" s="51">
        <v>-1305402.3529411759</v>
      </c>
      <c r="H121" s="51">
        <v>-1305402.3529411759</v>
      </c>
      <c r="I121" s="51">
        <v>-1305402.3529411759</v>
      </c>
      <c r="J121" s="51">
        <v>-1305402.3529411759</v>
      </c>
      <c r="K121" s="51">
        <v>-1305402.3529411759</v>
      </c>
      <c r="L121" s="51">
        <v>-1305402.3529411759</v>
      </c>
      <c r="M121" s="51">
        <v>-1305402.3529411759</v>
      </c>
      <c r="N121" s="51">
        <v>-1305402.3529411759</v>
      </c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</row>
    <row r="122" spans="1:27" outlineLevel="1" x14ac:dyDescent="0.25">
      <c r="A122" s="72" t="str">
        <f t="shared" si="4"/>
        <v>Brændselsindkomst.NSvarme</v>
      </c>
      <c r="B122" s="55" t="s">
        <v>2</v>
      </c>
      <c r="C122" s="52" t="s">
        <v>72</v>
      </c>
      <c r="D122" s="51">
        <v>-1814400</v>
      </c>
      <c r="E122" s="51">
        <v>-1814400</v>
      </c>
      <c r="F122" s="51">
        <v>-1814400</v>
      </c>
      <c r="G122" s="51">
        <v>-1814400</v>
      </c>
      <c r="H122" s="51">
        <v>-1814400</v>
      </c>
      <c r="I122" s="51">
        <v>-1814400</v>
      </c>
      <c r="J122" s="51">
        <v>-1814400</v>
      </c>
      <c r="K122" s="51">
        <v>-1814400</v>
      </c>
      <c r="L122" s="51">
        <v>-1814400</v>
      </c>
      <c r="M122" s="51">
        <v>-1814400</v>
      </c>
      <c r="N122" s="51">
        <v>-1814400</v>
      </c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</row>
    <row r="123" spans="1:27" outlineLevel="1" x14ac:dyDescent="0.25">
      <c r="A123" s="72" t="str">
        <f t="shared" si="4"/>
        <v>Brændselsindkomst.PeakFuel</v>
      </c>
      <c r="B123" s="55" t="s">
        <v>2</v>
      </c>
      <c r="C123" s="52" t="s">
        <v>73</v>
      </c>
      <c r="D123" s="51">
        <v>1.1999999999999997E-13</v>
      </c>
      <c r="E123" s="51">
        <v>1.1999999999999997E-13</v>
      </c>
      <c r="F123" s="51">
        <v>1.1999999999999997E-13</v>
      </c>
      <c r="G123" s="51">
        <v>1.1999999999999997E-13</v>
      </c>
      <c r="H123" s="51">
        <v>1.1999999999999997E-13</v>
      </c>
      <c r="I123" s="51">
        <v>1.1999999999999997E-13</v>
      </c>
      <c r="J123" s="51">
        <v>1.1999999999999997E-13</v>
      </c>
      <c r="K123" s="51">
        <v>1.1999999999999997E-13</v>
      </c>
      <c r="L123" s="51">
        <v>1.1999999999999997E-13</v>
      </c>
      <c r="M123" s="51">
        <v>1.1999999999999997E-13</v>
      </c>
      <c r="N123" s="51">
        <v>1.1999999999999997E-13</v>
      </c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</row>
    <row r="124" spans="1:27" outlineLevel="1" x14ac:dyDescent="0.25">
      <c r="A124" s="72" t="str">
        <f t="shared" si="4"/>
        <v/>
      </c>
      <c r="B124" s="53"/>
      <c r="C124" s="5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</row>
    <row r="125" spans="1:27" outlineLevel="1" x14ac:dyDescent="0.25">
      <c r="A125" s="72" t="str">
        <f t="shared" si="4"/>
        <v/>
      </c>
      <c r="B125" s="19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</row>
    <row r="126" spans="1:27" outlineLevel="1" x14ac:dyDescent="0.25">
      <c r="A126" s="72" t="str">
        <f t="shared" si="4"/>
        <v/>
      </c>
      <c r="B126"/>
    </row>
    <row r="127" spans="1:27" outlineLevel="1" x14ac:dyDescent="0.25">
      <c r="A127" s="72" t="str">
        <f t="shared" si="4"/>
        <v/>
      </c>
      <c r="B127"/>
    </row>
    <row r="128" spans="1:27" outlineLevel="1" x14ac:dyDescent="0.25">
      <c r="A128" s="72" t="str">
        <f t="shared" si="4"/>
        <v/>
      </c>
      <c r="B128"/>
    </row>
    <row r="129" spans="1:2" outlineLevel="1" x14ac:dyDescent="0.25">
      <c r="A129" s="72" t="str">
        <f t="shared" si="4"/>
        <v/>
      </c>
      <c r="B129"/>
    </row>
    <row r="130" spans="1:2" outlineLevel="1" x14ac:dyDescent="0.25"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</sheetData>
  <phoneticPr fontId="5" type="noConversion"/>
  <conditionalFormatting sqref="A6 E28:AA28 A28 A30 D30:AA30 D37:AA38 A37:A38 A11:A14 A40:A47 D42:AA47 D8:AA14 D6:AA6 D16:AA25 A16:A25">
    <cfRule type="cellIs" dxfId="119" priority="174" operator="between">
      <formula>-0.0000000000001</formula>
      <formula>0.0000000000001</formula>
    </cfRule>
  </conditionalFormatting>
  <conditionalFormatting sqref="A6 A28 E28:AA28 D30:AA30 A30 A37:A38 D37:AA38 A11:A14 A40:A47 D42:AA47 A16:A25">
    <cfRule type="cellIs" dxfId="118" priority="168" operator="between">
      <formula>-0.0000000000001</formula>
      <formula>0.0000000000001</formula>
    </cfRule>
  </conditionalFormatting>
  <conditionalFormatting sqref="A16 C16:O16">
    <cfRule type="cellIs" dxfId="117" priority="167" operator="between">
      <formula>-0.0000000000001</formula>
      <formula>0.0000000000001</formula>
    </cfRule>
  </conditionalFormatting>
  <conditionalFormatting sqref="P16:AA16">
    <cfRule type="cellIs" dxfId="116" priority="166" operator="between">
      <formula>-0.0000000000001</formula>
      <formula>0.0000000000001</formula>
    </cfRule>
  </conditionalFormatting>
  <conditionalFormatting sqref="C6:O6 A6">
    <cfRule type="cellIs" dxfId="115" priority="165" operator="between">
      <formula>-0.0000000000001</formula>
      <formula>0.0000000000001</formula>
    </cfRule>
  </conditionalFormatting>
  <conditionalFormatting sqref="P6:AA6">
    <cfRule type="cellIs" dxfId="114" priority="164" operator="between">
      <formula>-0.0000000000001</formula>
      <formula>0.0000000000001</formula>
    </cfRule>
  </conditionalFormatting>
  <conditionalFormatting sqref="C13">
    <cfRule type="cellIs" dxfId="113" priority="163" operator="between">
      <formula>-0.0000000000001</formula>
      <formula>0.0000000000001</formula>
    </cfRule>
  </conditionalFormatting>
  <conditionalFormatting sqref="C14">
    <cfRule type="cellIs" dxfId="112" priority="162" operator="between">
      <formula>-0.0000000000001</formula>
      <formula>0.0000000000001</formula>
    </cfRule>
  </conditionalFormatting>
  <conditionalFormatting sqref="A14 C14:O14">
    <cfRule type="cellIs" dxfId="111" priority="161" operator="between">
      <formula>-0.0000000000001</formula>
      <formula>0.0000000000001</formula>
    </cfRule>
  </conditionalFormatting>
  <conditionalFormatting sqref="P14:AA14">
    <cfRule type="cellIs" dxfId="110" priority="160" operator="between">
      <formula>-0.0000000000001</formula>
      <formula>0.0000000000001</formula>
    </cfRule>
  </conditionalFormatting>
  <conditionalFormatting sqref="C20:O20 A20:A25 C25:O25 D21:O24">
    <cfRule type="cellIs" dxfId="109" priority="159" operator="between">
      <formula>-0.0000000000001</formula>
      <formula>0.0000000000001</formula>
    </cfRule>
  </conditionalFormatting>
  <conditionalFormatting sqref="P20:AA25">
    <cfRule type="cellIs" dxfId="108" priority="158" operator="between">
      <formula>-0.0000000000001</formula>
      <formula>0.0000000000001</formula>
    </cfRule>
  </conditionalFormatting>
  <conditionalFormatting sqref="C45:O45 C47:AA47 C44:AA44 D43:AA43 A43:A47 D46:O47">
    <cfRule type="cellIs" dxfId="107" priority="157" operator="between">
      <formula>-0.0000000000001</formula>
      <formula>0.0000000000001</formula>
    </cfRule>
  </conditionalFormatting>
  <conditionalFormatting sqref="P45:AA45">
    <cfRule type="cellIs" dxfId="106" priority="156" operator="between">
      <formula>-0.0000000000001</formula>
      <formula>0.0000000000001</formula>
    </cfRule>
  </conditionalFormatting>
  <conditionalFormatting sqref="C46:O46 D47:O47">
    <cfRule type="cellIs" dxfId="105" priority="155" operator="between">
      <formula>-0.0000000000001</formula>
      <formula>0.0000000000001</formula>
    </cfRule>
  </conditionalFormatting>
  <conditionalFormatting sqref="P46:AA47">
    <cfRule type="cellIs" dxfId="104" priority="154" operator="between">
      <formula>-0.0000000000001</formula>
      <formula>0.0000000000001</formula>
    </cfRule>
  </conditionalFormatting>
  <conditionalFormatting sqref="C11:O11">
    <cfRule type="cellIs" dxfId="103" priority="153" operator="between">
      <formula>-0.0000000000001</formula>
      <formula>0.0000000000001</formula>
    </cfRule>
  </conditionalFormatting>
  <conditionalFormatting sqref="P11:AA11">
    <cfRule type="cellIs" dxfId="102" priority="152" operator="between">
      <formula>-0.0000000000001</formula>
      <formula>0.0000000000001</formula>
    </cfRule>
  </conditionalFormatting>
  <conditionalFormatting sqref="C11">
    <cfRule type="cellIs" dxfId="101" priority="151" operator="between">
      <formula>-0.0000000000001</formula>
      <formula>0.0000000000001</formula>
    </cfRule>
  </conditionalFormatting>
  <conditionalFormatting sqref="C12:O12 A12">
    <cfRule type="cellIs" dxfId="100" priority="148" operator="between">
      <formula>-0.0000000000001</formula>
      <formula>0.0000000000001</formula>
    </cfRule>
  </conditionalFormatting>
  <conditionalFormatting sqref="P12:AA12">
    <cfRule type="cellIs" dxfId="99" priority="147" operator="between">
      <formula>-0.0000000000001</formula>
      <formula>0.0000000000001</formula>
    </cfRule>
  </conditionalFormatting>
  <conditionalFormatting sqref="C12">
    <cfRule type="cellIs" dxfId="98" priority="146" operator="between">
      <formula>-0.0000000000001</formula>
      <formula>0.0000000000001</formula>
    </cfRule>
  </conditionalFormatting>
  <conditionalFormatting sqref="C17:O17 A17">
    <cfRule type="cellIs" dxfId="97" priority="145" operator="between">
      <formula>-0.0000000000001</formula>
      <formula>0.0000000000001</formula>
    </cfRule>
  </conditionalFormatting>
  <conditionalFormatting sqref="P17:AA17">
    <cfRule type="cellIs" dxfId="96" priority="144" operator="between">
      <formula>-0.0000000000001</formula>
      <formula>0.0000000000001</formula>
    </cfRule>
  </conditionalFormatting>
  <conditionalFormatting sqref="C17">
    <cfRule type="cellIs" dxfId="95" priority="143" operator="between">
      <formula>-0.0000000000001</formula>
      <formula>0.0000000000001</formula>
    </cfRule>
  </conditionalFormatting>
  <conditionalFormatting sqref="A43 C43:AA43">
    <cfRule type="cellIs" dxfId="94" priority="142" operator="between">
      <formula>-0.0000000000001</formula>
      <formula>0.0000000000001</formula>
    </cfRule>
  </conditionalFormatting>
  <conditionalFormatting sqref="D10:O10">
    <cfRule type="cellIs" dxfId="93" priority="140" operator="between">
      <formula>-0.0000000000001</formula>
      <formula>0.0000000000001</formula>
    </cfRule>
  </conditionalFormatting>
  <conditionalFormatting sqref="P10:AA10">
    <cfRule type="cellIs" dxfId="92" priority="139" operator="between">
      <formula>-0.0000000000001</formula>
      <formula>0.0000000000001</formula>
    </cfRule>
  </conditionalFormatting>
  <conditionalFormatting sqref="C38:AA38 A38">
    <cfRule type="cellIs" dxfId="91" priority="138" operator="between">
      <formula>-0.0000000000001</formula>
      <formula>0.0000000000001</formula>
    </cfRule>
  </conditionalFormatting>
  <conditionalFormatting sqref="P38:AA38">
    <cfRule type="cellIs" dxfId="90" priority="137" operator="between">
      <formula>-0.0000000000001</formula>
      <formula>0.0000000000001</formula>
    </cfRule>
  </conditionalFormatting>
  <conditionalFormatting sqref="C10">
    <cfRule type="cellIs" dxfId="89" priority="135" operator="between">
      <formula>-0.0000000000001</formula>
      <formula>0.0000000000001</formula>
    </cfRule>
  </conditionalFormatting>
  <conditionalFormatting sqref="A11">
    <cfRule type="cellIs" dxfId="88" priority="134" operator="between">
      <formula>-0.0000000000001</formula>
      <formula>0.0000000000001</formula>
    </cfRule>
  </conditionalFormatting>
  <conditionalFormatting sqref="A26 D26:AA26">
    <cfRule type="cellIs" dxfId="87" priority="131" operator="between">
      <formula>-0.0000000000001</formula>
      <formula>0.0000000000001</formula>
    </cfRule>
  </conditionalFormatting>
  <conditionalFormatting sqref="D26:AA26 A26">
    <cfRule type="cellIs" dxfId="86" priority="130" operator="between">
      <formula>-0.0000000000001</formula>
      <formula>0.0000000000001</formula>
    </cfRule>
  </conditionalFormatting>
  <conditionalFormatting sqref="C26:O26 A26">
    <cfRule type="cellIs" dxfId="85" priority="129" operator="between">
      <formula>-0.0000000000001</formula>
      <formula>0.0000000000001</formula>
    </cfRule>
  </conditionalFormatting>
  <conditionalFormatting sqref="P26:AA26">
    <cfRule type="cellIs" dxfId="84" priority="128" operator="between">
      <formula>-0.0000000000001</formula>
      <formula>0.0000000000001</formula>
    </cfRule>
  </conditionalFormatting>
  <conditionalFormatting sqref="E27:AA27 A27">
    <cfRule type="cellIs" dxfId="83" priority="112" operator="between">
      <formula>-0.0000000000001</formula>
      <formula>0.0000000000001</formula>
    </cfRule>
  </conditionalFormatting>
  <conditionalFormatting sqref="A27 E27:AA27">
    <cfRule type="cellIs" dxfId="82" priority="111" operator="between">
      <formula>-0.0000000000001</formula>
      <formula>0.0000000000001</formula>
    </cfRule>
  </conditionalFormatting>
  <conditionalFormatting sqref="D29:AA29 A29">
    <cfRule type="cellIs" dxfId="81" priority="110" operator="between">
      <formula>-0.0000000000001</formula>
      <formula>0.0000000000001</formula>
    </cfRule>
  </conditionalFormatting>
  <conditionalFormatting sqref="A29 D29:AA29">
    <cfRule type="cellIs" dxfId="80" priority="109" operator="between">
      <formula>-0.0000000000001</formula>
      <formula>0.0000000000001</formula>
    </cfRule>
  </conditionalFormatting>
  <conditionalFormatting sqref="A39 D39:AA40">
    <cfRule type="cellIs" dxfId="79" priority="108" operator="between">
      <formula>-0.0000000000001</formula>
      <formula>0.0000000000001</formula>
    </cfRule>
  </conditionalFormatting>
  <conditionalFormatting sqref="A39 D39:AA40">
    <cfRule type="cellIs" dxfId="78" priority="107" operator="between">
      <formula>-0.0000000000001</formula>
      <formula>0.0000000000001</formula>
    </cfRule>
  </conditionalFormatting>
  <conditionalFormatting sqref="A31:A32 D31:AA33 D35:AA35 A35">
    <cfRule type="cellIs" dxfId="77" priority="104" operator="between">
      <formula>-0.0000000000001</formula>
      <formula>0.0000000000001</formula>
    </cfRule>
  </conditionalFormatting>
  <conditionalFormatting sqref="D31:AA33 A31:A32 A35 D35:AA35">
    <cfRule type="cellIs" dxfId="76" priority="103" operator="between">
      <formula>-0.0000000000001</formula>
      <formula>0.0000000000001</formula>
    </cfRule>
  </conditionalFormatting>
  <conditionalFormatting sqref="C32:AA33 A32">
    <cfRule type="cellIs" dxfId="75" priority="102" operator="between">
      <formula>-0.0000000000001</formula>
      <formula>0.0000000000001</formula>
    </cfRule>
  </conditionalFormatting>
  <conditionalFormatting sqref="P32:AA33">
    <cfRule type="cellIs" dxfId="74" priority="101" operator="between">
      <formula>-0.0000000000001</formula>
      <formula>0.0000000000001</formula>
    </cfRule>
  </conditionalFormatting>
  <conditionalFormatting sqref="A34 D34:AA34">
    <cfRule type="cellIs" dxfId="73" priority="100" operator="between">
      <formula>-0.0000000000001</formula>
      <formula>0.0000000000001</formula>
    </cfRule>
  </conditionalFormatting>
  <conditionalFormatting sqref="D34:AA34 A34">
    <cfRule type="cellIs" dxfId="72" priority="99" operator="between">
      <formula>-0.0000000000001</formula>
      <formula>0.0000000000001</formula>
    </cfRule>
  </conditionalFormatting>
  <conditionalFormatting sqref="D45:O45">
    <cfRule type="cellIs" dxfId="71" priority="98" operator="between">
      <formula>-0.0000000000001</formula>
      <formula>0.0000000000001</formula>
    </cfRule>
  </conditionalFormatting>
  <conditionalFormatting sqref="D42:AA42">
    <cfRule type="cellIs" dxfId="70" priority="97" operator="between">
      <formula>-0.0000000000001</formula>
      <formula>0.0000000000001</formula>
    </cfRule>
  </conditionalFormatting>
  <conditionalFormatting sqref="A33">
    <cfRule type="cellIs" dxfId="69" priority="96" operator="between">
      <formula>-0.0000000000001</formula>
      <formula>0.0000000000001</formula>
    </cfRule>
  </conditionalFormatting>
  <conditionalFormatting sqref="A33">
    <cfRule type="cellIs" dxfId="68" priority="95" operator="between">
      <formula>-0.0000000000001</formula>
      <formula>0.0000000000001</formula>
    </cfRule>
  </conditionalFormatting>
  <conditionalFormatting sqref="A41">
    <cfRule type="cellIs" dxfId="67" priority="94" operator="between">
      <formula>-0.0000000000001</formula>
      <formula>0.0000000000001</formula>
    </cfRule>
  </conditionalFormatting>
  <conditionalFormatting sqref="A41">
    <cfRule type="cellIs" dxfId="66" priority="93" operator="between">
      <formula>-0.0000000000001</formula>
      <formula>0.0000000000001</formula>
    </cfRule>
  </conditionalFormatting>
  <conditionalFormatting sqref="A46">
    <cfRule type="cellIs" dxfId="65" priority="92" operator="between">
      <formula>-0.0000000000001</formula>
      <formula>0.0000000000001</formula>
    </cfRule>
  </conditionalFormatting>
  <conditionalFormatting sqref="A46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D27">
    <cfRule type="cellIs" dxfId="61" priority="88" operator="between">
      <formula>-0.0000000000001</formula>
      <formula>0.0000000000001</formula>
    </cfRule>
  </conditionalFormatting>
  <conditionalFormatting sqref="D27">
    <cfRule type="cellIs" dxfId="60" priority="87" operator="between">
      <formula>-0.0000000000001</formula>
      <formula>0.0000000000001</formula>
    </cfRule>
  </conditionalFormatting>
  <conditionalFormatting sqref="A8:A10">
    <cfRule type="cellIs" dxfId="59" priority="85" operator="between">
      <formula>-0.0000000000001</formula>
      <formula>0.0000000000001</formula>
    </cfRule>
  </conditionalFormatting>
  <conditionalFormatting sqref="A8:A10">
    <cfRule type="cellIs" dxfId="58" priority="84" operator="between">
      <formula>-0.0000000000001</formula>
      <formula>0.0000000000001</formula>
    </cfRule>
  </conditionalFormatting>
  <conditionalFormatting sqref="A5:A6">
    <cfRule type="cellIs" dxfId="57" priority="78" operator="between">
      <formula>-0.0000000000001</formula>
      <formula>0.0000000000001</formula>
    </cfRule>
  </conditionalFormatting>
  <conditionalFormatting sqref="A5:A6">
    <cfRule type="cellIs" dxfId="56" priority="77" operator="between">
      <formula>-0.0000000000001</formula>
      <formula>0.0000000000001</formula>
    </cfRule>
  </conditionalFormatting>
  <conditionalFormatting sqref="C5:C6 A5:A6">
    <cfRule type="cellIs" dxfId="55" priority="76" operator="between">
      <formula>-0.0000000000001</formula>
      <formula>0.0000000000001</formula>
    </cfRule>
  </conditionalFormatting>
  <conditionalFormatting sqref="A9">
    <cfRule type="cellIs" dxfId="54" priority="74" operator="between">
      <formula>-0.0000000000001</formula>
      <formula>0.0000000000001</formula>
    </cfRule>
  </conditionalFormatting>
  <conditionalFormatting sqref="A9">
    <cfRule type="cellIs" dxfId="53" priority="73" operator="between">
      <formula>-0.0000000000001</formula>
      <formula>0.0000000000001</formula>
    </cfRule>
  </conditionalFormatting>
  <conditionalFormatting sqref="C9 A9">
    <cfRule type="cellIs" dxfId="52" priority="72" operator="between">
      <formula>-0.0000000000001</formula>
      <formula>0.0000000000001</formula>
    </cfRule>
  </conditionalFormatting>
  <conditionalFormatting sqref="D93:AA93">
    <cfRule type="colorScale" priority="70">
      <colorScale>
        <cfvo type="min"/>
        <cfvo type="max"/>
        <color rgb="FFFCFCFF"/>
        <color rgb="FF63BE7B"/>
      </colorScale>
    </cfRule>
  </conditionalFormatting>
  <conditionalFormatting sqref="D93:AA93">
    <cfRule type="cellIs" dxfId="51" priority="66" operator="between">
      <formula>-0.0000000000001</formula>
      <formula>0.0000000000001</formula>
    </cfRule>
  </conditionalFormatting>
  <conditionalFormatting sqref="D9:AA9">
    <cfRule type="cellIs" dxfId="50" priority="64" operator="between">
      <formula>-0.0000000000001</formula>
      <formula>0.0000000000001</formula>
    </cfRule>
  </conditionalFormatting>
  <conditionalFormatting sqref="D9:AA9">
    <cfRule type="cellIs" dxfId="49" priority="63" operator="between">
      <formula>-0.0000000000001</formula>
      <formula>0.0000000000001</formula>
    </cfRule>
  </conditionalFormatting>
  <conditionalFormatting sqref="D41:AA41">
    <cfRule type="cellIs" dxfId="48" priority="60" operator="between">
      <formula>-0.0000000000001</formula>
      <formula>0.0000000000001</formula>
    </cfRule>
  </conditionalFormatting>
  <conditionalFormatting sqref="D41:AA41">
    <cfRule type="cellIs" dxfId="47" priority="59" operator="between">
      <formula>-0.0000000000001</formula>
      <formula>0.0000000000001</formula>
    </cfRule>
  </conditionalFormatting>
  <conditionalFormatting sqref="D41:AA41">
    <cfRule type="cellIs" dxfId="46" priority="58" operator="between">
      <formula>-0.0000000000001</formula>
      <formula>0.0000000000001</formula>
    </cfRule>
  </conditionalFormatting>
  <conditionalFormatting sqref="A42">
    <cfRule type="cellIs" dxfId="45" priority="57" operator="between">
      <formula>-0.0000000000001</formula>
      <formula>0.0000000000001</formula>
    </cfRule>
  </conditionalFormatting>
  <conditionalFormatting sqref="A40">
    <cfRule type="cellIs" dxfId="44" priority="56" operator="between">
      <formula>-0.0000000000001</formula>
      <formula>0.0000000000001</formula>
    </cfRule>
  </conditionalFormatting>
  <conditionalFormatting sqref="A40">
    <cfRule type="cellIs" dxfId="43" priority="55" operator="between">
      <formula>-0.0000000000001</formula>
      <formula>0.0000000000001</formula>
    </cfRule>
  </conditionalFormatting>
  <conditionalFormatting sqref="A45">
    <cfRule type="cellIs" dxfId="42" priority="54" operator="between">
      <formula>-0.0000000000001</formula>
      <formula>0.0000000000001</formula>
    </cfRule>
  </conditionalFormatting>
  <conditionalFormatting sqref="A45">
    <cfRule type="cellIs" dxfId="41" priority="53" operator="between">
      <formula>-0.0000000000001</formula>
      <formula>0.0000000000001</formula>
    </cfRule>
  </conditionalFormatting>
  <conditionalFormatting sqref="A7">
    <cfRule type="cellIs" dxfId="40" priority="52" operator="between">
      <formula>-0.0000000000001</formula>
      <formula>0.0000000000001</formula>
    </cfRule>
  </conditionalFormatting>
  <conditionalFormatting sqref="A7">
    <cfRule type="cellIs" dxfId="39" priority="51" operator="between">
      <formula>-0.0000000000001</formula>
      <formula>0.0000000000001</formula>
    </cfRule>
  </conditionalFormatting>
  <conditionalFormatting sqref="C7 A7">
    <cfRule type="cellIs" dxfId="38" priority="50" operator="between">
      <formula>-0.0000000000001</formula>
      <formula>0.0000000000001</formula>
    </cfRule>
  </conditionalFormatting>
  <conditionalFormatting sqref="D7:AA7">
    <cfRule type="cellIs" dxfId="37" priority="49" operator="between">
      <formula>-0.0000000000001</formula>
      <formula>0.0000000000001</formula>
    </cfRule>
  </conditionalFormatting>
  <conditionalFormatting sqref="D7:AA7">
    <cfRule type="cellIs" dxfId="36" priority="48" operator="between">
      <formula>-0.0000000000001</formula>
      <formula>0.0000000000001</formula>
    </cfRule>
  </conditionalFormatting>
  <conditionalFormatting sqref="D7:O7">
    <cfRule type="cellIs" dxfId="35" priority="47" operator="between">
      <formula>-0.0000000000001</formula>
      <formula>0.0000000000001</formula>
    </cfRule>
  </conditionalFormatting>
  <conditionalFormatting sqref="P7:AA7">
    <cfRule type="cellIs" dxfId="34" priority="46" operator="between">
      <formula>-0.0000000000001</formula>
      <formula>0.0000000000001</formula>
    </cfRule>
  </conditionalFormatting>
  <conditionalFormatting sqref="D36:AA36 A36">
    <cfRule type="cellIs" dxfId="33" priority="45" operator="between">
      <formula>-0.0000000000001</formula>
      <formula>0.0000000000001</formula>
    </cfRule>
  </conditionalFormatting>
  <conditionalFormatting sqref="A36 D36:AA36">
    <cfRule type="cellIs" dxfId="32" priority="44" operator="between">
      <formula>-0.0000000000001</formula>
      <formula>0.0000000000001</formula>
    </cfRule>
  </conditionalFormatting>
  <conditionalFormatting sqref="D48:AA51">
    <cfRule type="cellIs" dxfId="31" priority="36" operator="greaterThan">
      <formula>0.000000000001</formula>
    </cfRule>
    <cfRule type="cellIs" dxfId="30" priority="39" operator="between">
      <formula>-0.0000000000001</formula>
      <formula>0.0000000000001</formula>
    </cfRule>
  </conditionalFormatting>
  <conditionalFormatting sqref="D48:AA51">
    <cfRule type="cellIs" dxfId="29" priority="38" operator="between">
      <formula>-0.0000000000001</formula>
      <formula>0.0000000000001</formula>
    </cfRule>
  </conditionalFormatting>
  <conditionalFormatting sqref="D48:AA51">
    <cfRule type="cellIs" dxfId="28" priority="37" operator="between">
      <formula>-0.0000000000001</formula>
      <formula>0.0000000000001</formula>
    </cfRule>
  </conditionalFormatting>
  <conditionalFormatting sqref="B1">
    <cfRule type="cellIs" dxfId="27" priority="35" operator="greaterThan">
      <formula>0</formula>
    </cfRule>
  </conditionalFormatting>
  <conditionalFormatting sqref="A15 D15:AA15">
    <cfRule type="cellIs" dxfId="26" priority="34" operator="between">
      <formula>-0.0000000000001</formula>
      <formula>0.0000000000001</formula>
    </cfRule>
  </conditionalFormatting>
  <conditionalFormatting sqref="A15">
    <cfRule type="cellIs" dxfId="25" priority="33" operator="between">
      <formula>-0.0000000000001</formula>
      <formula>0.0000000000001</formula>
    </cfRule>
  </conditionalFormatting>
  <conditionalFormatting sqref="A15 C15:O15">
    <cfRule type="cellIs" dxfId="24" priority="32" operator="between">
      <formula>-0.0000000000001</formula>
      <formula>0.0000000000001</formula>
    </cfRule>
  </conditionalFormatting>
  <conditionalFormatting sqref="P15:AA15">
    <cfRule type="cellIs" dxfId="23" priority="31" operator="between">
      <formula>-0.0000000000001</formula>
      <formula>0.0000000000001</formula>
    </cfRule>
  </conditionalFormatting>
  <conditionalFormatting sqref="D55:AA60">
    <cfRule type="cellIs" dxfId="22" priority="28" operator="between">
      <formula>-0.00000000001</formula>
      <formula>0.00000000001</formula>
    </cfRule>
    <cfRule type="colorScale" priority="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3:AA92">
    <cfRule type="colorScale" priority="26">
      <colorScale>
        <cfvo type="min"/>
        <cfvo type="max"/>
        <color rgb="FFFCFCFF"/>
        <color rgb="FF63BE7B"/>
      </colorScale>
    </cfRule>
  </conditionalFormatting>
  <conditionalFormatting sqref="B63:AA92">
    <cfRule type="cellIs" dxfId="21" priority="24" operator="between">
      <formula>-0.00000000001</formula>
      <formula>0.00000000001</formula>
    </cfRule>
  </conditionalFormatting>
  <conditionalFormatting sqref="D95:AA124">
    <cfRule type="colorScale" priority="2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5:AA124">
    <cfRule type="cellIs" dxfId="20" priority="21" operator="between">
      <formula>-0.00000000001</formula>
      <formula>0.00000000001</formula>
    </cfRule>
  </conditionalFormatting>
  <conditionalFormatting sqref="A58 A60 A55">
    <cfRule type="cellIs" dxfId="19" priority="20" operator="between">
      <formula>-0.0000000000001</formula>
      <formula>0.0000000000001</formula>
    </cfRule>
  </conditionalFormatting>
  <conditionalFormatting sqref="A58 A60 A55">
    <cfRule type="cellIs" dxfId="18" priority="19" operator="between">
      <formula>-0.0000000000001</formula>
      <formula>0.0000000000001</formula>
    </cfRule>
  </conditionalFormatting>
  <conditionalFormatting sqref="A55">
    <cfRule type="cellIs" dxfId="17" priority="18" operator="between">
      <formula>-0.0000000000001</formula>
      <formula>0.0000000000001</formula>
    </cfRule>
  </conditionalFormatting>
  <conditionalFormatting sqref="A56">
    <cfRule type="cellIs" dxfId="16" priority="17" operator="between">
      <formula>-0.0000000000001</formula>
      <formula>0.0000000000001</formula>
    </cfRule>
  </conditionalFormatting>
  <conditionalFormatting sqref="A56">
    <cfRule type="cellIs" dxfId="15" priority="16" operator="between">
      <formula>-0.0000000000001</formula>
      <formula>0.0000000000001</formula>
    </cfRule>
  </conditionalFormatting>
  <conditionalFormatting sqref="A56">
    <cfRule type="cellIs" dxfId="14" priority="15" operator="between">
      <formula>-0.0000000000001</formula>
      <formula>0.0000000000001</formula>
    </cfRule>
  </conditionalFormatting>
  <conditionalFormatting sqref="A57">
    <cfRule type="cellIs" dxfId="13" priority="14" operator="between">
      <formula>-0.0000000000001</formula>
      <formula>0.0000000000001</formula>
    </cfRule>
  </conditionalFormatting>
  <conditionalFormatting sqref="A57">
    <cfRule type="cellIs" dxfId="12" priority="13" operator="between">
      <formula>-0.0000000000001</formula>
      <formula>0.0000000000001</formula>
    </cfRule>
  </conditionalFormatting>
  <conditionalFormatting sqref="A59">
    <cfRule type="cellIs" dxfId="11" priority="12" operator="between">
      <formula>-0.0000000000001</formula>
      <formula>0.0000000000001</formula>
    </cfRule>
  </conditionalFormatting>
  <conditionalFormatting sqref="A59">
    <cfRule type="cellIs" dxfId="10" priority="11" operator="between">
      <formula>-0.0000000000001</formula>
      <formula>0.0000000000001</formula>
    </cfRule>
  </conditionalFormatting>
  <conditionalFormatting sqref="A63">
    <cfRule type="cellIs" dxfId="9" priority="10" operator="between">
      <formula>-0.0000000000001</formula>
      <formula>0.0000000000001</formula>
    </cfRule>
  </conditionalFormatting>
  <conditionalFormatting sqref="A63">
    <cfRule type="cellIs" dxfId="8" priority="9" operator="between">
      <formula>-0.0000000000001</formula>
      <formula>0.0000000000001</formula>
    </cfRule>
  </conditionalFormatting>
  <conditionalFormatting sqref="A63">
    <cfRule type="cellIs" dxfId="7" priority="8" operator="between">
      <formula>-0.0000000000001</formula>
      <formula>0.0000000000001</formula>
    </cfRule>
  </conditionalFormatting>
  <conditionalFormatting sqref="A95">
    <cfRule type="cellIs" dxfId="6" priority="7" operator="between">
      <formula>-0.0000000000001</formula>
      <formula>0.0000000000001</formula>
    </cfRule>
  </conditionalFormatting>
  <conditionalFormatting sqref="A95">
    <cfRule type="cellIs" dxfId="5" priority="6" operator="between">
      <formula>-0.0000000000001</formula>
      <formula>0.0000000000001</formula>
    </cfRule>
  </conditionalFormatting>
  <conditionalFormatting sqref="A95">
    <cfRule type="cellIs" dxfId="4" priority="5" operator="between">
      <formula>-0.0000000000001</formula>
      <formula>0.0000000000001</formula>
    </cfRule>
  </conditionalFormatting>
  <conditionalFormatting sqref="C21:C24">
    <cfRule type="cellIs" dxfId="3" priority="4" operator="between">
      <formula>-0.0000000000001</formula>
      <formula>0.0000000000001</formula>
    </cfRule>
  </conditionalFormatting>
  <conditionalFormatting sqref="C24">
    <cfRule type="cellIs" dxfId="2" priority="3" operator="between">
      <formula>-0.0000000000001</formula>
      <formula>0.0000000000001</formula>
    </cfRule>
  </conditionalFormatting>
  <conditionalFormatting sqref="C21">
    <cfRule type="cellIs" dxfId="1" priority="2" operator="between">
      <formula>-0.0000000000001</formula>
      <formula>0.0000000000001</formula>
    </cfRule>
  </conditionalFormatting>
  <conditionalFormatting sqref="C22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tabSelected="1" zoomScale="85" zoomScaleNormal="85" workbookViewId="0">
      <selection activeCell="C23" sqref="C23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3" t="s">
        <v>96</v>
      </c>
      <c r="B3" s="117" t="s">
        <v>97</v>
      </c>
      <c r="C3" s="118"/>
    </row>
    <row r="5" spans="1:29" x14ac:dyDescent="0.25">
      <c r="A5" s="85" t="s">
        <v>93</v>
      </c>
      <c r="B5" s="78" t="s">
        <v>87</v>
      </c>
      <c r="C5" s="78" t="s">
        <v>88</v>
      </c>
      <c r="D5" s="78" t="s">
        <v>95</v>
      </c>
      <c r="E5" s="85" t="s">
        <v>94</v>
      </c>
      <c r="F5" s="78" t="s">
        <v>92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>sc-2</v>
      </c>
      <c r="J5" s="83" t="str">
        <f t="shared" si="0"/>
        <v>sc-3</v>
      </c>
      <c r="K5" s="83" t="str">
        <f t="shared" si="0"/>
        <v>sc-4</v>
      </c>
      <c r="L5" s="83" t="str">
        <f t="shared" si="0"/>
        <v>sc-5</v>
      </c>
      <c r="M5" s="83" t="str">
        <f t="shared" si="0"/>
        <v>sc-6</v>
      </c>
      <c r="N5" s="83" t="str">
        <f t="shared" si="0"/>
        <v>sc-7</v>
      </c>
      <c r="O5" s="83" t="str">
        <f t="shared" si="0"/>
        <v>sc-8</v>
      </c>
      <c r="P5" s="83" t="str">
        <f t="shared" si="0"/>
        <v>sc-9</v>
      </c>
      <c r="Q5" s="83" t="str">
        <f t="shared" si="0"/>
        <v>sc-10</v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86</v>
      </c>
      <c r="C6" s="79" t="s">
        <v>7</v>
      </c>
      <c r="D6" s="86">
        <v>1000</v>
      </c>
      <c r="E6" s="80">
        <f t="shared" ref="E6:E15" si="1">MATCH(B6&amp;"."&amp;C6,listScenTopics,0)</f>
        <v>8</v>
      </c>
      <c r="F6" t="str">
        <f>C6</f>
        <v>REFA-Daekningsbidrag</v>
      </c>
      <c r="G6" s="82" cm="1">
        <f t="array" aca="1" ref="G6:Q6" ca="1">IF(A6=0,"",OFFSET(scenTopicsHeader,E6-1,3,1,Nscen)/D6)</f>
        <v>-1967.2878598487266</v>
      </c>
      <c r="H6" s="82">
        <f ca="1"/>
        <v>-20787.187607657106</v>
      </c>
      <c r="I6" s="82">
        <f ca="1"/>
        <v>-13899.344653270642</v>
      </c>
      <c r="J6" s="82">
        <f ca="1"/>
        <v>-7091.7997051347702</v>
      </c>
      <c r="K6" s="82">
        <f ca="1"/>
        <v>1432.085667510057</v>
      </c>
      <c r="L6" s="82">
        <f ca="1"/>
        <v>9577.3983984165661</v>
      </c>
      <c r="M6" s="82">
        <f ca="1"/>
        <v>-36481.910633073923</v>
      </c>
      <c r="N6" s="82">
        <f ca="1"/>
        <v>-29594.067677127638</v>
      </c>
      <c r="O6" s="82">
        <f ca="1"/>
        <v>-22786.522729151166</v>
      </c>
      <c r="P6" s="82">
        <f ca="1"/>
        <v>-14943.60110046294</v>
      </c>
      <c r="Q6" s="82">
        <f ca="1"/>
        <v>-6914.1024571227081</v>
      </c>
    </row>
    <row r="7" spans="1:29" x14ac:dyDescent="0.25">
      <c r="A7" s="84">
        <v>1</v>
      </c>
      <c r="B7" s="79" t="s">
        <v>86</v>
      </c>
      <c r="C7" s="79" t="s">
        <v>8</v>
      </c>
      <c r="D7" s="86">
        <v>1000</v>
      </c>
      <c r="E7" s="80">
        <f t="shared" si="1"/>
        <v>9</v>
      </c>
      <c r="F7" t="str">
        <f>C7</f>
        <v>REFA-Total-Var-Indkomst</v>
      </c>
      <c r="G7" s="82" cm="1">
        <f t="array" aca="1" ref="G7:Q7" ca="1">IF(A7=0,"",OFFSET(scenTopicsHeader,E7-1,3,1,Nscen)/D7)</f>
        <v>74416.499832803485</v>
      </c>
      <c r="H7" s="82">
        <f ca="1"/>
        <v>54279.715892418797</v>
      </c>
      <c r="I7" s="82">
        <f ca="1"/>
        <v>61087.260840764626</v>
      </c>
      <c r="J7" s="82">
        <f ca="1"/>
        <v>67894.805788900514</v>
      </c>
      <c r="K7" s="82">
        <f ca="1"/>
        <v>78115.923644442941</v>
      </c>
      <c r="L7" s="82">
        <f ca="1"/>
        <v>86940.140320209684</v>
      </c>
      <c r="M7" s="82">
        <f ca="1"/>
        <v>54279.714154073547</v>
      </c>
      <c r="N7" s="82">
        <f ca="1"/>
        <v>61087.259102050011</v>
      </c>
      <c r="O7" s="82">
        <f ca="1"/>
        <v>67894.804050026491</v>
      </c>
      <c r="P7" s="82">
        <f ca="1"/>
        <v>78115.921905199808</v>
      </c>
      <c r="Q7" s="82">
        <f ca="1"/>
        <v>86595.719243898231</v>
      </c>
    </row>
    <row r="8" spans="1:29" x14ac:dyDescent="0.25">
      <c r="A8" s="84">
        <v>1</v>
      </c>
      <c r="B8" s="79" t="s">
        <v>86</v>
      </c>
      <c r="C8" s="79" t="s">
        <v>12</v>
      </c>
      <c r="D8" s="86">
        <v>1000</v>
      </c>
      <c r="E8" s="80">
        <f t="shared" si="1"/>
        <v>14</v>
      </c>
      <c r="F8" t="str">
        <f>C8</f>
        <v>REFA-Total-Var-Omkostning</v>
      </c>
      <c r="G8" s="82" cm="1">
        <f t="array" aca="1" ref="G8:Q8" ca="1">IF(A8=0,"",OFFSET(scenTopicsHeader,E8-1,3,1,Nscen)/D8)</f>
        <v>76383.787692652215</v>
      </c>
      <c r="H8" s="82">
        <f ca="1"/>
        <v>75066.903500075903</v>
      </c>
      <c r="I8" s="82">
        <f ca="1"/>
        <v>74986.605494035277</v>
      </c>
      <c r="J8" s="82">
        <f ca="1"/>
        <v>74986.605494035277</v>
      </c>
      <c r="K8" s="82">
        <f ca="1"/>
        <v>76683.837976932889</v>
      </c>
      <c r="L8" s="82">
        <f ca="1"/>
        <v>77362.741921793131</v>
      </c>
      <c r="M8" s="82">
        <f ca="1"/>
        <v>90761.624787147462</v>
      </c>
      <c r="N8" s="82">
        <f ca="1"/>
        <v>90681.326779177631</v>
      </c>
      <c r="O8" s="82">
        <f ca="1"/>
        <v>90681.326779177631</v>
      </c>
      <c r="P8" s="82">
        <f ca="1"/>
        <v>93059.523005662733</v>
      </c>
      <c r="Q8" s="82">
        <f ca="1"/>
        <v>93509.821701020919</v>
      </c>
    </row>
    <row r="9" spans="1:29" x14ac:dyDescent="0.25">
      <c r="A9" s="84">
        <v>1</v>
      </c>
      <c r="B9" s="79" t="s">
        <v>86</v>
      </c>
      <c r="C9" s="79" t="s">
        <v>15</v>
      </c>
      <c r="D9" s="86">
        <v>1000</v>
      </c>
      <c r="E9" s="80">
        <f t="shared" si="1"/>
        <v>17</v>
      </c>
      <c r="F9" t="str">
        <f>C9</f>
        <v>REFA-Afgifter</v>
      </c>
      <c r="G9" s="82" cm="1">
        <f t="array" aca="1" ref="G9:Q9" ca="1">IF(A9=0,"",OFFSET(scenTopicsHeader,E9-1,3,1,Nscen)/D9)</f>
        <v>45395.543295862488</v>
      </c>
      <c r="H9" s="82">
        <f ca="1"/>
        <v>46631.827421556787</v>
      </c>
      <c r="I9" s="82">
        <f ca="1"/>
        <v>46551.529412921176</v>
      </c>
      <c r="J9" s="82">
        <f ca="1"/>
        <v>46551.529412921176</v>
      </c>
      <c r="K9" s="82">
        <f ca="1"/>
        <v>44729.732652000566</v>
      </c>
      <c r="L9" s="82">
        <f ca="1"/>
        <v>44361.991918856154</v>
      </c>
      <c r="M9" s="82">
        <f ca="1"/>
        <v>46631.826535501532</v>
      </c>
      <c r="N9" s="82">
        <f ca="1"/>
        <v>46551.5285275317</v>
      </c>
      <c r="O9" s="82">
        <f ca="1"/>
        <v>46551.5285275317</v>
      </c>
      <c r="P9" s="82">
        <f ca="1"/>
        <v>45410.695507963421</v>
      </c>
      <c r="Q9" s="82">
        <f ca="1"/>
        <v>45210.712299076797</v>
      </c>
    </row>
    <row r="10" spans="1:29" x14ac:dyDescent="0.25">
      <c r="A10" s="84">
        <v>1</v>
      </c>
      <c r="B10" s="79" t="s">
        <v>86</v>
      </c>
      <c r="C10" s="79" t="s">
        <v>19</v>
      </c>
      <c r="D10" s="86">
        <v>1000</v>
      </c>
      <c r="E10" s="80">
        <f t="shared" si="1"/>
        <v>24</v>
      </c>
      <c r="F10" t="str">
        <f>C10</f>
        <v>REFA-CO2-Emission-Afgift</v>
      </c>
      <c r="G10" s="82" cm="1">
        <f t="array" aca="1" ref="G10:Q10" ca="1">IF(A10=0,"",OFFSET(scenTopicsHeader,E10-1,3,1,Nscen)/D10)</f>
        <v>39.236808465824915</v>
      </c>
      <c r="H10" s="82">
        <f ca="1"/>
        <v>39.236808469388016</v>
      </c>
      <c r="I10" s="82">
        <f ca="1"/>
        <v>39.236808465824907</v>
      </c>
      <c r="J10" s="82">
        <f ca="1"/>
        <v>39.236808465824907</v>
      </c>
      <c r="K10" s="82">
        <f ca="1"/>
        <v>39.236808468806956</v>
      </c>
      <c r="L10" s="82">
        <f ca="1"/>
        <v>39.236808468806956</v>
      </c>
      <c r="M10" s="82">
        <f ca="1"/>
        <v>39.23680729299182</v>
      </c>
      <c r="N10" s="82">
        <f ca="1"/>
        <v>39.23680729299182</v>
      </c>
      <c r="O10" s="82">
        <f ca="1"/>
        <v>39.23680729299182</v>
      </c>
      <c r="P10" s="82">
        <f ca="1"/>
        <v>39.236807292991813</v>
      </c>
      <c r="Q10" s="82">
        <f ca="1"/>
        <v>39.236807292991813</v>
      </c>
    </row>
    <row r="11" spans="1:29" x14ac:dyDescent="0.25">
      <c r="A11" s="84">
        <v>0</v>
      </c>
      <c r="B11" s="79" t="s">
        <v>86</v>
      </c>
      <c r="C11" s="79" t="s">
        <v>16</v>
      </c>
      <c r="D11" s="86">
        <v>1000</v>
      </c>
      <c r="E11" s="80">
        <f t="shared" si="1"/>
        <v>22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155</v>
      </c>
      <c r="C12" s="79" t="s">
        <v>40</v>
      </c>
      <c r="D12" s="86">
        <v>1000</v>
      </c>
      <c r="E12" s="80">
        <f t="shared" si="1"/>
        <v>53</v>
      </c>
      <c r="F12" t="str">
        <f t="shared" si="2"/>
        <v>Ovn3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86</v>
      </c>
      <c r="C13" s="79" t="s">
        <v>16</v>
      </c>
      <c r="D13" s="86">
        <v>1000</v>
      </c>
      <c r="E13" s="80">
        <f t="shared" si="1"/>
        <v>22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86</v>
      </c>
      <c r="C14" s="79" t="s">
        <v>16</v>
      </c>
      <c r="D14" s="86">
        <v>1000</v>
      </c>
      <c r="E14" s="80">
        <f t="shared" si="1"/>
        <v>22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86</v>
      </c>
      <c r="C15" s="79" t="s">
        <v>16</v>
      </c>
      <c r="D15" s="86">
        <v>1000</v>
      </c>
      <c r="E15" s="80">
        <f t="shared" si="1"/>
        <v>22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4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  <dataValidation type="list" allowBlank="1" showInputMessage="1" showErrorMessage="1" sqref="C6:C15" xr:uid="{2038D8E3-2829-4C42-ADB2-20B335D9F3DD}">
      <formula1>listdynEmner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/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120</v>
      </c>
      <c r="E1">
        <f>COUNTA(E4:E30)</f>
        <v>2</v>
      </c>
      <c r="R1" s="94" t="s">
        <v>121</v>
      </c>
      <c r="S1" t="s">
        <v>122</v>
      </c>
      <c r="T1" s="95" t="s">
        <v>123</v>
      </c>
    </row>
    <row r="2" spans="1:26" x14ac:dyDescent="0.25">
      <c r="B2" s="78" t="s">
        <v>124</v>
      </c>
      <c r="C2" s="78" t="s">
        <v>125</v>
      </c>
      <c r="J2" s="78" t="s">
        <v>126</v>
      </c>
      <c r="O2" s="96" t="s">
        <v>127</v>
      </c>
      <c r="S2" t="s">
        <v>128</v>
      </c>
      <c r="T2" s="95" t="s">
        <v>129</v>
      </c>
    </row>
    <row r="3" spans="1:26" x14ac:dyDescent="0.25">
      <c r="B3" s="97" t="s">
        <v>130</v>
      </c>
      <c r="C3" s="98" t="str" cm="1">
        <f t="array" ref="C3:H3">TRANSPOSE(B4:B9)&amp;"2"</f>
        <v>Control2</v>
      </c>
      <c r="D3" s="98" t="str">
        <v>Plant2</v>
      </c>
      <c r="E3" s="98" t="str">
        <v>Storage2</v>
      </c>
      <c r="F3" s="98" t="str">
        <v>Prognoses2</v>
      </c>
      <c r="G3" s="98" t="str">
        <v>Fuel2</v>
      </c>
      <c r="H3" s="98" t="str">
        <v>FuelBounds2</v>
      </c>
      <c r="I3" s="98"/>
      <c r="J3" s="92" t="str" cm="1">
        <f t="array" ref="J3:O3">TRANSPOSE(B4:B9)&amp;"3"</f>
        <v>Control3</v>
      </c>
      <c r="K3" s="92" t="str">
        <v>Plant3</v>
      </c>
      <c r="L3" s="92" t="str">
        <v>Storage3</v>
      </c>
      <c r="M3" s="92" t="str">
        <v>Prognoses3</v>
      </c>
      <c r="N3" s="92" t="str">
        <v>Fuel3</v>
      </c>
      <c r="O3" s="92" t="str">
        <v>FuelBounds3</v>
      </c>
      <c r="P3" s="92"/>
    </row>
    <row r="4" spans="1:26" x14ac:dyDescent="0.25">
      <c r="B4" t="s">
        <v>109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110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110</v>
      </c>
      <c r="N4" t="str" cm="1">
        <f t="array" ref="N4:N19">_xlfn.LET(_xlpm.ran,TRANSPOSE(listFuelAttr),_xlpm.ran)</f>
        <v>Aktiv</v>
      </c>
      <c r="O4" t="s">
        <v>131</v>
      </c>
      <c r="R4" s="78" t="s">
        <v>124</v>
      </c>
      <c r="S4" s="78" t="s">
        <v>125</v>
      </c>
      <c r="T4" s="78" t="s">
        <v>126</v>
      </c>
      <c r="U4" s="78" t="s">
        <v>132</v>
      </c>
      <c r="V4" s="85" t="s">
        <v>133</v>
      </c>
    </row>
    <row r="5" spans="1:26" x14ac:dyDescent="0.25">
      <c r="B5" t="s">
        <v>113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134</v>
      </c>
      <c r="R5" t="s">
        <v>113</v>
      </c>
      <c r="S5" t="s">
        <v>40</v>
      </c>
      <c r="T5" t="s">
        <v>104</v>
      </c>
      <c r="U5" s="99">
        <v>44197</v>
      </c>
      <c r="V5" s="100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119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116</v>
      </c>
      <c r="R6" t="s">
        <v>113</v>
      </c>
      <c r="S6" t="s">
        <v>40</v>
      </c>
      <c r="T6" t="s">
        <v>104</v>
      </c>
      <c r="U6" s="99">
        <v>44531</v>
      </c>
      <c r="V6" s="100"/>
      <c r="X6" t="str">
        <f ca="1"/>
        <v>Ovn3</v>
      </c>
      <c r="Z6" t="str">
        <f ca="1"/>
        <v>sto2</v>
      </c>
    </row>
    <row r="7" spans="1:26" x14ac:dyDescent="0.25">
      <c r="B7" t="s">
        <v>114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135</v>
      </c>
      <c r="R7" t="s">
        <v>113</v>
      </c>
      <c r="S7" t="s">
        <v>39</v>
      </c>
      <c r="T7" t="s">
        <v>104</v>
      </c>
      <c r="U7" s="99">
        <v>44531</v>
      </c>
      <c r="V7" s="100"/>
      <c r="X7" t="str">
        <f ca="1"/>
        <v>FlisK</v>
      </c>
      <c r="Z7">
        <f ca="1"/>
        <v>0</v>
      </c>
    </row>
    <row r="8" spans="1:26" x14ac:dyDescent="0.25">
      <c r="B8" t="s">
        <v>115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136</v>
      </c>
      <c r="R8" t="s">
        <v>113</v>
      </c>
      <c r="U8" s="99">
        <v>44197</v>
      </c>
      <c r="V8" s="100"/>
      <c r="X8" t="str">
        <f ca="1"/>
        <v>NS</v>
      </c>
      <c r="Z8">
        <f ca="1"/>
        <v>0</v>
      </c>
    </row>
    <row r="9" spans="1:26" x14ac:dyDescent="0.25">
      <c r="B9" t="s">
        <v>117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118</v>
      </c>
      <c r="R9" t="s">
        <v>119</v>
      </c>
      <c r="S9" t="s">
        <v>137</v>
      </c>
      <c r="U9" s="99">
        <v>44682</v>
      </c>
      <c r="V9" s="100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138</v>
      </c>
      <c r="R10" t="s">
        <v>113</v>
      </c>
      <c r="S10" t="s">
        <v>39</v>
      </c>
      <c r="U10" s="99">
        <v>47665</v>
      </c>
      <c r="V10" s="100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113</v>
      </c>
      <c r="U11" s="99"/>
      <c r="V11" s="100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113</v>
      </c>
      <c r="S12" t="s">
        <v>44</v>
      </c>
      <c r="U12" s="99"/>
      <c r="V12" s="100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113</v>
      </c>
      <c r="S13" t="s">
        <v>44</v>
      </c>
      <c r="U13" s="99"/>
      <c r="V13" s="100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113</v>
      </c>
      <c r="U14" s="99"/>
      <c r="V14" s="100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113</v>
      </c>
      <c r="U15" s="99"/>
      <c r="V15" s="100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113</v>
      </c>
      <c r="U16" s="99"/>
      <c r="V16" s="100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99"/>
      <c r="V17" s="100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99"/>
      <c r="V18" s="100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99"/>
      <c r="V19" s="100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9"/>
      <c r="V20" s="100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9"/>
      <c r="V21" s="100"/>
      <c r="Z21">
        <f ca="1"/>
        <v>0</v>
      </c>
    </row>
    <row r="22" spans="2:26" x14ac:dyDescent="0.25">
      <c r="B22" t="s">
        <v>139</v>
      </c>
      <c r="F22" t="str">
        <v>ETSaff</v>
      </c>
      <c r="G22" t="str">
        <v>Halm</v>
      </c>
      <c r="H22" t="str">
        <v>Halm</v>
      </c>
      <c r="U22" s="99"/>
      <c r="V22" s="100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9"/>
      <c r="V23" s="100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9"/>
      <c r="V24" s="100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9"/>
      <c r="V25" s="100"/>
    </row>
    <row r="26" spans="2:26" x14ac:dyDescent="0.25">
      <c r="F26" t="str">
        <v>EnrPeak</v>
      </c>
      <c r="G26" t="str">
        <v>NyAff2</v>
      </c>
      <c r="H26" t="str">
        <v>NyAff2</v>
      </c>
      <c r="U26" s="99"/>
      <c r="V26" s="100"/>
    </row>
    <row r="27" spans="2:26" x14ac:dyDescent="0.25">
      <c r="F27" t="str">
        <v>CO2peak</v>
      </c>
      <c r="G27" t="str">
        <v>NyAff3</v>
      </c>
      <c r="H27" t="str">
        <v>NyAff3</v>
      </c>
      <c r="U27" s="99"/>
      <c r="V27" s="100"/>
    </row>
    <row r="28" spans="2:26" x14ac:dyDescent="0.25">
      <c r="F28" t="str">
        <v>NOxPeak</v>
      </c>
      <c r="G28" t="str">
        <v>NyAff4</v>
      </c>
      <c r="H28" t="str">
        <v>NyAff4</v>
      </c>
      <c r="U28" s="99"/>
      <c r="V28" s="100"/>
    </row>
    <row r="29" spans="2:26" x14ac:dyDescent="0.25">
      <c r="G29" t="str">
        <v>NyAff5</v>
      </c>
      <c r="H29" t="str">
        <v>NyAff5</v>
      </c>
      <c r="U29" s="99"/>
      <c r="V29" s="100"/>
    </row>
    <row r="30" spans="2:26" x14ac:dyDescent="0.25">
      <c r="G30" t="str">
        <v>Flis</v>
      </c>
      <c r="H30" t="str">
        <v>Flis</v>
      </c>
      <c r="U30" s="99"/>
      <c r="V30" s="100"/>
    </row>
    <row r="31" spans="2:26" x14ac:dyDescent="0.25">
      <c r="G31" t="str">
        <v>NSvarme</v>
      </c>
      <c r="H31" t="str">
        <v>NSvarme</v>
      </c>
      <c r="U31" s="99"/>
      <c r="V31" s="100"/>
    </row>
    <row r="32" spans="2:26" x14ac:dyDescent="0.25">
      <c r="G32" t="str">
        <v>PeakFuel</v>
      </c>
      <c r="H32" t="str">
        <v>PeakFuel</v>
      </c>
      <c r="U32" s="99"/>
      <c r="V32" s="100"/>
    </row>
    <row r="33" spans="1:31" x14ac:dyDescent="0.25">
      <c r="U33" s="99"/>
      <c r="V33" s="100"/>
    </row>
    <row r="34" spans="1:31" x14ac:dyDescent="0.25">
      <c r="U34" s="99"/>
      <c r="V34" s="100"/>
    </row>
    <row r="35" spans="1:31" x14ac:dyDescent="0.25">
      <c r="U35" s="99"/>
      <c r="V35" s="100"/>
    </row>
    <row r="36" spans="1:31" x14ac:dyDescent="0.25">
      <c r="U36" s="99"/>
      <c r="V36" s="100"/>
    </row>
    <row r="37" spans="1:31" x14ac:dyDescent="0.25">
      <c r="U37" s="99"/>
      <c r="V37" s="100"/>
    </row>
    <row r="38" spans="1:31" x14ac:dyDescent="0.25">
      <c r="A38" t="s">
        <v>140</v>
      </c>
      <c r="B38" s="78" t="s">
        <v>107</v>
      </c>
      <c r="U38" s="99"/>
      <c r="V38" s="100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99"/>
      <c r="V39" s="100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9"/>
      <c r="V40" s="100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108</v>
      </c>
    </row>
    <row r="48" spans="1:31" x14ac:dyDescent="0.25">
      <c r="A48" s="80"/>
      <c r="B48" t="str">
        <f>B4</f>
        <v>Control</v>
      </c>
      <c r="C48" t="s">
        <v>110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110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141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M112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8" t="s">
        <v>87</v>
      </c>
      <c r="C2" s="79" t="s">
        <v>86</v>
      </c>
      <c r="D2" s="79" t="s">
        <v>155</v>
      </c>
      <c r="E2" s="79" t="s">
        <v>144</v>
      </c>
      <c r="F2" s="79" t="s">
        <v>145</v>
      </c>
      <c r="G2" s="79" t="s">
        <v>145</v>
      </c>
      <c r="I2" s="78" t="s">
        <v>89</v>
      </c>
      <c r="L2" s="78" t="s">
        <v>90</v>
      </c>
    </row>
    <row r="3" spans="2:13" ht="15.75" x14ac:dyDescent="0.25">
      <c r="B3" s="77" t="str" cm="1">
        <f t="array" ref="B3:B6">_xlfn.UNIQUE(LEFT(_xlfn.ANCHORARRAY(I3),FIND(".",_xlfn.ANCHORARRAY(I3))-1))</f>
        <v>Nøgletal</v>
      </c>
      <c r="C3" t="str" cm="1">
        <f t="array" ref="C3:C48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2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91</v>
      </c>
      <c r="M3" cm="1">
        <f t="array" ref="M3">MATCH(TRUE,ISBLANK(Overblik!$D$4:$AD$4),0)-1</f>
        <v>11</v>
      </c>
    </row>
    <row r="4" spans="2:13" ht="15.75" x14ac:dyDescent="0.25">
      <c r="B4" s="77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147</v>
      </c>
      <c r="M4" s="111" cm="1">
        <f t="array" ref="M4">[2]!PerStart</f>
        <v>44197</v>
      </c>
    </row>
    <row r="5" spans="2:13" ht="15.75" x14ac:dyDescent="0.25">
      <c r="B5" s="77" t="str">
        <v>Brændselsforbrug</v>
      </c>
      <c r="C5" t="str">
        <v>Total-Var-Varmeproduktions-Omk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Nøgletal.Total-Var-Varmeproduktions-Omk</v>
      </c>
      <c r="J5" t="str">
        <v>Brændselsforbrug</v>
      </c>
      <c r="L5" t="s">
        <v>148</v>
      </c>
      <c r="M5" s="111" cm="1">
        <f t="array" ref="M5">[2]!PerSlut</f>
        <v>44531</v>
      </c>
    </row>
    <row r="6" spans="2:13" ht="15.75" x14ac:dyDescent="0.25">
      <c r="B6" s="77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150</v>
      </c>
      <c r="M6">
        <v>-9.99</v>
      </c>
    </row>
    <row r="7" spans="2:13" ht="15.75" x14ac:dyDescent="0.25">
      <c r="B7" s="77"/>
      <c r="C7" t="str">
        <v>REFA-Var-Varmeproduktions-Omk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Nøgletal.REFA-Var-Varmeproduktions-Omk</v>
      </c>
    </row>
    <row r="8" spans="2:13" ht="15.75" x14ac:dyDescent="0.25">
      <c r="B8" s="77"/>
      <c r="C8" t="str">
        <v>REFA-Daekningsbidrag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Nøgletal.REFA-Daekningsbidrag</v>
      </c>
    </row>
    <row r="9" spans="2:13" ht="15.75" x14ac:dyDescent="0.25">
      <c r="B9" s="77"/>
      <c r="C9" t="str">
        <v>REFA-Total-Var-Indkomst</v>
      </c>
      <c r="E9" t="str">
        <v>DagrenRast</v>
      </c>
      <c r="F9" t="str">
        <v>DagrenRast</v>
      </c>
      <c r="G9" t="str">
        <v>DagrenRast</v>
      </c>
      <c r="I9" t="str">
        <v>Nøgletal.REFA-Total-Var-Indkomst</v>
      </c>
    </row>
    <row r="10" spans="2:13" ht="15.75" x14ac:dyDescent="0.25">
      <c r="B10" s="77"/>
      <c r="C10" t="str">
        <v>REFA-Affald-Modtagelse</v>
      </c>
      <c r="E10" t="str">
        <v>DagrenInst</v>
      </c>
      <c r="F10" t="str">
        <v>DagrenInst</v>
      </c>
      <c r="G10" t="str">
        <v>DagrenInst</v>
      </c>
      <c r="I10" t="str">
        <v>Nøgletal.REFA-Affald-Modtagelse</v>
      </c>
    </row>
    <row r="11" spans="2:13" ht="15.75" x14ac:dyDescent="0.25">
      <c r="B11" s="77"/>
      <c r="C11" t="str">
        <v>REFA-RGK-Rabat</v>
      </c>
      <c r="E11" t="str">
        <v>DagrenHandel</v>
      </c>
      <c r="F11" t="str">
        <v>DagrenHandel</v>
      </c>
      <c r="G11" t="str">
        <v>DagrenHandel</v>
      </c>
      <c r="I11" t="str">
        <v>Nøgletal.REFA-RGK-Rabat</v>
      </c>
    </row>
    <row r="12" spans="2:13" ht="15.75" x14ac:dyDescent="0.25">
      <c r="B12" s="77"/>
      <c r="C12" t="str">
        <v>REFA-Elsalg</v>
      </c>
      <c r="E12" t="str">
        <v>DagrenRestau</v>
      </c>
      <c r="F12" t="str">
        <v>DagrenRestau</v>
      </c>
      <c r="G12" t="str">
        <v>DagrenRestau</v>
      </c>
      <c r="I12" t="str">
        <v>Nøgletal.REFA-Elsalg</v>
      </c>
    </row>
    <row r="13" spans="2:13" x14ac:dyDescent="0.25">
      <c r="C13" t="str">
        <v>REFA-Varmesalg</v>
      </c>
      <c r="E13" t="str">
        <v>Erhverv</v>
      </c>
      <c r="F13" t="str">
        <v>Erhverv</v>
      </c>
      <c r="G13" t="str">
        <v>Erhverv</v>
      </c>
      <c r="I13" t="str">
        <v>Nøgletal.REFA-Varmesalg</v>
      </c>
    </row>
    <row r="14" spans="2:13" x14ac:dyDescent="0.25">
      <c r="C14" t="str">
        <v>REFA-Total-Var-Omkostning</v>
      </c>
      <c r="E14" t="str">
        <v>DagrenErhverv</v>
      </c>
      <c r="F14" t="str">
        <v>DagrenErhverv</v>
      </c>
      <c r="G14" t="str">
        <v>DagrenErhverv</v>
      </c>
      <c r="I14" t="str">
        <v>Nøgletal.REFA-Total-Var-Omkostning</v>
      </c>
    </row>
    <row r="15" spans="2:13" x14ac:dyDescent="0.25">
      <c r="C15" t="str">
        <v>REFA-AnlaegsVarOmk</v>
      </c>
      <c r="E15" t="str">
        <v>HandelKontor</v>
      </c>
      <c r="F15" t="str">
        <v>HandelKontor</v>
      </c>
      <c r="G15" t="str">
        <v>HandelKontor</v>
      </c>
      <c r="I15" t="str">
        <v>Nøgletal.REFA-AnlaegsVarOmk</v>
      </c>
    </row>
    <row r="16" spans="2:13" x14ac:dyDescent="0.25">
      <c r="C16" t="str">
        <v>REFA-BraendselOmk</v>
      </c>
      <c r="E16" t="str">
        <v>Privat</v>
      </c>
      <c r="F16" t="str">
        <v>Privat</v>
      </c>
      <c r="G16" t="str">
        <v>Privat</v>
      </c>
      <c r="I16" t="str">
        <v>Nøgletal.REFA-BraendselOmk</v>
      </c>
    </row>
    <row r="17" spans="3:9" x14ac:dyDescent="0.25">
      <c r="C17" t="str">
        <v>REFA-Afgifter</v>
      </c>
      <c r="E17" t="str">
        <v>TyskRest</v>
      </c>
      <c r="F17" t="str">
        <v>TyskRest</v>
      </c>
      <c r="G17" t="str">
        <v>TyskRest</v>
      </c>
      <c r="I17" t="str">
        <v>Nøgletal.REFA-Afgifter</v>
      </c>
    </row>
    <row r="18" spans="3:9" x14ac:dyDescent="0.25">
      <c r="C18" t="str">
        <v>REFA-Affaldvarme-afgift</v>
      </c>
      <c r="E18" t="str">
        <v>PolskRest</v>
      </c>
      <c r="F18" t="str">
        <v>PolskRest</v>
      </c>
      <c r="G18" t="str">
        <v>PolskRest</v>
      </c>
      <c r="I18" t="str">
        <v>Nøgletal.REFA-Affaldvarme-afgift</v>
      </c>
    </row>
    <row r="19" spans="3:9" x14ac:dyDescent="0.25">
      <c r="C19" t="str">
        <v>REFA-Tillaegs-Afgift</v>
      </c>
      <c r="E19" t="str">
        <v>PcbTrae</v>
      </c>
      <c r="F19" t="str">
        <v>PcbTrae</v>
      </c>
      <c r="G19" t="str">
        <v>PcbTrae</v>
      </c>
      <c r="I19" t="str">
        <v>Nøgletal.REFA-Tillaegs-Afgift</v>
      </c>
    </row>
    <row r="20" spans="3:9" x14ac:dyDescent="0.25">
      <c r="C20" t="str">
        <v>REFA-CO2-Afgift</v>
      </c>
      <c r="E20" t="str">
        <v>TraeRekv</v>
      </c>
      <c r="F20" t="str">
        <v>TraeRekv</v>
      </c>
      <c r="G20" t="str">
        <v>TraeRekv</v>
      </c>
      <c r="I20" t="str">
        <v>Nøgletal.REFA-CO2-Afgift</v>
      </c>
    </row>
    <row r="21" spans="3:9" x14ac:dyDescent="0.25">
      <c r="C21" t="str">
        <v>REFA-NOx-Afgift</v>
      </c>
      <c r="E21" t="str">
        <v>Halm</v>
      </c>
      <c r="F21" t="str">
        <v>Halm</v>
      </c>
      <c r="G21" t="str">
        <v>Halm</v>
      </c>
      <c r="I21" t="str">
        <v>Nøgletal.REFA-NOx-Afgift</v>
      </c>
    </row>
    <row r="22" spans="3:9" x14ac:dyDescent="0.25">
      <c r="C22" t="str">
        <v>REFA-CO2-Kvoteomk</v>
      </c>
      <c r="E22" t="str">
        <v>Pulver</v>
      </c>
      <c r="F22" t="str">
        <v>Pulver</v>
      </c>
      <c r="G22" t="str">
        <v>Pulver</v>
      </c>
      <c r="I22" t="str">
        <v>Nøgletal.REFA-CO2-Kvoteomk</v>
      </c>
    </row>
    <row r="23" spans="3:9" x14ac:dyDescent="0.25">
      <c r="C23" t="str">
        <v>REFA-Lageromkostning</v>
      </c>
      <c r="E23" t="str">
        <v>FlisAffald</v>
      </c>
      <c r="F23" t="str">
        <v>FlisAffald</v>
      </c>
      <c r="G23" t="str">
        <v>FlisAffald</v>
      </c>
      <c r="I23" t="str">
        <v>Nøgletal.REFA-Lageromkostning</v>
      </c>
    </row>
    <row r="24" spans="3:9" x14ac:dyDescent="0.25">
      <c r="C24" t="str">
        <v>REFA-CO2-Emission-Afgift</v>
      </c>
      <c r="E24" t="str">
        <v>NyAff1</v>
      </c>
      <c r="F24" t="str">
        <v>NyAff1</v>
      </c>
      <c r="G24" t="str">
        <v>NyAff1</v>
      </c>
      <c r="I24" t="str">
        <v>Nøgletal.REFA-CO2-Emission-Afgift</v>
      </c>
    </row>
    <row r="25" spans="3:9" x14ac:dyDescent="0.25">
      <c r="C25" t="str">
        <v>REFA-CO2-Emission-Kvote</v>
      </c>
      <c r="E25" t="str">
        <v>NyAff2</v>
      </c>
      <c r="F25" t="str">
        <v>NyAff2</v>
      </c>
      <c r="G25" t="str">
        <v>NyAff2</v>
      </c>
      <c r="I25" t="str">
        <v>Nøgletal.REFA-CO2-Emission-Kvote</v>
      </c>
    </row>
    <row r="26" spans="3:9" x14ac:dyDescent="0.25">
      <c r="C26" t="str">
        <v>REFA-El-produktion-Brutto</v>
      </c>
      <c r="E26" t="str">
        <v>NyAff3</v>
      </c>
      <c r="F26" t="str">
        <v>NyAff3</v>
      </c>
      <c r="G26" t="str">
        <v>NyAff3</v>
      </c>
      <c r="I26" t="str">
        <v>Nøgletal.REFA-El-produktion-Brutto</v>
      </c>
    </row>
    <row r="27" spans="3:9" x14ac:dyDescent="0.25">
      <c r="C27" t="str">
        <v>REFA-El-produktion-Netto</v>
      </c>
      <c r="E27" t="str">
        <v>NyAff4</v>
      </c>
      <c r="F27" t="str">
        <v>NyAff4</v>
      </c>
      <c r="G27" t="str">
        <v>NyAff4</v>
      </c>
      <c r="I27" t="str">
        <v>Nøgletal.REFA-El-produktion-Netto</v>
      </c>
    </row>
    <row r="28" spans="3:9" x14ac:dyDescent="0.25">
      <c r="C28" t="str">
        <v>REFA-Total-Affald-Raadighed</v>
      </c>
      <c r="E28" t="str">
        <v>NyAff5</v>
      </c>
      <c r="F28" t="str">
        <v>NyAff5</v>
      </c>
      <c r="G28" t="str">
        <v>NyAff5</v>
      </c>
      <c r="I28" t="str">
        <v>Nøgletal.REFA-Total-Affald-Raadighed</v>
      </c>
    </row>
    <row r="29" spans="3:9" x14ac:dyDescent="0.25">
      <c r="C29" t="str">
        <v>REFA-Affald-anvendt</v>
      </c>
      <c r="E29" t="str">
        <v>Flis</v>
      </c>
      <c r="F29" t="str">
        <v>Flis</v>
      </c>
      <c r="G29" t="str">
        <v>Flis</v>
      </c>
      <c r="I29" t="str">
        <v>Nøgletal.REFA-Affald-anvendt</v>
      </c>
    </row>
    <row r="30" spans="3:9" x14ac:dyDescent="0.25">
      <c r="C30" t="str">
        <v>REFA-Affald-Uudnyttet</v>
      </c>
      <c r="E30" t="str">
        <v>NSvarme</v>
      </c>
      <c r="F30" t="str">
        <v>NSvarme</v>
      </c>
      <c r="G30" t="str">
        <v>NSvarme</v>
      </c>
      <c r="I30" t="str">
        <v>Nøgletal.REFA-Affald-Uudnyttet</v>
      </c>
    </row>
    <row r="31" spans="3:9" x14ac:dyDescent="0.25">
      <c r="C31" t="str">
        <v>REFA-Affald-Lagret</v>
      </c>
      <c r="E31" t="str">
        <v>PeakFuel</v>
      </c>
      <c r="F31" t="str">
        <v>PeakFuel</v>
      </c>
      <c r="G31" t="str">
        <v>PeakFuel</v>
      </c>
      <c r="I31" t="str">
        <v>Nøgletal.REFA-Affald-Lagret</v>
      </c>
    </row>
    <row r="32" spans="3:9" x14ac:dyDescent="0.25">
      <c r="C32" t="str">
        <v>REFA-Total-Varme-Produktion</v>
      </c>
      <c r="I32" t="str">
        <v>Nøgletal.REFA-Total-Varme-Produktion</v>
      </c>
    </row>
    <row r="33" spans="3:9" x14ac:dyDescent="0.25">
      <c r="C33" t="str">
        <v>REFA-Leveret-Varme</v>
      </c>
      <c r="I33" t="str">
        <v>Nøgletal.REFA-Leveret-Varme</v>
      </c>
    </row>
    <row r="34" spans="3:9" x14ac:dyDescent="0.25">
      <c r="C34" t="str">
        <v>REFA-Modtryk-Varme</v>
      </c>
      <c r="I34" t="str">
        <v>Nøgletal.REFA-Modtryk-Varme</v>
      </c>
    </row>
    <row r="35" spans="3:9" x14ac:dyDescent="0.25">
      <c r="C35" t="str">
        <v>REFA-Bypass-Varme</v>
      </c>
      <c r="I35" t="str">
        <v>Nøgletal.REFA-Bypass-Varme</v>
      </c>
    </row>
    <row r="36" spans="3:9" x14ac:dyDescent="0.25">
      <c r="C36" t="str">
        <v>REFA-RGK-Varme</v>
      </c>
      <c r="I36" t="str">
        <v>Nøgletal.REFA-RGK-Varme</v>
      </c>
    </row>
    <row r="37" spans="3:9" x14ac:dyDescent="0.25">
      <c r="C37" t="str">
        <v>REFA-Bortkoelet-Varme</v>
      </c>
      <c r="I37" t="str">
        <v>Nøgletal.REFA-Bortkoelet-Varme</v>
      </c>
    </row>
    <row r="38" spans="3:9" x14ac:dyDescent="0.25">
      <c r="C38" t="str">
        <v>GSF-Total-Var-Omkostning</v>
      </c>
      <c r="I38" t="str">
        <v>Nøgletal.GSF-Total-Var-Omkostning</v>
      </c>
    </row>
    <row r="39" spans="3:9" x14ac:dyDescent="0.25">
      <c r="C39" t="str">
        <v>GSF-AnlaegsVarOmk</v>
      </c>
      <c r="I39" t="str">
        <v>Nøgletal.GSF-AnlaegsVarOmk</v>
      </c>
    </row>
    <row r="40" spans="3:9" x14ac:dyDescent="0.25">
      <c r="C40" t="str">
        <v>GSF-BraendselOmk</v>
      </c>
      <c r="I40" t="str">
        <v>Nøgletal.GSF-BraendselOmk</v>
      </c>
    </row>
    <row r="41" spans="3:9" x14ac:dyDescent="0.25">
      <c r="C41" t="str">
        <v>GSF-Afgifter</v>
      </c>
      <c r="I41" t="str">
        <v>Nøgletal.GSF-Afgifter</v>
      </c>
    </row>
    <row r="42" spans="3:9" x14ac:dyDescent="0.25">
      <c r="C42" t="str">
        <v>GSF-CO2-Emission</v>
      </c>
      <c r="I42" t="str">
        <v>Nøgletal.GSF-CO2-Emission</v>
      </c>
    </row>
    <row r="43" spans="3:9" x14ac:dyDescent="0.25">
      <c r="C43" t="str">
        <v>GSF-Total-Varme-Produktion</v>
      </c>
      <c r="I43" t="str">
        <v>Nøgletal.GSF-Total-Varme-Produktion</v>
      </c>
    </row>
    <row r="44" spans="3:9" x14ac:dyDescent="0.25">
      <c r="C44" t="str">
        <v>NS-Total-Varme-Produktion</v>
      </c>
      <c r="I44" t="str">
        <v>Nøgletal.NS-Total-Varme-Produktion</v>
      </c>
    </row>
    <row r="45" spans="3:9" x14ac:dyDescent="0.25">
      <c r="C45" t="str">
        <v>Virtuel-Varme-Kilde</v>
      </c>
      <c r="I45" t="str">
        <v>Nøgletal.Virtuel-Varme-Kilde</v>
      </c>
    </row>
    <row r="46" spans="3:9" x14ac:dyDescent="0.25">
      <c r="C46" t="str">
        <v>Virtuel-Varme-Draen</v>
      </c>
      <c r="I46" t="str">
        <v>Nøgletal.Virtuel-Varme-Draen</v>
      </c>
    </row>
    <row r="47" spans="3:9" x14ac:dyDescent="0.25">
      <c r="C47" t="str">
        <v>Virtuel-Affaldstonnage-Kilde</v>
      </c>
      <c r="I47" t="str">
        <v>Nøgletal.Virtuel-Affaldstonnage-Kilde</v>
      </c>
    </row>
    <row r="48" spans="3:9" x14ac:dyDescent="0.25">
      <c r="C48" t="str">
        <v>Virtuel-Affaldstonnage-Draen</v>
      </c>
      <c r="I48" t="str">
        <v>Nøgletal.Virtuel-Affaldstonnage-Draen</v>
      </c>
    </row>
    <row r="49" spans="9:9" x14ac:dyDescent="0.25">
      <c r="I49" t="str">
        <v>Varmemængder.Ovn2</v>
      </c>
    </row>
    <row r="50" spans="9:9" x14ac:dyDescent="0.25">
      <c r="I50" t="str">
        <v>Varmemængder.Ovn3</v>
      </c>
    </row>
    <row r="51" spans="9:9" x14ac:dyDescent="0.25">
      <c r="I51" t="str">
        <v>Varmemængder.FlisK</v>
      </c>
    </row>
    <row r="52" spans="9:9" x14ac:dyDescent="0.25">
      <c r="I52" t="str">
        <v>Varmemængder.NS</v>
      </c>
    </row>
    <row r="53" spans="9:9" x14ac:dyDescent="0.25">
      <c r="I53" t="str">
        <v>Varmemængder.Cooler</v>
      </c>
    </row>
    <row r="54" spans="9:9" x14ac:dyDescent="0.25">
      <c r="I54" t="str">
        <v>Varmemængder.PeakK</v>
      </c>
    </row>
    <row r="55" spans="9:9" x14ac:dyDescent="0.25">
      <c r="I55" t="str">
        <v>Brændselsforbrug.DepoSort</v>
      </c>
    </row>
    <row r="56" spans="9:9" x14ac:dyDescent="0.25">
      <c r="I56" t="str">
        <v>Brændselsforbrug.DepoSmaat</v>
      </c>
    </row>
    <row r="57" spans="9:9" x14ac:dyDescent="0.25">
      <c r="I57" t="str">
        <v>Brændselsforbrug.DepoNedd</v>
      </c>
    </row>
    <row r="58" spans="9:9" x14ac:dyDescent="0.25">
      <c r="I58" t="str">
        <v>Brændselsforbrug.Dagren</v>
      </c>
    </row>
    <row r="59" spans="9:9" x14ac:dyDescent="0.25">
      <c r="I59" t="str">
        <v>Brændselsforbrug.AndetBrand</v>
      </c>
    </row>
    <row r="60" spans="9:9" x14ac:dyDescent="0.25">
      <c r="I60" t="str">
        <v>Brændselsforbrug.Trae</v>
      </c>
    </row>
    <row r="61" spans="9:9" x14ac:dyDescent="0.25">
      <c r="I61" t="str">
        <v>Brændselsforbrug.DagrenRast</v>
      </c>
    </row>
    <row r="62" spans="9:9" x14ac:dyDescent="0.25">
      <c r="I62" t="str">
        <v>Brændselsforbrug.DagrenInst</v>
      </c>
    </row>
    <row r="63" spans="9:9" x14ac:dyDescent="0.25">
      <c r="I63" t="str">
        <v>Brændselsforbrug.DagrenHandel</v>
      </c>
    </row>
    <row r="64" spans="9:9" x14ac:dyDescent="0.25">
      <c r="I64" t="str">
        <v>Brændselsforbrug.DagrenRestau</v>
      </c>
    </row>
    <row r="65" spans="9:9" x14ac:dyDescent="0.25">
      <c r="I65" t="str">
        <v>Brændselsforbrug.Erhverv</v>
      </c>
    </row>
    <row r="66" spans="9:9" x14ac:dyDescent="0.25">
      <c r="I66" t="str">
        <v>Brændselsforbrug.DagrenErhverv</v>
      </c>
    </row>
    <row r="67" spans="9:9" x14ac:dyDescent="0.25">
      <c r="I67" t="str">
        <v>Brændselsforbrug.HandelKontor</v>
      </c>
    </row>
    <row r="68" spans="9:9" x14ac:dyDescent="0.25">
      <c r="I68" t="str">
        <v>Brændselsforbrug.Privat</v>
      </c>
    </row>
    <row r="69" spans="9:9" x14ac:dyDescent="0.25">
      <c r="I69" t="str">
        <v>Brændselsforbrug.TyskRest</v>
      </c>
    </row>
    <row r="70" spans="9:9" x14ac:dyDescent="0.25">
      <c r="I70" t="str">
        <v>Brændselsforbrug.PolskRest</v>
      </c>
    </row>
    <row r="71" spans="9:9" x14ac:dyDescent="0.25">
      <c r="I71" t="str">
        <v>Brændselsforbrug.PcbTrae</v>
      </c>
    </row>
    <row r="72" spans="9:9" x14ac:dyDescent="0.25">
      <c r="I72" t="str">
        <v>Brændselsforbrug.TraeRekv</v>
      </c>
    </row>
    <row r="73" spans="9:9" x14ac:dyDescent="0.25">
      <c r="I73" t="str">
        <v>Brændselsforbrug.Halm</v>
      </c>
    </row>
    <row r="74" spans="9:9" x14ac:dyDescent="0.25">
      <c r="I74" t="str">
        <v>Brændselsforbrug.Pulver</v>
      </c>
    </row>
    <row r="75" spans="9:9" x14ac:dyDescent="0.25">
      <c r="I75" t="str">
        <v>Brændselsforbrug.FlisAffald</v>
      </c>
    </row>
    <row r="76" spans="9:9" x14ac:dyDescent="0.25">
      <c r="I76" t="str">
        <v>Brændselsforbrug.NyAff1</v>
      </c>
    </row>
    <row r="77" spans="9:9" x14ac:dyDescent="0.25">
      <c r="I77" t="str">
        <v>Brændselsforbrug.NyAff2</v>
      </c>
    </row>
    <row r="78" spans="9:9" x14ac:dyDescent="0.25">
      <c r="I78" t="str">
        <v>Brændselsforbrug.NyAff3</v>
      </c>
    </row>
    <row r="79" spans="9:9" x14ac:dyDescent="0.25">
      <c r="I79" t="str">
        <v>Brændselsforbrug.NyAff4</v>
      </c>
    </row>
    <row r="80" spans="9:9" x14ac:dyDescent="0.25">
      <c r="I80" t="str">
        <v>Brændselsforbrug.NyAff5</v>
      </c>
    </row>
    <row r="81" spans="9:9" x14ac:dyDescent="0.25">
      <c r="I81" t="str">
        <v>Brændselsforbrug.Flis</v>
      </c>
    </row>
    <row r="82" spans="9:9" x14ac:dyDescent="0.25">
      <c r="I82" t="str">
        <v>Brændselsforbrug.NSvarme</v>
      </c>
    </row>
    <row r="83" spans="9:9" x14ac:dyDescent="0.25">
      <c r="I83" t="str">
        <v>Brændselsforbrug.PeakFuel</v>
      </c>
    </row>
    <row r="84" spans="9:9" x14ac:dyDescent="0.25">
      <c r="I84" t="str">
        <v>Brændselsindkomst.DepoSort</v>
      </c>
    </row>
    <row r="85" spans="9:9" x14ac:dyDescent="0.25">
      <c r="I85" t="str">
        <v>Brændselsindkomst.DepoSmaat</v>
      </c>
    </row>
    <row r="86" spans="9:9" x14ac:dyDescent="0.25">
      <c r="I86" t="str">
        <v>Brændselsindkomst.DepoNedd</v>
      </c>
    </row>
    <row r="87" spans="9:9" x14ac:dyDescent="0.25">
      <c r="I87" t="str">
        <v>Brændselsindkomst.Dagren</v>
      </c>
    </row>
    <row r="88" spans="9:9" x14ac:dyDescent="0.25">
      <c r="I88" t="str">
        <v>Brændselsindkomst.AndetBrand</v>
      </c>
    </row>
    <row r="89" spans="9:9" x14ac:dyDescent="0.25">
      <c r="I89" t="str">
        <v>Brændselsindkomst.Trae</v>
      </c>
    </row>
    <row r="90" spans="9:9" x14ac:dyDescent="0.25">
      <c r="I90" t="str">
        <v>Brændselsindkomst.DagrenRast</v>
      </c>
    </row>
    <row r="91" spans="9:9" x14ac:dyDescent="0.25">
      <c r="I91" t="str">
        <v>Brændselsindkomst.DagrenInst</v>
      </c>
    </row>
    <row r="92" spans="9:9" x14ac:dyDescent="0.25">
      <c r="I92" t="str">
        <v>Brændselsindkomst.DagrenHandel</v>
      </c>
    </row>
    <row r="93" spans="9:9" x14ac:dyDescent="0.25">
      <c r="I93" t="str">
        <v>Brændselsindkomst.DagrenRestau</v>
      </c>
    </row>
    <row r="94" spans="9:9" x14ac:dyDescent="0.25">
      <c r="I94" t="str">
        <v>Brændselsindkomst.Erhverv</v>
      </c>
    </row>
    <row r="95" spans="9:9" x14ac:dyDescent="0.25">
      <c r="I95" t="str">
        <v>Brændselsindkomst.DagrenErhverv</v>
      </c>
    </row>
    <row r="96" spans="9:9" x14ac:dyDescent="0.25">
      <c r="I96" t="str">
        <v>Brændselsindkomst.HandelKontor</v>
      </c>
    </row>
    <row r="97" spans="9:9" x14ac:dyDescent="0.25">
      <c r="I97" t="str">
        <v>Brændselsindkomst.Privat</v>
      </c>
    </row>
    <row r="98" spans="9:9" x14ac:dyDescent="0.25">
      <c r="I98" t="str">
        <v>Brændselsindkomst.TyskRest</v>
      </c>
    </row>
    <row r="99" spans="9:9" x14ac:dyDescent="0.25">
      <c r="I99" t="str">
        <v>Brændselsindkomst.PolskRest</v>
      </c>
    </row>
    <row r="100" spans="9:9" x14ac:dyDescent="0.25">
      <c r="I100" t="str">
        <v>Brændselsindkomst.PcbTrae</v>
      </c>
    </row>
    <row r="101" spans="9:9" x14ac:dyDescent="0.25">
      <c r="I101" t="str">
        <v>Brændselsindkomst.TraeRekv</v>
      </c>
    </row>
    <row r="102" spans="9:9" x14ac:dyDescent="0.25">
      <c r="I102" t="str">
        <v>Brændselsindkomst.Halm</v>
      </c>
    </row>
    <row r="103" spans="9:9" x14ac:dyDescent="0.25">
      <c r="I103" t="str">
        <v>Brændselsindkomst.Pulver</v>
      </c>
    </row>
    <row r="104" spans="9:9" x14ac:dyDescent="0.25">
      <c r="I104" t="str">
        <v>Brændselsindkomst.FlisAffald</v>
      </c>
    </row>
    <row r="105" spans="9:9" x14ac:dyDescent="0.25">
      <c r="I105" t="str">
        <v>Brændselsindkomst.NyAff1</v>
      </c>
    </row>
    <row r="106" spans="9:9" x14ac:dyDescent="0.25">
      <c r="I106" t="str">
        <v>Brændselsindkomst.NyAff2</v>
      </c>
    </row>
    <row r="107" spans="9:9" x14ac:dyDescent="0.25">
      <c r="I107" t="str">
        <v>Brændselsindkomst.NyAff3</v>
      </c>
    </row>
    <row r="108" spans="9:9" x14ac:dyDescent="0.25">
      <c r="I108" t="str">
        <v>Brændselsindkomst.NyAff4</v>
      </c>
    </row>
    <row r="109" spans="9:9" x14ac:dyDescent="0.25">
      <c r="I109" t="str">
        <v>Brændselsindkomst.NyAff5</v>
      </c>
    </row>
    <row r="110" spans="9:9" x14ac:dyDescent="0.25">
      <c r="I110" t="str">
        <v>Brændselsindkomst.Flis</v>
      </c>
    </row>
    <row r="111" spans="9:9" x14ac:dyDescent="0.25">
      <c r="I111" t="str">
        <v>Brændselsindkomst.NSvarme</v>
      </c>
    </row>
    <row r="112" spans="9:9" x14ac:dyDescent="0.25">
      <c r="I112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ScenInput</vt:lpstr>
      <vt:lpstr>Overblik</vt:lpstr>
      <vt:lpstr>Charts</vt:lpstr>
      <vt:lpstr>Lister</vt:lpstr>
      <vt:lpstr>Lister1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2022-02-09T09:25:23Z</dcterms:modified>
</cp:coreProperties>
</file>