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D09482D9-EDD9-408A-9189-4823F9760829}" xr6:coauthVersionLast="47" xr6:coauthVersionMax="47" xr10:uidLastSave="{00000000-0000-0000-0000-000000000000}"/>
  <bookViews>
    <workbookView xWindow="2730" yWindow="2730" windowWidth="21600" windowHeight="12645" activeTab="1" xr2:uid="{43F97B8D-A1C5-4A28-82B2-29FE10E7B610}"/>
  </bookViews>
  <sheets>
    <sheet name="ScenInput" sheetId="7" r:id="rId1"/>
    <sheet name="Overblik" sheetId="1" r:id="rId2"/>
    <sheet name="Charts" sheetId="2" r:id="rId3"/>
    <sheet name="cØkonomi" sheetId="11" r:id="rId4"/>
    <sheet name="cVarme" sheetId="10" r:id="rId5"/>
    <sheet name="cFuel" sheetId="9" r:id="rId6"/>
    <sheet name="Lister" sheetId="6" r:id="rId7"/>
    <sheet name="Lister1" sheetId="3" r:id="rId8"/>
  </sheets>
  <externalReferences>
    <externalReference r:id="rId9"/>
    <externalReference r:id="rId10"/>
  </externalReferences>
  <definedNames>
    <definedName name="__DIM1" hidden="1">" "</definedName>
    <definedName name="__DIM2" hidden="1">" "</definedName>
    <definedName name="__DIM3" hidden="1">" "</definedName>
    <definedName name="__DIM4" hidden="1">" "</definedName>
    <definedName name="_CreateDate" hidden="1">"2021-06-08"</definedName>
    <definedName name="_CreateTime" hidden="1">"09:26:36"</definedName>
    <definedName name="_DATABUD" hidden="1">"Std"</definedName>
    <definedName name="_DATAMONTH" hidden="1">1</definedName>
    <definedName name="_DATAMONTH2" hidden="1">4</definedName>
    <definedName name="_DATATYPE" hidden="1">"REA/REA"</definedName>
    <definedName name="_DATAUPDATE" hidden="1">TRUE</definedName>
    <definedName name="_DATAYEAR1" hidden="1">2021</definedName>
    <definedName name="_DATAYEAR2" hidden="1">2020</definedName>
    <definedName name="_DIM1" hidden="1">" "</definedName>
    <definedName name="_DIM2" hidden="1">" "</definedName>
    <definedName name="_DIM3" hidden="1">" "</definedName>
    <definedName name="_DIM4" hidden="1">" "</definedName>
    <definedName name="_INSERTTOTALS" hidden="1">TRUE</definedName>
    <definedName name="_lastupdate" hidden="1">"2021-06-08 09:26:37 (DW: 08-06-2021 09:02:37)"</definedName>
    <definedName name="_P1" hidden="1">2021</definedName>
    <definedName name="_P2" hidden="1">2020</definedName>
    <definedName name="_PERIODE" hidden="1">FALSE</definedName>
    <definedName name="_TRANSLATE" hidden="1">[1]language!$B$2:$G$70</definedName>
    <definedName name="_xlpm.a" hidden="1" xlm="1">#NAME?</definedName>
    <definedName name="_xlpm.b" hidden="1" xlm="1">#NAME?</definedName>
    <definedName name="_xlpm.ba" hidden="1" xlm="1">#NAME?</definedName>
    <definedName name="_xlpm.d" hidden="1" xlm="1">#NAME?</definedName>
    <definedName name="_xlpm.icol" hidden="1" xlm="1">#NAME?</definedName>
    <definedName name="_xlpm.id" hidden="1" xlm="1">#NAME?</definedName>
    <definedName name="_xlpm.ll" hidden="1" xlm="1">#NAME?</definedName>
    <definedName name="_xlpm.pmax" hidden="1" xlm="1">#NAME?</definedName>
    <definedName name="_xlpm.ran" hidden="1" xlm="1">#NAME?</definedName>
    <definedName name="_xlpm.res" hidden="1" xlm="1">#NAME?</definedName>
    <definedName name="Affaldsfraktioner">[2]DataFuel!$C$5:$C$30</definedName>
    <definedName name="arrNiv2">Lister!$A$39:$AL$44</definedName>
    <definedName name="arrNiv3">Lister!$A$48:$AJ$53</definedName>
    <definedName name="BALANCE" hidden="1">" "</definedName>
    <definedName name="BCONCERN" hidden="1">FALSE</definedName>
    <definedName name="BMINUS" hidden="1">TRUE</definedName>
    <definedName name="BSIMONSHEET" hidden="1">FALSE</definedName>
    <definedName name="BTHOUSAND" hidden="1">TRUE</definedName>
    <definedName name="BUDGET">2022</definedName>
    <definedName name="BUDGETNAME" hidden="1">2012</definedName>
    <definedName name="BUDGETPERIOD" hidden="1">"01-01-2022..31-12-2022"</definedName>
    <definedName name="BUSECONCERN" hidden="1">TRUE</definedName>
    <definedName name="COMBO" hidden="1">"Afdelinger"</definedName>
    <definedName name="COMPANY" hidden="1">" "</definedName>
    <definedName name="CURRENCYVALUE" hidden="1">100</definedName>
    <definedName name="CURRENCYVALUE2" hidden="1">100</definedName>
    <definedName name="CUTDATE" hidden="1">38352</definedName>
    <definedName name="dFilter">" "</definedName>
    <definedName name="dFilterStart">" "</definedName>
    <definedName name="DropDown2">_xlfn.LET(_xlpm.icol,MATCH(Lister!$R1&amp;"2",listHeaders,0)-1,_xlpm.ran,OFFSET(Lister!$B$3,1,_xlpm.icol,40,1),OFFSET(Lister!$B$3,1,_xlpm.icol,COUNTA(_xlpm.ran)-COUNTIF(_xlpm.ran,"=0"),1))</definedName>
    <definedName name="DropDown3">_xlfn.LET(_xlpm.icol,MATCH(Lister!$R1&amp;"3",listHeaders,0)-1,_xlpm.ran,OFFSET(Lister!$B$3,1,_xlpm.icol,40,1),OFFSET(Lister!$B$3,1,_xlpm.icol,COUNTA(_xlpm.ran)-COUNTIF(_xlpm.ran,"=0"),1))</definedName>
    <definedName name="DropDownLevel2">Lister!$A$5=_xlfn.LET(_xlpm.a,MATCH(Lister!$R1&amp;"2",listHeaders,0)-1,_xlpm.b,OFFSET(Lister!$B$3,1,_xlpm.a,40,1),OFFSET(Lister!$B$3,1,_xlpm.a,COUNTA(_xlpm.b)-COUNTIF(_xlpm.b,"=0"),1))</definedName>
    <definedName name="DropDownScen2" localSheetId="0">_xlfn.LET(_xlpm.icol,MATCH(ScenInput!$E1&amp;"2",listHeaders,0)-1,_xlpm.ran,OFFSET(Lister!$B$3,1,_xlpm.icol,40,1),OFFSET(Lister!$B$3,1,_xlpm.icol,COUNTA(_xlpm.ran)-COUNTIF(_xlpm.ran,"=0"),1))</definedName>
    <definedName name="DropDownScen2">_xlfn.LET(_xlpm.icol,MATCH(#REF!&amp;"2",listHeaders,0)-1,_xlpm.ran,OFFSET(Lister!$B$3,1,_xlpm.icol,40,1),OFFSET(Lister!$B$3,1,_xlpm.icol,COUNTA(_xlpm.ran)-COUNTIF(_xlpm.ran,"=0"),1))</definedName>
    <definedName name="DropDownScen3" localSheetId="0">_xlfn.LET(_xlpm.icol,MATCH(ScenInput!$E1&amp;"3",listHeaders,0)-1,_xlpm.ran,OFFSET(Lister!$B$3,1,_xlpm.icol,40,1),OFFSET(Lister!$B$3,1,_xlpm.icol,COUNTA(_xlpm.ran)-COUNTIF(_xlpm.ran,"=0"),1))</definedName>
    <definedName name="DropDownScen3">_xlfn.LET(_xlpm.icol,MATCH(#REF!&amp;"3",listHeaders,0)-1,_xlpm.ran,OFFSET(Lister!$B$3,1,_xlpm.icol,40,1),OFFSET(Lister!$B$3,1,_xlpm.icol,COUNTA(_xlpm.ran)-COUNTIF(_xlpm.ran,"=0"),1))</definedName>
    <definedName name="DSN" hidden="1">" "</definedName>
    <definedName name="ENDDATE" hidden="1">" "</definedName>
    <definedName name="INCOME" hidden="1">" "</definedName>
    <definedName name="KIBS_DIMREP" hidden="1">" "</definedName>
    <definedName name="KIBSBUDGET" hidden="1">TRUE</definedName>
    <definedName name="KIBSCASHFLOW" hidden="1">TRUE</definedName>
    <definedName name="lindex">" "</definedName>
    <definedName name="listDataCtrl">[2]DataCtrl!$B$4:$B$20</definedName>
    <definedName name="listdynEmner">_xlfn.LET(_xlpm.icol,MATCH(Charts!$B1,listScenHeaders,0),_xlpm.ran,OFFSET(Lister1!$B$2,1,_xlpm.icol,60,1),OFFSET(Lister1!$B$2,1,_xlpm.icol,COUNTA(_xlpm.ran)-COUNTIF(_xlpm.ran,"=0"),1))</definedName>
    <definedName name="listFuelAttr">[2]DataFuel!$D$4:$S$4</definedName>
    <definedName name="listFuelBounds">Lister!$P$4:$P$8</definedName>
    <definedName name="listFuelName">[2]DataFuel!$C$5:$C$33</definedName>
    <definedName name="listHeaders">Lister!$B$3:$P$3</definedName>
    <definedName name="listKategori">_xlfn.ANCHORARRAY(Lister1!$B$3)</definedName>
    <definedName name="listPrognosisAttr">[2]DataU!$E$22:$AC$22</definedName>
    <definedName name="listRoot">Lister!$B$4:$B$9</definedName>
    <definedName name="listScenHeaders">Lister1!$C$2:$F$2</definedName>
    <definedName name="listScenTopics">Overblik!$A$4:$A$125</definedName>
    <definedName name="listScheduleCols">[2]DataU!$B$3:$E$3</definedName>
    <definedName name="listScheduleRows">[2]DataU!$A$4:$A$6</definedName>
    <definedName name="listStorageAttr">[2]DataU!$R$11:$AC$11</definedName>
    <definedName name="listStorageName">[2]DataU!$Q$12:$Q$17</definedName>
    <definedName name="listUnitAttr">[2]DataU!$B$11:$O$11</definedName>
    <definedName name="listUnitsName">[2]DataU!$A$12:$A$17</definedName>
    <definedName name="MANREP_KIBS" hidden="1">"MANREP_KIBS"</definedName>
    <definedName name="MONTH" hidden="1">"januar"</definedName>
    <definedName name="MONTHNUMBER">1</definedName>
    <definedName name="MONTHVAT" hidden="1">TRUE</definedName>
    <definedName name="NotANumber">Lister1!$M$6</definedName>
    <definedName name="Nscen">Lister1!$M$3</definedName>
    <definedName name="NUMBERFACTOR" hidden="1">1</definedName>
    <definedName name="OfzNiveau2">Lister!$B$38</definedName>
    <definedName name="OfzNiveau3">Lister!$B$47</definedName>
    <definedName name="PerDataFirst">[2]DataU!$B$6</definedName>
    <definedName name="PerDataLast">[2]DataU!$C$6</definedName>
    <definedName name="PeriodRange">[2]DataU!$C$23:$C$58</definedName>
    <definedName name="PerSlut">[2]DataU!$E$6</definedName>
    <definedName name="PerSlut2">Lister1!$M$5</definedName>
    <definedName name="PerStart">[2]DataU!$D$6</definedName>
    <definedName name="PerStart2">Lister1!$M$4</definedName>
    <definedName name="PROTECT" hidden="1">FALSE</definedName>
    <definedName name="QUATERVAT" hidden="1">FALSE</definedName>
    <definedName name="SCDim">" "</definedName>
    <definedName name="ScenProtoTHIS">!A1</definedName>
    <definedName name="scenTopicsHeader">Overblik!$A$4</definedName>
    <definedName name="series1">_xlfn.ANCHORARRAY(Charts!$G$6)</definedName>
    <definedName name="Series2">_xlfn.ANCHORARRAY(Charts!$G$7)</definedName>
    <definedName name="Series3">_xlfn.ANCHORARRAY(Charts!$G$8)</definedName>
    <definedName name="Series4">_xlfn.ANCHORARRAY(Charts!$G$9)</definedName>
    <definedName name="Series5">_xlfn.ANCHORARRAY(Charts!$G$10)</definedName>
    <definedName name="STARTDATE" hidden="1">" "</definedName>
    <definedName name="TEMPLATE" hidden="1">"Budget"</definedName>
    <definedName name="USEBORDERS" hidden="1">"ON"</definedName>
    <definedName name="USENEXTYEAR">!A1</definedName>
    <definedName name="valgtKategori">Charts!$B$6</definedName>
    <definedName name="VCONSOLID" hidden="1">TRUE</definedName>
    <definedName name="VEXPORT" hidden="1">TRUE</definedName>
    <definedName name="YEAR">2022</definedName>
    <definedName name="ØvrigeBrændsler">[2]DataFuel!$C$31:$C$33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" i="1" l="1"/>
  <c r="BA2" i="7"/>
  <c r="A22" i="1"/>
  <c r="A23" i="1"/>
  <c r="A24" i="1"/>
  <c r="A25" i="1"/>
  <c r="G16" i="7" l="1" a="1"/>
  <c r="G16" i="7" s="1"/>
  <c r="G17" i="7" a="1"/>
  <c r="G17" i="7" s="1"/>
  <c r="G18" i="7" a="1"/>
  <c r="G18" i="7" s="1"/>
  <c r="G19" i="7" a="1"/>
  <c r="G19" i="7" s="1"/>
  <c r="G20" i="7" a="1"/>
  <c r="G20" i="7" s="1"/>
  <c r="G21" i="7" a="1"/>
  <c r="G21" i="7" s="1"/>
  <c r="G22" i="7" a="1"/>
  <c r="G22" i="7" s="1"/>
  <c r="G23" i="7" a="1"/>
  <c r="G23" i="7" s="1"/>
  <c r="G24" i="7" a="1"/>
  <c r="G24" i="7" s="1"/>
  <c r="G25" i="7" a="1"/>
  <c r="G25" i="7" s="1"/>
  <c r="G26" i="7" a="1"/>
  <c r="G26" i="7" s="1"/>
  <c r="G27" i="7" a="1"/>
  <c r="G27" i="7" s="1"/>
  <c r="G28" i="7" a="1"/>
  <c r="G28" i="7" s="1"/>
  <c r="G29" i="7" a="1"/>
  <c r="G29" i="7" s="1"/>
  <c r="G30" i="7" a="1"/>
  <c r="G30" i="7" s="1"/>
  <c r="G31" i="7" a="1"/>
  <c r="G31" i="7" s="1"/>
  <c r="G32" i="7" a="1"/>
  <c r="G32" i="7" s="1"/>
  <c r="G33" i="7" a="1"/>
  <c r="G33" i="7" s="1"/>
  <c r="G34" i="7" a="1"/>
  <c r="G34" i="7" s="1"/>
  <c r="G35" i="7" a="1"/>
  <c r="G35" i="7" s="1"/>
  <c r="G36" i="7" a="1"/>
  <c r="G36" i="7" s="1"/>
  <c r="G37" i="7" a="1"/>
  <c r="G37" i="7" s="1"/>
  <c r="G38" i="7" a="1"/>
  <c r="G38" i="7" s="1"/>
  <c r="G39" i="7" a="1"/>
  <c r="G39" i="7" s="1"/>
  <c r="G40" i="7" a="1"/>
  <c r="G40" i="7" s="1"/>
  <c r="G41" i="7" a="1"/>
  <c r="G41" i="7" s="1"/>
  <c r="G42" i="7" a="1"/>
  <c r="G42" i="7" s="1"/>
  <c r="J4" i="7"/>
  <c r="J5" i="7" s="1"/>
  <c r="K4" i="7"/>
  <c r="K5" i="7" s="1"/>
  <c r="L4" i="7"/>
  <c r="L5" i="7" s="1"/>
  <c r="M4" i="7"/>
  <c r="M5" i="7" s="1"/>
  <c r="N4" i="7"/>
  <c r="N5" i="7" s="1"/>
  <c r="O4" i="7"/>
  <c r="O5" i="7" s="1"/>
  <c r="P4" i="7"/>
  <c r="P5" i="7" s="1"/>
  <c r="Q4" i="7"/>
  <c r="Q5" i="7" s="1"/>
  <c r="R4" i="7"/>
  <c r="R5" i="7" s="1"/>
  <c r="S4" i="7"/>
  <c r="S5" i="7" s="1"/>
  <c r="T4" i="7"/>
  <c r="T5" i="7" s="1"/>
  <c r="U4" i="7"/>
  <c r="U5" i="7" s="1"/>
  <c r="V4" i="7"/>
  <c r="V5" i="7" s="1"/>
  <c r="W4" i="7"/>
  <c r="W5" i="7" s="1"/>
  <c r="X4" i="7"/>
  <c r="X5" i="7" s="1"/>
  <c r="Y4" i="7"/>
  <c r="Y5" i="7" s="1"/>
  <c r="Z4" i="7"/>
  <c r="Z5" i="7" s="1"/>
  <c r="AA4" i="7"/>
  <c r="AA5" i="7" s="1"/>
  <c r="AB4" i="7"/>
  <c r="AB5" i="7" s="1"/>
  <c r="AC4" i="7"/>
  <c r="AC5" i="7" s="1"/>
  <c r="AD4" i="7"/>
  <c r="AD5" i="7" s="1"/>
  <c r="AE4" i="7"/>
  <c r="AE5" i="7" s="1"/>
  <c r="AF4" i="7"/>
  <c r="AF5" i="7" s="1"/>
  <c r="AG4" i="7"/>
  <c r="AG5" i="7" s="1"/>
  <c r="AH4" i="7"/>
  <c r="AH5" i="7" s="1"/>
  <c r="AI4" i="7"/>
  <c r="AI5" i="7" s="1"/>
  <c r="AJ4" i="7"/>
  <c r="AJ5" i="7" s="1"/>
  <c r="AK4" i="7"/>
  <c r="AK5" i="7" s="1"/>
  <c r="AL4" i="7"/>
  <c r="AL5" i="7" s="1"/>
  <c r="AM4" i="7"/>
  <c r="AM5" i="7" s="1"/>
  <c r="AN4" i="7"/>
  <c r="AN5" i="7" s="1"/>
  <c r="AO4" i="7"/>
  <c r="AO5" i="7" s="1"/>
  <c r="AP4" i="7"/>
  <c r="AP5" i="7" s="1"/>
  <c r="AQ4" i="7"/>
  <c r="AQ5" i="7" s="1"/>
  <c r="AR4" i="7"/>
  <c r="AR5" i="7" s="1"/>
  <c r="I4" i="7"/>
  <c r="I5" i="7" s="1"/>
  <c r="M4" i="3" a="1"/>
  <c r="M4" i="3" s="1"/>
  <c r="M5" i="3" a="1"/>
  <c r="M5" i="3" s="1"/>
  <c r="D6" i="7"/>
  <c r="C7" i="7"/>
  <c r="H7" i="7" s="1"/>
  <c r="C8" i="7"/>
  <c r="H8" i="7" s="1"/>
  <c r="C9" i="7"/>
  <c r="H9" i="7" s="1"/>
  <c r="C10" i="7"/>
  <c r="H10" i="7" s="1"/>
  <c r="C11" i="7"/>
  <c r="H11" i="7" s="1"/>
  <c r="C12" i="7"/>
  <c r="H12" i="7" s="1"/>
  <c r="C13" i="7"/>
  <c r="H13" i="7" s="1"/>
  <c r="C14" i="7"/>
  <c r="H14" i="7" s="1"/>
  <c r="C15" i="7"/>
  <c r="H15" i="7" s="1"/>
  <c r="C16" i="7"/>
  <c r="H16" i="7" s="1"/>
  <c r="C17" i="7"/>
  <c r="H17" i="7" s="1"/>
  <c r="C18" i="7"/>
  <c r="H18" i="7" s="1"/>
  <c r="C19" i="7"/>
  <c r="H19" i="7" s="1"/>
  <c r="C20" i="7"/>
  <c r="H20" i="7" s="1"/>
  <c r="C21" i="7"/>
  <c r="H21" i="7" s="1"/>
  <c r="C22" i="7"/>
  <c r="H22" i="7" s="1"/>
  <c r="C23" i="7"/>
  <c r="H23" i="7" s="1"/>
  <c r="C24" i="7"/>
  <c r="H24" i="7" s="1"/>
  <c r="C25" i="7"/>
  <c r="H25" i="7" s="1"/>
  <c r="C26" i="7"/>
  <c r="H26" i="7" s="1"/>
  <c r="C27" i="7"/>
  <c r="H27" i="7" s="1"/>
  <c r="C28" i="7"/>
  <c r="H28" i="7" s="1"/>
  <c r="C29" i="7"/>
  <c r="H29" i="7" s="1"/>
  <c r="C30" i="7"/>
  <c r="H30" i="7" s="1"/>
  <c r="C31" i="7"/>
  <c r="H31" i="7" s="1"/>
  <c r="C32" i="7"/>
  <c r="H32" i="7" s="1"/>
  <c r="C33" i="7"/>
  <c r="H33" i="7" s="1"/>
  <c r="C34" i="7"/>
  <c r="H34" i="7" s="1"/>
  <c r="C35" i="7"/>
  <c r="H35" i="7" s="1"/>
  <c r="C36" i="7"/>
  <c r="H36" i="7" s="1"/>
  <c r="C37" i="7"/>
  <c r="H37" i="7" s="1"/>
  <c r="C38" i="7"/>
  <c r="H38" i="7" s="1"/>
  <c r="C39" i="7"/>
  <c r="H39" i="7" s="1"/>
  <c r="C40" i="7"/>
  <c r="H40" i="7" s="1"/>
  <c r="C41" i="7"/>
  <c r="H41" i="7" s="1"/>
  <c r="C42" i="7"/>
  <c r="H42" i="7" s="1"/>
  <c r="C6" i="7"/>
  <c r="H6" i="7" s="1"/>
  <c r="G11" i="2" a="1"/>
  <c r="G11" i="2" s="1"/>
  <c r="G12" i="2" a="1"/>
  <c r="G12" i="2" s="1"/>
  <c r="G13" i="2" a="1"/>
  <c r="G13" i="2" s="1"/>
  <c r="G14" i="2" a="1"/>
  <c r="G14" i="2" s="1"/>
  <c r="G15" i="2" a="1"/>
  <c r="G15" i="2" s="1"/>
  <c r="F11" i="2"/>
  <c r="F12" i="2"/>
  <c r="F13" i="2"/>
  <c r="F14" i="2"/>
  <c r="F15" i="2"/>
  <c r="M3" i="3" a="1"/>
  <c r="M3" i="3" s="1"/>
  <c r="F26" i="7" a="1"/>
  <c r="F26" i="7" s="1"/>
  <c r="F27" i="7" a="1"/>
  <c r="F27" i="7" s="1"/>
  <c r="F28" i="7" a="1"/>
  <c r="F28" i="7" s="1"/>
  <c r="F29" i="7" a="1"/>
  <c r="F29" i="7" s="1"/>
  <c r="F30" i="7" a="1"/>
  <c r="F30" i="7" s="1"/>
  <c r="F31" i="7" a="1"/>
  <c r="F31" i="7" s="1"/>
  <c r="F32" i="7" a="1"/>
  <c r="F32" i="7" s="1"/>
  <c r="F33" i="7" a="1"/>
  <c r="F33" i="7" s="1"/>
  <c r="F34" i="7" a="1"/>
  <c r="F34" i="7" s="1"/>
  <c r="F35" i="7" a="1"/>
  <c r="F35" i="7" s="1"/>
  <c r="F36" i="7" a="1"/>
  <c r="F36" i="7" s="1"/>
  <c r="F37" i="7" a="1"/>
  <c r="F37" i="7" s="1"/>
  <c r="F38" i="7" a="1"/>
  <c r="F38" i="7" s="1"/>
  <c r="F39" i="7" a="1"/>
  <c r="F39" i="7" s="1"/>
  <c r="F40" i="7" a="1"/>
  <c r="F40" i="7" s="1"/>
  <c r="F41" i="7" a="1"/>
  <c r="F41" i="7" s="1"/>
  <c r="F42" i="7" a="1"/>
  <c r="F42" i="7" s="1"/>
  <c r="E7" i="7" a="1"/>
  <c r="E7" i="7" s="1"/>
  <c r="E8" i="7" a="1"/>
  <c r="E8" i="7" s="1"/>
  <c r="E9" i="7" a="1"/>
  <c r="E9" i="7" s="1"/>
  <c r="E10" i="7" a="1"/>
  <c r="E10" i="7" s="1"/>
  <c r="E11" i="7" a="1"/>
  <c r="E11" i="7" s="1"/>
  <c r="E12" i="7" a="1"/>
  <c r="E12" i="7" s="1"/>
  <c r="E13" i="7" a="1"/>
  <c r="E13" i="7" s="1"/>
  <c r="E14" i="7" a="1"/>
  <c r="E14" i="7" s="1"/>
  <c r="E15" i="7" a="1"/>
  <c r="E15" i="7" s="1"/>
  <c r="E16" i="7" a="1"/>
  <c r="E16" i="7" s="1"/>
  <c r="E17" i="7" a="1"/>
  <c r="E17" i="7" s="1"/>
  <c r="E18" i="7" a="1"/>
  <c r="E18" i="7" s="1"/>
  <c r="E19" i="7" a="1"/>
  <c r="E19" i="7" s="1"/>
  <c r="E20" i="7" a="1"/>
  <c r="E20" i="7" s="1"/>
  <c r="E21" i="7" a="1"/>
  <c r="E21" i="7" s="1"/>
  <c r="E22" i="7" a="1"/>
  <c r="E22" i="7" s="1"/>
  <c r="E23" i="7" a="1"/>
  <c r="E23" i="7" s="1"/>
  <c r="E24" i="7" a="1"/>
  <c r="E24" i="7" s="1"/>
  <c r="E25" i="7" a="1"/>
  <c r="E25" i="7" s="1"/>
  <c r="E26" i="7" a="1"/>
  <c r="E26" i="7" s="1"/>
  <c r="E27" i="7" a="1"/>
  <c r="E27" i="7" s="1"/>
  <c r="E28" i="7" a="1"/>
  <c r="E28" i="7" s="1"/>
  <c r="E29" i="7" a="1"/>
  <c r="E29" i="7" s="1"/>
  <c r="E30" i="7" a="1"/>
  <c r="E30" i="7" s="1"/>
  <c r="E31" i="7" a="1"/>
  <c r="E31" i="7" s="1"/>
  <c r="E32" i="7" a="1"/>
  <c r="E32" i="7" s="1"/>
  <c r="E33" i="7" a="1"/>
  <c r="E33" i="7" s="1"/>
  <c r="E34" i="7" a="1"/>
  <c r="E34" i="7" s="1"/>
  <c r="E35" i="7" a="1"/>
  <c r="E35" i="7" s="1"/>
  <c r="E36" i="7" a="1"/>
  <c r="E36" i="7" s="1"/>
  <c r="E37" i="7" a="1"/>
  <c r="E37" i="7" s="1"/>
  <c r="E38" i="7" a="1"/>
  <c r="E38" i="7" s="1"/>
  <c r="E39" i="7" a="1"/>
  <c r="E39" i="7" s="1"/>
  <c r="E40" i="7" a="1"/>
  <c r="E40" i="7" s="1"/>
  <c r="E41" i="7" a="1"/>
  <c r="E41" i="7" s="1"/>
  <c r="E42" i="7" a="1"/>
  <c r="E42" i="7" s="1"/>
  <c r="E6" i="7" a="1"/>
  <c r="E6" i="7" s="1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C43" i="7"/>
  <c r="D43" i="7"/>
  <c r="C44" i="7"/>
  <c r="D44" i="7"/>
  <c r="C45" i="7"/>
  <c r="D45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4" i="7"/>
  <c r="B45" i="7"/>
  <c r="B6" i="7"/>
  <c r="B57" i="6"/>
  <c r="C53" i="6" a="1"/>
  <c r="C53" i="6" s="1"/>
  <c r="B53" i="6"/>
  <c r="B52" i="6"/>
  <c r="B51" i="6"/>
  <c r="A51" i="6"/>
  <c r="B50" i="6"/>
  <c r="B49" i="6"/>
  <c r="B48" i="6"/>
  <c r="B44" i="6"/>
  <c r="B43" i="6"/>
  <c r="B42" i="6"/>
  <c r="B41" i="6"/>
  <c r="B40" i="6"/>
  <c r="B39" i="6"/>
  <c r="N4" i="6" a="1"/>
  <c r="N4" i="6" s="1"/>
  <c r="C52" i="6" s="1" a="1"/>
  <c r="C52" i="6" s="1"/>
  <c r="L4" i="6" a="1"/>
  <c r="L4" i="6" s="1"/>
  <c r="C50" i="6" s="1" a="1"/>
  <c r="C50" i="6" s="1"/>
  <c r="K4" i="6" a="1"/>
  <c r="K4" i="6" s="1"/>
  <c r="C49" i="6" s="1" a="1"/>
  <c r="C49" i="6" s="1"/>
  <c r="H4" i="6" a="1"/>
  <c r="H4" i="6" s="1"/>
  <c r="C44" i="6" s="1" a="1"/>
  <c r="C44" i="6" s="1"/>
  <c r="G4" i="6" a="1"/>
  <c r="G4" i="6" s="1"/>
  <c r="C43" i="6" s="1" a="1"/>
  <c r="C43" i="6" s="1"/>
  <c r="F4" i="6" a="1"/>
  <c r="F4" i="6" s="1"/>
  <c r="C42" i="6" s="1" a="1"/>
  <c r="C42" i="6" s="1"/>
  <c r="E4" i="6" a="1"/>
  <c r="E4" i="6" s="1"/>
  <c r="D4" i="6" a="1"/>
  <c r="D4" i="6" s="1"/>
  <c r="C40" i="6" s="1" a="1"/>
  <c r="C40" i="6" s="1"/>
  <c r="C4" i="6" a="1"/>
  <c r="C4" i="6" s="1"/>
  <c r="C39" i="6" s="1" a="1"/>
  <c r="C39" i="6" s="1"/>
  <c r="J3" i="6"/>
  <c r="J3" i="6" a="1"/>
  <c r="C3" i="6" a="1"/>
  <c r="C3" i="6" s="1"/>
  <c r="F7" i="2"/>
  <c r="F8" i="2"/>
  <c r="F9" i="2"/>
  <c r="F10" i="2"/>
  <c r="F6" i="2"/>
  <c r="A93" i="1"/>
  <c r="A94" i="1"/>
  <c r="A125" i="1"/>
  <c r="A126" i="1"/>
  <c r="A127" i="1"/>
  <c r="A128" i="1"/>
  <c r="A129" i="1"/>
  <c r="A130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96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64" i="1"/>
  <c r="A57" i="1"/>
  <c r="A58" i="1"/>
  <c r="A59" i="1"/>
  <c r="A60" i="1"/>
  <c r="A61" i="1"/>
  <c r="A62" i="1"/>
  <c r="A56" i="1"/>
  <c r="A6" i="1"/>
  <c r="A7" i="1"/>
  <c r="A8" i="1"/>
  <c r="A9" i="1"/>
  <c r="A11" i="1"/>
  <c r="A12" i="1"/>
  <c r="A13" i="1"/>
  <c r="A14" i="1"/>
  <c r="A15" i="1"/>
  <c r="A16" i="1"/>
  <c r="A17" i="1"/>
  <c r="A18" i="1"/>
  <c r="A19" i="1"/>
  <c r="A20" i="1"/>
  <c r="A21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4" i="1"/>
  <c r="J1" i="1"/>
  <c r="G15" i="7" l="1" a="1"/>
  <c r="G15" i="7" s="1"/>
  <c r="G6" i="7" a="1"/>
  <c r="G6" i="7" s="1"/>
  <c r="G14" i="7" a="1"/>
  <c r="G14" i="7" s="1"/>
  <c r="G10" i="7" a="1"/>
  <c r="G10" i="7" s="1"/>
  <c r="G9" i="7" a="1"/>
  <c r="G9" i="7" s="1"/>
  <c r="G8" i="7" a="1"/>
  <c r="G8" i="7" s="1"/>
  <c r="G7" i="7" a="1"/>
  <c r="G7" i="7" s="1"/>
  <c r="M9" i="7"/>
  <c r="K9" i="7"/>
  <c r="S9" i="7"/>
  <c r="N9" i="7"/>
  <c r="J6" i="7"/>
  <c r="R6" i="7"/>
  <c r="Z6" i="7"/>
  <c r="AH6" i="7"/>
  <c r="AP6" i="7"/>
  <c r="O7" i="7"/>
  <c r="W7" i="7"/>
  <c r="AE7" i="7"/>
  <c r="AM7" i="7"/>
  <c r="L8" i="7"/>
  <c r="T8" i="7"/>
  <c r="AB8" i="7"/>
  <c r="AJ8" i="7"/>
  <c r="AR8" i="7"/>
  <c r="Z9" i="7"/>
  <c r="AH9" i="7"/>
  <c r="AP9" i="7"/>
  <c r="O10" i="7"/>
  <c r="W10" i="7"/>
  <c r="AE10" i="7"/>
  <c r="AM10" i="7"/>
  <c r="L11" i="7"/>
  <c r="T11" i="7"/>
  <c r="AB11" i="7"/>
  <c r="AJ11" i="7"/>
  <c r="AR11" i="7"/>
  <c r="Q12" i="7"/>
  <c r="Y12" i="7"/>
  <c r="AG12" i="7"/>
  <c r="AO12" i="7"/>
  <c r="N13" i="7"/>
  <c r="V13" i="7"/>
  <c r="AD13" i="7"/>
  <c r="AL13" i="7"/>
  <c r="K14" i="7"/>
  <c r="S14" i="7"/>
  <c r="AA14" i="7"/>
  <c r="AI14" i="7"/>
  <c r="AQ14" i="7"/>
  <c r="P15" i="7"/>
  <c r="X15" i="7"/>
  <c r="AF15" i="7"/>
  <c r="AN15" i="7"/>
  <c r="M16" i="7"/>
  <c r="U16" i="7"/>
  <c r="AC16" i="7"/>
  <c r="AK16" i="7"/>
  <c r="J17" i="7"/>
  <c r="R17" i="7"/>
  <c r="Z17" i="7"/>
  <c r="AH17" i="7"/>
  <c r="AP17" i="7"/>
  <c r="O18" i="7"/>
  <c r="W18" i="7"/>
  <c r="AE18" i="7"/>
  <c r="AM18" i="7"/>
  <c r="L19" i="7"/>
  <c r="T19" i="7"/>
  <c r="AB19" i="7"/>
  <c r="AJ19" i="7"/>
  <c r="AR19" i="7"/>
  <c r="Q20" i="7"/>
  <c r="Y20" i="7"/>
  <c r="AG20" i="7"/>
  <c r="AO20" i="7"/>
  <c r="N21" i="7"/>
  <c r="V21" i="7"/>
  <c r="AD21" i="7"/>
  <c r="AL21" i="7"/>
  <c r="K22" i="7"/>
  <c r="S22" i="7"/>
  <c r="AA22" i="7"/>
  <c r="AI22" i="7"/>
  <c r="AQ22" i="7"/>
  <c r="P23" i="7"/>
  <c r="X23" i="7"/>
  <c r="AF23" i="7"/>
  <c r="AN23" i="7"/>
  <c r="M24" i="7"/>
  <c r="U24" i="7"/>
  <c r="AC24" i="7"/>
  <c r="AK24" i="7"/>
  <c r="J25" i="7"/>
  <c r="R25" i="7"/>
  <c r="Z25" i="7"/>
  <c r="K6" i="7"/>
  <c r="S6" i="7"/>
  <c r="AA6" i="7"/>
  <c r="AI6" i="7"/>
  <c r="AQ6" i="7"/>
  <c r="P7" i="7"/>
  <c r="X7" i="7"/>
  <c r="AF7" i="7"/>
  <c r="AN7" i="7"/>
  <c r="M8" i="7"/>
  <c r="U8" i="7"/>
  <c r="AC8" i="7"/>
  <c r="AK8" i="7"/>
  <c r="P9" i="7"/>
  <c r="AA9" i="7"/>
  <c r="AI9" i="7"/>
  <c r="AQ9" i="7"/>
  <c r="P10" i="7"/>
  <c r="X10" i="7"/>
  <c r="AF10" i="7"/>
  <c r="AN10" i="7"/>
  <c r="M11" i="7"/>
  <c r="U11" i="7"/>
  <c r="AC11" i="7"/>
  <c r="AK11" i="7"/>
  <c r="J12" i="7"/>
  <c r="R12" i="7"/>
  <c r="Z12" i="7"/>
  <c r="AH12" i="7"/>
  <c r="AP12" i="7"/>
  <c r="O13" i="7"/>
  <c r="W13" i="7"/>
  <c r="AE13" i="7"/>
  <c r="AM13" i="7"/>
  <c r="L14" i="7"/>
  <c r="T14" i="7"/>
  <c r="AB14" i="7"/>
  <c r="AJ14" i="7"/>
  <c r="AR14" i="7"/>
  <c r="Q15" i="7"/>
  <c r="Y15" i="7"/>
  <c r="AG15" i="7"/>
  <c r="AO15" i="7"/>
  <c r="N16" i="7"/>
  <c r="V16" i="7"/>
  <c r="AD16" i="7"/>
  <c r="AL16" i="7"/>
  <c r="K17" i="7"/>
  <c r="S17" i="7"/>
  <c r="AA17" i="7"/>
  <c r="AI17" i="7"/>
  <c r="AQ17" i="7"/>
  <c r="P18" i="7"/>
  <c r="X18" i="7"/>
  <c r="AF18" i="7"/>
  <c r="AN18" i="7"/>
  <c r="M19" i="7"/>
  <c r="U19" i="7"/>
  <c r="AC19" i="7"/>
  <c r="AK19" i="7"/>
  <c r="J20" i="7"/>
  <c r="R20" i="7"/>
  <c r="Z20" i="7"/>
  <c r="AH20" i="7"/>
  <c r="AP20" i="7"/>
  <c r="O21" i="7"/>
  <c r="W21" i="7"/>
  <c r="AE21" i="7"/>
  <c r="AM21" i="7"/>
  <c r="L22" i="7"/>
  <c r="T22" i="7"/>
  <c r="AB22" i="7"/>
  <c r="AJ22" i="7"/>
  <c r="AR22" i="7"/>
  <c r="Q23" i="7"/>
  <c r="L6" i="7"/>
  <c r="T6" i="7"/>
  <c r="AB6" i="7"/>
  <c r="AJ6" i="7"/>
  <c r="AR6" i="7"/>
  <c r="Q7" i="7"/>
  <c r="Y7" i="7"/>
  <c r="AG7" i="7"/>
  <c r="AO7" i="7"/>
  <c r="N8" i="7"/>
  <c r="V8" i="7"/>
  <c r="AD8" i="7"/>
  <c r="AL8" i="7"/>
  <c r="T9" i="7"/>
  <c r="AB9" i="7"/>
  <c r="AJ9" i="7"/>
  <c r="AR9" i="7"/>
  <c r="Q10" i="7"/>
  <c r="Y10" i="7"/>
  <c r="AG10" i="7"/>
  <c r="AO10" i="7"/>
  <c r="N11" i="7"/>
  <c r="V11" i="7"/>
  <c r="AD11" i="7"/>
  <c r="AL11" i="7"/>
  <c r="K12" i="7"/>
  <c r="S12" i="7"/>
  <c r="AA12" i="7"/>
  <c r="AI12" i="7"/>
  <c r="M6" i="7"/>
  <c r="U6" i="7"/>
  <c r="AC6" i="7"/>
  <c r="AK6" i="7"/>
  <c r="J7" i="7"/>
  <c r="R7" i="7"/>
  <c r="Z7" i="7"/>
  <c r="AH7" i="7"/>
  <c r="AP7" i="7"/>
  <c r="O8" i="7"/>
  <c r="W8" i="7"/>
  <c r="AE8" i="7"/>
  <c r="AM8" i="7"/>
  <c r="U9" i="7"/>
  <c r="AC9" i="7"/>
  <c r="AK9" i="7"/>
  <c r="J10" i="7"/>
  <c r="R10" i="7"/>
  <c r="Z10" i="7"/>
  <c r="AH10" i="7"/>
  <c r="AP10" i="7"/>
  <c r="O11" i="7"/>
  <c r="W11" i="7"/>
  <c r="AE11" i="7"/>
  <c r="AM11" i="7"/>
  <c r="L12" i="7"/>
  <c r="T12" i="7"/>
  <c r="AB12" i="7"/>
  <c r="AJ12" i="7"/>
  <c r="AR12" i="7"/>
  <c r="Q13" i="7"/>
  <c r="Y13" i="7"/>
  <c r="AG13" i="7"/>
  <c r="AO13" i="7"/>
  <c r="N14" i="7"/>
  <c r="V14" i="7"/>
  <c r="AD14" i="7"/>
  <c r="AL14" i="7"/>
  <c r="K15" i="7"/>
  <c r="S15" i="7"/>
  <c r="AA15" i="7"/>
  <c r="AI15" i="7"/>
  <c r="AQ15" i="7"/>
  <c r="P16" i="7"/>
  <c r="X16" i="7"/>
  <c r="AF16" i="7"/>
  <c r="AN16" i="7"/>
  <c r="M17" i="7"/>
  <c r="U17" i="7"/>
  <c r="AC17" i="7"/>
  <c r="AK17" i="7"/>
  <c r="J18" i="7"/>
  <c r="R18" i="7"/>
  <c r="Z18" i="7"/>
  <c r="AH18" i="7"/>
  <c r="AP18" i="7"/>
  <c r="O19" i="7"/>
  <c r="W19" i="7"/>
  <c r="AE19" i="7"/>
  <c r="AM19" i="7"/>
  <c r="L20" i="7"/>
  <c r="T20" i="7"/>
  <c r="AB20" i="7"/>
  <c r="AJ20" i="7"/>
  <c r="AR20" i="7"/>
  <c r="Q21" i="7"/>
  <c r="Y21" i="7"/>
  <c r="AG21" i="7"/>
  <c r="AO21" i="7"/>
  <c r="N22" i="7"/>
  <c r="V22" i="7"/>
  <c r="AD22" i="7"/>
  <c r="AL22" i="7"/>
  <c r="K23" i="7"/>
  <c r="S23" i="7"/>
  <c r="AA23" i="7"/>
  <c r="AI23" i="7"/>
  <c r="AQ23" i="7"/>
  <c r="P24" i="7"/>
  <c r="X24" i="7"/>
  <c r="AF24" i="7"/>
  <c r="AN24" i="7"/>
  <c r="M25" i="7"/>
  <c r="N6" i="7"/>
  <c r="V6" i="7"/>
  <c r="AD6" i="7"/>
  <c r="AL6" i="7"/>
  <c r="K7" i="7"/>
  <c r="S7" i="7"/>
  <c r="AA7" i="7"/>
  <c r="AI7" i="7"/>
  <c r="AQ7" i="7"/>
  <c r="P8" i="7"/>
  <c r="X8" i="7"/>
  <c r="AF8" i="7"/>
  <c r="AN8" i="7"/>
  <c r="V9" i="7"/>
  <c r="AD9" i="7"/>
  <c r="AL9" i="7"/>
  <c r="K10" i="7"/>
  <c r="S10" i="7"/>
  <c r="AA10" i="7"/>
  <c r="AI10" i="7"/>
  <c r="AQ10" i="7"/>
  <c r="P11" i="7"/>
  <c r="X11" i="7"/>
  <c r="AF11" i="7"/>
  <c r="AN11" i="7"/>
  <c r="M12" i="7"/>
  <c r="U12" i="7"/>
  <c r="AC12" i="7"/>
  <c r="AK12" i="7"/>
  <c r="J13" i="7"/>
  <c r="R13" i="7"/>
  <c r="Z13" i="7"/>
  <c r="AH13" i="7"/>
  <c r="AP13" i="7"/>
  <c r="O14" i="7"/>
  <c r="W14" i="7"/>
  <c r="AE14" i="7"/>
  <c r="AM14" i="7"/>
  <c r="L15" i="7"/>
  <c r="T15" i="7"/>
  <c r="AB15" i="7"/>
  <c r="AJ15" i="7"/>
  <c r="AR15" i="7"/>
  <c r="Q16" i="7"/>
  <c r="Y16" i="7"/>
  <c r="AG16" i="7"/>
  <c r="AO16" i="7"/>
  <c r="N17" i="7"/>
  <c r="V17" i="7"/>
  <c r="AD17" i="7"/>
  <c r="AL17" i="7"/>
  <c r="K18" i="7"/>
  <c r="S18" i="7"/>
  <c r="AA18" i="7"/>
  <c r="AI18" i="7"/>
  <c r="AQ18" i="7"/>
  <c r="P19" i="7"/>
  <c r="X19" i="7"/>
  <c r="AF19" i="7"/>
  <c r="AN19" i="7"/>
  <c r="M20" i="7"/>
  <c r="U20" i="7"/>
  <c r="AC20" i="7"/>
  <c r="AK20" i="7"/>
  <c r="J21" i="7"/>
  <c r="R21" i="7"/>
  <c r="Z21" i="7"/>
  <c r="AH21" i="7"/>
  <c r="AP21" i="7"/>
  <c r="O22" i="7"/>
  <c r="W22" i="7"/>
  <c r="AE22" i="7"/>
  <c r="AM22" i="7"/>
  <c r="L23" i="7"/>
  <c r="T23" i="7"/>
  <c r="AB23" i="7"/>
  <c r="AJ23" i="7"/>
  <c r="AR23" i="7"/>
  <c r="Q24" i="7"/>
  <c r="Y24" i="7"/>
  <c r="AG24" i="7"/>
  <c r="AO24" i="7"/>
  <c r="N25" i="7"/>
  <c r="V25" i="7"/>
  <c r="AD25" i="7"/>
  <c r="O6" i="7"/>
  <c r="W6" i="7"/>
  <c r="AE6" i="7"/>
  <c r="AM6" i="7"/>
  <c r="L7" i="7"/>
  <c r="T7" i="7"/>
  <c r="AB7" i="7"/>
  <c r="AJ7" i="7"/>
  <c r="AR7" i="7"/>
  <c r="Q8" i="7"/>
  <c r="Y8" i="7"/>
  <c r="AG8" i="7"/>
  <c r="AO8" i="7"/>
  <c r="P6" i="7"/>
  <c r="M7" i="7"/>
  <c r="J8" i="7"/>
  <c r="AP8" i="7"/>
  <c r="AM9" i="7"/>
  <c r="V10" i="7"/>
  <c r="J11" i="7"/>
  <c r="AG11" i="7"/>
  <c r="P12" i="7"/>
  <c r="AM12" i="7"/>
  <c r="T13" i="7"/>
  <c r="AJ13" i="7"/>
  <c r="Q14" i="7"/>
  <c r="AG14" i="7"/>
  <c r="N15" i="7"/>
  <c r="AD15" i="7"/>
  <c r="K16" i="7"/>
  <c r="AA16" i="7"/>
  <c r="AQ16" i="7"/>
  <c r="X17" i="7"/>
  <c r="AN17" i="7"/>
  <c r="U18" i="7"/>
  <c r="AK18" i="7"/>
  <c r="R19" i="7"/>
  <c r="AH19" i="7"/>
  <c r="O20" i="7"/>
  <c r="AE20" i="7"/>
  <c r="L21" i="7"/>
  <c r="AB21" i="7"/>
  <c r="AR21" i="7"/>
  <c r="Y22" i="7"/>
  <c r="AO22" i="7"/>
  <c r="V23" i="7"/>
  <c r="AH23" i="7"/>
  <c r="L24" i="7"/>
  <c r="Z24" i="7"/>
  <c r="AL24" i="7"/>
  <c r="P25" i="7"/>
  <c r="AA25" i="7"/>
  <c r="AJ25" i="7"/>
  <c r="AR25" i="7"/>
  <c r="Q26" i="7"/>
  <c r="Y26" i="7"/>
  <c r="AG26" i="7"/>
  <c r="AO26" i="7"/>
  <c r="N27" i="7"/>
  <c r="V27" i="7"/>
  <c r="AD27" i="7"/>
  <c r="AL27" i="7"/>
  <c r="K28" i="7"/>
  <c r="S28" i="7"/>
  <c r="AA28" i="7"/>
  <c r="AI28" i="7"/>
  <c r="AQ28" i="7"/>
  <c r="P29" i="7"/>
  <c r="X29" i="7"/>
  <c r="AF29" i="7"/>
  <c r="AN29" i="7"/>
  <c r="M30" i="7"/>
  <c r="U30" i="7"/>
  <c r="AC30" i="7"/>
  <c r="AK30" i="7"/>
  <c r="J31" i="7"/>
  <c r="R31" i="7"/>
  <c r="Z31" i="7"/>
  <c r="AH31" i="7"/>
  <c r="AP31" i="7"/>
  <c r="O32" i="7"/>
  <c r="W32" i="7"/>
  <c r="AE32" i="7"/>
  <c r="AM32" i="7"/>
  <c r="L33" i="7"/>
  <c r="T33" i="7"/>
  <c r="AB33" i="7"/>
  <c r="AJ33" i="7"/>
  <c r="AR33" i="7"/>
  <c r="Q34" i="7"/>
  <c r="Y34" i="7"/>
  <c r="AG34" i="7"/>
  <c r="Q6" i="7"/>
  <c r="N7" i="7"/>
  <c r="K8" i="7"/>
  <c r="AQ8" i="7"/>
  <c r="AN9" i="7"/>
  <c r="AB10" i="7"/>
  <c r="K11" i="7"/>
  <c r="AH11" i="7"/>
  <c r="V12" i="7"/>
  <c r="AN12" i="7"/>
  <c r="U13" i="7"/>
  <c r="AK13" i="7"/>
  <c r="R14" i="7"/>
  <c r="AH14" i="7"/>
  <c r="O15" i="7"/>
  <c r="AE15" i="7"/>
  <c r="L16" i="7"/>
  <c r="AB16" i="7"/>
  <c r="AR16" i="7"/>
  <c r="Y17" i="7"/>
  <c r="AO17" i="7"/>
  <c r="V18" i="7"/>
  <c r="AL18" i="7"/>
  <c r="S19" i="7"/>
  <c r="AI19" i="7"/>
  <c r="P20" i="7"/>
  <c r="AF20" i="7"/>
  <c r="M21" i="7"/>
  <c r="AC21" i="7"/>
  <c r="J22" i="7"/>
  <c r="Z22" i="7"/>
  <c r="AP22" i="7"/>
  <c r="W23" i="7"/>
  <c r="AK23" i="7"/>
  <c r="N24" i="7"/>
  <c r="AA24" i="7"/>
  <c r="AM24" i="7"/>
  <c r="Q25" i="7"/>
  <c r="AB25" i="7"/>
  <c r="AK25" i="7"/>
  <c r="J26" i="7"/>
  <c r="R26" i="7"/>
  <c r="Z26" i="7"/>
  <c r="AH26" i="7"/>
  <c r="AP26" i="7"/>
  <c r="O27" i="7"/>
  <c r="W27" i="7"/>
  <c r="AE27" i="7"/>
  <c r="AM27" i="7"/>
  <c r="L28" i="7"/>
  <c r="T28" i="7"/>
  <c r="AB28" i="7"/>
  <c r="AJ28" i="7"/>
  <c r="AR28" i="7"/>
  <c r="Q29" i="7"/>
  <c r="Y29" i="7"/>
  <c r="AG29" i="7"/>
  <c r="AO29" i="7"/>
  <c r="N30" i="7"/>
  <c r="V30" i="7"/>
  <c r="AD30" i="7"/>
  <c r="AL30" i="7"/>
  <c r="K31" i="7"/>
  <c r="S31" i="7"/>
  <c r="AA31" i="7"/>
  <c r="AI31" i="7"/>
  <c r="AQ31" i="7"/>
  <c r="P32" i="7"/>
  <c r="X32" i="7"/>
  <c r="AF32" i="7"/>
  <c r="AN32" i="7"/>
  <c r="M33" i="7"/>
  <c r="U33" i="7"/>
  <c r="AC33" i="7"/>
  <c r="AK33" i="7"/>
  <c r="J34" i="7"/>
  <c r="R34" i="7"/>
  <c r="X6" i="7"/>
  <c r="U7" i="7"/>
  <c r="R8" i="7"/>
  <c r="W9" i="7"/>
  <c r="AO9" i="7"/>
  <c r="AC10" i="7"/>
  <c r="Q11" i="7"/>
  <c r="AI11" i="7"/>
  <c r="W12" i="7"/>
  <c r="AQ12" i="7"/>
  <c r="X13" i="7"/>
  <c r="AN13" i="7"/>
  <c r="U14" i="7"/>
  <c r="AK14" i="7"/>
  <c r="R15" i="7"/>
  <c r="AH15" i="7"/>
  <c r="O16" i="7"/>
  <c r="AE16" i="7"/>
  <c r="L17" i="7"/>
  <c r="AB17" i="7"/>
  <c r="AR17" i="7"/>
  <c r="Y18" i="7"/>
  <c r="AO18" i="7"/>
  <c r="V19" i="7"/>
  <c r="AL19" i="7"/>
  <c r="S20" i="7"/>
  <c r="AI20" i="7"/>
  <c r="P21" i="7"/>
  <c r="AF21" i="7"/>
  <c r="M22" i="7"/>
  <c r="AC22" i="7"/>
  <c r="J23" i="7"/>
  <c r="Y23" i="7"/>
  <c r="AL23" i="7"/>
  <c r="O24" i="7"/>
  <c r="AB24" i="7"/>
  <c r="AP24" i="7"/>
  <c r="S25" i="7"/>
  <c r="AC25" i="7"/>
  <c r="AL25" i="7"/>
  <c r="K26" i="7"/>
  <c r="S26" i="7"/>
  <c r="AA26" i="7"/>
  <c r="AI26" i="7"/>
  <c r="AQ26" i="7"/>
  <c r="P27" i="7"/>
  <c r="X27" i="7"/>
  <c r="AF27" i="7"/>
  <c r="AN27" i="7"/>
  <c r="M28" i="7"/>
  <c r="U28" i="7"/>
  <c r="AC28" i="7"/>
  <c r="AK28" i="7"/>
  <c r="J29" i="7"/>
  <c r="R29" i="7"/>
  <c r="Z29" i="7"/>
  <c r="AH29" i="7"/>
  <c r="AP29" i="7"/>
  <c r="O30" i="7"/>
  <c r="W30" i="7"/>
  <c r="AE30" i="7"/>
  <c r="AM30" i="7"/>
  <c r="L31" i="7"/>
  <c r="T31" i="7"/>
  <c r="AB31" i="7"/>
  <c r="AJ31" i="7"/>
  <c r="AR31" i="7"/>
  <c r="Q32" i="7"/>
  <c r="Y32" i="7"/>
  <c r="AG32" i="7"/>
  <c r="AO32" i="7"/>
  <c r="N33" i="7"/>
  <c r="V33" i="7"/>
  <c r="AD33" i="7"/>
  <c r="AL33" i="7"/>
  <c r="K34" i="7"/>
  <c r="S34" i="7"/>
  <c r="AA34" i="7"/>
  <c r="AI34" i="7"/>
  <c r="AQ34" i="7"/>
  <c r="P35" i="7"/>
  <c r="X35" i="7"/>
  <c r="AF35" i="7"/>
  <c r="AN35" i="7"/>
  <c r="M36" i="7"/>
  <c r="Y6" i="7"/>
  <c r="V7" i="7"/>
  <c r="S8" i="7"/>
  <c r="X9" i="7"/>
  <c r="L10" i="7"/>
  <c r="AD10" i="7"/>
  <c r="R11" i="7"/>
  <c r="AO11" i="7"/>
  <c r="X12" i="7"/>
  <c r="K13" i="7"/>
  <c r="AA13" i="7"/>
  <c r="AQ13" i="7"/>
  <c r="X14" i="7"/>
  <c r="AN14" i="7"/>
  <c r="U15" i="7"/>
  <c r="AK15" i="7"/>
  <c r="R16" i="7"/>
  <c r="AH16" i="7"/>
  <c r="O17" i="7"/>
  <c r="AE17" i="7"/>
  <c r="L18" i="7"/>
  <c r="AB18" i="7"/>
  <c r="AR18" i="7"/>
  <c r="Y19" i="7"/>
  <c r="AO19" i="7"/>
  <c r="V20" i="7"/>
  <c r="AL20" i="7"/>
  <c r="S21" i="7"/>
  <c r="AI21" i="7"/>
  <c r="P22" i="7"/>
  <c r="AF22" i="7"/>
  <c r="M23" i="7"/>
  <c r="Z23" i="7"/>
  <c r="AM23" i="7"/>
  <c r="R24" i="7"/>
  <c r="AD24" i="7"/>
  <c r="AQ24" i="7"/>
  <c r="T25" i="7"/>
  <c r="AE25" i="7"/>
  <c r="AM25" i="7"/>
  <c r="L26" i="7"/>
  <c r="T26" i="7"/>
  <c r="AB26" i="7"/>
  <c r="AJ26" i="7"/>
  <c r="AR26" i="7"/>
  <c r="Q27" i="7"/>
  <c r="Y27" i="7"/>
  <c r="AG27" i="7"/>
  <c r="AO27" i="7"/>
  <c r="N28" i="7"/>
  <c r="V28" i="7"/>
  <c r="AD28" i="7"/>
  <c r="AL28" i="7"/>
  <c r="K29" i="7"/>
  <c r="S29" i="7"/>
  <c r="AA29" i="7"/>
  <c r="AI29" i="7"/>
  <c r="AQ29" i="7"/>
  <c r="P30" i="7"/>
  <c r="X30" i="7"/>
  <c r="AF30" i="7"/>
  <c r="AN30" i="7"/>
  <c r="M31" i="7"/>
  <c r="U31" i="7"/>
  <c r="AC31" i="7"/>
  <c r="AK31" i="7"/>
  <c r="J32" i="7"/>
  <c r="R32" i="7"/>
  <c r="Z32" i="7"/>
  <c r="AH32" i="7"/>
  <c r="AP32" i="7"/>
  <c r="O33" i="7"/>
  <c r="W33" i="7"/>
  <c r="AE33" i="7"/>
  <c r="AM33" i="7"/>
  <c r="L34" i="7"/>
  <c r="T34" i="7"/>
  <c r="AB34" i="7"/>
  <c r="AJ34" i="7"/>
  <c r="AF6" i="7"/>
  <c r="AC7" i="7"/>
  <c r="Z8" i="7"/>
  <c r="Y9" i="7"/>
  <c r="M10" i="7"/>
  <c r="AJ10" i="7"/>
  <c r="S11" i="7"/>
  <c r="AP11" i="7"/>
  <c r="AD12" i="7"/>
  <c r="L13" i="7"/>
  <c r="AB13" i="7"/>
  <c r="AR13" i="7"/>
  <c r="Y14" i="7"/>
  <c r="AO14" i="7"/>
  <c r="V15" i="7"/>
  <c r="AL15" i="7"/>
  <c r="S16" i="7"/>
  <c r="AI16" i="7"/>
  <c r="P17" i="7"/>
  <c r="AF17" i="7"/>
  <c r="M18" i="7"/>
  <c r="AC18" i="7"/>
  <c r="J19" i="7"/>
  <c r="Z19" i="7"/>
  <c r="AP19" i="7"/>
  <c r="W20" i="7"/>
  <c r="AM20" i="7"/>
  <c r="T21" i="7"/>
  <c r="AJ21" i="7"/>
  <c r="Q22" i="7"/>
  <c r="AG22" i="7"/>
  <c r="N23" i="7"/>
  <c r="AC23" i="7"/>
  <c r="AO23" i="7"/>
  <c r="S24" i="7"/>
  <c r="AE24" i="7"/>
  <c r="AR24" i="7"/>
  <c r="U25" i="7"/>
  <c r="AF25" i="7"/>
  <c r="AN25" i="7"/>
  <c r="M26" i="7"/>
  <c r="U26" i="7"/>
  <c r="AC26" i="7"/>
  <c r="AK26" i="7"/>
  <c r="J27" i="7"/>
  <c r="R27" i="7"/>
  <c r="Z27" i="7"/>
  <c r="AH27" i="7"/>
  <c r="AP27" i="7"/>
  <c r="O28" i="7"/>
  <c r="W28" i="7"/>
  <c r="AE28" i="7"/>
  <c r="AM28" i="7"/>
  <c r="L29" i="7"/>
  <c r="T29" i="7"/>
  <c r="AB29" i="7"/>
  <c r="AJ29" i="7"/>
  <c r="AR29" i="7"/>
  <c r="Q30" i="7"/>
  <c r="Y30" i="7"/>
  <c r="AG30" i="7"/>
  <c r="AO30" i="7"/>
  <c r="N31" i="7"/>
  <c r="V31" i="7"/>
  <c r="AD31" i="7"/>
  <c r="AL31" i="7"/>
  <c r="K32" i="7"/>
  <c r="S32" i="7"/>
  <c r="AA32" i="7"/>
  <c r="AI32" i="7"/>
  <c r="AQ32" i="7"/>
  <c r="P33" i="7"/>
  <c r="X33" i="7"/>
  <c r="AF33" i="7"/>
  <c r="AN33" i="7"/>
  <c r="M34" i="7"/>
  <c r="U34" i="7"/>
  <c r="AC34" i="7"/>
  <c r="AK34" i="7"/>
  <c r="J35" i="7"/>
  <c r="R35" i="7"/>
  <c r="Z35" i="7"/>
  <c r="AH35" i="7"/>
  <c r="AP35" i="7"/>
  <c r="O36" i="7"/>
  <c r="W36" i="7"/>
  <c r="AE36" i="7"/>
  <c r="AM36" i="7"/>
  <c r="L37" i="7"/>
  <c r="T37" i="7"/>
  <c r="AN6" i="7"/>
  <c r="AK7" i="7"/>
  <c r="AH8" i="7"/>
  <c r="AF9" i="7"/>
  <c r="T10" i="7"/>
  <c r="AL10" i="7"/>
  <c r="Z11" i="7"/>
  <c r="N12" i="7"/>
  <c r="AF12" i="7"/>
  <c r="P13" i="7"/>
  <c r="AF13" i="7"/>
  <c r="M14" i="7"/>
  <c r="AC14" i="7"/>
  <c r="J15" i="7"/>
  <c r="Z15" i="7"/>
  <c r="AP15" i="7"/>
  <c r="W16" i="7"/>
  <c r="AM16" i="7"/>
  <c r="T17" i="7"/>
  <c r="AJ17" i="7"/>
  <c r="Q18" i="7"/>
  <c r="AG18" i="7"/>
  <c r="N19" i="7"/>
  <c r="AD19" i="7"/>
  <c r="K20" i="7"/>
  <c r="AA20" i="7"/>
  <c r="AQ20" i="7"/>
  <c r="X21" i="7"/>
  <c r="AN21" i="7"/>
  <c r="U22" i="7"/>
  <c r="AK22" i="7"/>
  <c r="R23" i="7"/>
  <c r="AE23" i="7"/>
  <c r="J24" i="7"/>
  <c r="V24" i="7"/>
  <c r="AI24" i="7"/>
  <c r="L25" i="7"/>
  <c r="X25" i="7"/>
  <c r="AH25" i="7"/>
  <c r="AP25" i="7"/>
  <c r="O26" i="7"/>
  <c r="W26" i="7"/>
  <c r="AE26" i="7"/>
  <c r="AM26" i="7"/>
  <c r="L27" i="7"/>
  <c r="T27" i="7"/>
  <c r="AB27" i="7"/>
  <c r="AJ27" i="7"/>
  <c r="AR27" i="7"/>
  <c r="Q28" i="7"/>
  <c r="Y28" i="7"/>
  <c r="AG28" i="7"/>
  <c r="AO28" i="7"/>
  <c r="N29" i="7"/>
  <c r="V29" i="7"/>
  <c r="AD29" i="7"/>
  <c r="AL29" i="7"/>
  <c r="K30" i="7"/>
  <c r="S30" i="7"/>
  <c r="AA30" i="7"/>
  <c r="AI30" i="7"/>
  <c r="AQ30" i="7"/>
  <c r="P31" i="7"/>
  <c r="X31" i="7"/>
  <c r="AF31" i="7"/>
  <c r="AN31" i="7"/>
  <c r="M32" i="7"/>
  <c r="U32" i="7"/>
  <c r="AC32" i="7"/>
  <c r="AK32" i="7"/>
  <c r="J33" i="7"/>
  <c r="R33" i="7"/>
  <c r="Z33" i="7"/>
  <c r="AH33" i="7"/>
  <c r="AP33" i="7"/>
  <c r="O34" i="7"/>
  <c r="W34" i="7"/>
  <c r="AE34" i="7"/>
  <c r="AM34" i="7"/>
  <c r="L35" i="7"/>
  <c r="T35" i="7"/>
  <c r="AB35" i="7"/>
  <c r="AJ35" i="7"/>
  <c r="AR35" i="7"/>
  <c r="AG6" i="7"/>
  <c r="N10" i="7"/>
  <c r="AE12" i="7"/>
  <c r="Z14" i="7"/>
  <c r="T16" i="7"/>
  <c r="N18" i="7"/>
  <c r="AQ19" i="7"/>
  <c r="AK21" i="7"/>
  <c r="AD23" i="7"/>
  <c r="K25" i="7"/>
  <c r="N26" i="7"/>
  <c r="K27" i="7"/>
  <c r="AQ27" i="7"/>
  <c r="AN28" i="7"/>
  <c r="AK29" i="7"/>
  <c r="AH30" i="7"/>
  <c r="AE31" i="7"/>
  <c r="AB32" i="7"/>
  <c r="Y33" i="7"/>
  <c r="V34" i="7"/>
  <c r="AO34" i="7"/>
  <c r="S35" i="7"/>
  <c r="AE35" i="7"/>
  <c r="J36" i="7"/>
  <c r="T36" i="7"/>
  <c r="AC36" i="7"/>
  <c r="AL36" i="7"/>
  <c r="M37" i="7"/>
  <c r="V37" i="7"/>
  <c r="AD37" i="7"/>
  <c r="AL37" i="7"/>
  <c r="K38" i="7"/>
  <c r="S38" i="7"/>
  <c r="AA38" i="7"/>
  <c r="AI38" i="7"/>
  <c r="AQ38" i="7"/>
  <c r="P39" i="7"/>
  <c r="X39" i="7"/>
  <c r="AF39" i="7"/>
  <c r="AN39" i="7"/>
  <c r="M40" i="7"/>
  <c r="U40" i="7"/>
  <c r="AC40" i="7"/>
  <c r="AK40" i="7"/>
  <c r="J41" i="7"/>
  <c r="R41" i="7"/>
  <c r="Z41" i="7"/>
  <c r="AH41" i="7"/>
  <c r="AP41" i="7"/>
  <c r="O42" i="7"/>
  <c r="W42" i="7"/>
  <c r="AE42" i="7"/>
  <c r="AM42" i="7"/>
  <c r="I9" i="7"/>
  <c r="I17" i="7"/>
  <c r="I25" i="7"/>
  <c r="I33" i="7"/>
  <c r="I41" i="7"/>
  <c r="N37" i="7"/>
  <c r="W37" i="7"/>
  <c r="AE37" i="7"/>
  <c r="AM37" i="7"/>
  <c r="L38" i="7"/>
  <c r="T38" i="7"/>
  <c r="AB38" i="7"/>
  <c r="AJ38" i="7"/>
  <c r="AR38" i="7"/>
  <c r="Q39" i="7"/>
  <c r="Y39" i="7"/>
  <c r="AG39" i="7"/>
  <c r="AO39" i="7"/>
  <c r="N40" i="7"/>
  <c r="V40" i="7"/>
  <c r="AO6" i="7"/>
  <c r="U10" i="7"/>
  <c r="AL12" i="7"/>
  <c r="AF14" i="7"/>
  <c r="Z16" i="7"/>
  <c r="T18" i="7"/>
  <c r="N20" i="7"/>
  <c r="AQ21" i="7"/>
  <c r="AG23" i="7"/>
  <c r="O25" i="7"/>
  <c r="P26" i="7"/>
  <c r="M27" i="7"/>
  <c r="J28" i="7"/>
  <c r="AP28" i="7"/>
  <c r="AM29" i="7"/>
  <c r="AJ30" i="7"/>
  <c r="AG31" i="7"/>
  <c r="AD32" i="7"/>
  <c r="AA33" i="7"/>
  <c r="X34" i="7"/>
  <c r="AP34" i="7"/>
  <c r="U35" i="7"/>
  <c r="AG35" i="7"/>
  <c r="K36" i="7"/>
  <c r="U36" i="7"/>
  <c r="AD36" i="7"/>
  <c r="AN36" i="7"/>
  <c r="AD7" i="7"/>
  <c r="AK10" i="7"/>
  <c r="M13" i="7"/>
  <c r="AP14" i="7"/>
  <c r="AJ16" i="7"/>
  <c r="AD18" i="7"/>
  <c r="X20" i="7"/>
  <c r="R22" i="7"/>
  <c r="AP23" i="7"/>
  <c r="W25" i="7"/>
  <c r="V26" i="7"/>
  <c r="S27" i="7"/>
  <c r="P28" i="7"/>
  <c r="M29" i="7"/>
  <c r="J30" i="7"/>
  <c r="AP30" i="7"/>
  <c r="AM31" i="7"/>
  <c r="AJ32" i="7"/>
  <c r="AG33" i="7"/>
  <c r="Z34" i="7"/>
  <c r="AR34" i="7"/>
  <c r="V35" i="7"/>
  <c r="AI35" i="7"/>
  <c r="L36" i="7"/>
  <c r="V36" i="7"/>
  <c r="AF36" i="7"/>
  <c r="AO36" i="7"/>
  <c r="O37" i="7"/>
  <c r="X37" i="7"/>
  <c r="AF37" i="7"/>
  <c r="AN37" i="7"/>
  <c r="M38" i="7"/>
  <c r="U38" i="7"/>
  <c r="AC38" i="7"/>
  <c r="AK38" i="7"/>
  <c r="J39" i="7"/>
  <c r="R39" i="7"/>
  <c r="Z39" i="7"/>
  <c r="AH39" i="7"/>
  <c r="AP39" i="7"/>
  <c r="O40" i="7"/>
  <c r="W40" i="7"/>
  <c r="AE40" i="7"/>
  <c r="AM40" i="7"/>
  <c r="L41" i="7"/>
  <c r="T41" i="7"/>
  <c r="AB41" i="7"/>
  <c r="AJ41" i="7"/>
  <c r="AR41" i="7"/>
  <c r="Q42" i="7"/>
  <c r="Y42" i="7"/>
  <c r="AG42" i="7"/>
  <c r="AO42" i="7"/>
  <c r="I11" i="7"/>
  <c r="I19" i="7"/>
  <c r="I27" i="7"/>
  <c r="I35" i="7"/>
  <c r="I6" i="7"/>
  <c r="X22" i="7"/>
  <c r="K24" i="7"/>
  <c r="Y25" i="7"/>
  <c r="X26" i="7"/>
  <c r="U27" i="7"/>
  <c r="AL7" i="7"/>
  <c r="AR10" i="7"/>
  <c r="S13" i="7"/>
  <c r="M15" i="7"/>
  <c r="AP16" i="7"/>
  <c r="AJ18" i="7"/>
  <c r="AD20" i="7"/>
  <c r="AA8" i="7"/>
  <c r="Y11" i="7"/>
  <c r="AC13" i="7"/>
  <c r="W15" i="7"/>
  <c r="Q17" i="7"/>
  <c r="K19" i="7"/>
  <c r="AN20" i="7"/>
  <c r="AH22" i="7"/>
  <c r="T24" i="7"/>
  <c r="AG25" i="7"/>
  <c r="AD26" i="7"/>
  <c r="AA27" i="7"/>
  <c r="X28" i="7"/>
  <c r="U29" i="7"/>
  <c r="R30" i="7"/>
  <c r="O31" i="7"/>
  <c r="L32" i="7"/>
  <c r="AR32" i="7"/>
  <c r="AO33" i="7"/>
  <c r="AF34" i="7"/>
  <c r="M35" i="7"/>
  <c r="Y35" i="7"/>
  <c r="AL35" i="7"/>
  <c r="P36" i="7"/>
  <c r="Y36" i="7"/>
  <c r="AH36" i="7"/>
  <c r="AQ36" i="7"/>
  <c r="Q37" i="7"/>
  <c r="Z37" i="7"/>
  <c r="AH37" i="7"/>
  <c r="AP37" i="7"/>
  <c r="O38" i="7"/>
  <c r="W38" i="7"/>
  <c r="AE38" i="7"/>
  <c r="AM38" i="7"/>
  <c r="L39" i="7"/>
  <c r="T39" i="7"/>
  <c r="AB39" i="7"/>
  <c r="AJ39" i="7"/>
  <c r="AR39" i="7"/>
  <c r="Q40" i="7"/>
  <c r="Y40" i="7"/>
  <c r="AG40" i="7"/>
  <c r="AO40" i="7"/>
  <c r="N41" i="7"/>
  <c r="V41" i="7"/>
  <c r="AD41" i="7"/>
  <c r="AL41" i="7"/>
  <c r="K42" i="7"/>
  <c r="S42" i="7"/>
  <c r="AA42" i="7"/>
  <c r="AI42" i="7"/>
  <c r="AQ42" i="7"/>
  <c r="I13" i="7"/>
  <c r="I21" i="7"/>
  <c r="I29" i="7"/>
  <c r="I37" i="7"/>
  <c r="AI8" i="7"/>
  <c r="AA11" i="7"/>
  <c r="AC15" i="7"/>
  <c r="W17" i="7"/>
  <c r="Q19" i="7"/>
  <c r="K21" i="7"/>
  <c r="AN22" i="7"/>
  <c r="W24" i="7"/>
  <c r="AI25" i="7"/>
  <c r="AI13" i="7"/>
  <c r="AE9" i="7"/>
  <c r="AQ11" i="7"/>
  <c r="J14" i="7"/>
  <c r="AM15" i="7"/>
  <c r="AG17" i="7"/>
  <c r="AA19" i="7"/>
  <c r="U21" i="7"/>
  <c r="O23" i="7"/>
  <c r="AH24" i="7"/>
  <c r="AO25" i="7"/>
  <c r="AL26" i="7"/>
  <c r="AI27" i="7"/>
  <c r="AF28" i="7"/>
  <c r="AC29" i="7"/>
  <c r="Z30" i="7"/>
  <c r="W31" i="7"/>
  <c r="T32" i="7"/>
  <c r="Q33" i="7"/>
  <c r="N34" i="7"/>
  <c r="AL34" i="7"/>
  <c r="O35" i="7"/>
  <c r="AC35" i="7"/>
  <c r="AO35" i="7"/>
  <c r="R36" i="7"/>
  <c r="AA36" i="7"/>
  <c r="AJ36" i="7"/>
  <c r="J37" i="7"/>
  <c r="S37" i="7"/>
  <c r="AB37" i="7"/>
  <c r="AJ37" i="7"/>
  <c r="AR37" i="7"/>
  <c r="Q38" i="7"/>
  <c r="Y38" i="7"/>
  <c r="AG38" i="7"/>
  <c r="AO38" i="7"/>
  <c r="N39" i="7"/>
  <c r="V39" i="7"/>
  <c r="AD39" i="7"/>
  <c r="AL39" i="7"/>
  <c r="K40" i="7"/>
  <c r="S40" i="7"/>
  <c r="AA40" i="7"/>
  <c r="AI40" i="7"/>
  <c r="AQ40" i="7"/>
  <c r="P41" i="7"/>
  <c r="X41" i="7"/>
  <c r="AF41" i="7"/>
  <c r="AN41" i="7"/>
  <c r="M42" i="7"/>
  <c r="U42" i="7"/>
  <c r="AC42" i="7"/>
  <c r="AK42" i="7"/>
  <c r="I7" i="7"/>
  <c r="I15" i="7"/>
  <c r="I23" i="7"/>
  <c r="I31" i="7"/>
  <c r="I39" i="7"/>
  <c r="AG9" i="7"/>
  <c r="O12" i="7"/>
  <c r="P14" i="7"/>
  <c r="J16" i="7"/>
  <c r="AM17" i="7"/>
  <c r="AG19" i="7"/>
  <c r="AA21" i="7"/>
  <c r="U23" i="7"/>
  <c r="AJ24" i="7"/>
  <c r="AQ25" i="7"/>
  <c r="AN26" i="7"/>
  <c r="AK27" i="7"/>
  <c r="AH28" i="7"/>
  <c r="AE29" i="7"/>
  <c r="AB30" i="7"/>
  <c r="Y31" i="7"/>
  <c r="V32" i="7"/>
  <c r="S33" i="7"/>
  <c r="P34" i="7"/>
  <c r="AN34" i="7"/>
  <c r="Q35" i="7"/>
  <c r="AD35" i="7"/>
  <c r="AQ35" i="7"/>
  <c r="S36" i="7"/>
  <c r="AB36" i="7"/>
  <c r="AK36" i="7"/>
  <c r="K37" i="7"/>
  <c r="U37" i="7"/>
  <c r="AF26" i="7"/>
  <c r="AR30" i="7"/>
  <c r="AD34" i="7"/>
  <c r="N36" i="7"/>
  <c r="P37" i="7"/>
  <c r="AO37" i="7"/>
  <c r="Z38" i="7"/>
  <c r="M39" i="7"/>
  <c r="AI39" i="7"/>
  <c r="T40" i="7"/>
  <c r="AL40" i="7"/>
  <c r="S41" i="7"/>
  <c r="AI41" i="7"/>
  <c r="P42" i="7"/>
  <c r="AF42" i="7"/>
  <c r="I10" i="7"/>
  <c r="I26" i="7"/>
  <c r="I42" i="7"/>
  <c r="AC27" i="7"/>
  <c r="Q31" i="7"/>
  <c r="AH34" i="7"/>
  <c r="Q36" i="7"/>
  <c r="R37" i="7"/>
  <c r="AQ37" i="7"/>
  <c r="AD38" i="7"/>
  <c r="O39" i="7"/>
  <c r="AK39" i="7"/>
  <c r="X40" i="7"/>
  <c r="AN40" i="7"/>
  <c r="U41" i="7"/>
  <c r="AK41" i="7"/>
  <c r="R42" i="7"/>
  <c r="AH42" i="7"/>
  <c r="I12" i="7"/>
  <c r="I28" i="7"/>
  <c r="AM35" i="7"/>
  <c r="X38" i="7"/>
  <c r="Q41" i="7"/>
  <c r="I8" i="7"/>
  <c r="K39" i="7"/>
  <c r="R28" i="7"/>
  <c r="AO31" i="7"/>
  <c r="K35" i="7"/>
  <c r="X36" i="7"/>
  <c r="Y37" i="7"/>
  <c r="J38" i="7"/>
  <c r="AF38" i="7"/>
  <c r="S39" i="7"/>
  <c r="AM39" i="7"/>
  <c r="Z40" i="7"/>
  <c r="AP40" i="7"/>
  <c r="W41" i="7"/>
  <c r="AM41" i="7"/>
  <c r="T42" i="7"/>
  <c r="AJ42" i="7"/>
  <c r="I14" i="7"/>
  <c r="I30" i="7"/>
  <c r="N32" i="7"/>
  <c r="N35" i="7"/>
  <c r="Z36" i="7"/>
  <c r="AA37" i="7"/>
  <c r="N38" i="7"/>
  <c r="AH38" i="7"/>
  <c r="U39" i="7"/>
  <c r="AQ39" i="7"/>
  <c r="AB40" i="7"/>
  <c r="AR40" i="7"/>
  <c r="Y41" i="7"/>
  <c r="AO41" i="7"/>
  <c r="V42" i="7"/>
  <c r="AL42" i="7"/>
  <c r="I16" i="7"/>
  <c r="I32" i="7"/>
  <c r="AR36" i="7"/>
  <c r="R40" i="7"/>
  <c r="N42" i="7"/>
  <c r="I40" i="7"/>
  <c r="Z28" i="7"/>
  <c r="O29" i="7"/>
  <c r="AL32" i="7"/>
  <c r="W35" i="7"/>
  <c r="AG36" i="7"/>
  <c r="AC37" i="7"/>
  <c r="P38" i="7"/>
  <c r="AL38" i="7"/>
  <c r="W39" i="7"/>
  <c r="J40" i="7"/>
  <c r="AD40" i="7"/>
  <c r="K41" i="7"/>
  <c r="AA41" i="7"/>
  <c r="AQ41" i="7"/>
  <c r="X42" i="7"/>
  <c r="AN42" i="7"/>
  <c r="I18" i="7"/>
  <c r="I34" i="7"/>
  <c r="W29" i="7"/>
  <c r="K33" i="7"/>
  <c r="AA35" i="7"/>
  <c r="AI36" i="7"/>
  <c r="AG37" i="7"/>
  <c r="R38" i="7"/>
  <c r="AN38" i="7"/>
  <c r="AA39" i="7"/>
  <c r="L40" i="7"/>
  <c r="AF40" i="7"/>
  <c r="M41" i="7"/>
  <c r="AC41" i="7"/>
  <c r="J42" i="7"/>
  <c r="Z42" i="7"/>
  <c r="AP42" i="7"/>
  <c r="I20" i="7"/>
  <c r="I36" i="7"/>
  <c r="T30" i="7"/>
  <c r="AE39" i="7"/>
  <c r="AD42" i="7"/>
  <c r="L30" i="7"/>
  <c r="AI33" i="7"/>
  <c r="AK35" i="7"/>
  <c r="AP36" i="7"/>
  <c r="AI37" i="7"/>
  <c r="V38" i="7"/>
  <c r="AP38" i="7"/>
  <c r="AC39" i="7"/>
  <c r="P40" i="7"/>
  <c r="AH40" i="7"/>
  <c r="O41" i="7"/>
  <c r="AE41" i="7"/>
  <c r="L42" i="7"/>
  <c r="AB42" i="7"/>
  <c r="AR42" i="7"/>
  <c r="I22" i="7"/>
  <c r="I38" i="7"/>
  <c r="AQ33" i="7"/>
  <c r="AK37" i="7"/>
  <c r="AJ40" i="7"/>
  <c r="AG41" i="7"/>
  <c r="I24" i="7"/>
  <c r="L9" i="7"/>
  <c r="O9" i="7"/>
  <c r="Q9" i="7"/>
  <c r="R9" i="7"/>
  <c r="J9" i="7"/>
  <c r="F14" i="7" a="1"/>
  <c r="F14" i="7" s="1"/>
  <c r="F22" i="7" a="1"/>
  <c r="F22" i="7" s="1"/>
  <c r="F21" i="7" a="1"/>
  <c r="F21" i="7" s="1"/>
  <c r="F20" i="7" a="1"/>
  <c r="F20" i="7" s="1"/>
  <c r="F19" i="7" a="1"/>
  <c r="F19" i="7" s="1"/>
  <c r="F25" i="7" a="1"/>
  <c r="F25" i="7" s="1"/>
  <c r="F17" i="7" a="1"/>
  <c r="F17" i="7" s="1"/>
  <c r="F18" i="7" a="1"/>
  <c r="F18" i="7" s="1"/>
  <c r="F24" i="7" a="1"/>
  <c r="F24" i="7" s="1"/>
  <c r="F16" i="7" a="1"/>
  <c r="F16" i="7" s="1"/>
  <c r="F23" i="7" a="1"/>
  <c r="F23" i="7" s="1"/>
  <c r="F15" i="7" a="1"/>
  <c r="F15" i="7" s="1"/>
  <c r="G13" i="7" a="1"/>
  <c r="G13" i="7" s="1"/>
  <c r="G12" i="7" a="1"/>
  <c r="G12" i="7" s="1"/>
  <c r="G11" i="7" a="1"/>
  <c r="G11" i="7" s="1"/>
  <c r="F13" i="7" a="1"/>
  <c r="F13" i="7" s="1"/>
  <c r="E13" i="2"/>
  <c r="E6" i="2"/>
  <c r="G6" i="2" s="1" a="1"/>
  <c r="G6" i="2" s="1"/>
  <c r="E12" i="2"/>
  <c r="E15" i="2"/>
  <c r="E11" i="2"/>
  <c r="E14" i="2"/>
  <c r="F11" i="7" a="1"/>
  <c r="F11" i="7" s="1"/>
  <c r="F10" i="7" a="1"/>
  <c r="F10" i="7" s="1"/>
  <c r="F9" i="7" a="1"/>
  <c r="F9" i="7" s="1"/>
  <c r="F6" i="7" a="1"/>
  <c r="F6" i="7" s="1"/>
  <c r="F8" i="7" a="1"/>
  <c r="F8" i="7" s="1"/>
  <c r="F7" i="7" a="1"/>
  <c r="F7" i="7" s="1"/>
  <c r="F12" i="7" a="1"/>
  <c r="F12" i="7" s="1"/>
  <c r="E8" i="2"/>
  <c r="G8" i="2" s="1" a="1"/>
  <c r="G8" i="2" s="1"/>
  <c r="E10" i="2"/>
  <c r="G10" i="2" s="1" a="1"/>
  <c r="G10" i="2" s="1"/>
  <c r="I3" i="3" a="1"/>
  <c r="I3" i="3" s="1"/>
  <c r="G3" i="3" s="1" a="1"/>
  <c r="G3" i="3" s="1"/>
  <c r="E9" i="2"/>
  <c r="G9" i="2" s="1" a="1"/>
  <c r="G9" i="2" s="1"/>
  <c r="E7" i="2"/>
  <c r="G7" i="2" s="1" a="1"/>
  <c r="G7" i="2" s="1"/>
  <c r="Z5" i="6" a="1"/>
  <c r="Z5" i="6" s="1"/>
  <c r="E1" i="6"/>
  <c r="C41" i="6" a="1"/>
  <c r="C41" i="6" s="1"/>
  <c r="A52" i="6"/>
  <c r="A42" i="6"/>
  <c r="W9" i="6" a="1"/>
  <c r="W9" i="6" s="1"/>
  <c r="A43" i="6"/>
  <c r="B59" i="6" a="1"/>
  <c r="A44" i="6"/>
  <c r="A49" i="6"/>
  <c r="A39" i="6"/>
  <c r="A53" i="6"/>
  <c r="A40" i="6"/>
  <c r="A50" i="6"/>
  <c r="H5" i="2"/>
  <c r="P5" i="2"/>
  <c r="X5" i="2"/>
  <c r="AB5" i="2"/>
  <c r="AC5" i="2"/>
  <c r="N5" i="2"/>
  <c r="W5" i="2"/>
  <c r="I5" i="2"/>
  <c r="Q5" i="2"/>
  <c r="Y5" i="2"/>
  <c r="L5" i="2"/>
  <c r="M5" i="2"/>
  <c r="J5" i="2"/>
  <c r="R5" i="2"/>
  <c r="Z5" i="2"/>
  <c r="T5" i="2"/>
  <c r="U5" i="2"/>
  <c r="G5" i="2"/>
  <c r="O5" i="2"/>
  <c r="K5" i="2"/>
  <c r="S5" i="2"/>
  <c r="AA5" i="2"/>
  <c r="V5" i="2"/>
  <c r="X5" i="6" l="1" a="1"/>
  <c r="X5" i="6" s="1"/>
  <c r="J3" i="3" a="1"/>
  <c r="J3" i="3" s="1"/>
  <c r="F3" i="3" a="1"/>
  <c r="F3" i="3" s="1"/>
  <c r="E3" i="3" a="1"/>
  <c r="E3" i="3" s="1"/>
  <c r="D3" i="3" a="1"/>
  <c r="D3" i="3" s="1"/>
  <c r="C3" i="3" a="1"/>
  <c r="C3" i="3" s="1"/>
  <c r="B3" i="3" a="1"/>
  <c r="B3" i="3" s="1"/>
  <c r="B59" i="6"/>
  <c r="A41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tc={EC266F5E-0BBB-48AD-BB1F-582C70E5B4C6}</author>
  </authors>
  <commentList>
    <comment ref="A1" authorId="0" shapeId="0" xr:uid="{EC266F5E-0BBB-48AD-BB1F-582C70E5B4C6}">
      <text>
        <t>[Threaded comment]
Your version of Excel allows you to read this threaded comment; however, any edits to it will get removed if the file is opened in a newer version of Excel. Learn more: https://go.microsoft.com/fwlink/?linkid=870924
Comment:
    Se Leila Gharani: 
https://www.youtube.com/watch?v=VxReJslyJm8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<sst xmlns="http://schemas.openxmlformats.org/spreadsheetml/2006/main" count="380" uniqueCount="165">
  <si>
    <t>Tidsstempel</t>
  </si>
  <si>
    <t>Periode</t>
  </si>
  <si>
    <t>tDKK</t>
  </si>
  <si>
    <t>Enhed</t>
  </si>
  <si>
    <t>MWhq</t>
  </si>
  <si>
    <t>FJV-behov</t>
  </si>
  <si>
    <t>DKK/MWhq</t>
  </si>
  <si>
    <t>REFA-Daekningsbidrag</t>
  </si>
  <si>
    <t>REFA-Total-Var-Indkomst</t>
  </si>
  <si>
    <t>REFA-Affald-Modtagelse</t>
  </si>
  <si>
    <t>REFA-RGK-Rabat</t>
  </si>
  <si>
    <t>REFA-Elsalg</t>
  </si>
  <si>
    <t>REFA-Total-Var-Omkostning</t>
  </si>
  <si>
    <t>REFA-AnlaegsVarOmk</t>
  </si>
  <si>
    <t>REFA-BraendselOmk</t>
  </si>
  <si>
    <t>REFA-Afgifter</t>
  </si>
  <si>
    <t>REFA-CO2-Kvoteomk</t>
  </si>
  <si>
    <t>REFA-Lageromkostning</t>
  </si>
  <si>
    <t>ton</t>
  </si>
  <si>
    <t>REFA-CO2-Emission-Afgift</t>
  </si>
  <si>
    <t>REFA-CO2-Emission-Kvote</t>
  </si>
  <si>
    <t>MWhe</t>
  </si>
  <si>
    <t>REFA-El-produktion-Brutto</t>
  </si>
  <si>
    <t>REFA-El-produktion-Netto</t>
  </si>
  <si>
    <t>REFA-Total-Affald-Raadighed</t>
  </si>
  <si>
    <t>REFA-Affald-anvendt</t>
  </si>
  <si>
    <t>REFA-Affald-Uudnyttet</t>
  </si>
  <si>
    <t>REFA-Affald-Lagret</t>
  </si>
  <si>
    <t>REFA-Total-Varme-Produktion</t>
  </si>
  <si>
    <t>REFA-Modtryk-Varme</t>
  </si>
  <si>
    <t>REFA-Bypass-Varme</t>
  </si>
  <si>
    <t>REFA-RGK-Varme</t>
  </si>
  <si>
    <t>REFA-Bortkoelet-Varme</t>
  </si>
  <si>
    <t>GSF-Total-Var-Omkostning</t>
  </si>
  <si>
    <t>GSF-AnlaegsVarOmk</t>
  </si>
  <si>
    <t>GSF-BraendselOmk</t>
  </si>
  <si>
    <t>GSF-Afgifter</t>
  </si>
  <si>
    <t>GSF-CO2-Emission</t>
  </si>
  <si>
    <t>GSF-Total-Varme-Produktion</t>
  </si>
  <si>
    <t>Ovn2</t>
  </si>
  <si>
    <t>Ovn3</t>
  </si>
  <si>
    <t>FlisK</t>
  </si>
  <si>
    <t>NS</t>
  </si>
  <si>
    <t>Cooler</t>
  </si>
  <si>
    <t>PeakK</t>
  </si>
  <si>
    <t>DepoSort</t>
  </si>
  <si>
    <t>DepoSmaat</t>
  </si>
  <si>
    <t>DepoNedd</t>
  </si>
  <si>
    <t>Dagren</t>
  </si>
  <si>
    <t>AndetBrand</t>
  </si>
  <si>
    <t>Trae</t>
  </si>
  <si>
    <t>DagrenRast</t>
  </si>
  <si>
    <t>DagrenInst</t>
  </si>
  <si>
    <t>DagrenHandel</t>
  </si>
  <si>
    <t>DagrenRestau</t>
  </si>
  <si>
    <t>Erhverv</t>
  </si>
  <si>
    <t>DagrenErhverv</t>
  </si>
  <si>
    <t>HandelKontor</t>
  </si>
  <si>
    <t>Privat</t>
  </si>
  <si>
    <t>TyskRest</t>
  </si>
  <si>
    <t>PolskRest</t>
  </si>
  <si>
    <t>PcbTrae</t>
  </si>
  <si>
    <t>TraeRekv</t>
  </si>
  <si>
    <t>Halm</t>
  </si>
  <si>
    <t>Pulver</t>
  </si>
  <si>
    <t>FlisAffald</t>
  </si>
  <si>
    <t>NyAff1</t>
  </si>
  <si>
    <t>NyAff2</t>
  </si>
  <si>
    <t>NyAff3</t>
  </si>
  <si>
    <t>NyAff4</t>
  </si>
  <si>
    <t>NyAff5</t>
  </si>
  <si>
    <t>Flis</t>
  </si>
  <si>
    <t>NSvarme</t>
  </si>
  <si>
    <t>PeakFuel</t>
  </si>
  <si>
    <t>NS-Total-Varme-Produktion</t>
  </si>
  <si>
    <t>REFA-Leveret-Varme</t>
  </si>
  <si>
    <t>Virtuel-Varme-Kilde</t>
  </si>
  <si>
    <t>Virtuel-Affaldstonnage-Kilde</t>
  </si>
  <si>
    <t>Total-NPV</t>
  </si>
  <si>
    <t>REFA-NPV</t>
  </si>
  <si>
    <t>REFA-Varmesalg</t>
  </si>
  <si>
    <t>Virtuel-Varme-Draen</t>
  </si>
  <si>
    <t>Virtuel-Affaldstonnage-Draen</t>
  </si>
  <si>
    <t>Nøgletal</t>
  </si>
  <si>
    <t>Kategori</t>
  </si>
  <si>
    <t>Emne</t>
  </si>
  <si>
    <t>Bruttoemner</t>
  </si>
  <si>
    <t>Interne variable</t>
  </si>
  <si>
    <t>Nscen</t>
  </si>
  <si>
    <t>ChartTekst</t>
  </si>
  <si>
    <t>Vis</t>
  </si>
  <si>
    <t>Ofz</t>
  </si>
  <si>
    <t>Skalafaktor</t>
  </si>
  <si>
    <t>Titel:</t>
  </si>
  <si>
    <t>2021: Elpris [200 - 1000], Kvotepris {400, 900}</t>
  </si>
  <si>
    <t>Verbal udgave af scenarietabellen</t>
  </si>
  <si>
    <t>0/1</t>
  </si>
  <si>
    <t>ordinal1</t>
  </si>
  <si>
    <t>ordinal2</t>
  </si>
  <si>
    <t>ordinal3</t>
  </si>
  <si>
    <t>scRec</t>
  </si>
  <si>
    <t>Aktiv</t>
  </si>
  <si>
    <t>ScenId</t>
  </si>
  <si>
    <t>Niveau1</t>
  </si>
  <si>
    <t>Niveau2</t>
  </si>
  <si>
    <t>Niveau3</t>
  </si>
  <si>
    <t>Control</t>
  </si>
  <si>
    <t>VOID</t>
  </si>
  <si>
    <t>Plant</t>
  </si>
  <si>
    <t>Prognoses</t>
  </si>
  <si>
    <t>Fuel</t>
  </si>
  <si>
    <t>MinTonnage</t>
  </si>
  <si>
    <t>FuelBounds</t>
  </si>
  <si>
    <t>LHV</t>
  </si>
  <si>
    <t>Storage</t>
  </si>
  <si>
    <t>LINK</t>
  </si>
  <si>
    <t>TestPad</t>
  </si>
  <si>
    <t>DropDownLevel2</t>
  </si>
  <si>
    <t>=LET(a;MATCH($R5&amp;"2";listHeaders;0)-1;b;OFFSET($B$3;1;a;40;1);OFFSET($B$3;1;a;COUNTA(b)-COUNTIF(b;"=0");1))</t>
  </si>
  <si>
    <t>Level1</t>
  </si>
  <si>
    <t>Level2</t>
  </si>
  <si>
    <t>Level3</t>
  </si>
  <si>
    <t>=LET(ran;TRANSPOSE(listFuelAttr);FILTER(ran;(ran&lt;&gt;"Fkind")*(ran&lt;&gt;"Lagerbar")*(ran&lt;&gt;"Fri")*(ran&lt;&gt;"Flex")*(ran&lt;&gt;"Bortskaf")))</t>
  </si>
  <si>
    <t>DropDownLevel3</t>
  </si>
  <si>
    <t>=LET(a;MATCH($R5&amp;"3";listHeaders;0)-1;b;OFFSET($B$3;1;a;40;1);OFFSET($B$3;1;a;COUNTA(b)-COUNTIF(b;"=0");1))</t>
  </si>
  <si>
    <t>Root</t>
  </si>
  <si>
    <t>TilOvn2</t>
  </si>
  <si>
    <t>BeginDate</t>
  </si>
  <si>
    <t>Value</t>
  </si>
  <si>
    <t>TilOvn3</t>
  </si>
  <si>
    <t>MaxTonnage</t>
  </si>
  <si>
    <t>Pris</t>
  </si>
  <si>
    <t>sto2</t>
  </si>
  <si>
    <t>CO2kgGJ</t>
  </si>
  <si>
    <t>Schedule</t>
  </si>
  <si>
    <t>Count</t>
  </si>
  <si>
    <t>row</t>
  </si>
  <si>
    <t>Kodet udgave af scenarietabellen udskrevet fra GAMS</t>
  </si>
  <si>
    <t>scen0</t>
  </si>
  <si>
    <t>Brændselsforbrug</t>
  </si>
  <si>
    <t>Brændselsindkomst</t>
  </si>
  <si>
    <t>FastVaerdi</t>
  </si>
  <si>
    <t>PerStart</t>
  </si>
  <si>
    <t>PerSlut</t>
  </si>
  <si>
    <t>StatusKode</t>
  </si>
  <si>
    <t>NotANumber</t>
  </si>
  <si>
    <t>REFA-Affaldvarme-afgift</t>
  </si>
  <si>
    <t>REFA-Tillaegs-Afgift</t>
  </si>
  <si>
    <t>REFA-CO2-Afgift</t>
  </si>
  <si>
    <t>REFA-NOx-Afgift</t>
  </si>
  <si>
    <t>Varmemængder</t>
  </si>
  <si>
    <t>Total-Var-VPO</t>
  </si>
  <si>
    <t>REFA-Var-VPO-Total</t>
  </si>
  <si>
    <t>REFA-Var-VPO-Affald</t>
  </si>
  <si>
    <t>Nominelt</t>
  </si>
  <si>
    <t>Uden Ovn2</t>
  </si>
  <si>
    <t>screc11</t>
  </si>
  <si>
    <t>screc12</t>
  </si>
  <si>
    <t>screc13</t>
  </si>
  <si>
    <t>screc14</t>
  </si>
  <si>
    <t>scen2</t>
  </si>
  <si>
    <t>scen3</t>
  </si>
  <si>
    <t>scen4</t>
  </si>
  <si>
    <t>scen5</t>
  </si>
  <si>
    <t>Scenarietitler indsættes her: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</si>
</sst>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3" formatCode="_-* #,##0.00_-;\-* #,##0.00_-;_-* &quot;-&quot;??_-;_-@_-"/>
    <numFmt numFmtId="164" formatCode="yyyy\ mmm\ dd\,\ hh:mm;@"/>
    <numFmt numFmtId="165" formatCode="yy\'mmm"/>
    <numFmt numFmtId="166" formatCode="_-#,##0,_-;\-#,##0,_-;_-* &quot;-&quot;??_-;_-@_-"/>
    <numFmt numFmtId="167" formatCode="_-#,##0_-;\-#,##0_-;_-* &quot;-&quot;??_-;_-@_-"/>
    <numFmt numFmtId="168" formatCode="_-* #,##0_-;\-* #,##0_-;_-* &quot;-&quot;??_-;_-@_-"/>
    <numFmt numFmtId="169" formatCode="_-#,##0.00_-;\-#,##0.00_-;_-* &quot;-&quot;??_-;_-@_-"/>
    <numFmt numFmtId="170" formatCode="_-* #,##0_-;\-#,##0_-;_-* &quot;-&quot;??_-;_-@_-"/>
    <numFmt numFmtId="171" formatCode="[$-F400]h:mm:ss\ AM/PM"/>
    <numFmt numFmtId="172" formatCode="yyyy/mm/dd\ hh:mm;@"/>
    <numFmt numFmtId="173" formatCode="_-* #,##0_-;\-#,##0_-;_-\ &quot;-&quot;??_-;_-@_-"/>
    <numFmt numFmtId="174" formatCode="#,##0;\-#,##0;0"/>
    <numFmt numFmtId="175" formatCode="#,##0,;\-#,##0,;0"/>
    <numFmt numFmtId="176" formatCode="ddd\ yyyy\ mmm\ dd\,\ hh:mm;@"/>
    <numFmt numFmtId="177" formatCode="mmm\ \'yy"/>
    <numFmt numFmtId="178" formatCode="mmm\'yy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2"/>
      <color theme="0" tint="-4.9989318521683403E-2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11" fillId="5" borderId="8" applyNumberFormat="0" applyAlignment="0" applyProtection="0"/>
    <xf numFmtId="0" fontId="19" fillId="6" borderId="0" applyNumberFormat="0" applyBorder="0" applyAlignment="0" applyProtection="0"/>
  </cellStyleXfs>
  <cellXfs count="121">
    <xf numFmtId="0" fontId="0" fillId="0" borderId="0" xfId="0"/>
    <xf numFmtId="0" fontId="2" fillId="2" borderId="1" xfId="0" applyFont="1" applyFill="1" applyBorder="1" applyAlignment="1">
      <alignment horizontal="left" indent="1"/>
    </xf>
    <xf numFmtId="0" fontId="2" fillId="2" borderId="4" xfId="0" applyFont="1" applyFill="1" applyBorder="1" applyAlignment="1">
      <alignment horizontal="left" indent="1"/>
    </xf>
    <xf numFmtId="165" fontId="0" fillId="0" borderId="0" xfId="0" applyNumberFormat="1" applyAlignment="1">
      <alignment horizontal="center"/>
    </xf>
    <xf numFmtId="165" fontId="0" fillId="0" borderId="5" xfId="0" applyNumberFormat="1" applyBorder="1" applyAlignment="1">
      <alignment horizontal="left" indent="1"/>
    </xf>
    <xf numFmtId="0" fontId="0" fillId="0" borderId="0" xfId="0" applyAlignment="1">
      <alignment horizontal="left" indent="1"/>
    </xf>
    <xf numFmtId="0" fontId="4" fillId="0" borderId="0" xfId="0" applyFont="1"/>
    <xf numFmtId="167" fontId="0" fillId="0" borderId="0" xfId="1" applyNumberFormat="1" applyFont="1"/>
    <xf numFmtId="168" fontId="0" fillId="0" borderId="0" xfId="1" applyNumberFormat="1" applyFont="1" applyAlignment="1">
      <alignment horizontal="left"/>
    </xf>
    <xf numFmtId="0" fontId="0" fillId="0" borderId="0" xfId="0" quotePrefix="1" applyAlignment="1">
      <alignment horizontal="left" indent="1"/>
    </xf>
    <xf numFmtId="169" fontId="0" fillId="0" borderId="0" xfId="1" applyNumberFormat="1" applyFont="1"/>
    <xf numFmtId="166" fontId="0" fillId="0" borderId="0" xfId="1" applyNumberFormat="1" applyFont="1"/>
    <xf numFmtId="166" fontId="0" fillId="0" borderId="0" xfId="1" applyNumberFormat="1" applyFont="1" applyAlignment="1">
      <alignment horizontal="left"/>
    </xf>
    <xf numFmtId="0" fontId="0" fillId="2" borderId="0" xfId="0" quotePrefix="1" applyFill="1" applyAlignment="1">
      <alignment horizontal="left" indent="1"/>
    </xf>
    <xf numFmtId="0" fontId="2" fillId="2" borderId="0" xfId="0" quotePrefix="1" applyFont="1" applyFill="1" applyAlignment="1">
      <alignment horizontal="left" indent="1"/>
    </xf>
    <xf numFmtId="0" fontId="0" fillId="2" borderId="0" xfId="0" quotePrefix="1" applyFill="1" applyAlignment="1">
      <alignment horizontal="left" indent="2"/>
    </xf>
    <xf numFmtId="168" fontId="0" fillId="0" borderId="0" xfId="1" applyNumberFormat="1" applyFont="1"/>
    <xf numFmtId="0" fontId="0" fillId="3" borderId="0" xfId="0" quotePrefix="1" applyFill="1" applyAlignment="1">
      <alignment horizontal="left" indent="2"/>
    </xf>
    <xf numFmtId="0" fontId="0" fillId="3" borderId="0" xfId="0" quotePrefix="1" applyFill="1" applyAlignment="1">
      <alignment horizontal="left" indent="1"/>
    </xf>
    <xf numFmtId="0" fontId="0" fillId="0" borderId="0" xfId="0" applyAlignment="1">
      <alignment horizontal="left"/>
    </xf>
    <xf numFmtId="0" fontId="3" fillId="0" borderId="0" xfId="0" applyFont="1"/>
    <xf numFmtId="0" fontId="2" fillId="3" borderId="0" xfId="0" quotePrefix="1" applyFont="1" applyFill="1" applyAlignment="1">
      <alignment horizontal="left" indent="1"/>
    </xf>
    <xf numFmtId="170" fontId="0" fillId="0" borderId="6" xfId="1" applyNumberFormat="1" applyFont="1" applyBorder="1"/>
    <xf numFmtId="0" fontId="0" fillId="0" borderId="0" xfId="0" quotePrefix="1" applyAlignment="1">
      <alignment horizontal="right" indent="1"/>
    </xf>
    <xf numFmtId="43" fontId="0" fillId="0" borderId="0" xfId="1" applyFont="1"/>
    <xf numFmtId="43" fontId="0" fillId="0" borderId="0" xfId="1" applyFont="1" applyAlignment="1">
      <alignment horizontal="left" indent="1"/>
    </xf>
    <xf numFmtId="43" fontId="0" fillId="0" borderId="0" xfId="1" quotePrefix="1" applyFont="1"/>
    <xf numFmtId="168" fontId="0" fillId="0" borderId="6" xfId="1" applyNumberFormat="1" applyFont="1" applyBorder="1"/>
    <xf numFmtId="168" fontId="0" fillId="0" borderId="0" xfId="1" applyNumberFormat="1" applyFont="1" applyBorder="1" applyAlignment="1">
      <alignment horizontal="left"/>
    </xf>
    <xf numFmtId="168" fontId="0" fillId="0" borderId="0" xfId="0" quotePrefix="1" applyNumberFormat="1" applyAlignment="1">
      <alignment horizontal="right" indent="1"/>
    </xf>
    <xf numFmtId="0" fontId="0" fillId="0" borderId="0" xfId="0" applyAlignment="1">
      <alignment horizontal="right" indent="1"/>
    </xf>
    <xf numFmtId="0" fontId="0" fillId="0" borderId="0" xfId="0" quotePrefix="1"/>
    <xf numFmtId="0" fontId="6" fillId="2" borderId="2" xfId="0" quotePrefix="1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left" indent="1"/>
    </xf>
    <xf numFmtId="0" fontId="0" fillId="3" borderId="0" xfId="0" quotePrefix="1" applyFont="1" applyFill="1" applyAlignment="1">
      <alignment horizontal="left" indent="2"/>
    </xf>
    <xf numFmtId="0" fontId="0" fillId="0" borderId="0" xfId="0" applyAlignment="1"/>
    <xf numFmtId="171" fontId="0" fillId="0" borderId="0" xfId="0" applyNumberFormat="1" applyAlignment="1">
      <alignment horizontal="center"/>
    </xf>
    <xf numFmtId="164" fontId="8" fillId="0" borderId="4" xfId="0" quotePrefix="1" applyNumberFormat="1" applyFont="1" applyBorder="1" applyAlignment="1">
      <alignment horizontal="center"/>
    </xf>
    <xf numFmtId="164" fontId="8" fillId="0" borderId="0" xfId="0" quotePrefix="1" applyNumberFormat="1" applyFont="1" applyBorder="1" applyAlignment="1">
      <alignment horizontal="center"/>
    </xf>
    <xf numFmtId="164" fontId="8" fillId="0" borderId="0" xfId="0" applyNumberFormat="1" applyFont="1" applyBorder="1" applyAlignment="1">
      <alignment horizontal="center"/>
    </xf>
    <xf numFmtId="168" fontId="0" fillId="0" borderId="2" xfId="1" applyNumberFormat="1" applyFont="1" applyBorder="1"/>
    <xf numFmtId="168" fontId="0" fillId="0" borderId="2" xfId="1" applyNumberFormat="1" applyFont="1" applyBorder="1" applyAlignment="1">
      <alignment horizontal="left"/>
    </xf>
    <xf numFmtId="0" fontId="0" fillId="0" borderId="2" xfId="0" applyBorder="1"/>
    <xf numFmtId="172" fontId="9" fillId="0" borderId="0" xfId="0" applyNumberFormat="1" applyFont="1"/>
    <xf numFmtId="2" fontId="10" fillId="0" borderId="2" xfId="0" applyNumberFormat="1" applyFont="1" applyBorder="1" applyAlignment="1">
      <alignment horizontal="center"/>
    </xf>
    <xf numFmtId="0" fontId="0" fillId="4" borderId="2" xfId="0" quotePrefix="1" applyFill="1" applyBorder="1" applyAlignment="1">
      <alignment horizontal="left" indent="1"/>
    </xf>
    <xf numFmtId="0" fontId="0" fillId="4" borderId="0" xfId="0" quotePrefix="1" applyFill="1" applyAlignment="1">
      <alignment horizontal="left" indent="1"/>
    </xf>
    <xf numFmtId="173" fontId="0" fillId="0" borderId="6" xfId="1" applyNumberFormat="1" applyFont="1" applyBorder="1"/>
    <xf numFmtId="174" fontId="0" fillId="0" borderId="6" xfId="1" applyNumberFormat="1" applyFont="1" applyBorder="1"/>
    <xf numFmtId="175" fontId="0" fillId="0" borderId="6" xfId="1" applyNumberFormat="1" applyFont="1" applyBorder="1"/>
    <xf numFmtId="175" fontId="0" fillId="0" borderId="0" xfId="0" quotePrefix="1" applyNumberFormat="1" applyAlignment="1">
      <alignment horizontal="right" indent="1"/>
    </xf>
    <xf numFmtId="175" fontId="0" fillId="0" borderId="0" xfId="0" applyNumberFormat="1" applyAlignment="1">
      <alignment horizontal="left"/>
    </xf>
    <xf numFmtId="175" fontId="0" fillId="0" borderId="0" xfId="0" quotePrefix="1" applyNumberFormat="1"/>
    <xf numFmtId="175" fontId="0" fillId="0" borderId="0" xfId="1" applyNumberFormat="1" applyFont="1" applyBorder="1" applyAlignment="1">
      <alignment horizontal="left" indent="1"/>
    </xf>
    <xf numFmtId="166" fontId="2" fillId="0" borderId="7" xfId="1" applyNumberFormat="1" applyFont="1" applyBorder="1"/>
    <xf numFmtId="166" fontId="2" fillId="0" borderId="7" xfId="1" applyNumberFormat="1" applyFont="1" applyBorder="1" applyAlignment="1">
      <alignment horizontal="left"/>
    </xf>
    <xf numFmtId="0" fontId="2" fillId="2" borderId="7" xfId="0" quotePrefix="1" applyFont="1" applyFill="1" applyBorder="1" applyAlignment="1">
      <alignment horizontal="left" indent="1"/>
    </xf>
    <xf numFmtId="0" fontId="2" fillId="0" borderId="7" xfId="0" applyFont="1" applyBorder="1"/>
    <xf numFmtId="176" fontId="0" fillId="0" borderId="3" xfId="0" applyNumberFormat="1" applyBorder="1" applyAlignment="1">
      <alignment horizontal="left" indent="1"/>
    </xf>
    <xf numFmtId="2" fontId="12" fillId="0" borderId="0" xfId="0" applyNumberFormat="1" applyFont="1"/>
    <xf numFmtId="0" fontId="12" fillId="0" borderId="0" xfId="0" applyFont="1"/>
    <xf numFmtId="0" fontId="13" fillId="2" borderId="2" xfId="0" applyFont="1" applyFill="1" applyBorder="1" applyAlignment="1">
      <alignment horizontal="left" indent="1"/>
    </xf>
    <xf numFmtId="167" fontId="12" fillId="0" borderId="0" xfId="1" applyNumberFormat="1" applyFont="1"/>
    <xf numFmtId="166" fontId="14" fillId="0" borderId="7" xfId="1" applyNumberFormat="1" applyFont="1" applyBorder="1"/>
    <xf numFmtId="166" fontId="14" fillId="0" borderId="0" xfId="1" applyNumberFormat="1" applyFont="1"/>
    <xf numFmtId="166" fontId="12" fillId="0" borderId="0" xfId="1" applyNumberFormat="1" applyFont="1"/>
    <xf numFmtId="168" fontId="12" fillId="0" borderId="0" xfId="1" applyNumberFormat="1" applyFont="1"/>
    <xf numFmtId="168" fontId="14" fillId="0" borderId="0" xfId="1" applyNumberFormat="1" applyFont="1"/>
    <xf numFmtId="168" fontId="12" fillId="0" borderId="2" xfId="1" applyNumberFormat="1" applyFont="1" applyBorder="1"/>
    <xf numFmtId="43" fontId="12" fillId="0" borderId="0" xfId="1" applyFont="1"/>
    <xf numFmtId="174" fontId="12" fillId="0" borderId="6" xfId="1" applyNumberFormat="1" applyFont="1" applyBorder="1"/>
    <xf numFmtId="174" fontId="12" fillId="0" borderId="0" xfId="1" applyNumberFormat="1" applyFont="1"/>
    <xf numFmtId="0" fontId="15" fillId="0" borderId="0" xfId="0" applyFont="1"/>
    <xf numFmtId="0" fontId="16" fillId="2" borderId="2" xfId="0" applyFont="1" applyFill="1" applyBorder="1" applyAlignment="1">
      <alignment horizontal="left" indent="1"/>
    </xf>
    <xf numFmtId="167" fontId="15" fillId="0" borderId="0" xfId="1" applyNumberFormat="1" applyFont="1"/>
    <xf numFmtId="0" fontId="17" fillId="2" borderId="0" xfId="0" applyFont="1" applyFill="1" applyBorder="1" applyAlignment="1">
      <alignment horizontal="left" indent="1"/>
    </xf>
    <xf numFmtId="0" fontId="2" fillId="0" borderId="0" xfId="0" applyFont="1"/>
    <xf numFmtId="0" fontId="11" fillId="5" borderId="8" xfId="2"/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3" fontId="0" fillId="0" borderId="0" xfId="0" applyNumberFormat="1"/>
    <xf numFmtId="3" fontId="2" fillId="0" borderId="0" xfId="0" applyNumberFormat="1" applyFont="1" applyAlignment="1">
      <alignment horizontal="center"/>
    </xf>
    <xf numFmtId="0" fontId="11" fillId="5" borderId="8" xfId="2" applyAlignment="1">
      <alignment horizontal="center"/>
    </xf>
    <xf numFmtId="0" fontId="2" fillId="0" borderId="0" xfId="0" applyFont="1" applyAlignment="1">
      <alignment horizontal="center"/>
    </xf>
    <xf numFmtId="3" fontId="11" fillId="5" borderId="8" xfId="2" applyNumberFormat="1" applyAlignment="1">
      <alignment horizontal="center"/>
    </xf>
    <xf numFmtId="0" fontId="2" fillId="0" borderId="0" xfId="0" applyFont="1" applyAlignment="1">
      <alignment horizontal="left" indent="1"/>
    </xf>
    <xf numFmtId="0" fontId="0" fillId="7" borderId="10" xfId="0" applyFill="1" applyBorder="1"/>
    <xf numFmtId="0" fontId="0" fillId="0" borderId="4" xfId="0" applyBorder="1"/>
    <xf numFmtId="0" fontId="0" fillId="0" borderId="0" xfId="0" quotePrefix="1" applyAlignment="1">
      <alignment horizontal="center"/>
    </xf>
    <xf numFmtId="0" fontId="2" fillId="7" borderId="0" xfId="0" applyFont="1" applyFill="1" applyAlignment="1">
      <alignment horizontal="center"/>
    </xf>
    <xf numFmtId="0" fontId="2" fillId="7" borderId="0" xfId="0" applyFont="1" applyFill="1"/>
    <xf numFmtId="0" fontId="21" fillId="0" borderId="0" xfId="0" applyFont="1" applyAlignment="1">
      <alignment horizontal="center"/>
    </xf>
    <xf numFmtId="0" fontId="19" fillId="6" borderId="0" xfId="3"/>
    <xf numFmtId="0" fontId="22" fillId="0" borderId="0" xfId="0" quotePrefix="1" applyFont="1"/>
    <xf numFmtId="0" fontId="23" fillId="0" borderId="0" xfId="0" quotePrefix="1" applyFont="1"/>
    <xf numFmtId="0" fontId="20" fillId="8" borderId="0" xfId="0" applyFont="1" applyFill="1"/>
    <xf numFmtId="0" fontId="20" fillId="9" borderId="0" xfId="0" applyFont="1" applyFill="1"/>
    <xf numFmtId="177" fontId="0" fillId="0" borderId="0" xfId="0" applyNumberFormat="1" applyAlignment="1">
      <alignment horizontal="center"/>
    </xf>
    <xf numFmtId="4" fontId="0" fillId="0" borderId="0" xfId="0" applyNumberFormat="1"/>
    <xf numFmtId="1" fontId="2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11" xfId="0" applyFont="1" applyBorder="1" applyAlignment="1">
      <alignment horizontal="left" indent="1"/>
    </xf>
    <xf numFmtId="0" fontId="2" fillId="7" borderId="0" xfId="0" quotePrefix="1" applyFont="1" applyFill="1" applyAlignment="1">
      <alignment horizontal="center"/>
    </xf>
    <xf numFmtId="0" fontId="0" fillId="7" borderId="10" xfId="0" quotePrefix="1" applyFill="1" applyBorder="1"/>
    <xf numFmtId="0" fontId="2" fillId="7" borderId="0" xfId="0" quotePrefix="1" applyFont="1" applyFill="1" applyAlignment="1">
      <alignment horizontal="left" indent="1"/>
    </xf>
    <xf numFmtId="177" fontId="2" fillId="0" borderId="0" xfId="0" applyNumberFormat="1" applyFont="1" applyAlignment="1">
      <alignment horizontal="center"/>
    </xf>
    <xf numFmtId="0" fontId="0" fillId="7" borderId="0" xfId="0" quotePrefix="1" applyFont="1" applyFill="1" applyAlignment="1">
      <alignment horizontal="center"/>
    </xf>
    <xf numFmtId="178" fontId="24" fillId="7" borderId="0" xfId="0" applyNumberFormat="1" applyFont="1" applyFill="1" applyAlignment="1">
      <alignment horizontal="center"/>
    </xf>
    <xf numFmtId="177" fontId="14" fillId="0" borderId="0" xfId="0" applyNumberFormat="1" applyFont="1" applyAlignment="1">
      <alignment horizontal="center"/>
    </xf>
    <xf numFmtId="177" fontId="0" fillId="0" borderId="0" xfId="0" applyNumberFormat="1"/>
    <xf numFmtId="0" fontId="2" fillId="7" borderId="0" xfId="0" quotePrefix="1" applyFont="1" applyFill="1" applyAlignment="1">
      <alignment horizontal="left"/>
    </xf>
    <xf numFmtId="177" fontId="14" fillId="0" borderId="4" xfId="0" applyNumberFormat="1" applyFont="1" applyBorder="1" applyAlignment="1">
      <alignment horizontal="center"/>
    </xf>
    <xf numFmtId="177" fontId="2" fillId="0" borderId="4" xfId="0" applyNumberFormat="1" applyFont="1" applyBorder="1" applyAlignment="1">
      <alignment horizontal="center"/>
    </xf>
    <xf numFmtId="0" fontId="2" fillId="2" borderId="0" xfId="0" quotePrefix="1" applyFont="1" applyFill="1" applyAlignment="1">
      <alignment horizontal="left" indent="2"/>
    </xf>
    <xf numFmtId="0" fontId="0" fillId="2" borderId="0" xfId="0" quotePrefix="1" applyFill="1" applyAlignment="1">
      <alignment horizontal="left" indent="3"/>
    </xf>
    <xf numFmtId="0" fontId="23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171" fontId="11" fillId="5" borderId="8" xfId="2" applyNumberFormat="1"/>
    <xf numFmtId="0" fontId="2" fillId="0" borderId="0" xfId="0" applyFont="1" applyAlignment="1">
      <alignment horizontal="left"/>
    </xf>
    <xf numFmtId="0" fontId="18" fillId="5" borderId="12" xfId="2" applyFont="1" applyBorder="1" applyAlignment="1">
      <alignment horizontal="center"/>
    </xf>
    <xf numFmtId="0" fontId="18" fillId="5" borderId="9" xfId="2" applyFont="1" applyBorder="1" applyAlignment="1">
      <alignment horizontal="center"/>
    </xf>
  </cellXfs>
  <cellStyles count="4">
    <cellStyle name="Comma" xfId="1" builtinId="3"/>
    <cellStyle name="Good" xfId="3" builtinId="26"/>
    <cellStyle name="Input" xfId="2" builtinId="20"/>
    <cellStyle name="Normal" xfId="0" builtinId="0"/>
  </cellStyles>
  <dxfs count="132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auto="1"/>
      </font>
      <fill>
        <patternFill>
          <bgColor rgb="FFFFFF00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5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openxmlformats.org/officeDocument/2006/relationships/theme" Target="theme/theme1.xml"/><Relationship Id="rId5" Type="http://schemas.openxmlformats.org/officeDocument/2006/relationships/chartsheet" Target="chartsheets/sheet2.xml"/><Relationship Id="rId15" Type="http://schemas.microsoft.com/office/2017/10/relationships/person" Target="persons/person.xml"/><Relationship Id="rId10" Type="http://schemas.openxmlformats.org/officeDocument/2006/relationships/externalLink" Target="externalLinks/externalLink2.xml"/><Relationship Id="rId4" Type="http://schemas.openxmlformats.org/officeDocument/2006/relationships/chartsheet" Target="chartsheets/sheet1.xml"/><Relationship Id="rId9" Type="http://schemas.openxmlformats.org/officeDocument/2006/relationships/externalLink" Target="externalLinks/externalLink1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Charts!$B$3</c:f>
          <c:strCache>
            <c:ptCount val="1"/>
            <c:pt idx="0">
              <c:v>2021: Elpris [200 - 1000], Kvotepris {400, 900}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9.7185600163661096E-2"/>
          <c:y val="0.10062428834217946"/>
          <c:w val="0.88646467441107635"/>
          <c:h val="0.761405325144408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Charts!$F$6</c:f>
              <c:strCache>
                <c:ptCount val="1"/>
                <c:pt idx="0">
                  <c:v>REFA-Daekningsbidrag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Charts!$G$5:$Q$5</c:f>
              <c:strCache>
                <c:ptCount val="5"/>
                <c:pt idx="0">
                  <c:v>sc-0</c:v>
                </c:pt>
                <c:pt idx="1">
                  <c:v>sc-1</c:v>
                </c:pt>
                <c:pt idx="2">
                  <c:v>sc-2</c:v>
                </c:pt>
                <c:pt idx="3">
                  <c:v>sc-3</c:v>
                </c:pt>
                <c:pt idx="4">
                  <c:v>sc-4</c:v>
                </c:pt>
              </c:strCache>
            </c:strRef>
          </c:cat>
          <c:val>
            <c:numRef>
              <c:f>Charts!$G$6:$Q$6</c:f>
              <c:numCache>
                <c:formatCode>#,##0</c:formatCode>
                <c:ptCount val="11"/>
                <c:pt idx="0">
                  <c:v>-2638.0930075881724</c:v>
                </c:pt>
                <c:pt idx="1">
                  <c:v>10612.682885114707</c:v>
                </c:pt>
                <c:pt idx="2">
                  <c:v>-5950.7896269045732</c:v>
                </c:pt>
                <c:pt idx="3">
                  <c:v>-22514.262117484082</c:v>
                </c:pt>
                <c:pt idx="4">
                  <c:v>-38768.849277262023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B1-4039-9784-4428DDC4103B}"/>
            </c:ext>
          </c:extLst>
        </c:ser>
        <c:ser>
          <c:idx val="1"/>
          <c:order val="1"/>
          <c:tx>
            <c:strRef>
              <c:f>Charts!$F$7</c:f>
              <c:strCache>
                <c:ptCount val="1"/>
                <c:pt idx="0">
                  <c:v>REFA-Total-Var-Indkomst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Charts!$G$5:$Q$5</c:f>
              <c:strCache>
                <c:ptCount val="5"/>
                <c:pt idx="0">
                  <c:v>sc-0</c:v>
                </c:pt>
                <c:pt idx="1">
                  <c:v>sc-1</c:v>
                </c:pt>
                <c:pt idx="2">
                  <c:v>sc-2</c:v>
                </c:pt>
                <c:pt idx="3">
                  <c:v>sc-3</c:v>
                </c:pt>
                <c:pt idx="4">
                  <c:v>sc-4</c:v>
                </c:pt>
              </c:strCache>
            </c:strRef>
          </c:cat>
          <c:val>
            <c:numRef>
              <c:f>Charts!$G$7:$Q$7</c:f>
              <c:numCache>
                <c:formatCode>#,##0</c:formatCode>
                <c:ptCount val="11"/>
                <c:pt idx="0">
                  <c:v>85378.929815118638</c:v>
                </c:pt>
                <c:pt idx="1">
                  <c:v>85378.930636732432</c:v>
                </c:pt>
                <c:pt idx="2">
                  <c:v>85378.93002893588</c:v>
                </c:pt>
                <c:pt idx="3">
                  <c:v>85378.930028935865</c:v>
                </c:pt>
                <c:pt idx="4">
                  <c:v>82190.184661601539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B1-4039-9784-4428DDC4103B}"/>
            </c:ext>
          </c:extLst>
        </c:ser>
        <c:ser>
          <c:idx val="2"/>
          <c:order val="2"/>
          <c:tx>
            <c:strRef>
              <c:f>Charts!$F$8</c:f>
              <c:strCache>
                <c:ptCount val="1"/>
                <c:pt idx="0">
                  <c:v>REFA-Total-Var-Omkostning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Charts!$G$5:$Q$5</c:f>
              <c:strCache>
                <c:ptCount val="5"/>
                <c:pt idx="0">
                  <c:v>sc-0</c:v>
                </c:pt>
                <c:pt idx="1">
                  <c:v>sc-1</c:v>
                </c:pt>
                <c:pt idx="2">
                  <c:v>sc-2</c:v>
                </c:pt>
                <c:pt idx="3">
                  <c:v>sc-3</c:v>
                </c:pt>
                <c:pt idx="4">
                  <c:v>sc-4</c:v>
                </c:pt>
              </c:strCache>
            </c:strRef>
          </c:cat>
          <c:val>
            <c:numRef>
              <c:f>Charts!$G$8:$Q$8</c:f>
              <c:numCache>
                <c:formatCode>#,##0</c:formatCode>
                <c:ptCount val="11"/>
                <c:pt idx="0">
                  <c:v>88017.022822706815</c:v>
                </c:pt>
                <c:pt idx="1">
                  <c:v>74766.247751617717</c:v>
                </c:pt>
                <c:pt idx="2">
                  <c:v>91329.719655840439</c:v>
                </c:pt>
                <c:pt idx="3">
                  <c:v>107893.19214641995</c:v>
                </c:pt>
                <c:pt idx="4">
                  <c:v>120959.03393886358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FB1-4039-9784-4428DDC4103B}"/>
            </c:ext>
          </c:extLst>
        </c:ser>
        <c:ser>
          <c:idx val="3"/>
          <c:order val="3"/>
          <c:tx>
            <c:strRef>
              <c:f>Charts!$F$9</c:f>
              <c:strCache>
                <c:ptCount val="1"/>
                <c:pt idx="0">
                  <c:v>REFA-Afgifter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Charts!$G$5:$Q$5</c:f>
              <c:strCache>
                <c:ptCount val="5"/>
                <c:pt idx="0">
                  <c:v>sc-0</c:v>
                </c:pt>
                <c:pt idx="1">
                  <c:v>sc-1</c:v>
                </c:pt>
                <c:pt idx="2">
                  <c:v>sc-2</c:v>
                </c:pt>
                <c:pt idx="3">
                  <c:v>sc-3</c:v>
                </c:pt>
                <c:pt idx="4">
                  <c:v>sc-4</c:v>
                </c:pt>
              </c:strCache>
            </c:strRef>
          </c:cat>
          <c:val>
            <c:numRef>
              <c:f>Charts!$G$9:$Q$9</c:f>
              <c:numCache>
                <c:formatCode>#,##0</c:formatCode>
                <c:ptCount val="11"/>
                <c:pt idx="0">
                  <c:v>45152.373736225702</c:v>
                </c:pt>
                <c:pt idx="1">
                  <c:v>45152.376345347053</c:v>
                </c:pt>
                <c:pt idx="2">
                  <c:v>45152.37608561317</c:v>
                </c:pt>
                <c:pt idx="3">
                  <c:v>45152.37608561317</c:v>
                </c:pt>
                <c:pt idx="4">
                  <c:v>44367.767642601822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FB1-4039-9784-4428DDC4103B}"/>
            </c:ext>
          </c:extLst>
        </c:ser>
        <c:ser>
          <c:idx val="4"/>
          <c:order val="4"/>
          <c:tx>
            <c:strRef>
              <c:f>Charts!$F$10</c:f>
              <c:strCache>
                <c:ptCount val="1"/>
                <c:pt idx="0">
                  <c:v>REFA-CO2-Emission-Afgift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Charts!$G$5:$Q$5</c:f>
              <c:strCache>
                <c:ptCount val="5"/>
                <c:pt idx="0">
                  <c:v>sc-0</c:v>
                </c:pt>
                <c:pt idx="1">
                  <c:v>sc-1</c:v>
                </c:pt>
                <c:pt idx="2">
                  <c:v>sc-2</c:v>
                </c:pt>
                <c:pt idx="3">
                  <c:v>sc-3</c:v>
                </c:pt>
                <c:pt idx="4">
                  <c:v>sc-4</c:v>
                </c:pt>
              </c:strCache>
            </c:strRef>
          </c:cat>
          <c:val>
            <c:numRef>
              <c:f>Charts!$G$10:$Q$10</c:f>
              <c:numCache>
                <c:formatCode>#,##0</c:formatCode>
                <c:ptCount val="11"/>
                <c:pt idx="0">
                  <c:v>38.453238109195944</c:v>
                </c:pt>
                <c:pt idx="1">
                  <c:v>38.453238545522652</c:v>
                </c:pt>
                <c:pt idx="2">
                  <c:v>38.453238095776747</c:v>
                </c:pt>
                <c:pt idx="3">
                  <c:v>38.453238095776747</c:v>
                </c:pt>
                <c:pt idx="4">
                  <c:v>37.10913856981518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FB1-4039-9784-4428DDC41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20900856"/>
        <c:axId val="1120898232"/>
      </c:barChart>
      <c:catAx>
        <c:axId val="1120900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20898232"/>
        <c:crosses val="autoZero"/>
        <c:auto val="1"/>
        <c:lblAlgn val="ctr"/>
        <c:lblOffset val="100"/>
        <c:noMultiLvlLbl val="0"/>
      </c:catAx>
      <c:valAx>
        <c:axId val="1120898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20900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50000"/>
          <a:lumOff val="50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Økonomiske nøgletal [tDKK]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22062922884340752"/>
          <c:y val="0.14903819346337976"/>
          <c:w val="0.73140217563779331"/>
          <c:h val="0.758505801577294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Overblik!$D$3</c:f>
              <c:strCache>
                <c:ptCount val="1"/>
                <c:pt idx="0">
                  <c:v>Nominelt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Overblik!$C$12:$C$27</c:f>
              <c:strCache>
                <c:ptCount val="16"/>
                <c:pt idx="0">
                  <c:v>REFA-Daekningsbidrag</c:v>
                </c:pt>
                <c:pt idx="1">
                  <c:v>REFA-Total-Var-Indkomst</c:v>
                </c:pt>
                <c:pt idx="2">
                  <c:v>REFA-Affald-Modtagelse</c:v>
                </c:pt>
                <c:pt idx="3">
                  <c:v>REFA-RGK-Rabat</c:v>
                </c:pt>
                <c:pt idx="4">
                  <c:v>REFA-Elsalg</c:v>
                </c:pt>
                <c:pt idx="5">
                  <c:v>REFA-Varmesalg</c:v>
                </c:pt>
                <c:pt idx="6">
                  <c:v>REFA-Total-Var-Omkostning</c:v>
                </c:pt>
                <c:pt idx="7">
                  <c:v>REFA-AnlaegsVarOmk</c:v>
                </c:pt>
                <c:pt idx="8">
                  <c:v>REFA-BraendselOmk</c:v>
                </c:pt>
                <c:pt idx="9">
                  <c:v>REFA-Afgifter</c:v>
                </c:pt>
                <c:pt idx="10">
                  <c:v>REFA-Affaldvarme-afgift</c:v>
                </c:pt>
                <c:pt idx="11">
                  <c:v>REFA-Tillaegs-Afgift</c:v>
                </c:pt>
                <c:pt idx="12">
                  <c:v>REFA-CO2-Afgift</c:v>
                </c:pt>
                <c:pt idx="13">
                  <c:v>REFA-NOx-Afgift</c:v>
                </c:pt>
                <c:pt idx="14">
                  <c:v>REFA-CO2-Kvoteomk</c:v>
                </c:pt>
                <c:pt idx="15">
                  <c:v>REFA-Lageromkostning</c:v>
                </c:pt>
              </c:strCache>
            </c:strRef>
          </c:cat>
          <c:val>
            <c:numRef>
              <c:f>Overblik!$D$12:$D$27</c:f>
              <c:numCache>
                <c:formatCode>_-#,##0,_-;\-#,##0,_-;_-* "-"??_-;_-@_-</c:formatCode>
                <c:ptCount val="16"/>
                <c:pt idx="0">
                  <c:v>-2638093.0075881723</c:v>
                </c:pt>
                <c:pt idx="1">
                  <c:v>85378929.815118641</c:v>
                </c:pt>
                <c:pt idx="2">
                  <c:v>47956172.956033386</c:v>
                </c:pt>
                <c:pt idx="3">
                  <c:v>1464397.4142801967</c:v>
                </c:pt>
                <c:pt idx="4">
                  <c:v>35958359.444805071</c:v>
                </c:pt>
                <c:pt idx="5">
                  <c:v>1.1999999999999997E-13</c:v>
                </c:pt>
                <c:pt idx="6">
                  <c:v>88017022.822706819</c:v>
                </c:pt>
                <c:pt idx="7">
                  <c:v>10743113.301047554</c:v>
                </c:pt>
                <c:pt idx="8">
                  <c:v>2307285.2919860194</c:v>
                </c:pt>
                <c:pt idx="9">
                  <c:v>45152373.736225702</c:v>
                </c:pt>
                <c:pt idx="10">
                  <c:v>20363013.282252822</c:v>
                </c:pt>
                <c:pt idx="11">
                  <c:v>19651096.615894832</c:v>
                </c:pt>
                <c:pt idx="12">
                  <c:v>4520761.8606429473</c:v>
                </c:pt>
                <c:pt idx="13">
                  <c:v>617501.97743510886</c:v>
                </c:pt>
                <c:pt idx="14">
                  <c:v>29814250.493447538</c:v>
                </c:pt>
                <c:pt idx="15">
                  <c:v>1.1999999999999997E-13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E3-40E4-BCF8-6D51D20B4742}"/>
            </c:ext>
          </c:extLst>
        </c:ser>
        <c:ser>
          <c:idx val="1"/>
          <c:order val="1"/>
          <c:tx>
            <c:strRef>
              <c:f>Overblik!$E$3</c:f>
              <c:strCache>
                <c:ptCount val="1"/>
                <c:pt idx="0">
                  <c:v>Uden Ovn2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Overblik!$C$12:$C$27</c:f>
              <c:strCache>
                <c:ptCount val="16"/>
                <c:pt idx="0">
                  <c:v>REFA-Daekningsbidrag</c:v>
                </c:pt>
                <c:pt idx="1">
                  <c:v>REFA-Total-Var-Indkomst</c:v>
                </c:pt>
                <c:pt idx="2">
                  <c:v>REFA-Affald-Modtagelse</c:v>
                </c:pt>
                <c:pt idx="3">
                  <c:v>REFA-RGK-Rabat</c:v>
                </c:pt>
                <c:pt idx="4">
                  <c:v>REFA-Elsalg</c:v>
                </c:pt>
                <c:pt idx="5">
                  <c:v>REFA-Varmesalg</c:v>
                </c:pt>
                <c:pt idx="6">
                  <c:v>REFA-Total-Var-Omkostning</c:v>
                </c:pt>
                <c:pt idx="7">
                  <c:v>REFA-AnlaegsVarOmk</c:v>
                </c:pt>
                <c:pt idx="8">
                  <c:v>REFA-BraendselOmk</c:v>
                </c:pt>
                <c:pt idx="9">
                  <c:v>REFA-Afgifter</c:v>
                </c:pt>
                <c:pt idx="10">
                  <c:v>REFA-Affaldvarme-afgift</c:v>
                </c:pt>
                <c:pt idx="11">
                  <c:v>REFA-Tillaegs-Afgift</c:v>
                </c:pt>
                <c:pt idx="12">
                  <c:v>REFA-CO2-Afgift</c:v>
                </c:pt>
                <c:pt idx="13">
                  <c:v>REFA-NOx-Afgift</c:v>
                </c:pt>
                <c:pt idx="14">
                  <c:v>REFA-CO2-Kvoteomk</c:v>
                </c:pt>
                <c:pt idx="15">
                  <c:v>REFA-Lageromkostning</c:v>
                </c:pt>
              </c:strCache>
            </c:strRef>
          </c:cat>
          <c:val>
            <c:numRef>
              <c:f>Overblik!$E$12:$E$27</c:f>
              <c:numCache>
                <c:formatCode>_-#,##0,_-;\-#,##0,_-;_-* "-"??_-;_-@_-</c:formatCode>
                <c:ptCount val="16"/>
                <c:pt idx="0">
                  <c:v>10612682.885114707</c:v>
                </c:pt>
                <c:pt idx="1">
                  <c:v>85378930.636732429</c:v>
                </c:pt>
                <c:pt idx="2">
                  <c:v>47956172.956033379</c:v>
                </c:pt>
                <c:pt idx="3">
                  <c:v>1464397.6499936916</c:v>
                </c:pt>
                <c:pt idx="4">
                  <c:v>35958360.030705355</c:v>
                </c:pt>
                <c:pt idx="5">
                  <c:v>1.1999999999999997E-13</c:v>
                </c:pt>
                <c:pt idx="6">
                  <c:v>74766247.751617715</c:v>
                </c:pt>
                <c:pt idx="7">
                  <c:v>10743113.429980133</c:v>
                </c:pt>
                <c:pt idx="8">
                  <c:v>2307285.2919860184</c:v>
                </c:pt>
                <c:pt idx="9">
                  <c:v>45152376.345347054</c:v>
                </c:pt>
                <c:pt idx="10">
                  <c:v>20363013.282252822</c:v>
                </c:pt>
                <c:pt idx="11">
                  <c:v>19651099.177552663</c:v>
                </c:pt>
                <c:pt idx="12">
                  <c:v>4520761.9032866117</c:v>
                </c:pt>
                <c:pt idx="13">
                  <c:v>617501.98225495929</c:v>
                </c:pt>
                <c:pt idx="14">
                  <c:v>16563472.684304524</c:v>
                </c:pt>
                <c:pt idx="15">
                  <c:v>1.1999999999999997E-13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E3-40E4-BCF8-6D51D20B47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091764624"/>
        <c:axId val="2091755056"/>
      </c:barChart>
      <c:catAx>
        <c:axId val="209176462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2091755056"/>
        <c:crosses val="autoZero"/>
        <c:auto val="1"/>
        <c:lblAlgn val="ctr"/>
        <c:lblOffset val="100"/>
        <c:noMultiLvlLbl val="0"/>
      </c:catAx>
      <c:valAx>
        <c:axId val="209175505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_-#,##0,_-;\-#,##0,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2091764624"/>
        <c:crosses val="autoZero"/>
        <c:crossBetween val="between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Varmemængder pr. anlæg [GWhq]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7.9516544775000905E-2"/>
          <c:y val="0.13430421909757403"/>
          <c:w val="0.89379437347984847"/>
          <c:h val="0.794927482949622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Overblik!$D$3</c:f>
              <c:strCache>
                <c:ptCount val="1"/>
                <c:pt idx="0">
                  <c:v>Nominelt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_-* #,##0,_-;\-#,##0,_-;_-* &quot;-&quot;??_-;_-@_-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Overblik!$C$56:$C$61</c:f>
              <c:strCache>
                <c:ptCount val="6"/>
                <c:pt idx="0">
                  <c:v>Ovn2</c:v>
                </c:pt>
                <c:pt idx="1">
                  <c:v>Ovn3</c:v>
                </c:pt>
                <c:pt idx="2">
                  <c:v>FlisK</c:v>
                </c:pt>
                <c:pt idx="3">
                  <c:v>NS</c:v>
                </c:pt>
                <c:pt idx="4">
                  <c:v>Cooler</c:v>
                </c:pt>
                <c:pt idx="5">
                  <c:v>PeakK</c:v>
                </c:pt>
              </c:strCache>
            </c:strRef>
          </c:cat>
          <c:val>
            <c:numRef>
              <c:f>Overblik!$D$56:$D$61</c:f>
              <c:numCache>
                <c:formatCode>_-* #,##0_-;\-#,##0_-;_-* "-"??_-;_-@_-</c:formatCode>
                <c:ptCount val="6"/>
                <c:pt idx="0">
                  <c:v>50342.487681799976</c:v>
                </c:pt>
                <c:pt idx="1">
                  <c:v>177284.50896694593</c:v>
                </c:pt>
                <c:pt idx="2">
                  <c:v>10895.513878822869</c:v>
                </c:pt>
                <c:pt idx="3" formatCode="_-* #,##0_-;\-#,##0_-;_-\ &quot;-&quot;??_-;_-@_-">
                  <c:v>11100</c:v>
                </c:pt>
                <c:pt idx="4">
                  <c:v>-9622.5105275687874</c:v>
                </c:pt>
                <c:pt idx="5">
                  <c:v>1.1999999999999997E-13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5A-48B7-961A-30B07987BEDB}"/>
            </c:ext>
          </c:extLst>
        </c:ser>
        <c:ser>
          <c:idx val="1"/>
          <c:order val="1"/>
          <c:tx>
            <c:strRef>
              <c:f>Overblik!$E$3</c:f>
              <c:strCache>
                <c:ptCount val="1"/>
                <c:pt idx="0">
                  <c:v>Uden Ovn2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-* #,##0,_-;\-#,##0,_-;_-* &quot;-&quot;??_-;_-@_-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Overblik!$C$56:$C$61</c:f>
              <c:strCache>
                <c:ptCount val="6"/>
                <c:pt idx="0">
                  <c:v>Ovn2</c:v>
                </c:pt>
                <c:pt idx="1">
                  <c:v>Ovn3</c:v>
                </c:pt>
                <c:pt idx="2">
                  <c:v>FlisK</c:v>
                </c:pt>
                <c:pt idx="3">
                  <c:v>NS</c:v>
                </c:pt>
                <c:pt idx="4">
                  <c:v>Cooler</c:v>
                </c:pt>
                <c:pt idx="5">
                  <c:v>PeakK</c:v>
                </c:pt>
              </c:strCache>
            </c:strRef>
          </c:cat>
          <c:val>
            <c:numRef>
              <c:f>Overblik!$E$56:$E$61</c:f>
              <c:numCache>
                <c:formatCode>_-* #,##0_-;\-#,##0_-;_-* "-"??_-;_-@_-</c:formatCode>
                <c:ptCount val="6"/>
                <c:pt idx="0">
                  <c:v>50342.487681799983</c:v>
                </c:pt>
                <c:pt idx="1">
                  <c:v>177284.51111582218</c:v>
                </c:pt>
                <c:pt idx="2">
                  <c:v>10895.513878822865</c:v>
                </c:pt>
                <c:pt idx="3">
                  <c:v>11100</c:v>
                </c:pt>
                <c:pt idx="4">
                  <c:v>-9622.5126764450688</c:v>
                </c:pt>
                <c:pt idx="5">
                  <c:v>1.1999999999999997E-13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5A-48B7-961A-30B07987BE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497844528"/>
        <c:axId val="497844112"/>
      </c:barChart>
      <c:catAx>
        <c:axId val="49784452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97844112"/>
        <c:crosses val="autoZero"/>
        <c:auto val="1"/>
        <c:lblAlgn val="ctr"/>
        <c:lblOffset val="100"/>
        <c:noMultiLvlLbl val="0"/>
      </c:catAx>
      <c:valAx>
        <c:axId val="49784411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_-* #,##0,_-;\-#,##0,_-;_-* &quot;-&quot;??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97844528"/>
        <c:crosses val="autoZero"/>
        <c:crossBetween val="between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Brændselsforbrug</a:t>
            </a:r>
            <a:r>
              <a:rPr lang="da-DK" sz="1600" baseline="0"/>
              <a:t> [ton]</a:t>
            </a:r>
            <a:endParaRPr lang="da-DK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0977014615720922"/>
          <c:y val="0.11992713656800115"/>
          <c:w val="0.85808333418478322"/>
          <c:h val="0.8091587639524142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Overblik!$D$3</c:f>
              <c:strCache>
                <c:ptCount val="1"/>
                <c:pt idx="0">
                  <c:v>Nominelt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Overblik!$C$64:$C$92</c:f>
              <c:strCache>
                <c:ptCount val="29"/>
                <c:pt idx="0">
                  <c:v> DepoSort </c:v>
                </c:pt>
                <c:pt idx="1">
                  <c:v> DepoSmaat </c:v>
                </c:pt>
                <c:pt idx="2">
                  <c:v> DepoNedd </c:v>
                </c:pt>
                <c:pt idx="3">
                  <c:v> Dagren </c:v>
                </c:pt>
                <c:pt idx="4">
                  <c:v> AndetBrand </c:v>
                </c:pt>
                <c:pt idx="5">
                  <c:v> Trae </c:v>
                </c:pt>
                <c:pt idx="6">
                  <c:v> DagrenRast </c:v>
                </c:pt>
                <c:pt idx="7">
                  <c:v> DagrenInst </c:v>
                </c:pt>
                <c:pt idx="8">
                  <c:v> DagrenHandel </c:v>
                </c:pt>
                <c:pt idx="9">
                  <c:v> DagrenRestau </c:v>
                </c:pt>
                <c:pt idx="10">
                  <c:v> Erhverv </c:v>
                </c:pt>
                <c:pt idx="11">
                  <c:v> DagrenErhverv </c:v>
                </c:pt>
                <c:pt idx="12">
                  <c:v> HandelKontor </c:v>
                </c:pt>
                <c:pt idx="13">
                  <c:v> Privat </c:v>
                </c:pt>
                <c:pt idx="14">
                  <c:v> TyskRest </c:v>
                </c:pt>
                <c:pt idx="15">
                  <c:v> PolskRest </c:v>
                </c:pt>
                <c:pt idx="16">
                  <c:v> PcbTrae </c:v>
                </c:pt>
                <c:pt idx="17">
                  <c:v> TraeRekv </c:v>
                </c:pt>
                <c:pt idx="18">
                  <c:v> Halm </c:v>
                </c:pt>
                <c:pt idx="19">
                  <c:v> Pulver </c:v>
                </c:pt>
                <c:pt idx="20">
                  <c:v> FlisAffald </c:v>
                </c:pt>
                <c:pt idx="21">
                  <c:v> NyAff1 </c:v>
                </c:pt>
                <c:pt idx="22">
                  <c:v> NyAff2 </c:v>
                </c:pt>
                <c:pt idx="23">
                  <c:v> NyAff3 </c:v>
                </c:pt>
                <c:pt idx="24">
                  <c:v> NyAff4 </c:v>
                </c:pt>
                <c:pt idx="25">
                  <c:v> NyAff5 </c:v>
                </c:pt>
                <c:pt idx="26">
                  <c:v> Flis </c:v>
                </c:pt>
                <c:pt idx="27">
                  <c:v> NSvarme </c:v>
                </c:pt>
                <c:pt idx="28">
                  <c:v> PeakFuel </c:v>
                </c:pt>
              </c:strCache>
            </c:strRef>
          </c:cat>
          <c:val>
            <c:numRef>
              <c:f>Overblik!$D$64:$D$92</c:f>
              <c:numCache>
                <c:formatCode>#,##0;\-#,##0;0</c:formatCode>
                <c:ptCount val="29"/>
                <c:pt idx="0">
                  <c:v>12837.548075001234</c:v>
                </c:pt>
                <c:pt idx="1">
                  <c:v>-1.1999999999999997E-13</c:v>
                </c:pt>
                <c:pt idx="2">
                  <c:v>-1.1999999999999997E-13</c:v>
                </c:pt>
                <c:pt idx="3">
                  <c:v>28766.806369548332</c:v>
                </c:pt>
                <c:pt idx="4">
                  <c:v>4232.4128797082512</c:v>
                </c:pt>
                <c:pt idx="5">
                  <c:v>30.570863904166671</c:v>
                </c:pt>
                <c:pt idx="6">
                  <c:v>3932.3022656316653</c:v>
                </c:pt>
                <c:pt idx="7">
                  <c:v>106.90009799166663</c:v>
                </c:pt>
                <c:pt idx="8">
                  <c:v>3910.5130771758318</c:v>
                </c:pt>
                <c:pt idx="9">
                  <c:v>398.460365255</c:v>
                </c:pt>
                <c:pt idx="10">
                  <c:v>6141.6756298641649</c:v>
                </c:pt>
                <c:pt idx="11">
                  <c:v>123.00762300749997</c:v>
                </c:pt>
                <c:pt idx="12">
                  <c:v>52.965009630000004</c:v>
                </c:pt>
                <c:pt idx="13">
                  <c:v>11.815845149166677</c:v>
                </c:pt>
                <c:pt idx="14">
                  <c:v>40000.039999999986</c:v>
                </c:pt>
                <c:pt idx="15">
                  <c:v>141.24930791583336</c:v>
                </c:pt>
                <c:pt idx="16">
                  <c:v>-1.1999999999999997E-13</c:v>
                </c:pt>
                <c:pt idx="17">
                  <c:v>957.48600742166673</c:v>
                </c:pt>
                <c:pt idx="18">
                  <c:v>-1.1999999999999997E-13</c:v>
                </c:pt>
                <c:pt idx="19">
                  <c:v>104.445104445</c:v>
                </c:pt>
                <c:pt idx="20">
                  <c:v>212.2001945166667</c:v>
                </c:pt>
                <c:pt idx="21">
                  <c:v>-1.1999999999999997E-13</c:v>
                </c:pt>
                <c:pt idx="22">
                  <c:v>-1.1999999999999997E-13</c:v>
                </c:pt>
                <c:pt idx="23">
                  <c:v>-1.1999999999999997E-13</c:v>
                </c:pt>
                <c:pt idx="24">
                  <c:v>-1.1999999999999997E-13</c:v>
                </c:pt>
                <c:pt idx="25">
                  <c:v>-1.1999999999999997E-13</c:v>
                </c:pt>
                <c:pt idx="26">
                  <c:v>4909.1176425234453</c:v>
                </c:pt>
                <c:pt idx="27">
                  <c:v>11100</c:v>
                </c:pt>
                <c:pt idx="28">
                  <c:v>1.1999999999999997E-13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69-4FD3-AD35-D43B10DAD724}"/>
            </c:ext>
          </c:extLst>
        </c:ser>
        <c:ser>
          <c:idx val="1"/>
          <c:order val="1"/>
          <c:tx>
            <c:strRef>
              <c:f>Overblik!$E$3</c:f>
              <c:strCache>
                <c:ptCount val="1"/>
                <c:pt idx="0">
                  <c:v>Uden Ovn2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Overblik!$C$64:$C$92</c:f>
              <c:strCache>
                <c:ptCount val="29"/>
                <c:pt idx="0">
                  <c:v> DepoSort </c:v>
                </c:pt>
                <c:pt idx="1">
                  <c:v> DepoSmaat </c:v>
                </c:pt>
                <c:pt idx="2">
                  <c:v> DepoNedd </c:v>
                </c:pt>
                <c:pt idx="3">
                  <c:v> Dagren </c:v>
                </c:pt>
                <c:pt idx="4">
                  <c:v> AndetBrand </c:v>
                </c:pt>
                <c:pt idx="5">
                  <c:v> Trae </c:v>
                </c:pt>
                <c:pt idx="6">
                  <c:v> DagrenRast </c:v>
                </c:pt>
                <c:pt idx="7">
                  <c:v> DagrenInst </c:v>
                </c:pt>
                <c:pt idx="8">
                  <c:v> DagrenHandel </c:v>
                </c:pt>
                <c:pt idx="9">
                  <c:v> DagrenRestau </c:v>
                </c:pt>
                <c:pt idx="10">
                  <c:v> Erhverv </c:v>
                </c:pt>
                <c:pt idx="11">
                  <c:v> DagrenErhverv </c:v>
                </c:pt>
                <c:pt idx="12">
                  <c:v> HandelKontor </c:v>
                </c:pt>
                <c:pt idx="13">
                  <c:v> Privat </c:v>
                </c:pt>
                <c:pt idx="14">
                  <c:v> TyskRest </c:v>
                </c:pt>
                <c:pt idx="15">
                  <c:v> PolskRest </c:v>
                </c:pt>
                <c:pt idx="16">
                  <c:v> PcbTrae </c:v>
                </c:pt>
                <c:pt idx="17">
                  <c:v> TraeRekv </c:v>
                </c:pt>
                <c:pt idx="18">
                  <c:v> Halm </c:v>
                </c:pt>
                <c:pt idx="19">
                  <c:v> Pulver </c:v>
                </c:pt>
                <c:pt idx="20">
                  <c:v> FlisAffald </c:v>
                </c:pt>
                <c:pt idx="21">
                  <c:v> NyAff1 </c:v>
                </c:pt>
                <c:pt idx="22">
                  <c:v> NyAff2 </c:v>
                </c:pt>
                <c:pt idx="23">
                  <c:v> NyAff3 </c:v>
                </c:pt>
                <c:pt idx="24">
                  <c:v> NyAff4 </c:v>
                </c:pt>
                <c:pt idx="25">
                  <c:v> NyAff5 </c:v>
                </c:pt>
                <c:pt idx="26">
                  <c:v> Flis </c:v>
                </c:pt>
                <c:pt idx="27">
                  <c:v> NSvarme </c:v>
                </c:pt>
                <c:pt idx="28">
                  <c:v> PeakFuel </c:v>
                </c:pt>
              </c:strCache>
            </c:strRef>
          </c:cat>
          <c:val>
            <c:numRef>
              <c:f>Overblik!$E$64:$E$92</c:f>
              <c:numCache>
                <c:formatCode>#,##0;\-#,##0;0</c:formatCode>
                <c:ptCount val="29"/>
                <c:pt idx="0">
                  <c:v>12837.548075001232</c:v>
                </c:pt>
                <c:pt idx="1">
                  <c:v>-1.1999999999999997E-13</c:v>
                </c:pt>
                <c:pt idx="2">
                  <c:v>-1.1999999999999997E-13</c:v>
                </c:pt>
                <c:pt idx="3">
                  <c:v>28766.806369548332</c:v>
                </c:pt>
                <c:pt idx="4">
                  <c:v>4232.4128797082512</c:v>
                </c:pt>
                <c:pt idx="5">
                  <c:v>30.570863904166671</c:v>
                </c:pt>
                <c:pt idx="6">
                  <c:v>3932.3022656316653</c:v>
                </c:pt>
                <c:pt idx="7">
                  <c:v>106.90009799166663</c:v>
                </c:pt>
                <c:pt idx="8">
                  <c:v>3910.5130771758318</c:v>
                </c:pt>
                <c:pt idx="9">
                  <c:v>398.460365255</c:v>
                </c:pt>
                <c:pt idx="10">
                  <c:v>6141.6756298641649</c:v>
                </c:pt>
                <c:pt idx="11">
                  <c:v>123.00762300749997</c:v>
                </c:pt>
                <c:pt idx="12">
                  <c:v>52.965052965000019</c:v>
                </c:pt>
                <c:pt idx="13">
                  <c:v>11.815845149166677</c:v>
                </c:pt>
                <c:pt idx="14">
                  <c:v>40000.039999999979</c:v>
                </c:pt>
                <c:pt idx="15">
                  <c:v>141.24930791583336</c:v>
                </c:pt>
                <c:pt idx="16">
                  <c:v>-1.1999999999999997E-13</c:v>
                </c:pt>
                <c:pt idx="17">
                  <c:v>957.48679081916669</c:v>
                </c:pt>
                <c:pt idx="18">
                  <c:v>-1.1999999999999997E-13</c:v>
                </c:pt>
                <c:pt idx="19">
                  <c:v>104.445104445</c:v>
                </c:pt>
                <c:pt idx="20">
                  <c:v>212.2001945166667</c:v>
                </c:pt>
                <c:pt idx="21">
                  <c:v>-1.1999999999999997E-13</c:v>
                </c:pt>
                <c:pt idx="22">
                  <c:v>-1.1999999999999997E-13</c:v>
                </c:pt>
                <c:pt idx="23">
                  <c:v>-1.1999999999999997E-13</c:v>
                </c:pt>
                <c:pt idx="24">
                  <c:v>-1.1999999999999997E-13</c:v>
                </c:pt>
                <c:pt idx="25">
                  <c:v>-1.1999999999999997E-13</c:v>
                </c:pt>
                <c:pt idx="26">
                  <c:v>4909.1176425234444</c:v>
                </c:pt>
                <c:pt idx="27">
                  <c:v>11100</c:v>
                </c:pt>
                <c:pt idx="28">
                  <c:v>1.1999999999999997E-13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69-4FD3-AD35-D43B10DAD7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11"/>
        <c:axId val="918389920"/>
        <c:axId val="918374112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Overblik!$F$63</c15:sqref>
                        </c15:formulaRef>
                      </c:ext>
                    </c:extLst>
                    <c:strCache>
                      <c:ptCount val="1"/>
                      <c:pt idx="0">
                        <c:v>scen3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Overblik!$C$64:$C$92</c15:sqref>
                        </c15:formulaRef>
                      </c:ext>
                    </c:extLst>
                    <c:strCache>
                      <c:ptCount val="29"/>
                      <c:pt idx="0">
                        <c:v> DepoSort </c:v>
                      </c:pt>
                      <c:pt idx="1">
                        <c:v> DepoSmaat </c:v>
                      </c:pt>
                      <c:pt idx="2">
                        <c:v> DepoNedd </c:v>
                      </c:pt>
                      <c:pt idx="3">
                        <c:v> Dagren </c:v>
                      </c:pt>
                      <c:pt idx="4">
                        <c:v> AndetBrand </c:v>
                      </c:pt>
                      <c:pt idx="5">
                        <c:v> Trae </c:v>
                      </c:pt>
                      <c:pt idx="6">
                        <c:v> DagrenRast </c:v>
                      </c:pt>
                      <c:pt idx="7">
                        <c:v> DagrenInst </c:v>
                      </c:pt>
                      <c:pt idx="8">
                        <c:v> DagrenHandel </c:v>
                      </c:pt>
                      <c:pt idx="9">
                        <c:v> DagrenRestau </c:v>
                      </c:pt>
                      <c:pt idx="10">
                        <c:v> Erhverv </c:v>
                      </c:pt>
                      <c:pt idx="11">
                        <c:v> DagrenErhverv </c:v>
                      </c:pt>
                      <c:pt idx="12">
                        <c:v> HandelKontor </c:v>
                      </c:pt>
                      <c:pt idx="13">
                        <c:v> Privat </c:v>
                      </c:pt>
                      <c:pt idx="14">
                        <c:v> TyskRest </c:v>
                      </c:pt>
                      <c:pt idx="15">
                        <c:v> PolskRest </c:v>
                      </c:pt>
                      <c:pt idx="16">
                        <c:v> PcbTrae </c:v>
                      </c:pt>
                      <c:pt idx="17">
                        <c:v> TraeRekv </c:v>
                      </c:pt>
                      <c:pt idx="18">
                        <c:v> Halm </c:v>
                      </c:pt>
                      <c:pt idx="19">
                        <c:v> Pulver </c:v>
                      </c:pt>
                      <c:pt idx="20">
                        <c:v> FlisAffald </c:v>
                      </c:pt>
                      <c:pt idx="21">
                        <c:v> NyAff1 </c:v>
                      </c:pt>
                      <c:pt idx="22">
                        <c:v> NyAff2 </c:v>
                      </c:pt>
                      <c:pt idx="23">
                        <c:v> NyAff3 </c:v>
                      </c:pt>
                      <c:pt idx="24">
                        <c:v> NyAff4 </c:v>
                      </c:pt>
                      <c:pt idx="25">
                        <c:v> NyAff5 </c:v>
                      </c:pt>
                      <c:pt idx="26">
                        <c:v> Flis </c:v>
                      </c:pt>
                      <c:pt idx="27">
                        <c:v> NSvarme </c:v>
                      </c:pt>
                      <c:pt idx="28">
                        <c:v> PeakFuel 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Overblik!$F$64:$F$92</c15:sqref>
                        </c15:formulaRef>
                      </c:ext>
                    </c:extLst>
                    <c:numCache>
                      <c:formatCode>#,##0;\-#,##0;0</c:formatCode>
                      <c:ptCount val="29"/>
                      <c:pt idx="0">
                        <c:v>12837.548075001234</c:v>
                      </c:pt>
                      <c:pt idx="1">
                        <c:v>-1.1999999999999997E-13</c:v>
                      </c:pt>
                      <c:pt idx="2">
                        <c:v>-1.1999999999999997E-13</c:v>
                      </c:pt>
                      <c:pt idx="3">
                        <c:v>28766.806369548332</c:v>
                      </c:pt>
                      <c:pt idx="4">
                        <c:v>4232.4128797082512</c:v>
                      </c:pt>
                      <c:pt idx="5">
                        <c:v>30.570838891666689</c:v>
                      </c:pt>
                      <c:pt idx="6">
                        <c:v>3932.3022656316653</c:v>
                      </c:pt>
                      <c:pt idx="7">
                        <c:v>106.90009799166663</c:v>
                      </c:pt>
                      <c:pt idx="8">
                        <c:v>3910.5130771758318</c:v>
                      </c:pt>
                      <c:pt idx="9">
                        <c:v>398.460365255</c:v>
                      </c:pt>
                      <c:pt idx="10">
                        <c:v>6141.6756298641649</c:v>
                      </c:pt>
                      <c:pt idx="11">
                        <c:v>123.00762300749997</c:v>
                      </c:pt>
                      <c:pt idx="12">
                        <c:v>52.965009630000004</c:v>
                      </c:pt>
                      <c:pt idx="13">
                        <c:v>11.815845149166677</c:v>
                      </c:pt>
                      <c:pt idx="14">
                        <c:v>40000.039999999986</c:v>
                      </c:pt>
                      <c:pt idx="15">
                        <c:v>141.24930791583336</c:v>
                      </c:pt>
                      <c:pt idx="16">
                        <c:v>-1.1999999999999997E-13</c:v>
                      </c:pt>
                      <c:pt idx="17">
                        <c:v>957.48600742166673</c:v>
                      </c:pt>
                      <c:pt idx="18">
                        <c:v>-1.1999999999999997E-13</c:v>
                      </c:pt>
                      <c:pt idx="19">
                        <c:v>104.445104445</c:v>
                      </c:pt>
                      <c:pt idx="20">
                        <c:v>212.2001945166667</c:v>
                      </c:pt>
                      <c:pt idx="21">
                        <c:v>-1.1999999999999997E-13</c:v>
                      </c:pt>
                      <c:pt idx="22">
                        <c:v>-1.1999999999999997E-13</c:v>
                      </c:pt>
                      <c:pt idx="23">
                        <c:v>-1.1999999999999997E-13</c:v>
                      </c:pt>
                      <c:pt idx="24">
                        <c:v>-1.1999999999999997E-13</c:v>
                      </c:pt>
                      <c:pt idx="25">
                        <c:v>-1.1999999999999997E-13</c:v>
                      </c:pt>
                      <c:pt idx="26">
                        <c:v>4909.1176425234444</c:v>
                      </c:pt>
                      <c:pt idx="27">
                        <c:v>11100</c:v>
                      </c:pt>
                      <c:pt idx="28">
                        <c:v>1.1999999999999997E-13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3869-4FD3-AD35-D43B10DAD724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Overblik!$G$63</c15:sqref>
                        </c15:formulaRef>
                      </c:ext>
                    </c:extLst>
                    <c:strCache>
                      <c:ptCount val="1"/>
                      <c:pt idx="0">
                        <c:v>scen4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Overblik!$C$64:$C$92</c15:sqref>
                        </c15:formulaRef>
                      </c:ext>
                    </c:extLst>
                    <c:strCache>
                      <c:ptCount val="29"/>
                      <c:pt idx="0">
                        <c:v> DepoSort </c:v>
                      </c:pt>
                      <c:pt idx="1">
                        <c:v> DepoSmaat </c:v>
                      </c:pt>
                      <c:pt idx="2">
                        <c:v> DepoNedd </c:v>
                      </c:pt>
                      <c:pt idx="3">
                        <c:v> Dagren </c:v>
                      </c:pt>
                      <c:pt idx="4">
                        <c:v> AndetBrand </c:v>
                      </c:pt>
                      <c:pt idx="5">
                        <c:v> Trae </c:v>
                      </c:pt>
                      <c:pt idx="6">
                        <c:v> DagrenRast </c:v>
                      </c:pt>
                      <c:pt idx="7">
                        <c:v> DagrenInst </c:v>
                      </c:pt>
                      <c:pt idx="8">
                        <c:v> DagrenHandel </c:v>
                      </c:pt>
                      <c:pt idx="9">
                        <c:v> DagrenRestau </c:v>
                      </c:pt>
                      <c:pt idx="10">
                        <c:v> Erhverv </c:v>
                      </c:pt>
                      <c:pt idx="11">
                        <c:v> DagrenErhverv </c:v>
                      </c:pt>
                      <c:pt idx="12">
                        <c:v> HandelKontor </c:v>
                      </c:pt>
                      <c:pt idx="13">
                        <c:v> Privat </c:v>
                      </c:pt>
                      <c:pt idx="14">
                        <c:v> TyskRest </c:v>
                      </c:pt>
                      <c:pt idx="15">
                        <c:v> PolskRest </c:v>
                      </c:pt>
                      <c:pt idx="16">
                        <c:v> PcbTrae </c:v>
                      </c:pt>
                      <c:pt idx="17">
                        <c:v> TraeRekv </c:v>
                      </c:pt>
                      <c:pt idx="18">
                        <c:v> Halm </c:v>
                      </c:pt>
                      <c:pt idx="19">
                        <c:v> Pulver </c:v>
                      </c:pt>
                      <c:pt idx="20">
                        <c:v> FlisAffald </c:v>
                      </c:pt>
                      <c:pt idx="21">
                        <c:v> NyAff1 </c:v>
                      </c:pt>
                      <c:pt idx="22">
                        <c:v> NyAff2 </c:v>
                      </c:pt>
                      <c:pt idx="23">
                        <c:v> NyAff3 </c:v>
                      </c:pt>
                      <c:pt idx="24">
                        <c:v> NyAff4 </c:v>
                      </c:pt>
                      <c:pt idx="25">
                        <c:v> NyAff5 </c:v>
                      </c:pt>
                      <c:pt idx="26">
                        <c:v> Flis </c:v>
                      </c:pt>
                      <c:pt idx="27">
                        <c:v> NSvarme </c:v>
                      </c:pt>
                      <c:pt idx="28">
                        <c:v> PeakFuel 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Overblik!$G$64:$G$92</c15:sqref>
                        </c15:formulaRef>
                      </c:ext>
                    </c:extLst>
                    <c:numCache>
                      <c:formatCode>#,##0;\-#,##0;0</c:formatCode>
                      <c:ptCount val="29"/>
                      <c:pt idx="0">
                        <c:v>12864.822427495115</c:v>
                      </c:pt>
                      <c:pt idx="1">
                        <c:v>-1.1999999999999997E-13</c:v>
                      </c:pt>
                      <c:pt idx="2">
                        <c:v>-1.1999999999999997E-13</c:v>
                      </c:pt>
                      <c:pt idx="3">
                        <c:v>28766.806369548332</c:v>
                      </c:pt>
                      <c:pt idx="4">
                        <c:v>4205.1385272143661</c:v>
                      </c:pt>
                      <c:pt idx="5">
                        <c:v>30.570838891666689</c:v>
                      </c:pt>
                      <c:pt idx="6">
                        <c:v>3932.3022656316653</c:v>
                      </c:pt>
                      <c:pt idx="7">
                        <c:v>106.90009799166663</c:v>
                      </c:pt>
                      <c:pt idx="8">
                        <c:v>3910.5130771758318</c:v>
                      </c:pt>
                      <c:pt idx="9">
                        <c:v>398.460365255</c:v>
                      </c:pt>
                      <c:pt idx="10">
                        <c:v>6141.6756298641649</c:v>
                      </c:pt>
                      <c:pt idx="11">
                        <c:v>123.00762300749997</c:v>
                      </c:pt>
                      <c:pt idx="12">
                        <c:v>52.965009630000004</c:v>
                      </c:pt>
                      <c:pt idx="13">
                        <c:v>11.815845149166677</c:v>
                      </c:pt>
                      <c:pt idx="14">
                        <c:v>40000.039999999986</c:v>
                      </c:pt>
                      <c:pt idx="15">
                        <c:v>141.24930791583336</c:v>
                      </c:pt>
                      <c:pt idx="16">
                        <c:v>-1.1999999999999997E-13</c:v>
                      </c:pt>
                      <c:pt idx="17">
                        <c:v>957.48600742166673</c:v>
                      </c:pt>
                      <c:pt idx="18">
                        <c:v>-1.1999999999999997E-13</c:v>
                      </c:pt>
                      <c:pt idx="19">
                        <c:v>104.445104445</c:v>
                      </c:pt>
                      <c:pt idx="20">
                        <c:v>212.2001945166667</c:v>
                      </c:pt>
                      <c:pt idx="21">
                        <c:v>-1.1999999999999997E-13</c:v>
                      </c:pt>
                      <c:pt idx="22">
                        <c:v>-1.1999999999999997E-13</c:v>
                      </c:pt>
                      <c:pt idx="23">
                        <c:v>-1.1999999999999997E-13</c:v>
                      </c:pt>
                      <c:pt idx="24">
                        <c:v>-1.1999999999999997E-13</c:v>
                      </c:pt>
                      <c:pt idx="25">
                        <c:v>-1.1999999999999997E-13</c:v>
                      </c:pt>
                      <c:pt idx="26">
                        <c:v>4909.1176425234444</c:v>
                      </c:pt>
                      <c:pt idx="27">
                        <c:v>11100</c:v>
                      </c:pt>
                      <c:pt idx="28">
                        <c:v>1.1999999999999997E-13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3869-4FD3-AD35-D43B10DAD724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Overblik!$H$63</c15:sqref>
                        </c15:formulaRef>
                      </c:ext>
                    </c:extLst>
                    <c:strCache>
                      <c:ptCount val="1"/>
                      <c:pt idx="0">
                        <c:v>scen5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Overblik!$C$64:$C$92</c15:sqref>
                        </c15:formulaRef>
                      </c:ext>
                    </c:extLst>
                    <c:strCache>
                      <c:ptCount val="29"/>
                      <c:pt idx="0">
                        <c:v> DepoSort </c:v>
                      </c:pt>
                      <c:pt idx="1">
                        <c:v> DepoSmaat </c:v>
                      </c:pt>
                      <c:pt idx="2">
                        <c:v> DepoNedd </c:v>
                      </c:pt>
                      <c:pt idx="3">
                        <c:v> Dagren </c:v>
                      </c:pt>
                      <c:pt idx="4">
                        <c:v> AndetBrand </c:v>
                      </c:pt>
                      <c:pt idx="5">
                        <c:v> Trae </c:v>
                      </c:pt>
                      <c:pt idx="6">
                        <c:v> DagrenRast </c:v>
                      </c:pt>
                      <c:pt idx="7">
                        <c:v> DagrenInst </c:v>
                      </c:pt>
                      <c:pt idx="8">
                        <c:v> DagrenHandel </c:v>
                      </c:pt>
                      <c:pt idx="9">
                        <c:v> DagrenRestau </c:v>
                      </c:pt>
                      <c:pt idx="10">
                        <c:v> Erhverv </c:v>
                      </c:pt>
                      <c:pt idx="11">
                        <c:v> DagrenErhverv </c:v>
                      </c:pt>
                      <c:pt idx="12">
                        <c:v> HandelKontor </c:v>
                      </c:pt>
                      <c:pt idx="13">
                        <c:v> Privat </c:v>
                      </c:pt>
                      <c:pt idx="14">
                        <c:v> TyskRest </c:v>
                      </c:pt>
                      <c:pt idx="15">
                        <c:v> PolskRest </c:v>
                      </c:pt>
                      <c:pt idx="16">
                        <c:v> PcbTrae </c:v>
                      </c:pt>
                      <c:pt idx="17">
                        <c:v> TraeRekv </c:v>
                      </c:pt>
                      <c:pt idx="18">
                        <c:v> Halm </c:v>
                      </c:pt>
                      <c:pt idx="19">
                        <c:v> Pulver </c:v>
                      </c:pt>
                      <c:pt idx="20">
                        <c:v> FlisAffald </c:v>
                      </c:pt>
                      <c:pt idx="21">
                        <c:v> NyAff1 </c:v>
                      </c:pt>
                      <c:pt idx="22">
                        <c:v> NyAff2 </c:v>
                      </c:pt>
                      <c:pt idx="23">
                        <c:v> NyAff3 </c:v>
                      </c:pt>
                      <c:pt idx="24">
                        <c:v> NyAff4 </c:v>
                      </c:pt>
                      <c:pt idx="25">
                        <c:v> NyAff5 </c:v>
                      </c:pt>
                      <c:pt idx="26">
                        <c:v> Flis </c:v>
                      </c:pt>
                      <c:pt idx="27">
                        <c:v> NSvarme </c:v>
                      </c:pt>
                      <c:pt idx="28">
                        <c:v> PeakFuel 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Overblik!$H$64:$H$92</c15:sqref>
                        </c15:formulaRef>
                      </c:ext>
                    </c:extLst>
                    <c:numCache>
                      <c:formatCode>#,##0;\-#,##0;0</c:formatCode>
                      <c:ptCount val="29"/>
                      <c:pt idx="0">
                        <c:v>12837.548075001234</c:v>
                      </c:pt>
                      <c:pt idx="1">
                        <c:v>-1.1999999999999997E-13</c:v>
                      </c:pt>
                      <c:pt idx="2">
                        <c:v>-1.1999999999999997E-13</c:v>
                      </c:pt>
                      <c:pt idx="3">
                        <c:v>28766.806369548332</c:v>
                      </c:pt>
                      <c:pt idx="4">
                        <c:v>4232.4128797082512</c:v>
                      </c:pt>
                      <c:pt idx="5">
                        <c:v>30.570833333333347</c:v>
                      </c:pt>
                      <c:pt idx="6">
                        <c:v>3932.3011931866658</c:v>
                      </c:pt>
                      <c:pt idx="7">
                        <c:v>106.90009799166663</c:v>
                      </c:pt>
                      <c:pt idx="8">
                        <c:v>3910.5130771758318</c:v>
                      </c:pt>
                      <c:pt idx="9">
                        <c:v>398.460365255</c:v>
                      </c:pt>
                      <c:pt idx="10">
                        <c:v>6141.6756298641649</c:v>
                      </c:pt>
                      <c:pt idx="11">
                        <c:v>123.00762300749997</c:v>
                      </c:pt>
                      <c:pt idx="12">
                        <c:v>52.965000000000003</c:v>
                      </c:pt>
                      <c:pt idx="13">
                        <c:v>11.815845149166677</c:v>
                      </c:pt>
                      <c:pt idx="14">
                        <c:v>36540.325843365637</c:v>
                      </c:pt>
                      <c:pt idx="15">
                        <c:v>141.24930791583336</c:v>
                      </c:pt>
                      <c:pt idx="16">
                        <c:v>-1.1999999999999997E-13</c:v>
                      </c:pt>
                      <c:pt idx="17">
                        <c:v>957.4858333333334</c:v>
                      </c:pt>
                      <c:pt idx="18">
                        <c:v>-1.1999999999999997E-13</c:v>
                      </c:pt>
                      <c:pt idx="19">
                        <c:v>104.445104445</c:v>
                      </c:pt>
                      <c:pt idx="20">
                        <c:v>212.2001945166667</c:v>
                      </c:pt>
                      <c:pt idx="21">
                        <c:v>-1.1999999999999997E-13</c:v>
                      </c:pt>
                      <c:pt idx="22">
                        <c:v>-1.1999999999999997E-13</c:v>
                      </c:pt>
                      <c:pt idx="23">
                        <c:v>-1.1999999999999997E-13</c:v>
                      </c:pt>
                      <c:pt idx="24">
                        <c:v>-1.1999999999999997E-13</c:v>
                      </c:pt>
                      <c:pt idx="25">
                        <c:v>-1.1999999999999997E-13</c:v>
                      </c:pt>
                      <c:pt idx="26">
                        <c:v>4909.1181531154061</c:v>
                      </c:pt>
                      <c:pt idx="27">
                        <c:v>11100</c:v>
                      </c:pt>
                      <c:pt idx="28">
                        <c:v>1.1999999999999997E-13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3869-4FD3-AD35-D43B10DAD724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Overblik!$I$63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Overblik!$C$64:$C$92</c15:sqref>
                        </c15:formulaRef>
                      </c:ext>
                    </c:extLst>
                    <c:strCache>
                      <c:ptCount val="29"/>
                      <c:pt idx="0">
                        <c:v> DepoSort </c:v>
                      </c:pt>
                      <c:pt idx="1">
                        <c:v> DepoSmaat </c:v>
                      </c:pt>
                      <c:pt idx="2">
                        <c:v> DepoNedd </c:v>
                      </c:pt>
                      <c:pt idx="3">
                        <c:v> Dagren </c:v>
                      </c:pt>
                      <c:pt idx="4">
                        <c:v> AndetBrand </c:v>
                      </c:pt>
                      <c:pt idx="5">
                        <c:v> Trae </c:v>
                      </c:pt>
                      <c:pt idx="6">
                        <c:v> DagrenRast </c:v>
                      </c:pt>
                      <c:pt idx="7">
                        <c:v> DagrenInst </c:v>
                      </c:pt>
                      <c:pt idx="8">
                        <c:v> DagrenHandel </c:v>
                      </c:pt>
                      <c:pt idx="9">
                        <c:v> DagrenRestau </c:v>
                      </c:pt>
                      <c:pt idx="10">
                        <c:v> Erhverv </c:v>
                      </c:pt>
                      <c:pt idx="11">
                        <c:v> DagrenErhverv </c:v>
                      </c:pt>
                      <c:pt idx="12">
                        <c:v> HandelKontor </c:v>
                      </c:pt>
                      <c:pt idx="13">
                        <c:v> Privat </c:v>
                      </c:pt>
                      <c:pt idx="14">
                        <c:v> TyskRest </c:v>
                      </c:pt>
                      <c:pt idx="15">
                        <c:v> PolskRest </c:v>
                      </c:pt>
                      <c:pt idx="16">
                        <c:v> PcbTrae </c:v>
                      </c:pt>
                      <c:pt idx="17">
                        <c:v> TraeRekv </c:v>
                      </c:pt>
                      <c:pt idx="18">
                        <c:v> Halm </c:v>
                      </c:pt>
                      <c:pt idx="19">
                        <c:v> Pulver </c:v>
                      </c:pt>
                      <c:pt idx="20">
                        <c:v> FlisAffald </c:v>
                      </c:pt>
                      <c:pt idx="21">
                        <c:v> NyAff1 </c:v>
                      </c:pt>
                      <c:pt idx="22">
                        <c:v> NyAff2 </c:v>
                      </c:pt>
                      <c:pt idx="23">
                        <c:v> NyAff3 </c:v>
                      </c:pt>
                      <c:pt idx="24">
                        <c:v> NyAff4 </c:v>
                      </c:pt>
                      <c:pt idx="25">
                        <c:v> NyAff5 </c:v>
                      </c:pt>
                      <c:pt idx="26">
                        <c:v> Flis </c:v>
                      </c:pt>
                      <c:pt idx="27">
                        <c:v> NSvarme </c:v>
                      </c:pt>
                      <c:pt idx="28">
                        <c:v> PeakFuel 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Overblik!$I$64:$I$92</c15:sqref>
                        </c15:formulaRef>
                      </c:ext>
                    </c:extLst>
                    <c:numCache>
                      <c:formatCode>#,##0;\-#,##0;0</c:formatCode>
                      <c:ptCount val="29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3869-4FD3-AD35-D43B10DAD724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Overblik!$J$63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Overblik!$C$64:$C$92</c15:sqref>
                        </c15:formulaRef>
                      </c:ext>
                    </c:extLst>
                    <c:strCache>
                      <c:ptCount val="29"/>
                      <c:pt idx="0">
                        <c:v> DepoSort </c:v>
                      </c:pt>
                      <c:pt idx="1">
                        <c:v> DepoSmaat </c:v>
                      </c:pt>
                      <c:pt idx="2">
                        <c:v> DepoNedd </c:v>
                      </c:pt>
                      <c:pt idx="3">
                        <c:v> Dagren </c:v>
                      </c:pt>
                      <c:pt idx="4">
                        <c:v> AndetBrand </c:v>
                      </c:pt>
                      <c:pt idx="5">
                        <c:v> Trae </c:v>
                      </c:pt>
                      <c:pt idx="6">
                        <c:v> DagrenRast </c:v>
                      </c:pt>
                      <c:pt idx="7">
                        <c:v> DagrenInst </c:v>
                      </c:pt>
                      <c:pt idx="8">
                        <c:v> DagrenHandel </c:v>
                      </c:pt>
                      <c:pt idx="9">
                        <c:v> DagrenRestau </c:v>
                      </c:pt>
                      <c:pt idx="10">
                        <c:v> Erhverv </c:v>
                      </c:pt>
                      <c:pt idx="11">
                        <c:v> DagrenErhverv </c:v>
                      </c:pt>
                      <c:pt idx="12">
                        <c:v> HandelKontor </c:v>
                      </c:pt>
                      <c:pt idx="13">
                        <c:v> Privat </c:v>
                      </c:pt>
                      <c:pt idx="14">
                        <c:v> TyskRest </c:v>
                      </c:pt>
                      <c:pt idx="15">
                        <c:v> PolskRest </c:v>
                      </c:pt>
                      <c:pt idx="16">
                        <c:v> PcbTrae </c:v>
                      </c:pt>
                      <c:pt idx="17">
                        <c:v> TraeRekv </c:v>
                      </c:pt>
                      <c:pt idx="18">
                        <c:v> Halm </c:v>
                      </c:pt>
                      <c:pt idx="19">
                        <c:v> Pulver </c:v>
                      </c:pt>
                      <c:pt idx="20">
                        <c:v> FlisAffald </c:v>
                      </c:pt>
                      <c:pt idx="21">
                        <c:v> NyAff1 </c:v>
                      </c:pt>
                      <c:pt idx="22">
                        <c:v> NyAff2 </c:v>
                      </c:pt>
                      <c:pt idx="23">
                        <c:v> NyAff3 </c:v>
                      </c:pt>
                      <c:pt idx="24">
                        <c:v> NyAff4 </c:v>
                      </c:pt>
                      <c:pt idx="25">
                        <c:v> NyAff5 </c:v>
                      </c:pt>
                      <c:pt idx="26">
                        <c:v> Flis </c:v>
                      </c:pt>
                      <c:pt idx="27">
                        <c:v> NSvarme </c:v>
                      </c:pt>
                      <c:pt idx="28">
                        <c:v> PeakFuel 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Overblik!$J$64:$J$92</c15:sqref>
                        </c15:formulaRef>
                      </c:ext>
                    </c:extLst>
                    <c:numCache>
                      <c:formatCode>#,##0;\-#,##0;0</c:formatCode>
                      <c:ptCount val="29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869-4FD3-AD35-D43B10DAD724}"/>
                  </c:ext>
                </c:extLst>
              </c15:ser>
            </c15:filteredBarSeries>
          </c:ext>
        </c:extLst>
      </c:barChart>
      <c:catAx>
        <c:axId val="91838992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18374112"/>
        <c:crosses val="autoZero"/>
        <c:auto val="1"/>
        <c:lblAlgn val="ctr"/>
        <c:lblOffset val="100"/>
        <c:noMultiLvlLbl val="0"/>
      </c:catAx>
      <c:valAx>
        <c:axId val="918374112"/>
        <c:scaling>
          <c:orientation val="minMax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;\-#,##0;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18389920"/>
        <c:crosses val="autoZero"/>
        <c:crossBetween val="between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2F6C95C-9777-4CB9-BA50-D592DF1CFF68}">
  <sheetPr>
    <tabColor theme="4"/>
  </sheetPr>
  <sheetViews>
    <sheetView zoomScale="136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42D8332-982F-44B4-BAB4-1256D9BB5063}">
  <sheetPr>
    <tabColor theme="4"/>
  </sheetPr>
  <sheetViews>
    <sheetView zoomScale="136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563CB0E-F715-45F5-B15E-97CF2957CF79}">
  <sheetPr>
    <tabColor theme="4"/>
  </sheetPr>
  <sheetViews>
    <sheetView zoomScale="130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1120</xdr:rowOff>
    </xdr:from>
    <xdr:to>
      <xdr:col>15</xdr:col>
      <xdr:colOff>0</xdr:colOff>
      <xdr:row>42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EB1A7B5-EF54-466B-9454-386BBC3C14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0882" cy="607218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A0F0723-D65B-4CC5-B085-DFA14907BCB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0882" cy="607218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9A4FE65-7CE7-422B-9B38-5152BE45A51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12D04C4-067C-45DB-9C47-577FAFF2DAF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ogholderi\00%20Budget\2022\01%20Budget%20202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REFAinput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mdata"/>
      <sheetName val="Toolpack®"/>
      <sheetName val="input"/>
      <sheetName val="Skabelon"/>
      <sheetName val="Konsolidering"/>
      <sheetName val="Budget 1"/>
      <sheetName val="Kommentarer"/>
      <sheetName val="NES - mængder"/>
      <sheetName val="Budget 2022"/>
      <sheetName val="2022 med RGK + VAK"/>
      <sheetName val="El salg 2022"/>
      <sheetName val="accounts"/>
      <sheetName val="language"/>
      <sheetName val="SalesBudget - Credit"/>
      <sheetName val="SalesBudget - Debet"/>
      <sheetName val="RangeControl"/>
      <sheetName val="Accrual"/>
    </sheetNames>
    <sheetDataSet>
      <sheetData sheetId="0" refreshError="1"/>
      <sheetData sheetId="1">
        <row r="8">
          <cell r="B8">
            <v>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>
        <row r="2">
          <cell r="B2" t="str">
            <v>kTP</v>
          </cell>
          <cell r="C2" t="str">
            <v>Toolpack®</v>
          </cell>
          <cell r="D2" t="str">
            <v>Toolpack®</v>
          </cell>
          <cell r="E2" t="str">
            <v>Toolpack-finance®</v>
          </cell>
          <cell r="F2" t="str">
            <v>Toolpack-Finance®</v>
          </cell>
        </row>
        <row r="3">
          <cell r="B3" t="str">
            <v>kAcc</v>
          </cell>
          <cell r="C3" t="str">
            <v>Account</v>
          </cell>
          <cell r="D3" t="str">
            <v>Konto</v>
          </cell>
          <cell r="E3" t="str">
            <v>Konto</v>
          </cell>
          <cell r="F3" t="str">
            <v>Konto</v>
          </cell>
        </row>
        <row r="4">
          <cell r="B4" t="str">
            <v>kAccName</v>
          </cell>
          <cell r="C4" t="str">
            <v>Account name</v>
          </cell>
          <cell r="D4" t="str">
            <v>Kontonavn</v>
          </cell>
          <cell r="E4" t="str">
            <v>Kontonamn</v>
          </cell>
          <cell r="F4" t="str">
            <v>Kontoname</v>
          </cell>
        </row>
        <row r="5">
          <cell r="B5" t="str">
            <v>kTotal</v>
          </cell>
          <cell r="C5" t="str">
            <v>Sum af månedsspec.</v>
          </cell>
          <cell r="D5" t="str">
            <v>Sum af månedsspec.</v>
          </cell>
          <cell r="E5" t="str">
            <v>Total</v>
          </cell>
          <cell r="F5" t="str">
            <v>Gesamt</v>
          </cell>
        </row>
        <row r="6">
          <cell r="B6" t="str">
            <v>kBud</v>
          </cell>
          <cell r="C6" t="str">
            <v>G/L Budget</v>
          </cell>
          <cell r="D6" t="str">
            <v>Driftsbudget</v>
          </cell>
          <cell r="E6" t="str">
            <v>Budgeteringsmodell</v>
          </cell>
          <cell r="F6" t="str">
            <v>Budget</v>
          </cell>
        </row>
        <row r="7">
          <cell r="B7" t="str">
            <v>kBudYear</v>
          </cell>
          <cell r="C7" t="str">
            <v>Budget year</v>
          </cell>
          <cell r="D7" t="str">
            <v>Budgetår</v>
          </cell>
          <cell r="E7" t="str">
            <v>Budgetår</v>
          </cell>
          <cell r="F7" t="str">
            <v>Budgetjahr</v>
          </cell>
        </row>
        <row r="8">
          <cell r="B8" t="str">
            <v>kDim1</v>
          </cell>
          <cell r="C8" t="str">
            <v>Dimension 1</v>
          </cell>
          <cell r="D8" t="str">
            <v>Dimension 1</v>
          </cell>
          <cell r="E8" t="str">
            <v>Dimension 1</v>
          </cell>
          <cell r="F8" t="str">
            <v>Dimension 1</v>
          </cell>
        </row>
        <row r="9">
          <cell r="B9" t="str">
            <v>kDim2</v>
          </cell>
          <cell r="C9" t="str">
            <v>Dimension 2</v>
          </cell>
          <cell r="D9" t="str">
            <v>Dimension 2</v>
          </cell>
          <cell r="E9" t="str">
            <v>Dimension 2</v>
          </cell>
          <cell r="F9" t="str">
            <v>Dimension 2</v>
          </cell>
        </row>
        <row r="10">
          <cell r="B10" t="str">
            <v>kDim3</v>
          </cell>
          <cell r="C10" t="str">
            <v>Dimension 3</v>
          </cell>
          <cell r="D10" t="str">
            <v>Dimension 3</v>
          </cell>
          <cell r="E10" t="str">
            <v>Dimension 3</v>
          </cell>
          <cell r="F10" t="str">
            <v>Dimension 3</v>
          </cell>
        </row>
        <row r="11">
          <cell r="B11" t="str">
            <v>kDim4</v>
          </cell>
          <cell r="C11" t="str">
            <v>Dimension 4</v>
          </cell>
          <cell r="D11" t="str">
            <v>Dimension 4</v>
          </cell>
          <cell r="E11" t="str">
            <v>Dimension 4</v>
          </cell>
          <cell r="F11" t="str">
            <v>Dimension 4</v>
          </cell>
        </row>
        <row r="12">
          <cell r="B12" t="str">
            <v>kBudName</v>
          </cell>
          <cell r="C12" t="str">
            <v>Budget name - this year</v>
          </cell>
          <cell r="D12" t="str">
            <v>Budgetnavn - i år</v>
          </cell>
          <cell r="E12" t="str">
            <v>Budgetnamn - i år</v>
          </cell>
          <cell r="F12" t="str">
            <v>Budgetname- dieses Jahr</v>
          </cell>
        </row>
        <row r="13">
          <cell r="B13" t="str">
            <v>kBudNameLY</v>
          </cell>
          <cell r="C13" t="str">
            <v>Budget name - last year</v>
          </cell>
          <cell r="D13" t="str">
            <v>Budgetnavn - sidste år</v>
          </cell>
          <cell r="E13" t="str">
            <v>Budgetnamn - förra året</v>
          </cell>
          <cell r="F13" t="str">
            <v>Budgetname- letztes Jahr</v>
          </cell>
        </row>
        <row r="14">
          <cell r="B14" t="str">
            <v>kBudNameNext</v>
          </cell>
          <cell r="C14" t="str">
            <v>Budget name - next year</v>
          </cell>
          <cell r="D14" t="str">
            <v>Budgetnavn - næste år</v>
          </cell>
          <cell r="E14" t="str">
            <v>Budgetnamn - året +1</v>
          </cell>
          <cell r="F14" t="str">
            <v>Budgetname- Jahr +1</v>
          </cell>
        </row>
        <row r="15">
          <cell r="B15" t="str">
            <v>kDSN</v>
          </cell>
          <cell r="C15" t="str">
            <v>Data source</v>
          </cell>
          <cell r="D15" t="str">
            <v>Datakilde</v>
          </cell>
          <cell r="E15" t="str">
            <v>Datakälla</v>
          </cell>
          <cell r="F15" t="str">
            <v>Datenquelle</v>
          </cell>
        </row>
        <row r="16">
          <cell r="B16" t="str">
            <v>kResult</v>
          </cell>
          <cell r="C16" t="str">
            <v>Result</v>
          </cell>
          <cell r="D16" t="str">
            <v>Resultat</v>
          </cell>
          <cell r="E16" t="str">
            <v>Resultat</v>
          </cell>
          <cell r="F16" t="str">
            <v>Ergebnis</v>
          </cell>
        </row>
        <row r="17">
          <cell r="B17" t="str">
            <v>kBalance</v>
          </cell>
          <cell r="C17" t="str">
            <v>Balance</v>
          </cell>
          <cell r="D17" t="str">
            <v>Balance</v>
          </cell>
          <cell r="E17" t="str">
            <v>Balans</v>
          </cell>
          <cell r="F17" t="str">
            <v>Bilanz</v>
          </cell>
        </row>
        <row r="18">
          <cell r="B18" t="str">
            <v>kConsBud</v>
          </cell>
          <cell r="C18" t="str">
            <v>Consolidation of budgets</v>
          </cell>
          <cell r="D18" t="str">
            <v>Konsolidering af budgetter</v>
          </cell>
          <cell r="E18" t="str">
            <v>Konsolidering av budgeter</v>
          </cell>
          <cell r="F18" t="str">
            <v>Konsolidierung der Budgets</v>
          </cell>
        </row>
        <row r="19">
          <cell r="B19" t="str">
            <v>kSetup</v>
          </cell>
          <cell r="C19" t="str">
            <v>Setup</v>
          </cell>
          <cell r="D19" t="str">
            <v>Opsætning</v>
          </cell>
          <cell r="E19" t="str">
            <v>Uppsättning</v>
          </cell>
          <cell r="F19" t="str">
            <v>Einstellung</v>
          </cell>
        </row>
        <row r="20">
          <cell r="B20" t="str">
            <v>kBudTemplate</v>
          </cell>
          <cell r="C20" t="str">
            <v>Budget Template</v>
          </cell>
          <cell r="D20" t="str">
            <v>Budget skabelon</v>
          </cell>
          <cell r="E20" t="str">
            <v>Budget skabelon</v>
          </cell>
          <cell r="F20" t="str">
            <v>Budgetschablone</v>
          </cell>
        </row>
        <row r="21">
          <cell r="B21" t="str">
            <v>kBudAm</v>
          </cell>
          <cell r="C21" t="str">
            <v>Budget allocation</v>
          </cell>
          <cell r="D21" t="str">
            <v>Angiv budgetværdi</v>
          </cell>
          <cell r="E21" t="str">
            <v>Budgetvärde</v>
          </cell>
          <cell r="F21" t="str">
            <v>Budgetwert</v>
          </cell>
        </row>
        <row r="22">
          <cell r="B22" t="str">
            <v>kFirstMonth</v>
          </cell>
          <cell r="C22" t="str">
            <v>First month</v>
          </cell>
          <cell r="D22" t="str">
            <v>Start måned</v>
          </cell>
          <cell r="E22" t="str">
            <v>Start måned</v>
          </cell>
          <cell r="F22" t="str">
            <v>Startmonat</v>
          </cell>
        </row>
        <row r="23">
          <cell r="B23" t="str">
            <v>kCompany</v>
          </cell>
          <cell r="C23" t="str">
            <v>Company</v>
          </cell>
          <cell r="D23" t="str">
            <v>Regnskab</v>
          </cell>
          <cell r="E23" t="str">
            <v>Regnskab</v>
          </cell>
          <cell r="F23" t="str">
            <v>Abschluss</v>
          </cell>
        </row>
        <row r="24">
          <cell r="B24" t="str">
            <v>konsolidering</v>
          </cell>
          <cell r="C24" t="str">
            <v>Consolidate</v>
          </cell>
          <cell r="D24" t="str">
            <v>Konsolidering</v>
          </cell>
          <cell r="E24" t="str">
            <v>Konsolidering</v>
          </cell>
          <cell r="F24" t="str">
            <v>Konsolidierung</v>
          </cell>
        </row>
        <row r="25">
          <cell r="B25" t="str">
            <v>DimBudget</v>
          </cell>
          <cell r="C25" t="str">
            <v>Dimensionary budget</v>
          </cell>
          <cell r="D25" t="str">
            <v>Dimensions budget</v>
          </cell>
          <cell r="E25" t="str">
            <v>Dimensions budget</v>
          </cell>
          <cell r="F25" t="str">
            <v>Dimensionsbudget</v>
          </cell>
        </row>
        <row r="26">
          <cell r="B26" t="str">
            <v>Ark2</v>
          </cell>
          <cell r="C26" t="str">
            <v>Template</v>
          </cell>
          <cell r="D26" t="str">
            <v>Skabelon</v>
          </cell>
          <cell r="E26" t="str">
            <v>Malle</v>
          </cell>
          <cell r="F26" t="str">
            <v>Schablone</v>
          </cell>
        </row>
        <row r="27">
          <cell r="B27">
            <v>124</v>
          </cell>
          <cell r="C27" t="str">
            <v>Consolidate budgets</v>
          </cell>
          <cell r="D27" t="str">
            <v>Konsoliderer budgetter</v>
          </cell>
          <cell r="E27" t="str">
            <v>Konsoliderar budgeter</v>
          </cell>
          <cell r="F27" t="str">
            <v>Konsolidiere Budgets</v>
          </cell>
        </row>
        <row r="28">
          <cell r="B28">
            <v>134</v>
          </cell>
          <cell r="C28" t="str">
            <v>Unable to consolidate account</v>
          </cell>
          <cell r="D28" t="str">
            <v>Kan ikke konsolidere konto</v>
          </cell>
          <cell r="E28" t="str">
            <v>Kan inte konsolidera konto</v>
          </cell>
          <cell r="F28" t="str">
            <v>Kann Konto nicht konsolidieren</v>
          </cell>
        </row>
        <row r="29">
          <cell r="B29">
            <v>135</v>
          </cell>
          <cell r="C29" t="str">
            <v>Consolidate</v>
          </cell>
          <cell r="D29" t="str">
            <v>Konsolider</v>
          </cell>
          <cell r="E29" t="str">
            <v>Konsolidera</v>
          </cell>
          <cell r="F29" t="str">
            <v>Konsolidiere</v>
          </cell>
        </row>
        <row r="30">
          <cell r="B30">
            <v>244</v>
          </cell>
          <cell r="C30" t="str">
            <v>Select only one column</v>
          </cell>
          <cell r="D30" t="str">
            <v>Vælg kun en kolonne</v>
          </cell>
          <cell r="E30" t="str">
            <v>Välj endast en kolumn</v>
          </cell>
          <cell r="F30" t="str">
            <v>Nur eine Spalte wählen</v>
          </cell>
        </row>
        <row r="31">
          <cell r="B31">
            <v>1007</v>
          </cell>
          <cell r="C31" t="str">
            <v>There is a formula in the cell</v>
          </cell>
          <cell r="D31" t="str">
            <v>Der er en formel i celle</v>
          </cell>
          <cell r="E31" t="str">
            <v>Det finns en formel i cellen</v>
          </cell>
          <cell r="F31" t="str">
            <v>Es befindet sich eine Formel in der Zelle</v>
          </cell>
        </row>
        <row r="32">
          <cell r="B32">
            <v>1008</v>
          </cell>
          <cell r="C32" t="str">
            <v>Do you want to overwrite it?</v>
          </cell>
          <cell r="D32" t="str">
            <v>Ønsker du at overskrive den?</v>
          </cell>
          <cell r="E32" t="str">
            <v>Vill du ersätta den?</v>
          </cell>
          <cell r="F32" t="str">
            <v>Wollen Sie diese überschreiben?</v>
          </cell>
        </row>
        <row r="33">
          <cell r="B33">
            <v>1010</v>
          </cell>
          <cell r="C33" t="str">
            <v>Distribution of figures</v>
          </cell>
          <cell r="D33" t="str">
            <v>Opdatering af tal</v>
          </cell>
          <cell r="E33" t="str">
            <v>Fördelning av tal</v>
          </cell>
          <cell r="F33" t="str">
            <v>Aktualisierung der Zahlen</v>
          </cell>
        </row>
        <row r="34">
          <cell r="B34">
            <v>55</v>
          </cell>
          <cell r="C34" t="str">
            <v>Select month</v>
          </cell>
          <cell r="D34" t="str">
            <v>Vælg måned</v>
          </cell>
          <cell r="E34" t="str">
            <v>Välj månad</v>
          </cell>
          <cell r="F34" t="str">
            <v>Monat wählen</v>
          </cell>
        </row>
        <row r="35">
          <cell r="B35">
            <v>56</v>
          </cell>
          <cell r="C35" t="str">
            <v>Starting month of quarter?</v>
          </cell>
          <cell r="D35" t="str">
            <v>Hvilken måned starter kvartalet?</v>
          </cell>
          <cell r="E35" t="str">
            <v>Vilken månad inleds kvartalet?</v>
          </cell>
          <cell r="F35" t="str">
            <v>In welchem Monat beginnt das Quartal?</v>
          </cell>
        </row>
        <row r="36">
          <cell r="B36">
            <v>57</v>
          </cell>
          <cell r="C36" t="str">
            <v>1st month of the year</v>
          </cell>
          <cell r="D36" t="str">
            <v>1. måned i året</v>
          </cell>
          <cell r="E36" t="str">
            <v>Årets 1:a månad</v>
          </cell>
          <cell r="F36" t="str">
            <v>1. Monat im Jahr</v>
          </cell>
        </row>
        <row r="37">
          <cell r="B37">
            <v>58</v>
          </cell>
          <cell r="C37" t="str">
            <v>2nd month of the year</v>
          </cell>
          <cell r="D37" t="str">
            <v>2. måned i året</v>
          </cell>
          <cell r="E37" t="str">
            <v>Årets 2:a månad</v>
          </cell>
          <cell r="F37" t="str">
            <v>2. Monat im Jahr</v>
          </cell>
        </row>
        <row r="38">
          <cell r="B38">
            <v>59</v>
          </cell>
          <cell r="C38" t="str">
            <v>3rd month of the year</v>
          </cell>
          <cell r="D38" t="str">
            <v>3. måned i året</v>
          </cell>
          <cell r="E38" t="str">
            <v>Årets 3:e månad</v>
          </cell>
          <cell r="F38" t="str">
            <v>3. Monat im Jahr</v>
          </cell>
        </row>
        <row r="39">
          <cell r="B39">
            <v>24</v>
          </cell>
          <cell r="C39" t="str">
            <v>Ok</v>
          </cell>
          <cell r="D39" t="str">
            <v>Ok</v>
          </cell>
          <cell r="E39" t="str">
            <v>Ok</v>
          </cell>
          <cell r="F39" t="str">
            <v>Ok</v>
          </cell>
        </row>
        <row r="40">
          <cell r="B40">
            <v>25</v>
          </cell>
          <cell r="C40" t="str">
            <v>Cancel</v>
          </cell>
          <cell r="D40" t="str">
            <v>Annuller</v>
          </cell>
          <cell r="E40" t="str">
            <v>Annullera</v>
          </cell>
          <cell r="F40" t="str">
            <v>Abbrechen</v>
          </cell>
        </row>
        <row r="41">
          <cell r="B41">
            <v>86</v>
          </cell>
          <cell r="C41" t="str">
            <v>Accrual</v>
          </cell>
          <cell r="D41" t="str">
            <v>Periodisering</v>
          </cell>
          <cell r="E41" t="str">
            <v>Periodisering</v>
          </cell>
          <cell r="F41" t="str">
            <v>Periodisierung</v>
          </cell>
        </row>
        <row r="42">
          <cell r="B42">
            <v>89</v>
          </cell>
          <cell r="C42" t="str">
            <v>Month</v>
          </cell>
          <cell r="D42" t="str">
            <v>Måned</v>
          </cell>
          <cell r="E42" t="str">
            <v>Månad</v>
          </cell>
          <cell r="F42" t="str">
            <v>Monat</v>
          </cell>
        </row>
        <row r="43">
          <cell r="B43">
            <v>90</v>
          </cell>
          <cell r="C43" t="str">
            <v>Quarter</v>
          </cell>
          <cell r="D43" t="str">
            <v>Kvartal</v>
          </cell>
          <cell r="E43" t="str">
            <v>Kvartal</v>
          </cell>
          <cell r="F43" t="str">
            <v>Quartal</v>
          </cell>
        </row>
        <row r="44">
          <cell r="B44">
            <v>91</v>
          </cell>
          <cell r="C44" t="str">
            <v>Percent</v>
          </cell>
          <cell r="D44" t="str">
            <v>Procent</v>
          </cell>
          <cell r="E44" t="str">
            <v>Procent</v>
          </cell>
          <cell r="F44" t="str">
            <v>Prozent</v>
          </cell>
        </row>
        <row r="45">
          <cell r="B45">
            <v>381</v>
          </cell>
          <cell r="C45" t="str">
            <v>Roll-back</v>
          </cell>
          <cell r="D45" t="str">
            <v>Roll-Back</v>
          </cell>
          <cell r="E45" t="str">
            <v>Roll-Back</v>
          </cell>
          <cell r="F45" t="str">
            <v>Roll-Back</v>
          </cell>
        </row>
        <row r="46">
          <cell r="B46">
            <v>313</v>
          </cell>
          <cell r="C46" t="str">
            <v>The current region totals to</v>
          </cell>
          <cell r="D46" t="str">
            <v>Nuværende område giver</v>
          </cell>
          <cell r="E46" t="str">
            <v>Nuvarande område ger</v>
          </cell>
          <cell r="F46" t="str">
            <v>Vorliegender Bereich ergibt</v>
          </cell>
        </row>
        <row r="47">
          <cell r="B47">
            <v>314</v>
          </cell>
          <cell r="C47" t="str">
            <v>Type new total of the selected region</v>
          </cell>
          <cell r="D47" t="str">
            <v>Angiv nyt beløb til fordeling:</v>
          </cell>
          <cell r="E47" t="str">
            <v>Ange nytt belopp för fördelning:</v>
          </cell>
          <cell r="F47" t="str">
            <v>Neuen Betrag für Verteilung angeben:</v>
          </cell>
        </row>
        <row r="48">
          <cell r="B48">
            <v>315</v>
          </cell>
          <cell r="C48" t="str">
            <v>Create new roll-back value</v>
          </cell>
          <cell r="D48" t="str">
            <v>Ny Roll-Back værdi</v>
          </cell>
          <cell r="E48" t="str">
            <v>Nytt Roll-Back-värde</v>
          </cell>
          <cell r="F48" t="str">
            <v>Neuer Roll-Back-Wert</v>
          </cell>
        </row>
        <row r="49">
          <cell r="B49">
            <v>912</v>
          </cell>
          <cell r="C49" t="str">
            <v>Yes</v>
          </cell>
          <cell r="D49" t="str">
            <v>Ja</v>
          </cell>
          <cell r="E49" t="str">
            <v>Ja</v>
          </cell>
          <cell r="F49" t="str">
            <v>Ja</v>
          </cell>
        </row>
        <row r="50">
          <cell r="B50">
            <v>913</v>
          </cell>
          <cell r="C50" t="str">
            <v>Yes to all</v>
          </cell>
          <cell r="D50" t="str">
            <v>Ja til Alle</v>
          </cell>
          <cell r="E50" t="str">
            <v>Ja till alla</v>
          </cell>
          <cell r="F50" t="str">
            <v>Ja zu Allen</v>
          </cell>
        </row>
        <row r="51">
          <cell r="B51">
            <v>914</v>
          </cell>
          <cell r="C51" t="str">
            <v>No</v>
          </cell>
          <cell r="D51" t="str">
            <v>Nej</v>
          </cell>
          <cell r="E51" t="str">
            <v>Nej</v>
          </cell>
          <cell r="F51" t="str">
            <v>Nein</v>
          </cell>
        </row>
        <row r="52">
          <cell r="B52">
            <v>915</v>
          </cell>
          <cell r="C52" t="str">
            <v>No to all</v>
          </cell>
          <cell r="D52" t="str">
            <v>Nej til Alle</v>
          </cell>
          <cell r="E52" t="str">
            <v>Nej till alla</v>
          </cell>
          <cell r="F52" t="str">
            <v>Nein zu Allen</v>
          </cell>
        </row>
        <row r="53">
          <cell r="B53">
            <v>270</v>
          </cell>
          <cell r="C53" t="str">
            <v>Please type in a numerical value for distribution</v>
          </cell>
          <cell r="D53" t="str">
            <v>Du skal angive en tal-værdi til fordeling</v>
          </cell>
          <cell r="E53" t="str">
            <v>Du ska ange ett nummervärde för fördelning</v>
          </cell>
          <cell r="F53" t="str">
            <v>Sie müssen einen Zahlenwert für die Verteilung angeben</v>
          </cell>
        </row>
        <row r="54">
          <cell r="B54">
            <v>271</v>
          </cell>
          <cell r="C54" t="str">
            <v>Regulate</v>
          </cell>
          <cell r="D54" t="str">
            <v>Regulering</v>
          </cell>
          <cell r="E54" t="str">
            <v>Regulate</v>
          </cell>
          <cell r="F54" t="str">
            <v>Regulate</v>
          </cell>
        </row>
        <row r="55">
          <cell r="B55">
            <v>272</v>
          </cell>
          <cell r="C55" t="str">
            <v>Index</v>
          </cell>
          <cell r="D55" t="str">
            <v>Indeks</v>
          </cell>
          <cell r="E55" t="str">
            <v>Index</v>
          </cell>
          <cell r="F55" t="str">
            <v>Index</v>
          </cell>
        </row>
        <row r="56">
          <cell r="B56">
            <v>273</v>
          </cell>
          <cell r="C56" t="str">
            <v>Inactive</v>
          </cell>
          <cell r="D56" t="str">
            <v>Inaktiv</v>
          </cell>
          <cell r="E56" t="str">
            <v>Inactive</v>
          </cell>
          <cell r="F56" t="str">
            <v>Inactive</v>
          </cell>
        </row>
        <row r="57">
          <cell r="B57">
            <v>274</v>
          </cell>
          <cell r="C57" t="str">
            <v>Budget values</v>
          </cell>
          <cell r="D57" t="str">
            <v>Budget værdi</v>
          </cell>
          <cell r="E57" t="str">
            <v>Budget values</v>
          </cell>
          <cell r="F57" t="str">
            <v>Budget values</v>
          </cell>
        </row>
        <row r="58">
          <cell r="B58">
            <v>275</v>
          </cell>
          <cell r="C58" t="str">
            <v>Budget total</v>
          </cell>
          <cell r="D58" t="str">
            <v>Budget total</v>
          </cell>
          <cell r="E58" t="str">
            <v>Budget total</v>
          </cell>
          <cell r="F58" t="str">
            <v>Budget total</v>
          </cell>
        </row>
        <row r="59">
          <cell r="B59">
            <v>276</v>
          </cell>
          <cell r="C59" t="str">
            <v>Budget year</v>
          </cell>
          <cell r="D59" t="str">
            <v>Års budget</v>
          </cell>
          <cell r="E59" t="str">
            <v>Budget year</v>
          </cell>
          <cell r="F59" t="str">
            <v>Budget year</v>
          </cell>
        </row>
        <row r="60">
          <cell r="B60" t="str">
            <v>kBudName1</v>
          </cell>
          <cell r="C60" t="str">
            <v>Budget name - data 1</v>
          </cell>
          <cell r="D60" t="str">
            <v>Budget navn - data 1</v>
          </cell>
        </row>
        <row r="61">
          <cell r="B61" t="str">
            <v>kBudName2</v>
          </cell>
          <cell r="C61" t="str">
            <v>Budget name - data 2</v>
          </cell>
          <cell r="D61" t="str">
            <v>Budget navn - data 2</v>
          </cell>
        </row>
        <row r="62">
          <cell r="C62" t="str">
            <v>Created</v>
          </cell>
        </row>
        <row r="63">
          <cell r="B63">
            <v>277</v>
          </cell>
          <cell r="C63" t="str">
            <v>Created</v>
          </cell>
          <cell r="D63" t="str">
            <v>Oprettet</v>
          </cell>
        </row>
        <row r="64">
          <cell r="B64">
            <v>278</v>
          </cell>
          <cell r="C64" t="str">
            <v>Created by</v>
          </cell>
          <cell r="D64" t="str">
            <v>af:</v>
          </cell>
        </row>
        <row r="65">
          <cell r="B65">
            <v>279</v>
          </cell>
          <cell r="C65" t="str">
            <v>Consolidate budget</v>
          </cell>
          <cell r="D65" t="str">
            <v>Konsolider budget</v>
          </cell>
        </row>
        <row r="66">
          <cell r="B66">
            <v>280</v>
          </cell>
          <cell r="C66" t="str">
            <v>Total Budget Input</v>
          </cell>
          <cell r="D66" t="str">
            <v>Total budgetinput</v>
          </cell>
        </row>
      </sheetData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Parms"/>
      <sheetName val="INFO"/>
      <sheetName val="Scen"/>
      <sheetName val="DataCtrl"/>
      <sheetName val="DataU"/>
      <sheetName val="DataFuel"/>
      <sheetName val="Affald2021"/>
      <sheetName val="E-V"/>
      <sheetName val="Lister"/>
      <sheetName val="Resultater"/>
      <sheetName val="OptimDump"/>
      <sheetName val="REFAinputM"/>
    </sheetNames>
    <definedNames>
      <definedName name="PerSlut" refersTo="='DataU'!$E$6"/>
      <definedName name="PerStart" refersTo="='DataU'!$D$6"/>
    </definedNames>
    <sheetDataSet>
      <sheetData sheetId="0">
        <row r="6">
          <cell r="D6" t="str">
            <v>DKK/MWhq</v>
          </cell>
        </row>
      </sheetData>
      <sheetData sheetId="1"/>
      <sheetData sheetId="2">
        <row r="6">
          <cell r="D6">
            <v>1</v>
          </cell>
          <cell r="E6" t="str">
            <v>Plant</v>
          </cell>
        </row>
      </sheetData>
      <sheetData sheetId="3">
        <row r="4">
          <cell r="B4" t="str">
            <v>RunScenarios</v>
          </cell>
        </row>
        <row r="5">
          <cell r="B5" t="str">
            <v>IncludeGSF</v>
          </cell>
        </row>
        <row r="6">
          <cell r="B6" t="str">
            <v>VirtuelVarme</v>
          </cell>
          <cell r="D6" t="str">
            <v>Angiver 0/1 om virtuelle kilde og dræn for varmeproduktion skal aktiveres.</v>
          </cell>
        </row>
        <row r="7">
          <cell r="B7" t="str">
            <v>VirtuelAffald</v>
          </cell>
        </row>
        <row r="8">
          <cell r="B8" t="str">
            <v>Skorstensmetode</v>
          </cell>
        </row>
        <row r="9">
          <cell r="B9" t="str">
            <v>FixAffald2021</v>
          </cell>
        </row>
        <row r="10">
          <cell r="B10" t="str">
            <v>FixAffaldSum</v>
          </cell>
        </row>
        <row r="11">
          <cell r="B11" t="str">
            <v>DeltaTonAktiv</v>
          </cell>
        </row>
        <row r="12">
          <cell r="B12" t="str">
            <v>RgkRabatSats</v>
          </cell>
        </row>
        <row r="13">
          <cell r="B13" t="str">
            <v>RgkAndelRabat</v>
          </cell>
        </row>
        <row r="14">
          <cell r="B14" t="str">
            <v>Varmesalgspris</v>
          </cell>
        </row>
        <row r="15">
          <cell r="B15" t="str">
            <v>EgetforbrugKVV</v>
          </cell>
        </row>
      </sheetData>
      <sheetData sheetId="4">
        <row r="3">
          <cell r="B3" t="str">
            <v>FirstYear</v>
          </cell>
          <cell r="C3" t="str">
            <v>LastYear</v>
          </cell>
          <cell r="D3" t="str">
            <v>FirstPeriod</v>
          </cell>
          <cell r="E3" t="str">
            <v>LastPeriod</v>
          </cell>
        </row>
        <row r="4">
          <cell r="A4" t="str">
            <v>Aar</v>
          </cell>
        </row>
        <row r="5">
          <cell r="A5" t="str">
            <v>Maaned</v>
          </cell>
        </row>
        <row r="6">
          <cell r="A6" t="str">
            <v>Dato</v>
          </cell>
          <cell r="B6">
            <v>44197</v>
          </cell>
          <cell r="C6">
            <v>44927</v>
          </cell>
          <cell r="D6">
            <v>44562</v>
          </cell>
          <cell r="E6">
            <v>44896</v>
          </cell>
        </row>
        <row r="11">
          <cell r="B11" t="str">
            <v>Aktiv</v>
          </cell>
          <cell r="C11" t="str">
            <v>Ukind</v>
          </cell>
          <cell r="D11" t="str">
            <v>Prioritet</v>
          </cell>
          <cell r="E11" t="str">
            <v>MinLhv</v>
          </cell>
          <cell r="F11" t="str">
            <v>MaxLhv</v>
          </cell>
          <cell r="G11" t="str">
            <v>MinTon</v>
          </cell>
          <cell r="H11" t="str">
            <v>MaxTon</v>
          </cell>
          <cell r="I11" t="str">
            <v>KapQNom</v>
          </cell>
          <cell r="J11" t="str">
            <v>KapRgk</v>
          </cell>
          <cell r="K11" t="str">
            <v>KapE</v>
          </cell>
          <cell r="L11" t="str">
            <v>EtaE</v>
          </cell>
          <cell r="M11" t="str">
            <v>EtaQ</v>
          </cell>
          <cell r="N11" t="str">
            <v>DVMWhq</v>
          </cell>
          <cell r="O11" t="str">
            <v>DVtime</v>
          </cell>
          <cell r="R11" t="str">
            <v>Aktiv</v>
          </cell>
          <cell r="S11" t="str">
            <v>StoKind</v>
          </cell>
          <cell r="T11" t="str">
            <v>LoadInit</v>
          </cell>
          <cell r="U11" t="str">
            <v>LoadMin</v>
          </cell>
          <cell r="V11" t="str">
            <v>LoadMax</v>
          </cell>
          <cell r="W11" t="str">
            <v>DLoadMax</v>
          </cell>
          <cell r="X11" t="str">
            <v>LossRate</v>
          </cell>
          <cell r="Y11" t="str">
            <v>LoadCost</v>
          </cell>
          <cell r="Z11" t="str">
            <v>DLoadCost</v>
          </cell>
          <cell r="AA11" t="str">
            <v>ResetFirst</v>
          </cell>
          <cell r="AB11" t="str">
            <v>ResetIntv</v>
          </cell>
          <cell r="AC11" t="str">
            <v>ResetLast</v>
          </cell>
        </row>
        <row r="12">
          <cell r="A12" t="str">
            <v>Ovn2</v>
          </cell>
          <cell r="Q12" t="str">
            <v>sto1</v>
          </cell>
        </row>
        <row r="13">
          <cell r="A13" t="str">
            <v>Ovn3</v>
          </cell>
          <cell r="Q13" t="str">
            <v>sto2</v>
          </cell>
        </row>
        <row r="14">
          <cell r="A14" t="str">
            <v>FlisK</v>
          </cell>
        </row>
        <row r="15">
          <cell r="A15" t="str">
            <v>NS</v>
          </cell>
        </row>
        <row r="16">
          <cell r="A16" t="str">
            <v>Cooler</v>
          </cell>
        </row>
        <row r="17">
          <cell r="A17" t="str">
            <v>PeakK</v>
          </cell>
        </row>
        <row r="22">
          <cell r="E22" t="str">
            <v>Aktiv</v>
          </cell>
          <cell r="F22" t="str">
            <v>Ndage</v>
          </cell>
          <cell r="G22" t="str">
            <v>Ovn2</v>
          </cell>
          <cell r="H22" t="str">
            <v>Ovn3</v>
          </cell>
          <cell r="I22" t="str">
            <v>FlisK</v>
          </cell>
          <cell r="J22" t="str">
            <v>NS</v>
          </cell>
          <cell r="K22" t="str">
            <v>Cooler</v>
          </cell>
          <cell r="L22" t="str">
            <v>PeakK</v>
          </cell>
          <cell r="M22" t="str">
            <v>Turbine</v>
          </cell>
          <cell r="N22" t="str">
            <v>Varmebehov</v>
          </cell>
          <cell r="O22" t="str">
            <v>NSprod</v>
          </cell>
          <cell r="P22" t="str">
            <v>ELprod</v>
          </cell>
          <cell r="Q22" t="str">
            <v>Bypass</v>
          </cell>
          <cell r="R22" t="str">
            <v>Elpris</v>
          </cell>
          <cell r="S22" t="str">
            <v>ETS</v>
          </cell>
          <cell r="T22" t="str">
            <v>AFV</v>
          </cell>
          <cell r="U22" t="str">
            <v>ATL</v>
          </cell>
          <cell r="V22" t="str">
            <v>CO2aff</v>
          </cell>
          <cell r="W22" t="str">
            <v>ETSaff</v>
          </cell>
          <cell r="X22" t="str">
            <v>CO2afgAff</v>
          </cell>
          <cell r="Y22" t="str">
            <v>NOxAff</v>
          </cell>
          <cell r="Z22" t="str">
            <v>NOxFlis</v>
          </cell>
          <cell r="AA22" t="str">
            <v>EnrPeak</v>
          </cell>
          <cell r="AB22" t="str">
            <v>CO2peak</v>
          </cell>
          <cell r="AC22" t="str">
            <v>NOxPeak</v>
          </cell>
        </row>
        <row r="23">
          <cell r="C23">
            <v>44197</v>
          </cell>
        </row>
        <row r="24">
          <cell r="C24">
            <v>44228</v>
          </cell>
        </row>
        <row r="25">
          <cell r="C25">
            <v>44256</v>
          </cell>
        </row>
        <row r="26">
          <cell r="C26">
            <v>44287</v>
          </cell>
        </row>
        <row r="27">
          <cell r="C27">
            <v>44317</v>
          </cell>
        </row>
        <row r="28">
          <cell r="C28">
            <v>44348</v>
          </cell>
        </row>
        <row r="29">
          <cell r="C29">
            <v>44378</v>
          </cell>
        </row>
        <row r="30">
          <cell r="C30">
            <v>44409</v>
          </cell>
        </row>
        <row r="31">
          <cell r="C31">
            <v>44440</v>
          </cell>
        </row>
        <row r="32">
          <cell r="C32">
            <v>44470</v>
          </cell>
        </row>
        <row r="33">
          <cell r="C33">
            <v>44501</v>
          </cell>
        </row>
        <row r="34">
          <cell r="C34">
            <v>44531</v>
          </cell>
        </row>
        <row r="35">
          <cell r="C35">
            <v>44562</v>
          </cell>
        </row>
        <row r="36">
          <cell r="C36">
            <v>44593</v>
          </cell>
        </row>
        <row r="37">
          <cell r="C37">
            <v>44621</v>
          </cell>
        </row>
        <row r="38">
          <cell r="C38">
            <v>44652</v>
          </cell>
        </row>
        <row r="39">
          <cell r="C39">
            <v>44682</v>
          </cell>
        </row>
        <row r="40">
          <cell r="C40">
            <v>44713</v>
          </cell>
        </row>
        <row r="41">
          <cell r="C41">
            <v>44743</v>
          </cell>
        </row>
        <row r="42">
          <cell r="C42">
            <v>44774</v>
          </cell>
        </row>
        <row r="43">
          <cell r="C43">
            <v>44805</v>
          </cell>
        </row>
        <row r="44">
          <cell r="C44">
            <v>44835</v>
          </cell>
        </row>
        <row r="45">
          <cell r="C45">
            <v>44866</v>
          </cell>
        </row>
        <row r="46">
          <cell r="C46">
            <v>44896</v>
          </cell>
        </row>
        <row r="47">
          <cell r="C47">
            <v>44927</v>
          </cell>
        </row>
        <row r="48">
          <cell r="C48">
            <v>44958</v>
          </cell>
        </row>
        <row r="49">
          <cell r="C49">
            <v>44986</v>
          </cell>
        </row>
        <row r="50">
          <cell r="C50">
            <v>45017</v>
          </cell>
        </row>
        <row r="51">
          <cell r="C51">
            <v>45047</v>
          </cell>
        </row>
        <row r="52">
          <cell r="C52">
            <v>45078</v>
          </cell>
        </row>
        <row r="53">
          <cell r="C53">
            <v>45108</v>
          </cell>
        </row>
        <row r="54">
          <cell r="C54">
            <v>45139</v>
          </cell>
        </row>
        <row r="55">
          <cell r="C55">
            <v>45170</v>
          </cell>
        </row>
        <row r="56">
          <cell r="C56">
            <v>45200</v>
          </cell>
        </row>
        <row r="57">
          <cell r="C57">
            <v>45231</v>
          </cell>
        </row>
        <row r="58">
          <cell r="C58">
            <v>45261</v>
          </cell>
        </row>
      </sheetData>
      <sheetData sheetId="5">
        <row r="4">
          <cell r="D4" t="str">
            <v>Aktiv</v>
          </cell>
          <cell r="E4" t="str">
            <v>Fkind</v>
          </cell>
          <cell r="F4" t="str">
            <v>Lagerbar</v>
          </cell>
          <cell r="G4" t="str">
            <v>Fri</v>
          </cell>
          <cell r="H4" t="str">
            <v>Flex</v>
          </cell>
          <cell r="I4" t="str">
            <v>Bortskaf</v>
          </cell>
          <cell r="J4" t="str">
            <v>TilOvn2</v>
          </cell>
          <cell r="K4" t="str">
            <v>TilOvn3</v>
          </cell>
          <cell r="L4" t="str">
            <v>DeltaTon</v>
          </cell>
          <cell r="M4" t="str">
            <v>MinTonnage</v>
          </cell>
          <cell r="N4" t="str">
            <v>MaxTonnage</v>
          </cell>
          <cell r="O4" t="str">
            <v>InitSto1</v>
          </cell>
          <cell r="P4" t="str">
            <v>InitSto2</v>
          </cell>
          <cell r="Q4" t="str">
            <v>Pris</v>
          </cell>
          <cell r="R4" t="str">
            <v>LHV</v>
          </cell>
          <cell r="S4" t="str">
            <v>NOxKgTon</v>
          </cell>
        </row>
        <row r="5">
          <cell r="C5" t="str">
            <v>DepoSort</v>
          </cell>
        </row>
        <row r="6">
          <cell r="C6" t="str">
            <v>DepoSmaat</v>
          </cell>
          <cell r="D6">
            <v>0</v>
          </cell>
          <cell r="E6">
            <v>1</v>
          </cell>
        </row>
        <row r="7">
          <cell r="C7" t="str">
            <v>DepoNedd</v>
          </cell>
        </row>
        <row r="8">
          <cell r="C8" t="str">
            <v>Dagren</v>
          </cell>
        </row>
        <row r="9">
          <cell r="C9" t="str">
            <v>AndetBrand</v>
          </cell>
        </row>
        <row r="10">
          <cell r="C10" t="str">
            <v>Trae</v>
          </cell>
        </row>
        <row r="11">
          <cell r="C11" t="str">
            <v>DagrenRast</v>
          </cell>
        </row>
        <row r="12">
          <cell r="C12" t="str">
            <v>DagrenInst</v>
          </cell>
        </row>
        <row r="13">
          <cell r="C13" t="str">
            <v>DagrenHandel</v>
          </cell>
        </row>
        <row r="14">
          <cell r="C14" t="str">
            <v>DagrenRestau</v>
          </cell>
        </row>
        <row r="15">
          <cell r="C15" t="str">
            <v>Erhverv</v>
          </cell>
        </row>
        <row r="16">
          <cell r="C16" t="str">
            <v>DagrenErhverv</v>
          </cell>
        </row>
        <row r="17">
          <cell r="C17" t="str">
            <v>HandelKontor</v>
          </cell>
        </row>
        <row r="18">
          <cell r="C18" t="str">
            <v>Privat</v>
          </cell>
        </row>
        <row r="19">
          <cell r="C19" t="str">
            <v>TyskRest</v>
          </cell>
        </row>
        <row r="20">
          <cell r="C20" t="str">
            <v>PolskRest</v>
          </cell>
        </row>
        <row r="21">
          <cell r="C21" t="str">
            <v>PcbTrae</v>
          </cell>
        </row>
        <row r="22">
          <cell r="C22" t="str">
            <v>TraeRekv</v>
          </cell>
        </row>
        <row r="23">
          <cell r="C23" t="str">
            <v>Halm</v>
          </cell>
        </row>
        <row r="24">
          <cell r="C24" t="str">
            <v>Pulver</v>
          </cell>
        </row>
        <row r="25">
          <cell r="C25" t="str">
            <v>FlisAffald</v>
          </cell>
        </row>
        <row r="26">
          <cell r="C26" t="str">
            <v>NyAff1</v>
          </cell>
        </row>
        <row r="27">
          <cell r="C27" t="str">
            <v>NyAff2</v>
          </cell>
        </row>
        <row r="28">
          <cell r="C28" t="str">
            <v>NyAff3</v>
          </cell>
        </row>
        <row r="29">
          <cell r="C29" t="str">
            <v>NyAff4</v>
          </cell>
        </row>
        <row r="30">
          <cell r="C30" t="str">
            <v>NyAff5</v>
          </cell>
        </row>
        <row r="31">
          <cell r="C31" t="str">
            <v>Flis</v>
          </cell>
        </row>
        <row r="32">
          <cell r="C32" t="str">
            <v>NSvarme</v>
          </cell>
        </row>
        <row r="33">
          <cell r="C33" t="str">
            <v>PeakFuel</v>
          </cell>
        </row>
      </sheetData>
      <sheetData sheetId="6"/>
      <sheetData sheetId="7">
        <row r="6">
          <cell r="D6" t="str">
            <v>Fel</v>
          </cell>
        </row>
      </sheetData>
      <sheetData sheetId="8">
        <row r="6">
          <cell r="D6" t="str">
            <v>FlisK</v>
          </cell>
        </row>
      </sheetData>
      <sheetData sheetId="9">
        <row r="6">
          <cell r="D6" t="str">
            <v>jan</v>
          </cell>
          <cell r="E6" t="str">
            <v>feb</v>
          </cell>
        </row>
      </sheetData>
      <sheetData sheetId="10"/>
      <sheetData sheetId="11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ogens Bech Laursen" id="{700FBD94-80D1-4E1D-A0A9-53D2E7EBA1E2}" userId="S::mbl@AddedValues.eu::48d0cd40-4225-4960-b132-87031196de12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2-01-04T13:34:10.18" personId="{700FBD94-80D1-4E1D-A0A9-53D2E7EBA1E2}" id="{EC266F5E-0BBB-48AD-BB1F-582C70E5B4C6}">
    <text>Se Leila Gharani: 
https://www.youtube.com/watch?v=VxReJslyJm8</text>
  </threadedComment>
</ThreadedComment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87264B-63C3-4A52-9E22-9B9769F005F4}">
  <sheetPr codeName="Sheet2">
    <tabColor theme="9" tint="0.59999389629810485"/>
  </sheetPr>
  <dimension ref="A1:CK54"/>
  <sheetViews>
    <sheetView zoomScale="70" zoomScaleNormal="70" workbookViewId="0">
      <pane xSplit="8" ySplit="5" topLeftCell="I6" activePane="bottomRight" state="frozen"/>
      <selection pane="topRight" activeCell="I1" sqref="I1"/>
      <selection pane="bottomLeft" activeCell="A6" sqref="A6"/>
      <selection pane="bottomRight" activeCell="BA9" sqref="BA9"/>
    </sheetView>
  </sheetViews>
  <sheetFormatPr defaultRowHeight="15" outlineLevelCol="1" x14ac:dyDescent="0.25"/>
  <cols>
    <col min="1" max="1" width="49.140625" hidden="1" customWidth="1" outlineLevel="1"/>
    <col min="2" max="2" width="12.85546875" customWidth="1" collapsed="1"/>
    <col min="3" max="3" width="9.140625" customWidth="1" outlineLevel="1"/>
    <col min="4" max="4" width="9.7109375" bestFit="1" customWidth="1" outlineLevel="1"/>
    <col min="5" max="5" width="13.5703125" customWidth="1" outlineLevel="1"/>
    <col min="6" max="6" width="18.140625" bestFit="1" customWidth="1" outlineLevel="1"/>
    <col min="7" max="7" width="14.28515625" customWidth="1" outlineLevel="1"/>
    <col min="8" max="8" width="14" customWidth="1" outlineLevel="1"/>
    <col min="9" max="9" width="11.42578125" customWidth="1"/>
    <col min="10" max="20" width="9.140625" customWidth="1" outlineLevel="1"/>
    <col min="21" max="21" width="9.140625" customWidth="1"/>
    <col min="22" max="32" width="9.140625" hidden="1" customWidth="1" outlineLevel="1"/>
    <col min="33" max="33" width="9.140625" customWidth="1" collapsed="1"/>
    <col min="34" max="43" width="9.140625" hidden="1" customWidth="1" outlineLevel="1"/>
    <col min="44" max="44" width="10.140625" bestFit="1" customWidth="1" collapsed="1"/>
    <col min="45" max="45" width="5" style="86" customWidth="1"/>
    <col min="46" max="47" width="11.28515625" style="5" customWidth="1" outlineLevel="1"/>
    <col min="48" max="49" width="9.140625" style="78" customWidth="1" outlineLevel="1"/>
    <col min="50" max="50" width="10.5703125" style="78" bestFit="1" customWidth="1" outlineLevel="1"/>
    <col min="51" max="52" width="11" style="78" bestFit="1" customWidth="1" outlineLevel="1"/>
    <col min="53" max="53" width="10.7109375" style="78" customWidth="1" outlineLevel="1"/>
  </cols>
  <sheetData>
    <row r="1" spans="2:89" x14ac:dyDescent="0.25">
      <c r="I1" s="87"/>
      <c r="U1" s="87"/>
      <c r="AG1" s="87"/>
    </row>
    <row r="2" spans="2:89" x14ac:dyDescent="0.25">
      <c r="B2" s="76" t="s">
        <v>95</v>
      </c>
      <c r="I2" s="87"/>
      <c r="U2" s="87"/>
      <c r="AG2" s="87"/>
      <c r="AT2" s="85" t="s">
        <v>137</v>
      </c>
      <c r="AU2" s="85"/>
      <c r="BA2" s="78" t="b">
        <f>ISBLANK(BA9)</f>
        <v>0</v>
      </c>
    </row>
    <row r="3" spans="2:89" x14ac:dyDescent="0.25">
      <c r="H3" s="76"/>
      <c r="I3" s="112"/>
      <c r="J3" s="105"/>
      <c r="K3" s="105"/>
      <c r="L3" s="105"/>
      <c r="M3" s="105"/>
      <c r="N3" s="105"/>
      <c r="O3" s="105"/>
      <c r="P3" s="105"/>
      <c r="Q3" s="105"/>
      <c r="U3" s="87"/>
      <c r="AG3" s="87"/>
    </row>
    <row r="4" spans="2:89" x14ac:dyDescent="0.25">
      <c r="C4" s="88" t="s">
        <v>96</v>
      </c>
      <c r="H4" s="78"/>
      <c r="I4" s="111">
        <f t="shared" ref="I4:AR4" si="0">DATE(YEAR(PerStart),COLUMN(I4)-COLUMN($I$4)+1,1)</f>
        <v>44562</v>
      </c>
      <c r="J4" s="108">
        <f t="shared" si="0"/>
        <v>44593</v>
      </c>
      <c r="K4" s="108">
        <f t="shared" si="0"/>
        <v>44621</v>
      </c>
      <c r="L4" s="108">
        <f t="shared" si="0"/>
        <v>44652</v>
      </c>
      <c r="M4" s="108">
        <f t="shared" si="0"/>
        <v>44682</v>
      </c>
      <c r="N4" s="108">
        <f t="shared" si="0"/>
        <v>44713</v>
      </c>
      <c r="O4" s="108">
        <f t="shared" si="0"/>
        <v>44743</v>
      </c>
      <c r="P4" s="108">
        <f t="shared" si="0"/>
        <v>44774</v>
      </c>
      <c r="Q4" s="108">
        <f t="shared" si="0"/>
        <v>44805</v>
      </c>
      <c r="R4" s="108">
        <f t="shared" si="0"/>
        <v>44835</v>
      </c>
      <c r="S4" s="108">
        <f t="shared" si="0"/>
        <v>44866</v>
      </c>
      <c r="T4" s="108">
        <f t="shared" si="0"/>
        <v>44896</v>
      </c>
      <c r="U4" s="111">
        <f t="shared" si="0"/>
        <v>44927</v>
      </c>
      <c r="V4" s="108">
        <f t="shared" si="0"/>
        <v>44958</v>
      </c>
      <c r="W4" s="108">
        <f t="shared" si="0"/>
        <v>44986</v>
      </c>
      <c r="X4" s="108">
        <f t="shared" si="0"/>
        <v>45017</v>
      </c>
      <c r="Y4" s="108">
        <f t="shared" si="0"/>
        <v>45047</v>
      </c>
      <c r="Z4" s="108">
        <f t="shared" si="0"/>
        <v>45078</v>
      </c>
      <c r="AA4" s="108">
        <f t="shared" si="0"/>
        <v>45108</v>
      </c>
      <c r="AB4" s="108">
        <f t="shared" si="0"/>
        <v>45139</v>
      </c>
      <c r="AC4" s="108">
        <f t="shared" si="0"/>
        <v>45170</v>
      </c>
      <c r="AD4" s="108">
        <f t="shared" si="0"/>
        <v>45200</v>
      </c>
      <c r="AE4" s="108">
        <f t="shared" si="0"/>
        <v>45231</v>
      </c>
      <c r="AF4" s="108">
        <f t="shared" si="0"/>
        <v>45261</v>
      </c>
      <c r="AG4" s="111">
        <f t="shared" si="0"/>
        <v>45292</v>
      </c>
      <c r="AH4" s="108">
        <f t="shared" si="0"/>
        <v>45323</v>
      </c>
      <c r="AI4" s="108">
        <f t="shared" si="0"/>
        <v>45352</v>
      </c>
      <c r="AJ4" s="108">
        <f t="shared" si="0"/>
        <v>45383</v>
      </c>
      <c r="AK4" s="108">
        <f t="shared" si="0"/>
        <v>45413</v>
      </c>
      <c r="AL4" s="108">
        <f t="shared" si="0"/>
        <v>45444</v>
      </c>
      <c r="AM4" s="108">
        <f t="shared" si="0"/>
        <v>45474</v>
      </c>
      <c r="AN4" s="108">
        <f t="shared" si="0"/>
        <v>45505</v>
      </c>
      <c r="AO4" s="108">
        <f t="shared" si="0"/>
        <v>45536</v>
      </c>
      <c r="AP4" s="108">
        <f t="shared" si="0"/>
        <v>45566</v>
      </c>
      <c r="AQ4" s="108">
        <f t="shared" si="0"/>
        <v>45597</v>
      </c>
      <c r="AR4" s="108">
        <f t="shared" si="0"/>
        <v>45627</v>
      </c>
      <c r="AX4" s="78" t="s">
        <v>97</v>
      </c>
      <c r="AY4" s="78" t="s">
        <v>98</v>
      </c>
      <c r="AZ4" s="78" t="s">
        <v>99</v>
      </c>
      <c r="BB4" s="72"/>
      <c r="BC4" s="72"/>
      <c r="BD4" s="72"/>
      <c r="BE4" s="72"/>
      <c r="BF4" s="72"/>
      <c r="BG4" s="72"/>
      <c r="BH4" s="72"/>
      <c r="BI4" s="72"/>
      <c r="BJ4" s="72"/>
      <c r="BK4" s="72"/>
      <c r="BL4" s="72"/>
      <c r="BM4" s="72"/>
      <c r="BN4" s="72"/>
    </row>
    <row r="5" spans="2:89" x14ac:dyDescent="0.25">
      <c r="B5" s="89" t="s">
        <v>100</v>
      </c>
      <c r="C5" s="89" t="s">
        <v>101</v>
      </c>
      <c r="D5" s="89" t="s">
        <v>102</v>
      </c>
      <c r="E5" s="89" t="s">
        <v>103</v>
      </c>
      <c r="F5" s="89" t="s">
        <v>104</v>
      </c>
      <c r="G5" s="89" t="s">
        <v>105</v>
      </c>
      <c r="H5" s="89" t="s">
        <v>141</v>
      </c>
      <c r="I5" s="107" t="str">
        <f>UPPER(TEXT(I4,"mmm'åå"))</f>
        <v>JAN'22</v>
      </c>
      <c r="J5" s="107" t="str">
        <f t="shared" ref="J5:AR5" si="1">UPPER(TEXT(J4,"mmm'åå"))</f>
        <v>FEB'22</v>
      </c>
      <c r="K5" s="107" t="str">
        <f t="shared" si="1"/>
        <v>MAR'22</v>
      </c>
      <c r="L5" s="107" t="str">
        <f t="shared" si="1"/>
        <v>APR'22</v>
      </c>
      <c r="M5" s="107" t="str">
        <f t="shared" si="1"/>
        <v>MAJ'22</v>
      </c>
      <c r="N5" s="107" t="str">
        <f t="shared" si="1"/>
        <v>JUN'22</v>
      </c>
      <c r="O5" s="107" t="str">
        <f t="shared" si="1"/>
        <v>JUL'22</v>
      </c>
      <c r="P5" s="107" t="str">
        <f t="shared" si="1"/>
        <v>AUG'22</v>
      </c>
      <c r="Q5" s="107" t="str">
        <f t="shared" si="1"/>
        <v>SEP'22</v>
      </c>
      <c r="R5" s="107" t="str">
        <f t="shared" si="1"/>
        <v>OKT'22</v>
      </c>
      <c r="S5" s="107" t="str">
        <f t="shared" si="1"/>
        <v>NOV'22</v>
      </c>
      <c r="T5" s="107" t="str">
        <f t="shared" si="1"/>
        <v>DEC'22</v>
      </c>
      <c r="U5" s="107" t="str">
        <f t="shared" si="1"/>
        <v>JAN'23</v>
      </c>
      <c r="V5" s="107" t="str">
        <f t="shared" si="1"/>
        <v>FEB'23</v>
      </c>
      <c r="W5" s="107" t="str">
        <f t="shared" si="1"/>
        <v>MAR'23</v>
      </c>
      <c r="X5" s="107" t="str">
        <f t="shared" si="1"/>
        <v>APR'23</v>
      </c>
      <c r="Y5" s="107" t="str">
        <f t="shared" si="1"/>
        <v>MAJ'23</v>
      </c>
      <c r="Z5" s="107" t="str">
        <f t="shared" si="1"/>
        <v>JUN'23</v>
      </c>
      <c r="AA5" s="107" t="str">
        <f t="shared" si="1"/>
        <v>JUL'23</v>
      </c>
      <c r="AB5" s="107" t="str">
        <f t="shared" si="1"/>
        <v>AUG'23</v>
      </c>
      <c r="AC5" s="107" t="str">
        <f t="shared" si="1"/>
        <v>SEP'23</v>
      </c>
      <c r="AD5" s="107" t="str">
        <f t="shared" si="1"/>
        <v>OKT'23</v>
      </c>
      <c r="AE5" s="107" t="str">
        <f t="shared" si="1"/>
        <v>NOV'23</v>
      </c>
      <c r="AF5" s="107" t="str">
        <f t="shared" si="1"/>
        <v>DEC'23</v>
      </c>
      <c r="AG5" s="107" t="str">
        <f t="shared" si="1"/>
        <v>JAN'24</v>
      </c>
      <c r="AH5" s="107" t="str">
        <f t="shared" si="1"/>
        <v>FEB'24</v>
      </c>
      <c r="AI5" s="107" t="str">
        <f t="shared" si="1"/>
        <v>MAR'24</v>
      </c>
      <c r="AJ5" s="107" t="str">
        <f t="shared" si="1"/>
        <v>APR'24</v>
      </c>
      <c r="AK5" s="107" t="str">
        <f t="shared" si="1"/>
        <v>MAJ'24</v>
      </c>
      <c r="AL5" s="107" t="str">
        <f t="shared" si="1"/>
        <v>JUN'24</v>
      </c>
      <c r="AM5" s="107" t="str">
        <f t="shared" si="1"/>
        <v>JUL'24</v>
      </c>
      <c r="AN5" s="107" t="str">
        <f t="shared" si="1"/>
        <v>AUG'24</v>
      </c>
      <c r="AO5" s="107" t="str">
        <f t="shared" si="1"/>
        <v>SEP'24</v>
      </c>
      <c r="AP5" s="107" t="str">
        <f t="shared" si="1"/>
        <v>OKT'24</v>
      </c>
      <c r="AQ5" s="107" t="str">
        <f t="shared" si="1"/>
        <v>NOV'24</v>
      </c>
      <c r="AR5" s="107" t="str">
        <f t="shared" si="1"/>
        <v>DEC'24</v>
      </c>
      <c r="AS5" s="103"/>
      <c r="AT5" s="104"/>
      <c r="AU5" s="110" t="s">
        <v>144</v>
      </c>
      <c r="AV5" s="102" t="s">
        <v>102</v>
      </c>
      <c r="AW5" s="102" t="s">
        <v>101</v>
      </c>
      <c r="AX5" s="102" t="s">
        <v>103</v>
      </c>
      <c r="AY5" s="102" t="s">
        <v>104</v>
      </c>
      <c r="AZ5" s="102" t="s">
        <v>105</v>
      </c>
      <c r="BA5" s="102" t="s">
        <v>141</v>
      </c>
      <c r="BB5" s="106"/>
      <c r="BC5" s="106"/>
      <c r="BD5" s="106"/>
      <c r="BE5" s="106"/>
      <c r="BF5" s="106"/>
      <c r="BG5" s="106"/>
      <c r="BH5" s="106"/>
      <c r="BI5" s="106"/>
      <c r="BJ5" s="106"/>
      <c r="BK5" s="106"/>
      <c r="BL5" s="106"/>
      <c r="BM5" s="106"/>
      <c r="BN5" s="106"/>
      <c r="BO5" s="106"/>
      <c r="BP5" s="106"/>
      <c r="BQ5" s="106"/>
      <c r="BR5" s="106"/>
      <c r="BS5" s="106"/>
      <c r="BT5" s="106"/>
      <c r="BU5" s="106"/>
      <c r="BV5" s="106"/>
      <c r="BW5" s="106"/>
      <c r="BX5" s="106"/>
      <c r="BY5" s="106"/>
      <c r="BZ5" s="106"/>
      <c r="CA5" s="106"/>
      <c r="CB5" s="106"/>
      <c r="CC5" s="106"/>
      <c r="CD5" s="106"/>
      <c r="CE5" s="106"/>
      <c r="CF5" s="106"/>
      <c r="CG5" s="106"/>
      <c r="CH5" s="106"/>
      <c r="CI5" s="106"/>
      <c r="CJ5" s="106"/>
      <c r="CK5" s="106"/>
    </row>
    <row r="6" spans="2:89" x14ac:dyDescent="0.25">
      <c r="B6" s="91" t="str">
        <f>IF(ISBLANK(AT6),"",AT6)</f>
        <v>screc11</v>
      </c>
      <c r="C6" s="91">
        <f>IF(ISBLANK(AW6),0,AW6)</f>
        <v>1</v>
      </c>
      <c r="D6" s="83">
        <f>IF(ISBLANK(AV6),"",AV6)</f>
        <v>2</v>
      </c>
      <c r="E6" s="5" t="str" cm="1">
        <f t="array" ref="E6">IF(AX6&lt;=0,"",INDEX(listRoot,AX6))</f>
        <v>Prognoses</v>
      </c>
      <c r="F6" s="5" t="str" cm="1">
        <f t="array" ref="F6">IF(AY6&lt;=0.000000000001,"",INDEX(Lister!$C$4:$H$100,AY6,$AX6))</f>
        <v>ETS</v>
      </c>
      <c r="G6" s="5" t="str" cm="1">
        <f t="array" ref="G6">IF(OR(AZ6=1,AZ6&lt;=0.000000000001),"",INDEX(Lister!$J$4:$O$100,AZ6,$AX6))</f>
        <v/>
      </c>
      <c r="H6" s="78">
        <f t="shared" ref="H6:H42" si="2">IF(C6=0,"",IF(BA6=NotANumber,"",BA6))</f>
        <v>375</v>
      </c>
      <c r="I6">
        <f t="shared" ref="I6:I42" si="3">IF(OR($C6=0,I$4&lt;PerStart2,I$4&gt;PerSlut2),"",IF($BA6&lt;&gt;NotANumber,$H6,BB6))</f>
        <v>375</v>
      </c>
      <c r="J6">
        <f t="shared" ref="J6:J42" si="4">IF(OR($C6=0,J$4&lt;PerStart2,J$4&gt;PerSlut2),"",IF($BA6&lt;&gt;NotANumber,$H6,BC6))</f>
        <v>375</v>
      </c>
      <c r="K6">
        <f t="shared" ref="K6:K42" si="5">IF(OR($C6=0,K$4&lt;PerStart2,K$4&gt;PerSlut2),"",IF($BA6&lt;&gt;NotANumber,$H6,BD6))</f>
        <v>375</v>
      </c>
      <c r="L6">
        <f t="shared" ref="L6:L42" si="6">IF(OR($C6=0,L$4&lt;PerStart2,L$4&gt;PerSlut2),"",IF($BA6&lt;&gt;NotANumber,$H6,BE6))</f>
        <v>375</v>
      </c>
      <c r="M6">
        <f t="shared" ref="M6:M42" si="7">IF(OR($C6=0,M$4&lt;PerStart2,M$4&gt;PerSlut2),"",IF($BA6&lt;&gt;NotANumber,$H6,BF6))</f>
        <v>375</v>
      </c>
      <c r="N6">
        <f t="shared" ref="N6:N42" si="8">IF(OR($C6=0,N$4&lt;PerStart2,N$4&gt;PerSlut2),"",IF($BA6&lt;&gt;NotANumber,$H6,BG6))</f>
        <v>375</v>
      </c>
      <c r="O6">
        <f t="shared" ref="O6:O42" si="9">IF(OR($C6=0,O$4&lt;PerStart2,O$4&gt;PerSlut2),"",IF($BA6&lt;&gt;NotANumber,$H6,BH6))</f>
        <v>375</v>
      </c>
      <c r="P6">
        <f t="shared" ref="P6:P42" si="10">IF(OR($C6=0,P$4&lt;PerStart2,P$4&gt;PerSlut2),"",IF($BA6&lt;&gt;NotANumber,$H6,BI6))</f>
        <v>375</v>
      </c>
      <c r="Q6">
        <f t="shared" ref="Q6:Q42" si="11">IF(OR($C6=0,Q$4&lt;PerStart2,Q$4&gt;PerSlut2),"",IF($BA6&lt;&gt;NotANumber,$H6,BJ6))</f>
        <v>375</v>
      </c>
      <c r="R6">
        <f t="shared" ref="R6:R42" si="12">IF(OR($C6=0,R$4&lt;PerStart2,R$4&gt;PerSlut2),"",IF($BA6&lt;&gt;NotANumber,$H6,BK6))</f>
        <v>375</v>
      </c>
      <c r="S6">
        <f t="shared" ref="S6:S42" si="13">IF(OR($C6=0,S$4&lt;PerStart2,S$4&gt;PerSlut2),"",IF($BA6&lt;&gt;NotANumber,$H6,BL6))</f>
        <v>375</v>
      </c>
      <c r="T6">
        <f t="shared" ref="T6:T42" si="14">IF(OR($C6=0,T$4&lt;PerStart2,T$4&gt;PerSlut2),"",IF($BA6&lt;&gt;NotANumber,$H6,BM6))</f>
        <v>375</v>
      </c>
      <c r="U6" s="87" t="str">
        <f t="shared" ref="U6:U42" si="15">IF(OR($C6=0,U$4&lt;PerStart2,U$4&gt;PerSlut2),"",IF($BA6&lt;&gt;NotANumber,$H6,BN6))</f>
        <v/>
      </c>
      <c r="V6" t="str">
        <f t="shared" ref="V6:V42" si="16">IF(OR($C6=0,V$4&lt;PerStart2,V$4&gt;PerSlut2),"",IF($BA6&lt;&gt;NotANumber,$H6,BO6))</f>
        <v/>
      </c>
      <c r="W6" t="str">
        <f t="shared" ref="W6:W42" si="17">IF(OR($C6=0,W$4&lt;PerStart2,W$4&gt;PerSlut2),"",IF($BA6&lt;&gt;NotANumber,$H6,BP6))</f>
        <v/>
      </c>
      <c r="X6" t="str">
        <f t="shared" ref="X6:X42" si="18">IF(OR($C6=0,X$4&lt;PerStart2,X$4&gt;PerSlut2),"",IF($BA6&lt;&gt;NotANumber,$H6,BQ6))</f>
        <v/>
      </c>
      <c r="Y6" t="str">
        <f t="shared" ref="Y6:Y42" si="19">IF(OR($C6=0,Y$4&lt;PerStart2,Y$4&gt;PerSlut2),"",IF($BA6&lt;&gt;NotANumber,$H6,BR6))</f>
        <v/>
      </c>
      <c r="Z6" t="str">
        <f t="shared" ref="Z6:Z42" si="20">IF(OR($C6=0,Z$4&lt;PerStart2,Z$4&gt;PerSlut2),"",IF($BA6&lt;&gt;NotANumber,$H6,BS6))</f>
        <v/>
      </c>
      <c r="AA6" t="str">
        <f t="shared" ref="AA6:AA42" si="21">IF(OR($C6=0,AA$4&lt;PerStart2,AA$4&gt;PerSlut2),"",IF($BA6&lt;&gt;NotANumber,$H6,BT6))</f>
        <v/>
      </c>
      <c r="AB6" t="str">
        <f t="shared" ref="AB6:AB42" si="22">IF(OR($C6=0,AB$4&lt;PerStart2,AB$4&gt;PerSlut2),"",IF($BA6&lt;&gt;NotANumber,$H6,BU6))</f>
        <v/>
      </c>
      <c r="AC6" t="str">
        <f t="shared" ref="AC6:AC42" si="23">IF(OR($C6=0,AC$4&lt;PerStart2,AC$4&gt;PerSlut2),"",IF($BA6&lt;&gt;NotANumber,$H6,BV6))</f>
        <v/>
      </c>
      <c r="AD6" t="str">
        <f t="shared" ref="AD6:AD42" si="24">IF(OR($C6=0,AD$4&lt;PerStart2,AD$4&gt;PerSlut2),"",IF($BA6&lt;&gt;NotANumber,$H6,BW6))</f>
        <v/>
      </c>
      <c r="AE6" t="str">
        <f t="shared" ref="AE6:AE42" si="25">IF(OR($C6=0,AE$4&lt;PerStart2,AE$4&gt;PerSlut2),"",IF($BA6&lt;&gt;NotANumber,$H6,BX6))</f>
        <v/>
      </c>
      <c r="AF6" t="str">
        <f t="shared" ref="AF6:AF42" si="26">IF(OR($C6=0,AF$4&lt;PerStart2,AF$4&gt;PerSlut2),"",IF($BA6&lt;&gt;NotANumber,$H6,BY6))</f>
        <v/>
      </c>
      <c r="AG6" s="87" t="str">
        <f t="shared" ref="AG6:AG42" si="27">IF(OR($C6=0,AG$4&lt;PerStart2,AG$4&gt;PerSlut2),"",IF($BA6&lt;&gt;NotANumber,$H6,BZ6))</f>
        <v/>
      </c>
      <c r="AH6" t="str">
        <f t="shared" ref="AH6:AH42" si="28">IF(OR($C6=0,AH$4&lt;PerStart2,AH$4&gt;PerSlut2),"",IF($BA6&lt;&gt;NotANumber,$H6,CA6))</f>
        <v/>
      </c>
      <c r="AI6" t="str">
        <f t="shared" ref="AI6:AI42" si="29">IF(OR($C6=0,AI$4&lt;PerStart2,AI$4&gt;PerSlut2),"",IF($BA6&lt;&gt;NotANumber,$H6,CB6))</f>
        <v/>
      </c>
      <c r="AJ6" t="str">
        <f t="shared" ref="AJ6:AJ42" si="30">IF(OR($C6=0,AJ$4&lt;PerStart2,AJ$4&gt;PerSlut2),"",IF($BA6&lt;&gt;NotANumber,$H6,CC6))</f>
        <v/>
      </c>
      <c r="AK6" t="str">
        <f t="shared" ref="AK6:AK42" si="31">IF(OR($C6=0,AK$4&lt;PerStart2,AK$4&gt;PerSlut2),"",IF($BA6&lt;&gt;NotANumber,$H6,CD6))</f>
        <v/>
      </c>
      <c r="AL6" t="str">
        <f t="shared" ref="AL6:AL42" si="32">IF(OR($C6=0,AL$4&lt;PerStart2,AL$4&gt;PerSlut2),"",IF($BA6&lt;&gt;NotANumber,$H6,CE6))</f>
        <v/>
      </c>
      <c r="AM6" t="str">
        <f t="shared" ref="AM6:AM42" si="33">IF(OR($C6=0,AM$4&lt;PerStart2,AM$4&gt;PerSlut2),"",IF($BA6&lt;&gt;NotANumber,$H6,CF6))</f>
        <v/>
      </c>
      <c r="AN6" t="str">
        <f t="shared" ref="AN6:AN42" si="34">IF(OR($C6=0,AN$4&lt;PerStart2,AN$4&gt;PerSlut2),"",IF($BA6&lt;&gt;NotANumber,$H6,CG6))</f>
        <v/>
      </c>
      <c r="AO6" t="str">
        <f t="shared" ref="AO6:AO42" si="35">IF(OR($C6=0,AO$4&lt;PerStart2,AO$4&gt;PerSlut2),"",IF($BA6&lt;&gt;NotANumber,$H6,CH6))</f>
        <v/>
      </c>
      <c r="AP6" t="str">
        <f t="shared" ref="AP6:AP42" si="36">IF(OR($C6=0,AP$4&lt;PerStart2,AP$4&gt;PerSlut2),"",IF($BA6&lt;&gt;NotANumber,$H6,CI6))</f>
        <v/>
      </c>
      <c r="AQ6" t="str">
        <f t="shared" ref="AQ6:AQ42" si="37">IF(OR($C6=0,AQ$4&lt;PerStart2,AQ$4&gt;PerSlut2),"",IF($BA6&lt;&gt;NotANumber,$H6,CJ6))</f>
        <v/>
      </c>
      <c r="AR6" t="str">
        <f t="shared" ref="AR6:AR42" si="38">IF(OR($C6=0,AR$4&lt;PerStart2,AR$4&gt;PerSlut2),"",IF($BA6&lt;&gt;NotANumber,$H6,CK6))</f>
        <v/>
      </c>
      <c r="AT6" s="9" t="s">
        <v>156</v>
      </c>
      <c r="AU6" s="78">
        <v>1</v>
      </c>
      <c r="AV6" s="91">
        <v>2</v>
      </c>
      <c r="AW6" s="83">
        <v>1</v>
      </c>
      <c r="AX6" s="83">
        <v>4</v>
      </c>
      <c r="AY6" s="83">
        <v>15</v>
      </c>
      <c r="AZ6" s="83">
        <v>1</v>
      </c>
      <c r="BA6" s="78">
        <v>375</v>
      </c>
      <c r="BB6" s="72"/>
      <c r="BC6" s="72"/>
      <c r="BD6" s="72"/>
      <c r="BE6" s="72"/>
      <c r="BF6" s="72"/>
      <c r="BG6" s="72"/>
      <c r="BH6" s="72"/>
      <c r="BI6" s="72"/>
      <c r="BJ6" s="72"/>
      <c r="BK6" s="72"/>
      <c r="BL6" s="72"/>
      <c r="BM6" s="72"/>
      <c r="BN6" s="72"/>
    </row>
    <row r="7" spans="2:89" x14ac:dyDescent="0.25">
      <c r="B7" s="91" t="str">
        <f t="shared" ref="B7:B45" si="39">IF(ISBLANK(AT7),"",AT7)</f>
        <v>screc12</v>
      </c>
      <c r="C7" s="91">
        <f t="shared" ref="C7:C42" si="40">IF(ISBLANK(AW7),0,AW7)</f>
        <v>1</v>
      </c>
      <c r="D7" s="83">
        <f t="shared" ref="D7:D21" si="41">IF(ISBLANK(AW7),"",AW7)</f>
        <v>1</v>
      </c>
      <c r="E7" s="5" t="str" cm="1">
        <f t="array" ref="E7">IF(AX7&lt;=0,"",INDEX(listRoot,AX7))</f>
        <v>Prognoses</v>
      </c>
      <c r="F7" s="5" t="str" cm="1">
        <f t="array" ref="F7">IF(AY7&lt;=0.000000000001,"",INDEX(Lister!$C$4:$H$100,AY7,$AX7))</f>
        <v>ETS</v>
      </c>
      <c r="G7" s="5" t="str" cm="1">
        <f t="array" ref="G7">IF(OR(AZ7=1,AZ7&lt;=0.000000000001),"",INDEX(Lister!$J$4:$O$100,AZ7,$AX7))</f>
        <v/>
      </c>
      <c r="H7" s="78">
        <f t="shared" si="2"/>
        <v>750</v>
      </c>
      <c r="I7">
        <f t="shared" si="3"/>
        <v>750</v>
      </c>
      <c r="J7">
        <f t="shared" si="4"/>
        <v>750</v>
      </c>
      <c r="K7">
        <f t="shared" si="5"/>
        <v>750</v>
      </c>
      <c r="L7">
        <f t="shared" si="6"/>
        <v>750</v>
      </c>
      <c r="M7">
        <f t="shared" si="7"/>
        <v>750</v>
      </c>
      <c r="N7">
        <f t="shared" si="8"/>
        <v>750</v>
      </c>
      <c r="O7">
        <f t="shared" si="9"/>
        <v>750</v>
      </c>
      <c r="P7">
        <f t="shared" si="10"/>
        <v>750</v>
      </c>
      <c r="Q7">
        <f t="shared" si="11"/>
        <v>750</v>
      </c>
      <c r="R7">
        <f t="shared" si="12"/>
        <v>750</v>
      </c>
      <c r="S7">
        <f t="shared" si="13"/>
        <v>750</v>
      </c>
      <c r="T7">
        <f t="shared" si="14"/>
        <v>750</v>
      </c>
      <c r="U7" s="87" t="str">
        <f t="shared" si="15"/>
        <v/>
      </c>
      <c r="V7" t="str">
        <f t="shared" si="16"/>
        <v/>
      </c>
      <c r="W7" t="str">
        <f t="shared" si="17"/>
        <v/>
      </c>
      <c r="X7" t="str">
        <f t="shared" si="18"/>
        <v/>
      </c>
      <c r="Y7" t="str">
        <f t="shared" si="19"/>
        <v/>
      </c>
      <c r="Z7" t="str">
        <f t="shared" si="20"/>
        <v/>
      </c>
      <c r="AA7" t="str">
        <f t="shared" si="21"/>
        <v/>
      </c>
      <c r="AB7" t="str">
        <f t="shared" si="22"/>
        <v/>
      </c>
      <c r="AC7" t="str">
        <f t="shared" si="23"/>
        <v/>
      </c>
      <c r="AD7" t="str">
        <f t="shared" si="24"/>
        <v/>
      </c>
      <c r="AE7" t="str">
        <f t="shared" si="25"/>
        <v/>
      </c>
      <c r="AF7" t="str">
        <f t="shared" si="26"/>
        <v/>
      </c>
      <c r="AG7" s="87" t="str">
        <f t="shared" si="27"/>
        <v/>
      </c>
      <c r="AH7" t="str">
        <f t="shared" si="28"/>
        <v/>
      </c>
      <c r="AI7" t="str">
        <f t="shared" si="29"/>
        <v/>
      </c>
      <c r="AJ7" t="str">
        <f t="shared" si="30"/>
        <v/>
      </c>
      <c r="AK7" t="str">
        <f t="shared" si="31"/>
        <v/>
      </c>
      <c r="AL7" t="str">
        <f t="shared" si="32"/>
        <v/>
      </c>
      <c r="AM7" t="str">
        <f t="shared" si="33"/>
        <v/>
      </c>
      <c r="AN7" t="str">
        <f t="shared" si="34"/>
        <v/>
      </c>
      <c r="AO7" t="str">
        <f t="shared" si="35"/>
        <v/>
      </c>
      <c r="AP7" t="str">
        <f t="shared" si="36"/>
        <v/>
      </c>
      <c r="AQ7" t="str">
        <f t="shared" si="37"/>
        <v/>
      </c>
      <c r="AR7" t="str">
        <f t="shared" si="38"/>
        <v/>
      </c>
      <c r="AT7" s="9" t="s">
        <v>157</v>
      </c>
      <c r="AU7" s="78">
        <v>1</v>
      </c>
      <c r="AV7" s="91">
        <v>3</v>
      </c>
      <c r="AW7" s="83">
        <v>1</v>
      </c>
      <c r="AX7" s="83">
        <v>4</v>
      </c>
      <c r="AY7" s="83">
        <v>15</v>
      </c>
      <c r="AZ7" s="83">
        <v>1</v>
      </c>
      <c r="BA7" s="78">
        <v>750</v>
      </c>
      <c r="BB7" s="72"/>
      <c r="BC7" s="72"/>
      <c r="BD7" s="72"/>
      <c r="BE7" s="72"/>
      <c r="BF7" s="72"/>
      <c r="BG7" s="72"/>
      <c r="BH7" s="72"/>
      <c r="BI7" s="72"/>
      <c r="BJ7" s="72"/>
      <c r="BK7" s="72"/>
      <c r="BL7" s="72"/>
      <c r="BM7" s="72"/>
      <c r="BN7" s="72"/>
    </row>
    <row r="8" spans="2:89" x14ac:dyDescent="0.25">
      <c r="B8" s="91" t="str">
        <f t="shared" si="39"/>
        <v>screc13</v>
      </c>
      <c r="C8" s="91">
        <f t="shared" si="40"/>
        <v>1</v>
      </c>
      <c r="D8" s="83">
        <f t="shared" si="41"/>
        <v>1</v>
      </c>
      <c r="E8" s="5" t="str" cm="1">
        <f t="array" ref="E8">IF(AX8&lt;=0,"",INDEX(listRoot,AX8))</f>
        <v>Prognoses</v>
      </c>
      <c r="F8" s="5" t="str" cm="1">
        <f t="array" ref="F8">IF(AY8&lt;=0.000000000001,"",INDEX(Lister!$C$4:$H$100,AY8,$AX8))</f>
        <v>ETS</v>
      </c>
      <c r="G8" s="5" t="str" cm="1">
        <f t="array" ref="G8">IF(OR(AZ8=1,AZ8&lt;=0.000000000001),"",INDEX(Lister!$J$4:$O$100,AZ8,$AX8))</f>
        <v/>
      </c>
      <c r="H8" s="78">
        <f t="shared" si="2"/>
        <v>1125</v>
      </c>
      <c r="I8">
        <f t="shared" si="3"/>
        <v>1125</v>
      </c>
      <c r="J8">
        <f t="shared" si="4"/>
        <v>1125</v>
      </c>
      <c r="K8">
        <f t="shared" si="5"/>
        <v>1125</v>
      </c>
      <c r="L8">
        <f t="shared" si="6"/>
        <v>1125</v>
      </c>
      <c r="M8">
        <f t="shared" si="7"/>
        <v>1125</v>
      </c>
      <c r="N8">
        <f t="shared" si="8"/>
        <v>1125</v>
      </c>
      <c r="O8">
        <f t="shared" si="9"/>
        <v>1125</v>
      </c>
      <c r="P8">
        <f t="shared" si="10"/>
        <v>1125</v>
      </c>
      <c r="Q8">
        <f t="shared" si="11"/>
        <v>1125</v>
      </c>
      <c r="R8">
        <f t="shared" si="12"/>
        <v>1125</v>
      </c>
      <c r="S8">
        <f t="shared" si="13"/>
        <v>1125</v>
      </c>
      <c r="T8">
        <f t="shared" si="14"/>
        <v>1125</v>
      </c>
      <c r="U8" s="87" t="str">
        <f t="shared" si="15"/>
        <v/>
      </c>
      <c r="V8" t="str">
        <f t="shared" si="16"/>
        <v/>
      </c>
      <c r="W8" t="str">
        <f t="shared" si="17"/>
        <v/>
      </c>
      <c r="X8" t="str">
        <f t="shared" si="18"/>
        <v/>
      </c>
      <c r="Y8" t="str">
        <f t="shared" si="19"/>
        <v/>
      </c>
      <c r="Z8" t="str">
        <f t="shared" si="20"/>
        <v/>
      </c>
      <c r="AA8" t="str">
        <f t="shared" si="21"/>
        <v/>
      </c>
      <c r="AB8" t="str">
        <f t="shared" si="22"/>
        <v/>
      </c>
      <c r="AC8" t="str">
        <f t="shared" si="23"/>
        <v/>
      </c>
      <c r="AD8" t="str">
        <f t="shared" si="24"/>
        <v/>
      </c>
      <c r="AE8" t="str">
        <f t="shared" si="25"/>
        <v/>
      </c>
      <c r="AF8" t="str">
        <f t="shared" si="26"/>
        <v/>
      </c>
      <c r="AG8" s="87" t="str">
        <f t="shared" si="27"/>
        <v/>
      </c>
      <c r="AH8" t="str">
        <f t="shared" si="28"/>
        <v/>
      </c>
      <c r="AI8" t="str">
        <f t="shared" si="29"/>
        <v/>
      </c>
      <c r="AJ8" t="str">
        <f t="shared" si="30"/>
        <v/>
      </c>
      <c r="AK8" t="str">
        <f t="shared" si="31"/>
        <v/>
      </c>
      <c r="AL8" t="str">
        <f t="shared" si="32"/>
        <v/>
      </c>
      <c r="AM8" t="str">
        <f t="shared" si="33"/>
        <v/>
      </c>
      <c r="AN8" t="str">
        <f t="shared" si="34"/>
        <v/>
      </c>
      <c r="AO8" t="str">
        <f t="shared" si="35"/>
        <v/>
      </c>
      <c r="AP8" t="str">
        <f t="shared" si="36"/>
        <v/>
      </c>
      <c r="AQ8" t="str">
        <f t="shared" si="37"/>
        <v/>
      </c>
      <c r="AR8" t="str">
        <f t="shared" si="38"/>
        <v/>
      </c>
      <c r="AT8" s="9" t="s">
        <v>158</v>
      </c>
      <c r="AU8" s="78">
        <v>1</v>
      </c>
      <c r="AV8" s="91">
        <v>4</v>
      </c>
      <c r="AW8" s="83">
        <v>1</v>
      </c>
      <c r="AX8" s="83">
        <v>4</v>
      </c>
      <c r="AY8" s="83">
        <v>15</v>
      </c>
      <c r="AZ8" s="83">
        <v>1</v>
      </c>
      <c r="BA8" s="78">
        <v>1125</v>
      </c>
      <c r="BB8" s="72"/>
      <c r="BC8" s="72"/>
      <c r="BD8" s="72"/>
      <c r="BE8" s="72"/>
      <c r="BF8" s="72"/>
      <c r="BG8" s="72"/>
      <c r="BH8" s="72"/>
      <c r="BI8" s="72"/>
      <c r="BJ8" s="72"/>
      <c r="BK8" s="72"/>
      <c r="BL8" s="72"/>
      <c r="BM8" s="72"/>
      <c r="BN8" s="72"/>
    </row>
    <row r="9" spans="2:89" x14ac:dyDescent="0.25">
      <c r="B9" s="91" t="str">
        <f t="shared" si="39"/>
        <v>screc14</v>
      </c>
      <c r="C9" s="91">
        <f t="shared" si="40"/>
        <v>1</v>
      </c>
      <c r="D9" s="83">
        <f t="shared" si="41"/>
        <v>1</v>
      </c>
      <c r="E9" s="5" t="str" cm="1">
        <f t="array" ref="E9">IF(AX9&lt;=0,"",INDEX(listRoot,AX9))</f>
        <v>Prognoses</v>
      </c>
      <c r="F9" s="5" t="str" cm="1">
        <f t="array" ref="F9">IF(AY9&lt;=0.000000000001,"",INDEX(Lister!$C$4:$H$100,AY9,$AX9))</f>
        <v>ETS</v>
      </c>
      <c r="G9" s="5" t="str" cm="1">
        <f t="array" ref="G9">IF(OR(AZ9=1,AZ9&lt;=0.000000000001),"",INDEX(Lister!$J$4:$O$100,AZ9,$AX9))</f>
        <v/>
      </c>
      <c r="H9" s="78">
        <f t="shared" si="2"/>
        <v>1500</v>
      </c>
      <c r="I9">
        <f t="shared" si="3"/>
        <v>1500</v>
      </c>
      <c r="J9">
        <f t="shared" si="4"/>
        <v>1500</v>
      </c>
      <c r="K9">
        <f t="shared" si="5"/>
        <v>1500</v>
      </c>
      <c r="L9">
        <f t="shared" si="6"/>
        <v>1500</v>
      </c>
      <c r="M9">
        <f t="shared" si="7"/>
        <v>1500</v>
      </c>
      <c r="N9">
        <f t="shared" si="8"/>
        <v>1500</v>
      </c>
      <c r="O9">
        <f t="shared" si="9"/>
        <v>1500</v>
      </c>
      <c r="P9">
        <f t="shared" si="10"/>
        <v>1500</v>
      </c>
      <c r="Q9">
        <f t="shared" si="11"/>
        <v>1500</v>
      </c>
      <c r="R9">
        <f t="shared" si="12"/>
        <v>1500</v>
      </c>
      <c r="S9">
        <f t="shared" si="13"/>
        <v>1500</v>
      </c>
      <c r="T9">
        <f t="shared" si="14"/>
        <v>1500</v>
      </c>
      <c r="U9" s="87" t="str">
        <f t="shared" si="15"/>
        <v/>
      </c>
      <c r="V9" t="str">
        <f t="shared" si="16"/>
        <v/>
      </c>
      <c r="W9" t="str">
        <f t="shared" si="17"/>
        <v/>
      </c>
      <c r="X9" t="str">
        <f t="shared" si="18"/>
        <v/>
      </c>
      <c r="Y9" t="str">
        <f t="shared" si="19"/>
        <v/>
      </c>
      <c r="Z9" t="str">
        <f t="shared" si="20"/>
        <v/>
      </c>
      <c r="AA9" t="str">
        <f t="shared" si="21"/>
        <v/>
      </c>
      <c r="AB9" t="str">
        <f t="shared" si="22"/>
        <v/>
      </c>
      <c r="AC9" t="str">
        <f t="shared" si="23"/>
        <v/>
      </c>
      <c r="AD9" t="str">
        <f t="shared" si="24"/>
        <v/>
      </c>
      <c r="AE9" t="str">
        <f t="shared" si="25"/>
        <v/>
      </c>
      <c r="AF9" t="str">
        <f t="shared" si="26"/>
        <v/>
      </c>
      <c r="AG9" s="87" t="str">
        <f t="shared" si="27"/>
        <v/>
      </c>
      <c r="AH9" t="str">
        <f t="shared" si="28"/>
        <v/>
      </c>
      <c r="AI9" t="str">
        <f t="shared" si="29"/>
        <v/>
      </c>
      <c r="AJ9" t="str">
        <f t="shared" si="30"/>
        <v/>
      </c>
      <c r="AK9" t="str">
        <f t="shared" si="31"/>
        <v/>
      </c>
      <c r="AL9" t="str">
        <f t="shared" si="32"/>
        <v/>
      </c>
      <c r="AM9" t="str">
        <f t="shared" si="33"/>
        <v/>
      </c>
      <c r="AN9" t="str">
        <f t="shared" si="34"/>
        <v/>
      </c>
      <c r="AO9" t="str">
        <f t="shared" si="35"/>
        <v/>
      </c>
      <c r="AP9" t="str">
        <f t="shared" si="36"/>
        <v/>
      </c>
      <c r="AQ9" t="str">
        <f t="shared" si="37"/>
        <v/>
      </c>
      <c r="AR9" t="str">
        <f t="shared" si="38"/>
        <v/>
      </c>
      <c r="AT9" s="9" t="s">
        <v>159</v>
      </c>
      <c r="AU9" s="78">
        <v>1</v>
      </c>
      <c r="AV9" s="91">
        <v>5</v>
      </c>
      <c r="AW9" s="83">
        <v>1</v>
      </c>
      <c r="AX9" s="83">
        <v>4</v>
      </c>
      <c r="AY9" s="83">
        <v>15</v>
      </c>
      <c r="AZ9" s="83">
        <v>1</v>
      </c>
      <c r="BA9" s="78">
        <v>1500</v>
      </c>
      <c r="BB9" s="72"/>
      <c r="BC9" s="72"/>
      <c r="BD9" s="72"/>
      <c r="BE9" s="72"/>
      <c r="BF9" s="72"/>
      <c r="BG9" s="72"/>
      <c r="BH9" s="72"/>
      <c r="BI9" s="72"/>
      <c r="BJ9" s="72"/>
      <c r="BK9" s="72"/>
      <c r="BL9" s="72"/>
      <c r="BM9" s="72"/>
      <c r="BN9" s="72"/>
    </row>
    <row r="10" spans="2:89" x14ac:dyDescent="0.25">
      <c r="B10" s="91" t="str">
        <f t="shared" si="39"/>
        <v/>
      </c>
      <c r="C10" s="91">
        <f t="shared" si="40"/>
        <v>0</v>
      </c>
      <c r="D10" s="83" t="str">
        <f t="shared" si="41"/>
        <v/>
      </c>
      <c r="E10" s="5" t="str" cm="1">
        <f t="array" ref="E10">IF(AX10&lt;=0,"",INDEX(listRoot,AX10))</f>
        <v/>
      </c>
      <c r="F10" s="5" t="str" cm="1">
        <f t="array" ref="F10">IF(AY10&lt;=0.000000000001,"",INDEX(Lister!$C$4:$H$100,AY10,$AX10))</f>
        <v/>
      </c>
      <c r="G10" s="5" t="str" cm="1">
        <f t="array" ref="G10">IF(OR(AZ10=1,AZ10&lt;=0.000000000001),"",INDEX(Lister!$J$4:$O$100,AZ10,$AX10))</f>
        <v/>
      </c>
      <c r="H10" s="78" t="str">
        <f t="shared" si="2"/>
        <v/>
      </c>
      <c r="I10" t="str">
        <f t="shared" si="3"/>
        <v/>
      </c>
      <c r="J10" t="str">
        <f t="shared" si="4"/>
        <v/>
      </c>
      <c r="K10" t="str">
        <f t="shared" si="5"/>
        <v/>
      </c>
      <c r="L10" t="str">
        <f t="shared" si="6"/>
        <v/>
      </c>
      <c r="M10" t="str">
        <f t="shared" si="7"/>
        <v/>
      </c>
      <c r="N10" t="str">
        <f t="shared" si="8"/>
        <v/>
      </c>
      <c r="O10" t="str">
        <f t="shared" si="9"/>
        <v/>
      </c>
      <c r="P10" t="str">
        <f t="shared" si="10"/>
        <v/>
      </c>
      <c r="Q10" t="str">
        <f t="shared" si="11"/>
        <v/>
      </c>
      <c r="R10" t="str">
        <f t="shared" si="12"/>
        <v/>
      </c>
      <c r="S10" t="str">
        <f t="shared" si="13"/>
        <v/>
      </c>
      <c r="T10" t="str">
        <f t="shared" si="14"/>
        <v/>
      </c>
      <c r="U10" s="87" t="str">
        <f t="shared" si="15"/>
        <v/>
      </c>
      <c r="V10" t="str">
        <f t="shared" si="16"/>
        <v/>
      </c>
      <c r="W10" t="str">
        <f t="shared" si="17"/>
        <v/>
      </c>
      <c r="X10" t="str">
        <f t="shared" si="18"/>
        <v/>
      </c>
      <c r="Y10" t="str">
        <f t="shared" si="19"/>
        <v/>
      </c>
      <c r="Z10" t="str">
        <f t="shared" si="20"/>
        <v/>
      </c>
      <c r="AA10" t="str">
        <f t="shared" si="21"/>
        <v/>
      </c>
      <c r="AB10" t="str">
        <f t="shared" si="22"/>
        <v/>
      </c>
      <c r="AC10" t="str">
        <f t="shared" si="23"/>
        <v/>
      </c>
      <c r="AD10" t="str">
        <f t="shared" si="24"/>
        <v/>
      </c>
      <c r="AE10" t="str">
        <f t="shared" si="25"/>
        <v/>
      </c>
      <c r="AF10" t="str">
        <f t="shared" si="26"/>
        <v/>
      </c>
      <c r="AG10" s="87" t="str">
        <f t="shared" si="27"/>
        <v/>
      </c>
      <c r="AH10" t="str">
        <f t="shared" si="28"/>
        <v/>
      </c>
      <c r="AI10" t="str">
        <f t="shared" si="29"/>
        <v/>
      </c>
      <c r="AJ10" t="str">
        <f t="shared" si="30"/>
        <v/>
      </c>
      <c r="AK10" t="str">
        <f t="shared" si="31"/>
        <v/>
      </c>
      <c r="AL10" t="str">
        <f t="shared" si="32"/>
        <v/>
      </c>
      <c r="AM10" t="str">
        <f t="shared" si="33"/>
        <v/>
      </c>
      <c r="AN10" t="str">
        <f t="shared" si="34"/>
        <v/>
      </c>
      <c r="AO10" t="str">
        <f t="shared" si="35"/>
        <v/>
      </c>
      <c r="AP10" t="str">
        <f t="shared" si="36"/>
        <v/>
      </c>
      <c r="AQ10" t="str">
        <f t="shared" si="37"/>
        <v/>
      </c>
      <c r="AR10" t="str">
        <f t="shared" si="38"/>
        <v/>
      </c>
      <c r="AT10" s="9"/>
      <c r="AU10" s="78"/>
      <c r="AV10" s="91"/>
      <c r="AW10" s="83"/>
      <c r="AX10" s="83"/>
      <c r="AY10" s="83"/>
      <c r="AZ10" s="83"/>
    </row>
    <row r="11" spans="2:89" x14ac:dyDescent="0.25">
      <c r="B11" s="91" t="str">
        <f t="shared" si="39"/>
        <v/>
      </c>
      <c r="C11" s="91">
        <f t="shared" si="40"/>
        <v>0</v>
      </c>
      <c r="D11" s="83" t="str">
        <f t="shared" si="41"/>
        <v/>
      </c>
      <c r="E11" s="5" t="str" cm="1">
        <f t="array" ref="E11">IF(AX11&lt;=0,"",INDEX(listRoot,AX11))</f>
        <v/>
      </c>
      <c r="F11" s="5" t="str" cm="1">
        <f t="array" ref="F11">IF(AY11&lt;=0.000000000001,"",INDEX(Lister!$C$4:$H$100,AY11,$AX11))</f>
        <v/>
      </c>
      <c r="G11" s="5" t="str" cm="1">
        <f t="array" ref="G11">IF(OR(AZ11=1,AZ11&lt;=0.000000000001),"",INDEX(Lister!$J$4:$O$100,AZ11,$AX11))</f>
        <v/>
      </c>
      <c r="H11" s="78" t="str">
        <f t="shared" si="2"/>
        <v/>
      </c>
      <c r="I11" t="str">
        <f t="shared" si="3"/>
        <v/>
      </c>
      <c r="J11" t="str">
        <f t="shared" si="4"/>
        <v/>
      </c>
      <c r="K11" t="str">
        <f t="shared" si="5"/>
        <v/>
      </c>
      <c r="L11" t="str">
        <f t="shared" si="6"/>
        <v/>
      </c>
      <c r="M11" t="str">
        <f t="shared" si="7"/>
        <v/>
      </c>
      <c r="N11" t="str">
        <f t="shared" si="8"/>
        <v/>
      </c>
      <c r="O11" t="str">
        <f t="shared" si="9"/>
        <v/>
      </c>
      <c r="P11" t="str">
        <f t="shared" si="10"/>
        <v/>
      </c>
      <c r="Q11" t="str">
        <f t="shared" si="11"/>
        <v/>
      </c>
      <c r="R11" t="str">
        <f t="shared" si="12"/>
        <v/>
      </c>
      <c r="S11" t="str">
        <f t="shared" si="13"/>
        <v/>
      </c>
      <c r="T11" t="str">
        <f t="shared" si="14"/>
        <v/>
      </c>
      <c r="U11" s="87" t="str">
        <f t="shared" si="15"/>
        <v/>
      </c>
      <c r="V11" t="str">
        <f t="shared" si="16"/>
        <v/>
      </c>
      <c r="W11" t="str">
        <f t="shared" si="17"/>
        <v/>
      </c>
      <c r="X11" t="str">
        <f t="shared" si="18"/>
        <v/>
      </c>
      <c r="Y11" t="str">
        <f t="shared" si="19"/>
        <v/>
      </c>
      <c r="Z11" t="str">
        <f t="shared" si="20"/>
        <v/>
      </c>
      <c r="AA11" t="str">
        <f t="shared" si="21"/>
        <v/>
      </c>
      <c r="AB11" t="str">
        <f t="shared" si="22"/>
        <v/>
      </c>
      <c r="AC11" t="str">
        <f t="shared" si="23"/>
        <v/>
      </c>
      <c r="AD11" t="str">
        <f t="shared" si="24"/>
        <v/>
      </c>
      <c r="AE11" t="str">
        <f t="shared" si="25"/>
        <v/>
      </c>
      <c r="AF11" t="str">
        <f t="shared" si="26"/>
        <v/>
      </c>
      <c r="AG11" s="87" t="str">
        <f t="shared" si="27"/>
        <v/>
      </c>
      <c r="AH11" t="str">
        <f t="shared" si="28"/>
        <v/>
      </c>
      <c r="AI11" t="str">
        <f t="shared" si="29"/>
        <v/>
      </c>
      <c r="AJ11" t="str">
        <f t="shared" si="30"/>
        <v/>
      </c>
      <c r="AK11" t="str">
        <f t="shared" si="31"/>
        <v/>
      </c>
      <c r="AL11" t="str">
        <f t="shared" si="32"/>
        <v/>
      </c>
      <c r="AM11" t="str">
        <f t="shared" si="33"/>
        <v/>
      </c>
      <c r="AN11" t="str">
        <f t="shared" si="34"/>
        <v/>
      </c>
      <c r="AO11" t="str">
        <f t="shared" si="35"/>
        <v/>
      </c>
      <c r="AP11" t="str">
        <f t="shared" si="36"/>
        <v/>
      </c>
      <c r="AQ11" t="str">
        <f t="shared" si="37"/>
        <v/>
      </c>
      <c r="AR11" t="str">
        <f t="shared" si="38"/>
        <v/>
      </c>
      <c r="AT11" s="9"/>
      <c r="AU11" s="78"/>
      <c r="AV11" s="91"/>
      <c r="AW11" s="83"/>
      <c r="AX11" s="83"/>
      <c r="AY11" s="83"/>
      <c r="AZ11" s="83"/>
    </row>
    <row r="12" spans="2:89" x14ac:dyDescent="0.25">
      <c r="B12" s="91" t="str">
        <f t="shared" si="39"/>
        <v/>
      </c>
      <c r="C12" s="91">
        <f t="shared" si="40"/>
        <v>0</v>
      </c>
      <c r="D12" s="83" t="str">
        <f t="shared" si="41"/>
        <v/>
      </c>
      <c r="E12" s="5" t="str" cm="1">
        <f t="array" ref="E12">IF(AX12&lt;=0,"",INDEX(listRoot,AX12))</f>
        <v/>
      </c>
      <c r="F12" s="5" t="str" cm="1">
        <f t="array" ref="F12">IF(AY12&lt;=0.000000000001,"",INDEX(Lister!$C$4:$H$100,AY12,$AX12))</f>
        <v/>
      </c>
      <c r="G12" s="5" t="str" cm="1">
        <f t="array" ref="G12">IF(OR(AZ12=1,AZ12&lt;=0.000000000001),"",INDEX(Lister!$J$4:$O$100,AZ12,$AX12))</f>
        <v/>
      </c>
      <c r="H12" s="78" t="str">
        <f t="shared" si="2"/>
        <v/>
      </c>
      <c r="I12" t="str">
        <f t="shared" si="3"/>
        <v/>
      </c>
      <c r="J12" t="str">
        <f t="shared" si="4"/>
        <v/>
      </c>
      <c r="K12" t="str">
        <f t="shared" si="5"/>
        <v/>
      </c>
      <c r="L12" t="str">
        <f t="shared" si="6"/>
        <v/>
      </c>
      <c r="M12" t="str">
        <f t="shared" si="7"/>
        <v/>
      </c>
      <c r="N12" t="str">
        <f t="shared" si="8"/>
        <v/>
      </c>
      <c r="O12" t="str">
        <f t="shared" si="9"/>
        <v/>
      </c>
      <c r="P12" t="str">
        <f t="shared" si="10"/>
        <v/>
      </c>
      <c r="Q12" t="str">
        <f t="shared" si="11"/>
        <v/>
      </c>
      <c r="R12" t="str">
        <f t="shared" si="12"/>
        <v/>
      </c>
      <c r="S12" t="str">
        <f t="shared" si="13"/>
        <v/>
      </c>
      <c r="T12" t="str">
        <f t="shared" si="14"/>
        <v/>
      </c>
      <c r="U12" s="87" t="str">
        <f t="shared" si="15"/>
        <v/>
      </c>
      <c r="V12" t="str">
        <f t="shared" si="16"/>
        <v/>
      </c>
      <c r="W12" t="str">
        <f t="shared" si="17"/>
        <v/>
      </c>
      <c r="X12" t="str">
        <f t="shared" si="18"/>
        <v/>
      </c>
      <c r="Y12" t="str">
        <f t="shared" si="19"/>
        <v/>
      </c>
      <c r="Z12" t="str">
        <f t="shared" si="20"/>
        <v/>
      </c>
      <c r="AA12" t="str">
        <f t="shared" si="21"/>
        <v/>
      </c>
      <c r="AB12" t="str">
        <f t="shared" si="22"/>
        <v/>
      </c>
      <c r="AC12" t="str">
        <f t="shared" si="23"/>
        <v/>
      </c>
      <c r="AD12" t="str">
        <f t="shared" si="24"/>
        <v/>
      </c>
      <c r="AE12" t="str">
        <f t="shared" si="25"/>
        <v/>
      </c>
      <c r="AF12" t="str">
        <f t="shared" si="26"/>
        <v/>
      </c>
      <c r="AG12" s="87" t="str">
        <f t="shared" si="27"/>
        <v/>
      </c>
      <c r="AH12" t="str">
        <f t="shared" si="28"/>
        <v/>
      </c>
      <c r="AI12" t="str">
        <f t="shared" si="29"/>
        <v/>
      </c>
      <c r="AJ12" t="str">
        <f t="shared" si="30"/>
        <v/>
      </c>
      <c r="AK12" t="str">
        <f t="shared" si="31"/>
        <v/>
      </c>
      <c r="AL12" t="str">
        <f t="shared" si="32"/>
        <v/>
      </c>
      <c r="AM12" t="str">
        <f t="shared" si="33"/>
        <v/>
      </c>
      <c r="AN12" t="str">
        <f t="shared" si="34"/>
        <v/>
      </c>
      <c r="AO12" t="str">
        <f t="shared" si="35"/>
        <v/>
      </c>
      <c r="AP12" t="str">
        <f t="shared" si="36"/>
        <v/>
      </c>
      <c r="AQ12" t="str">
        <f t="shared" si="37"/>
        <v/>
      </c>
      <c r="AR12" t="str">
        <f t="shared" si="38"/>
        <v/>
      </c>
      <c r="AT12" s="9"/>
      <c r="AU12" s="78"/>
      <c r="AV12" s="91"/>
      <c r="AW12" s="83"/>
      <c r="AX12" s="83"/>
      <c r="AY12" s="83"/>
      <c r="AZ12" s="83"/>
    </row>
    <row r="13" spans="2:89" x14ac:dyDescent="0.25">
      <c r="B13" s="91" t="str">
        <f t="shared" si="39"/>
        <v/>
      </c>
      <c r="C13" s="91">
        <f t="shared" si="40"/>
        <v>0</v>
      </c>
      <c r="D13" s="83" t="str">
        <f t="shared" si="41"/>
        <v/>
      </c>
      <c r="E13" s="5" t="str" cm="1">
        <f t="array" ref="E13">IF(AX13&lt;=0,"",INDEX(listRoot,AX13))</f>
        <v/>
      </c>
      <c r="F13" s="5" t="str" cm="1">
        <f t="array" ref="F13">IF(AY13&lt;=0.000000000001,"",INDEX(Lister!$C$4:$H$100,AY13,$AX13))</f>
        <v/>
      </c>
      <c r="G13" s="5" t="str" cm="1">
        <f t="array" ref="G13">IF(OR(AZ13=1,AZ13&lt;=0.000000000001),"",INDEX(Lister!$J$4:$O$100,AZ13,$AX13))</f>
        <v/>
      </c>
      <c r="H13" s="78" t="str">
        <f t="shared" si="2"/>
        <v/>
      </c>
      <c r="I13" t="str">
        <f t="shared" si="3"/>
        <v/>
      </c>
      <c r="J13" t="str">
        <f t="shared" si="4"/>
        <v/>
      </c>
      <c r="K13" t="str">
        <f t="shared" si="5"/>
        <v/>
      </c>
      <c r="L13" t="str">
        <f t="shared" si="6"/>
        <v/>
      </c>
      <c r="M13" t="str">
        <f t="shared" si="7"/>
        <v/>
      </c>
      <c r="N13" t="str">
        <f t="shared" si="8"/>
        <v/>
      </c>
      <c r="O13" t="str">
        <f t="shared" si="9"/>
        <v/>
      </c>
      <c r="P13" t="str">
        <f t="shared" si="10"/>
        <v/>
      </c>
      <c r="Q13" t="str">
        <f t="shared" si="11"/>
        <v/>
      </c>
      <c r="R13" t="str">
        <f t="shared" si="12"/>
        <v/>
      </c>
      <c r="S13" t="str">
        <f t="shared" si="13"/>
        <v/>
      </c>
      <c r="T13" t="str">
        <f t="shared" si="14"/>
        <v/>
      </c>
      <c r="U13" s="87" t="str">
        <f t="shared" si="15"/>
        <v/>
      </c>
      <c r="V13" t="str">
        <f t="shared" si="16"/>
        <v/>
      </c>
      <c r="W13" t="str">
        <f t="shared" si="17"/>
        <v/>
      </c>
      <c r="X13" t="str">
        <f t="shared" si="18"/>
        <v/>
      </c>
      <c r="Y13" t="str">
        <f t="shared" si="19"/>
        <v/>
      </c>
      <c r="Z13" t="str">
        <f t="shared" si="20"/>
        <v/>
      </c>
      <c r="AA13" t="str">
        <f t="shared" si="21"/>
        <v/>
      </c>
      <c r="AB13" t="str">
        <f t="shared" si="22"/>
        <v/>
      </c>
      <c r="AC13" t="str">
        <f t="shared" si="23"/>
        <v/>
      </c>
      <c r="AD13" t="str">
        <f t="shared" si="24"/>
        <v/>
      </c>
      <c r="AE13" t="str">
        <f t="shared" si="25"/>
        <v/>
      </c>
      <c r="AF13" t="str">
        <f t="shared" si="26"/>
        <v/>
      </c>
      <c r="AG13" s="87" t="str">
        <f t="shared" si="27"/>
        <v/>
      </c>
      <c r="AH13" t="str">
        <f t="shared" si="28"/>
        <v/>
      </c>
      <c r="AI13" t="str">
        <f t="shared" si="29"/>
        <v/>
      </c>
      <c r="AJ13" t="str">
        <f t="shared" si="30"/>
        <v/>
      </c>
      <c r="AK13" t="str">
        <f t="shared" si="31"/>
        <v/>
      </c>
      <c r="AL13" t="str">
        <f t="shared" si="32"/>
        <v/>
      </c>
      <c r="AM13" t="str">
        <f t="shared" si="33"/>
        <v/>
      </c>
      <c r="AN13" t="str">
        <f t="shared" si="34"/>
        <v/>
      </c>
      <c r="AO13" t="str">
        <f t="shared" si="35"/>
        <v/>
      </c>
      <c r="AP13" t="str">
        <f t="shared" si="36"/>
        <v/>
      </c>
      <c r="AQ13" t="str">
        <f t="shared" si="37"/>
        <v/>
      </c>
      <c r="AR13" t="str">
        <f t="shared" si="38"/>
        <v/>
      </c>
      <c r="AT13" s="9"/>
      <c r="AU13" s="78"/>
      <c r="AV13" s="91"/>
      <c r="AW13" s="83"/>
      <c r="AX13" s="83"/>
      <c r="AY13" s="99"/>
      <c r="AZ13" s="99"/>
    </row>
    <row r="14" spans="2:89" x14ac:dyDescent="0.25">
      <c r="B14" s="91" t="str">
        <f t="shared" si="39"/>
        <v/>
      </c>
      <c r="C14" s="91">
        <f t="shared" si="40"/>
        <v>0</v>
      </c>
      <c r="D14" s="83" t="str">
        <f t="shared" si="41"/>
        <v/>
      </c>
      <c r="E14" s="5" t="str" cm="1">
        <f t="array" ref="E14">IF(AX14&lt;=0,"",INDEX(listRoot,AX14))</f>
        <v/>
      </c>
      <c r="F14" s="5" t="str" cm="1">
        <f t="array" ref="F14">IF(AY14&lt;=0.000000000001,"",INDEX(Lister!$C$4:$H$100,AY14,$AX14))</f>
        <v/>
      </c>
      <c r="G14" s="5" t="str" cm="1">
        <f t="array" ref="G14">IF(OR(AZ14=1,AZ14&lt;=0.000000000001),"",INDEX(Lister!$J$4:$O$100,AZ14,$AX14))</f>
        <v/>
      </c>
      <c r="H14" s="78" t="str">
        <f t="shared" si="2"/>
        <v/>
      </c>
      <c r="I14" t="str">
        <f t="shared" si="3"/>
        <v/>
      </c>
      <c r="J14" t="str">
        <f t="shared" si="4"/>
        <v/>
      </c>
      <c r="K14" t="str">
        <f t="shared" si="5"/>
        <v/>
      </c>
      <c r="L14" t="str">
        <f t="shared" si="6"/>
        <v/>
      </c>
      <c r="M14" t="str">
        <f t="shared" si="7"/>
        <v/>
      </c>
      <c r="N14" t="str">
        <f t="shared" si="8"/>
        <v/>
      </c>
      <c r="O14" t="str">
        <f t="shared" si="9"/>
        <v/>
      </c>
      <c r="P14" t="str">
        <f t="shared" si="10"/>
        <v/>
      </c>
      <c r="Q14" t="str">
        <f t="shared" si="11"/>
        <v/>
      </c>
      <c r="R14" t="str">
        <f t="shared" si="12"/>
        <v/>
      </c>
      <c r="S14" t="str">
        <f t="shared" si="13"/>
        <v/>
      </c>
      <c r="T14" t="str">
        <f t="shared" si="14"/>
        <v/>
      </c>
      <c r="U14" s="87" t="str">
        <f t="shared" si="15"/>
        <v/>
      </c>
      <c r="V14" t="str">
        <f t="shared" si="16"/>
        <v/>
      </c>
      <c r="W14" t="str">
        <f t="shared" si="17"/>
        <v/>
      </c>
      <c r="X14" t="str">
        <f t="shared" si="18"/>
        <v/>
      </c>
      <c r="Y14" t="str">
        <f t="shared" si="19"/>
        <v/>
      </c>
      <c r="Z14" t="str">
        <f t="shared" si="20"/>
        <v/>
      </c>
      <c r="AA14" t="str">
        <f t="shared" si="21"/>
        <v/>
      </c>
      <c r="AB14" t="str">
        <f t="shared" si="22"/>
        <v/>
      </c>
      <c r="AC14" t="str">
        <f t="shared" si="23"/>
        <v/>
      </c>
      <c r="AD14" t="str">
        <f t="shared" si="24"/>
        <v/>
      </c>
      <c r="AE14" t="str">
        <f t="shared" si="25"/>
        <v/>
      </c>
      <c r="AF14" t="str">
        <f t="shared" si="26"/>
        <v/>
      </c>
      <c r="AG14" s="87" t="str">
        <f t="shared" si="27"/>
        <v/>
      </c>
      <c r="AH14" t="str">
        <f t="shared" si="28"/>
        <v/>
      </c>
      <c r="AI14" t="str">
        <f t="shared" si="29"/>
        <v/>
      </c>
      <c r="AJ14" t="str">
        <f t="shared" si="30"/>
        <v/>
      </c>
      <c r="AK14" t="str">
        <f t="shared" si="31"/>
        <v/>
      </c>
      <c r="AL14" t="str">
        <f t="shared" si="32"/>
        <v/>
      </c>
      <c r="AM14" t="str">
        <f t="shared" si="33"/>
        <v/>
      </c>
      <c r="AN14" t="str">
        <f t="shared" si="34"/>
        <v/>
      </c>
      <c r="AO14" t="str">
        <f t="shared" si="35"/>
        <v/>
      </c>
      <c r="AP14" t="str">
        <f t="shared" si="36"/>
        <v/>
      </c>
      <c r="AQ14" t="str">
        <f t="shared" si="37"/>
        <v/>
      </c>
      <c r="AR14" t="str">
        <f t="shared" si="38"/>
        <v/>
      </c>
      <c r="AT14" s="9"/>
      <c r="AU14" s="78"/>
      <c r="AV14" s="91"/>
      <c r="AW14" s="83"/>
      <c r="AX14" s="83"/>
      <c r="AY14" s="99"/>
      <c r="AZ14" s="99"/>
    </row>
    <row r="15" spans="2:89" x14ac:dyDescent="0.25">
      <c r="B15" s="91" t="str">
        <f t="shared" si="39"/>
        <v/>
      </c>
      <c r="C15" s="91">
        <f t="shared" si="40"/>
        <v>0</v>
      </c>
      <c r="D15" s="83" t="str">
        <f t="shared" si="41"/>
        <v/>
      </c>
      <c r="E15" s="5" t="str" cm="1">
        <f t="array" ref="E15">IF(AX15&lt;=0,"",INDEX(listRoot,AX15))</f>
        <v/>
      </c>
      <c r="F15" s="5" t="str" cm="1">
        <f t="array" ref="F15">IF(AY15&lt;=0.000000000001,"",INDEX(Lister!$C$4:$H$100,AY15,$AX15))</f>
        <v/>
      </c>
      <c r="G15" s="5" t="str" cm="1">
        <f t="array" ref="G15">IF(OR(AZ15=1,AZ15&lt;=0.000000000001),"",INDEX(Lister!$J$4:$O$100,AZ15,$AX15))</f>
        <v/>
      </c>
      <c r="H15" s="78" t="str">
        <f t="shared" si="2"/>
        <v/>
      </c>
      <c r="I15" t="str">
        <f t="shared" si="3"/>
        <v/>
      </c>
      <c r="J15" t="str">
        <f t="shared" si="4"/>
        <v/>
      </c>
      <c r="K15" t="str">
        <f t="shared" si="5"/>
        <v/>
      </c>
      <c r="L15" t="str">
        <f t="shared" si="6"/>
        <v/>
      </c>
      <c r="M15" t="str">
        <f t="shared" si="7"/>
        <v/>
      </c>
      <c r="N15" t="str">
        <f t="shared" si="8"/>
        <v/>
      </c>
      <c r="O15" t="str">
        <f t="shared" si="9"/>
        <v/>
      </c>
      <c r="P15" t="str">
        <f t="shared" si="10"/>
        <v/>
      </c>
      <c r="Q15" t="str">
        <f t="shared" si="11"/>
        <v/>
      </c>
      <c r="R15" t="str">
        <f t="shared" si="12"/>
        <v/>
      </c>
      <c r="S15" t="str">
        <f t="shared" si="13"/>
        <v/>
      </c>
      <c r="T15" t="str">
        <f t="shared" si="14"/>
        <v/>
      </c>
      <c r="U15" s="87" t="str">
        <f t="shared" si="15"/>
        <v/>
      </c>
      <c r="V15" t="str">
        <f t="shared" si="16"/>
        <v/>
      </c>
      <c r="W15" t="str">
        <f t="shared" si="17"/>
        <v/>
      </c>
      <c r="X15" t="str">
        <f t="shared" si="18"/>
        <v/>
      </c>
      <c r="Y15" t="str">
        <f t="shared" si="19"/>
        <v/>
      </c>
      <c r="Z15" t="str">
        <f t="shared" si="20"/>
        <v/>
      </c>
      <c r="AA15" t="str">
        <f t="shared" si="21"/>
        <v/>
      </c>
      <c r="AB15" t="str">
        <f t="shared" si="22"/>
        <v/>
      </c>
      <c r="AC15" t="str">
        <f t="shared" si="23"/>
        <v/>
      </c>
      <c r="AD15" t="str">
        <f t="shared" si="24"/>
        <v/>
      </c>
      <c r="AE15" t="str">
        <f t="shared" si="25"/>
        <v/>
      </c>
      <c r="AF15" t="str">
        <f t="shared" si="26"/>
        <v/>
      </c>
      <c r="AG15" s="87" t="str">
        <f t="shared" si="27"/>
        <v/>
      </c>
      <c r="AH15" t="str">
        <f t="shared" si="28"/>
        <v/>
      </c>
      <c r="AI15" t="str">
        <f t="shared" si="29"/>
        <v/>
      </c>
      <c r="AJ15" t="str">
        <f t="shared" si="30"/>
        <v/>
      </c>
      <c r="AK15" t="str">
        <f t="shared" si="31"/>
        <v/>
      </c>
      <c r="AL15" t="str">
        <f t="shared" si="32"/>
        <v/>
      </c>
      <c r="AM15" t="str">
        <f t="shared" si="33"/>
        <v/>
      </c>
      <c r="AN15" t="str">
        <f t="shared" si="34"/>
        <v/>
      </c>
      <c r="AO15" t="str">
        <f t="shared" si="35"/>
        <v/>
      </c>
      <c r="AP15" t="str">
        <f t="shared" si="36"/>
        <v/>
      </c>
      <c r="AQ15" t="str">
        <f t="shared" si="37"/>
        <v/>
      </c>
      <c r="AR15" t="str">
        <f t="shared" si="38"/>
        <v/>
      </c>
      <c r="AT15" s="9"/>
      <c r="AU15" s="78"/>
      <c r="AV15" s="91"/>
      <c r="AW15" s="83"/>
      <c r="AX15" s="83"/>
      <c r="AY15" s="99"/>
      <c r="AZ15" s="99"/>
    </row>
    <row r="16" spans="2:89" x14ac:dyDescent="0.25">
      <c r="B16" s="91" t="str">
        <f t="shared" si="39"/>
        <v/>
      </c>
      <c r="C16" s="91">
        <f t="shared" si="40"/>
        <v>0</v>
      </c>
      <c r="D16" s="78" t="str">
        <f t="shared" si="41"/>
        <v/>
      </c>
      <c r="E16" s="5" t="str" cm="1">
        <f t="array" ref="E16">IF(AX16&lt;=0,"",INDEX(listRoot,AX16))</f>
        <v/>
      </c>
      <c r="F16" s="5" t="str" cm="1">
        <f t="array" ref="F16">IF(AY16&lt;=0.000000000001,"",INDEX(Lister!$C$4:$H$100,AY16,$AX16))</f>
        <v/>
      </c>
      <c r="G16" s="5" t="str" cm="1">
        <f t="array" ref="G16">IF(OR(AZ16=1,AZ16&lt;=0.000000000001),"",INDEX(Lister!$J$4:$O$100,AZ16,$AX16))</f>
        <v/>
      </c>
      <c r="H16" s="78" t="str">
        <f t="shared" si="2"/>
        <v/>
      </c>
      <c r="I16" t="str">
        <f t="shared" si="3"/>
        <v/>
      </c>
      <c r="J16" t="str">
        <f t="shared" si="4"/>
        <v/>
      </c>
      <c r="K16" t="str">
        <f t="shared" si="5"/>
        <v/>
      </c>
      <c r="L16" t="str">
        <f t="shared" si="6"/>
        <v/>
      </c>
      <c r="M16" t="str">
        <f t="shared" si="7"/>
        <v/>
      </c>
      <c r="N16" t="str">
        <f t="shared" si="8"/>
        <v/>
      </c>
      <c r="O16" t="str">
        <f t="shared" si="9"/>
        <v/>
      </c>
      <c r="P16" t="str">
        <f t="shared" si="10"/>
        <v/>
      </c>
      <c r="Q16" t="str">
        <f t="shared" si="11"/>
        <v/>
      </c>
      <c r="R16" t="str">
        <f t="shared" si="12"/>
        <v/>
      </c>
      <c r="S16" t="str">
        <f t="shared" si="13"/>
        <v/>
      </c>
      <c r="T16" t="str">
        <f t="shared" si="14"/>
        <v/>
      </c>
      <c r="U16" s="87" t="str">
        <f t="shared" si="15"/>
        <v/>
      </c>
      <c r="V16" t="str">
        <f t="shared" si="16"/>
        <v/>
      </c>
      <c r="W16" t="str">
        <f t="shared" si="17"/>
        <v/>
      </c>
      <c r="X16" t="str">
        <f t="shared" si="18"/>
        <v/>
      </c>
      <c r="Y16" t="str">
        <f t="shared" si="19"/>
        <v/>
      </c>
      <c r="Z16" t="str">
        <f t="shared" si="20"/>
        <v/>
      </c>
      <c r="AA16" t="str">
        <f t="shared" si="21"/>
        <v/>
      </c>
      <c r="AB16" t="str">
        <f t="shared" si="22"/>
        <v/>
      </c>
      <c r="AC16" t="str">
        <f t="shared" si="23"/>
        <v/>
      </c>
      <c r="AD16" t="str">
        <f t="shared" si="24"/>
        <v/>
      </c>
      <c r="AE16" t="str">
        <f t="shared" si="25"/>
        <v/>
      </c>
      <c r="AF16" t="str">
        <f t="shared" si="26"/>
        <v/>
      </c>
      <c r="AG16" s="87" t="str">
        <f t="shared" si="27"/>
        <v/>
      </c>
      <c r="AH16" t="str">
        <f t="shared" si="28"/>
        <v/>
      </c>
      <c r="AI16" t="str">
        <f t="shared" si="29"/>
        <v/>
      </c>
      <c r="AJ16" t="str">
        <f t="shared" si="30"/>
        <v/>
      </c>
      <c r="AK16" t="str">
        <f t="shared" si="31"/>
        <v/>
      </c>
      <c r="AL16" t="str">
        <f t="shared" si="32"/>
        <v/>
      </c>
      <c r="AM16" t="str">
        <f t="shared" si="33"/>
        <v/>
      </c>
      <c r="AN16" t="str">
        <f t="shared" si="34"/>
        <v/>
      </c>
      <c r="AO16" t="str">
        <f t="shared" si="35"/>
        <v/>
      </c>
      <c r="AP16" t="str">
        <f t="shared" si="36"/>
        <v/>
      </c>
      <c r="AQ16" t="str">
        <f t="shared" si="37"/>
        <v/>
      </c>
      <c r="AR16" t="str">
        <f t="shared" si="38"/>
        <v/>
      </c>
      <c r="AT16" s="9"/>
      <c r="AU16" s="78"/>
      <c r="AV16" s="91"/>
      <c r="AY16" s="100"/>
      <c r="AZ16" s="100"/>
    </row>
    <row r="17" spans="2:52" x14ac:dyDescent="0.25">
      <c r="B17" s="91" t="str">
        <f t="shared" si="39"/>
        <v/>
      </c>
      <c r="C17" s="91">
        <f t="shared" si="40"/>
        <v>0</v>
      </c>
      <c r="D17" s="78" t="str">
        <f t="shared" si="41"/>
        <v/>
      </c>
      <c r="E17" s="5" t="str" cm="1">
        <f t="array" ref="E17">IF(AX17&lt;=0,"",INDEX(listRoot,AX17))</f>
        <v/>
      </c>
      <c r="F17" s="5" t="str" cm="1">
        <f t="array" ref="F17">IF(AY17&lt;=0.000000000001,"",INDEX(Lister!$C$4:$H$100,AY17,$AX17))</f>
        <v/>
      </c>
      <c r="G17" s="5" t="str" cm="1">
        <f t="array" ref="G17">IF(OR(AZ17=1,AZ17&lt;=0.000000000001),"",INDEX(Lister!$J$4:$O$100,AZ17,$AX17))</f>
        <v/>
      </c>
      <c r="H17" s="78" t="str">
        <f t="shared" si="2"/>
        <v/>
      </c>
      <c r="I17" t="str">
        <f t="shared" si="3"/>
        <v/>
      </c>
      <c r="J17" t="str">
        <f t="shared" si="4"/>
        <v/>
      </c>
      <c r="K17" t="str">
        <f t="shared" si="5"/>
        <v/>
      </c>
      <c r="L17" t="str">
        <f t="shared" si="6"/>
        <v/>
      </c>
      <c r="M17" t="str">
        <f t="shared" si="7"/>
        <v/>
      </c>
      <c r="N17" t="str">
        <f t="shared" si="8"/>
        <v/>
      </c>
      <c r="O17" t="str">
        <f t="shared" si="9"/>
        <v/>
      </c>
      <c r="P17" t="str">
        <f t="shared" si="10"/>
        <v/>
      </c>
      <c r="Q17" t="str">
        <f t="shared" si="11"/>
        <v/>
      </c>
      <c r="R17" t="str">
        <f t="shared" si="12"/>
        <v/>
      </c>
      <c r="S17" t="str">
        <f t="shared" si="13"/>
        <v/>
      </c>
      <c r="T17" t="str">
        <f t="shared" si="14"/>
        <v/>
      </c>
      <c r="U17" s="87" t="str">
        <f t="shared" si="15"/>
        <v/>
      </c>
      <c r="V17" t="str">
        <f t="shared" si="16"/>
        <v/>
      </c>
      <c r="W17" t="str">
        <f t="shared" si="17"/>
        <v/>
      </c>
      <c r="X17" t="str">
        <f t="shared" si="18"/>
        <v/>
      </c>
      <c r="Y17" t="str">
        <f t="shared" si="19"/>
        <v/>
      </c>
      <c r="Z17" t="str">
        <f t="shared" si="20"/>
        <v/>
      </c>
      <c r="AA17" t="str">
        <f t="shared" si="21"/>
        <v/>
      </c>
      <c r="AB17" t="str">
        <f t="shared" si="22"/>
        <v/>
      </c>
      <c r="AC17" t="str">
        <f t="shared" si="23"/>
        <v/>
      </c>
      <c r="AD17" t="str">
        <f t="shared" si="24"/>
        <v/>
      </c>
      <c r="AE17" t="str">
        <f t="shared" si="25"/>
        <v/>
      </c>
      <c r="AF17" t="str">
        <f t="shared" si="26"/>
        <v/>
      </c>
      <c r="AG17" s="87" t="str">
        <f t="shared" si="27"/>
        <v/>
      </c>
      <c r="AH17" t="str">
        <f t="shared" si="28"/>
        <v/>
      </c>
      <c r="AI17" t="str">
        <f t="shared" si="29"/>
        <v/>
      </c>
      <c r="AJ17" t="str">
        <f t="shared" si="30"/>
        <v/>
      </c>
      <c r="AK17" t="str">
        <f t="shared" si="31"/>
        <v/>
      </c>
      <c r="AL17" t="str">
        <f t="shared" si="32"/>
        <v/>
      </c>
      <c r="AM17" t="str">
        <f t="shared" si="33"/>
        <v/>
      </c>
      <c r="AN17" t="str">
        <f t="shared" si="34"/>
        <v/>
      </c>
      <c r="AO17" t="str">
        <f t="shared" si="35"/>
        <v/>
      </c>
      <c r="AP17" t="str">
        <f t="shared" si="36"/>
        <v/>
      </c>
      <c r="AQ17" t="str">
        <f t="shared" si="37"/>
        <v/>
      </c>
      <c r="AR17" t="str">
        <f t="shared" si="38"/>
        <v/>
      </c>
      <c r="AT17" s="9"/>
      <c r="AU17" s="78"/>
      <c r="AV17" s="91"/>
      <c r="AY17" s="100"/>
      <c r="AZ17" s="100"/>
    </row>
    <row r="18" spans="2:52" x14ac:dyDescent="0.25">
      <c r="B18" s="91" t="str">
        <f t="shared" si="39"/>
        <v/>
      </c>
      <c r="C18" s="91">
        <f t="shared" si="40"/>
        <v>0</v>
      </c>
      <c r="D18" s="78" t="str">
        <f t="shared" si="41"/>
        <v/>
      </c>
      <c r="E18" s="5" t="str" cm="1">
        <f t="array" ref="E18">IF(AX18&lt;=0,"",INDEX(listRoot,AX18))</f>
        <v/>
      </c>
      <c r="F18" s="5" t="str" cm="1">
        <f t="array" ref="F18">IF(AY18&lt;=0.000000000001,"",INDEX(Lister!$C$4:$H$100,AY18,$AX18))</f>
        <v/>
      </c>
      <c r="G18" s="5" t="str" cm="1">
        <f t="array" ref="G18">IF(OR(AZ18=1,AZ18&lt;=0.000000000001),"",INDEX(Lister!$J$4:$O$100,AZ18,$AX18))</f>
        <v/>
      </c>
      <c r="H18" s="78" t="str">
        <f t="shared" si="2"/>
        <v/>
      </c>
      <c r="I18" t="str">
        <f t="shared" si="3"/>
        <v/>
      </c>
      <c r="J18" t="str">
        <f t="shared" si="4"/>
        <v/>
      </c>
      <c r="K18" t="str">
        <f t="shared" si="5"/>
        <v/>
      </c>
      <c r="L18" t="str">
        <f t="shared" si="6"/>
        <v/>
      </c>
      <c r="M18" t="str">
        <f t="shared" si="7"/>
        <v/>
      </c>
      <c r="N18" t="str">
        <f t="shared" si="8"/>
        <v/>
      </c>
      <c r="O18" t="str">
        <f t="shared" si="9"/>
        <v/>
      </c>
      <c r="P18" t="str">
        <f t="shared" si="10"/>
        <v/>
      </c>
      <c r="Q18" t="str">
        <f t="shared" si="11"/>
        <v/>
      </c>
      <c r="R18" t="str">
        <f t="shared" si="12"/>
        <v/>
      </c>
      <c r="S18" t="str">
        <f t="shared" si="13"/>
        <v/>
      </c>
      <c r="T18" t="str">
        <f t="shared" si="14"/>
        <v/>
      </c>
      <c r="U18" s="87" t="str">
        <f t="shared" si="15"/>
        <v/>
      </c>
      <c r="V18" t="str">
        <f t="shared" si="16"/>
        <v/>
      </c>
      <c r="W18" t="str">
        <f t="shared" si="17"/>
        <v/>
      </c>
      <c r="X18" t="str">
        <f t="shared" si="18"/>
        <v/>
      </c>
      <c r="Y18" t="str">
        <f t="shared" si="19"/>
        <v/>
      </c>
      <c r="Z18" t="str">
        <f t="shared" si="20"/>
        <v/>
      </c>
      <c r="AA18" t="str">
        <f t="shared" si="21"/>
        <v/>
      </c>
      <c r="AB18" t="str">
        <f t="shared" si="22"/>
        <v/>
      </c>
      <c r="AC18" t="str">
        <f t="shared" si="23"/>
        <v/>
      </c>
      <c r="AD18" t="str">
        <f t="shared" si="24"/>
        <v/>
      </c>
      <c r="AE18" t="str">
        <f t="shared" si="25"/>
        <v/>
      </c>
      <c r="AF18" t="str">
        <f t="shared" si="26"/>
        <v/>
      </c>
      <c r="AG18" s="87" t="str">
        <f t="shared" si="27"/>
        <v/>
      </c>
      <c r="AH18" t="str">
        <f t="shared" si="28"/>
        <v/>
      </c>
      <c r="AI18" t="str">
        <f t="shared" si="29"/>
        <v/>
      </c>
      <c r="AJ18" t="str">
        <f t="shared" si="30"/>
        <v/>
      </c>
      <c r="AK18" t="str">
        <f t="shared" si="31"/>
        <v/>
      </c>
      <c r="AL18" t="str">
        <f t="shared" si="32"/>
        <v/>
      </c>
      <c r="AM18" t="str">
        <f t="shared" si="33"/>
        <v/>
      </c>
      <c r="AN18" t="str">
        <f t="shared" si="34"/>
        <v/>
      </c>
      <c r="AO18" t="str">
        <f t="shared" si="35"/>
        <v/>
      </c>
      <c r="AP18" t="str">
        <f t="shared" si="36"/>
        <v/>
      </c>
      <c r="AQ18" t="str">
        <f t="shared" si="37"/>
        <v/>
      </c>
      <c r="AR18" t="str">
        <f t="shared" si="38"/>
        <v/>
      </c>
      <c r="AT18" s="9"/>
      <c r="AU18" s="78"/>
      <c r="AY18" s="100"/>
      <c r="AZ18" s="100"/>
    </row>
    <row r="19" spans="2:52" x14ac:dyDescent="0.25">
      <c r="B19" s="91" t="str">
        <f t="shared" si="39"/>
        <v/>
      </c>
      <c r="C19" s="91">
        <f t="shared" si="40"/>
        <v>0</v>
      </c>
      <c r="D19" s="78" t="str">
        <f t="shared" si="41"/>
        <v/>
      </c>
      <c r="E19" s="5" t="str" cm="1">
        <f t="array" ref="E19">IF(AX19&lt;=0,"",INDEX(listRoot,AX19))</f>
        <v/>
      </c>
      <c r="F19" s="5" t="str" cm="1">
        <f t="array" ref="F19">IF(AY19&lt;=0.000000000001,"",INDEX(Lister!$C$4:$H$100,AY19,$AX19))</f>
        <v/>
      </c>
      <c r="G19" s="5" t="str" cm="1">
        <f t="array" ref="G19">IF(OR(AZ19=1,AZ19&lt;=0.000000000001),"",INDEX(Lister!$J$4:$O$100,AZ19,$AX19))</f>
        <v/>
      </c>
      <c r="H19" s="78" t="str">
        <f t="shared" si="2"/>
        <v/>
      </c>
      <c r="I19" t="str">
        <f t="shared" si="3"/>
        <v/>
      </c>
      <c r="J19" t="str">
        <f t="shared" si="4"/>
        <v/>
      </c>
      <c r="K19" t="str">
        <f t="shared" si="5"/>
        <v/>
      </c>
      <c r="L19" t="str">
        <f t="shared" si="6"/>
        <v/>
      </c>
      <c r="M19" t="str">
        <f t="shared" si="7"/>
        <v/>
      </c>
      <c r="N19" t="str">
        <f t="shared" si="8"/>
        <v/>
      </c>
      <c r="O19" t="str">
        <f t="shared" si="9"/>
        <v/>
      </c>
      <c r="P19" t="str">
        <f t="shared" si="10"/>
        <v/>
      </c>
      <c r="Q19" t="str">
        <f t="shared" si="11"/>
        <v/>
      </c>
      <c r="R19" t="str">
        <f t="shared" si="12"/>
        <v/>
      </c>
      <c r="S19" t="str">
        <f t="shared" si="13"/>
        <v/>
      </c>
      <c r="T19" t="str">
        <f t="shared" si="14"/>
        <v/>
      </c>
      <c r="U19" s="87" t="str">
        <f t="shared" si="15"/>
        <v/>
      </c>
      <c r="V19" t="str">
        <f t="shared" si="16"/>
        <v/>
      </c>
      <c r="W19" t="str">
        <f t="shared" si="17"/>
        <v/>
      </c>
      <c r="X19" t="str">
        <f t="shared" si="18"/>
        <v/>
      </c>
      <c r="Y19" t="str">
        <f t="shared" si="19"/>
        <v/>
      </c>
      <c r="Z19" t="str">
        <f t="shared" si="20"/>
        <v/>
      </c>
      <c r="AA19" t="str">
        <f t="shared" si="21"/>
        <v/>
      </c>
      <c r="AB19" t="str">
        <f t="shared" si="22"/>
        <v/>
      </c>
      <c r="AC19" t="str">
        <f t="shared" si="23"/>
        <v/>
      </c>
      <c r="AD19" t="str">
        <f t="shared" si="24"/>
        <v/>
      </c>
      <c r="AE19" t="str">
        <f t="shared" si="25"/>
        <v/>
      </c>
      <c r="AF19" t="str">
        <f t="shared" si="26"/>
        <v/>
      </c>
      <c r="AG19" s="87" t="str">
        <f t="shared" si="27"/>
        <v/>
      </c>
      <c r="AH19" t="str">
        <f t="shared" si="28"/>
        <v/>
      </c>
      <c r="AI19" t="str">
        <f t="shared" si="29"/>
        <v/>
      </c>
      <c r="AJ19" t="str">
        <f t="shared" si="30"/>
        <v/>
      </c>
      <c r="AK19" t="str">
        <f t="shared" si="31"/>
        <v/>
      </c>
      <c r="AL19" t="str">
        <f t="shared" si="32"/>
        <v/>
      </c>
      <c r="AM19" t="str">
        <f t="shared" si="33"/>
        <v/>
      </c>
      <c r="AN19" t="str">
        <f t="shared" si="34"/>
        <v/>
      </c>
      <c r="AO19" t="str">
        <f t="shared" si="35"/>
        <v/>
      </c>
      <c r="AP19" t="str">
        <f t="shared" si="36"/>
        <v/>
      </c>
      <c r="AQ19" t="str">
        <f t="shared" si="37"/>
        <v/>
      </c>
      <c r="AR19" t="str">
        <f t="shared" si="38"/>
        <v/>
      </c>
      <c r="AT19" s="9"/>
      <c r="AU19" s="78"/>
      <c r="AY19" s="100"/>
      <c r="AZ19" s="100"/>
    </row>
    <row r="20" spans="2:52" x14ac:dyDescent="0.25">
      <c r="B20" s="91" t="str">
        <f t="shared" si="39"/>
        <v/>
      </c>
      <c r="C20" s="91">
        <f t="shared" si="40"/>
        <v>0</v>
      </c>
      <c r="D20" s="78" t="str">
        <f t="shared" si="41"/>
        <v/>
      </c>
      <c r="E20" s="5" t="str" cm="1">
        <f t="array" ref="E20">IF(AX20&lt;=0,"",INDEX(listRoot,AX20))</f>
        <v/>
      </c>
      <c r="F20" s="5" t="str" cm="1">
        <f t="array" ref="F20">IF(AY20&lt;=0.000000000001,"",INDEX(Lister!$C$4:$H$100,AY20,$AX20))</f>
        <v/>
      </c>
      <c r="G20" s="5" t="str" cm="1">
        <f t="array" ref="G20">IF(OR(AZ20=1,AZ20&lt;=0.000000000001),"",INDEX(Lister!$J$4:$O$100,AZ20,$AX20))</f>
        <v/>
      </c>
      <c r="H20" s="78" t="str">
        <f t="shared" si="2"/>
        <v/>
      </c>
      <c r="I20" t="str">
        <f t="shared" si="3"/>
        <v/>
      </c>
      <c r="J20" t="str">
        <f t="shared" si="4"/>
        <v/>
      </c>
      <c r="K20" t="str">
        <f t="shared" si="5"/>
        <v/>
      </c>
      <c r="L20" t="str">
        <f t="shared" si="6"/>
        <v/>
      </c>
      <c r="M20" t="str">
        <f t="shared" si="7"/>
        <v/>
      </c>
      <c r="N20" t="str">
        <f t="shared" si="8"/>
        <v/>
      </c>
      <c r="O20" t="str">
        <f t="shared" si="9"/>
        <v/>
      </c>
      <c r="P20" t="str">
        <f t="shared" si="10"/>
        <v/>
      </c>
      <c r="Q20" t="str">
        <f t="shared" si="11"/>
        <v/>
      </c>
      <c r="R20" t="str">
        <f t="shared" si="12"/>
        <v/>
      </c>
      <c r="S20" t="str">
        <f t="shared" si="13"/>
        <v/>
      </c>
      <c r="T20" t="str">
        <f t="shared" si="14"/>
        <v/>
      </c>
      <c r="U20" s="87" t="str">
        <f t="shared" si="15"/>
        <v/>
      </c>
      <c r="V20" t="str">
        <f t="shared" si="16"/>
        <v/>
      </c>
      <c r="W20" t="str">
        <f t="shared" si="17"/>
        <v/>
      </c>
      <c r="X20" t="str">
        <f t="shared" si="18"/>
        <v/>
      </c>
      <c r="Y20" t="str">
        <f t="shared" si="19"/>
        <v/>
      </c>
      <c r="Z20" t="str">
        <f t="shared" si="20"/>
        <v/>
      </c>
      <c r="AA20" t="str">
        <f t="shared" si="21"/>
        <v/>
      </c>
      <c r="AB20" t="str">
        <f t="shared" si="22"/>
        <v/>
      </c>
      <c r="AC20" t="str">
        <f t="shared" si="23"/>
        <v/>
      </c>
      <c r="AD20" t="str">
        <f t="shared" si="24"/>
        <v/>
      </c>
      <c r="AE20" t="str">
        <f t="shared" si="25"/>
        <v/>
      </c>
      <c r="AF20" t="str">
        <f t="shared" si="26"/>
        <v/>
      </c>
      <c r="AG20" s="87" t="str">
        <f t="shared" si="27"/>
        <v/>
      </c>
      <c r="AH20" t="str">
        <f t="shared" si="28"/>
        <v/>
      </c>
      <c r="AI20" t="str">
        <f t="shared" si="29"/>
        <v/>
      </c>
      <c r="AJ20" t="str">
        <f t="shared" si="30"/>
        <v/>
      </c>
      <c r="AK20" t="str">
        <f t="shared" si="31"/>
        <v/>
      </c>
      <c r="AL20" t="str">
        <f t="shared" si="32"/>
        <v/>
      </c>
      <c r="AM20" t="str">
        <f t="shared" si="33"/>
        <v/>
      </c>
      <c r="AN20" t="str">
        <f t="shared" si="34"/>
        <v/>
      </c>
      <c r="AO20" t="str">
        <f t="shared" si="35"/>
        <v/>
      </c>
      <c r="AP20" t="str">
        <f t="shared" si="36"/>
        <v/>
      </c>
      <c r="AQ20" t="str">
        <f t="shared" si="37"/>
        <v/>
      </c>
      <c r="AR20" t="str">
        <f t="shared" si="38"/>
        <v/>
      </c>
      <c r="AT20" s="9"/>
      <c r="AU20" s="78"/>
      <c r="AY20" s="100"/>
      <c r="AZ20" s="100"/>
    </row>
    <row r="21" spans="2:52" x14ac:dyDescent="0.25">
      <c r="B21" s="91" t="str">
        <f t="shared" si="39"/>
        <v/>
      </c>
      <c r="C21" s="91">
        <f t="shared" si="40"/>
        <v>0</v>
      </c>
      <c r="D21" s="78" t="str">
        <f t="shared" si="41"/>
        <v/>
      </c>
      <c r="E21" s="5" t="str" cm="1">
        <f t="array" ref="E21">IF(AX21&lt;=0,"",INDEX(listRoot,AX21))</f>
        <v/>
      </c>
      <c r="F21" s="5" t="str" cm="1">
        <f t="array" ref="F21">IF(AY21&lt;=0.000000000001,"",INDEX(Lister!$C$4:$H$100,AY21,$AX21))</f>
        <v/>
      </c>
      <c r="G21" s="5" t="str" cm="1">
        <f t="array" ref="G21">IF(OR(AZ21=1,AZ21&lt;=0.000000000001),"",INDEX(Lister!$J$4:$O$100,AZ21,$AX21))</f>
        <v/>
      </c>
      <c r="H21" s="78" t="str">
        <f t="shared" si="2"/>
        <v/>
      </c>
      <c r="I21" t="str">
        <f t="shared" si="3"/>
        <v/>
      </c>
      <c r="J21" t="str">
        <f t="shared" si="4"/>
        <v/>
      </c>
      <c r="K21" t="str">
        <f t="shared" si="5"/>
        <v/>
      </c>
      <c r="L21" t="str">
        <f t="shared" si="6"/>
        <v/>
      </c>
      <c r="M21" t="str">
        <f t="shared" si="7"/>
        <v/>
      </c>
      <c r="N21" t="str">
        <f t="shared" si="8"/>
        <v/>
      </c>
      <c r="O21" t="str">
        <f t="shared" si="9"/>
        <v/>
      </c>
      <c r="P21" t="str">
        <f t="shared" si="10"/>
        <v/>
      </c>
      <c r="Q21" t="str">
        <f t="shared" si="11"/>
        <v/>
      </c>
      <c r="R21" t="str">
        <f t="shared" si="12"/>
        <v/>
      </c>
      <c r="S21" t="str">
        <f t="shared" si="13"/>
        <v/>
      </c>
      <c r="T21" t="str">
        <f t="shared" si="14"/>
        <v/>
      </c>
      <c r="U21" s="87" t="str">
        <f t="shared" si="15"/>
        <v/>
      </c>
      <c r="V21" t="str">
        <f t="shared" si="16"/>
        <v/>
      </c>
      <c r="W21" t="str">
        <f t="shared" si="17"/>
        <v/>
      </c>
      <c r="X21" t="str">
        <f t="shared" si="18"/>
        <v/>
      </c>
      <c r="Y21" t="str">
        <f t="shared" si="19"/>
        <v/>
      </c>
      <c r="Z21" t="str">
        <f t="shared" si="20"/>
        <v/>
      </c>
      <c r="AA21" t="str">
        <f t="shared" si="21"/>
        <v/>
      </c>
      <c r="AB21" t="str">
        <f t="shared" si="22"/>
        <v/>
      </c>
      <c r="AC21" t="str">
        <f t="shared" si="23"/>
        <v/>
      </c>
      <c r="AD21" t="str">
        <f t="shared" si="24"/>
        <v/>
      </c>
      <c r="AE21" t="str">
        <f t="shared" si="25"/>
        <v/>
      </c>
      <c r="AF21" t="str">
        <f t="shared" si="26"/>
        <v/>
      </c>
      <c r="AG21" s="87" t="str">
        <f t="shared" si="27"/>
        <v/>
      </c>
      <c r="AH21" t="str">
        <f t="shared" si="28"/>
        <v/>
      </c>
      <c r="AI21" t="str">
        <f t="shared" si="29"/>
        <v/>
      </c>
      <c r="AJ21" t="str">
        <f t="shared" si="30"/>
        <v/>
      </c>
      <c r="AK21" t="str">
        <f t="shared" si="31"/>
        <v/>
      </c>
      <c r="AL21" t="str">
        <f t="shared" si="32"/>
        <v/>
      </c>
      <c r="AM21" t="str">
        <f t="shared" si="33"/>
        <v/>
      </c>
      <c r="AN21" t="str">
        <f t="shared" si="34"/>
        <v/>
      </c>
      <c r="AO21" t="str">
        <f t="shared" si="35"/>
        <v/>
      </c>
      <c r="AP21" t="str">
        <f t="shared" si="36"/>
        <v/>
      </c>
      <c r="AQ21" t="str">
        <f t="shared" si="37"/>
        <v/>
      </c>
      <c r="AR21" t="str">
        <f t="shared" si="38"/>
        <v/>
      </c>
      <c r="AT21" s="9"/>
      <c r="AU21" s="78"/>
      <c r="AY21" s="100"/>
      <c r="AZ21" s="100"/>
    </row>
    <row r="22" spans="2:52" x14ac:dyDescent="0.25">
      <c r="B22" s="91" t="str">
        <f t="shared" si="39"/>
        <v/>
      </c>
      <c r="C22" s="91">
        <f t="shared" si="40"/>
        <v>0</v>
      </c>
      <c r="D22" s="78" t="str">
        <f t="shared" ref="D22:D45" si="42">IF(ISBLANK(AW22),"",AW22)</f>
        <v/>
      </c>
      <c r="E22" s="5" t="str" cm="1">
        <f t="array" ref="E22">IF(AX22&lt;=0,"",INDEX(listRoot,AX22))</f>
        <v/>
      </c>
      <c r="F22" s="5" t="str" cm="1">
        <f t="array" ref="F22">IF(AY22&lt;=0.000000000001,"",INDEX(Lister!$C$4:$H$100,AY22,$AX22))</f>
        <v/>
      </c>
      <c r="G22" s="5" t="str" cm="1">
        <f t="array" ref="G22">IF(OR(AZ22=1,AZ22&lt;=0.000000000001),"",INDEX(Lister!$J$4:$O$100,AZ22,$AX22))</f>
        <v/>
      </c>
      <c r="H22" s="78" t="str">
        <f t="shared" si="2"/>
        <v/>
      </c>
      <c r="I22" t="str">
        <f t="shared" si="3"/>
        <v/>
      </c>
      <c r="J22" t="str">
        <f t="shared" si="4"/>
        <v/>
      </c>
      <c r="K22" t="str">
        <f t="shared" si="5"/>
        <v/>
      </c>
      <c r="L22" t="str">
        <f t="shared" si="6"/>
        <v/>
      </c>
      <c r="M22" t="str">
        <f t="shared" si="7"/>
        <v/>
      </c>
      <c r="N22" t="str">
        <f t="shared" si="8"/>
        <v/>
      </c>
      <c r="O22" t="str">
        <f t="shared" si="9"/>
        <v/>
      </c>
      <c r="P22" t="str">
        <f t="shared" si="10"/>
        <v/>
      </c>
      <c r="Q22" t="str">
        <f t="shared" si="11"/>
        <v/>
      </c>
      <c r="R22" t="str">
        <f t="shared" si="12"/>
        <v/>
      </c>
      <c r="S22" t="str">
        <f t="shared" si="13"/>
        <v/>
      </c>
      <c r="T22" t="str">
        <f t="shared" si="14"/>
        <v/>
      </c>
      <c r="U22" s="87" t="str">
        <f t="shared" si="15"/>
        <v/>
      </c>
      <c r="V22" t="str">
        <f t="shared" si="16"/>
        <v/>
      </c>
      <c r="W22" t="str">
        <f t="shared" si="17"/>
        <v/>
      </c>
      <c r="X22" t="str">
        <f t="shared" si="18"/>
        <v/>
      </c>
      <c r="Y22" t="str">
        <f t="shared" si="19"/>
        <v/>
      </c>
      <c r="Z22" t="str">
        <f t="shared" si="20"/>
        <v/>
      </c>
      <c r="AA22" t="str">
        <f t="shared" si="21"/>
        <v/>
      </c>
      <c r="AB22" t="str">
        <f t="shared" si="22"/>
        <v/>
      </c>
      <c r="AC22" t="str">
        <f t="shared" si="23"/>
        <v/>
      </c>
      <c r="AD22" t="str">
        <f t="shared" si="24"/>
        <v/>
      </c>
      <c r="AE22" t="str">
        <f t="shared" si="25"/>
        <v/>
      </c>
      <c r="AF22" t="str">
        <f t="shared" si="26"/>
        <v/>
      </c>
      <c r="AG22" s="87" t="str">
        <f t="shared" si="27"/>
        <v/>
      </c>
      <c r="AH22" t="str">
        <f t="shared" si="28"/>
        <v/>
      </c>
      <c r="AI22" t="str">
        <f t="shared" si="29"/>
        <v/>
      </c>
      <c r="AJ22" t="str">
        <f t="shared" si="30"/>
        <v/>
      </c>
      <c r="AK22" t="str">
        <f t="shared" si="31"/>
        <v/>
      </c>
      <c r="AL22" t="str">
        <f t="shared" si="32"/>
        <v/>
      </c>
      <c r="AM22" t="str">
        <f t="shared" si="33"/>
        <v/>
      </c>
      <c r="AN22" t="str">
        <f t="shared" si="34"/>
        <v/>
      </c>
      <c r="AO22" t="str">
        <f t="shared" si="35"/>
        <v/>
      </c>
      <c r="AP22" t="str">
        <f t="shared" si="36"/>
        <v/>
      </c>
      <c r="AQ22" t="str">
        <f t="shared" si="37"/>
        <v/>
      </c>
      <c r="AR22" t="str">
        <f t="shared" si="38"/>
        <v/>
      </c>
      <c r="AT22" s="9"/>
      <c r="AU22" s="78"/>
    </row>
    <row r="23" spans="2:52" x14ac:dyDescent="0.25">
      <c r="B23" s="91" t="str">
        <f t="shared" si="39"/>
        <v/>
      </c>
      <c r="C23" s="91">
        <f t="shared" si="40"/>
        <v>0</v>
      </c>
      <c r="D23" s="78" t="str">
        <f t="shared" si="42"/>
        <v/>
      </c>
      <c r="E23" s="5" t="str" cm="1">
        <f t="array" ref="E23">IF(AX23&lt;=0,"",INDEX(listRoot,AX23))</f>
        <v/>
      </c>
      <c r="F23" s="5" t="str" cm="1">
        <f t="array" ref="F23">IF(AY23&lt;=0.000000000001,"",INDEX(Lister!$C$4:$H$100,AY23,$AX23))</f>
        <v/>
      </c>
      <c r="G23" s="5" t="str" cm="1">
        <f t="array" ref="G23">IF(OR(AZ23=1,AZ23&lt;=0.000000000001),"",INDEX(Lister!$J$4:$O$100,AZ23,$AX23))</f>
        <v/>
      </c>
      <c r="H23" s="78" t="str">
        <f t="shared" si="2"/>
        <v/>
      </c>
      <c r="I23" t="str">
        <f t="shared" si="3"/>
        <v/>
      </c>
      <c r="J23" t="str">
        <f t="shared" si="4"/>
        <v/>
      </c>
      <c r="K23" t="str">
        <f t="shared" si="5"/>
        <v/>
      </c>
      <c r="L23" t="str">
        <f t="shared" si="6"/>
        <v/>
      </c>
      <c r="M23" t="str">
        <f t="shared" si="7"/>
        <v/>
      </c>
      <c r="N23" t="str">
        <f t="shared" si="8"/>
        <v/>
      </c>
      <c r="O23" t="str">
        <f t="shared" si="9"/>
        <v/>
      </c>
      <c r="P23" t="str">
        <f t="shared" si="10"/>
        <v/>
      </c>
      <c r="Q23" t="str">
        <f t="shared" si="11"/>
        <v/>
      </c>
      <c r="R23" t="str">
        <f t="shared" si="12"/>
        <v/>
      </c>
      <c r="S23" t="str">
        <f t="shared" si="13"/>
        <v/>
      </c>
      <c r="T23" t="str">
        <f t="shared" si="14"/>
        <v/>
      </c>
      <c r="U23" s="87" t="str">
        <f t="shared" si="15"/>
        <v/>
      </c>
      <c r="V23" t="str">
        <f t="shared" si="16"/>
        <v/>
      </c>
      <c r="W23" t="str">
        <f t="shared" si="17"/>
        <v/>
      </c>
      <c r="X23" t="str">
        <f t="shared" si="18"/>
        <v/>
      </c>
      <c r="Y23" t="str">
        <f t="shared" si="19"/>
        <v/>
      </c>
      <c r="Z23" t="str">
        <f t="shared" si="20"/>
        <v/>
      </c>
      <c r="AA23" t="str">
        <f t="shared" si="21"/>
        <v/>
      </c>
      <c r="AB23" t="str">
        <f t="shared" si="22"/>
        <v/>
      </c>
      <c r="AC23" t="str">
        <f t="shared" si="23"/>
        <v/>
      </c>
      <c r="AD23" t="str">
        <f t="shared" si="24"/>
        <v/>
      </c>
      <c r="AE23" t="str">
        <f t="shared" si="25"/>
        <v/>
      </c>
      <c r="AF23" t="str">
        <f t="shared" si="26"/>
        <v/>
      </c>
      <c r="AG23" s="87" t="str">
        <f t="shared" si="27"/>
        <v/>
      </c>
      <c r="AH23" t="str">
        <f t="shared" si="28"/>
        <v/>
      </c>
      <c r="AI23" t="str">
        <f t="shared" si="29"/>
        <v/>
      </c>
      <c r="AJ23" t="str">
        <f t="shared" si="30"/>
        <v/>
      </c>
      <c r="AK23" t="str">
        <f t="shared" si="31"/>
        <v/>
      </c>
      <c r="AL23" t="str">
        <f t="shared" si="32"/>
        <v/>
      </c>
      <c r="AM23" t="str">
        <f t="shared" si="33"/>
        <v/>
      </c>
      <c r="AN23" t="str">
        <f t="shared" si="34"/>
        <v/>
      </c>
      <c r="AO23" t="str">
        <f t="shared" si="35"/>
        <v/>
      </c>
      <c r="AP23" t="str">
        <f t="shared" si="36"/>
        <v/>
      </c>
      <c r="AQ23" t="str">
        <f t="shared" si="37"/>
        <v/>
      </c>
      <c r="AR23" t="str">
        <f t="shared" si="38"/>
        <v/>
      </c>
      <c r="AT23" s="9"/>
      <c r="AU23" s="78"/>
    </row>
    <row r="24" spans="2:52" x14ac:dyDescent="0.25">
      <c r="B24" s="91" t="str">
        <f t="shared" si="39"/>
        <v/>
      </c>
      <c r="C24" s="91">
        <f t="shared" si="40"/>
        <v>0</v>
      </c>
      <c r="D24" s="78" t="str">
        <f t="shared" si="42"/>
        <v/>
      </c>
      <c r="E24" s="5" t="str" cm="1">
        <f t="array" ref="E24">IF(AX24&lt;=0,"",INDEX(listRoot,AX24))</f>
        <v/>
      </c>
      <c r="F24" s="5" t="str" cm="1">
        <f t="array" ref="F24">IF(AY24&lt;=0.000000000001,"",INDEX(Lister!$C$4:$H$100,AY24,$AX24))</f>
        <v/>
      </c>
      <c r="G24" s="5" t="str" cm="1">
        <f t="array" ref="G24">IF(OR(AZ24=1,AZ24&lt;=0.000000000001),"",INDEX(Lister!$J$4:$O$100,AZ24,$AX24))</f>
        <v/>
      </c>
      <c r="H24" s="78" t="str">
        <f t="shared" si="2"/>
        <v/>
      </c>
      <c r="I24" t="str">
        <f t="shared" si="3"/>
        <v/>
      </c>
      <c r="J24" t="str">
        <f t="shared" si="4"/>
        <v/>
      </c>
      <c r="K24" t="str">
        <f t="shared" si="5"/>
        <v/>
      </c>
      <c r="L24" t="str">
        <f t="shared" si="6"/>
        <v/>
      </c>
      <c r="M24" t="str">
        <f t="shared" si="7"/>
        <v/>
      </c>
      <c r="N24" t="str">
        <f t="shared" si="8"/>
        <v/>
      </c>
      <c r="O24" t="str">
        <f t="shared" si="9"/>
        <v/>
      </c>
      <c r="P24" t="str">
        <f t="shared" si="10"/>
        <v/>
      </c>
      <c r="Q24" t="str">
        <f t="shared" si="11"/>
        <v/>
      </c>
      <c r="R24" t="str">
        <f t="shared" si="12"/>
        <v/>
      </c>
      <c r="S24" t="str">
        <f t="shared" si="13"/>
        <v/>
      </c>
      <c r="T24" t="str">
        <f t="shared" si="14"/>
        <v/>
      </c>
      <c r="U24" s="87" t="str">
        <f t="shared" si="15"/>
        <v/>
      </c>
      <c r="V24" t="str">
        <f t="shared" si="16"/>
        <v/>
      </c>
      <c r="W24" t="str">
        <f t="shared" si="17"/>
        <v/>
      </c>
      <c r="X24" t="str">
        <f t="shared" si="18"/>
        <v/>
      </c>
      <c r="Y24" t="str">
        <f t="shared" si="19"/>
        <v/>
      </c>
      <c r="Z24" t="str">
        <f t="shared" si="20"/>
        <v/>
      </c>
      <c r="AA24" t="str">
        <f t="shared" si="21"/>
        <v/>
      </c>
      <c r="AB24" t="str">
        <f t="shared" si="22"/>
        <v/>
      </c>
      <c r="AC24" t="str">
        <f t="shared" si="23"/>
        <v/>
      </c>
      <c r="AD24" t="str">
        <f t="shared" si="24"/>
        <v/>
      </c>
      <c r="AE24" t="str">
        <f t="shared" si="25"/>
        <v/>
      </c>
      <c r="AF24" t="str">
        <f t="shared" si="26"/>
        <v/>
      </c>
      <c r="AG24" s="87" t="str">
        <f t="shared" si="27"/>
        <v/>
      </c>
      <c r="AH24" t="str">
        <f t="shared" si="28"/>
        <v/>
      </c>
      <c r="AI24" t="str">
        <f t="shared" si="29"/>
        <v/>
      </c>
      <c r="AJ24" t="str">
        <f t="shared" si="30"/>
        <v/>
      </c>
      <c r="AK24" t="str">
        <f t="shared" si="31"/>
        <v/>
      </c>
      <c r="AL24" t="str">
        <f t="shared" si="32"/>
        <v/>
      </c>
      <c r="AM24" t="str">
        <f t="shared" si="33"/>
        <v/>
      </c>
      <c r="AN24" t="str">
        <f t="shared" si="34"/>
        <v/>
      </c>
      <c r="AO24" t="str">
        <f t="shared" si="35"/>
        <v/>
      </c>
      <c r="AP24" t="str">
        <f t="shared" si="36"/>
        <v/>
      </c>
      <c r="AQ24" t="str">
        <f t="shared" si="37"/>
        <v/>
      </c>
      <c r="AR24" t="str">
        <f t="shared" si="38"/>
        <v/>
      </c>
      <c r="AT24" s="9"/>
      <c r="AU24" s="78"/>
    </row>
    <row r="25" spans="2:52" x14ac:dyDescent="0.25">
      <c r="B25" s="91" t="str">
        <f t="shared" si="39"/>
        <v/>
      </c>
      <c r="C25" s="91">
        <f t="shared" si="40"/>
        <v>0</v>
      </c>
      <c r="D25" s="78" t="str">
        <f t="shared" si="42"/>
        <v/>
      </c>
      <c r="E25" s="5" t="str" cm="1">
        <f t="array" ref="E25">IF(AX25&lt;=0,"",INDEX(listRoot,AX25))</f>
        <v/>
      </c>
      <c r="F25" s="5" t="str" cm="1">
        <f t="array" ref="F25">IF(AY25&lt;=0.000000000001,"",INDEX(Lister!$C$4:$H$100,AY25,$AX25))</f>
        <v/>
      </c>
      <c r="G25" s="5" t="str" cm="1">
        <f t="array" ref="G25">IF(OR(AZ25=1,AZ25&lt;=0.000000000001),"",INDEX(Lister!$J$4:$O$100,AZ25,$AX25))</f>
        <v/>
      </c>
      <c r="H25" s="78" t="str">
        <f t="shared" si="2"/>
        <v/>
      </c>
      <c r="I25" t="str">
        <f t="shared" si="3"/>
        <v/>
      </c>
      <c r="J25" t="str">
        <f t="shared" si="4"/>
        <v/>
      </c>
      <c r="K25" t="str">
        <f t="shared" si="5"/>
        <v/>
      </c>
      <c r="L25" t="str">
        <f t="shared" si="6"/>
        <v/>
      </c>
      <c r="M25" t="str">
        <f t="shared" si="7"/>
        <v/>
      </c>
      <c r="N25" t="str">
        <f t="shared" si="8"/>
        <v/>
      </c>
      <c r="O25" t="str">
        <f t="shared" si="9"/>
        <v/>
      </c>
      <c r="P25" t="str">
        <f t="shared" si="10"/>
        <v/>
      </c>
      <c r="Q25" t="str">
        <f t="shared" si="11"/>
        <v/>
      </c>
      <c r="R25" t="str">
        <f t="shared" si="12"/>
        <v/>
      </c>
      <c r="S25" t="str">
        <f t="shared" si="13"/>
        <v/>
      </c>
      <c r="T25" t="str">
        <f t="shared" si="14"/>
        <v/>
      </c>
      <c r="U25" s="87" t="str">
        <f t="shared" si="15"/>
        <v/>
      </c>
      <c r="V25" t="str">
        <f t="shared" si="16"/>
        <v/>
      </c>
      <c r="W25" t="str">
        <f t="shared" si="17"/>
        <v/>
      </c>
      <c r="X25" t="str">
        <f t="shared" si="18"/>
        <v/>
      </c>
      <c r="Y25" t="str">
        <f t="shared" si="19"/>
        <v/>
      </c>
      <c r="Z25" t="str">
        <f t="shared" si="20"/>
        <v/>
      </c>
      <c r="AA25" t="str">
        <f t="shared" si="21"/>
        <v/>
      </c>
      <c r="AB25" t="str">
        <f t="shared" si="22"/>
        <v/>
      </c>
      <c r="AC25" t="str">
        <f t="shared" si="23"/>
        <v/>
      </c>
      <c r="AD25" t="str">
        <f t="shared" si="24"/>
        <v/>
      </c>
      <c r="AE25" t="str">
        <f t="shared" si="25"/>
        <v/>
      </c>
      <c r="AF25" t="str">
        <f t="shared" si="26"/>
        <v/>
      </c>
      <c r="AG25" s="87" t="str">
        <f t="shared" si="27"/>
        <v/>
      </c>
      <c r="AH25" t="str">
        <f t="shared" si="28"/>
        <v/>
      </c>
      <c r="AI25" t="str">
        <f t="shared" si="29"/>
        <v/>
      </c>
      <c r="AJ25" t="str">
        <f t="shared" si="30"/>
        <v/>
      </c>
      <c r="AK25" t="str">
        <f t="shared" si="31"/>
        <v/>
      </c>
      <c r="AL25" t="str">
        <f t="shared" si="32"/>
        <v/>
      </c>
      <c r="AM25" t="str">
        <f t="shared" si="33"/>
        <v/>
      </c>
      <c r="AN25" t="str">
        <f t="shared" si="34"/>
        <v/>
      </c>
      <c r="AO25" t="str">
        <f t="shared" si="35"/>
        <v/>
      </c>
      <c r="AP25" t="str">
        <f t="shared" si="36"/>
        <v/>
      </c>
      <c r="AQ25" t="str">
        <f t="shared" si="37"/>
        <v/>
      </c>
      <c r="AR25" t="str">
        <f t="shared" si="38"/>
        <v/>
      </c>
      <c r="AT25" s="9"/>
      <c r="AU25" s="78"/>
    </row>
    <row r="26" spans="2:52" x14ac:dyDescent="0.25">
      <c r="B26" s="91" t="str">
        <f t="shared" si="39"/>
        <v/>
      </c>
      <c r="C26" s="91">
        <f t="shared" si="40"/>
        <v>0</v>
      </c>
      <c r="D26" s="78" t="str">
        <f t="shared" si="42"/>
        <v/>
      </c>
      <c r="E26" s="5" t="str" cm="1">
        <f t="array" ref="E26">IF(AX26&lt;=0,"",INDEX(listRoot,AX26))</f>
        <v/>
      </c>
      <c r="F26" s="5" t="str" cm="1">
        <f t="array" ref="F26">IF(AY26&lt;=0.000000000001,"",INDEX(Lister!$C$4:$H$100,AY26,$AX26))</f>
        <v/>
      </c>
      <c r="G26" s="5" t="str" cm="1">
        <f t="array" ref="G26">IF(OR(AZ26=1,AZ26&lt;=0.000000000001),"",INDEX(Lister!$J$4:$O$100,AZ26,$AX26))</f>
        <v/>
      </c>
      <c r="H26" s="78" t="str">
        <f t="shared" si="2"/>
        <v/>
      </c>
      <c r="I26" t="str">
        <f t="shared" si="3"/>
        <v/>
      </c>
      <c r="J26" t="str">
        <f t="shared" si="4"/>
        <v/>
      </c>
      <c r="K26" t="str">
        <f t="shared" si="5"/>
        <v/>
      </c>
      <c r="L26" t="str">
        <f t="shared" si="6"/>
        <v/>
      </c>
      <c r="M26" t="str">
        <f t="shared" si="7"/>
        <v/>
      </c>
      <c r="N26" t="str">
        <f t="shared" si="8"/>
        <v/>
      </c>
      <c r="O26" t="str">
        <f t="shared" si="9"/>
        <v/>
      </c>
      <c r="P26" t="str">
        <f t="shared" si="10"/>
        <v/>
      </c>
      <c r="Q26" t="str">
        <f t="shared" si="11"/>
        <v/>
      </c>
      <c r="R26" t="str">
        <f t="shared" si="12"/>
        <v/>
      </c>
      <c r="S26" t="str">
        <f t="shared" si="13"/>
        <v/>
      </c>
      <c r="T26" t="str">
        <f t="shared" si="14"/>
        <v/>
      </c>
      <c r="U26" s="87" t="str">
        <f t="shared" si="15"/>
        <v/>
      </c>
      <c r="V26" t="str">
        <f t="shared" si="16"/>
        <v/>
      </c>
      <c r="W26" t="str">
        <f t="shared" si="17"/>
        <v/>
      </c>
      <c r="X26" t="str">
        <f t="shared" si="18"/>
        <v/>
      </c>
      <c r="Y26" t="str">
        <f t="shared" si="19"/>
        <v/>
      </c>
      <c r="Z26" t="str">
        <f t="shared" si="20"/>
        <v/>
      </c>
      <c r="AA26" t="str">
        <f t="shared" si="21"/>
        <v/>
      </c>
      <c r="AB26" t="str">
        <f t="shared" si="22"/>
        <v/>
      </c>
      <c r="AC26" t="str">
        <f t="shared" si="23"/>
        <v/>
      </c>
      <c r="AD26" t="str">
        <f t="shared" si="24"/>
        <v/>
      </c>
      <c r="AE26" t="str">
        <f t="shared" si="25"/>
        <v/>
      </c>
      <c r="AF26" t="str">
        <f t="shared" si="26"/>
        <v/>
      </c>
      <c r="AG26" s="87" t="str">
        <f t="shared" si="27"/>
        <v/>
      </c>
      <c r="AH26" t="str">
        <f t="shared" si="28"/>
        <v/>
      </c>
      <c r="AI26" t="str">
        <f t="shared" si="29"/>
        <v/>
      </c>
      <c r="AJ26" t="str">
        <f t="shared" si="30"/>
        <v/>
      </c>
      <c r="AK26" t="str">
        <f t="shared" si="31"/>
        <v/>
      </c>
      <c r="AL26" t="str">
        <f t="shared" si="32"/>
        <v/>
      </c>
      <c r="AM26" t="str">
        <f t="shared" si="33"/>
        <v/>
      </c>
      <c r="AN26" t="str">
        <f t="shared" si="34"/>
        <v/>
      </c>
      <c r="AO26" t="str">
        <f t="shared" si="35"/>
        <v/>
      </c>
      <c r="AP26" t="str">
        <f t="shared" si="36"/>
        <v/>
      </c>
      <c r="AQ26" t="str">
        <f t="shared" si="37"/>
        <v/>
      </c>
      <c r="AR26" t="str">
        <f t="shared" si="38"/>
        <v/>
      </c>
      <c r="AU26" s="78"/>
    </row>
    <row r="27" spans="2:52" x14ac:dyDescent="0.25">
      <c r="B27" s="91" t="str">
        <f t="shared" si="39"/>
        <v/>
      </c>
      <c r="C27" s="91">
        <f t="shared" si="40"/>
        <v>0</v>
      </c>
      <c r="D27" s="78" t="str">
        <f t="shared" si="42"/>
        <v/>
      </c>
      <c r="E27" s="5" t="str" cm="1">
        <f t="array" ref="E27">IF(AX27&lt;=0,"",INDEX(listRoot,AX27))</f>
        <v/>
      </c>
      <c r="F27" s="5" t="str" cm="1">
        <f t="array" ref="F27">IF(AY27&lt;=0.000000000001,"",INDEX(Lister!$C$4:$H$100,AY27,$AX27))</f>
        <v/>
      </c>
      <c r="G27" s="5" t="str" cm="1">
        <f t="array" ref="G27">IF(OR(AZ27=1,AZ27&lt;=0.000000000001),"",INDEX(Lister!$J$4:$O$100,AZ27,$AX27))</f>
        <v/>
      </c>
      <c r="H27" s="78" t="str">
        <f t="shared" si="2"/>
        <v/>
      </c>
      <c r="I27" t="str">
        <f t="shared" si="3"/>
        <v/>
      </c>
      <c r="J27" t="str">
        <f t="shared" si="4"/>
        <v/>
      </c>
      <c r="K27" t="str">
        <f t="shared" si="5"/>
        <v/>
      </c>
      <c r="L27" t="str">
        <f t="shared" si="6"/>
        <v/>
      </c>
      <c r="M27" t="str">
        <f t="shared" si="7"/>
        <v/>
      </c>
      <c r="N27" t="str">
        <f t="shared" si="8"/>
        <v/>
      </c>
      <c r="O27" t="str">
        <f t="shared" si="9"/>
        <v/>
      </c>
      <c r="P27" t="str">
        <f t="shared" si="10"/>
        <v/>
      </c>
      <c r="Q27" t="str">
        <f t="shared" si="11"/>
        <v/>
      </c>
      <c r="R27" t="str">
        <f t="shared" si="12"/>
        <v/>
      </c>
      <c r="S27" t="str">
        <f t="shared" si="13"/>
        <v/>
      </c>
      <c r="T27" t="str">
        <f t="shared" si="14"/>
        <v/>
      </c>
      <c r="U27" s="87" t="str">
        <f t="shared" si="15"/>
        <v/>
      </c>
      <c r="V27" t="str">
        <f t="shared" si="16"/>
        <v/>
      </c>
      <c r="W27" t="str">
        <f t="shared" si="17"/>
        <v/>
      </c>
      <c r="X27" t="str">
        <f t="shared" si="18"/>
        <v/>
      </c>
      <c r="Y27" t="str">
        <f t="shared" si="19"/>
        <v/>
      </c>
      <c r="Z27" t="str">
        <f t="shared" si="20"/>
        <v/>
      </c>
      <c r="AA27" t="str">
        <f t="shared" si="21"/>
        <v/>
      </c>
      <c r="AB27" t="str">
        <f t="shared" si="22"/>
        <v/>
      </c>
      <c r="AC27" t="str">
        <f t="shared" si="23"/>
        <v/>
      </c>
      <c r="AD27" t="str">
        <f t="shared" si="24"/>
        <v/>
      </c>
      <c r="AE27" t="str">
        <f t="shared" si="25"/>
        <v/>
      </c>
      <c r="AF27" t="str">
        <f t="shared" si="26"/>
        <v/>
      </c>
      <c r="AG27" s="87" t="str">
        <f t="shared" si="27"/>
        <v/>
      </c>
      <c r="AH27" t="str">
        <f t="shared" si="28"/>
        <v/>
      </c>
      <c r="AI27" t="str">
        <f t="shared" si="29"/>
        <v/>
      </c>
      <c r="AJ27" t="str">
        <f t="shared" si="30"/>
        <v/>
      </c>
      <c r="AK27" t="str">
        <f t="shared" si="31"/>
        <v/>
      </c>
      <c r="AL27" t="str">
        <f t="shared" si="32"/>
        <v/>
      </c>
      <c r="AM27" t="str">
        <f t="shared" si="33"/>
        <v/>
      </c>
      <c r="AN27" t="str">
        <f t="shared" si="34"/>
        <v/>
      </c>
      <c r="AO27" t="str">
        <f t="shared" si="35"/>
        <v/>
      </c>
      <c r="AP27" t="str">
        <f t="shared" si="36"/>
        <v/>
      </c>
      <c r="AQ27" t="str">
        <f t="shared" si="37"/>
        <v/>
      </c>
      <c r="AR27" t="str">
        <f t="shared" si="38"/>
        <v/>
      </c>
      <c r="AU27" s="78"/>
    </row>
    <row r="28" spans="2:52" x14ac:dyDescent="0.25">
      <c r="B28" s="91" t="str">
        <f t="shared" si="39"/>
        <v/>
      </c>
      <c r="C28" s="91">
        <f t="shared" si="40"/>
        <v>0</v>
      </c>
      <c r="D28" s="78" t="str">
        <f t="shared" si="42"/>
        <v/>
      </c>
      <c r="E28" s="5" t="str" cm="1">
        <f t="array" ref="E28">IF(AX28&lt;=0,"",INDEX(listRoot,AX28))</f>
        <v/>
      </c>
      <c r="F28" s="5" t="str" cm="1">
        <f t="array" ref="F28">IF(AY28&lt;=0.000000000001,"",INDEX(Lister!$C$4:$H$100,AY28,$AX28))</f>
        <v/>
      </c>
      <c r="G28" s="5" t="str" cm="1">
        <f t="array" ref="G28">IF(OR(AZ28=1,AZ28&lt;=0.000000000001),"",INDEX(Lister!$J$4:$O$100,AZ28,$AX28))</f>
        <v/>
      </c>
      <c r="H28" s="78" t="str">
        <f t="shared" si="2"/>
        <v/>
      </c>
      <c r="I28" t="str">
        <f t="shared" si="3"/>
        <v/>
      </c>
      <c r="J28" t="str">
        <f t="shared" si="4"/>
        <v/>
      </c>
      <c r="K28" t="str">
        <f t="shared" si="5"/>
        <v/>
      </c>
      <c r="L28" t="str">
        <f t="shared" si="6"/>
        <v/>
      </c>
      <c r="M28" t="str">
        <f t="shared" si="7"/>
        <v/>
      </c>
      <c r="N28" t="str">
        <f t="shared" si="8"/>
        <v/>
      </c>
      <c r="O28" t="str">
        <f t="shared" si="9"/>
        <v/>
      </c>
      <c r="P28" t="str">
        <f t="shared" si="10"/>
        <v/>
      </c>
      <c r="Q28" t="str">
        <f t="shared" si="11"/>
        <v/>
      </c>
      <c r="R28" t="str">
        <f t="shared" si="12"/>
        <v/>
      </c>
      <c r="S28" t="str">
        <f t="shared" si="13"/>
        <v/>
      </c>
      <c r="T28" t="str">
        <f t="shared" si="14"/>
        <v/>
      </c>
      <c r="U28" s="87" t="str">
        <f t="shared" si="15"/>
        <v/>
      </c>
      <c r="V28" t="str">
        <f t="shared" si="16"/>
        <v/>
      </c>
      <c r="W28" t="str">
        <f t="shared" si="17"/>
        <v/>
      </c>
      <c r="X28" t="str">
        <f t="shared" si="18"/>
        <v/>
      </c>
      <c r="Y28" t="str">
        <f t="shared" si="19"/>
        <v/>
      </c>
      <c r="Z28" t="str">
        <f t="shared" si="20"/>
        <v/>
      </c>
      <c r="AA28" t="str">
        <f t="shared" si="21"/>
        <v/>
      </c>
      <c r="AB28" t="str">
        <f t="shared" si="22"/>
        <v/>
      </c>
      <c r="AC28" t="str">
        <f t="shared" si="23"/>
        <v/>
      </c>
      <c r="AD28" t="str">
        <f t="shared" si="24"/>
        <v/>
      </c>
      <c r="AE28" t="str">
        <f t="shared" si="25"/>
        <v/>
      </c>
      <c r="AF28" t="str">
        <f t="shared" si="26"/>
        <v/>
      </c>
      <c r="AG28" s="87" t="str">
        <f t="shared" si="27"/>
        <v/>
      </c>
      <c r="AH28" t="str">
        <f t="shared" si="28"/>
        <v/>
      </c>
      <c r="AI28" t="str">
        <f t="shared" si="29"/>
        <v/>
      </c>
      <c r="AJ28" t="str">
        <f t="shared" si="30"/>
        <v/>
      </c>
      <c r="AK28" t="str">
        <f t="shared" si="31"/>
        <v/>
      </c>
      <c r="AL28" t="str">
        <f t="shared" si="32"/>
        <v/>
      </c>
      <c r="AM28" t="str">
        <f t="shared" si="33"/>
        <v/>
      </c>
      <c r="AN28" t="str">
        <f t="shared" si="34"/>
        <v/>
      </c>
      <c r="AO28" t="str">
        <f t="shared" si="35"/>
        <v/>
      </c>
      <c r="AP28" t="str">
        <f t="shared" si="36"/>
        <v/>
      </c>
      <c r="AQ28" t="str">
        <f t="shared" si="37"/>
        <v/>
      </c>
      <c r="AR28" t="str">
        <f t="shared" si="38"/>
        <v/>
      </c>
      <c r="AU28" s="78"/>
    </row>
    <row r="29" spans="2:52" x14ac:dyDescent="0.25">
      <c r="B29" s="91" t="str">
        <f t="shared" si="39"/>
        <v/>
      </c>
      <c r="C29" s="91">
        <f t="shared" si="40"/>
        <v>0</v>
      </c>
      <c r="D29" s="78" t="str">
        <f t="shared" si="42"/>
        <v/>
      </c>
      <c r="E29" s="5" t="str" cm="1">
        <f t="array" ref="E29">IF(AX29&lt;=0,"",INDEX(listRoot,AX29))</f>
        <v/>
      </c>
      <c r="F29" s="5" t="str" cm="1">
        <f t="array" ref="F29">IF(AY29&lt;=0.000000000001,"",INDEX(Lister!$C$4:$H$100,AY29,$AX29))</f>
        <v/>
      </c>
      <c r="G29" s="5" t="str" cm="1">
        <f t="array" ref="G29">IF(OR(AZ29=1,AZ29&lt;=0.000000000001),"",INDEX(Lister!$J$4:$O$100,AZ29,$AX29))</f>
        <v/>
      </c>
      <c r="H29" s="78" t="str">
        <f t="shared" si="2"/>
        <v/>
      </c>
      <c r="I29" t="str">
        <f t="shared" si="3"/>
        <v/>
      </c>
      <c r="J29" t="str">
        <f t="shared" si="4"/>
        <v/>
      </c>
      <c r="K29" t="str">
        <f t="shared" si="5"/>
        <v/>
      </c>
      <c r="L29" t="str">
        <f t="shared" si="6"/>
        <v/>
      </c>
      <c r="M29" t="str">
        <f t="shared" si="7"/>
        <v/>
      </c>
      <c r="N29" t="str">
        <f t="shared" si="8"/>
        <v/>
      </c>
      <c r="O29" t="str">
        <f t="shared" si="9"/>
        <v/>
      </c>
      <c r="P29" t="str">
        <f t="shared" si="10"/>
        <v/>
      </c>
      <c r="Q29" t="str">
        <f t="shared" si="11"/>
        <v/>
      </c>
      <c r="R29" t="str">
        <f t="shared" si="12"/>
        <v/>
      </c>
      <c r="S29" t="str">
        <f t="shared" si="13"/>
        <v/>
      </c>
      <c r="T29" t="str">
        <f t="shared" si="14"/>
        <v/>
      </c>
      <c r="U29" s="87" t="str">
        <f t="shared" si="15"/>
        <v/>
      </c>
      <c r="V29" t="str">
        <f t="shared" si="16"/>
        <v/>
      </c>
      <c r="W29" t="str">
        <f t="shared" si="17"/>
        <v/>
      </c>
      <c r="X29" t="str">
        <f t="shared" si="18"/>
        <v/>
      </c>
      <c r="Y29" t="str">
        <f t="shared" si="19"/>
        <v/>
      </c>
      <c r="Z29" t="str">
        <f t="shared" si="20"/>
        <v/>
      </c>
      <c r="AA29" t="str">
        <f t="shared" si="21"/>
        <v/>
      </c>
      <c r="AB29" t="str">
        <f t="shared" si="22"/>
        <v/>
      </c>
      <c r="AC29" t="str">
        <f t="shared" si="23"/>
        <v/>
      </c>
      <c r="AD29" t="str">
        <f t="shared" si="24"/>
        <v/>
      </c>
      <c r="AE29" t="str">
        <f t="shared" si="25"/>
        <v/>
      </c>
      <c r="AF29" t="str">
        <f t="shared" si="26"/>
        <v/>
      </c>
      <c r="AG29" s="87" t="str">
        <f t="shared" si="27"/>
        <v/>
      </c>
      <c r="AH29" t="str">
        <f t="shared" si="28"/>
        <v/>
      </c>
      <c r="AI29" t="str">
        <f t="shared" si="29"/>
        <v/>
      </c>
      <c r="AJ29" t="str">
        <f t="shared" si="30"/>
        <v/>
      </c>
      <c r="AK29" t="str">
        <f t="shared" si="31"/>
        <v/>
      </c>
      <c r="AL29" t="str">
        <f t="shared" si="32"/>
        <v/>
      </c>
      <c r="AM29" t="str">
        <f t="shared" si="33"/>
        <v/>
      </c>
      <c r="AN29" t="str">
        <f t="shared" si="34"/>
        <v/>
      </c>
      <c r="AO29" t="str">
        <f t="shared" si="35"/>
        <v/>
      </c>
      <c r="AP29" t="str">
        <f t="shared" si="36"/>
        <v/>
      </c>
      <c r="AQ29" t="str">
        <f t="shared" si="37"/>
        <v/>
      </c>
      <c r="AR29" t="str">
        <f t="shared" si="38"/>
        <v/>
      </c>
      <c r="AU29" s="78"/>
    </row>
    <row r="30" spans="2:52" x14ac:dyDescent="0.25">
      <c r="B30" s="91" t="str">
        <f t="shared" si="39"/>
        <v/>
      </c>
      <c r="C30" s="91">
        <f t="shared" si="40"/>
        <v>0</v>
      </c>
      <c r="D30" s="78" t="str">
        <f t="shared" si="42"/>
        <v/>
      </c>
      <c r="E30" s="5" t="str" cm="1">
        <f t="array" ref="E30">IF(AX30&lt;=0,"",INDEX(listRoot,AX30))</f>
        <v/>
      </c>
      <c r="F30" s="5" t="str" cm="1">
        <f t="array" ref="F30">IF(AY30&lt;=0.000000000001,"",INDEX(Lister!$C$4:$H$100,AY30,$AX30))</f>
        <v/>
      </c>
      <c r="G30" s="5" t="str" cm="1">
        <f t="array" ref="G30">IF(OR(AZ30=1,AZ30&lt;=0.000000000001),"",INDEX(Lister!$J$4:$O$100,AZ30,$AX30))</f>
        <v/>
      </c>
      <c r="H30" s="78" t="str">
        <f t="shared" si="2"/>
        <v/>
      </c>
      <c r="I30" t="str">
        <f t="shared" si="3"/>
        <v/>
      </c>
      <c r="J30" t="str">
        <f t="shared" si="4"/>
        <v/>
      </c>
      <c r="K30" t="str">
        <f t="shared" si="5"/>
        <v/>
      </c>
      <c r="L30" t="str">
        <f t="shared" si="6"/>
        <v/>
      </c>
      <c r="M30" t="str">
        <f t="shared" si="7"/>
        <v/>
      </c>
      <c r="N30" t="str">
        <f t="shared" si="8"/>
        <v/>
      </c>
      <c r="O30" t="str">
        <f t="shared" si="9"/>
        <v/>
      </c>
      <c r="P30" t="str">
        <f t="shared" si="10"/>
        <v/>
      </c>
      <c r="Q30" t="str">
        <f t="shared" si="11"/>
        <v/>
      </c>
      <c r="R30" t="str">
        <f t="shared" si="12"/>
        <v/>
      </c>
      <c r="S30" t="str">
        <f t="shared" si="13"/>
        <v/>
      </c>
      <c r="T30" t="str">
        <f t="shared" si="14"/>
        <v/>
      </c>
      <c r="U30" s="87" t="str">
        <f t="shared" si="15"/>
        <v/>
      </c>
      <c r="V30" t="str">
        <f t="shared" si="16"/>
        <v/>
      </c>
      <c r="W30" t="str">
        <f t="shared" si="17"/>
        <v/>
      </c>
      <c r="X30" t="str">
        <f t="shared" si="18"/>
        <v/>
      </c>
      <c r="Y30" t="str">
        <f t="shared" si="19"/>
        <v/>
      </c>
      <c r="Z30" t="str">
        <f t="shared" si="20"/>
        <v/>
      </c>
      <c r="AA30" t="str">
        <f t="shared" si="21"/>
        <v/>
      </c>
      <c r="AB30" t="str">
        <f t="shared" si="22"/>
        <v/>
      </c>
      <c r="AC30" t="str">
        <f t="shared" si="23"/>
        <v/>
      </c>
      <c r="AD30" t="str">
        <f t="shared" si="24"/>
        <v/>
      </c>
      <c r="AE30" t="str">
        <f t="shared" si="25"/>
        <v/>
      </c>
      <c r="AF30" t="str">
        <f t="shared" si="26"/>
        <v/>
      </c>
      <c r="AG30" s="87" t="str">
        <f t="shared" si="27"/>
        <v/>
      </c>
      <c r="AH30" t="str">
        <f t="shared" si="28"/>
        <v/>
      </c>
      <c r="AI30" t="str">
        <f t="shared" si="29"/>
        <v/>
      </c>
      <c r="AJ30" t="str">
        <f t="shared" si="30"/>
        <v/>
      </c>
      <c r="AK30" t="str">
        <f t="shared" si="31"/>
        <v/>
      </c>
      <c r="AL30" t="str">
        <f t="shared" si="32"/>
        <v/>
      </c>
      <c r="AM30" t="str">
        <f t="shared" si="33"/>
        <v/>
      </c>
      <c r="AN30" t="str">
        <f t="shared" si="34"/>
        <v/>
      </c>
      <c r="AO30" t="str">
        <f t="shared" si="35"/>
        <v/>
      </c>
      <c r="AP30" t="str">
        <f t="shared" si="36"/>
        <v/>
      </c>
      <c r="AQ30" t="str">
        <f t="shared" si="37"/>
        <v/>
      </c>
      <c r="AR30" t="str">
        <f t="shared" si="38"/>
        <v/>
      </c>
      <c r="AU30" s="78"/>
    </row>
    <row r="31" spans="2:52" x14ac:dyDescent="0.25">
      <c r="B31" s="91" t="str">
        <f t="shared" si="39"/>
        <v/>
      </c>
      <c r="C31" s="91">
        <f t="shared" si="40"/>
        <v>0</v>
      </c>
      <c r="D31" s="78" t="str">
        <f t="shared" si="42"/>
        <v/>
      </c>
      <c r="E31" s="5" t="str" cm="1">
        <f t="array" ref="E31">IF(AX31&lt;=0,"",INDEX(listRoot,AX31))</f>
        <v/>
      </c>
      <c r="F31" s="5" t="str" cm="1">
        <f t="array" ref="F31">IF(AY31&lt;=0.000000000001,"",INDEX(Lister!$C$4:$H$100,AY31,$AX31))</f>
        <v/>
      </c>
      <c r="G31" s="5" t="str" cm="1">
        <f t="array" ref="G31">IF(OR(AZ31=1,AZ31&lt;=0.000000000001),"",INDEX(Lister!$J$4:$O$100,AZ31,$AX31))</f>
        <v/>
      </c>
      <c r="H31" s="78" t="str">
        <f t="shared" si="2"/>
        <v/>
      </c>
      <c r="I31" t="str">
        <f t="shared" si="3"/>
        <v/>
      </c>
      <c r="J31" t="str">
        <f t="shared" si="4"/>
        <v/>
      </c>
      <c r="K31" t="str">
        <f t="shared" si="5"/>
        <v/>
      </c>
      <c r="L31" t="str">
        <f t="shared" si="6"/>
        <v/>
      </c>
      <c r="M31" t="str">
        <f t="shared" si="7"/>
        <v/>
      </c>
      <c r="N31" t="str">
        <f t="shared" si="8"/>
        <v/>
      </c>
      <c r="O31" t="str">
        <f t="shared" si="9"/>
        <v/>
      </c>
      <c r="P31" t="str">
        <f t="shared" si="10"/>
        <v/>
      </c>
      <c r="Q31" t="str">
        <f t="shared" si="11"/>
        <v/>
      </c>
      <c r="R31" t="str">
        <f t="shared" si="12"/>
        <v/>
      </c>
      <c r="S31" t="str">
        <f t="shared" si="13"/>
        <v/>
      </c>
      <c r="T31" t="str">
        <f t="shared" si="14"/>
        <v/>
      </c>
      <c r="U31" s="87" t="str">
        <f t="shared" si="15"/>
        <v/>
      </c>
      <c r="V31" t="str">
        <f t="shared" si="16"/>
        <v/>
      </c>
      <c r="W31" t="str">
        <f t="shared" si="17"/>
        <v/>
      </c>
      <c r="X31" t="str">
        <f t="shared" si="18"/>
        <v/>
      </c>
      <c r="Y31" t="str">
        <f t="shared" si="19"/>
        <v/>
      </c>
      <c r="Z31" t="str">
        <f t="shared" si="20"/>
        <v/>
      </c>
      <c r="AA31" t="str">
        <f t="shared" si="21"/>
        <v/>
      </c>
      <c r="AB31" t="str">
        <f t="shared" si="22"/>
        <v/>
      </c>
      <c r="AC31" t="str">
        <f t="shared" si="23"/>
        <v/>
      </c>
      <c r="AD31" t="str">
        <f t="shared" si="24"/>
        <v/>
      </c>
      <c r="AE31" t="str">
        <f t="shared" si="25"/>
        <v/>
      </c>
      <c r="AF31" t="str">
        <f t="shared" si="26"/>
        <v/>
      </c>
      <c r="AG31" s="87" t="str">
        <f t="shared" si="27"/>
        <v/>
      </c>
      <c r="AH31" t="str">
        <f t="shared" si="28"/>
        <v/>
      </c>
      <c r="AI31" t="str">
        <f t="shared" si="29"/>
        <v/>
      </c>
      <c r="AJ31" t="str">
        <f t="shared" si="30"/>
        <v/>
      </c>
      <c r="AK31" t="str">
        <f t="shared" si="31"/>
        <v/>
      </c>
      <c r="AL31" t="str">
        <f t="shared" si="32"/>
        <v/>
      </c>
      <c r="AM31" t="str">
        <f t="shared" si="33"/>
        <v/>
      </c>
      <c r="AN31" t="str">
        <f t="shared" si="34"/>
        <v/>
      </c>
      <c r="AO31" t="str">
        <f t="shared" si="35"/>
        <v/>
      </c>
      <c r="AP31" t="str">
        <f t="shared" si="36"/>
        <v/>
      </c>
      <c r="AQ31" t="str">
        <f t="shared" si="37"/>
        <v/>
      </c>
      <c r="AR31" t="str">
        <f t="shared" si="38"/>
        <v/>
      </c>
      <c r="AU31" s="78"/>
    </row>
    <row r="32" spans="2:52" x14ac:dyDescent="0.25">
      <c r="B32" s="91" t="str">
        <f t="shared" si="39"/>
        <v/>
      </c>
      <c r="C32" s="91">
        <f t="shared" si="40"/>
        <v>0</v>
      </c>
      <c r="D32" s="78" t="str">
        <f t="shared" si="42"/>
        <v/>
      </c>
      <c r="E32" s="5" t="str" cm="1">
        <f t="array" ref="E32">IF(AX32&lt;=0,"",INDEX(listRoot,AX32))</f>
        <v/>
      </c>
      <c r="F32" s="5" t="str" cm="1">
        <f t="array" ref="F32">IF(AY32&lt;=0.000000000001,"",INDEX(Lister!$C$4:$H$100,AY32,$AX32))</f>
        <v/>
      </c>
      <c r="G32" s="5" t="str" cm="1">
        <f t="array" ref="G32">IF(OR(AZ32=1,AZ32&lt;=0.000000000001),"",INDEX(Lister!$J$4:$O$100,AZ32,$AX32))</f>
        <v/>
      </c>
      <c r="H32" s="78" t="str">
        <f t="shared" si="2"/>
        <v/>
      </c>
      <c r="I32" t="str">
        <f t="shared" si="3"/>
        <v/>
      </c>
      <c r="J32" t="str">
        <f t="shared" si="4"/>
        <v/>
      </c>
      <c r="K32" t="str">
        <f t="shared" si="5"/>
        <v/>
      </c>
      <c r="L32" t="str">
        <f t="shared" si="6"/>
        <v/>
      </c>
      <c r="M32" t="str">
        <f t="shared" si="7"/>
        <v/>
      </c>
      <c r="N32" t="str">
        <f t="shared" si="8"/>
        <v/>
      </c>
      <c r="O32" t="str">
        <f t="shared" si="9"/>
        <v/>
      </c>
      <c r="P32" t="str">
        <f t="shared" si="10"/>
        <v/>
      </c>
      <c r="Q32" t="str">
        <f t="shared" si="11"/>
        <v/>
      </c>
      <c r="R32" t="str">
        <f t="shared" si="12"/>
        <v/>
      </c>
      <c r="S32" t="str">
        <f t="shared" si="13"/>
        <v/>
      </c>
      <c r="T32" t="str">
        <f t="shared" si="14"/>
        <v/>
      </c>
      <c r="U32" s="87" t="str">
        <f t="shared" si="15"/>
        <v/>
      </c>
      <c r="V32" t="str">
        <f t="shared" si="16"/>
        <v/>
      </c>
      <c r="W32" t="str">
        <f t="shared" si="17"/>
        <v/>
      </c>
      <c r="X32" t="str">
        <f t="shared" si="18"/>
        <v/>
      </c>
      <c r="Y32" t="str">
        <f t="shared" si="19"/>
        <v/>
      </c>
      <c r="Z32" t="str">
        <f t="shared" si="20"/>
        <v/>
      </c>
      <c r="AA32" t="str">
        <f t="shared" si="21"/>
        <v/>
      </c>
      <c r="AB32" t="str">
        <f t="shared" si="22"/>
        <v/>
      </c>
      <c r="AC32" t="str">
        <f t="shared" si="23"/>
        <v/>
      </c>
      <c r="AD32" t="str">
        <f t="shared" si="24"/>
        <v/>
      </c>
      <c r="AE32" t="str">
        <f t="shared" si="25"/>
        <v/>
      </c>
      <c r="AF32" t="str">
        <f t="shared" si="26"/>
        <v/>
      </c>
      <c r="AG32" s="87" t="str">
        <f t="shared" si="27"/>
        <v/>
      </c>
      <c r="AH32" t="str">
        <f t="shared" si="28"/>
        <v/>
      </c>
      <c r="AI32" t="str">
        <f t="shared" si="29"/>
        <v/>
      </c>
      <c r="AJ32" t="str">
        <f t="shared" si="30"/>
        <v/>
      </c>
      <c r="AK32" t="str">
        <f t="shared" si="31"/>
        <v/>
      </c>
      <c r="AL32" t="str">
        <f t="shared" si="32"/>
        <v/>
      </c>
      <c r="AM32" t="str">
        <f t="shared" si="33"/>
        <v/>
      </c>
      <c r="AN32" t="str">
        <f t="shared" si="34"/>
        <v/>
      </c>
      <c r="AO32" t="str">
        <f t="shared" si="35"/>
        <v/>
      </c>
      <c r="AP32" t="str">
        <f t="shared" si="36"/>
        <v/>
      </c>
      <c r="AQ32" t="str">
        <f t="shared" si="37"/>
        <v/>
      </c>
      <c r="AR32" t="str">
        <f t="shared" si="38"/>
        <v/>
      </c>
      <c r="AU32" s="78"/>
    </row>
    <row r="33" spans="2:47" x14ac:dyDescent="0.25">
      <c r="B33" s="91" t="str">
        <f t="shared" si="39"/>
        <v/>
      </c>
      <c r="C33" s="91">
        <f t="shared" si="40"/>
        <v>0</v>
      </c>
      <c r="D33" s="78" t="str">
        <f t="shared" si="42"/>
        <v/>
      </c>
      <c r="E33" s="5" t="str" cm="1">
        <f t="array" ref="E33">IF(AX33&lt;=0,"",INDEX(listRoot,AX33))</f>
        <v/>
      </c>
      <c r="F33" s="5" t="str" cm="1">
        <f t="array" ref="F33">IF(AY33&lt;=0.000000000001,"",INDEX(Lister!$C$4:$H$100,AY33,$AX33))</f>
        <v/>
      </c>
      <c r="G33" s="5" t="str" cm="1">
        <f t="array" ref="G33">IF(OR(AZ33=1,AZ33&lt;=0.000000000001),"",INDEX(Lister!$J$4:$O$100,AZ33,$AX33))</f>
        <v/>
      </c>
      <c r="H33" s="78" t="str">
        <f t="shared" si="2"/>
        <v/>
      </c>
      <c r="I33" t="str">
        <f t="shared" si="3"/>
        <v/>
      </c>
      <c r="J33" t="str">
        <f t="shared" si="4"/>
        <v/>
      </c>
      <c r="K33" t="str">
        <f t="shared" si="5"/>
        <v/>
      </c>
      <c r="L33" t="str">
        <f t="shared" si="6"/>
        <v/>
      </c>
      <c r="M33" t="str">
        <f t="shared" si="7"/>
        <v/>
      </c>
      <c r="N33" t="str">
        <f t="shared" si="8"/>
        <v/>
      </c>
      <c r="O33" t="str">
        <f t="shared" si="9"/>
        <v/>
      </c>
      <c r="P33" t="str">
        <f t="shared" si="10"/>
        <v/>
      </c>
      <c r="Q33" t="str">
        <f t="shared" si="11"/>
        <v/>
      </c>
      <c r="R33" t="str">
        <f t="shared" si="12"/>
        <v/>
      </c>
      <c r="S33" t="str">
        <f t="shared" si="13"/>
        <v/>
      </c>
      <c r="T33" t="str">
        <f t="shared" si="14"/>
        <v/>
      </c>
      <c r="U33" s="87" t="str">
        <f t="shared" si="15"/>
        <v/>
      </c>
      <c r="V33" t="str">
        <f t="shared" si="16"/>
        <v/>
      </c>
      <c r="W33" t="str">
        <f t="shared" si="17"/>
        <v/>
      </c>
      <c r="X33" t="str">
        <f t="shared" si="18"/>
        <v/>
      </c>
      <c r="Y33" t="str">
        <f t="shared" si="19"/>
        <v/>
      </c>
      <c r="Z33" t="str">
        <f t="shared" si="20"/>
        <v/>
      </c>
      <c r="AA33" t="str">
        <f t="shared" si="21"/>
        <v/>
      </c>
      <c r="AB33" t="str">
        <f t="shared" si="22"/>
        <v/>
      </c>
      <c r="AC33" t="str">
        <f t="shared" si="23"/>
        <v/>
      </c>
      <c r="AD33" t="str">
        <f t="shared" si="24"/>
        <v/>
      </c>
      <c r="AE33" t="str">
        <f t="shared" si="25"/>
        <v/>
      </c>
      <c r="AF33" t="str">
        <f t="shared" si="26"/>
        <v/>
      </c>
      <c r="AG33" s="87" t="str">
        <f t="shared" si="27"/>
        <v/>
      </c>
      <c r="AH33" t="str">
        <f t="shared" si="28"/>
        <v/>
      </c>
      <c r="AI33" t="str">
        <f t="shared" si="29"/>
        <v/>
      </c>
      <c r="AJ33" t="str">
        <f t="shared" si="30"/>
        <v/>
      </c>
      <c r="AK33" t="str">
        <f t="shared" si="31"/>
        <v/>
      </c>
      <c r="AL33" t="str">
        <f t="shared" si="32"/>
        <v/>
      </c>
      <c r="AM33" t="str">
        <f t="shared" si="33"/>
        <v/>
      </c>
      <c r="AN33" t="str">
        <f t="shared" si="34"/>
        <v/>
      </c>
      <c r="AO33" t="str">
        <f t="shared" si="35"/>
        <v/>
      </c>
      <c r="AP33" t="str">
        <f t="shared" si="36"/>
        <v/>
      </c>
      <c r="AQ33" t="str">
        <f t="shared" si="37"/>
        <v/>
      </c>
      <c r="AR33" t="str">
        <f t="shared" si="38"/>
        <v/>
      </c>
      <c r="AU33" s="78"/>
    </row>
    <row r="34" spans="2:47" x14ac:dyDescent="0.25">
      <c r="B34" s="91" t="str">
        <f t="shared" si="39"/>
        <v/>
      </c>
      <c r="C34" s="91">
        <f t="shared" si="40"/>
        <v>0</v>
      </c>
      <c r="D34" s="78" t="str">
        <f t="shared" si="42"/>
        <v/>
      </c>
      <c r="E34" s="5" t="str" cm="1">
        <f t="array" ref="E34">IF(AX34&lt;=0,"",INDEX(listRoot,AX34))</f>
        <v/>
      </c>
      <c r="F34" s="5" t="str" cm="1">
        <f t="array" ref="F34">IF(AY34&lt;=0.000000000001,"",INDEX(Lister!$C$4:$H$100,AY34,$AX34))</f>
        <v/>
      </c>
      <c r="G34" s="5" t="str" cm="1">
        <f t="array" ref="G34">IF(OR(AZ34=1,AZ34&lt;=0.000000000001),"",INDEX(Lister!$J$4:$O$100,AZ34,$AX34))</f>
        <v/>
      </c>
      <c r="H34" s="78" t="str">
        <f t="shared" si="2"/>
        <v/>
      </c>
      <c r="I34" t="str">
        <f t="shared" si="3"/>
        <v/>
      </c>
      <c r="J34" t="str">
        <f t="shared" si="4"/>
        <v/>
      </c>
      <c r="K34" t="str">
        <f t="shared" si="5"/>
        <v/>
      </c>
      <c r="L34" t="str">
        <f t="shared" si="6"/>
        <v/>
      </c>
      <c r="M34" t="str">
        <f t="shared" si="7"/>
        <v/>
      </c>
      <c r="N34" t="str">
        <f t="shared" si="8"/>
        <v/>
      </c>
      <c r="O34" t="str">
        <f t="shared" si="9"/>
        <v/>
      </c>
      <c r="P34" t="str">
        <f t="shared" si="10"/>
        <v/>
      </c>
      <c r="Q34" t="str">
        <f t="shared" si="11"/>
        <v/>
      </c>
      <c r="R34" t="str">
        <f t="shared" si="12"/>
        <v/>
      </c>
      <c r="S34" t="str">
        <f t="shared" si="13"/>
        <v/>
      </c>
      <c r="T34" t="str">
        <f t="shared" si="14"/>
        <v/>
      </c>
      <c r="U34" s="87" t="str">
        <f t="shared" si="15"/>
        <v/>
      </c>
      <c r="V34" t="str">
        <f t="shared" si="16"/>
        <v/>
      </c>
      <c r="W34" t="str">
        <f t="shared" si="17"/>
        <v/>
      </c>
      <c r="X34" t="str">
        <f t="shared" si="18"/>
        <v/>
      </c>
      <c r="Y34" t="str">
        <f t="shared" si="19"/>
        <v/>
      </c>
      <c r="Z34" t="str">
        <f t="shared" si="20"/>
        <v/>
      </c>
      <c r="AA34" t="str">
        <f t="shared" si="21"/>
        <v/>
      </c>
      <c r="AB34" t="str">
        <f t="shared" si="22"/>
        <v/>
      </c>
      <c r="AC34" t="str">
        <f t="shared" si="23"/>
        <v/>
      </c>
      <c r="AD34" t="str">
        <f t="shared" si="24"/>
        <v/>
      </c>
      <c r="AE34" t="str">
        <f t="shared" si="25"/>
        <v/>
      </c>
      <c r="AF34" t="str">
        <f t="shared" si="26"/>
        <v/>
      </c>
      <c r="AG34" s="87" t="str">
        <f t="shared" si="27"/>
        <v/>
      </c>
      <c r="AH34" t="str">
        <f t="shared" si="28"/>
        <v/>
      </c>
      <c r="AI34" t="str">
        <f t="shared" si="29"/>
        <v/>
      </c>
      <c r="AJ34" t="str">
        <f t="shared" si="30"/>
        <v/>
      </c>
      <c r="AK34" t="str">
        <f t="shared" si="31"/>
        <v/>
      </c>
      <c r="AL34" t="str">
        <f t="shared" si="32"/>
        <v/>
      </c>
      <c r="AM34" t="str">
        <f t="shared" si="33"/>
        <v/>
      </c>
      <c r="AN34" t="str">
        <f t="shared" si="34"/>
        <v/>
      </c>
      <c r="AO34" t="str">
        <f t="shared" si="35"/>
        <v/>
      </c>
      <c r="AP34" t="str">
        <f t="shared" si="36"/>
        <v/>
      </c>
      <c r="AQ34" t="str">
        <f t="shared" si="37"/>
        <v/>
      </c>
      <c r="AR34" t="str">
        <f t="shared" si="38"/>
        <v/>
      </c>
      <c r="AU34" s="78"/>
    </row>
    <row r="35" spans="2:47" x14ac:dyDescent="0.25">
      <c r="B35" s="91" t="str">
        <f t="shared" si="39"/>
        <v/>
      </c>
      <c r="C35" s="91">
        <f t="shared" si="40"/>
        <v>0</v>
      </c>
      <c r="D35" s="78" t="str">
        <f t="shared" si="42"/>
        <v/>
      </c>
      <c r="E35" s="5" t="str" cm="1">
        <f t="array" ref="E35">IF(AX35&lt;=0,"",INDEX(listRoot,AX35))</f>
        <v/>
      </c>
      <c r="F35" s="5" t="str" cm="1">
        <f t="array" ref="F35">IF(AY35&lt;=0.000000000001,"",INDEX(Lister!$C$4:$H$100,AY35,$AX35))</f>
        <v/>
      </c>
      <c r="G35" s="5" t="str" cm="1">
        <f t="array" ref="G35">IF(OR(AZ35=1,AZ35&lt;=0.000000000001),"",INDEX(Lister!$J$4:$O$100,AZ35,$AX35))</f>
        <v/>
      </c>
      <c r="H35" s="78" t="str">
        <f t="shared" si="2"/>
        <v/>
      </c>
      <c r="I35" t="str">
        <f t="shared" si="3"/>
        <v/>
      </c>
      <c r="J35" t="str">
        <f t="shared" si="4"/>
        <v/>
      </c>
      <c r="K35" t="str">
        <f t="shared" si="5"/>
        <v/>
      </c>
      <c r="L35" t="str">
        <f t="shared" si="6"/>
        <v/>
      </c>
      <c r="M35" t="str">
        <f t="shared" si="7"/>
        <v/>
      </c>
      <c r="N35" t="str">
        <f t="shared" si="8"/>
        <v/>
      </c>
      <c r="O35" t="str">
        <f t="shared" si="9"/>
        <v/>
      </c>
      <c r="P35" t="str">
        <f t="shared" si="10"/>
        <v/>
      </c>
      <c r="Q35" t="str">
        <f t="shared" si="11"/>
        <v/>
      </c>
      <c r="R35" t="str">
        <f t="shared" si="12"/>
        <v/>
      </c>
      <c r="S35" t="str">
        <f t="shared" si="13"/>
        <v/>
      </c>
      <c r="T35" t="str">
        <f t="shared" si="14"/>
        <v/>
      </c>
      <c r="U35" s="87" t="str">
        <f t="shared" si="15"/>
        <v/>
      </c>
      <c r="V35" t="str">
        <f t="shared" si="16"/>
        <v/>
      </c>
      <c r="W35" t="str">
        <f t="shared" si="17"/>
        <v/>
      </c>
      <c r="X35" t="str">
        <f t="shared" si="18"/>
        <v/>
      </c>
      <c r="Y35" t="str">
        <f t="shared" si="19"/>
        <v/>
      </c>
      <c r="Z35" t="str">
        <f t="shared" si="20"/>
        <v/>
      </c>
      <c r="AA35" t="str">
        <f t="shared" si="21"/>
        <v/>
      </c>
      <c r="AB35" t="str">
        <f t="shared" si="22"/>
        <v/>
      </c>
      <c r="AC35" t="str">
        <f t="shared" si="23"/>
        <v/>
      </c>
      <c r="AD35" t="str">
        <f t="shared" si="24"/>
        <v/>
      </c>
      <c r="AE35" t="str">
        <f t="shared" si="25"/>
        <v/>
      </c>
      <c r="AF35" t="str">
        <f t="shared" si="26"/>
        <v/>
      </c>
      <c r="AG35" s="87" t="str">
        <f t="shared" si="27"/>
        <v/>
      </c>
      <c r="AH35" t="str">
        <f t="shared" si="28"/>
        <v/>
      </c>
      <c r="AI35" t="str">
        <f t="shared" si="29"/>
        <v/>
      </c>
      <c r="AJ35" t="str">
        <f t="shared" si="30"/>
        <v/>
      </c>
      <c r="AK35" t="str">
        <f t="shared" si="31"/>
        <v/>
      </c>
      <c r="AL35" t="str">
        <f t="shared" si="32"/>
        <v/>
      </c>
      <c r="AM35" t="str">
        <f t="shared" si="33"/>
        <v/>
      </c>
      <c r="AN35" t="str">
        <f t="shared" si="34"/>
        <v/>
      </c>
      <c r="AO35" t="str">
        <f t="shared" si="35"/>
        <v/>
      </c>
      <c r="AP35" t="str">
        <f t="shared" si="36"/>
        <v/>
      </c>
      <c r="AQ35" t="str">
        <f t="shared" si="37"/>
        <v/>
      </c>
      <c r="AR35" t="str">
        <f t="shared" si="38"/>
        <v/>
      </c>
      <c r="AU35" s="78"/>
    </row>
    <row r="36" spans="2:47" x14ac:dyDescent="0.25">
      <c r="B36" s="91" t="str">
        <f t="shared" si="39"/>
        <v/>
      </c>
      <c r="C36" s="91">
        <f t="shared" si="40"/>
        <v>0</v>
      </c>
      <c r="D36" s="78" t="str">
        <f t="shared" si="42"/>
        <v/>
      </c>
      <c r="E36" s="5" t="str" cm="1">
        <f t="array" ref="E36">IF(AX36&lt;=0,"",INDEX(listRoot,AX36))</f>
        <v/>
      </c>
      <c r="F36" s="5" t="str" cm="1">
        <f t="array" ref="F36">IF(AY36&lt;=0.000000000001,"",INDEX(Lister!$C$4:$H$100,AY36,$AX36))</f>
        <v/>
      </c>
      <c r="G36" s="5" t="str" cm="1">
        <f t="array" ref="G36">IF(OR(AZ36=1,AZ36&lt;=0.000000000001),"",INDEX(Lister!$J$4:$O$100,AZ36,$AX36))</f>
        <v/>
      </c>
      <c r="H36" s="78" t="str">
        <f t="shared" si="2"/>
        <v/>
      </c>
      <c r="I36" t="str">
        <f t="shared" si="3"/>
        <v/>
      </c>
      <c r="J36" t="str">
        <f t="shared" si="4"/>
        <v/>
      </c>
      <c r="K36" t="str">
        <f t="shared" si="5"/>
        <v/>
      </c>
      <c r="L36" t="str">
        <f t="shared" si="6"/>
        <v/>
      </c>
      <c r="M36" t="str">
        <f t="shared" si="7"/>
        <v/>
      </c>
      <c r="N36" t="str">
        <f t="shared" si="8"/>
        <v/>
      </c>
      <c r="O36" t="str">
        <f t="shared" si="9"/>
        <v/>
      </c>
      <c r="P36" t="str">
        <f t="shared" si="10"/>
        <v/>
      </c>
      <c r="Q36" t="str">
        <f t="shared" si="11"/>
        <v/>
      </c>
      <c r="R36" t="str">
        <f t="shared" si="12"/>
        <v/>
      </c>
      <c r="S36" t="str">
        <f t="shared" si="13"/>
        <v/>
      </c>
      <c r="T36" t="str">
        <f t="shared" si="14"/>
        <v/>
      </c>
      <c r="U36" s="87" t="str">
        <f t="shared" si="15"/>
        <v/>
      </c>
      <c r="V36" t="str">
        <f t="shared" si="16"/>
        <v/>
      </c>
      <c r="W36" t="str">
        <f t="shared" si="17"/>
        <v/>
      </c>
      <c r="X36" t="str">
        <f t="shared" si="18"/>
        <v/>
      </c>
      <c r="Y36" t="str">
        <f t="shared" si="19"/>
        <v/>
      </c>
      <c r="Z36" t="str">
        <f t="shared" si="20"/>
        <v/>
      </c>
      <c r="AA36" t="str">
        <f t="shared" si="21"/>
        <v/>
      </c>
      <c r="AB36" t="str">
        <f t="shared" si="22"/>
        <v/>
      </c>
      <c r="AC36" t="str">
        <f t="shared" si="23"/>
        <v/>
      </c>
      <c r="AD36" t="str">
        <f t="shared" si="24"/>
        <v/>
      </c>
      <c r="AE36" t="str">
        <f t="shared" si="25"/>
        <v/>
      </c>
      <c r="AF36" t="str">
        <f t="shared" si="26"/>
        <v/>
      </c>
      <c r="AG36" s="87" t="str">
        <f t="shared" si="27"/>
        <v/>
      </c>
      <c r="AH36" t="str">
        <f t="shared" si="28"/>
        <v/>
      </c>
      <c r="AI36" t="str">
        <f t="shared" si="29"/>
        <v/>
      </c>
      <c r="AJ36" t="str">
        <f t="shared" si="30"/>
        <v/>
      </c>
      <c r="AK36" t="str">
        <f t="shared" si="31"/>
        <v/>
      </c>
      <c r="AL36" t="str">
        <f t="shared" si="32"/>
        <v/>
      </c>
      <c r="AM36" t="str">
        <f t="shared" si="33"/>
        <v/>
      </c>
      <c r="AN36" t="str">
        <f t="shared" si="34"/>
        <v/>
      </c>
      <c r="AO36" t="str">
        <f t="shared" si="35"/>
        <v/>
      </c>
      <c r="AP36" t="str">
        <f t="shared" si="36"/>
        <v/>
      </c>
      <c r="AQ36" t="str">
        <f t="shared" si="37"/>
        <v/>
      </c>
      <c r="AR36" t="str">
        <f t="shared" si="38"/>
        <v/>
      </c>
      <c r="AU36" s="78"/>
    </row>
    <row r="37" spans="2:47" x14ac:dyDescent="0.25">
      <c r="B37" s="91" t="str">
        <f t="shared" si="39"/>
        <v/>
      </c>
      <c r="C37" s="91">
        <f t="shared" si="40"/>
        <v>0</v>
      </c>
      <c r="D37" s="78" t="str">
        <f t="shared" si="42"/>
        <v/>
      </c>
      <c r="E37" s="5" t="str" cm="1">
        <f t="array" ref="E37">IF(AX37&lt;=0,"",INDEX(listRoot,AX37))</f>
        <v/>
      </c>
      <c r="F37" s="5" t="str" cm="1">
        <f t="array" ref="F37">IF(AY37&lt;=0.000000000001,"",INDEX(Lister!$C$4:$H$100,AY37,$AX37))</f>
        <v/>
      </c>
      <c r="G37" s="5" t="str" cm="1">
        <f t="array" ref="G37">IF(OR(AZ37=1,AZ37&lt;=0.000000000001),"",INDEX(Lister!$J$4:$O$100,AZ37,$AX37))</f>
        <v/>
      </c>
      <c r="H37" s="78" t="str">
        <f t="shared" si="2"/>
        <v/>
      </c>
      <c r="I37" t="str">
        <f t="shared" si="3"/>
        <v/>
      </c>
      <c r="J37" t="str">
        <f t="shared" si="4"/>
        <v/>
      </c>
      <c r="K37" t="str">
        <f t="shared" si="5"/>
        <v/>
      </c>
      <c r="L37" t="str">
        <f t="shared" si="6"/>
        <v/>
      </c>
      <c r="M37" t="str">
        <f t="shared" si="7"/>
        <v/>
      </c>
      <c r="N37" t="str">
        <f t="shared" si="8"/>
        <v/>
      </c>
      <c r="O37" t="str">
        <f t="shared" si="9"/>
        <v/>
      </c>
      <c r="P37" t="str">
        <f t="shared" si="10"/>
        <v/>
      </c>
      <c r="Q37" t="str">
        <f t="shared" si="11"/>
        <v/>
      </c>
      <c r="R37" t="str">
        <f t="shared" si="12"/>
        <v/>
      </c>
      <c r="S37" t="str">
        <f t="shared" si="13"/>
        <v/>
      </c>
      <c r="T37" t="str">
        <f t="shared" si="14"/>
        <v/>
      </c>
      <c r="U37" s="87" t="str">
        <f t="shared" si="15"/>
        <v/>
      </c>
      <c r="V37" t="str">
        <f t="shared" si="16"/>
        <v/>
      </c>
      <c r="W37" t="str">
        <f t="shared" si="17"/>
        <v/>
      </c>
      <c r="X37" t="str">
        <f t="shared" si="18"/>
        <v/>
      </c>
      <c r="Y37" t="str">
        <f t="shared" si="19"/>
        <v/>
      </c>
      <c r="Z37" t="str">
        <f t="shared" si="20"/>
        <v/>
      </c>
      <c r="AA37" t="str">
        <f t="shared" si="21"/>
        <v/>
      </c>
      <c r="AB37" t="str">
        <f t="shared" si="22"/>
        <v/>
      </c>
      <c r="AC37" t="str">
        <f t="shared" si="23"/>
        <v/>
      </c>
      <c r="AD37" t="str">
        <f t="shared" si="24"/>
        <v/>
      </c>
      <c r="AE37" t="str">
        <f t="shared" si="25"/>
        <v/>
      </c>
      <c r="AF37" t="str">
        <f t="shared" si="26"/>
        <v/>
      </c>
      <c r="AG37" s="87" t="str">
        <f t="shared" si="27"/>
        <v/>
      </c>
      <c r="AH37" t="str">
        <f t="shared" si="28"/>
        <v/>
      </c>
      <c r="AI37" t="str">
        <f t="shared" si="29"/>
        <v/>
      </c>
      <c r="AJ37" t="str">
        <f t="shared" si="30"/>
        <v/>
      </c>
      <c r="AK37" t="str">
        <f t="shared" si="31"/>
        <v/>
      </c>
      <c r="AL37" t="str">
        <f t="shared" si="32"/>
        <v/>
      </c>
      <c r="AM37" t="str">
        <f t="shared" si="33"/>
        <v/>
      </c>
      <c r="AN37" t="str">
        <f t="shared" si="34"/>
        <v/>
      </c>
      <c r="AO37" t="str">
        <f t="shared" si="35"/>
        <v/>
      </c>
      <c r="AP37" t="str">
        <f t="shared" si="36"/>
        <v/>
      </c>
      <c r="AQ37" t="str">
        <f t="shared" si="37"/>
        <v/>
      </c>
      <c r="AR37" t="str">
        <f t="shared" si="38"/>
        <v/>
      </c>
      <c r="AU37" s="78"/>
    </row>
    <row r="38" spans="2:47" x14ac:dyDescent="0.25">
      <c r="B38" s="91" t="str">
        <f t="shared" si="39"/>
        <v/>
      </c>
      <c r="C38" s="91">
        <f t="shared" si="40"/>
        <v>0</v>
      </c>
      <c r="D38" s="78" t="str">
        <f t="shared" si="42"/>
        <v/>
      </c>
      <c r="E38" s="5" t="str" cm="1">
        <f t="array" ref="E38">IF(AX38&lt;=0,"",INDEX(listRoot,AX38))</f>
        <v/>
      </c>
      <c r="F38" s="5" t="str" cm="1">
        <f t="array" ref="F38">IF(AY38&lt;=0.000000000001,"",INDEX(Lister!$C$4:$H$100,AY38,$AX38))</f>
        <v/>
      </c>
      <c r="G38" s="5" t="str" cm="1">
        <f t="array" ref="G38">IF(OR(AZ38=1,AZ38&lt;=0.000000000001),"",INDEX(Lister!$J$4:$O$100,AZ38,$AX38))</f>
        <v/>
      </c>
      <c r="H38" s="78" t="str">
        <f t="shared" si="2"/>
        <v/>
      </c>
      <c r="I38" t="str">
        <f t="shared" si="3"/>
        <v/>
      </c>
      <c r="J38" t="str">
        <f t="shared" si="4"/>
        <v/>
      </c>
      <c r="K38" t="str">
        <f t="shared" si="5"/>
        <v/>
      </c>
      <c r="L38" t="str">
        <f t="shared" si="6"/>
        <v/>
      </c>
      <c r="M38" t="str">
        <f t="shared" si="7"/>
        <v/>
      </c>
      <c r="N38" t="str">
        <f t="shared" si="8"/>
        <v/>
      </c>
      <c r="O38" t="str">
        <f t="shared" si="9"/>
        <v/>
      </c>
      <c r="P38" t="str">
        <f t="shared" si="10"/>
        <v/>
      </c>
      <c r="Q38" t="str">
        <f t="shared" si="11"/>
        <v/>
      </c>
      <c r="R38" t="str">
        <f t="shared" si="12"/>
        <v/>
      </c>
      <c r="S38" t="str">
        <f t="shared" si="13"/>
        <v/>
      </c>
      <c r="T38" t="str">
        <f t="shared" si="14"/>
        <v/>
      </c>
      <c r="U38" s="87" t="str">
        <f t="shared" si="15"/>
        <v/>
      </c>
      <c r="V38" t="str">
        <f t="shared" si="16"/>
        <v/>
      </c>
      <c r="W38" t="str">
        <f t="shared" si="17"/>
        <v/>
      </c>
      <c r="X38" t="str">
        <f t="shared" si="18"/>
        <v/>
      </c>
      <c r="Y38" t="str">
        <f t="shared" si="19"/>
        <v/>
      </c>
      <c r="Z38" t="str">
        <f t="shared" si="20"/>
        <v/>
      </c>
      <c r="AA38" t="str">
        <f t="shared" si="21"/>
        <v/>
      </c>
      <c r="AB38" t="str">
        <f t="shared" si="22"/>
        <v/>
      </c>
      <c r="AC38" t="str">
        <f t="shared" si="23"/>
        <v/>
      </c>
      <c r="AD38" t="str">
        <f t="shared" si="24"/>
        <v/>
      </c>
      <c r="AE38" t="str">
        <f t="shared" si="25"/>
        <v/>
      </c>
      <c r="AF38" t="str">
        <f t="shared" si="26"/>
        <v/>
      </c>
      <c r="AG38" s="87" t="str">
        <f t="shared" si="27"/>
        <v/>
      </c>
      <c r="AH38" t="str">
        <f t="shared" si="28"/>
        <v/>
      </c>
      <c r="AI38" t="str">
        <f t="shared" si="29"/>
        <v/>
      </c>
      <c r="AJ38" t="str">
        <f t="shared" si="30"/>
        <v/>
      </c>
      <c r="AK38" t="str">
        <f t="shared" si="31"/>
        <v/>
      </c>
      <c r="AL38" t="str">
        <f t="shared" si="32"/>
        <v/>
      </c>
      <c r="AM38" t="str">
        <f t="shared" si="33"/>
        <v/>
      </c>
      <c r="AN38" t="str">
        <f t="shared" si="34"/>
        <v/>
      </c>
      <c r="AO38" t="str">
        <f t="shared" si="35"/>
        <v/>
      </c>
      <c r="AP38" t="str">
        <f t="shared" si="36"/>
        <v/>
      </c>
      <c r="AQ38" t="str">
        <f t="shared" si="37"/>
        <v/>
      </c>
      <c r="AR38" t="str">
        <f t="shared" si="38"/>
        <v/>
      </c>
      <c r="AU38" s="78"/>
    </row>
    <row r="39" spans="2:47" x14ac:dyDescent="0.25">
      <c r="B39" s="91" t="str">
        <f t="shared" si="39"/>
        <v/>
      </c>
      <c r="C39" s="91">
        <f t="shared" si="40"/>
        <v>0</v>
      </c>
      <c r="D39" s="78" t="str">
        <f t="shared" si="42"/>
        <v/>
      </c>
      <c r="E39" s="5" t="str" cm="1">
        <f t="array" ref="E39">IF(AX39&lt;=0,"",INDEX(listRoot,AX39))</f>
        <v/>
      </c>
      <c r="F39" s="5" t="str" cm="1">
        <f t="array" ref="F39">IF(AY39&lt;=0.000000000001,"",INDEX(Lister!$C$4:$H$100,AY39,$AX39))</f>
        <v/>
      </c>
      <c r="G39" s="5" t="str" cm="1">
        <f t="array" ref="G39">IF(OR(AZ39=1,AZ39&lt;=0.000000000001),"",INDEX(Lister!$J$4:$O$100,AZ39,$AX39))</f>
        <v/>
      </c>
      <c r="H39" s="78" t="str">
        <f t="shared" si="2"/>
        <v/>
      </c>
      <c r="I39" t="str">
        <f t="shared" si="3"/>
        <v/>
      </c>
      <c r="J39" t="str">
        <f t="shared" si="4"/>
        <v/>
      </c>
      <c r="K39" t="str">
        <f t="shared" si="5"/>
        <v/>
      </c>
      <c r="L39" t="str">
        <f t="shared" si="6"/>
        <v/>
      </c>
      <c r="M39" t="str">
        <f t="shared" si="7"/>
        <v/>
      </c>
      <c r="N39" t="str">
        <f t="shared" si="8"/>
        <v/>
      </c>
      <c r="O39" t="str">
        <f t="shared" si="9"/>
        <v/>
      </c>
      <c r="P39" t="str">
        <f t="shared" si="10"/>
        <v/>
      </c>
      <c r="Q39" t="str">
        <f t="shared" si="11"/>
        <v/>
      </c>
      <c r="R39" t="str">
        <f t="shared" si="12"/>
        <v/>
      </c>
      <c r="S39" t="str">
        <f t="shared" si="13"/>
        <v/>
      </c>
      <c r="T39" t="str">
        <f t="shared" si="14"/>
        <v/>
      </c>
      <c r="U39" s="87" t="str">
        <f t="shared" si="15"/>
        <v/>
      </c>
      <c r="V39" t="str">
        <f t="shared" si="16"/>
        <v/>
      </c>
      <c r="W39" t="str">
        <f t="shared" si="17"/>
        <v/>
      </c>
      <c r="X39" t="str">
        <f t="shared" si="18"/>
        <v/>
      </c>
      <c r="Y39" t="str">
        <f t="shared" si="19"/>
        <v/>
      </c>
      <c r="Z39" t="str">
        <f t="shared" si="20"/>
        <v/>
      </c>
      <c r="AA39" t="str">
        <f t="shared" si="21"/>
        <v/>
      </c>
      <c r="AB39" t="str">
        <f t="shared" si="22"/>
        <v/>
      </c>
      <c r="AC39" t="str">
        <f t="shared" si="23"/>
        <v/>
      </c>
      <c r="AD39" t="str">
        <f t="shared" si="24"/>
        <v/>
      </c>
      <c r="AE39" t="str">
        <f t="shared" si="25"/>
        <v/>
      </c>
      <c r="AF39" t="str">
        <f t="shared" si="26"/>
        <v/>
      </c>
      <c r="AG39" s="87" t="str">
        <f t="shared" si="27"/>
        <v/>
      </c>
      <c r="AH39" t="str">
        <f t="shared" si="28"/>
        <v/>
      </c>
      <c r="AI39" t="str">
        <f t="shared" si="29"/>
        <v/>
      </c>
      <c r="AJ39" t="str">
        <f t="shared" si="30"/>
        <v/>
      </c>
      <c r="AK39" t="str">
        <f t="shared" si="31"/>
        <v/>
      </c>
      <c r="AL39" t="str">
        <f t="shared" si="32"/>
        <v/>
      </c>
      <c r="AM39" t="str">
        <f t="shared" si="33"/>
        <v/>
      </c>
      <c r="AN39" t="str">
        <f t="shared" si="34"/>
        <v/>
      </c>
      <c r="AO39" t="str">
        <f t="shared" si="35"/>
        <v/>
      </c>
      <c r="AP39" t="str">
        <f t="shared" si="36"/>
        <v/>
      </c>
      <c r="AQ39" t="str">
        <f t="shared" si="37"/>
        <v/>
      </c>
      <c r="AR39" t="str">
        <f t="shared" si="38"/>
        <v/>
      </c>
      <c r="AU39" s="78"/>
    </row>
    <row r="40" spans="2:47" x14ac:dyDescent="0.25">
      <c r="B40" s="91" t="str">
        <f t="shared" si="39"/>
        <v/>
      </c>
      <c r="C40" s="91">
        <f t="shared" si="40"/>
        <v>0</v>
      </c>
      <c r="D40" s="78" t="str">
        <f t="shared" si="42"/>
        <v/>
      </c>
      <c r="E40" s="5" t="str" cm="1">
        <f t="array" ref="E40">IF(AX40&lt;=0,"",INDEX(listRoot,AX40))</f>
        <v/>
      </c>
      <c r="F40" s="5" t="str" cm="1">
        <f t="array" ref="F40">IF(AY40&lt;=0.000000000001,"",INDEX(Lister!$C$4:$H$100,AY40,$AX40))</f>
        <v/>
      </c>
      <c r="G40" s="5" t="str" cm="1">
        <f t="array" ref="G40">IF(OR(AZ40=1,AZ40&lt;=0.000000000001),"",INDEX(Lister!$J$4:$O$100,AZ40,$AX40))</f>
        <v/>
      </c>
      <c r="H40" s="78" t="str">
        <f t="shared" si="2"/>
        <v/>
      </c>
      <c r="I40" t="str">
        <f t="shared" si="3"/>
        <v/>
      </c>
      <c r="J40" t="str">
        <f t="shared" si="4"/>
        <v/>
      </c>
      <c r="K40" t="str">
        <f t="shared" si="5"/>
        <v/>
      </c>
      <c r="L40" t="str">
        <f t="shared" si="6"/>
        <v/>
      </c>
      <c r="M40" t="str">
        <f t="shared" si="7"/>
        <v/>
      </c>
      <c r="N40" t="str">
        <f t="shared" si="8"/>
        <v/>
      </c>
      <c r="O40" t="str">
        <f t="shared" si="9"/>
        <v/>
      </c>
      <c r="P40" t="str">
        <f t="shared" si="10"/>
        <v/>
      </c>
      <c r="Q40" t="str">
        <f t="shared" si="11"/>
        <v/>
      </c>
      <c r="R40" t="str">
        <f t="shared" si="12"/>
        <v/>
      </c>
      <c r="S40" t="str">
        <f t="shared" si="13"/>
        <v/>
      </c>
      <c r="T40" t="str">
        <f t="shared" si="14"/>
        <v/>
      </c>
      <c r="U40" s="87" t="str">
        <f t="shared" si="15"/>
        <v/>
      </c>
      <c r="V40" t="str">
        <f t="shared" si="16"/>
        <v/>
      </c>
      <c r="W40" t="str">
        <f t="shared" si="17"/>
        <v/>
      </c>
      <c r="X40" t="str">
        <f t="shared" si="18"/>
        <v/>
      </c>
      <c r="Y40" t="str">
        <f t="shared" si="19"/>
        <v/>
      </c>
      <c r="Z40" t="str">
        <f t="shared" si="20"/>
        <v/>
      </c>
      <c r="AA40" t="str">
        <f t="shared" si="21"/>
        <v/>
      </c>
      <c r="AB40" t="str">
        <f t="shared" si="22"/>
        <v/>
      </c>
      <c r="AC40" t="str">
        <f t="shared" si="23"/>
        <v/>
      </c>
      <c r="AD40" t="str">
        <f t="shared" si="24"/>
        <v/>
      </c>
      <c r="AE40" t="str">
        <f t="shared" si="25"/>
        <v/>
      </c>
      <c r="AF40" t="str">
        <f t="shared" si="26"/>
        <v/>
      </c>
      <c r="AG40" s="87" t="str">
        <f t="shared" si="27"/>
        <v/>
      </c>
      <c r="AH40" t="str">
        <f t="shared" si="28"/>
        <v/>
      </c>
      <c r="AI40" t="str">
        <f t="shared" si="29"/>
        <v/>
      </c>
      <c r="AJ40" t="str">
        <f t="shared" si="30"/>
        <v/>
      </c>
      <c r="AK40" t="str">
        <f t="shared" si="31"/>
        <v/>
      </c>
      <c r="AL40" t="str">
        <f t="shared" si="32"/>
        <v/>
      </c>
      <c r="AM40" t="str">
        <f t="shared" si="33"/>
        <v/>
      </c>
      <c r="AN40" t="str">
        <f t="shared" si="34"/>
        <v/>
      </c>
      <c r="AO40" t="str">
        <f t="shared" si="35"/>
        <v/>
      </c>
      <c r="AP40" t="str">
        <f t="shared" si="36"/>
        <v/>
      </c>
      <c r="AQ40" t="str">
        <f t="shared" si="37"/>
        <v/>
      </c>
      <c r="AR40" t="str">
        <f t="shared" si="38"/>
        <v/>
      </c>
      <c r="AU40" s="78"/>
    </row>
    <row r="41" spans="2:47" x14ac:dyDescent="0.25">
      <c r="B41" s="91" t="str">
        <f t="shared" si="39"/>
        <v/>
      </c>
      <c r="C41" s="91">
        <f t="shared" si="40"/>
        <v>0</v>
      </c>
      <c r="D41" s="78" t="str">
        <f t="shared" si="42"/>
        <v/>
      </c>
      <c r="E41" s="5" t="str" cm="1">
        <f t="array" ref="E41">IF(AX41&lt;=0,"",INDEX(listRoot,AX41))</f>
        <v/>
      </c>
      <c r="F41" s="5" t="str" cm="1">
        <f t="array" ref="F41">IF(AY41&lt;=0.000000000001,"",INDEX(Lister!$C$4:$H$100,AY41,$AX41))</f>
        <v/>
      </c>
      <c r="G41" s="5" t="str" cm="1">
        <f t="array" ref="G41">IF(OR(AZ41=1,AZ41&lt;=0.000000000001),"",INDEX(Lister!$J$4:$O$100,AZ41,$AX41))</f>
        <v/>
      </c>
      <c r="H41" s="78" t="str">
        <f t="shared" si="2"/>
        <v/>
      </c>
      <c r="I41" t="str">
        <f t="shared" si="3"/>
        <v/>
      </c>
      <c r="J41" t="str">
        <f t="shared" si="4"/>
        <v/>
      </c>
      <c r="K41" t="str">
        <f t="shared" si="5"/>
        <v/>
      </c>
      <c r="L41" t="str">
        <f t="shared" si="6"/>
        <v/>
      </c>
      <c r="M41" t="str">
        <f t="shared" si="7"/>
        <v/>
      </c>
      <c r="N41" t="str">
        <f t="shared" si="8"/>
        <v/>
      </c>
      <c r="O41" t="str">
        <f t="shared" si="9"/>
        <v/>
      </c>
      <c r="P41" t="str">
        <f t="shared" si="10"/>
        <v/>
      </c>
      <c r="Q41" t="str">
        <f t="shared" si="11"/>
        <v/>
      </c>
      <c r="R41" t="str">
        <f t="shared" si="12"/>
        <v/>
      </c>
      <c r="S41" t="str">
        <f t="shared" si="13"/>
        <v/>
      </c>
      <c r="T41" t="str">
        <f t="shared" si="14"/>
        <v/>
      </c>
      <c r="U41" s="87" t="str">
        <f t="shared" si="15"/>
        <v/>
      </c>
      <c r="V41" t="str">
        <f t="shared" si="16"/>
        <v/>
      </c>
      <c r="W41" t="str">
        <f t="shared" si="17"/>
        <v/>
      </c>
      <c r="X41" t="str">
        <f t="shared" si="18"/>
        <v/>
      </c>
      <c r="Y41" t="str">
        <f t="shared" si="19"/>
        <v/>
      </c>
      <c r="Z41" t="str">
        <f t="shared" si="20"/>
        <v/>
      </c>
      <c r="AA41" t="str">
        <f t="shared" si="21"/>
        <v/>
      </c>
      <c r="AB41" t="str">
        <f t="shared" si="22"/>
        <v/>
      </c>
      <c r="AC41" t="str">
        <f t="shared" si="23"/>
        <v/>
      </c>
      <c r="AD41" t="str">
        <f t="shared" si="24"/>
        <v/>
      </c>
      <c r="AE41" t="str">
        <f t="shared" si="25"/>
        <v/>
      </c>
      <c r="AF41" t="str">
        <f t="shared" si="26"/>
        <v/>
      </c>
      <c r="AG41" s="87" t="str">
        <f t="shared" si="27"/>
        <v/>
      </c>
      <c r="AH41" t="str">
        <f t="shared" si="28"/>
        <v/>
      </c>
      <c r="AI41" t="str">
        <f t="shared" si="29"/>
        <v/>
      </c>
      <c r="AJ41" t="str">
        <f t="shared" si="30"/>
        <v/>
      </c>
      <c r="AK41" t="str">
        <f t="shared" si="31"/>
        <v/>
      </c>
      <c r="AL41" t="str">
        <f t="shared" si="32"/>
        <v/>
      </c>
      <c r="AM41" t="str">
        <f t="shared" si="33"/>
        <v/>
      </c>
      <c r="AN41" t="str">
        <f t="shared" si="34"/>
        <v/>
      </c>
      <c r="AO41" t="str">
        <f t="shared" si="35"/>
        <v/>
      </c>
      <c r="AP41" t="str">
        <f t="shared" si="36"/>
        <v/>
      </c>
      <c r="AQ41" t="str">
        <f t="shared" si="37"/>
        <v/>
      </c>
      <c r="AR41" t="str">
        <f t="shared" si="38"/>
        <v/>
      </c>
      <c r="AU41" s="78"/>
    </row>
    <row r="42" spans="2:47" x14ac:dyDescent="0.25">
      <c r="B42" s="91" t="str">
        <f t="shared" si="39"/>
        <v/>
      </c>
      <c r="C42" s="91">
        <f t="shared" si="40"/>
        <v>0</v>
      </c>
      <c r="D42" s="78" t="str">
        <f t="shared" si="42"/>
        <v/>
      </c>
      <c r="E42" s="5" t="str" cm="1">
        <f t="array" ref="E42">IF(AX42&lt;=0,"",INDEX(listRoot,AX42))</f>
        <v/>
      </c>
      <c r="F42" s="5" t="str" cm="1">
        <f t="array" ref="F42">IF(AY42&lt;=0.000000000001,"",INDEX(Lister!$C$4:$H$100,AY42,$AX42))</f>
        <v/>
      </c>
      <c r="G42" s="5" t="str" cm="1">
        <f t="array" ref="G42">IF(OR(AZ42=1,AZ42&lt;=0.000000000001),"",INDEX(Lister!$J$4:$O$100,AZ42,$AX42))</f>
        <v/>
      </c>
      <c r="H42" s="78" t="str">
        <f t="shared" si="2"/>
        <v/>
      </c>
      <c r="I42" t="str">
        <f t="shared" si="3"/>
        <v/>
      </c>
      <c r="J42" t="str">
        <f t="shared" si="4"/>
        <v/>
      </c>
      <c r="K42" t="str">
        <f t="shared" si="5"/>
        <v/>
      </c>
      <c r="L42" t="str">
        <f t="shared" si="6"/>
        <v/>
      </c>
      <c r="M42" t="str">
        <f t="shared" si="7"/>
        <v/>
      </c>
      <c r="N42" t="str">
        <f t="shared" si="8"/>
        <v/>
      </c>
      <c r="O42" t="str">
        <f t="shared" si="9"/>
        <v/>
      </c>
      <c r="P42" t="str">
        <f t="shared" si="10"/>
        <v/>
      </c>
      <c r="Q42" t="str">
        <f t="shared" si="11"/>
        <v/>
      </c>
      <c r="R42" t="str">
        <f t="shared" si="12"/>
        <v/>
      </c>
      <c r="S42" t="str">
        <f t="shared" si="13"/>
        <v/>
      </c>
      <c r="T42" t="str">
        <f t="shared" si="14"/>
        <v/>
      </c>
      <c r="U42" s="87" t="str">
        <f t="shared" si="15"/>
        <v/>
      </c>
      <c r="V42" t="str">
        <f t="shared" si="16"/>
        <v/>
      </c>
      <c r="W42" t="str">
        <f t="shared" si="17"/>
        <v/>
      </c>
      <c r="X42" t="str">
        <f t="shared" si="18"/>
        <v/>
      </c>
      <c r="Y42" t="str">
        <f t="shared" si="19"/>
        <v/>
      </c>
      <c r="Z42" t="str">
        <f t="shared" si="20"/>
        <v/>
      </c>
      <c r="AA42" t="str">
        <f t="shared" si="21"/>
        <v/>
      </c>
      <c r="AB42" t="str">
        <f t="shared" si="22"/>
        <v/>
      </c>
      <c r="AC42" t="str">
        <f t="shared" si="23"/>
        <v/>
      </c>
      <c r="AD42" t="str">
        <f t="shared" si="24"/>
        <v/>
      </c>
      <c r="AE42" t="str">
        <f t="shared" si="25"/>
        <v/>
      </c>
      <c r="AF42" t="str">
        <f t="shared" si="26"/>
        <v/>
      </c>
      <c r="AG42" s="87" t="str">
        <f t="shared" si="27"/>
        <v/>
      </c>
      <c r="AH42" t="str">
        <f t="shared" si="28"/>
        <v/>
      </c>
      <c r="AI42" t="str">
        <f t="shared" si="29"/>
        <v/>
      </c>
      <c r="AJ42" t="str">
        <f t="shared" si="30"/>
        <v/>
      </c>
      <c r="AK42" t="str">
        <f t="shared" si="31"/>
        <v/>
      </c>
      <c r="AL42" t="str">
        <f t="shared" si="32"/>
        <v/>
      </c>
      <c r="AM42" t="str">
        <f t="shared" si="33"/>
        <v/>
      </c>
      <c r="AN42" t="str">
        <f t="shared" si="34"/>
        <v/>
      </c>
      <c r="AO42" t="str">
        <f t="shared" si="35"/>
        <v/>
      </c>
      <c r="AP42" t="str">
        <f t="shared" si="36"/>
        <v/>
      </c>
      <c r="AQ42" t="str">
        <f t="shared" si="37"/>
        <v/>
      </c>
      <c r="AR42" t="str">
        <f t="shared" si="38"/>
        <v/>
      </c>
      <c r="AU42" s="78"/>
    </row>
    <row r="43" spans="2:47" x14ac:dyDescent="0.25">
      <c r="C43" t="str">
        <f t="shared" ref="C43:C45" si="43">IF(ISBLANK(AV43),"",AV43)</f>
        <v/>
      </c>
      <c r="D43" t="str">
        <f t="shared" si="42"/>
        <v/>
      </c>
      <c r="U43" s="87"/>
      <c r="AG43" s="87"/>
      <c r="AU43" s="78"/>
    </row>
    <row r="44" spans="2:47" x14ac:dyDescent="0.25">
      <c r="B44" s="91" t="str">
        <f t="shared" si="39"/>
        <v/>
      </c>
      <c r="C44" t="str">
        <f t="shared" si="43"/>
        <v/>
      </c>
      <c r="D44" t="str">
        <f t="shared" si="42"/>
        <v/>
      </c>
      <c r="U44" s="87"/>
      <c r="AG44" s="87"/>
      <c r="AU44" s="78"/>
    </row>
    <row r="45" spans="2:47" x14ac:dyDescent="0.25">
      <c r="B45" s="91" t="str">
        <f t="shared" si="39"/>
        <v/>
      </c>
      <c r="C45" t="str">
        <f t="shared" si="43"/>
        <v/>
      </c>
      <c r="D45" t="str">
        <f t="shared" si="42"/>
        <v/>
      </c>
      <c r="U45" s="87"/>
      <c r="AG45" s="87"/>
      <c r="AU45" s="78"/>
    </row>
    <row r="46" spans="2:47" x14ac:dyDescent="0.25">
      <c r="U46" s="87"/>
      <c r="AG46" s="87"/>
      <c r="AU46" s="78"/>
    </row>
    <row r="47" spans="2:47" x14ac:dyDescent="0.25">
      <c r="U47" s="87"/>
      <c r="AG47" s="87"/>
      <c r="AU47" s="78"/>
    </row>
    <row r="48" spans="2:47" x14ac:dyDescent="0.25">
      <c r="U48" s="87"/>
      <c r="AG48" s="87"/>
      <c r="AU48" s="78"/>
    </row>
    <row r="49" spans="21:47" x14ac:dyDescent="0.25">
      <c r="U49" s="87"/>
      <c r="AG49" s="87"/>
      <c r="AU49" s="78"/>
    </row>
    <row r="50" spans="21:47" x14ac:dyDescent="0.25">
      <c r="U50" s="87"/>
      <c r="AG50" s="87"/>
      <c r="AU50" s="78"/>
    </row>
    <row r="51" spans="21:47" x14ac:dyDescent="0.25">
      <c r="U51" s="87"/>
      <c r="AG51" s="87"/>
      <c r="AU51" s="78"/>
    </row>
    <row r="52" spans="21:47" x14ac:dyDescent="0.25">
      <c r="U52" s="87"/>
      <c r="AG52" s="87"/>
      <c r="AU52" s="78"/>
    </row>
    <row r="53" spans="21:47" x14ac:dyDescent="0.25">
      <c r="U53" s="87"/>
      <c r="AG53" s="87"/>
      <c r="AU53" s="78"/>
    </row>
    <row r="54" spans="21:47" x14ac:dyDescent="0.25">
      <c r="U54" s="87"/>
      <c r="AG54" s="87"/>
      <c r="AU54" s="78"/>
    </row>
  </sheetData>
  <phoneticPr fontId="5" type="noConversion"/>
  <conditionalFormatting sqref="C6:C42 E6:H42">
    <cfRule type="cellIs" dxfId="131" priority="22" operator="equal">
      <formula>NaN</formula>
    </cfRule>
  </conditionalFormatting>
  <conditionalFormatting sqref="B6:C42 B44:B45">
    <cfRule type="cellIs" dxfId="130" priority="21" operator="between">
      <formula>-0.000000000001</formula>
      <formula>0.000000000001</formula>
    </cfRule>
  </conditionalFormatting>
  <conditionalFormatting sqref="D6:D42">
    <cfRule type="colorScale" priority="20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C6:C42">
    <cfRule type="cellIs" dxfId="129" priority="16" operator="greaterThan">
      <formula>0.5</formula>
    </cfRule>
  </conditionalFormatting>
  <conditionalFormatting sqref="AV6:AV17">
    <cfRule type="cellIs" dxfId="128" priority="15" operator="equal">
      <formula>NaN</formula>
    </cfRule>
  </conditionalFormatting>
  <conditionalFormatting sqref="AV6:AV42">
    <cfRule type="cellIs" dxfId="127" priority="14" operator="lessThan">
      <formula>0.000000000001</formula>
    </cfRule>
  </conditionalFormatting>
  <conditionalFormatting sqref="AV6:AV42">
    <cfRule type="cellIs" dxfId="126" priority="13" operator="greaterThan">
      <formula>0.5</formula>
    </cfRule>
  </conditionalFormatting>
  <conditionalFormatting sqref="AX6:AX42">
    <cfRule type="colorScale" priority="12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AY6:AY42">
    <cfRule type="colorScale" priority="11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AZ6:AZ42">
    <cfRule type="colorScale" priority="10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AW6:AW42">
    <cfRule type="colorScale" priority="7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BA6:BA42">
    <cfRule type="cellIs" dxfId="125" priority="6" operator="equal">
      <formula>NaN</formula>
    </cfRule>
  </conditionalFormatting>
  <conditionalFormatting sqref="I5:AR5">
    <cfRule type="expression" dxfId="124" priority="4">
      <formula>OR(I4&lt;PerStart2,I4&gt;PerSlut2)</formula>
    </cfRule>
  </conditionalFormatting>
  <conditionalFormatting sqref="AU6:AU42">
    <cfRule type="cellIs" dxfId="123" priority="3" operator="equal">
      <formula>NaN</formula>
    </cfRule>
  </conditionalFormatting>
  <conditionalFormatting sqref="B6:B42 H6:H42">
    <cfRule type="expression" dxfId="122" priority="1">
      <formula>AND($C6&lt;&gt;0,$AU6&lt;&gt;NotANumber)</formula>
    </cfRule>
  </conditionalFormatting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xr2:uid="{9CA41CF0-003B-45E6-9451-291CFA166BA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ScenInput!I6:AR6</xm:f>
              <xm:sqref>A6</xm:sqref>
            </x14:sparkline>
            <x14:sparkline>
              <xm:f>ScenInput!I7:AR7</xm:f>
              <xm:sqref>A7</xm:sqref>
            </x14:sparkline>
            <x14:sparkline>
              <xm:f>ScenInput!I8:AR8</xm:f>
              <xm:sqref>A8</xm:sqref>
            </x14:sparkline>
            <x14:sparkline>
              <xm:f>ScenInput!I9:AR9</xm:f>
              <xm:sqref>A9</xm:sqref>
            </x14:sparkline>
            <x14:sparkline>
              <xm:f>ScenInput!I10:AR10</xm:f>
              <xm:sqref>A10</xm:sqref>
            </x14:sparkline>
            <x14:sparkline>
              <xm:f>ScenInput!I11:AR11</xm:f>
              <xm:sqref>A11</xm:sqref>
            </x14:sparkline>
            <x14:sparkline>
              <xm:f>ScenInput!I12:AR12</xm:f>
              <xm:sqref>A12</xm:sqref>
            </x14:sparkline>
            <x14:sparkline>
              <xm:f>ScenInput!I13:AR13</xm:f>
              <xm:sqref>A13</xm:sqref>
            </x14:sparkline>
            <x14:sparkline>
              <xm:f>ScenInput!I14:AR14</xm:f>
              <xm:sqref>A14</xm:sqref>
            </x14:sparkline>
            <x14:sparkline>
              <xm:f>ScenInput!I15:AR15</xm:f>
              <xm:sqref>A15</xm:sqref>
            </x14:sparkline>
            <x14:sparkline>
              <xm:f>ScenInput!I16:AR16</xm:f>
              <xm:sqref>A16</xm:sqref>
            </x14:sparkline>
            <x14:sparkline>
              <xm:f>ScenInput!I17:AR17</xm:f>
              <xm:sqref>A17</xm:sqref>
            </x14:sparkline>
            <x14:sparkline>
              <xm:f>ScenInput!I18:AR18</xm:f>
              <xm:sqref>A18</xm:sqref>
            </x14:sparkline>
            <x14:sparkline>
              <xm:f>ScenInput!I19:AR19</xm:f>
              <xm:sqref>A19</xm:sqref>
            </x14:sparkline>
            <x14:sparkline>
              <xm:f>ScenInput!I20:AR20</xm:f>
              <xm:sqref>A20</xm:sqref>
            </x14:sparkline>
            <x14:sparkline>
              <xm:f>ScenInput!I21:AR21</xm:f>
              <xm:sqref>A21</xm:sqref>
            </x14:sparkline>
            <x14:sparkline>
              <xm:f>ScenInput!I22:AR22</xm:f>
              <xm:sqref>A22</xm:sqref>
            </x14:sparkline>
            <x14:sparkline>
              <xm:f>ScenInput!I23:AR23</xm:f>
              <xm:sqref>A23</xm:sqref>
            </x14:sparkline>
            <x14:sparkline>
              <xm:f>ScenInput!I24:AR24</xm:f>
              <xm:sqref>A24</xm:sqref>
            </x14:sparkline>
            <x14:sparkline>
              <xm:f>ScenInput!I25:AR25</xm:f>
              <xm:sqref>A25</xm:sqref>
            </x14:sparkline>
            <x14:sparkline>
              <xm:f>ScenInput!I26:AR26</xm:f>
              <xm:sqref>A26</xm:sqref>
            </x14:sparkline>
            <x14:sparkline>
              <xm:f>ScenInput!I27:AR27</xm:f>
              <xm:sqref>A27</xm:sqref>
            </x14:sparkline>
            <x14:sparkline>
              <xm:f>ScenInput!I28:AR28</xm:f>
              <xm:sqref>A28</xm:sqref>
            </x14:sparkline>
            <x14:sparkline>
              <xm:f>ScenInput!I29:AR29</xm:f>
              <xm:sqref>A29</xm:sqref>
            </x14:sparkline>
            <x14:sparkline>
              <xm:f>ScenInput!I30:AR30</xm:f>
              <xm:sqref>A30</xm:sqref>
            </x14:sparkline>
            <x14:sparkline>
              <xm:f>ScenInput!I31:AR31</xm:f>
              <xm:sqref>A31</xm:sqref>
            </x14:sparkline>
            <x14:sparkline>
              <xm:f>ScenInput!I32:AR32</xm:f>
              <xm:sqref>A32</xm:sqref>
            </x14:sparkline>
            <x14:sparkline>
              <xm:f>ScenInput!I33:AR33</xm:f>
              <xm:sqref>A33</xm:sqref>
            </x14:sparkline>
            <x14:sparkline>
              <xm:f>ScenInput!I34:AR34</xm:f>
              <xm:sqref>A34</xm:sqref>
            </x14:sparkline>
            <x14:sparkline>
              <xm:f>ScenInput!I35:AR35</xm:f>
              <xm:sqref>A35</xm:sqref>
            </x14:sparkline>
            <x14:sparkline>
              <xm:f>ScenInput!I36:AR36</xm:f>
              <xm:sqref>A36</xm:sqref>
            </x14:sparkline>
            <x14:sparkline>
              <xm:f>ScenInput!I37:AR37</xm:f>
              <xm:sqref>A37</xm:sqref>
            </x14:sparkline>
            <x14:sparkline>
              <xm:f>ScenInput!I38:AR38</xm:f>
              <xm:sqref>A38</xm:sqref>
            </x14:sparkline>
            <x14:sparkline>
              <xm:f>ScenInput!I39:AR39</xm:f>
              <xm:sqref>A39</xm:sqref>
            </x14:sparkline>
            <x14:sparkline>
              <xm:f>ScenInput!I40:AR40</xm:f>
              <xm:sqref>A40</xm:sqref>
            </x14:sparkline>
            <x14:sparkline>
              <xm:f>ScenInput!I41:AR41</xm:f>
              <xm:sqref>A41</xm:sqref>
            </x14:sparkline>
            <x14:sparkline>
              <xm:f>ScenInput!I42:AR42</xm:f>
              <xm:sqref>A42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74745-1B14-41C3-9396-BB0150FBA63C}">
  <sheetPr codeName="Sheet3">
    <tabColor theme="4"/>
  </sheetPr>
  <dimension ref="A1:AB208"/>
  <sheetViews>
    <sheetView tabSelected="1" zoomScale="85" zoomScaleNormal="85" workbookViewId="0">
      <pane xSplit="3" ySplit="3" topLeftCell="D4" activePane="bottomRight" state="frozen"/>
      <selection pane="topRight" activeCell="D1" sqref="D1"/>
      <selection pane="bottomLeft" activeCell="A6" sqref="A6"/>
      <selection pane="bottomRight" activeCell="C3" sqref="C3"/>
    </sheetView>
  </sheetViews>
  <sheetFormatPr defaultRowHeight="15" outlineLevelRow="1" outlineLevelCol="1" x14ac:dyDescent="0.25"/>
  <cols>
    <col min="1" max="1" width="41.28515625" bestFit="1" customWidth="1"/>
    <col min="2" max="2" width="13.85546875" style="5" bestFit="1" customWidth="1"/>
    <col min="3" max="3" width="34.140625" bestFit="1" customWidth="1"/>
    <col min="4" max="27" width="10.7109375" customWidth="1" outlineLevel="1"/>
    <col min="28" max="29" width="9.7109375" customWidth="1"/>
  </cols>
  <sheetData>
    <row r="1" spans="1:27" x14ac:dyDescent="0.25">
      <c r="A1" s="1" t="s">
        <v>0</v>
      </c>
      <c r="B1" s="44">
        <v>0</v>
      </c>
      <c r="C1" s="58">
        <v>44626.840855995368</v>
      </c>
      <c r="D1" s="37"/>
      <c r="E1" s="38"/>
      <c r="F1" s="38"/>
      <c r="G1" s="39"/>
      <c r="H1" s="39"/>
      <c r="I1" s="39"/>
      <c r="J1" s="43" t="str">
        <f>IF($B$1&gt;0,"Virtuelle ressourcer er blevet brugt","")</f>
        <v/>
      </c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</row>
    <row r="2" spans="1:27" s="35" customFormat="1" x14ac:dyDescent="0.25">
      <c r="A2" s="2" t="s">
        <v>1</v>
      </c>
      <c r="B2" s="3">
        <v>44562</v>
      </c>
      <c r="C2" s="4">
        <v>44896</v>
      </c>
      <c r="D2" s="118" t="s">
        <v>164</v>
      </c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</row>
    <row r="3" spans="1:27" x14ac:dyDescent="0.25">
      <c r="C3" s="83"/>
      <c r="D3" s="117" t="s">
        <v>154</v>
      </c>
      <c r="E3" s="77" t="s">
        <v>155</v>
      </c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</row>
    <row r="4" spans="1:27" s="20" customFormat="1" ht="18.75" x14ac:dyDescent="0.3">
      <c r="A4" s="73"/>
      <c r="B4" s="33" t="s">
        <v>3</v>
      </c>
      <c r="C4" s="33" t="s">
        <v>83</v>
      </c>
      <c r="D4" s="32" t="s">
        <v>138</v>
      </c>
      <c r="E4" s="32" t="s">
        <v>160</v>
      </c>
      <c r="F4" s="32" t="s">
        <v>161</v>
      </c>
      <c r="G4" s="32" t="s">
        <v>162</v>
      </c>
      <c r="H4" s="32" t="s">
        <v>163</v>
      </c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</row>
    <row r="5" spans="1:27" outlineLevel="1" x14ac:dyDescent="0.25">
      <c r="A5" s="74"/>
      <c r="B5" s="12"/>
      <c r="C5" s="9" t="s">
        <v>0</v>
      </c>
      <c r="D5" s="36">
        <v>0.84059755787166068</v>
      </c>
      <c r="E5" s="36">
        <v>0.84066804398025852</v>
      </c>
      <c r="F5" s="36">
        <v>0.84073076389177004</v>
      </c>
      <c r="G5" s="36">
        <v>0.84079263888997957</v>
      </c>
      <c r="H5" s="36">
        <v>0.84083171296515502</v>
      </c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</row>
    <row r="6" spans="1:27" outlineLevel="1" x14ac:dyDescent="0.25">
      <c r="A6" s="74" t="str">
        <f t="shared" ref="A6:A54" si="0">IF(B6="Enhed",C6,IF(NOT(ISBLANK(C6)),$C$4&amp;"."&amp;C6,""))</f>
        <v>Nøgletal.FJV-behov</v>
      </c>
      <c r="B6" s="8" t="s">
        <v>4</v>
      </c>
      <c r="C6" s="9" t="s">
        <v>5</v>
      </c>
      <c r="D6" s="7">
        <v>240000</v>
      </c>
      <c r="E6" s="7">
        <v>240000</v>
      </c>
      <c r="F6" s="7">
        <v>240000</v>
      </c>
      <c r="G6" s="7">
        <v>240000</v>
      </c>
      <c r="H6" s="7">
        <v>240000</v>
      </c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</row>
    <row r="7" spans="1:27" outlineLevel="1" x14ac:dyDescent="0.25">
      <c r="A7" s="74" t="str">
        <f t="shared" si="0"/>
        <v>Nøgletal.Total-NPV</v>
      </c>
      <c r="B7" s="12" t="s">
        <v>2</v>
      </c>
      <c r="C7" s="9" t="s">
        <v>78</v>
      </c>
      <c r="D7" s="11">
        <v>-4735993.0075881798</v>
      </c>
      <c r="E7" s="11">
        <v>8514782.8851147164</v>
      </c>
      <c r="F7" s="11">
        <v>-8048689.6269045705</v>
      </c>
      <c r="G7" s="11">
        <v>-24612162.117484078</v>
      </c>
      <c r="H7" s="11">
        <v>-40866749.277262025</v>
      </c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</row>
    <row r="8" spans="1:27" outlineLevel="1" x14ac:dyDescent="0.25">
      <c r="A8" s="59" t="str">
        <f t="shared" si="0"/>
        <v>Nøgletal.Total-Var-VPO</v>
      </c>
      <c r="B8" s="8" t="s">
        <v>6</v>
      </c>
      <c r="C8" s="9" t="s">
        <v>151</v>
      </c>
      <c r="D8" s="10">
        <v>-131.53495718932865</v>
      </c>
      <c r="E8" s="10">
        <v>-907.29506472028856</v>
      </c>
      <c r="F8" s="10">
        <v>59.698205509039752</v>
      </c>
      <c r="G8" s="10">
        <v>1038.4752624912098</v>
      </c>
      <c r="H8" s="10">
        <v>1978.4603033913399</v>
      </c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</row>
    <row r="9" spans="1:27" outlineLevel="1" x14ac:dyDescent="0.25">
      <c r="A9" s="62" t="str">
        <f t="shared" si="0"/>
        <v>Nøgletal.REFA-NPV</v>
      </c>
      <c r="B9" s="12" t="s">
        <v>2</v>
      </c>
      <c r="C9" s="13" t="s">
        <v>79</v>
      </c>
      <c r="D9" s="11">
        <v>-2638093.0075881798</v>
      </c>
      <c r="E9" s="11">
        <v>10612682.885114716</v>
      </c>
      <c r="F9" s="11">
        <v>-5950789.6269045705</v>
      </c>
      <c r="G9" s="11">
        <v>-22514262.117484078</v>
      </c>
      <c r="H9" s="11">
        <v>-38768849.277262025</v>
      </c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</row>
    <row r="10" spans="1:27" outlineLevel="1" x14ac:dyDescent="0.25">
      <c r="A10" s="59" t="str">
        <f t="shared" ref="A10" si="1">IF(B10="Enhed",C10,IF(NOT(ISBLANK(C10)),$C$4&amp;"."&amp;C10,""))</f>
        <v>Nøgletal.REFA-Var-VPO-Total</v>
      </c>
      <c r="B10" s="8" t="s">
        <v>6</v>
      </c>
      <c r="C10" s="13" t="s">
        <v>152</v>
      </c>
      <c r="D10" s="10">
        <v>-182.2991942074822</v>
      </c>
      <c r="E10" s="10">
        <v>-975.47572749742994</v>
      </c>
      <c r="F10" s="10">
        <v>13.126485635826064</v>
      </c>
      <c r="G10" s="10">
        <v>1013.7617886165634</v>
      </c>
      <c r="H10" s="10">
        <v>1975.3557725875207</v>
      </c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</row>
    <row r="11" spans="1:27" outlineLevel="1" x14ac:dyDescent="0.25">
      <c r="A11" s="59" t="str">
        <f t="shared" si="0"/>
        <v>Nøgletal.REFA-Var-VPO-Affald</v>
      </c>
      <c r="B11" s="8" t="s">
        <v>6</v>
      </c>
      <c r="C11" s="13" t="s">
        <v>153</v>
      </c>
      <c r="D11" s="10">
        <v>-157.51606999515877</v>
      </c>
      <c r="E11" s="10">
        <v>-969.54179859014619</v>
      </c>
      <c r="F11" s="10">
        <v>42.51944204466016</v>
      </c>
      <c r="G11" s="10">
        <v>1065.7939919870271</v>
      </c>
      <c r="H11" s="10">
        <v>2050.4371211395637</v>
      </c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</row>
    <row r="12" spans="1:27" s="57" customFormat="1" outlineLevel="1" x14ac:dyDescent="0.25">
      <c r="A12" s="63" t="str">
        <f t="shared" si="0"/>
        <v>Nøgletal.REFA-Daekningsbidrag</v>
      </c>
      <c r="B12" s="55" t="s">
        <v>2</v>
      </c>
      <c r="C12" s="56" t="s">
        <v>7</v>
      </c>
      <c r="D12" s="54">
        <v>-2638093.0075881723</v>
      </c>
      <c r="E12" s="54">
        <v>10612682.885114707</v>
      </c>
      <c r="F12" s="54">
        <v>-5950789.6269045733</v>
      </c>
      <c r="G12" s="54">
        <v>-22514262.117484082</v>
      </c>
      <c r="H12" s="54">
        <v>-38768849.277262025</v>
      </c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</row>
    <row r="13" spans="1:27" outlineLevel="1" x14ac:dyDescent="0.25">
      <c r="A13" s="64" t="str">
        <f t="shared" si="0"/>
        <v>Nøgletal.REFA-Total-Var-Indkomst</v>
      </c>
      <c r="B13" s="12" t="s">
        <v>2</v>
      </c>
      <c r="C13" s="14" t="s">
        <v>8</v>
      </c>
      <c r="D13" s="11">
        <v>85378929.815118641</v>
      </c>
      <c r="E13" s="11">
        <v>85378930.636732429</v>
      </c>
      <c r="F13" s="11">
        <v>85378930.028935879</v>
      </c>
      <c r="G13" s="11">
        <v>85378930.028935865</v>
      </c>
      <c r="H13" s="11">
        <v>82190184.661601543</v>
      </c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</row>
    <row r="14" spans="1:27" outlineLevel="1" x14ac:dyDescent="0.25">
      <c r="A14" s="65" t="str">
        <f t="shared" si="0"/>
        <v>Nøgletal.REFA-Affald-Modtagelse</v>
      </c>
      <c r="B14" s="12" t="s">
        <v>2</v>
      </c>
      <c r="C14" s="15" t="s">
        <v>9</v>
      </c>
      <c r="D14" s="11">
        <v>47956172.956033386</v>
      </c>
      <c r="E14" s="11">
        <v>47956172.956033379</v>
      </c>
      <c r="F14" s="11">
        <v>47956172.952156454</v>
      </c>
      <c r="G14" s="11">
        <v>47956172.952156454</v>
      </c>
      <c r="H14" s="11">
        <v>46572286.725607544</v>
      </c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</row>
    <row r="15" spans="1:27" outlineLevel="1" x14ac:dyDescent="0.25">
      <c r="A15" s="65" t="str">
        <f t="shared" si="0"/>
        <v>Nøgletal.REFA-RGK-Rabat</v>
      </c>
      <c r="B15" s="12" t="s">
        <v>2</v>
      </c>
      <c r="C15" s="15" t="s">
        <v>10</v>
      </c>
      <c r="D15" s="11">
        <v>1464397.4142801967</v>
      </c>
      <c r="E15" s="11">
        <v>1464397.6499936916</v>
      </c>
      <c r="F15" s="11">
        <v>1464397.6499936916</v>
      </c>
      <c r="G15" s="11">
        <v>1464397.6499936916</v>
      </c>
      <c r="H15" s="11">
        <v>1464397.6402660352</v>
      </c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</row>
    <row r="16" spans="1:27" outlineLevel="1" x14ac:dyDescent="0.25">
      <c r="A16" s="65" t="str">
        <f t="shared" si="0"/>
        <v>Nøgletal.REFA-Elsalg</v>
      </c>
      <c r="B16" s="12" t="s">
        <v>2</v>
      </c>
      <c r="C16" s="15" t="s">
        <v>11</v>
      </c>
      <c r="D16" s="11">
        <v>35958359.444805071</v>
      </c>
      <c r="E16" s="11">
        <v>35958360.030705355</v>
      </c>
      <c r="F16" s="11">
        <v>35958359.42678573</v>
      </c>
      <c r="G16" s="11">
        <v>35958359.42678573</v>
      </c>
      <c r="H16" s="11">
        <v>34153500.295727961</v>
      </c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</row>
    <row r="17" spans="1:27" outlineLevel="1" x14ac:dyDescent="0.25">
      <c r="A17" s="65" t="str">
        <f t="shared" si="0"/>
        <v>Nøgletal.REFA-Varmesalg</v>
      </c>
      <c r="B17" s="12" t="s">
        <v>2</v>
      </c>
      <c r="C17" s="15" t="s">
        <v>80</v>
      </c>
      <c r="D17" s="11">
        <v>1.1999999999999997E-13</v>
      </c>
      <c r="E17" s="11">
        <v>1.1999999999999997E-13</v>
      </c>
      <c r="F17" s="11">
        <v>1.1999999999999997E-13</v>
      </c>
      <c r="G17" s="11">
        <v>1.1999999999999997E-13</v>
      </c>
      <c r="H17" s="11">
        <v>1.1999999999999997E-13</v>
      </c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</row>
    <row r="18" spans="1:27" outlineLevel="1" x14ac:dyDescent="0.25">
      <c r="A18" s="64" t="str">
        <f t="shared" si="0"/>
        <v>Nøgletal.REFA-Total-Var-Omkostning</v>
      </c>
      <c r="B18" s="12" t="s">
        <v>2</v>
      </c>
      <c r="C18" s="14" t="s">
        <v>12</v>
      </c>
      <c r="D18" s="11">
        <v>88017022.822706819</v>
      </c>
      <c r="E18" s="11">
        <v>74766247.751617715</v>
      </c>
      <c r="F18" s="11">
        <v>91329719.655840442</v>
      </c>
      <c r="G18" s="11">
        <v>107893192.14641996</v>
      </c>
      <c r="H18" s="11">
        <v>120959033.93886358</v>
      </c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</row>
    <row r="19" spans="1:27" outlineLevel="1" x14ac:dyDescent="0.25">
      <c r="A19" s="65" t="str">
        <f t="shared" si="0"/>
        <v>Nøgletal.REFA-AnlaegsVarOmk</v>
      </c>
      <c r="B19" s="12" t="s">
        <v>2</v>
      </c>
      <c r="C19" s="15" t="s">
        <v>13</v>
      </c>
      <c r="D19" s="11">
        <v>10743113.301047554</v>
      </c>
      <c r="E19" s="11">
        <v>10743113.429980133</v>
      </c>
      <c r="F19" s="11">
        <v>10743113.297082242</v>
      </c>
      <c r="G19" s="11">
        <v>10743113.297082242</v>
      </c>
      <c r="H19" s="11">
        <v>10345937.958197013</v>
      </c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</row>
    <row r="20" spans="1:27" outlineLevel="1" x14ac:dyDescent="0.25">
      <c r="A20" s="65" t="str">
        <f t="shared" si="0"/>
        <v>Nøgletal.REFA-BraendselOmk</v>
      </c>
      <c r="B20" s="12" t="s">
        <v>2</v>
      </c>
      <c r="C20" s="15" t="s">
        <v>14</v>
      </c>
      <c r="D20" s="11">
        <v>2307285.2919860194</v>
      </c>
      <c r="E20" s="11">
        <v>2307285.2919860184</v>
      </c>
      <c r="F20" s="11">
        <v>2307285.2919860189</v>
      </c>
      <c r="G20" s="11">
        <v>2307285.2919860189</v>
      </c>
      <c r="H20" s="11">
        <v>2307285.5319642406</v>
      </c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</row>
    <row r="21" spans="1:27" outlineLevel="1" x14ac:dyDescent="0.25">
      <c r="A21" s="65" t="str">
        <f t="shared" si="0"/>
        <v>Nøgletal.REFA-Afgifter</v>
      </c>
      <c r="B21" s="12" t="s">
        <v>2</v>
      </c>
      <c r="C21" s="113" t="s">
        <v>15</v>
      </c>
      <c r="D21" s="11">
        <v>45152373.736225702</v>
      </c>
      <c r="E21" s="11">
        <v>45152376.345347054</v>
      </c>
      <c r="F21" s="11">
        <v>45152376.085613169</v>
      </c>
      <c r="G21" s="11">
        <v>45152376.085613169</v>
      </c>
      <c r="H21" s="11">
        <v>44367767.642601825</v>
      </c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</row>
    <row r="22" spans="1:27" outlineLevel="1" x14ac:dyDescent="0.25">
      <c r="A22" s="65" t="str">
        <f t="shared" si="0"/>
        <v>Nøgletal.REFA-Affaldvarme-afgift</v>
      </c>
      <c r="B22" s="12" t="s">
        <v>2</v>
      </c>
      <c r="C22" s="114" t="s">
        <v>146</v>
      </c>
      <c r="D22" s="11">
        <v>20363013.282252822</v>
      </c>
      <c r="E22" s="11">
        <v>20363013.282252822</v>
      </c>
      <c r="F22" s="11">
        <v>20363013.282252822</v>
      </c>
      <c r="G22" s="11">
        <v>20363013.282252822</v>
      </c>
      <c r="H22" s="11">
        <v>20363013.176182449</v>
      </c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</row>
    <row r="23" spans="1:27" outlineLevel="1" x14ac:dyDescent="0.25">
      <c r="A23" s="65" t="str">
        <f t="shared" si="0"/>
        <v>Nøgletal.REFA-Tillaegs-Afgift</v>
      </c>
      <c r="B23" s="12" t="s">
        <v>2</v>
      </c>
      <c r="C23" s="114" t="s">
        <v>147</v>
      </c>
      <c r="D23" s="11">
        <v>19651096.615894832</v>
      </c>
      <c r="E23" s="11">
        <v>19651099.177552663</v>
      </c>
      <c r="F23" s="11">
        <v>19651098.966739628</v>
      </c>
      <c r="G23" s="11">
        <v>19651098.966739628</v>
      </c>
      <c r="H23" s="11">
        <v>19018549.353957348</v>
      </c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</row>
    <row r="24" spans="1:27" outlineLevel="1" x14ac:dyDescent="0.25">
      <c r="A24" s="65" t="str">
        <f t="shared" si="0"/>
        <v>Nøgletal.REFA-CO2-Afgift</v>
      </c>
      <c r="B24" s="12" t="s">
        <v>2</v>
      </c>
      <c r="C24" s="114" t="s">
        <v>148</v>
      </c>
      <c r="D24" s="11">
        <v>4520761.8606429473</v>
      </c>
      <c r="E24" s="11">
        <v>4520761.9032866117</v>
      </c>
      <c r="F24" s="11">
        <v>4520761.8593314309</v>
      </c>
      <c r="G24" s="11">
        <v>4520761.8593314309</v>
      </c>
      <c r="H24" s="11">
        <v>4388873.273661972</v>
      </c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</row>
    <row r="25" spans="1:27" outlineLevel="1" x14ac:dyDescent="0.25">
      <c r="A25" s="65" t="str">
        <f t="shared" si="0"/>
        <v>Nøgletal.REFA-NOx-Afgift</v>
      </c>
      <c r="B25" s="12" t="s">
        <v>2</v>
      </c>
      <c r="C25" s="114" t="s">
        <v>149</v>
      </c>
      <c r="D25" s="11">
        <v>617501.97743510886</v>
      </c>
      <c r="E25" s="11">
        <v>617501.98225495929</v>
      </c>
      <c r="F25" s="11">
        <v>617501.97728928586</v>
      </c>
      <c r="G25" s="11">
        <v>617501.97728928586</v>
      </c>
      <c r="H25" s="11">
        <v>597331.83880005241</v>
      </c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</row>
    <row r="26" spans="1:27" outlineLevel="1" x14ac:dyDescent="0.25">
      <c r="A26" s="65" t="str">
        <f t="shared" si="0"/>
        <v>Nøgletal.REFA-CO2-Kvoteomk</v>
      </c>
      <c r="B26" s="12" t="s">
        <v>2</v>
      </c>
      <c r="C26" s="15" t="s">
        <v>16</v>
      </c>
      <c r="D26" s="11">
        <v>29814250.493447538</v>
      </c>
      <c r="E26" s="11">
        <v>16563472.684304524</v>
      </c>
      <c r="F26" s="11">
        <v>33126944.981159024</v>
      </c>
      <c r="G26" s="11">
        <v>49690417.471738525</v>
      </c>
      <c r="H26" s="11">
        <v>63938042.806100488</v>
      </c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</row>
    <row r="27" spans="1:27" outlineLevel="1" x14ac:dyDescent="0.25">
      <c r="A27" s="65" t="str">
        <f t="shared" si="0"/>
        <v>Nøgletal.REFA-Lageromkostning</v>
      </c>
      <c r="B27" s="12" t="s">
        <v>2</v>
      </c>
      <c r="C27" s="15" t="s">
        <v>17</v>
      </c>
      <c r="D27" s="11">
        <v>1.1999999999999997E-13</v>
      </c>
      <c r="E27" s="11">
        <v>1.1999999999999997E-13</v>
      </c>
      <c r="F27" s="11">
        <v>1.1999999999999997E-13</v>
      </c>
      <c r="G27" s="11">
        <v>1.1999999999999997E-13</v>
      </c>
      <c r="H27" s="11">
        <v>1.1999999999999997E-13</v>
      </c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</row>
    <row r="28" spans="1:27" outlineLevel="1" x14ac:dyDescent="0.25">
      <c r="A28" s="66" t="str">
        <f t="shared" si="0"/>
        <v>Nøgletal.REFA-CO2-Emission-Afgift</v>
      </c>
      <c r="B28" s="8" t="s">
        <v>18</v>
      </c>
      <c r="C28" s="13" t="s">
        <v>19</v>
      </c>
      <c r="D28" s="16">
        <v>38453.238109195947</v>
      </c>
      <c r="E28" s="16">
        <v>38453.238545522654</v>
      </c>
      <c r="F28" s="16">
        <v>38453.238095776745</v>
      </c>
      <c r="G28" s="16">
        <v>38453.238095776745</v>
      </c>
      <c r="H28" s="16">
        <v>37109.138569815179</v>
      </c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</row>
    <row r="29" spans="1:27" outlineLevel="1" x14ac:dyDescent="0.25">
      <c r="A29" s="66" t="str">
        <f t="shared" si="0"/>
        <v>Nøgletal.REFA-CO2-Emission-Kvote</v>
      </c>
      <c r="B29" s="8" t="s">
        <v>18</v>
      </c>
      <c r="C29" s="13" t="s">
        <v>20</v>
      </c>
      <c r="D29" s="16">
        <v>44169.259990292645</v>
      </c>
      <c r="E29" s="16">
        <v>44169.260491478737</v>
      </c>
      <c r="F29" s="16">
        <v>44169.259974878696</v>
      </c>
      <c r="G29" s="16">
        <v>44169.259974878696</v>
      </c>
      <c r="H29" s="16">
        <v>42625.361870733665</v>
      </c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</row>
    <row r="30" spans="1:27" outlineLevel="1" x14ac:dyDescent="0.25">
      <c r="A30" s="66" t="str">
        <f t="shared" si="0"/>
        <v>Nøgletal.REFA-El-produktion-Brutto</v>
      </c>
      <c r="B30" s="8" t="s">
        <v>21</v>
      </c>
      <c r="C30" s="13" t="s">
        <v>22</v>
      </c>
      <c r="D30" s="16">
        <v>53598.818397996314</v>
      </c>
      <c r="E30" s="16">
        <v>53598.819134051948</v>
      </c>
      <c r="F30" s="16">
        <v>53598.818375358962</v>
      </c>
      <c r="G30" s="16">
        <v>53598.818375358955</v>
      </c>
      <c r="H30" s="16">
        <v>51331.407406693412</v>
      </c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</row>
    <row r="31" spans="1:27" outlineLevel="1" x14ac:dyDescent="0.25">
      <c r="A31" s="66" t="str">
        <f t="shared" si="0"/>
        <v>Nøgletal.REFA-El-produktion-Netto</v>
      </c>
      <c r="B31" s="8" t="s">
        <v>21</v>
      </c>
      <c r="C31" s="13" t="s">
        <v>23</v>
      </c>
      <c r="D31" s="16">
        <v>45173.818397996314</v>
      </c>
      <c r="E31" s="16">
        <v>45173.819134051955</v>
      </c>
      <c r="F31" s="16">
        <v>45173.818375358962</v>
      </c>
      <c r="G31" s="16">
        <v>45173.818375358955</v>
      </c>
      <c r="H31" s="16">
        <v>42906.407406693419</v>
      </c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</row>
    <row r="32" spans="1:27" outlineLevel="1" x14ac:dyDescent="0.25">
      <c r="A32" s="67" t="str">
        <f t="shared" si="0"/>
        <v>Nøgletal.REFA-Total-Affald-Raadighed</v>
      </c>
      <c r="B32" s="8" t="s">
        <v>18</v>
      </c>
      <c r="C32" s="14" t="s">
        <v>24</v>
      </c>
      <c r="D32" s="7">
        <v>102880.27899999997</v>
      </c>
      <c r="E32" s="7">
        <v>102880.27899999997</v>
      </c>
      <c r="F32" s="7">
        <v>102880.27899999997</v>
      </c>
      <c r="G32" s="7">
        <v>102880.27899999997</v>
      </c>
      <c r="H32" s="7">
        <v>102880.27899999997</v>
      </c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1:27" outlineLevel="1" x14ac:dyDescent="0.25">
      <c r="A33" s="66" t="str">
        <f t="shared" si="0"/>
        <v>Nøgletal.REFA-Affald-anvendt</v>
      </c>
      <c r="B33" s="8" t="s">
        <v>18</v>
      </c>
      <c r="C33" s="15" t="s">
        <v>25</v>
      </c>
      <c r="D33" s="7">
        <v>101960.39871616615</v>
      </c>
      <c r="E33" s="7">
        <v>101960.39954289865</v>
      </c>
      <c r="F33" s="7">
        <v>101960.39869115365</v>
      </c>
      <c r="G33" s="7">
        <v>101960.39869115365</v>
      </c>
      <c r="H33" s="7">
        <v>98500.683272797614</v>
      </c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</row>
    <row r="34" spans="1:27" outlineLevel="1" x14ac:dyDescent="0.25">
      <c r="A34" s="66" t="str">
        <f t="shared" si="0"/>
        <v>Nøgletal.REFA-Affald-Uudnyttet</v>
      </c>
      <c r="B34" s="8" t="s">
        <v>18</v>
      </c>
      <c r="C34" s="15" t="s">
        <v>26</v>
      </c>
      <c r="D34" s="7">
        <v>919.97817363209685</v>
      </c>
      <c r="E34" s="7">
        <v>919.97817363209685</v>
      </c>
      <c r="F34" s="7">
        <v>919.97817363209685</v>
      </c>
      <c r="G34" s="7">
        <v>919.97817363209685</v>
      </c>
      <c r="H34" s="7">
        <v>919.97817363209685</v>
      </c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</row>
    <row r="35" spans="1:27" outlineLevel="1" x14ac:dyDescent="0.25">
      <c r="A35" s="66" t="str">
        <f t="shared" si="0"/>
        <v>Nøgletal.REFA-Affald-Lagret</v>
      </c>
      <c r="B35" s="8" t="s">
        <v>18</v>
      </c>
      <c r="C35" s="15" t="s">
        <v>27</v>
      </c>
      <c r="D35" s="7">
        <v>1.1999999999999997E-13</v>
      </c>
      <c r="E35" s="7">
        <v>1.1999999999999997E-13</v>
      </c>
      <c r="F35" s="7">
        <v>1.1999999999999997E-13</v>
      </c>
      <c r="G35" s="7">
        <v>1.1999999999999997E-13</v>
      </c>
      <c r="H35" s="7">
        <v>1.1999999999999997E-13</v>
      </c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</row>
    <row r="36" spans="1:27" outlineLevel="1" x14ac:dyDescent="0.25">
      <c r="A36" s="67" t="str">
        <f t="shared" si="0"/>
        <v>Nøgletal.REFA-Total-Varme-Produktion</v>
      </c>
      <c r="B36" s="8" t="s">
        <v>4</v>
      </c>
      <c r="C36" s="14" t="s">
        <v>28</v>
      </c>
      <c r="D36" s="7">
        <v>238522.51052756878</v>
      </c>
      <c r="E36" s="7">
        <v>238522.51267644507</v>
      </c>
      <c r="F36" s="7">
        <v>238522.51046148018</v>
      </c>
      <c r="G36" s="7">
        <v>238522.51046148018</v>
      </c>
      <c r="H36" s="7">
        <v>231902.92169670673</v>
      </c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1:27" outlineLevel="1" x14ac:dyDescent="0.25">
      <c r="A37" s="66" t="str">
        <f t="shared" si="0"/>
        <v>Nøgletal.REFA-Leveret-Varme</v>
      </c>
      <c r="B37" s="8" t="s">
        <v>4</v>
      </c>
      <c r="C37" s="15" t="s">
        <v>75</v>
      </c>
      <c r="D37" s="7">
        <v>228900</v>
      </c>
      <c r="E37" s="7">
        <v>228900</v>
      </c>
      <c r="F37" s="7">
        <v>228900</v>
      </c>
      <c r="G37" s="7">
        <v>228900</v>
      </c>
      <c r="H37" s="7">
        <v>228900</v>
      </c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</row>
    <row r="38" spans="1:27" outlineLevel="1" x14ac:dyDescent="0.25">
      <c r="A38" s="66" t="str">
        <f t="shared" si="0"/>
        <v>Nøgletal.REFA-Modtryk-Varme</v>
      </c>
      <c r="B38" s="8" t="s">
        <v>4</v>
      </c>
      <c r="C38" s="15" t="s">
        <v>29</v>
      </c>
      <c r="D38" s="7">
        <v>199255.80903018071</v>
      </c>
      <c r="E38" s="7">
        <v>199255.81117905703</v>
      </c>
      <c r="F38" s="7">
        <v>199255.80896409214</v>
      </c>
      <c r="G38" s="7">
        <v>199255.80896409217</v>
      </c>
      <c r="H38" s="7">
        <v>192636.21956604283</v>
      </c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</row>
    <row r="39" spans="1:27" outlineLevel="1" x14ac:dyDescent="0.25">
      <c r="A39" s="66" t="str">
        <f t="shared" si="0"/>
        <v>Nøgletal.REFA-Bypass-Varme</v>
      </c>
      <c r="B39" s="8" t="s">
        <v>4</v>
      </c>
      <c r="C39" s="15" t="s">
        <v>30</v>
      </c>
      <c r="D39" s="7">
        <v>1.1999999999999997E-13</v>
      </c>
      <c r="E39" s="7">
        <v>1.1999999999999997E-13</v>
      </c>
      <c r="F39" s="7">
        <v>1.1999999999999997E-13</v>
      </c>
      <c r="G39" s="7">
        <v>1.1999999999999997E-13</v>
      </c>
      <c r="H39" s="7">
        <v>1.1999999999999997E-13</v>
      </c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</row>
    <row r="40" spans="1:27" outlineLevel="1" x14ac:dyDescent="0.25">
      <c r="A40" s="66" t="str">
        <f t="shared" si="0"/>
        <v>Nøgletal.REFA-RGK-Varme</v>
      </c>
      <c r="B40" s="8" t="s">
        <v>4</v>
      </c>
      <c r="C40" s="15" t="s">
        <v>31</v>
      </c>
      <c r="D40" s="7">
        <v>28371.1876185652</v>
      </c>
      <c r="E40" s="7">
        <v>28371.1876185652</v>
      </c>
      <c r="F40" s="7">
        <v>28371.1876185652</v>
      </c>
      <c r="G40" s="7">
        <v>28371.1876185652</v>
      </c>
      <c r="H40" s="7">
        <v>28371.187118610571</v>
      </c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</row>
    <row r="41" spans="1:27" outlineLevel="1" x14ac:dyDescent="0.25">
      <c r="A41" s="66" t="str">
        <f t="shared" si="0"/>
        <v>Nøgletal.REFA-Bortkoelet-Varme</v>
      </c>
      <c r="B41" s="8" t="s">
        <v>4</v>
      </c>
      <c r="C41" s="15" t="s">
        <v>32</v>
      </c>
      <c r="D41" s="7">
        <v>9622.5105275687874</v>
      </c>
      <c r="E41" s="7">
        <v>9622.5126764450688</v>
      </c>
      <c r="F41" s="7">
        <v>9622.510461480204</v>
      </c>
      <c r="G41" s="7">
        <v>9622.5104614802003</v>
      </c>
      <c r="H41" s="7">
        <v>3002.9216967067496</v>
      </c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</row>
    <row r="42" spans="1:27" outlineLevel="1" x14ac:dyDescent="0.25">
      <c r="A42" s="67" t="str">
        <f t="shared" si="0"/>
        <v>Nøgletal.GSF-Total-Var-Omkostning</v>
      </c>
      <c r="B42" s="12" t="s">
        <v>2</v>
      </c>
      <c r="C42" s="21" t="s">
        <v>33</v>
      </c>
      <c r="D42" s="11">
        <v>2097900</v>
      </c>
      <c r="E42" s="11">
        <v>2097900</v>
      </c>
      <c r="F42" s="11">
        <v>2097900</v>
      </c>
      <c r="G42" s="11">
        <v>2097900</v>
      </c>
      <c r="H42" s="11">
        <v>2097900</v>
      </c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</row>
    <row r="43" spans="1:27" outlineLevel="1" x14ac:dyDescent="0.25">
      <c r="A43" s="64" t="str">
        <f t="shared" si="0"/>
        <v>Nøgletal.GSF-AnlaegsVarOmk</v>
      </c>
      <c r="B43" s="12" t="s">
        <v>2</v>
      </c>
      <c r="C43" s="34" t="s">
        <v>34</v>
      </c>
      <c r="D43" s="11">
        <v>1.1999999999999997E-13</v>
      </c>
      <c r="E43" s="11">
        <v>1.1999999999999997E-13</v>
      </c>
      <c r="F43" s="11">
        <v>1.1999999999999997E-13</v>
      </c>
      <c r="G43" s="11">
        <v>1.1999999999999997E-13</v>
      </c>
      <c r="H43" s="11">
        <v>1.1999999999999997E-13</v>
      </c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</row>
    <row r="44" spans="1:27" outlineLevel="1" x14ac:dyDescent="0.25">
      <c r="A44" s="65" t="str">
        <f t="shared" si="0"/>
        <v>Nøgletal.GSF-BraendselOmk</v>
      </c>
      <c r="B44" s="12" t="s">
        <v>2</v>
      </c>
      <c r="C44" s="17" t="s">
        <v>35</v>
      </c>
      <c r="D44" s="11">
        <v>2097900</v>
      </c>
      <c r="E44" s="11">
        <v>2097900</v>
      </c>
      <c r="F44" s="11">
        <v>2097900</v>
      </c>
      <c r="G44" s="11">
        <v>2097900</v>
      </c>
      <c r="H44" s="11">
        <v>2097900</v>
      </c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</row>
    <row r="45" spans="1:27" outlineLevel="1" x14ac:dyDescent="0.25">
      <c r="A45" s="65" t="str">
        <f t="shared" si="0"/>
        <v>Nøgletal.GSF-Afgifter</v>
      </c>
      <c r="B45" s="12" t="s">
        <v>2</v>
      </c>
      <c r="C45" s="17" t="s">
        <v>36</v>
      </c>
      <c r="D45" s="11">
        <v>1.1999999999999997E-13</v>
      </c>
      <c r="E45" s="11">
        <v>1.1999999999999997E-13</v>
      </c>
      <c r="F45" s="11">
        <v>1.1999999999999997E-13</v>
      </c>
      <c r="G45" s="11">
        <v>1.1999999999999997E-13</v>
      </c>
      <c r="H45" s="11">
        <v>1.1999999999999997E-13</v>
      </c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</row>
    <row r="46" spans="1:27" outlineLevel="1" x14ac:dyDescent="0.25">
      <c r="A46" s="66" t="str">
        <f t="shared" si="0"/>
        <v>Nøgletal.GSF-CO2-Emission</v>
      </c>
      <c r="B46" s="8" t="s">
        <v>18</v>
      </c>
      <c r="C46" s="17" t="s">
        <v>37</v>
      </c>
      <c r="D46" s="11">
        <v>1.1999999999999997E-13</v>
      </c>
      <c r="E46" s="11">
        <v>1.1999999999999997E-13</v>
      </c>
      <c r="F46" s="11">
        <v>1.1999999999999997E-13</v>
      </c>
      <c r="G46" s="11">
        <v>1.1999999999999997E-13</v>
      </c>
      <c r="H46" s="11">
        <v>1.1999999999999997E-13</v>
      </c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</row>
    <row r="47" spans="1:27" outlineLevel="1" x14ac:dyDescent="0.25">
      <c r="A47" s="66" t="str">
        <f t="shared" si="0"/>
        <v>Nøgletal.GSF-Total-Varme-Produktion</v>
      </c>
      <c r="B47" s="8" t="s">
        <v>4</v>
      </c>
      <c r="C47" s="18" t="s">
        <v>38</v>
      </c>
      <c r="D47" s="16">
        <v>1.1999999999999997E-13</v>
      </c>
      <c r="E47" s="16">
        <v>1.1999999999999997E-13</v>
      </c>
      <c r="F47" s="16">
        <v>1.1999999999999997E-13</v>
      </c>
      <c r="G47" s="16">
        <v>1.1999999999999997E-13</v>
      </c>
      <c r="H47" s="16">
        <v>1.1999999999999997E-13</v>
      </c>
      <c r="I47" s="16"/>
      <c r="J47" s="16"/>
      <c r="K47" s="16"/>
      <c r="L47" s="16"/>
      <c r="M47" s="16"/>
      <c r="N47" s="16"/>
      <c r="O47" s="16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</row>
    <row r="48" spans="1:27" outlineLevel="1" x14ac:dyDescent="0.25">
      <c r="A48" s="66" t="str">
        <f t="shared" si="0"/>
        <v>Nøgletal.NS-Total-Varme-Produktion</v>
      </c>
      <c r="B48" s="8" t="s">
        <v>4</v>
      </c>
      <c r="C48" s="21" t="s">
        <v>74</v>
      </c>
      <c r="D48" s="16">
        <v>11100</v>
      </c>
      <c r="E48" s="16">
        <v>11100</v>
      </c>
      <c r="F48" s="16">
        <v>11100</v>
      </c>
      <c r="G48" s="16">
        <v>11100</v>
      </c>
      <c r="H48" s="16">
        <v>11100</v>
      </c>
      <c r="I48" s="16"/>
      <c r="J48" s="16"/>
      <c r="K48" s="16"/>
      <c r="L48" s="16"/>
      <c r="M48" s="16"/>
      <c r="N48" s="16"/>
      <c r="O48" s="16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</row>
    <row r="49" spans="1:28" s="42" customFormat="1" outlineLevel="1" x14ac:dyDescent="0.25">
      <c r="A49" s="68" t="str">
        <f t="shared" si="0"/>
        <v>Nøgletal.Virtuel-Varme-Kilde</v>
      </c>
      <c r="B49" s="41" t="s">
        <v>4</v>
      </c>
      <c r="C49" s="45" t="s">
        <v>76</v>
      </c>
      <c r="D49" s="40">
        <v>1.1999999999999997E-13</v>
      </c>
      <c r="E49" s="40">
        <v>1.1999999999999997E-13</v>
      </c>
      <c r="F49" s="40">
        <v>1.1999999999999997E-13</v>
      </c>
      <c r="G49" s="40">
        <v>1.1999999999999997E-13</v>
      </c>
      <c r="H49" s="40">
        <v>1.1999999999999997E-13</v>
      </c>
      <c r="I49" s="40"/>
      <c r="J49" s="40"/>
      <c r="K49" s="40"/>
      <c r="L49" s="40"/>
      <c r="M49" s="40"/>
      <c r="N49" s="40"/>
      <c r="O49" s="40"/>
      <c r="P49" s="40"/>
      <c r="Q49" s="40"/>
      <c r="R49" s="40"/>
      <c r="S49" s="40"/>
      <c r="T49" s="40"/>
      <c r="U49" s="40"/>
      <c r="V49" s="40"/>
      <c r="W49" s="40"/>
      <c r="X49" s="40"/>
      <c r="Y49" s="40"/>
      <c r="Z49" s="40"/>
      <c r="AA49" s="40"/>
    </row>
    <row r="50" spans="1:28" outlineLevel="1" x14ac:dyDescent="0.25">
      <c r="A50" s="66" t="str">
        <f t="shared" si="0"/>
        <v>Nøgletal.Virtuel-Varme-Draen</v>
      </c>
      <c r="B50" s="8" t="s">
        <v>4</v>
      </c>
      <c r="C50" s="46" t="s">
        <v>81</v>
      </c>
      <c r="D50" s="16">
        <v>1.1999999999999997E-13</v>
      </c>
      <c r="E50" s="16">
        <v>1.1999999999999997E-13</v>
      </c>
      <c r="F50" s="16">
        <v>1.1999999999999997E-13</v>
      </c>
      <c r="G50" s="16">
        <v>1.1999999999999997E-13</v>
      </c>
      <c r="H50" s="16">
        <v>1.1999999999999997E-13</v>
      </c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</row>
    <row r="51" spans="1:28" outlineLevel="1" x14ac:dyDescent="0.25">
      <c r="A51" s="66" t="str">
        <f t="shared" si="0"/>
        <v>Nøgletal.Virtuel-Affaldstonnage-Kilde</v>
      </c>
      <c r="B51" s="8" t="s">
        <v>18</v>
      </c>
      <c r="C51" s="46" t="s">
        <v>77</v>
      </c>
      <c r="D51" s="16">
        <v>1.1999999999999997E-13</v>
      </c>
      <c r="E51" s="16">
        <v>1.1999999999999997E-13</v>
      </c>
      <c r="F51" s="16">
        <v>1.1999999999999997E-13</v>
      </c>
      <c r="G51" s="16">
        <v>1.1999999999999997E-13</v>
      </c>
      <c r="H51" s="16">
        <v>1.1999999999999997E-13</v>
      </c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</row>
    <row r="52" spans="1:28" outlineLevel="1" x14ac:dyDescent="0.25">
      <c r="A52" s="66" t="str">
        <f t="shared" si="0"/>
        <v>Nøgletal.Virtuel-Affaldstonnage-Draen</v>
      </c>
      <c r="B52" s="8" t="s">
        <v>18</v>
      </c>
      <c r="C52" s="46" t="s">
        <v>82</v>
      </c>
      <c r="D52" s="16">
        <v>1.1999999999999997E-13</v>
      </c>
      <c r="E52" s="16">
        <v>1.1999999999999997E-13</v>
      </c>
      <c r="F52" s="16">
        <v>1.1999999999999997E-13</v>
      </c>
      <c r="G52" s="16">
        <v>1.1999999999999997E-13</v>
      </c>
      <c r="H52" s="16">
        <v>1.1999999999999997E-13</v>
      </c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</row>
    <row r="53" spans="1:28" outlineLevel="1" x14ac:dyDescent="0.25">
      <c r="A53" s="66"/>
      <c r="B53" s="8"/>
      <c r="C53" s="8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</row>
    <row r="54" spans="1:28" s="6" customFormat="1" ht="18.75" x14ac:dyDescent="0.3">
      <c r="A54" s="60" t="str">
        <f t="shared" si="0"/>
        <v/>
      </c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</row>
    <row r="55" spans="1:28" s="20" customFormat="1" ht="18.75" x14ac:dyDescent="0.3">
      <c r="A55" s="61"/>
      <c r="B55" s="33" t="s">
        <v>3</v>
      </c>
      <c r="C55" s="33" t="s">
        <v>150</v>
      </c>
      <c r="D55" s="32" t="s">
        <v>138</v>
      </c>
      <c r="E55" s="32" t="s">
        <v>160</v>
      </c>
      <c r="F55" s="32" t="s">
        <v>161</v>
      </c>
      <c r="G55" s="32" t="s">
        <v>162</v>
      </c>
      <c r="H55" s="32" t="s">
        <v>163</v>
      </c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</row>
    <row r="56" spans="1:28" outlineLevel="1" x14ac:dyDescent="0.25">
      <c r="A56" s="65" t="str">
        <f>IF(NOT(ISBLANK(C56)),$C$55&amp;"."&amp;C56,"")</f>
        <v>Varmemængder.Ovn2</v>
      </c>
      <c r="B56" s="8" t="s">
        <v>4</v>
      </c>
      <c r="C56" s="23" t="s">
        <v>39</v>
      </c>
      <c r="D56" s="22">
        <v>50342.487681799976</v>
      </c>
      <c r="E56" s="22">
        <v>50342.487681799983</v>
      </c>
      <c r="F56" s="22">
        <v>50342.487681799976</v>
      </c>
      <c r="G56" s="22">
        <v>50342.487681799976</v>
      </c>
      <c r="H56" s="22">
        <v>50342.486915202877</v>
      </c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</row>
    <row r="57" spans="1:28" outlineLevel="1" x14ac:dyDescent="0.25">
      <c r="A57" s="65" t="str">
        <f t="shared" ref="A57:A62" si="2">IF(NOT(ISBLANK(C57)),$C$55&amp;"."&amp;C57,"")</f>
        <v>Varmemængder.Ovn3</v>
      </c>
      <c r="B57" s="8" t="s">
        <v>4</v>
      </c>
      <c r="C57" s="23" t="s">
        <v>40</v>
      </c>
      <c r="D57" s="22">
        <v>177284.50896694593</v>
      </c>
      <c r="E57" s="22">
        <v>177284.51111582218</v>
      </c>
      <c r="F57" s="22">
        <v>177284.50890085736</v>
      </c>
      <c r="G57" s="22">
        <v>177284.50890085736</v>
      </c>
      <c r="H57" s="22">
        <v>170664.9197694505</v>
      </c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</row>
    <row r="58" spans="1:28" outlineLevel="1" x14ac:dyDescent="0.25">
      <c r="A58" s="66" t="str">
        <f t="shared" si="2"/>
        <v>Varmemængder.FlisK</v>
      </c>
      <c r="B58" s="8" t="s">
        <v>4</v>
      </c>
      <c r="C58" s="23" t="s">
        <v>41</v>
      </c>
      <c r="D58" s="22">
        <v>10895.513878822869</v>
      </c>
      <c r="E58" s="22">
        <v>10895.513878822865</v>
      </c>
      <c r="F58" s="22">
        <v>10895.513878822869</v>
      </c>
      <c r="G58" s="22">
        <v>10895.513878822869</v>
      </c>
      <c r="H58" s="22">
        <v>10895.515012053358</v>
      </c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</row>
    <row r="59" spans="1:28" outlineLevel="1" x14ac:dyDescent="0.25">
      <c r="A59" s="66" t="str">
        <f t="shared" si="2"/>
        <v>Varmemængder.NS</v>
      </c>
      <c r="B59" s="8" t="s">
        <v>4</v>
      </c>
      <c r="C59" s="23" t="s">
        <v>42</v>
      </c>
      <c r="D59" s="47">
        <v>11100</v>
      </c>
      <c r="E59" s="22">
        <v>11100</v>
      </c>
      <c r="F59" s="22">
        <v>11100</v>
      </c>
      <c r="G59" s="22">
        <v>11100</v>
      </c>
      <c r="H59" s="22">
        <v>11100</v>
      </c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</row>
    <row r="60" spans="1:28" outlineLevel="1" x14ac:dyDescent="0.25">
      <c r="A60" s="66" t="str">
        <f t="shared" si="2"/>
        <v>Varmemængder.Cooler</v>
      </c>
      <c r="B60" s="8" t="s">
        <v>4</v>
      </c>
      <c r="C60" s="23" t="s">
        <v>43</v>
      </c>
      <c r="D60" s="22">
        <v>-9622.5105275687874</v>
      </c>
      <c r="E60" s="22">
        <v>-9622.5126764450688</v>
      </c>
      <c r="F60" s="22">
        <v>-9622.510461480204</v>
      </c>
      <c r="G60" s="22">
        <v>-9622.5104614802003</v>
      </c>
      <c r="H60" s="22">
        <v>-3002.9216967067496</v>
      </c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</row>
    <row r="61" spans="1:28" outlineLevel="1" x14ac:dyDescent="0.25">
      <c r="A61" s="66" t="str">
        <f t="shared" si="2"/>
        <v>Varmemængder.PeakK</v>
      </c>
      <c r="B61" s="8" t="s">
        <v>4</v>
      </c>
      <c r="C61" s="23" t="s">
        <v>44</v>
      </c>
      <c r="D61" s="22">
        <v>1.1999999999999997E-13</v>
      </c>
      <c r="E61" s="22">
        <v>1.1999999999999997E-13</v>
      </c>
      <c r="F61" s="22">
        <v>1.1999999999999997E-13</v>
      </c>
      <c r="G61" s="22">
        <v>1.1999999999999997E-13</v>
      </c>
      <c r="H61" s="22">
        <v>1.1999999999999997E-13</v>
      </c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</row>
    <row r="62" spans="1:28" outlineLevel="1" x14ac:dyDescent="0.25">
      <c r="A62" s="69" t="str">
        <f t="shared" si="2"/>
        <v/>
      </c>
      <c r="B62" s="25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</row>
    <row r="63" spans="1:28" s="20" customFormat="1" ht="18.75" x14ac:dyDescent="0.3">
      <c r="A63" s="61"/>
      <c r="B63" s="33" t="s">
        <v>3</v>
      </c>
      <c r="C63" s="33" t="s">
        <v>139</v>
      </c>
      <c r="D63" s="32" t="s">
        <v>138</v>
      </c>
      <c r="E63" s="32" t="s">
        <v>160</v>
      </c>
      <c r="F63" s="32" t="s">
        <v>161</v>
      </c>
      <c r="G63" s="32" t="s">
        <v>162</v>
      </c>
      <c r="H63" s="32" t="s">
        <v>163</v>
      </c>
      <c r="I63" s="32"/>
      <c r="J63" s="32"/>
      <c r="K63" s="32"/>
      <c r="L63" s="32"/>
      <c r="M63" s="32"/>
      <c r="N63" s="32"/>
      <c r="O63" s="32"/>
      <c r="P63" s="32"/>
      <c r="Q63" s="32"/>
      <c r="R63" s="32"/>
      <c r="S63" s="32"/>
      <c r="T63" s="32"/>
      <c r="U63" s="32"/>
      <c r="V63" s="32"/>
      <c r="W63" s="32"/>
      <c r="X63" s="32"/>
      <c r="Y63" s="32"/>
      <c r="Z63" s="32"/>
      <c r="AA63" s="32"/>
    </row>
    <row r="64" spans="1:28" outlineLevel="1" x14ac:dyDescent="0.25">
      <c r="A64" s="65" t="str">
        <f>IF(NOT(ISBLANK(C64)),$C$63&amp;"."&amp;C64,"")</f>
        <v>Brændselsforbrug.DepoSort</v>
      </c>
      <c r="B64" s="28" t="s">
        <v>18</v>
      </c>
      <c r="C64" s="29" t="s">
        <v>45</v>
      </c>
      <c r="D64" s="48">
        <v>12837.548075001234</v>
      </c>
      <c r="E64" s="48">
        <v>12837.548075001232</v>
      </c>
      <c r="F64" s="48">
        <v>12837.548075001234</v>
      </c>
      <c r="G64" s="48">
        <v>12864.822427495115</v>
      </c>
      <c r="H64" s="48">
        <v>12837.548075001234</v>
      </c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  <c r="AA64" s="48"/>
    </row>
    <row r="65" spans="1:27" outlineLevel="1" x14ac:dyDescent="0.25">
      <c r="A65" s="70" t="str">
        <f t="shared" ref="A65:A94" si="3">IF(NOT(ISBLANK(C65)),$C$63&amp;"."&amp;C65,"")</f>
        <v>Brændselsforbrug.DepoSmaat</v>
      </c>
      <c r="B65" s="28" t="s">
        <v>18</v>
      </c>
      <c r="C65" s="29" t="s">
        <v>46</v>
      </c>
      <c r="D65" s="48">
        <v>-1.1999999999999997E-13</v>
      </c>
      <c r="E65" s="48">
        <v>-1.1999999999999997E-13</v>
      </c>
      <c r="F65" s="48">
        <v>-1.1999999999999997E-13</v>
      </c>
      <c r="G65" s="48">
        <v>-1.1999999999999997E-13</v>
      </c>
      <c r="H65" s="48">
        <v>-1.1999999999999997E-13</v>
      </c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  <c r="AA65" s="48"/>
    </row>
    <row r="66" spans="1:27" outlineLevel="1" x14ac:dyDescent="0.25">
      <c r="A66" s="70" t="str">
        <f t="shared" si="3"/>
        <v>Brændselsforbrug.DepoNedd</v>
      </c>
      <c r="B66" s="28" t="s">
        <v>18</v>
      </c>
      <c r="C66" s="29" t="s">
        <v>47</v>
      </c>
      <c r="D66" s="48">
        <v>-1.1999999999999997E-13</v>
      </c>
      <c r="E66" s="48">
        <v>-1.1999999999999997E-13</v>
      </c>
      <c r="F66" s="48">
        <v>-1.1999999999999997E-13</v>
      </c>
      <c r="G66" s="48">
        <v>-1.1999999999999997E-13</v>
      </c>
      <c r="H66" s="48">
        <v>-1.1999999999999997E-13</v>
      </c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  <c r="AA66" s="48"/>
    </row>
    <row r="67" spans="1:27" outlineLevel="1" x14ac:dyDescent="0.25">
      <c r="A67" s="70" t="str">
        <f t="shared" si="3"/>
        <v>Brændselsforbrug.Dagren</v>
      </c>
      <c r="B67" s="28" t="s">
        <v>18</v>
      </c>
      <c r="C67" s="29" t="s">
        <v>48</v>
      </c>
      <c r="D67" s="48">
        <v>28766.806369548332</v>
      </c>
      <c r="E67" s="48">
        <v>28766.806369548332</v>
      </c>
      <c r="F67" s="48">
        <v>28766.806369548332</v>
      </c>
      <c r="G67" s="48">
        <v>28766.806369548332</v>
      </c>
      <c r="H67" s="48">
        <v>28766.806369548332</v>
      </c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  <c r="AA67" s="48"/>
    </row>
    <row r="68" spans="1:27" outlineLevel="1" x14ac:dyDescent="0.25">
      <c r="A68" s="70" t="str">
        <f t="shared" si="3"/>
        <v>Brændselsforbrug.AndetBrand</v>
      </c>
      <c r="B68" s="28" t="s">
        <v>18</v>
      </c>
      <c r="C68" s="29" t="s">
        <v>49</v>
      </c>
      <c r="D68" s="48">
        <v>4232.4128797082512</v>
      </c>
      <c r="E68" s="48">
        <v>4232.4128797082512</v>
      </c>
      <c r="F68" s="48">
        <v>4232.4128797082512</v>
      </c>
      <c r="G68" s="48">
        <v>4205.1385272143661</v>
      </c>
      <c r="H68" s="48">
        <v>4232.4128797082512</v>
      </c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  <c r="AA68" s="48"/>
    </row>
    <row r="69" spans="1:27" outlineLevel="1" x14ac:dyDescent="0.25">
      <c r="A69" s="70" t="str">
        <f t="shared" si="3"/>
        <v>Brændselsforbrug.Trae</v>
      </c>
      <c r="B69" s="28" t="s">
        <v>18</v>
      </c>
      <c r="C69" s="29" t="s">
        <v>50</v>
      </c>
      <c r="D69" s="48">
        <v>30.570863904166671</v>
      </c>
      <c r="E69" s="48">
        <v>30.570863904166671</v>
      </c>
      <c r="F69" s="48">
        <v>30.570838891666689</v>
      </c>
      <c r="G69" s="48">
        <v>30.570838891666689</v>
      </c>
      <c r="H69" s="48">
        <v>30.570833333333347</v>
      </c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  <c r="AA69" s="48"/>
    </row>
    <row r="70" spans="1:27" outlineLevel="1" x14ac:dyDescent="0.25">
      <c r="A70" s="70" t="str">
        <f t="shared" si="3"/>
        <v>Brændselsforbrug.DagrenRast</v>
      </c>
      <c r="B70" s="28" t="s">
        <v>18</v>
      </c>
      <c r="C70" s="29" t="s">
        <v>51</v>
      </c>
      <c r="D70" s="48">
        <v>3932.3022656316653</v>
      </c>
      <c r="E70" s="48">
        <v>3932.3022656316653</v>
      </c>
      <c r="F70" s="48">
        <v>3932.3022656316653</v>
      </c>
      <c r="G70" s="48">
        <v>3932.3022656316653</v>
      </c>
      <c r="H70" s="48">
        <v>3932.3011931866658</v>
      </c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  <c r="AA70" s="48"/>
    </row>
    <row r="71" spans="1:27" outlineLevel="1" x14ac:dyDescent="0.25">
      <c r="A71" s="70" t="str">
        <f t="shared" si="3"/>
        <v>Brændselsforbrug.DagrenInst</v>
      </c>
      <c r="B71" s="28" t="s">
        <v>18</v>
      </c>
      <c r="C71" s="29" t="s">
        <v>52</v>
      </c>
      <c r="D71" s="48">
        <v>106.90009799166663</v>
      </c>
      <c r="E71" s="48">
        <v>106.90009799166663</v>
      </c>
      <c r="F71" s="48">
        <v>106.90009799166663</v>
      </c>
      <c r="G71" s="48">
        <v>106.90009799166663</v>
      </c>
      <c r="H71" s="48">
        <v>106.90009799166663</v>
      </c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  <c r="AA71" s="48"/>
    </row>
    <row r="72" spans="1:27" outlineLevel="1" x14ac:dyDescent="0.25">
      <c r="A72" s="70" t="str">
        <f t="shared" si="3"/>
        <v>Brændselsforbrug.DagrenHandel</v>
      </c>
      <c r="B72" s="28" t="s">
        <v>18</v>
      </c>
      <c r="C72" s="29" t="s">
        <v>53</v>
      </c>
      <c r="D72" s="48">
        <v>3910.5130771758318</v>
      </c>
      <c r="E72" s="48">
        <v>3910.5130771758318</v>
      </c>
      <c r="F72" s="48">
        <v>3910.5130771758318</v>
      </c>
      <c r="G72" s="48">
        <v>3910.5130771758318</v>
      </c>
      <c r="H72" s="48">
        <v>3910.5130771758318</v>
      </c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48"/>
      <c r="X72" s="48"/>
      <c r="Y72" s="48"/>
      <c r="Z72" s="48"/>
      <c r="AA72" s="48"/>
    </row>
    <row r="73" spans="1:27" outlineLevel="1" x14ac:dyDescent="0.25">
      <c r="A73" s="70" t="str">
        <f t="shared" si="3"/>
        <v>Brændselsforbrug.DagrenRestau</v>
      </c>
      <c r="B73" s="28" t="s">
        <v>18</v>
      </c>
      <c r="C73" s="29" t="s">
        <v>54</v>
      </c>
      <c r="D73" s="48">
        <v>398.460365255</v>
      </c>
      <c r="E73" s="48">
        <v>398.460365255</v>
      </c>
      <c r="F73" s="48">
        <v>398.460365255</v>
      </c>
      <c r="G73" s="48">
        <v>398.460365255</v>
      </c>
      <c r="H73" s="48">
        <v>398.460365255</v>
      </c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8"/>
      <c r="X73" s="48"/>
      <c r="Y73" s="48"/>
      <c r="Z73" s="48"/>
      <c r="AA73" s="48"/>
    </row>
    <row r="74" spans="1:27" outlineLevel="1" x14ac:dyDescent="0.25">
      <c r="A74" s="70" t="str">
        <f t="shared" si="3"/>
        <v>Brændselsforbrug.Erhverv</v>
      </c>
      <c r="B74" s="28" t="s">
        <v>18</v>
      </c>
      <c r="C74" s="29" t="s">
        <v>55</v>
      </c>
      <c r="D74" s="48">
        <v>6141.6756298641649</v>
      </c>
      <c r="E74" s="48">
        <v>6141.6756298641649</v>
      </c>
      <c r="F74" s="48">
        <v>6141.6756298641649</v>
      </c>
      <c r="G74" s="48">
        <v>6141.6756298641649</v>
      </c>
      <c r="H74" s="48">
        <v>6141.6756298641649</v>
      </c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  <c r="AA74" s="48"/>
    </row>
    <row r="75" spans="1:27" outlineLevel="1" x14ac:dyDescent="0.25">
      <c r="A75" s="70" t="str">
        <f t="shared" si="3"/>
        <v>Brændselsforbrug.DagrenErhverv</v>
      </c>
      <c r="B75" s="28" t="s">
        <v>18</v>
      </c>
      <c r="C75" s="29" t="s">
        <v>56</v>
      </c>
      <c r="D75" s="48">
        <v>123.00762300749997</v>
      </c>
      <c r="E75" s="48">
        <v>123.00762300749997</v>
      </c>
      <c r="F75" s="48">
        <v>123.00762300749997</v>
      </c>
      <c r="G75" s="48">
        <v>123.00762300749997</v>
      </c>
      <c r="H75" s="48">
        <v>123.00762300749997</v>
      </c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  <c r="X75" s="48"/>
      <c r="Y75" s="48"/>
      <c r="Z75" s="48"/>
      <c r="AA75" s="48"/>
    </row>
    <row r="76" spans="1:27" outlineLevel="1" x14ac:dyDescent="0.25">
      <c r="A76" s="70" t="str">
        <f t="shared" si="3"/>
        <v>Brændselsforbrug.HandelKontor</v>
      </c>
      <c r="B76" s="28" t="s">
        <v>18</v>
      </c>
      <c r="C76" s="29" t="s">
        <v>57</v>
      </c>
      <c r="D76" s="48">
        <v>52.965009630000004</v>
      </c>
      <c r="E76" s="48">
        <v>52.965052965000019</v>
      </c>
      <c r="F76" s="48">
        <v>52.965009630000004</v>
      </c>
      <c r="G76" s="48">
        <v>52.965009630000004</v>
      </c>
      <c r="H76" s="48">
        <v>52.965000000000003</v>
      </c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  <c r="AA76" s="48"/>
    </row>
    <row r="77" spans="1:27" outlineLevel="1" x14ac:dyDescent="0.25">
      <c r="A77" s="70" t="str">
        <f t="shared" si="3"/>
        <v>Brændselsforbrug.Privat</v>
      </c>
      <c r="B77" s="28" t="s">
        <v>18</v>
      </c>
      <c r="C77" s="29" t="s">
        <v>58</v>
      </c>
      <c r="D77" s="48">
        <v>11.815845149166677</v>
      </c>
      <c r="E77" s="48">
        <v>11.815845149166677</v>
      </c>
      <c r="F77" s="48">
        <v>11.815845149166677</v>
      </c>
      <c r="G77" s="48">
        <v>11.815845149166677</v>
      </c>
      <c r="H77" s="48">
        <v>11.815845149166677</v>
      </c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  <c r="AA77" s="48"/>
    </row>
    <row r="78" spans="1:27" outlineLevel="1" x14ac:dyDescent="0.25">
      <c r="A78" s="70" t="str">
        <f t="shared" si="3"/>
        <v>Brændselsforbrug.TyskRest</v>
      </c>
      <c r="B78" s="28" t="s">
        <v>18</v>
      </c>
      <c r="C78" s="29" t="s">
        <v>59</v>
      </c>
      <c r="D78" s="48">
        <v>40000.039999999986</v>
      </c>
      <c r="E78" s="48">
        <v>40000.039999999979</v>
      </c>
      <c r="F78" s="48">
        <v>40000.039999999986</v>
      </c>
      <c r="G78" s="48">
        <v>40000.039999999986</v>
      </c>
      <c r="H78" s="48">
        <v>36540.325843365637</v>
      </c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48"/>
      <c r="X78" s="48"/>
      <c r="Y78" s="48"/>
      <c r="Z78" s="48"/>
      <c r="AA78" s="48"/>
    </row>
    <row r="79" spans="1:27" outlineLevel="1" x14ac:dyDescent="0.25">
      <c r="A79" s="70" t="str">
        <f t="shared" si="3"/>
        <v>Brændselsforbrug.PolskRest</v>
      </c>
      <c r="B79" s="28" t="s">
        <v>18</v>
      </c>
      <c r="C79" s="29" t="s">
        <v>60</v>
      </c>
      <c r="D79" s="48">
        <v>141.24930791583336</v>
      </c>
      <c r="E79" s="48">
        <v>141.24930791583336</v>
      </c>
      <c r="F79" s="48">
        <v>141.24930791583336</v>
      </c>
      <c r="G79" s="48">
        <v>141.24930791583336</v>
      </c>
      <c r="H79" s="48">
        <v>141.24930791583336</v>
      </c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48"/>
      <c r="Z79" s="48"/>
      <c r="AA79" s="48"/>
    </row>
    <row r="80" spans="1:27" outlineLevel="1" x14ac:dyDescent="0.25">
      <c r="A80" s="70" t="str">
        <f t="shared" si="3"/>
        <v>Brændselsforbrug.PcbTrae</v>
      </c>
      <c r="B80" s="28" t="s">
        <v>18</v>
      </c>
      <c r="C80" s="29" t="s">
        <v>61</v>
      </c>
      <c r="D80" s="48">
        <v>-1.1999999999999997E-13</v>
      </c>
      <c r="E80" s="48">
        <v>-1.1999999999999997E-13</v>
      </c>
      <c r="F80" s="48">
        <v>-1.1999999999999997E-13</v>
      </c>
      <c r="G80" s="48">
        <v>-1.1999999999999997E-13</v>
      </c>
      <c r="H80" s="48">
        <v>-1.1999999999999997E-13</v>
      </c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48"/>
      <c r="X80" s="48"/>
      <c r="Y80" s="48"/>
      <c r="Z80" s="48"/>
      <c r="AA80" s="48"/>
    </row>
    <row r="81" spans="1:27" outlineLevel="1" x14ac:dyDescent="0.25">
      <c r="A81" s="70" t="str">
        <f t="shared" si="3"/>
        <v>Brændselsforbrug.TraeRekv</v>
      </c>
      <c r="B81" s="28" t="s">
        <v>18</v>
      </c>
      <c r="C81" s="29" t="s">
        <v>62</v>
      </c>
      <c r="D81" s="48">
        <v>957.48600742166673</v>
      </c>
      <c r="E81" s="48">
        <v>957.48679081916669</v>
      </c>
      <c r="F81" s="48">
        <v>957.48600742166673</v>
      </c>
      <c r="G81" s="48">
        <v>957.48600742166673</v>
      </c>
      <c r="H81" s="48">
        <v>957.4858333333334</v>
      </c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48"/>
      <c r="X81" s="48"/>
      <c r="Y81" s="48"/>
      <c r="Z81" s="48"/>
      <c r="AA81" s="48"/>
    </row>
    <row r="82" spans="1:27" outlineLevel="1" x14ac:dyDescent="0.25">
      <c r="A82" s="70" t="str">
        <f t="shared" si="3"/>
        <v>Brændselsforbrug.Halm</v>
      </c>
      <c r="B82" s="28" t="s">
        <v>18</v>
      </c>
      <c r="C82" s="29" t="s">
        <v>63</v>
      </c>
      <c r="D82" s="48">
        <v>-1.1999999999999997E-13</v>
      </c>
      <c r="E82" s="48">
        <v>-1.1999999999999997E-13</v>
      </c>
      <c r="F82" s="48">
        <v>-1.1999999999999997E-13</v>
      </c>
      <c r="G82" s="48">
        <v>-1.1999999999999997E-13</v>
      </c>
      <c r="H82" s="48">
        <v>-1.1999999999999997E-13</v>
      </c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  <c r="X82" s="48"/>
      <c r="Y82" s="48"/>
      <c r="Z82" s="48"/>
      <c r="AA82" s="48"/>
    </row>
    <row r="83" spans="1:27" outlineLevel="1" x14ac:dyDescent="0.25">
      <c r="A83" s="70" t="str">
        <f t="shared" si="3"/>
        <v>Brændselsforbrug.Pulver</v>
      </c>
      <c r="B83" s="28" t="s">
        <v>18</v>
      </c>
      <c r="C83" s="29" t="s">
        <v>64</v>
      </c>
      <c r="D83" s="48">
        <v>104.445104445</v>
      </c>
      <c r="E83" s="48">
        <v>104.445104445</v>
      </c>
      <c r="F83" s="48">
        <v>104.445104445</v>
      </c>
      <c r="G83" s="48">
        <v>104.445104445</v>
      </c>
      <c r="H83" s="48">
        <v>104.445104445</v>
      </c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  <c r="AA83" s="48"/>
    </row>
    <row r="84" spans="1:27" outlineLevel="1" x14ac:dyDescent="0.25">
      <c r="A84" s="70" t="str">
        <f t="shared" si="3"/>
        <v>Brændselsforbrug.FlisAffald</v>
      </c>
      <c r="B84" s="28" t="s">
        <v>18</v>
      </c>
      <c r="C84" s="29" t="s">
        <v>65</v>
      </c>
      <c r="D84" s="48">
        <v>212.2001945166667</v>
      </c>
      <c r="E84" s="48">
        <v>212.2001945166667</v>
      </c>
      <c r="F84" s="48">
        <v>212.2001945166667</v>
      </c>
      <c r="G84" s="48">
        <v>212.2001945166667</v>
      </c>
      <c r="H84" s="48">
        <v>212.2001945166667</v>
      </c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  <c r="AA84" s="48"/>
    </row>
    <row r="85" spans="1:27" outlineLevel="1" x14ac:dyDescent="0.25">
      <c r="A85" s="70" t="str">
        <f t="shared" si="3"/>
        <v>Brændselsforbrug.NyAff1</v>
      </c>
      <c r="B85" s="28" t="s">
        <v>18</v>
      </c>
      <c r="C85" s="29" t="s">
        <v>66</v>
      </c>
      <c r="D85" s="48">
        <v>-1.1999999999999997E-13</v>
      </c>
      <c r="E85" s="48">
        <v>-1.1999999999999997E-13</v>
      </c>
      <c r="F85" s="48">
        <v>-1.1999999999999997E-13</v>
      </c>
      <c r="G85" s="48">
        <v>-1.1999999999999997E-13</v>
      </c>
      <c r="H85" s="48">
        <v>-1.1999999999999997E-13</v>
      </c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  <c r="AA85" s="48"/>
    </row>
    <row r="86" spans="1:27" outlineLevel="1" x14ac:dyDescent="0.25">
      <c r="A86" s="70" t="str">
        <f t="shared" si="3"/>
        <v>Brændselsforbrug.NyAff2</v>
      </c>
      <c r="B86" s="28" t="s">
        <v>18</v>
      </c>
      <c r="C86" s="29" t="s">
        <v>67</v>
      </c>
      <c r="D86" s="48">
        <v>-1.1999999999999997E-13</v>
      </c>
      <c r="E86" s="48">
        <v>-1.1999999999999997E-13</v>
      </c>
      <c r="F86" s="48">
        <v>-1.1999999999999997E-13</v>
      </c>
      <c r="G86" s="48">
        <v>-1.1999999999999997E-13</v>
      </c>
      <c r="H86" s="48">
        <v>-1.1999999999999997E-13</v>
      </c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  <c r="AA86" s="48"/>
    </row>
    <row r="87" spans="1:27" outlineLevel="1" x14ac:dyDescent="0.25">
      <c r="A87" s="70" t="str">
        <f t="shared" si="3"/>
        <v>Brændselsforbrug.NyAff3</v>
      </c>
      <c r="B87" s="28" t="s">
        <v>18</v>
      </c>
      <c r="C87" s="29" t="s">
        <v>68</v>
      </c>
      <c r="D87" s="48">
        <v>-1.1999999999999997E-13</v>
      </c>
      <c r="E87" s="48">
        <v>-1.1999999999999997E-13</v>
      </c>
      <c r="F87" s="48">
        <v>-1.1999999999999997E-13</v>
      </c>
      <c r="G87" s="48">
        <v>-1.1999999999999997E-13</v>
      </c>
      <c r="H87" s="48">
        <v>-1.1999999999999997E-13</v>
      </c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  <c r="AA87" s="48"/>
    </row>
    <row r="88" spans="1:27" outlineLevel="1" x14ac:dyDescent="0.25">
      <c r="A88" s="70" t="str">
        <f t="shared" si="3"/>
        <v>Brændselsforbrug.NyAff4</v>
      </c>
      <c r="B88" s="28" t="s">
        <v>18</v>
      </c>
      <c r="C88" s="29" t="s">
        <v>69</v>
      </c>
      <c r="D88" s="48">
        <v>-1.1999999999999997E-13</v>
      </c>
      <c r="E88" s="48">
        <v>-1.1999999999999997E-13</v>
      </c>
      <c r="F88" s="48">
        <v>-1.1999999999999997E-13</v>
      </c>
      <c r="G88" s="48">
        <v>-1.1999999999999997E-13</v>
      </c>
      <c r="H88" s="48">
        <v>-1.1999999999999997E-13</v>
      </c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Z88" s="48"/>
      <c r="AA88" s="48"/>
    </row>
    <row r="89" spans="1:27" outlineLevel="1" x14ac:dyDescent="0.25">
      <c r="A89" s="70" t="str">
        <f t="shared" si="3"/>
        <v>Brændselsforbrug.NyAff5</v>
      </c>
      <c r="B89" s="28" t="s">
        <v>18</v>
      </c>
      <c r="C89" s="29" t="s">
        <v>70</v>
      </c>
      <c r="D89" s="48">
        <v>-1.1999999999999997E-13</v>
      </c>
      <c r="E89" s="48">
        <v>-1.1999999999999997E-13</v>
      </c>
      <c r="F89" s="48">
        <v>-1.1999999999999997E-13</v>
      </c>
      <c r="G89" s="48">
        <v>-1.1999999999999997E-13</v>
      </c>
      <c r="H89" s="48">
        <v>-1.1999999999999997E-13</v>
      </c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  <c r="AA89" s="48"/>
    </row>
    <row r="90" spans="1:27" outlineLevel="1" x14ac:dyDescent="0.25">
      <c r="A90" s="70" t="str">
        <f t="shared" si="3"/>
        <v>Brændselsforbrug.Flis</v>
      </c>
      <c r="B90" s="28" t="s">
        <v>18</v>
      </c>
      <c r="C90" s="29" t="s">
        <v>71</v>
      </c>
      <c r="D90" s="48">
        <v>4909.1176425234453</v>
      </c>
      <c r="E90" s="48">
        <v>4909.1176425234444</v>
      </c>
      <c r="F90" s="48">
        <v>4909.1176425234444</v>
      </c>
      <c r="G90" s="48">
        <v>4909.1176425234444</v>
      </c>
      <c r="H90" s="48">
        <v>4909.1181531154061</v>
      </c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  <c r="AA90" s="48"/>
    </row>
    <row r="91" spans="1:27" outlineLevel="1" x14ac:dyDescent="0.25">
      <c r="A91" s="70" t="str">
        <f t="shared" si="3"/>
        <v>Brændselsforbrug.NSvarme</v>
      </c>
      <c r="B91" s="28" t="s">
        <v>18</v>
      </c>
      <c r="C91" s="29" t="s">
        <v>72</v>
      </c>
      <c r="D91" s="48">
        <v>11100</v>
      </c>
      <c r="E91" s="48">
        <v>11100</v>
      </c>
      <c r="F91" s="48">
        <v>11100</v>
      </c>
      <c r="G91" s="48">
        <v>11100</v>
      </c>
      <c r="H91" s="48">
        <v>11100</v>
      </c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  <c r="AA91" s="48"/>
    </row>
    <row r="92" spans="1:27" outlineLevel="1" x14ac:dyDescent="0.25">
      <c r="A92" s="70" t="str">
        <f t="shared" si="3"/>
        <v>Brændselsforbrug.PeakFuel</v>
      </c>
      <c r="B92" s="28" t="s">
        <v>18</v>
      </c>
      <c r="C92" s="29" t="s">
        <v>73</v>
      </c>
      <c r="D92" s="48">
        <v>1.1999999999999997E-13</v>
      </c>
      <c r="E92" s="48">
        <v>1.1999999999999997E-13</v>
      </c>
      <c r="F92" s="48">
        <v>1.1999999999999997E-13</v>
      </c>
      <c r="G92" s="48">
        <v>1.1999999999999997E-13</v>
      </c>
      <c r="H92" s="48">
        <v>1.1999999999999997E-13</v>
      </c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  <c r="AA92" s="48"/>
    </row>
    <row r="93" spans="1:27" outlineLevel="1" x14ac:dyDescent="0.25">
      <c r="A93" s="71" t="str">
        <f t="shared" si="3"/>
        <v/>
      </c>
      <c r="B93" s="28"/>
      <c r="C93" s="29"/>
      <c r="D93" s="27"/>
      <c r="E93" s="27"/>
      <c r="F93" s="27"/>
      <c r="G93" s="27"/>
      <c r="H93" s="27"/>
      <c r="I93" s="27"/>
      <c r="J93" s="27"/>
      <c r="K93" s="27"/>
      <c r="L93" s="27"/>
      <c r="M93" s="27"/>
      <c r="N93" s="27"/>
      <c r="O93" s="27"/>
      <c r="P93" s="27"/>
      <c r="Q93" s="27"/>
      <c r="R93" s="27"/>
      <c r="S93" s="27"/>
      <c r="T93" s="27"/>
      <c r="U93" s="27"/>
      <c r="V93" s="27"/>
      <c r="W93" s="27"/>
      <c r="X93" s="27"/>
      <c r="Y93" s="27"/>
      <c r="Z93" s="27"/>
      <c r="AA93" s="27"/>
    </row>
    <row r="94" spans="1:27" outlineLevel="1" x14ac:dyDescent="0.25">
      <c r="A94" s="66" t="str">
        <f t="shared" si="3"/>
        <v/>
      </c>
      <c r="B94" s="8"/>
      <c r="C94" s="30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  <c r="AA94" s="24"/>
    </row>
    <row r="95" spans="1:27" s="20" customFormat="1" ht="18.75" x14ac:dyDescent="0.3">
      <c r="A95" s="61"/>
      <c r="B95" s="33" t="s">
        <v>3</v>
      </c>
      <c r="C95" s="33" t="s">
        <v>140</v>
      </c>
      <c r="D95" s="32" t="s">
        <v>138</v>
      </c>
      <c r="E95" s="32" t="s">
        <v>160</v>
      </c>
      <c r="F95" s="32" t="s">
        <v>161</v>
      </c>
      <c r="G95" s="32" t="s">
        <v>162</v>
      </c>
      <c r="H95" s="32" t="s">
        <v>163</v>
      </c>
      <c r="I95" s="32"/>
      <c r="J95" s="32"/>
      <c r="K95" s="32"/>
      <c r="L95" s="32"/>
      <c r="M95" s="32"/>
      <c r="N95" s="32"/>
      <c r="O95" s="32"/>
      <c r="P95" s="32"/>
      <c r="Q95" s="32"/>
      <c r="R95" s="32"/>
      <c r="S95" s="32"/>
      <c r="T95" s="32"/>
      <c r="U95" s="32"/>
      <c r="V95" s="32"/>
      <c r="W95" s="32"/>
      <c r="X95" s="32"/>
      <c r="Y95" s="32"/>
      <c r="Z95" s="32"/>
      <c r="AA95" s="32"/>
    </row>
    <row r="96" spans="1:27" outlineLevel="1" x14ac:dyDescent="0.25">
      <c r="A96" s="65" t="str">
        <f>IF(NOT(ISBLANK(C96)),$C$95&amp;"."&amp;C96,"")</f>
        <v>Brændselsindkomst.DepoSort</v>
      </c>
      <c r="B96" s="53" t="s">
        <v>2</v>
      </c>
      <c r="C96" s="50" t="s">
        <v>45</v>
      </c>
      <c r="D96" s="49">
        <v>6739712.7393756472</v>
      </c>
      <c r="E96" s="49">
        <v>6739712.7393756462</v>
      </c>
      <c r="F96" s="49">
        <v>6739712.7393756462</v>
      </c>
      <c r="G96" s="49">
        <v>6754031.7744349362</v>
      </c>
      <c r="H96" s="49">
        <v>6739712.7393756472</v>
      </c>
      <c r="I96" s="49"/>
      <c r="J96" s="49"/>
      <c r="K96" s="49"/>
      <c r="L96" s="49"/>
      <c r="M96" s="49"/>
      <c r="N96" s="49"/>
      <c r="O96" s="49"/>
      <c r="P96" s="49"/>
      <c r="Q96" s="49"/>
      <c r="R96" s="49"/>
      <c r="S96" s="49"/>
      <c r="T96" s="49"/>
      <c r="U96" s="49"/>
      <c r="V96" s="49"/>
      <c r="W96" s="49"/>
      <c r="X96" s="49"/>
      <c r="Y96" s="49"/>
      <c r="Z96" s="49"/>
      <c r="AA96" s="49"/>
    </row>
    <row r="97" spans="1:27" outlineLevel="1" x14ac:dyDescent="0.25">
      <c r="A97" s="70" t="str">
        <f t="shared" ref="A97:A130" si="4">IF(NOT(ISBLANK(C97)),$C$95&amp;"."&amp;C97,"")</f>
        <v>Brændselsindkomst.DepoSmaat</v>
      </c>
      <c r="B97" s="53" t="s">
        <v>2</v>
      </c>
      <c r="C97" s="50" t="s">
        <v>46</v>
      </c>
      <c r="D97" s="49">
        <v>-1.1999999999999997E-13</v>
      </c>
      <c r="E97" s="49">
        <v>-1.1999999999999997E-13</v>
      </c>
      <c r="F97" s="49">
        <v>-1.1999999999999997E-13</v>
      </c>
      <c r="G97" s="49">
        <v>-1.1999999999999997E-13</v>
      </c>
      <c r="H97" s="49">
        <v>-1.1999999999999997E-13</v>
      </c>
      <c r="I97" s="49"/>
      <c r="J97" s="49"/>
      <c r="K97" s="49"/>
      <c r="L97" s="49"/>
      <c r="M97" s="49"/>
      <c r="N97" s="49"/>
      <c r="O97" s="49"/>
      <c r="P97" s="49"/>
      <c r="Q97" s="49"/>
      <c r="R97" s="49"/>
      <c r="S97" s="49"/>
      <c r="T97" s="49"/>
      <c r="U97" s="49"/>
      <c r="V97" s="49"/>
      <c r="W97" s="49"/>
      <c r="X97" s="49"/>
      <c r="Y97" s="49"/>
      <c r="Z97" s="49"/>
      <c r="AA97" s="49"/>
    </row>
    <row r="98" spans="1:27" outlineLevel="1" x14ac:dyDescent="0.25">
      <c r="A98" s="70" t="str">
        <f t="shared" si="4"/>
        <v>Brændselsindkomst.DepoNedd</v>
      </c>
      <c r="B98" s="53" t="s">
        <v>2</v>
      </c>
      <c r="C98" s="50" t="s">
        <v>47</v>
      </c>
      <c r="D98" s="49">
        <v>-1.1999999999999997E-13</v>
      </c>
      <c r="E98" s="49">
        <v>-1.1999999999999997E-13</v>
      </c>
      <c r="F98" s="49">
        <v>-1.1999999999999997E-13</v>
      </c>
      <c r="G98" s="49">
        <v>-1.1999999999999997E-13</v>
      </c>
      <c r="H98" s="49">
        <v>-1.1999999999999997E-13</v>
      </c>
      <c r="I98" s="49"/>
      <c r="J98" s="49"/>
      <c r="K98" s="49"/>
      <c r="L98" s="49"/>
      <c r="M98" s="49"/>
      <c r="N98" s="49"/>
      <c r="O98" s="49"/>
      <c r="P98" s="49"/>
      <c r="Q98" s="49"/>
      <c r="R98" s="49"/>
      <c r="S98" s="49"/>
      <c r="T98" s="49"/>
      <c r="U98" s="49"/>
      <c r="V98" s="49"/>
      <c r="W98" s="49"/>
      <c r="X98" s="49"/>
      <c r="Y98" s="49"/>
      <c r="Z98" s="49"/>
      <c r="AA98" s="49"/>
    </row>
    <row r="99" spans="1:27" outlineLevel="1" x14ac:dyDescent="0.25">
      <c r="A99" s="70" t="str">
        <f t="shared" si="4"/>
        <v>Brændselsindkomst.Dagren</v>
      </c>
      <c r="B99" s="53" t="s">
        <v>2</v>
      </c>
      <c r="C99" s="50" t="s">
        <v>48</v>
      </c>
      <c r="D99" s="49">
        <v>15102573.344012871</v>
      </c>
      <c r="E99" s="49">
        <v>15102573.344012871</v>
      </c>
      <c r="F99" s="49">
        <v>15102573.344012871</v>
      </c>
      <c r="G99" s="49">
        <v>15102573.344012871</v>
      </c>
      <c r="H99" s="49">
        <v>15102573.344012871</v>
      </c>
      <c r="I99" s="49"/>
      <c r="J99" s="49"/>
      <c r="K99" s="49"/>
      <c r="L99" s="49"/>
      <c r="M99" s="49"/>
      <c r="N99" s="49"/>
      <c r="O99" s="49"/>
      <c r="P99" s="49"/>
      <c r="Q99" s="49"/>
      <c r="R99" s="49"/>
      <c r="S99" s="49"/>
      <c r="T99" s="49"/>
      <c r="U99" s="49"/>
      <c r="V99" s="49"/>
      <c r="W99" s="49"/>
      <c r="X99" s="49"/>
      <c r="Y99" s="49"/>
      <c r="Z99" s="49"/>
      <c r="AA99" s="49"/>
    </row>
    <row r="100" spans="1:27" outlineLevel="1" x14ac:dyDescent="0.25">
      <c r="A100" s="70" t="str">
        <f t="shared" si="4"/>
        <v>Brændselsindkomst.AndetBrand</v>
      </c>
      <c r="B100" s="53" t="s">
        <v>2</v>
      </c>
      <c r="C100" s="50" t="s">
        <v>49</v>
      </c>
      <c r="D100" s="49">
        <v>2222016.7618468315</v>
      </c>
      <c r="E100" s="49">
        <v>2222016.7618468315</v>
      </c>
      <c r="F100" s="49">
        <v>2222016.7618468315</v>
      </c>
      <c r="G100" s="49">
        <v>2207697.726787542</v>
      </c>
      <c r="H100" s="49">
        <v>2222016.7618468315</v>
      </c>
      <c r="I100" s="49"/>
      <c r="J100" s="49"/>
      <c r="K100" s="49"/>
      <c r="L100" s="49"/>
      <c r="M100" s="49"/>
      <c r="N100" s="49"/>
      <c r="O100" s="49"/>
      <c r="P100" s="49"/>
      <c r="Q100" s="49"/>
      <c r="R100" s="49"/>
      <c r="S100" s="49"/>
      <c r="T100" s="49"/>
      <c r="U100" s="49"/>
      <c r="V100" s="49"/>
      <c r="W100" s="49"/>
      <c r="X100" s="49"/>
      <c r="Y100" s="49"/>
      <c r="Z100" s="49"/>
      <c r="AA100" s="49"/>
    </row>
    <row r="101" spans="1:27" outlineLevel="1" x14ac:dyDescent="0.25">
      <c r="A101" s="70" t="str">
        <f t="shared" si="4"/>
        <v>Brændselsindkomst.Trae</v>
      </c>
      <c r="B101" s="53" t="s">
        <v>2</v>
      </c>
      <c r="C101" s="50" t="s">
        <v>50</v>
      </c>
      <c r="D101" s="49">
        <v>4738.483905145833</v>
      </c>
      <c r="E101" s="49">
        <v>4738.483905145833</v>
      </c>
      <c r="F101" s="49">
        <v>4738.4800282083343</v>
      </c>
      <c r="G101" s="49">
        <v>4738.4800282083343</v>
      </c>
      <c r="H101" s="49">
        <v>4738.479166666667</v>
      </c>
      <c r="I101" s="49"/>
      <c r="J101" s="49"/>
      <c r="K101" s="49"/>
      <c r="L101" s="49"/>
      <c r="M101" s="49"/>
      <c r="N101" s="49"/>
      <c r="O101" s="49"/>
      <c r="P101" s="49"/>
      <c r="Q101" s="49"/>
      <c r="R101" s="49"/>
      <c r="S101" s="49"/>
      <c r="T101" s="49"/>
      <c r="U101" s="49"/>
      <c r="V101" s="49"/>
      <c r="W101" s="49"/>
      <c r="X101" s="49"/>
      <c r="Y101" s="49"/>
      <c r="Z101" s="49"/>
      <c r="AA101" s="49"/>
    </row>
    <row r="102" spans="1:27" outlineLevel="1" x14ac:dyDescent="0.25">
      <c r="A102" s="70" t="str">
        <f t="shared" si="4"/>
        <v>Brændselsindkomst.DagrenRast</v>
      </c>
      <c r="B102" s="53" t="s">
        <v>2</v>
      </c>
      <c r="C102" s="50" t="s">
        <v>51</v>
      </c>
      <c r="D102" s="49">
        <v>2064458.6894566244</v>
      </c>
      <c r="E102" s="49">
        <v>2064458.6894566244</v>
      </c>
      <c r="F102" s="49">
        <v>2064458.6894566244</v>
      </c>
      <c r="G102" s="49">
        <v>2064458.6894566244</v>
      </c>
      <c r="H102" s="49">
        <v>2064458.1264229994</v>
      </c>
      <c r="I102" s="49"/>
      <c r="J102" s="49"/>
      <c r="K102" s="49"/>
      <c r="L102" s="49"/>
      <c r="M102" s="49"/>
      <c r="N102" s="49"/>
      <c r="O102" s="49"/>
      <c r="P102" s="49"/>
      <c r="Q102" s="49"/>
      <c r="R102" s="49"/>
      <c r="S102" s="49"/>
      <c r="T102" s="49"/>
      <c r="U102" s="49"/>
      <c r="V102" s="49"/>
      <c r="W102" s="49"/>
      <c r="X102" s="49"/>
      <c r="Y102" s="49"/>
      <c r="Z102" s="49"/>
      <c r="AA102" s="49"/>
    </row>
    <row r="103" spans="1:27" outlineLevel="1" x14ac:dyDescent="0.25">
      <c r="A103" s="70" t="str">
        <f t="shared" si="4"/>
        <v>Brændselsindkomst.DagrenInst</v>
      </c>
      <c r="B103" s="53" t="s">
        <v>2</v>
      </c>
      <c r="C103" s="50" t="s">
        <v>52</v>
      </c>
      <c r="D103" s="49">
        <v>56122.55144562498</v>
      </c>
      <c r="E103" s="49">
        <v>56122.55144562498</v>
      </c>
      <c r="F103" s="49">
        <v>56122.55144562498</v>
      </c>
      <c r="G103" s="49">
        <v>56122.55144562498</v>
      </c>
      <c r="H103" s="49">
        <v>56122.55144562498</v>
      </c>
      <c r="I103" s="49"/>
      <c r="J103" s="49"/>
      <c r="K103" s="49"/>
      <c r="L103" s="49"/>
      <c r="M103" s="49"/>
      <c r="N103" s="49"/>
      <c r="O103" s="49"/>
      <c r="P103" s="49"/>
      <c r="Q103" s="49"/>
      <c r="R103" s="49"/>
      <c r="S103" s="49"/>
      <c r="T103" s="49"/>
      <c r="U103" s="49"/>
      <c r="V103" s="49"/>
      <c r="W103" s="49"/>
      <c r="X103" s="49"/>
      <c r="Y103" s="49"/>
      <c r="Z103" s="49"/>
      <c r="AA103" s="49"/>
    </row>
    <row r="104" spans="1:27" outlineLevel="1" x14ac:dyDescent="0.25">
      <c r="A104" s="70" t="str">
        <f t="shared" si="4"/>
        <v>Brændselsindkomst.DagrenHandel</v>
      </c>
      <c r="B104" s="53" t="s">
        <v>2</v>
      </c>
      <c r="C104" s="50" t="s">
        <v>53</v>
      </c>
      <c r="D104" s="49">
        <v>2053019.3655173127</v>
      </c>
      <c r="E104" s="49">
        <v>2053019.3655173127</v>
      </c>
      <c r="F104" s="49">
        <v>2053019.3655173127</v>
      </c>
      <c r="G104" s="49">
        <v>2053019.3655173127</v>
      </c>
      <c r="H104" s="49">
        <v>2053019.3655173127</v>
      </c>
      <c r="I104" s="49"/>
      <c r="J104" s="49"/>
      <c r="K104" s="49"/>
      <c r="L104" s="49"/>
      <c r="M104" s="49"/>
      <c r="N104" s="49"/>
      <c r="O104" s="49"/>
      <c r="P104" s="49"/>
      <c r="Q104" s="49"/>
      <c r="R104" s="49"/>
      <c r="S104" s="49"/>
      <c r="T104" s="49"/>
      <c r="U104" s="49"/>
      <c r="V104" s="49"/>
      <c r="W104" s="49"/>
      <c r="X104" s="49"/>
      <c r="Y104" s="49"/>
      <c r="Z104" s="49"/>
      <c r="AA104" s="49"/>
    </row>
    <row r="105" spans="1:27" outlineLevel="1" x14ac:dyDescent="0.25">
      <c r="A105" s="70" t="str">
        <f t="shared" si="4"/>
        <v>Brændselsindkomst.DagrenRestau</v>
      </c>
      <c r="B105" s="53" t="s">
        <v>2</v>
      </c>
      <c r="C105" s="50" t="s">
        <v>54</v>
      </c>
      <c r="D105" s="49">
        <v>209191.69175887495</v>
      </c>
      <c r="E105" s="49">
        <v>209191.69175887495</v>
      </c>
      <c r="F105" s="49">
        <v>209191.69175887495</v>
      </c>
      <c r="G105" s="49">
        <v>209191.69175887495</v>
      </c>
      <c r="H105" s="49">
        <v>209191.69175887495</v>
      </c>
      <c r="I105" s="49"/>
      <c r="J105" s="49"/>
      <c r="K105" s="49"/>
      <c r="L105" s="49"/>
      <c r="M105" s="49"/>
      <c r="N105" s="49"/>
      <c r="O105" s="49"/>
      <c r="P105" s="49"/>
      <c r="Q105" s="49"/>
      <c r="R105" s="49"/>
      <c r="S105" s="49"/>
      <c r="T105" s="49"/>
      <c r="U105" s="49"/>
      <c r="V105" s="49"/>
      <c r="W105" s="49"/>
      <c r="X105" s="49"/>
      <c r="Y105" s="49"/>
      <c r="Z105" s="49"/>
      <c r="AA105" s="49"/>
    </row>
    <row r="106" spans="1:27" outlineLevel="1" x14ac:dyDescent="0.25">
      <c r="A106" s="70" t="str">
        <f t="shared" si="4"/>
        <v>Brændselsindkomst.Erhverv</v>
      </c>
      <c r="B106" s="53" t="s">
        <v>2</v>
      </c>
      <c r="C106" s="50" t="s">
        <v>55</v>
      </c>
      <c r="D106" s="49">
        <v>3224379.7056786865</v>
      </c>
      <c r="E106" s="49">
        <v>3224379.7056786865</v>
      </c>
      <c r="F106" s="49">
        <v>3224379.7056786865</v>
      </c>
      <c r="G106" s="49">
        <v>3224379.7056786865</v>
      </c>
      <c r="H106" s="49">
        <v>3224379.7056786865</v>
      </c>
      <c r="I106" s="49"/>
      <c r="J106" s="49"/>
      <c r="K106" s="49"/>
      <c r="L106" s="49"/>
      <c r="M106" s="49"/>
      <c r="N106" s="49"/>
      <c r="O106" s="49"/>
      <c r="P106" s="49"/>
      <c r="Q106" s="49"/>
      <c r="R106" s="49"/>
      <c r="S106" s="49"/>
      <c r="T106" s="49"/>
      <c r="U106" s="49"/>
      <c r="V106" s="49"/>
      <c r="W106" s="49"/>
      <c r="X106" s="49"/>
      <c r="Y106" s="49"/>
      <c r="Z106" s="49"/>
      <c r="AA106" s="49"/>
    </row>
    <row r="107" spans="1:27" outlineLevel="1" x14ac:dyDescent="0.25">
      <c r="A107" s="70" t="str">
        <f t="shared" si="4"/>
        <v>Brændselsindkomst.DagrenErhverv</v>
      </c>
      <c r="B107" s="53" t="s">
        <v>2</v>
      </c>
      <c r="C107" s="50" t="s">
        <v>56</v>
      </c>
      <c r="D107" s="49">
        <v>96560.984060887509</v>
      </c>
      <c r="E107" s="49">
        <v>96560.984060887509</v>
      </c>
      <c r="F107" s="49">
        <v>96560.984060887509</v>
      </c>
      <c r="G107" s="49">
        <v>96560.984060887509</v>
      </c>
      <c r="H107" s="49">
        <v>96560.984060887509</v>
      </c>
      <c r="I107" s="49"/>
      <c r="J107" s="49"/>
      <c r="K107" s="49"/>
      <c r="L107" s="49"/>
      <c r="M107" s="49"/>
      <c r="N107" s="49"/>
      <c r="O107" s="49"/>
      <c r="P107" s="49"/>
      <c r="Q107" s="49"/>
      <c r="R107" s="49"/>
      <c r="S107" s="49"/>
      <c r="T107" s="49"/>
      <c r="U107" s="49"/>
      <c r="V107" s="49"/>
      <c r="W107" s="49"/>
      <c r="X107" s="49"/>
      <c r="Y107" s="49"/>
      <c r="Z107" s="49"/>
      <c r="AA107" s="49"/>
    </row>
    <row r="108" spans="1:27" outlineLevel="1" x14ac:dyDescent="0.25">
      <c r="A108" s="70" t="str">
        <f t="shared" si="4"/>
        <v>Brændselsindkomst.HandelKontor</v>
      </c>
      <c r="B108" s="53" t="s">
        <v>2</v>
      </c>
      <c r="C108" s="50" t="s">
        <v>57</v>
      </c>
      <c r="D108" s="49">
        <v>1.1999999999999997E-13</v>
      </c>
      <c r="E108" s="49">
        <v>1.1999999999999997E-13</v>
      </c>
      <c r="F108" s="49">
        <v>1.1999999999999997E-13</v>
      </c>
      <c r="G108" s="49">
        <v>1.1999999999999997E-13</v>
      </c>
      <c r="H108" s="49">
        <v>1.1999999999999997E-13</v>
      </c>
      <c r="I108" s="49"/>
      <c r="J108" s="49"/>
      <c r="K108" s="49"/>
      <c r="L108" s="49"/>
      <c r="M108" s="49"/>
      <c r="N108" s="49"/>
      <c r="O108" s="49"/>
      <c r="P108" s="49"/>
      <c r="Q108" s="49"/>
      <c r="R108" s="49"/>
      <c r="S108" s="49"/>
      <c r="T108" s="49"/>
      <c r="U108" s="49"/>
      <c r="V108" s="49"/>
      <c r="W108" s="49"/>
      <c r="X108" s="49"/>
      <c r="Y108" s="49"/>
      <c r="Z108" s="49"/>
      <c r="AA108" s="49"/>
    </row>
    <row r="109" spans="1:27" outlineLevel="1" x14ac:dyDescent="0.25">
      <c r="A109" s="70" t="str">
        <f t="shared" si="4"/>
        <v>Brændselsindkomst.Privat</v>
      </c>
      <c r="B109" s="53" t="s">
        <v>2</v>
      </c>
      <c r="C109" s="50" t="s">
        <v>58</v>
      </c>
      <c r="D109" s="49">
        <v>6203.3187033124977</v>
      </c>
      <c r="E109" s="49">
        <v>6203.3187033124977</v>
      </c>
      <c r="F109" s="49">
        <v>6203.3187033124977</v>
      </c>
      <c r="G109" s="49">
        <v>6203.3187033124977</v>
      </c>
      <c r="H109" s="49">
        <v>6203.3187033124977</v>
      </c>
      <c r="I109" s="49"/>
      <c r="J109" s="49"/>
      <c r="K109" s="49"/>
      <c r="L109" s="49"/>
      <c r="M109" s="49"/>
      <c r="N109" s="49"/>
      <c r="O109" s="49"/>
      <c r="P109" s="49"/>
      <c r="Q109" s="49"/>
      <c r="R109" s="49"/>
      <c r="S109" s="49"/>
      <c r="T109" s="49"/>
      <c r="U109" s="49"/>
      <c r="V109" s="49"/>
      <c r="W109" s="49"/>
      <c r="X109" s="49"/>
      <c r="Y109" s="49"/>
      <c r="Z109" s="49"/>
      <c r="AA109" s="49"/>
    </row>
    <row r="110" spans="1:27" outlineLevel="1" x14ac:dyDescent="0.25">
      <c r="A110" s="70" t="str">
        <f t="shared" si="4"/>
        <v>Brændselsindkomst.TyskRest</v>
      </c>
      <c r="B110" s="53" t="s">
        <v>2</v>
      </c>
      <c r="C110" s="50" t="s">
        <v>59</v>
      </c>
      <c r="D110" s="49">
        <v>16000015.999999994</v>
      </c>
      <c r="E110" s="49">
        <v>16000015.999999996</v>
      </c>
      <c r="F110" s="49">
        <v>16000015.999999994</v>
      </c>
      <c r="G110" s="49">
        <v>16000015.999999998</v>
      </c>
      <c r="H110" s="49">
        <v>14616130.337346254</v>
      </c>
      <c r="I110" s="49"/>
      <c r="J110" s="49"/>
      <c r="K110" s="49"/>
      <c r="L110" s="49"/>
      <c r="M110" s="49"/>
      <c r="N110" s="49"/>
      <c r="O110" s="49"/>
      <c r="P110" s="49"/>
      <c r="Q110" s="49"/>
      <c r="R110" s="49"/>
      <c r="S110" s="49"/>
      <c r="T110" s="49"/>
      <c r="U110" s="49"/>
      <c r="V110" s="49"/>
      <c r="W110" s="49"/>
      <c r="X110" s="49"/>
      <c r="Y110" s="49"/>
      <c r="Z110" s="49"/>
      <c r="AA110" s="49"/>
    </row>
    <row r="111" spans="1:27" outlineLevel="1" x14ac:dyDescent="0.25">
      <c r="A111" s="70" t="str">
        <f t="shared" si="4"/>
        <v>Brændselsindkomst.PolskRest</v>
      </c>
      <c r="B111" s="53" t="s">
        <v>2</v>
      </c>
      <c r="C111" s="50" t="s">
        <v>60</v>
      </c>
      <c r="D111" s="49">
        <v>72743.393576654154</v>
      </c>
      <c r="E111" s="49">
        <v>72743.393576654154</v>
      </c>
      <c r="F111" s="49">
        <v>72743.393576654154</v>
      </c>
      <c r="G111" s="49">
        <v>72743.393576654154</v>
      </c>
      <c r="H111" s="49">
        <v>72743.393576654154</v>
      </c>
      <c r="I111" s="49"/>
      <c r="J111" s="49"/>
      <c r="K111" s="49"/>
      <c r="L111" s="49"/>
      <c r="M111" s="49"/>
      <c r="N111" s="49"/>
      <c r="O111" s="49"/>
      <c r="P111" s="49"/>
      <c r="Q111" s="49"/>
      <c r="R111" s="49"/>
      <c r="S111" s="49"/>
      <c r="T111" s="49"/>
      <c r="U111" s="49"/>
      <c r="V111" s="49"/>
      <c r="W111" s="49"/>
      <c r="X111" s="49"/>
      <c r="Y111" s="49"/>
      <c r="Z111" s="49"/>
      <c r="AA111" s="49"/>
    </row>
    <row r="112" spans="1:27" outlineLevel="1" x14ac:dyDescent="0.25">
      <c r="A112" s="70" t="str">
        <f t="shared" si="4"/>
        <v>Brændselsindkomst.PcbTrae</v>
      </c>
      <c r="B112" s="53" t="s">
        <v>2</v>
      </c>
      <c r="C112" s="50" t="s">
        <v>61</v>
      </c>
      <c r="D112" s="49">
        <v>-1.1999999999999997E-13</v>
      </c>
      <c r="E112" s="49">
        <v>-1.1999999999999997E-13</v>
      </c>
      <c r="F112" s="49">
        <v>-1.1999999999999997E-13</v>
      </c>
      <c r="G112" s="49">
        <v>-1.1999999999999997E-13</v>
      </c>
      <c r="H112" s="49">
        <v>-1.1999999999999997E-13</v>
      </c>
      <c r="I112" s="49"/>
      <c r="J112" s="49"/>
      <c r="K112" s="49"/>
      <c r="L112" s="49"/>
      <c r="M112" s="49"/>
      <c r="N112" s="49"/>
      <c r="O112" s="49"/>
      <c r="P112" s="49"/>
      <c r="Q112" s="49"/>
      <c r="R112" s="49"/>
      <c r="S112" s="49"/>
      <c r="T112" s="49"/>
      <c r="U112" s="49"/>
      <c r="V112" s="49"/>
      <c r="W112" s="49"/>
      <c r="X112" s="49"/>
      <c r="Y112" s="49"/>
      <c r="Z112" s="49"/>
      <c r="AA112" s="49"/>
    </row>
    <row r="113" spans="1:27" outlineLevel="1" x14ac:dyDescent="0.25">
      <c r="A113" s="70" t="str">
        <f t="shared" si="4"/>
        <v>Brændselsindkomst.TraeRekv</v>
      </c>
      <c r="B113" s="53" t="s">
        <v>2</v>
      </c>
      <c r="C113" s="50" t="s">
        <v>62</v>
      </c>
      <c r="D113" s="49">
        <v>1.1999999999999997E-13</v>
      </c>
      <c r="E113" s="49">
        <v>1.1999999999999997E-13</v>
      </c>
      <c r="F113" s="49">
        <v>1.1999999999999997E-13</v>
      </c>
      <c r="G113" s="49">
        <v>1.1999999999999997E-13</v>
      </c>
      <c r="H113" s="49">
        <v>1.1999999999999997E-13</v>
      </c>
      <c r="I113" s="49"/>
      <c r="J113" s="49"/>
      <c r="K113" s="49"/>
      <c r="L113" s="49"/>
      <c r="M113" s="49"/>
      <c r="N113" s="49"/>
      <c r="O113" s="49"/>
      <c r="P113" s="49"/>
      <c r="Q113" s="49"/>
      <c r="R113" s="49"/>
      <c r="S113" s="49"/>
      <c r="T113" s="49"/>
      <c r="U113" s="49"/>
      <c r="V113" s="49"/>
      <c r="W113" s="49"/>
      <c r="X113" s="49"/>
      <c r="Y113" s="49"/>
      <c r="Z113" s="49"/>
      <c r="AA113" s="49"/>
    </row>
    <row r="114" spans="1:27" outlineLevel="1" x14ac:dyDescent="0.25">
      <c r="A114" s="70" t="str">
        <f t="shared" si="4"/>
        <v>Brændselsindkomst.Halm</v>
      </c>
      <c r="B114" s="53" t="s">
        <v>2</v>
      </c>
      <c r="C114" s="50" t="s">
        <v>63</v>
      </c>
      <c r="D114" s="49">
        <v>-1.1999999999999997E-13</v>
      </c>
      <c r="E114" s="49">
        <v>-1.1999999999999997E-13</v>
      </c>
      <c r="F114" s="49">
        <v>-1.1999999999999997E-13</v>
      </c>
      <c r="G114" s="49">
        <v>-1.1999999999999997E-13</v>
      </c>
      <c r="H114" s="49">
        <v>-1.1999999999999997E-13</v>
      </c>
      <c r="I114" s="49"/>
      <c r="J114" s="49"/>
      <c r="K114" s="49"/>
      <c r="L114" s="49"/>
      <c r="M114" s="49"/>
      <c r="N114" s="49"/>
      <c r="O114" s="49"/>
      <c r="P114" s="49"/>
      <c r="Q114" s="49"/>
      <c r="R114" s="49"/>
      <c r="S114" s="49"/>
      <c r="T114" s="49"/>
      <c r="U114" s="49"/>
      <c r="V114" s="49"/>
      <c r="W114" s="49"/>
      <c r="X114" s="49"/>
      <c r="Y114" s="49"/>
      <c r="Z114" s="49"/>
      <c r="AA114" s="49"/>
    </row>
    <row r="115" spans="1:27" outlineLevel="1" x14ac:dyDescent="0.25">
      <c r="A115" s="70" t="str">
        <f t="shared" si="4"/>
        <v>Brændselsindkomst.Pulver</v>
      </c>
      <c r="B115" s="53" t="s">
        <v>2</v>
      </c>
      <c r="C115" s="50" t="s">
        <v>64</v>
      </c>
      <c r="D115" s="49">
        <v>71544.896544824995</v>
      </c>
      <c r="E115" s="49">
        <v>71544.896544824995</v>
      </c>
      <c r="F115" s="49">
        <v>71544.896544824995</v>
      </c>
      <c r="G115" s="49">
        <v>71544.896544824995</v>
      </c>
      <c r="H115" s="49">
        <v>71544.896544824995</v>
      </c>
      <c r="I115" s="49"/>
      <c r="J115" s="49"/>
      <c r="K115" s="49"/>
      <c r="L115" s="49"/>
      <c r="M115" s="49"/>
      <c r="N115" s="49"/>
      <c r="O115" s="49"/>
      <c r="P115" s="49"/>
      <c r="Q115" s="49"/>
      <c r="R115" s="49"/>
      <c r="S115" s="49"/>
      <c r="T115" s="49"/>
      <c r="U115" s="49"/>
      <c r="V115" s="49"/>
      <c r="W115" s="49"/>
      <c r="X115" s="49"/>
      <c r="Y115" s="49"/>
      <c r="Z115" s="49"/>
      <c r="AA115" s="49"/>
    </row>
    <row r="116" spans="1:27" outlineLevel="1" x14ac:dyDescent="0.25">
      <c r="A116" s="70" t="str">
        <f t="shared" si="4"/>
        <v>Brændselsindkomst.FlisAffald</v>
      </c>
      <c r="B116" s="53" t="s">
        <v>2</v>
      </c>
      <c r="C116" s="50" t="s">
        <v>65</v>
      </c>
      <c r="D116" s="49">
        <v>32891.03015008333</v>
      </c>
      <c r="E116" s="49">
        <v>32891.03015008333</v>
      </c>
      <c r="F116" s="49">
        <v>32891.03015008333</v>
      </c>
      <c r="G116" s="49">
        <v>32891.03015008333</v>
      </c>
      <c r="H116" s="49">
        <v>32891.03015008333</v>
      </c>
      <c r="I116" s="49"/>
      <c r="J116" s="49"/>
      <c r="K116" s="49"/>
      <c r="L116" s="49"/>
      <c r="M116" s="49"/>
      <c r="N116" s="49"/>
      <c r="O116" s="49"/>
      <c r="P116" s="49"/>
      <c r="Q116" s="49"/>
      <c r="R116" s="49"/>
      <c r="S116" s="49"/>
      <c r="T116" s="49"/>
      <c r="U116" s="49"/>
      <c r="V116" s="49"/>
      <c r="W116" s="49"/>
      <c r="X116" s="49"/>
      <c r="Y116" s="49"/>
      <c r="Z116" s="49"/>
      <c r="AA116" s="49"/>
    </row>
    <row r="117" spans="1:27" outlineLevel="1" x14ac:dyDescent="0.25">
      <c r="A117" s="70" t="str">
        <f t="shared" si="4"/>
        <v>Brændselsindkomst.NyAff1</v>
      </c>
      <c r="B117" s="53" t="s">
        <v>2</v>
      </c>
      <c r="C117" s="50" t="s">
        <v>66</v>
      </c>
      <c r="D117" s="49">
        <v>-1.1999999999999997E-13</v>
      </c>
      <c r="E117" s="49">
        <v>-1.1999999999999997E-13</v>
      </c>
      <c r="F117" s="49">
        <v>-1.1999999999999997E-13</v>
      </c>
      <c r="G117" s="49">
        <v>-1.1999999999999997E-13</v>
      </c>
      <c r="H117" s="49">
        <v>-1.1999999999999997E-13</v>
      </c>
      <c r="I117" s="49"/>
      <c r="J117" s="49"/>
      <c r="K117" s="49"/>
      <c r="L117" s="49"/>
      <c r="M117" s="49"/>
      <c r="N117" s="49"/>
      <c r="O117" s="49"/>
      <c r="P117" s="49"/>
      <c r="Q117" s="49"/>
      <c r="R117" s="49"/>
      <c r="S117" s="49"/>
      <c r="T117" s="49"/>
      <c r="U117" s="49"/>
      <c r="V117" s="49"/>
      <c r="W117" s="49"/>
      <c r="X117" s="49"/>
      <c r="Y117" s="49"/>
      <c r="Z117" s="49"/>
      <c r="AA117" s="49"/>
    </row>
    <row r="118" spans="1:27" outlineLevel="1" x14ac:dyDescent="0.25">
      <c r="A118" s="70" t="str">
        <f t="shared" si="4"/>
        <v>Brændselsindkomst.NyAff2</v>
      </c>
      <c r="B118" s="53" t="s">
        <v>2</v>
      </c>
      <c r="C118" s="50" t="s">
        <v>67</v>
      </c>
      <c r="D118" s="49">
        <v>-1.1999999999999997E-13</v>
      </c>
      <c r="E118" s="49">
        <v>-1.1999999999999997E-13</v>
      </c>
      <c r="F118" s="49">
        <v>-1.1999999999999997E-13</v>
      </c>
      <c r="G118" s="49">
        <v>-1.1999999999999997E-13</v>
      </c>
      <c r="H118" s="49">
        <v>-1.1999999999999997E-13</v>
      </c>
      <c r="I118" s="49"/>
      <c r="J118" s="49"/>
      <c r="K118" s="49"/>
      <c r="L118" s="49"/>
      <c r="M118" s="49"/>
      <c r="N118" s="49"/>
      <c r="O118" s="49"/>
      <c r="P118" s="49"/>
      <c r="Q118" s="49"/>
      <c r="R118" s="49"/>
      <c r="S118" s="49"/>
      <c r="T118" s="49"/>
      <c r="U118" s="49"/>
      <c r="V118" s="49"/>
      <c r="W118" s="49"/>
      <c r="X118" s="49"/>
      <c r="Y118" s="49"/>
      <c r="Z118" s="49"/>
      <c r="AA118" s="49"/>
    </row>
    <row r="119" spans="1:27" outlineLevel="1" x14ac:dyDescent="0.25">
      <c r="A119" s="70" t="str">
        <f t="shared" si="4"/>
        <v>Brændselsindkomst.NyAff3</v>
      </c>
      <c r="B119" s="53" t="s">
        <v>2</v>
      </c>
      <c r="C119" s="50" t="s">
        <v>68</v>
      </c>
      <c r="D119" s="49">
        <v>-1.1999999999999997E-13</v>
      </c>
      <c r="E119" s="49">
        <v>-1.1999999999999997E-13</v>
      </c>
      <c r="F119" s="49">
        <v>-1.1999999999999997E-13</v>
      </c>
      <c r="G119" s="49">
        <v>-1.1999999999999997E-13</v>
      </c>
      <c r="H119" s="49">
        <v>-1.1999999999999997E-13</v>
      </c>
      <c r="I119" s="49"/>
      <c r="J119" s="49"/>
      <c r="K119" s="49"/>
      <c r="L119" s="49"/>
      <c r="M119" s="49"/>
      <c r="N119" s="49"/>
      <c r="O119" s="49"/>
      <c r="P119" s="49"/>
      <c r="Q119" s="49"/>
      <c r="R119" s="49"/>
      <c r="S119" s="49"/>
      <c r="T119" s="49"/>
      <c r="U119" s="49"/>
      <c r="V119" s="49"/>
      <c r="W119" s="49"/>
      <c r="X119" s="49"/>
      <c r="Y119" s="49"/>
      <c r="Z119" s="49"/>
      <c r="AA119" s="49"/>
    </row>
    <row r="120" spans="1:27" outlineLevel="1" x14ac:dyDescent="0.25">
      <c r="A120" s="70" t="str">
        <f t="shared" si="4"/>
        <v>Brændselsindkomst.NyAff4</v>
      </c>
      <c r="B120" s="53" t="s">
        <v>2</v>
      </c>
      <c r="C120" s="50" t="s">
        <v>69</v>
      </c>
      <c r="D120" s="49">
        <v>-1.1999999999999997E-13</v>
      </c>
      <c r="E120" s="49">
        <v>-1.1999999999999997E-13</v>
      </c>
      <c r="F120" s="49">
        <v>-1.1999999999999997E-13</v>
      </c>
      <c r="G120" s="49">
        <v>-1.1999999999999997E-13</v>
      </c>
      <c r="H120" s="49">
        <v>-1.1999999999999997E-13</v>
      </c>
      <c r="I120" s="49"/>
      <c r="J120" s="49"/>
      <c r="K120" s="49"/>
      <c r="L120" s="49"/>
      <c r="M120" s="49"/>
      <c r="N120" s="49"/>
      <c r="O120" s="49"/>
      <c r="P120" s="49"/>
      <c r="Q120" s="49"/>
      <c r="R120" s="49"/>
      <c r="S120" s="49"/>
      <c r="T120" s="49"/>
      <c r="U120" s="49"/>
      <c r="V120" s="49"/>
      <c r="W120" s="49"/>
      <c r="X120" s="49"/>
      <c r="Y120" s="49"/>
      <c r="Z120" s="49"/>
      <c r="AA120" s="49"/>
    </row>
    <row r="121" spans="1:27" outlineLevel="1" x14ac:dyDescent="0.25">
      <c r="A121" s="70" t="str">
        <f t="shared" si="4"/>
        <v>Brændselsindkomst.NyAff5</v>
      </c>
      <c r="B121" s="53" t="s">
        <v>2</v>
      </c>
      <c r="C121" s="50" t="s">
        <v>70</v>
      </c>
      <c r="D121" s="49">
        <v>-1.1999999999999997E-13</v>
      </c>
      <c r="E121" s="49">
        <v>-1.1999999999999997E-13</v>
      </c>
      <c r="F121" s="49">
        <v>-1.1999999999999997E-13</v>
      </c>
      <c r="G121" s="49">
        <v>-1.1999999999999997E-13</v>
      </c>
      <c r="H121" s="49">
        <v>-1.1999999999999997E-13</v>
      </c>
      <c r="I121" s="49"/>
      <c r="J121" s="49"/>
      <c r="K121" s="49"/>
      <c r="L121" s="49"/>
      <c r="M121" s="49"/>
      <c r="N121" s="49"/>
      <c r="O121" s="49"/>
      <c r="P121" s="49"/>
      <c r="Q121" s="49"/>
      <c r="R121" s="49"/>
      <c r="S121" s="49"/>
      <c r="T121" s="49"/>
      <c r="U121" s="49"/>
      <c r="V121" s="49"/>
      <c r="W121" s="49"/>
      <c r="X121" s="49"/>
      <c r="Y121" s="49"/>
      <c r="Z121" s="49"/>
      <c r="AA121" s="49"/>
    </row>
    <row r="122" spans="1:27" outlineLevel="1" x14ac:dyDescent="0.25">
      <c r="A122" s="70" t="str">
        <f t="shared" si="4"/>
        <v>Brændselsindkomst.Flis</v>
      </c>
      <c r="B122" s="53" t="s">
        <v>2</v>
      </c>
      <c r="C122" s="50" t="s">
        <v>71</v>
      </c>
      <c r="D122" s="49">
        <v>-2307285.2919860194</v>
      </c>
      <c r="E122" s="49">
        <v>-2307285.2919860184</v>
      </c>
      <c r="F122" s="49">
        <v>-2307285.2919860189</v>
      </c>
      <c r="G122" s="49">
        <v>-2307285.2919860189</v>
      </c>
      <c r="H122" s="49">
        <v>-2307285.5319642406</v>
      </c>
      <c r="I122" s="49"/>
      <c r="J122" s="49"/>
      <c r="K122" s="49"/>
      <c r="L122" s="49"/>
      <c r="M122" s="49"/>
      <c r="N122" s="49"/>
      <c r="O122" s="49"/>
      <c r="P122" s="49"/>
      <c r="Q122" s="49"/>
      <c r="R122" s="49"/>
      <c r="S122" s="49"/>
      <c r="T122" s="49"/>
      <c r="U122" s="49"/>
      <c r="V122" s="49"/>
      <c r="W122" s="49"/>
      <c r="X122" s="49"/>
      <c r="Y122" s="49"/>
      <c r="Z122" s="49"/>
      <c r="AA122" s="49"/>
    </row>
    <row r="123" spans="1:27" outlineLevel="1" x14ac:dyDescent="0.25">
      <c r="A123" s="70" t="str">
        <f t="shared" si="4"/>
        <v>Brændselsindkomst.NSvarme</v>
      </c>
      <c r="B123" s="53" t="s">
        <v>2</v>
      </c>
      <c r="C123" s="50" t="s">
        <v>72</v>
      </c>
      <c r="D123" s="49">
        <v>-2097900</v>
      </c>
      <c r="E123" s="49">
        <v>-2097900</v>
      </c>
      <c r="F123" s="49">
        <v>-2097900</v>
      </c>
      <c r="G123" s="49">
        <v>-2097900</v>
      </c>
      <c r="H123" s="49">
        <v>-2097900</v>
      </c>
      <c r="I123" s="49"/>
      <c r="J123" s="49"/>
      <c r="K123" s="49"/>
      <c r="L123" s="49"/>
      <c r="M123" s="49"/>
      <c r="N123" s="49"/>
      <c r="O123" s="49"/>
      <c r="P123" s="49"/>
      <c r="Q123" s="49"/>
      <c r="R123" s="49"/>
      <c r="S123" s="49"/>
      <c r="T123" s="49"/>
      <c r="U123" s="49"/>
      <c r="V123" s="49"/>
      <c r="W123" s="49"/>
      <c r="X123" s="49"/>
      <c r="Y123" s="49"/>
      <c r="Z123" s="49"/>
      <c r="AA123" s="49"/>
    </row>
    <row r="124" spans="1:27" outlineLevel="1" x14ac:dyDescent="0.25">
      <c r="A124" s="70" t="str">
        <f t="shared" si="4"/>
        <v>Brændselsindkomst.PeakFuel</v>
      </c>
      <c r="B124" s="53" t="s">
        <v>2</v>
      </c>
      <c r="C124" s="50" t="s">
        <v>73</v>
      </c>
      <c r="D124" s="49">
        <v>1.1999999999999997E-13</v>
      </c>
      <c r="E124" s="49">
        <v>1.1999999999999997E-13</v>
      </c>
      <c r="F124" s="49">
        <v>1.1999999999999997E-13</v>
      </c>
      <c r="G124" s="49">
        <v>1.1999999999999997E-13</v>
      </c>
      <c r="H124" s="49">
        <v>1.1999999999999997E-13</v>
      </c>
      <c r="I124" s="49"/>
      <c r="J124" s="49"/>
      <c r="K124" s="49"/>
      <c r="L124" s="49"/>
      <c r="M124" s="49"/>
      <c r="N124" s="49"/>
      <c r="O124" s="49"/>
      <c r="P124" s="49"/>
      <c r="Q124" s="49"/>
      <c r="R124" s="49"/>
      <c r="S124" s="49"/>
      <c r="T124" s="49"/>
      <c r="U124" s="49"/>
      <c r="V124" s="49"/>
      <c r="W124" s="49"/>
      <c r="X124" s="49"/>
      <c r="Y124" s="49"/>
      <c r="Z124" s="49"/>
      <c r="AA124" s="49"/>
    </row>
    <row r="125" spans="1:27" outlineLevel="1" x14ac:dyDescent="0.25">
      <c r="A125" s="70" t="str">
        <f t="shared" si="4"/>
        <v/>
      </c>
      <c r="B125" s="51"/>
      <c r="C125" s="52"/>
      <c r="D125" s="49"/>
      <c r="E125" s="49"/>
      <c r="F125" s="49"/>
      <c r="G125" s="49"/>
      <c r="H125" s="49"/>
      <c r="I125" s="49"/>
      <c r="J125" s="49"/>
      <c r="K125" s="49"/>
      <c r="L125" s="49"/>
      <c r="M125" s="49"/>
      <c r="N125" s="49"/>
      <c r="O125" s="49"/>
      <c r="P125" s="49"/>
      <c r="Q125" s="49"/>
      <c r="R125" s="49"/>
      <c r="S125" s="49"/>
      <c r="T125" s="49"/>
      <c r="U125" s="49"/>
      <c r="V125" s="49"/>
      <c r="W125" s="49"/>
      <c r="X125" s="49"/>
      <c r="Y125" s="49"/>
      <c r="Z125" s="49"/>
      <c r="AA125" s="49"/>
    </row>
    <row r="126" spans="1:27" outlineLevel="1" x14ac:dyDescent="0.25">
      <c r="A126" s="70" t="str">
        <f t="shared" si="4"/>
        <v/>
      </c>
      <c r="B126" s="19"/>
      <c r="C126" s="31"/>
      <c r="D126" s="31"/>
      <c r="E126" s="31"/>
      <c r="F126" s="31"/>
      <c r="G126" s="31"/>
      <c r="H126" s="31"/>
      <c r="I126" s="31"/>
      <c r="J126" s="31"/>
      <c r="K126" s="31"/>
      <c r="L126" s="31"/>
      <c r="M126" s="31"/>
      <c r="N126" s="31"/>
      <c r="O126" s="31"/>
    </row>
    <row r="127" spans="1:27" outlineLevel="1" x14ac:dyDescent="0.25">
      <c r="A127" s="70" t="str">
        <f t="shared" si="4"/>
        <v/>
      </c>
      <c r="B127"/>
    </row>
    <row r="128" spans="1:27" outlineLevel="1" x14ac:dyDescent="0.25">
      <c r="A128" s="70" t="str">
        <f t="shared" si="4"/>
        <v/>
      </c>
      <c r="B128"/>
    </row>
    <row r="129" spans="1:2" outlineLevel="1" x14ac:dyDescent="0.25">
      <c r="A129" s="70" t="str">
        <f t="shared" si="4"/>
        <v/>
      </c>
      <c r="B129"/>
    </row>
    <row r="130" spans="1:2" outlineLevel="1" x14ac:dyDescent="0.25">
      <c r="A130" s="70" t="str">
        <f t="shared" si="4"/>
        <v/>
      </c>
      <c r="B130"/>
    </row>
    <row r="131" spans="1:2" outlineLevel="1" x14ac:dyDescent="0.25">
      <c r="B131"/>
    </row>
    <row r="132" spans="1:2" outlineLevel="1" x14ac:dyDescent="0.25">
      <c r="B132"/>
    </row>
    <row r="133" spans="1:2" outlineLevel="1" x14ac:dyDescent="0.25">
      <c r="B133"/>
    </row>
    <row r="134" spans="1:2" outlineLevel="1" x14ac:dyDescent="0.25">
      <c r="B134"/>
    </row>
    <row r="135" spans="1:2" outlineLevel="1" x14ac:dyDescent="0.25">
      <c r="B135"/>
    </row>
    <row r="136" spans="1:2" outlineLevel="1" x14ac:dyDescent="0.25">
      <c r="B136"/>
    </row>
    <row r="137" spans="1:2" outlineLevel="1" x14ac:dyDescent="0.25">
      <c r="B137"/>
    </row>
    <row r="138" spans="1:2" outlineLevel="1" x14ac:dyDescent="0.25">
      <c r="B138"/>
    </row>
    <row r="139" spans="1:2" outlineLevel="1" x14ac:dyDescent="0.25">
      <c r="B139"/>
    </row>
    <row r="140" spans="1:2" outlineLevel="1" x14ac:dyDescent="0.25">
      <c r="B140"/>
    </row>
    <row r="141" spans="1:2" outlineLevel="1" x14ac:dyDescent="0.25">
      <c r="B141"/>
    </row>
    <row r="142" spans="1:2" outlineLevel="1" x14ac:dyDescent="0.25">
      <c r="B142"/>
    </row>
    <row r="143" spans="1:2" outlineLevel="1" x14ac:dyDescent="0.25">
      <c r="B143"/>
    </row>
    <row r="144" spans="1:2" outlineLevel="1" x14ac:dyDescent="0.25">
      <c r="B144"/>
    </row>
    <row r="145" spans="2:2" outlineLevel="1" x14ac:dyDescent="0.25">
      <c r="B145"/>
    </row>
    <row r="146" spans="2:2" outlineLevel="1" x14ac:dyDescent="0.25">
      <c r="B146"/>
    </row>
    <row r="147" spans="2:2" outlineLevel="1" x14ac:dyDescent="0.25">
      <c r="B147"/>
    </row>
    <row r="148" spans="2:2" outlineLevel="1" x14ac:dyDescent="0.25">
      <c r="B148"/>
    </row>
    <row r="149" spans="2:2" outlineLevel="1" x14ac:dyDescent="0.25">
      <c r="B149"/>
    </row>
    <row r="150" spans="2:2" outlineLevel="1" x14ac:dyDescent="0.25">
      <c r="B150"/>
    </row>
    <row r="151" spans="2:2" outlineLevel="1" x14ac:dyDescent="0.25">
      <c r="B151"/>
    </row>
    <row r="152" spans="2:2" outlineLevel="1" x14ac:dyDescent="0.25">
      <c r="B152"/>
    </row>
    <row r="153" spans="2:2" outlineLevel="1" x14ac:dyDescent="0.25">
      <c r="B153"/>
    </row>
    <row r="154" spans="2:2" outlineLevel="1" x14ac:dyDescent="0.25">
      <c r="B154"/>
    </row>
    <row r="155" spans="2:2" outlineLevel="1" x14ac:dyDescent="0.25">
      <c r="B155"/>
    </row>
    <row r="156" spans="2:2" outlineLevel="1" x14ac:dyDescent="0.25">
      <c r="B156"/>
    </row>
    <row r="157" spans="2:2" outlineLevel="1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  <row r="203" spans="2:2" x14ac:dyDescent="0.25">
      <c r="B203"/>
    </row>
    <row r="204" spans="2:2" x14ac:dyDescent="0.25">
      <c r="B204"/>
    </row>
    <row r="205" spans="2:2" x14ac:dyDescent="0.25">
      <c r="B205"/>
    </row>
    <row r="206" spans="2:2" x14ac:dyDescent="0.25">
      <c r="B206"/>
    </row>
    <row r="207" spans="2:2" x14ac:dyDescent="0.25">
      <c r="B207"/>
    </row>
    <row r="208" spans="2:2" x14ac:dyDescent="0.25">
      <c r="B208"/>
    </row>
  </sheetData>
  <phoneticPr fontId="5" type="noConversion"/>
  <conditionalFormatting sqref="A6 E29:AA29 A29 A31 D31:AA31 D38:AA39 A38:A39 A12:A15 A41:A48 D43:AA48 D6:AA6 D17:AA26 A17:A26 D8:AA15">
    <cfRule type="cellIs" dxfId="121" priority="176" operator="between">
      <formula>-0.0000000000001</formula>
      <formula>0.0000000000001</formula>
    </cfRule>
  </conditionalFormatting>
  <conditionalFormatting sqref="A6 A29 E29:AA29 D31:AA31 A31 A38:A39 D38:AA39 A12:A15 A41:A48 D43:AA48 A17:A26">
    <cfRule type="cellIs" dxfId="120" priority="170" operator="between">
      <formula>-0.0000000000001</formula>
      <formula>0.0000000000001</formula>
    </cfRule>
  </conditionalFormatting>
  <conditionalFormatting sqref="A17 C17:O17">
    <cfRule type="cellIs" dxfId="119" priority="169" operator="between">
      <formula>-0.0000000000001</formula>
      <formula>0.0000000000001</formula>
    </cfRule>
  </conditionalFormatting>
  <conditionalFormatting sqref="P17:AA17">
    <cfRule type="cellIs" dxfId="118" priority="168" operator="between">
      <formula>-0.0000000000001</formula>
      <formula>0.0000000000001</formula>
    </cfRule>
  </conditionalFormatting>
  <conditionalFormatting sqref="C6:O6 A6">
    <cfRule type="cellIs" dxfId="117" priority="167" operator="between">
      <formula>-0.0000000000001</formula>
      <formula>0.0000000000001</formula>
    </cfRule>
  </conditionalFormatting>
  <conditionalFormatting sqref="P6:AA6">
    <cfRule type="cellIs" dxfId="116" priority="166" operator="between">
      <formula>-0.0000000000001</formula>
      <formula>0.0000000000001</formula>
    </cfRule>
  </conditionalFormatting>
  <conditionalFormatting sqref="C14">
    <cfRule type="cellIs" dxfId="115" priority="165" operator="between">
      <formula>-0.0000000000001</formula>
      <formula>0.0000000000001</formula>
    </cfRule>
  </conditionalFormatting>
  <conditionalFormatting sqref="C15">
    <cfRule type="cellIs" dxfId="114" priority="164" operator="between">
      <formula>-0.0000000000001</formula>
      <formula>0.0000000000001</formula>
    </cfRule>
  </conditionalFormatting>
  <conditionalFormatting sqref="A15 C15:O15">
    <cfRule type="cellIs" dxfId="113" priority="163" operator="between">
      <formula>-0.0000000000001</formula>
      <formula>0.0000000000001</formula>
    </cfRule>
  </conditionalFormatting>
  <conditionalFormatting sqref="P15:AA15">
    <cfRule type="cellIs" dxfId="112" priority="162" operator="between">
      <formula>-0.0000000000001</formula>
      <formula>0.0000000000001</formula>
    </cfRule>
  </conditionalFormatting>
  <conditionalFormatting sqref="C21:O21 A21:A26 C26:O26 D22:O25">
    <cfRule type="cellIs" dxfId="111" priority="161" operator="between">
      <formula>-0.0000000000001</formula>
      <formula>0.0000000000001</formula>
    </cfRule>
  </conditionalFormatting>
  <conditionalFormatting sqref="P21:AA26">
    <cfRule type="cellIs" dxfId="110" priority="160" operator="between">
      <formula>-0.0000000000001</formula>
      <formula>0.0000000000001</formula>
    </cfRule>
  </conditionalFormatting>
  <conditionalFormatting sqref="C46:O46 D48:AA48 C45:AA45 D44:AA44 A44:A48 D47:O48">
    <cfRule type="cellIs" dxfId="109" priority="159" operator="between">
      <formula>-0.0000000000001</formula>
      <formula>0.0000000000001</formula>
    </cfRule>
  </conditionalFormatting>
  <conditionalFormatting sqref="P46:AA46">
    <cfRule type="cellIs" dxfId="108" priority="158" operator="between">
      <formula>-0.0000000000001</formula>
      <formula>0.0000000000001</formula>
    </cfRule>
  </conditionalFormatting>
  <conditionalFormatting sqref="C47:O47 D48:O48">
    <cfRule type="cellIs" dxfId="107" priority="157" operator="between">
      <formula>-0.0000000000001</formula>
      <formula>0.0000000000001</formula>
    </cfRule>
  </conditionalFormatting>
  <conditionalFormatting sqref="P47:AA48">
    <cfRule type="cellIs" dxfId="106" priority="156" operator="between">
      <formula>-0.0000000000001</formula>
      <formula>0.0000000000001</formula>
    </cfRule>
  </conditionalFormatting>
  <conditionalFormatting sqref="C12:O12">
    <cfRule type="cellIs" dxfId="105" priority="155" operator="between">
      <formula>-0.0000000000001</formula>
      <formula>0.0000000000001</formula>
    </cfRule>
  </conditionalFormatting>
  <conditionalFormatting sqref="P12:AA12">
    <cfRule type="cellIs" dxfId="104" priority="154" operator="between">
      <formula>-0.0000000000001</formula>
      <formula>0.0000000000001</formula>
    </cfRule>
  </conditionalFormatting>
  <conditionalFormatting sqref="C12">
    <cfRule type="cellIs" dxfId="103" priority="153" operator="between">
      <formula>-0.0000000000001</formula>
      <formula>0.0000000000001</formula>
    </cfRule>
  </conditionalFormatting>
  <conditionalFormatting sqref="C13:O13 A13">
    <cfRule type="cellIs" dxfId="102" priority="150" operator="between">
      <formula>-0.0000000000001</formula>
      <formula>0.0000000000001</formula>
    </cfRule>
  </conditionalFormatting>
  <conditionalFormatting sqref="P13:AA13">
    <cfRule type="cellIs" dxfId="101" priority="149" operator="between">
      <formula>-0.0000000000001</formula>
      <formula>0.0000000000001</formula>
    </cfRule>
  </conditionalFormatting>
  <conditionalFormatting sqref="C13">
    <cfRule type="cellIs" dxfId="100" priority="148" operator="between">
      <formula>-0.0000000000001</formula>
      <formula>0.0000000000001</formula>
    </cfRule>
  </conditionalFormatting>
  <conditionalFormatting sqref="C18:O18 A18">
    <cfRule type="cellIs" dxfId="99" priority="147" operator="between">
      <formula>-0.0000000000001</formula>
      <formula>0.0000000000001</formula>
    </cfRule>
  </conditionalFormatting>
  <conditionalFormatting sqref="P18:AA18">
    <cfRule type="cellIs" dxfId="98" priority="146" operator="between">
      <formula>-0.0000000000001</formula>
      <formula>0.0000000000001</formula>
    </cfRule>
  </conditionalFormatting>
  <conditionalFormatting sqref="C18">
    <cfRule type="cellIs" dxfId="97" priority="145" operator="between">
      <formula>-0.0000000000001</formula>
      <formula>0.0000000000001</formula>
    </cfRule>
  </conditionalFormatting>
  <conditionalFormatting sqref="A44 C44:AA44">
    <cfRule type="cellIs" dxfId="96" priority="144" operator="between">
      <formula>-0.0000000000001</formula>
      <formula>0.0000000000001</formula>
    </cfRule>
  </conditionalFormatting>
  <conditionalFormatting sqref="D11:O11">
    <cfRule type="cellIs" dxfId="95" priority="142" operator="between">
      <formula>-0.0000000000001</formula>
      <formula>0.0000000000001</formula>
    </cfRule>
  </conditionalFormatting>
  <conditionalFormatting sqref="P11:AA11">
    <cfRule type="cellIs" dxfId="94" priority="141" operator="between">
      <formula>-0.0000000000001</formula>
      <formula>0.0000000000001</formula>
    </cfRule>
  </conditionalFormatting>
  <conditionalFormatting sqref="C39:AA39 A39">
    <cfRule type="cellIs" dxfId="93" priority="140" operator="between">
      <formula>-0.0000000000001</formula>
      <formula>0.0000000000001</formula>
    </cfRule>
  </conditionalFormatting>
  <conditionalFormatting sqref="P39:AA39">
    <cfRule type="cellIs" dxfId="92" priority="139" operator="between">
      <formula>-0.0000000000001</formula>
      <formula>0.0000000000001</formula>
    </cfRule>
  </conditionalFormatting>
  <conditionalFormatting sqref="C10:C11">
    <cfRule type="cellIs" dxfId="91" priority="137" operator="between">
      <formula>-0.0000000000001</formula>
      <formula>0.0000000000001</formula>
    </cfRule>
  </conditionalFormatting>
  <conditionalFormatting sqref="A12">
    <cfRule type="cellIs" dxfId="90" priority="136" operator="between">
      <formula>-0.0000000000001</formula>
      <formula>0.0000000000001</formula>
    </cfRule>
  </conditionalFormatting>
  <conditionalFormatting sqref="A27 D27:AA27">
    <cfRule type="cellIs" dxfId="89" priority="133" operator="between">
      <formula>-0.0000000000001</formula>
      <formula>0.0000000000001</formula>
    </cfRule>
  </conditionalFormatting>
  <conditionalFormatting sqref="D27:AA27 A27">
    <cfRule type="cellIs" dxfId="88" priority="132" operator="between">
      <formula>-0.0000000000001</formula>
      <formula>0.0000000000001</formula>
    </cfRule>
  </conditionalFormatting>
  <conditionalFormatting sqref="C27:O27 A27">
    <cfRule type="cellIs" dxfId="87" priority="131" operator="between">
      <formula>-0.0000000000001</formula>
      <formula>0.0000000000001</formula>
    </cfRule>
  </conditionalFormatting>
  <conditionalFormatting sqref="P27:AA27">
    <cfRule type="cellIs" dxfId="86" priority="130" operator="between">
      <formula>-0.0000000000001</formula>
      <formula>0.0000000000001</formula>
    </cfRule>
  </conditionalFormatting>
  <conditionalFormatting sqref="E28:AA28 A28">
    <cfRule type="cellIs" dxfId="85" priority="114" operator="between">
      <formula>-0.0000000000001</formula>
      <formula>0.0000000000001</formula>
    </cfRule>
  </conditionalFormatting>
  <conditionalFormatting sqref="A28 E28:AA28">
    <cfRule type="cellIs" dxfId="84" priority="113" operator="between">
      <formula>-0.0000000000001</formula>
      <formula>0.0000000000001</formula>
    </cfRule>
  </conditionalFormatting>
  <conditionalFormatting sqref="D30:AA30 A30">
    <cfRule type="cellIs" dxfId="83" priority="112" operator="between">
      <formula>-0.0000000000001</formula>
      <formula>0.0000000000001</formula>
    </cfRule>
  </conditionalFormatting>
  <conditionalFormatting sqref="A30 D30:AA30">
    <cfRule type="cellIs" dxfId="82" priority="111" operator="between">
      <formula>-0.0000000000001</formula>
      <formula>0.0000000000001</formula>
    </cfRule>
  </conditionalFormatting>
  <conditionalFormatting sqref="A40 D40:AA41">
    <cfRule type="cellIs" dxfId="81" priority="110" operator="between">
      <formula>-0.0000000000001</formula>
      <formula>0.0000000000001</formula>
    </cfRule>
  </conditionalFormatting>
  <conditionalFormatting sqref="A40 D40:AA41">
    <cfRule type="cellIs" dxfId="80" priority="109" operator="between">
      <formula>-0.0000000000001</formula>
      <formula>0.0000000000001</formula>
    </cfRule>
  </conditionalFormatting>
  <conditionalFormatting sqref="A32:A33 D32:AA34 D36:AA36 A36">
    <cfRule type="cellIs" dxfId="79" priority="106" operator="between">
      <formula>-0.0000000000001</formula>
      <formula>0.0000000000001</formula>
    </cfRule>
  </conditionalFormatting>
  <conditionalFormatting sqref="D32:AA34 A32:A33 A36 D36:AA36">
    <cfRule type="cellIs" dxfId="78" priority="105" operator="between">
      <formula>-0.0000000000001</formula>
      <formula>0.0000000000001</formula>
    </cfRule>
  </conditionalFormatting>
  <conditionalFormatting sqref="C33:AA34 A33">
    <cfRule type="cellIs" dxfId="77" priority="104" operator="between">
      <formula>-0.0000000000001</formula>
      <formula>0.0000000000001</formula>
    </cfRule>
  </conditionalFormatting>
  <conditionalFormatting sqref="P33:AA34">
    <cfRule type="cellIs" dxfId="76" priority="103" operator="between">
      <formula>-0.0000000000001</formula>
      <formula>0.0000000000001</formula>
    </cfRule>
  </conditionalFormatting>
  <conditionalFormatting sqref="A35 D35:AA35">
    <cfRule type="cellIs" dxfId="75" priority="102" operator="between">
      <formula>-0.0000000000001</formula>
      <formula>0.0000000000001</formula>
    </cfRule>
  </conditionalFormatting>
  <conditionalFormatting sqref="D35:AA35 A35">
    <cfRule type="cellIs" dxfId="74" priority="101" operator="between">
      <formula>-0.0000000000001</formula>
      <formula>0.0000000000001</formula>
    </cfRule>
  </conditionalFormatting>
  <conditionalFormatting sqref="D46:O46">
    <cfRule type="cellIs" dxfId="73" priority="100" operator="between">
      <formula>-0.0000000000001</formula>
      <formula>0.0000000000001</formula>
    </cfRule>
  </conditionalFormatting>
  <conditionalFormatting sqref="D43:AA43">
    <cfRule type="cellIs" dxfId="72" priority="99" operator="between">
      <formula>-0.0000000000001</formula>
      <formula>0.0000000000001</formula>
    </cfRule>
  </conditionalFormatting>
  <conditionalFormatting sqref="A34">
    <cfRule type="cellIs" dxfId="71" priority="98" operator="between">
      <formula>-0.0000000000001</formula>
      <formula>0.0000000000001</formula>
    </cfRule>
  </conditionalFormatting>
  <conditionalFormatting sqref="A34">
    <cfRule type="cellIs" dxfId="70" priority="97" operator="between">
      <formula>-0.0000000000001</formula>
      <formula>0.0000000000001</formula>
    </cfRule>
  </conditionalFormatting>
  <conditionalFormatting sqref="A42">
    <cfRule type="cellIs" dxfId="69" priority="96" operator="between">
      <formula>-0.0000000000001</formula>
      <formula>0.0000000000001</formula>
    </cfRule>
  </conditionalFormatting>
  <conditionalFormatting sqref="A42">
    <cfRule type="cellIs" dxfId="68" priority="95" operator="between">
      <formula>-0.0000000000001</formula>
      <formula>0.0000000000001</formula>
    </cfRule>
  </conditionalFormatting>
  <conditionalFormatting sqref="A47">
    <cfRule type="cellIs" dxfId="67" priority="94" operator="between">
      <formula>-0.0000000000001</formula>
      <formula>0.0000000000001</formula>
    </cfRule>
  </conditionalFormatting>
  <conditionalFormatting sqref="A47">
    <cfRule type="cellIs" dxfId="66" priority="93" operator="between">
      <formula>-0.0000000000001</formula>
      <formula>0.0000000000001</formula>
    </cfRule>
  </conditionalFormatting>
  <conditionalFormatting sqref="D29">
    <cfRule type="cellIs" dxfId="65" priority="92" operator="between">
      <formula>-0.0000000000001</formula>
      <formula>0.0000000000001</formula>
    </cfRule>
  </conditionalFormatting>
  <conditionalFormatting sqref="D29">
    <cfRule type="cellIs" dxfId="64" priority="91" operator="between">
      <formula>-0.0000000000001</formula>
      <formula>0.0000000000001</formula>
    </cfRule>
  </conditionalFormatting>
  <conditionalFormatting sqref="D28">
    <cfRule type="cellIs" dxfId="63" priority="90" operator="between">
      <formula>-0.0000000000001</formula>
      <formula>0.0000000000001</formula>
    </cfRule>
  </conditionalFormatting>
  <conditionalFormatting sqref="D28">
    <cfRule type="cellIs" dxfId="62" priority="89" operator="between">
      <formula>-0.0000000000001</formula>
      <formula>0.0000000000001</formula>
    </cfRule>
  </conditionalFormatting>
  <conditionalFormatting sqref="A8:A11">
    <cfRule type="cellIs" dxfId="61" priority="87" operator="between">
      <formula>-0.0000000000001</formula>
      <formula>0.0000000000001</formula>
    </cfRule>
  </conditionalFormatting>
  <conditionalFormatting sqref="A8:A11">
    <cfRule type="cellIs" dxfId="60" priority="86" operator="between">
      <formula>-0.0000000000001</formula>
      <formula>0.0000000000001</formula>
    </cfRule>
  </conditionalFormatting>
  <conditionalFormatting sqref="A5:A6">
    <cfRule type="cellIs" dxfId="59" priority="80" operator="between">
      <formula>-0.0000000000001</formula>
      <formula>0.0000000000001</formula>
    </cfRule>
  </conditionalFormatting>
  <conditionalFormatting sqref="A5:A6">
    <cfRule type="cellIs" dxfId="58" priority="79" operator="between">
      <formula>-0.0000000000001</formula>
      <formula>0.0000000000001</formula>
    </cfRule>
  </conditionalFormatting>
  <conditionalFormatting sqref="C5:C6 A5:A6">
    <cfRule type="cellIs" dxfId="57" priority="78" operator="between">
      <formula>-0.0000000000001</formula>
      <formula>0.0000000000001</formula>
    </cfRule>
  </conditionalFormatting>
  <conditionalFormatting sqref="A9">
    <cfRule type="cellIs" dxfId="56" priority="76" operator="between">
      <formula>-0.0000000000001</formula>
      <formula>0.0000000000001</formula>
    </cfRule>
  </conditionalFormatting>
  <conditionalFormatting sqref="A9">
    <cfRule type="cellIs" dxfId="55" priority="75" operator="between">
      <formula>-0.0000000000001</formula>
      <formula>0.0000000000001</formula>
    </cfRule>
  </conditionalFormatting>
  <conditionalFormatting sqref="C9 A9">
    <cfRule type="cellIs" dxfId="54" priority="74" operator="between">
      <formula>-0.0000000000001</formula>
      <formula>0.0000000000001</formula>
    </cfRule>
  </conditionalFormatting>
  <conditionalFormatting sqref="D94:AA94">
    <cfRule type="colorScale" priority="72">
      <colorScale>
        <cfvo type="min"/>
        <cfvo type="max"/>
        <color rgb="FFFCFCFF"/>
        <color rgb="FF63BE7B"/>
      </colorScale>
    </cfRule>
  </conditionalFormatting>
  <conditionalFormatting sqref="D94:AA94">
    <cfRule type="cellIs" dxfId="53" priority="68" operator="between">
      <formula>-0.0000000000001</formula>
      <formula>0.0000000000001</formula>
    </cfRule>
  </conditionalFormatting>
  <conditionalFormatting sqref="D9:AA9">
    <cfRule type="cellIs" dxfId="52" priority="66" operator="between">
      <formula>-0.0000000000001</formula>
      <formula>0.0000000000001</formula>
    </cfRule>
  </conditionalFormatting>
  <conditionalFormatting sqref="D9:AA9">
    <cfRule type="cellIs" dxfId="51" priority="65" operator="between">
      <formula>-0.0000000000001</formula>
      <formula>0.0000000000001</formula>
    </cfRule>
  </conditionalFormatting>
  <conditionalFormatting sqref="D42:AA42">
    <cfRule type="cellIs" dxfId="50" priority="62" operator="between">
      <formula>-0.0000000000001</formula>
      <formula>0.0000000000001</formula>
    </cfRule>
  </conditionalFormatting>
  <conditionalFormatting sqref="D42:AA42">
    <cfRule type="cellIs" dxfId="49" priority="61" operator="between">
      <formula>-0.0000000000001</formula>
      <formula>0.0000000000001</formula>
    </cfRule>
  </conditionalFormatting>
  <conditionalFormatting sqref="D42:AA42">
    <cfRule type="cellIs" dxfId="48" priority="60" operator="between">
      <formula>-0.0000000000001</formula>
      <formula>0.0000000000001</formula>
    </cfRule>
  </conditionalFormatting>
  <conditionalFormatting sqref="A43">
    <cfRule type="cellIs" dxfId="47" priority="59" operator="between">
      <formula>-0.0000000000001</formula>
      <formula>0.0000000000001</formula>
    </cfRule>
  </conditionalFormatting>
  <conditionalFormatting sqref="A41">
    <cfRule type="cellIs" dxfId="46" priority="58" operator="between">
      <formula>-0.0000000000001</formula>
      <formula>0.0000000000001</formula>
    </cfRule>
  </conditionalFormatting>
  <conditionalFormatting sqref="A41">
    <cfRule type="cellIs" dxfId="45" priority="57" operator="between">
      <formula>-0.0000000000001</formula>
      <formula>0.0000000000001</formula>
    </cfRule>
  </conditionalFormatting>
  <conditionalFormatting sqref="A46">
    <cfRule type="cellIs" dxfId="44" priority="56" operator="between">
      <formula>-0.0000000000001</formula>
      <formula>0.0000000000001</formula>
    </cfRule>
  </conditionalFormatting>
  <conditionalFormatting sqref="A46">
    <cfRule type="cellIs" dxfId="43" priority="55" operator="between">
      <formula>-0.0000000000001</formula>
      <formula>0.0000000000001</formula>
    </cfRule>
  </conditionalFormatting>
  <conditionalFormatting sqref="A7">
    <cfRule type="cellIs" dxfId="42" priority="54" operator="between">
      <formula>-0.0000000000001</formula>
      <formula>0.0000000000001</formula>
    </cfRule>
  </conditionalFormatting>
  <conditionalFormatting sqref="A7">
    <cfRule type="cellIs" dxfId="41" priority="53" operator="between">
      <formula>-0.0000000000001</formula>
      <formula>0.0000000000001</formula>
    </cfRule>
  </conditionalFormatting>
  <conditionalFormatting sqref="C7 A7">
    <cfRule type="cellIs" dxfId="40" priority="52" operator="between">
      <formula>-0.0000000000001</formula>
      <formula>0.0000000000001</formula>
    </cfRule>
  </conditionalFormatting>
  <conditionalFormatting sqref="D7:AA7">
    <cfRule type="cellIs" dxfId="39" priority="51" operator="between">
      <formula>-0.0000000000001</formula>
      <formula>0.0000000000001</formula>
    </cfRule>
  </conditionalFormatting>
  <conditionalFormatting sqref="D7:AA7">
    <cfRule type="cellIs" dxfId="38" priority="50" operator="between">
      <formula>-0.0000000000001</formula>
      <formula>0.0000000000001</formula>
    </cfRule>
  </conditionalFormatting>
  <conditionalFormatting sqref="D7:O7">
    <cfRule type="cellIs" dxfId="37" priority="49" operator="between">
      <formula>-0.0000000000001</formula>
      <formula>0.0000000000001</formula>
    </cfRule>
  </conditionalFormatting>
  <conditionalFormatting sqref="P7:AA7">
    <cfRule type="cellIs" dxfId="36" priority="48" operator="between">
      <formula>-0.0000000000001</formula>
      <formula>0.0000000000001</formula>
    </cfRule>
  </conditionalFormatting>
  <conditionalFormatting sqref="D37:AA37 A37">
    <cfRule type="cellIs" dxfId="35" priority="47" operator="between">
      <formula>-0.0000000000001</formula>
      <formula>0.0000000000001</formula>
    </cfRule>
  </conditionalFormatting>
  <conditionalFormatting sqref="A37 D37:AA37">
    <cfRule type="cellIs" dxfId="34" priority="46" operator="between">
      <formula>-0.0000000000001</formula>
      <formula>0.0000000000001</formula>
    </cfRule>
  </conditionalFormatting>
  <conditionalFormatting sqref="D49:AA53">
    <cfRule type="cellIs" dxfId="33" priority="38" operator="greaterThan">
      <formula>0.000000000001</formula>
    </cfRule>
    <cfRule type="cellIs" dxfId="32" priority="41" operator="between">
      <formula>-0.0000000000001</formula>
      <formula>0.0000000000001</formula>
    </cfRule>
  </conditionalFormatting>
  <conditionalFormatting sqref="D49:AA53">
    <cfRule type="cellIs" dxfId="31" priority="40" operator="between">
      <formula>-0.0000000000001</formula>
      <formula>0.0000000000001</formula>
    </cfRule>
  </conditionalFormatting>
  <conditionalFormatting sqref="D49:AA53">
    <cfRule type="cellIs" dxfId="30" priority="39" operator="between">
      <formula>-0.0000000000001</formula>
      <formula>0.0000000000001</formula>
    </cfRule>
  </conditionalFormatting>
  <conditionalFormatting sqref="B1">
    <cfRule type="cellIs" dxfId="29" priority="37" operator="greaterThan">
      <formula>0</formula>
    </cfRule>
  </conditionalFormatting>
  <conditionalFormatting sqref="A16 D16:AA16">
    <cfRule type="cellIs" dxfId="28" priority="36" operator="between">
      <formula>-0.0000000000001</formula>
      <formula>0.0000000000001</formula>
    </cfRule>
  </conditionalFormatting>
  <conditionalFormatting sqref="A16">
    <cfRule type="cellIs" dxfId="27" priority="35" operator="between">
      <formula>-0.0000000000001</formula>
      <formula>0.0000000000001</formula>
    </cfRule>
  </conditionalFormatting>
  <conditionalFormatting sqref="A16 C16:O16">
    <cfRule type="cellIs" dxfId="26" priority="34" operator="between">
      <formula>-0.0000000000001</formula>
      <formula>0.0000000000001</formula>
    </cfRule>
  </conditionalFormatting>
  <conditionalFormatting sqref="P16:AA16">
    <cfRule type="cellIs" dxfId="25" priority="33" operator="between">
      <formula>-0.0000000000001</formula>
      <formula>0.0000000000001</formula>
    </cfRule>
  </conditionalFormatting>
  <conditionalFormatting sqref="D56:AA61">
    <cfRule type="cellIs" dxfId="24" priority="30" operator="between">
      <formula>-0.00000000001</formula>
      <formula>0.00000000001</formula>
    </cfRule>
    <cfRule type="colorScale" priority="31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D64:AA93">
    <cfRule type="colorScale" priority="28">
      <colorScale>
        <cfvo type="min"/>
        <cfvo type="max"/>
        <color rgb="FFFCFCFF"/>
        <color rgb="FF63BE7B"/>
      </colorScale>
    </cfRule>
  </conditionalFormatting>
  <conditionalFormatting sqref="B64:AA93">
    <cfRule type="cellIs" dxfId="23" priority="26" operator="between">
      <formula>-0.00000000001</formula>
      <formula>0.00000000001</formula>
    </cfRule>
  </conditionalFormatting>
  <conditionalFormatting sqref="D96:AA125">
    <cfRule type="colorScale" priority="24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B96:AA125">
    <cfRule type="cellIs" dxfId="22" priority="23" operator="between">
      <formula>-0.00000000001</formula>
      <formula>0.00000000001</formula>
    </cfRule>
  </conditionalFormatting>
  <conditionalFormatting sqref="A59 A61 A56">
    <cfRule type="cellIs" dxfId="21" priority="22" operator="between">
      <formula>-0.0000000000001</formula>
      <formula>0.0000000000001</formula>
    </cfRule>
  </conditionalFormatting>
  <conditionalFormatting sqref="A59 A61 A56">
    <cfRule type="cellIs" dxfId="20" priority="21" operator="between">
      <formula>-0.0000000000001</formula>
      <formula>0.0000000000001</formula>
    </cfRule>
  </conditionalFormatting>
  <conditionalFormatting sqref="A56">
    <cfRule type="cellIs" dxfId="19" priority="20" operator="between">
      <formula>-0.0000000000001</formula>
      <formula>0.0000000000001</formula>
    </cfRule>
  </conditionalFormatting>
  <conditionalFormatting sqref="A57">
    <cfRule type="cellIs" dxfId="18" priority="19" operator="between">
      <formula>-0.0000000000001</formula>
      <formula>0.0000000000001</formula>
    </cfRule>
  </conditionalFormatting>
  <conditionalFormatting sqref="A57">
    <cfRule type="cellIs" dxfId="17" priority="18" operator="between">
      <formula>-0.0000000000001</formula>
      <formula>0.0000000000001</formula>
    </cfRule>
  </conditionalFormatting>
  <conditionalFormatting sqref="A57">
    <cfRule type="cellIs" dxfId="16" priority="17" operator="between">
      <formula>-0.0000000000001</formula>
      <formula>0.0000000000001</formula>
    </cfRule>
  </conditionalFormatting>
  <conditionalFormatting sqref="A58">
    <cfRule type="cellIs" dxfId="15" priority="16" operator="between">
      <formula>-0.0000000000001</formula>
      <formula>0.0000000000001</formula>
    </cfRule>
  </conditionalFormatting>
  <conditionalFormatting sqref="A58">
    <cfRule type="cellIs" dxfId="14" priority="15" operator="between">
      <formula>-0.0000000000001</formula>
      <formula>0.0000000000001</formula>
    </cfRule>
  </conditionalFormatting>
  <conditionalFormatting sqref="A60">
    <cfRule type="cellIs" dxfId="13" priority="14" operator="between">
      <formula>-0.0000000000001</formula>
      <formula>0.0000000000001</formula>
    </cfRule>
  </conditionalFormatting>
  <conditionalFormatting sqref="A60">
    <cfRule type="cellIs" dxfId="12" priority="13" operator="between">
      <formula>-0.0000000000001</formula>
      <formula>0.0000000000001</formula>
    </cfRule>
  </conditionalFormatting>
  <conditionalFormatting sqref="A64">
    <cfRule type="cellIs" dxfId="11" priority="12" operator="between">
      <formula>-0.0000000000001</formula>
      <formula>0.0000000000001</formula>
    </cfRule>
  </conditionalFormatting>
  <conditionalFormatting sqref="A64">
    <cfRule type="cellIs" dxfId="10" priority="11" operator="between">
      <formula>-0.0000000000001</formula>
      <formula>0.0000000000001</formula>
    </cfRule>
  </conditionalFormatting>
  <conditionalFormatting sqref="A64">
    <cfRule type="cellIs" dxfId="9" priority="10" operator="between">
      <formula>-0.0000000000001</formula>
      <formula>0.0000000000001</formula>
    </cfRule>
  </conditionalFormatting>
  <conditionalFormatting sqref="A96">
    <cfRule type="cellIs" dxfId="8" priority="9" operator="between">
      <formula>-0.0000000000001</formula>
      <formula>0.0000000000001</formula>
    </cfRule>
  </conditionalFormatting>
  <conditionalFormatting sqref="A96">
    <cfRule type="cellIs" dxfId="7" priority="8" operator="between">
      <formula>-0.0000000000001</formula>
      <formula>0.0000000000001</formula>
    </cfRule>
  </conditionalFormatting>
  <conditionalFormatting sqref="A96">
    <cfRule type="cellIs" dxfId="6" priority="7" operator="between">
      <formula>-0.0000000000001</formula>
      <formula>0.0000000000001</formula>
    </cfRule>
  </conditionalFormatting>
  <conditionalFormatting sqref="C22:C25">
    <cfRule type="cellIs" dxfId="5" priority="6" operator="between">
      <formula>-0.0000000000001</formula>
      <formula>0.0000000000001</formula>
    </cfRule>
  </conditionalFormatting>
  <conditionalFormatting sqref="C25">
    <cfRule type="cellIs" dxfId="4" priority="5" operator="between">
      <formula>-0.0000000000001</formula>
      <formula>0.0000000000001</formula>
    </cfRule>
  </conditionalFormatting>
  <conditionalFormatting sqref="C22">
    <cfRule type="cellIs" dxfId="3" priority="4" operator="between">
      <formula>-0.0000000000001</formula>
      <formula>0.0000000000001</formula>
    </cfRule>
  </conditionalFormatting>
  <conditionalFormatting sqref="C23">
    <cfRule type="cellIs" dxfId="2" priority="3" operator="between">
      <formula>-0.0000000000001</formula>
      <formula>0.0000000000001</formula>
    </cfRule>
  </conditionalFormatting>
  <conditionalFormatting sqref="D10:O10">
    <cfRule type="cellIs" dxfId="1" priority="2" operator="between">
      <formula>-0.0000000000001</formula>
      <formula>0.0000000000001</formula>
    </cfRule>
  </conditionalFormatting>
  <conditionalFormatting sqref="P10:AA10">
    <cfRule type="cellIs" dxfId="0" priority="1" operator="between">
      <formula>-0.0000000000001</formula>
      <formula>0.0000000000001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D33E5-C87C-4AC3-AE65-3A6C2A4670E1}">
  <sheetPr codeName="Sheet1">
    <tabColor theme="4"/>
  </sheetPr>
  <dimension ref="A3:AF15"/>
  <sheetViews>
    <sheetView zoomScaleNormal="100" workbookViewId="0">
      <selection activeCell="C22" sqref="C22"/>
    </sheetView>
  </sheetViews>
  <sheetFormatPr defaultRowHeight="15" x14ac:dyDescent="0.25"/>
  <cols>
    <col min="2" max="2" width="25.85546875" customWidth="1"/>
    <col min="3" max="3" width="32.7109375" bestFit="1" customWidth="1"/>
    <col min="4" max="4" width="10.85546875" bestFit="1" customWidth="1"/>
    <col min="5" max="5" width="5.28515625" style="115" customWidth="1"/>
    <col min="6" max="6" width="26.85546875" bestFit="1" customWidth="1"/>
    <col min="7" max="17" width="12.7109375" style="80" customWidth="1"/>
    <col min="18" max="32" width="9.140625" style="80"/>
  </cols>
  <sheetData>
    <row r="3" spans="1:29" x14ac:dyDescent="0.25">
      <c r="A3" s="101" t="s">
        <v>93</v>
      </c>
      <c r="B3" s="119" t="s">
        <v>94</v>
      </c>
      <c r="C3" s="120"/>
    </row>
    <row r="5" spans="1:29" x14ac:dyDescent="0.25">
      <c r="A5" s="83" t="s">
        <v>90</v>
      </c>
      <c r="B5" s="76" t="s">
        <v>84</v>
      </c>
      <c r="C5" s="76" t="s">
        <v>85</v>
      </c>
      <c r="D5" s="76" t="s">
        <v>92</v>
      </c>
      <c r="E5" s="116" t="s">
        <v>91</v>
      </c>
      <c r="F5" s="76" t="s">
        <v>89</v>
      </c>
      <c r="G5" s="81" t="str">
        <f t="shared" ref="G5:AC5" si="0">_xlfn.LET(_xlpm.id,COLUMN(G5)-COLUMN($G$5),IF(_xlpm.id&lt;Nscen,"sc-"&amp;_xlpm.id,""))</f>
        <v>sc-0</v>
      </c>
      <c r="H5" s="81" t="str">
        <f t="shared" si="0"/>
        <v>sc-1</v>
      </c>
      <c r="I5" s="81" t="str">
        <f t="shared" si="0"/>
        <v>sc-2</v>
      </c>
      <c r="J5" s="81" t="str">
        <f t="shared" si="0"/>
        <v>sc-3</v>
      </c>
      <c r="K5" s="81" t="str">
        <f t="shared" si="0"/>
        <v>sc-4</v>
      </c>
      <c r="L5" s="81" t="str">
        <f t="shared" si="0"/>
        <v/>
      </c>
      <c r="M5" s="81" t="str">
        <f t="shared" si="0"/>
        <v/>
      </c>
      <c r="N5" s="81" t="str">
        <f t="shared" si="0"/>
        <v/>
      </c>
      <c r="O5" s="81" t="str">
        <f t="shared" si="0"/>
        <v/>
      </c>
      <c r="P5" s="81" t="str">
        <f t="shared" si="0"/>
        <v/>
      </c>
      <c r="Q5" s="81" t="str">
        <f t="shared" si="0"/>
        <v/>
      </c>
      <c r="R5" s="79" t="str">
        <f t="shared" si="0"/>
        <v/>
      </c>
      <c r="S5" s="79" t="str">
        <f t="shared" si="0"/>
        <v/>
      </c>
      <c r="T5" s="79" t="str">
        <f t="shared" si="0"/>
        <v/>
      </c>
      <c r="U5" s="79" t="str">
        <f t="shared" si="0"/>
        <v/>
      </c>
      <c r="V5" s="79" t="str">
        <f t="shared" si="0"/>
        <v/>
      </c>
      <c r="W5" s="79" t="str">
        <f t="shared" si="0"/>
        <v/>
      </c>
      <c r="X5" s="79" t="str">
        <f t="shared" si="0"/>
        <v/>
      </c>
      <c r="Y5" s="79" t="str">
        <f t="shared" si="0"/>
        <v/>
      </c>
      <c r="Z5" s="79" t="str">
        <f t="shared" si="0"/>
        <v/>
      </c>
      <c r="AA5" s="79" t="str">
        <f t="shared" si="0"/>
        <v/>
      </c>
      <c r="AB5" s="79" t="str">
        <f t="shared" si="0"/>
        <v/>
      </c>
      <c r="AC5" s="79" t="str">
        <f t="shared" si="0"/>
        <v/>
      </c>
    </row>
    <row r="6" spans="1:29" x14ac:dyDescent="0.25">
      <c r="A6" s="82">
        <v>1</v>
      </c>
      <c r="B6" s="77" t="s">
        <v>83</v>
      </c>
      <c r="C6" s="77" t="s">
        <v>7</v>
      </c>
      <c r="D6" s="84">
        <v>1000</v>
      </c>
      <c r="E6" s="115">
        <f t="shared" ref="E6:E15" si="1">MATCH(B6&amp;"."&amp;C6,listScenTopics,0)</f>
        <v>9</v>
      </c>
      <c r="F6" t="str">
        <f>C6</f>
        <v>REFA-Daekningsbidrag</v>
      </c>
      <c r="G6" s="80" cm="1">
        <f t="array" aca="1" ref="G6:K6" ca="1">IF(A6=0,"",OFFSET(scenTopicsHeader,E6-1,3,1,Nscen)/D6)</f>
        <v>-2638.0930075881724</v>
      </c>
      <c r="H6" s="80">
        <f ca="1"/>
        <v>10612.682885114707</v>
      </c>
      <c r="I6" s="80">
        <f ca="1"/>
        <v>-5950.7896269045732</v>
      </c>
      <c r="J6" s="80">
        <f ca="1"/>
        <v>-22514.262117484082</v>
      </c>
      <c r="K6" s="80">
        <f ca="1"/>
        <v>-38768.849277262023</v>
      </c>
    </row>
    <row r="7" spans="1:29" x14ac:dyDescent="0.25">
      <c r="A7" s="82">
        <v>1</v>
      </c>
      <c r="B7" s="77" t="s">
        <v>83</v>
      </c>
      <c r="C7" s="77" t="s">
        <v>8</v>
      </c>
      <c r="D7" s="84">
        <v>1000</v>
      </c>
      <c r="E7" s="115">
        <f t="shared" si="1"/>
        <v>10</v>
      </c>
      <c r="F7" t="str">
        <f>C7</f>
        <v>REFA-Total-Var-Indkomst</v>
      </c>
      <c r="G7" s="80" cm="1">
        <f t="array" aca="1" ref="G7:K7" ca="1">IF(A7=0,"",OFFSET(scenTopicsHeader,E7-1,3,1,Nscen)/D7)</f>
        <v>85378.929815118638</v>
      </c>
      <c r="H7" s="80">
        <f ca="1"/>
        <v>85378.930636732432</v>
      </c>
      <c r="I7" s="80">
        <f ca="1"/>
        <v>85378.93002893588</v>
      </c>
      <c r="J7" s="80">
        <f ca="1"/>
        <v>85378.930028935865</v>
      </c>
      <c r="K7" s="80">
        <f ca="1"/>
        <v>82190.184661601539</v>
      </c>
    </row>
    <row r="8" spans="1:29" x14ac:dyDescent="0.25">
      <c r="A8" s="82">
        <v>1</v>
      </c>
      <c r="B8" s="77" t="s">
        <v>83</v>
      </c>
      <c r="C8" s="77" t="s">
        <v>12</v>
      </c>
      <c r="D8" s="84">
        <v>1000</v>
      </c>
      <c r="E8" s="115">
        <f t="shared" si="1"/>
        <v>15</v>
      </c>
      <c r="F8" t="str">
        <f>C8</f>
        <v>REFA-Total-Var-Omkostning</v>
      </c>
      <c r="G8" s="80" cm="1">
        <f t="array" aca="1" ref="G8:K8" ca="1">IF(A8=0,"",OFFSET(scenTopicsHeader,E8-1,3,1,Nscen)/D8)</f>
        <v>88017.022822706815</v>
      </c>
      <c r="H8" s="80">
        <f ca="1"/>
        <v>74766.247751617717</v>
      </c>
      <c r="I8" s="80">
        <f ca="1"/>
        <v>91329.719655840439</v>
      </c>
      <c r="J8" s="80">
        <f ca="1"/>
        <v>107893.19214641995</v>
      </c>
      <c r="K8" s="80">
        <f ca="1"/>
        <v>120959.03393886358</v>
      </c>
    </row>
    <row r="9" spans="1:29" x14ac:dyDescent="0.25">
      <c r="A9" s="82">
        <v>1</v>
      </c>
      <c r="B9" s="77" t="s">
        <v>83</v>
      </c>
      <c r="C9" s="77" t="s">
        <v>15</v>
      </c>
      <c r="D9" s="84">
        <v>1000</v>
      </c>
      <c r="E9" s="115">
        <f t="shared" si="1"/>
        <v>18</v>
      </c>
      <c r="F9" t="str">
        <f>C9</f>
        <v>REFA-Afgifter</v>
      </c>
      <c r="G9" s="80" cm="1">
        <f t="array" aca="1" ref="G9:K9" ca="1">IF(A9=0,"",OFFSET(scenTopicsHeader,E9-1,3,1,Nscen)/D9)</f>
        <v>45152.373736225702</v>
      </c>
      <c r="H9" s="80">
        <f ca="1"/>
        <v>45152.376345347053</v>
      </c>
      <c r="I9" s="80">
        <f ca="1"/>
        <v>45152.37608561317</v>
      </c>
      <c r="J9" s="80">
        <f ca="1"/>
        <v>45152.37608561317</v>
      </c>
      <c r="K9" s="80">
        <f ca="1"/>
        <v>44367.767642601822</v>
      </c>
    </row>
    <row r="10" spans="1:29" x14ac:dyDescent="0.25">
      <c r="A10" s="82">
        <v>1</v>
      </c>
      <c r="B10" s="77" t="s">
        <v>83</v>
      </c>
      <c r="C10" s="77" t="s">
        <v>19</v>
      </c>
      <c r="D10" s="84">
        <v>1000</v>
      </c>
      <c r="E10" s="115">
        <f t="shared" si="1"/>
        <v>25</v>
      </c>
      <c r="F10" t="str">
        <f>C10</f>
        <v>REFA-CO2-Emission-Afgift</v>
      </c>
      <c r="G10" s="80" cm="1">
        <f t="array" aca="1" ref="G10:K10" ca="1">IF(A10=0,"",OFFSET(scenTopicsHeader,E10-1,3,1,Nscen)/D10)</f>
        <v>38.453238109195944</v>
      </c>
      <c r="H10" s="80">
        <f ca="1"/>
        <v>38.453238545522652</v>
      </c>
      <c r="I10" s="80">
        <f ca="1"/>
        <v>38.453238095776747</v>
      </c>
      <c r="J10" s="80">
        <f ca="1"/>
        <v>38.453238095776747</v>
      </c>
      <c r="K10" s="80">
        <f ca="1"/>
        <v>37.10913856981518</v>
      </c>
    </row>
    <row r="11" spans="1:29" x14ac:dyDescent="0.25">
      <c r="A11" s="82">
        <v>0</v>
      </c>
      <c r="B11" s="77" t="s">
        <v>83</v>
      </c>
      <c r="C11" s="77" t="s">
        <v>16</v>
      </c>
      <c r="D11" s="84">
        <v>1000</v>
      </c>
      <c r="E11" s="115">
        <f t="shared" si="1"/>
        <v>23</v>
      </c>
      <c r="F11" t="str">
        <f t="shared" ref="F11:F15" si="2">C11</f>
        <v>REFA-CO2-Kvoteomk</v>
      </c>
      <c r="G11" s="80" t="str" cm="1">
        <f t="array" aca="1" ref="G11" ca="1">IF(A11=0,"",OFFSET(scenTopicsHeader,E11-1,3,1,Nscen)/D11)</f>
        <v/>
      </c>
    </row>
    <row r="12" spans="1:29" x14ac:dyDescent="0.25">
      <c r="A12" s="82">
        <v>0</v>
      </c>
      <c r="B12" s="77" t="s">
        <v>150</v>
      </c>
      <c r="C12" s="77" t="s">
        <v>40</v>
      </c>
      <c r="D12" s="84">
        <v>1000</v>
      </c>
      <c r="E12" s="115">
        <f t="shared" si="1"/>
        <v>54</v>
      </c>
      <c r="F12" t="str">
        <f t="shared" si="2"/>
        <v>Ovn3</v>
      </c>
      <c r="G12" s="80" t="str" cm="1">
        <f t="array" aca="1" ref="G12" ca="1">IF(A12=0,"",OFFSET(scenTopicsHeader,E12-1,3,1,Nscen)/D12)</f>
        <v/>
      </c>
    </row>
    <row r="13" spans="1:29" x14ac:dyDescent="0.25">
      <c r="A13" s="82">
        <v>0</v>
      </c>
      <c r="B13" s="77" t="s">
        <v>139</v>
      </c>
      <c r="C13" s="77" t="s">
        <v>59</v>
      </c>
      <c r="D13" s="84">
        <v>1</v>
      </c>
      <c r="E13" s="115">
        <f t="shared" si="1"/>
        <v>75</v>
      </c>
      <c r="F13" t="str">
        <f t="shared" si="2"/>
        <v>TyskRest</v>
      </c>
      <c r="G13" s="80" t="str" cm="1">
        <f t="array" aca="1" ref="G13" ca="1">IF(A13=0,"",OFFSET(scenTopicsHeader,E13-1,3,1,Nscen)/D13)</f>
        <v/>
      </c>
    </row>
    <row r="14" spans="1:29" x14ac:dyDescent="0.25">
      <c r="A14" s="82">
        <v>0</v>
      </c>
      <c r="B14" s="77" t="s">
        <v>83</v>
      </c>
      <c r="C14" s="77" t="s">
        <v>16</v>
      </c>
      <c r="D14" s="84">
        <v>1000</v>
      </c>
      <c r="E14" s="115">
        <f t="shared" si="1"/>
        <v>23</v>
      </c>
      <c r="F14" t="str">
        <f t="shared" si="2"/>
        <v>REFA-CO2-Kvoteomk</v>
      </c>
      <c r="G14" s="80" t="str" cm="1">
        <f t="array" aca="1" ref="G14" ca="1">IF(A14=0,"",OFFSET(scenTopicsHeader,E14-1,3,1,Nscen)/D14)</f>
        <v/>
      </c>
    </row>
    <row r="15" spans="1:29" x14ac:dyDescent="0.25">
      <c r="A15" s="82">
        <v>0</v>
      </c>
      <c r="B15" s="77" t="s">
        <v>83</v>
      </c>
      <c r="C15" s="77" t="s">
        <v>16</v>
      </c>
      <c r="D15" s="84">
        <v>1000</v>
      </c>
      <c r="E15" s="115">
        <f t="shared" si="1"/>
        <v>23</v>
      </c>
      <c r="F15" t="str">
        <f t="shared" si="2"/>
        <v>REFA-CO2-Kvoteomk</v>
      </c>
      <c r="G15" s="80" t="str" cm="1">
        <f t="array" aca="1" ref="G15" ca="1">IF(A15=0,"",OFFSET(scenTopicsHeader,E15-1,3,1,Nscen)/D15)</f>
        <v/>
      </c>
    </row>
  </sheetData>
  <mergeCells count="1">
    <mergeCell ref="B3:C3"/>
  </mergeCells>
  <conditionalFormatting sqref="A6:A15">
    <cfRule type="iconSet" priority="1">
      <iconSet>
        <cfvo type="percent" val="0"/>
        <cfvo type="percent" val="33"/>
        <cfvo type="percent" val="67"/>
      </iconSet>
    </cfRule>
  </conditionalFormatting>
  <dataValidations count="3">
    <dataValidation type="list" allowBlank="1" showInputMessage="1" showErrorMessage="1" sqref="B6:B15" xr:uid="{D3DDF137-E67F-48B9-98BC-33E3A7408901}">
      <formula1>listKategori</formula1>
    </dataValidation>
    <dataValidation type="list" allowBlank="1" showInputMessage="1" showErrorMessage="1" sqref="E6:E15 C6:C15" xr:uid="{C2A692C2-3D6D-424F-8D77-D516B2A67503}">
      <formula1>listdynEmner</formula1>
    </dataValidation>
    <dataValidation type="whole" allowBlank="1" showInputMessage="1" showErrorMessage="1" sqref="A6:A15" xr:uid="{DE08E23B-0825-42E7-A9AE-A72A1F855AB7}">
      <formula1>0</formula1>
      <formula2>1</formula2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C00C4-308E-4153-B42C-8063E7B6668D}">
  <sheetPr codeName="Sheet4"/>
  <dimension ref="A1:AM59"/>
  <sheetViews>
    <sheetView zoomScale="70" zoomScaleNormal="70" workbookViewId="0">
      <selection activeCell="AE14" sqref="AE14"/>
    </sheetView>
  </sheetViews>
  <sheetFormatPr defaultRowHeight="15" x14ac:dyDescent="0.25"/>
  <cols>
    <col min="2" max="2" width="12.5703125" bestFit="1" customWidth="1"/>
    <col min="3" max="3" width="17.28515625" bestFit="1" customWidth="1"/>
    <col min="4" max="4" width="10.140625" bestFit="1" customWidth="1"/>
    <col min="5" max="5" width="12" customWidth="1"/>
    <col min="6" max="6" width="15.85546875" customWidth="1"/>
    <col min="7" max="7" width="12.5703125" bestFit="1" customWidth="1"/>
    <col min="8" max="9" width="14.5703125" bestFit="1" customWidth="1"/>
    <col min="10" max="10" width="8.5703125" bestFit="1" customWidth="1"/>
    <col min="11" max="11" width="11" bestFit="1" customWidth="1"/>
    <col min="12" max="12" width="13.28515625" customWidth="1"/>
    <col min="13" max="13" width="14.5703125" customWidth="1"/>
    <col min="14" max="14" width="15" customWidth="1"/>
    <col min="15" max="15" width="17" customWidth="1"/>
    <col min="16" max="16" width="12.42578125" bestFit="1" customWidth="1"/>
    <col min="18" max="18" width="11.42578125" bestFit="1" customWidth="1"/>
    <col min="19" max="19" width="16.7109375" bestFit="1" customWidth="1"/>
    <col min="21" max="21" width="10.140625" bestFit="1" customWidth="1"/>
  </cols>
  <sheetData>
    <row r="1" spans="1:26" x14ac:dyDescent="0.25">
      <c r="A1" t="s">
        <v>115</v>
      </c>
      <c r="E1">
        <f>COUNTA(E4:E30)</f>
        <v>2</v>
      </c>
      <c r="R1" s="92" t="s">
        <v>116</v>
      </c>
      <c r="S1" t="s">
        <v>117</v>
      </c>
      <c r="T1" s="93" t="s">
        <v>118</v>
      </c>
    </row>
    <row r="2" spans="1:26" x14ac:dyDescent="0.25">
      <c r="B2" s="76" t="s">
        <v>119</v>
      </c>
      <c r="C2" s="76" t="s">
        <v>120</v>
      </c>
      <c r="J2" s="76" t="s">
        <v>121</v>
      </c>
      <c r="O2" s="94" t="s">
        <v>122</v>
      </c>
      <c r="S2" t="s">
        <v>123</v>
      </c>
      <c r="T2" s="93" t="s">
        <v>124</v>
      </c>
    </row>
    <row r="3" spans="1:26" x14ac:dyDescent="0.25">
      <c r="B3" s="95" t="s">
        <v>125</v>
      </c>
      <c r="C3" s="96" t="str" cm="1">
        <f t="array" ref="C3:H3">TRANSPOSE(B4:B9)&amp;"2"</f>
        <v>Control2</v>
      </c>
      <c r="D3" s="96" t="str">
        <v>Plant2</v>
      </c>
      <c r="E3" s="96" t="str">
        <v>Storage2</v>
      </c>
      <c r="F3" s="96" t="str">
        <v>Prognoses2</v>
      </c>
      <c r="G3" s="96" t="str">
        <v>Fuel2</v>
      </c>
      <c r="H3" s="96" t="str">
        <v>FuelBounds2</v>
      </c>
      <c r="I3" s="96"/>
      <c r="J3" s="90" t="str" cm="1">
        <f t="array" ref="J3:O3">TRANSPOSE(B4:B9)&amp;"3"</f>
        <v>Control3</v>
      </c>
      <c r="K3" s="90" t="str">
        <v>Plant3</v>
      </c>
      <c r="L3" s="90" t="str">
        <v>Storage3</v>
      </c>
      <c r="M3" s="90" t="str">
        <v>Prognoses3</v>
      </c>
      <c r="N3" s="90" t="str">
        <v>Fuel3</v>
      </c>
      <c r="O3" s="90" t="str">
        <v>FuelBounds3</v>
      </c>
      <c r="P3" s="90"/>
    </row>
    <row r="4" spans="1:26" x14ac:dyDescent="0.25">
      <c r="B4" t="s">
        <v>106</v>
      </c>
      <c r="C4" t="str" cm="1">
        <f t="array" ref="C4:C15">_xlfn.LET(_xlpm.ran,listDataCtrl,_xlfn._xlws.FILTER(_xlpm.ran,(LEN(_xlpm.ran)&gt;0)))</f>
        <v>RunScenarios</v>
      </c>
      <c r="D4" t="str" cm="1">
        <f t="array" ref="D4:D9">listUnitsName</f>
        <v>Ovn2</v>
      </c>
      <c r="E4" t="str" cm="1">
        <f t="array" ref="E4:E5">_xlfn._xlws.FILTER(listStorageName,LEN(listStorageName)&gt;0)</f>
        <v>sto1</v>
      </c>
      <c r="F4" t="str" cm="1">
        <f t="array" ref="F4:F28">_xlfn.LET(_xlpm.ran,TRANSPOSE(listPrognosisAttr),_xlpm.ran)</f>
        <v>Aktiv</v>
      </c>
      <c r="G4" t="str" cm="1">
        <f t="array" ref="G4:G32">listFuelName</f>
        <v>DepoSort</v>
      </c>
      <c r="H4" t="str" cm="1">
        <f t="array" ref="H4:H32">listFuelName</f>
        <v>DepoSort</v>
      </c>
      <c r="J4" t="s">
        <v>107</v>
      </c>
      <c r="K4" t="str" cm="1">
        <f t="array" ref="K4:K17">_xlfn.LET(_xlpm.ran,TRANSPOSE(listUnitAttr),_xlpm.ran)</f>
        <v>Aktiv</v>
      </c>
      <c r="L4" t="str" cm="1">
        <f t="array" ref="L4:L15">TRANSPOSE(listStorageAttr)</f>
        <v>Aktiv</v>
      </c>
      <c r="M4" t="s">
        <v>107</v>
      </c>
      <c r="N4" t="str" cm="1">
        <f t="array" ref="N4:N19">_xlfn.LET(_xlpm.ran,TRANSPOSE(listFuelAttr),_xlpm.ran)</f>
        <v>Aktiv</v>
      </c>
      <c r="O4" t="s">
        <v>126</v>
      </c>
      <c r="R4" s="76" t="s">
        <v>119</v>
      </c>
      <c r="S4" s="76" t="s">
        <v>120</v>
      </c>
      <c r="T4" s="76" t="s">
        <v>121</v>
      </c>
      <c r="U4" s="76" t="s">
        <v>127</v>
      </c>
      <c r="V4" s="83" t="s">
        <v>128</v>
      </c>
    </row>
    <row r="5" spans="1:26" x14ac:dyDescent="0.25">
      <c r="B5" t="s">
        <v>108</v>
      </c>
      <c r="C5" t="str">
        <v>IncludeGSF</v>
      </c>
      <c r="D5" t="str">
        <v>Ovn3</v>
      </c>
      <c r="E5" t="str">
        <v>sto2</v>
      </c>
      <c r="F5" t="str">
        <v>Ndage</v>
      </c>
      <c r="G5" t="str">
        <v>DepoSmaat</v>
      </c>
      <c r="H5" t="str">
        <v>DepoSmaat</v>
      </c>
      <c r="K5" t="str">
        <v>Ukind</v>
      </c>
      <c r="L5" t="str">
        <v>StoKind</v>
      </c>
      <c r="N5" t="str">
        <v>Fkind</v>
      </c>
      <c r="O5" t="s">
        <v>129</v>
      </c>
      <c r="R5" t="s">
        <v>108</v>
      </c>
      <c r="S5" t="s">
        <v>40</v>
      </c>
      <c r="T5" t="s">
        <v>101</v>
      </c>
      <c r="U5" s="97">
        <v>44197</v>
      </c>
      <c r="V5" s="98"/>
      <c r="X5" t="str" cm="1">
        <f t="array" aca="1" ref="X5:X15" ca="1">_xlfn.LET(_xlpm.a,MATCH($R5&amp;"2",listHeaders,0)-1,_xlpm.b,OFFSET($B$3,1,_xlpm.a,40,1),OFFSET($B$3,1,_xlpm.a,COUNTA(_xlpm.b)-COUNTIF(_xlpm.b,"=0"),1))</f>
        <v>Ovn2</v>
      </c>
      <c r="Z5" t="str" cm="1">
        <f t="array" aca="1" ref="Z5:Z24" ca="1">OFFSET($B$3,1,3,20,1)</f>
        <v>sto1</v>
      </c>
    </row>
    <row r="6" spans="1:26" x14ac:dyDescent="0.25">
      <c r="B6" t="s">
        <v>114</v>
      </c>
      <c r="C6" t="str">
        <v>VirtuelVarme</v>
      </c>
      <c r="D6" t="str">
        <v>FlisK</v>
      </c>
      <c r="F6" t="str">
        <v>Ovn2</v>
      </c>
      <c r="G6" t="str">
        <v>DepoNedd</v>
      </c>
      <c r="H6" t="str">
        <v>DepoNedd</v>
      </c>
      <c r="K6" t="str">
        <v>Prioritet</v>
      </c>
      <c r="L6" t="str">
        <v>LoadInit</v>
      </c>
      <c r="N6" t="str">
        <v>Lagerbar</v>
      </c>
      <c r="O6" t="s">
        <v>111</v>
      </c>
      <c r="R6" t="s">
        <v>108</v>
      </c>
      <c r="S6" t="s">
        <v>40</v>
      </c>
      <c r="T6" t="s">
        <v>101</v>
      </c>
      <c r="U6" s="97">
        <v>44531</v>
      </c>
      <c r="V6" s="98"/>
      <c r="X6" t="str">
        <f ca="1"/>
        <v>Ovn3</v>
      </c>
      <c r="Z6" t="str">
        <f ca="1"/>
        <v>sto2</v>
      </c>
    </row>
    <row r="7" spans="1:26" x14ac:dyDescent="0.25">
      <c r="B7" t="s">
        <v>109</v>
      </c>
      <c r="C7" t="str">
        <v>VirtuelAffald</v>
      </c>
      <c r="D7" t="str">
        <v>NS</v>
      </c>
      <c r="F7" t="str">
        <v>Ovn3</v>
      </c>
      <c r="G7" t="str">
        <v>Dagren</v>
      </c>
      <c r="H7" t="str">
        <v>Dagren</v>
      </c>
      <c r="K7" t="str">
        <v>MinLhv</v>
      </c>
      <c r="L7" t="str">
        <v>LoadMin</v>
      </c>
      <c r="N7" t="str">
        <v>Fri</v>
      </c>
      <c r="O7" t="s">
        <v>130</v>
      </c>
      <c r="R7" t="s">
        <v>108</v>
      </c>
      <c r="S7" t="s">
        <v>39</v>
      </c>
      <c r="T7" t="s">
        <v>101</v>
      </c>
      <c r="U7" s="97">
        <v>44531</v>
      </c>
      <c r="V7" s="98"/>
      <c r="X7" t="str">
        <f ca="1"/>
        <v>FlisK</v>
      </c>
      <c r="Z7">
        <f ca="1"/>
        <v>0</v>
      </c>
    </row>
    <row r="8" spans="1:26" x14ac:dyDescent="0.25">
      <c r="B8" t="s">
        <v>110</v>
      </c>
      <c r="C8" t="str">
        <v>Skorstensmetode</v>
      </c>
      <c r="D8" t="str">
        <v>Cooler</v>
      </c>
      <c r="F8" t="str">
        <v>FlisK</v>
      </c>
      <c r="G8" t="str">
        <v>AndetBrand</v>
      </c>
      <c r="H8" t="str">
        <v>AndetBrand</v>
      </c>
      <c r="K8" t="str">
        <v>MaxLhv</v>
      </c>
      <c r="L8" t="str">
        <v>LoadMax</v>
      </c>
      <c r="N8" t="str">
        <v>Flex</v>
      </c>
      <c r="O8" t="s">
        <v>131</v>
      </c>
      <c r="R8" t="s">
        <v>108</v>
      </c>
      <c r="U8" s="97">
        <v>44197</v>
      </c>
      <c r="V8" s="98"/>
      <c r="X8" t="str">
        <f ca="1"/>
        <v>NS</v>
      </c>
      <c r="Z8">
        <f ca="1"/>
        <v>0</v>
      </c>
    </row>
    <row r="9" spans="1:26" x14ac:dyDescent="0.25">
      <c r="B9" t="s">
        <v>112</v>
      </c>
      <c r="C9" t="str">
        <v>FixAffald2021</v>
      </c>
      <c r="D9" t="str">
        <v>PeakK</v>
      </c>
      <c r="F9" t="str">
        <v>NS</v>
      </c>
      <c r="G9" t="str">
        <v>Trae</v>
      </c>
      <c r="H9" t="str">
        <v>Trae</v>
      </c>
      <c r="K9" t="str">
        <v>MinTon</v>
      </c>
      <c r="L9" t="str">
        <v>DLoadMax</v>
      </c>
      <c r="N9" t="str">
        <v>Bortskaf</v>
      </c>
      <c r="O9" t="s">
        <v>113</v>
      </c>
      <c r="R9" t="s">
        <v>114</v>
      </c>
      <c r="S9" t="s">
        <v>132</v>
      </c>
      <c r="U9" s="97">
        <v>44682</v>
      </c>
      <c r="V9" s="98"/>
      <c r="W9" t="b" cm="1">
        <f t="array" aca="1" ref="W9:W14" ca="1">Lister!$A$5=_xlfn.LET(_xlpm.a,MATCH(Lister!$R9&amp;"2",listHeaders,0)-1,_xlpm.b,OFFSET(Lister!$B$3,1,_xlpm.a,40,1),OFFSET(Lister!$B$3,1,_xlpm.a,COUNTA(_xlpm.b)-COUNTIF(_xlpm.b,"=0"),1))</f>
        <v>0</v>
      </c>
      <c r="X9" t="str">
        <f ca="1"/>
        <v>Cooler</v>
      </c>
      <c r="Z9">
        <f ca="1"/>
        <v>0</v>
      </c>
    </row>
    <row r="10" spans="1:26" x14ac:dyDescent="0.25">
      <c r="C10" t="str">
        <v>FixAffaldSum</v>
      </c>
      <c r="F10" t="str">
        <v>Cooler</v>
      </c>
      <c r="G10" t="str">
        <v>DagrenRast</v>
      </c>
      <c r="H10" t="str">
        <v>DagrenRast</v>
      </c>
      <c r="K10" t="str">
        <v>MaxTon</v>
      </c>
      <c r="L10" t="str">
        <v>LossRate</v>
      </c>
      <c r="N10" t="str">
        <v>TilOvn2</v>
      </c>
      <c r="O10" t="s">
        <v>133</v>
      </c>
      <c r="R10" t="s">
        <v>108</v>
      </c>
      <c r="S10" t="s">
        <v>39</v>
      </c>
      <c r="U10" s="97">
        <v>47665</v>
      </c>
      <c r="V10" s="98"/>
      <c r="W10" t="b">
        <f ca="1"/>
        <v>0</v>
      </c>
      <c r="X10" t="str">
        <f ca="1"/>
        <v>PeakK</v>
      </c>
      <c r="Z10">
        <f ca="1"/>
        <v>0</v>
      </c>
    </row>
    <row r="11" spans="1:26" x14ac:dyDescent="0.25">
      <c r="C11" t="str">
        <v>DeltaTonAktiv</v>
      </c>
      <c r="F11" t="str">
        <v>PeakK</v>
      </c>
      <c r="G11" t="str">
        <v>DagrenInst</v>
      </c>
      <c r="H11" t="str">
        <v>DagrenInst</v>
      </c>
      <c r="K11" t="str">
        <v>KapQNom</v>
      </c>
      <c r="L11" t="str">
        <v>LoadCost</v>
      </c>
      <c r="N11" t="str">
        <v>TilOvn3</v>
      </c>
      <c r="R11" t="s">
        <v>108</v>
      </c>
      <c r="U11" s="97"/>
      <c r="V11" s="98"/>
      <c r="W11" t="b">
        <f ca="1"/>
        <v>1</v>
      </c>
      <c r="X11">
        <f ca="1"/>
        <v>0</v>
      </c>
      <c r="Z11">
        <f ca="1"/>
        <v>0</v>
      </c>
    </row>
    <row r="12" spans="1:26" x14ac:dyDescent="0.25">
      <c r="C12" t="str">
        <v>RgkRabatSats</v>
      </c>
      <c r="F12" t="str">
        <v>Turbine</v>
      </c>
      <c r="G12" t="str">
        <v>DagrenHandel</v>
      </c>
      <c r="H12" t="str">
        <v>DagrenHandel</v>
      </c>
      <c r="K12" t="str">
        <v>KapRgk</v>
      </c>
      <c r="L12" t="str">
        <v>DLoadCost</v>
      </c>
      <c r="N12" t="str">
        <v>DeltaTon</v>
      </c>
      <c r="R12" t="s">
        <v>108</v>
      </c>
      <c r="S12" t="s">
        <v>44</v>
      </c>
      <c r="U12" s="97"/>
      <c r="V12" s="98"/>
      <c r="W12" t="b">
        <f ca="1"/>
        <v>1</v>
      </c>
      <c r="X12">
        <f ca="1"/>
        <v>0</v>
      </c>
      <c r="Z12">
        <f ca="1"/>
        <v>0</v>
      </c>
    </row>
    <row r="13" spans="1:26" x14ac:dyDescent="0.25">
      <c r="C13" t="str">
        <v>RgkAndelRabat</v>
      </c>
      <c r="F13" t="str">
        <v>Varmebehov</v>
      </c>
      <c r="G13" t="str">
        <v>DagrenRestau</v>
      </c>
      <c r="H13" t="str">
        <v>DagrenRestau</v>
      </c>
      <c r="K13" t="str">
        <v>KapE</v>
      </c>
      <c r="L13" t="str">
        <v>ResetFirst</v>
      </c>
      <c r="N13" t="str">
        <v>MinTonnage</v>
      </c>
      <c r="R13" t="s">
        <v>108</v>
      </c>
      <c r="S13" t="s">
        <v>44</v>
      </c>
      <c r="U13" s="97"/>
      <c r="V13" s="98"/>
      <c r="W13" t="b">
        <f ca="1"/>
        <v>1</v>
      </c>
      <c r="X13">
        <f ca="1"/>
        <v>0</v>
      </c>
      <c r="Z13">
        <f ca="1"/>
        <v>0</v>
      </c>
    </row>
    <row r="14" spans="1:26" x14ac:dyDescent="0.25">
      <c r="C14" t="str">
        <v>Varmesalgspris</v>
      </c>
      <c r="F14" t="str">
        <v>NSprod</v>
      </c>
      <c r="G14" t="str">
        <v>Erhverv</v>
      </c>
      <c r="H14" t="str">
        <v>Erhverv</v>
      </c>
      <c r="K14" t="str">
        <v>EtaE</v>
      </c>
      <c r="L14" t="str">
        <v>ResetIntv</v>
      </c>
      <c r="N14" t="str">
        <v>MaxTonnage</v>
      </c>
      <c r="R14" t="s">
        <v>108</v>
      </c>
      <c r="U14" s="97"/>
      <c r="V14" s="98"/>
      <c r="W14" t="b">
        <f ca="1"/>
        <v>1</v>
      </c>
      <c r="X14">
        <f ca="1"/>
        <v>0</v>
      </c>
      <c r="Z14">
        <f ca="1"/>
        <v>0</v>
      </c>
    </row>
    <row r="15" spans="1:26" x14ac:dyDescent="0.25">
      <c r="C15" t="str">
        <v>EgetforbrugKVV</v>
      </c>
      <c r="F15" t="str">
        <v>ELprod</v>
      </c>
      <c r="G15" t="str">
        <v>DagrenErhverv</v>
      </c>
      <c r="H15" t="str">
        <v>DagrenErhverv</v>
      </c>
      <c r="K15" t="str">
        <v>EtaQ</v>
      </c>
      <c r="L15" t="str">
        <v>ResetLast</v>
      </c>
      <c r="N15" t="str">
        <v>InitSto1</v>
      </c>
      <c r="R15" t="s">
        <v>108</v>
      </c>
      <c r="U15" s="97"/>
      <c r="V15" s="98"/>
      <c r="X15">
        <f ca="1"/>
        <v>0</v>
      </c>
      <c r="Z15">
        <f ca="1"/>
        <v>0</v>
      </c>
    </row>
    <row r="16" spans="1:26" x14ac:dyDescent="0.25">
      <c r="F16" t="str">
        <v>Bypass</v>
      </c>
      <c r="G16" t="str">
        <v>HandelKontor</v>
      </c>
      <c r="H16" t="str">
        <v>HandelKontor</v>
      </c>
      <c r="K16" t="str">
        <v>DVMWhq</v>
      </c>
      <c r="N16" t="str">
        <v>InitSto2</v>
      </c>
      <c r="R16" t="s">
        <v>108</v>
      </c>
      <c r="U16" s="97"/>
      <c r="V16" s="98"/>
      <c r="Z16">
        <f ca="1"/>
        <v>0</v>
      </c>
    </row>
    <row r="17" spans="2:26" x14ac:dyDescent="0.25">
      <c r="F17" t="str">
        <v>Elpris</v>
      </c>
      <c r="G17" t="str">
        <v>Privat</v>
      </c>
      <c r="H17" t="str">
        <v>Privat</v>
      </c>
      <c r="K17" t="str">
        <v>DVtime</v>
      </c>
      <c r="N17" t="str">
        <v>Pris</v>
      </c>
      <c r="U17" s="97"/>
      <c r="V17" s="98"/>
      <c r="Z17">
        <f ca="1"/>
        <v>0</v>
      </c>
    </row>
    <row r="18" spans="2:26" x14ac:dyDescent="0.25">
      <c r="F18" t="str">
        <v>ETS</v>
      </c>
      <c r="G18" t="str">
        <v>TyskRest</v>
      </c>
      <c r="H18" t="str">
        <v>TyskRest</v>
      </c>
      <c r="N18" t="str">
        <v>LHV</v>
      </c>
      <c r="U18" s="97"/>
      <c r="V18" s="98"/>
      <c r="Z18">
        <f ca="1"/>
        <v>0</v>
      </c>
    </row>
    <row r="19" spans="2:26" x14ac:dyDescent="0.25">
      <c r="F19" t="str">
        <v>AFV</v>
      </c>
      <c r="G19" t="str">
        <v>PolskRest</v>
      </c>
      <c r="H19" t="str">
        <v>PolskRest</v>
      </c>
      <c r="N19" t="str">
        <v>NOxKgTon</v>
      </c>
      <c r="U19" s="97"/>
      <c r="V19" s="98"/>
      <c r="Z19">
        <f ca="1"/>
        <v>0</v>
      </c>
    </row>
    <row r="20" spans="2:26" x14ac:dyDescent="0.25">
      <c r="F20" t="str">
        <v>ATL</v>
      </c>
      <c r="G20" t="str">
        <v>PcbTrae</v>
      </c>
      <c r="H20" t="str">
        <v>PcbTrae</v>
      </c>
      <c r="U20" s="97"/>
      <c r="V20" s="98"/>
      <c r="Z20">
        <f ca="1"/>
        <v>0</v>
      </c>
    </row>
    <row r="21" spans="2:26" x14ac:dyDescent="0.25">
      <c r="F21" t="str">
        <v>CO2aff</v>
      </c>
      <c r="G21" t="str">
        <v>TraeRekv</v>
      </c>
      <c r="H21" t="str">
        <v>TraeRekv</v>
      </c>
      <c r="U21" s="97"/>
      <c r="V21" s="98"/>
      <c r="Z21">
        <f ca="1"/>
        <v>0</v>
      </c>
    </row>
    <row r="22" spans="2:26" x14ac:dyDescent="0.25">
      <c r="B22" t="s">
        <v>134</v>
      </c>
      <c r="F22" t="str">
        <v>ETSaff</v>
      </c>
      <c r="G22" t="str">
        <v>Halm</v>
      </c>
      <c r="H22" t="str">
        <v>Halm</v>
      </c>
      <c r="U22" s="97"/>
      <c r="V22" s="98"/>
      <c r="Z22">
        <f ca="1"/>
        <v>0</v>
      </c>
    </row>
    <row r="23" spans="2:26" x14ac:dyDescent="0.25">
      <c r="F23" t="str">
        <v>CO2afgAff</v>
      </c>
      <c r="G23" t="str">
        <v>Pulver</v>
      </c>
      <c r="H23" t="str">
        <v>Pulver</v>
      </c>
      <c r="U23" s="97"/>
      <c r="V23" s="98"/>
      <c r="Z23">
        <f ca="1"/>
        <v>0</v>
      </c>
    </row>
    <row r="24" spans="2:26" x14ac:dyDescent="0.25">
      <c r="F24" t="str">
        <v>NOxAff</v>
      </c>
      <c r="G24" t="str">
        <v>FlisAffald</v>
      </c>
      <c r="H24" t="str">
        <v>FlisAffald</v>
      </c>
      <c r="U24" s="97"/>
      <c r="V24" s="98"/>
      <c r="Z24">
        <f ca="1"/>
        <v>0</v>
      </c>
    </row>
    <row r="25" spans="2:26" x14ac:dyDescent="0.25">
      <c r="F25" t="str">
        <v>NOxFlis</v>
      </c>
      <c r="G25" t="str">
        <v>NyAff1</v>
      </c>
      <c r="H25" t="str">
        <v>NyAff1</v>
      </c>
      <c r="U25" s="97"/>
      <c r="V25" s="98"/>
    </row>
    <row r="26" spans="2:26" x14ac:dyDescent="0.25">
      <c r="F26" t="str">
        <v>EnrPeak</v>
      </c>
      <c r="G26" t="str">
        <v>NyAff2</v>
      </c>
      <c r="H26" t="str">
        <v>NyAff2</v>
      </c>
      <c r="U26" s="97"/>
      <c r="V26" s="98"/>
    </row>
    <row r="27" spans="2:26" x14ac:dyDescent="0.25">
      <c r="F27" t="str">
        <v>CO2peak</v>
      </c>
      <c r="G27" t="str">
        <v>NyAff3</v>
      </c>
      <c r="H27" t="str">
        <v>NyAff3</v>
      </c>
      <c r="U27" s="97"/>
      <c r="V27" s="98"/>
    </row>
    <row r="28" spans="2:26" x14ac:dyDescent="0.25">
      <c r="F28" t="str">
        <v>NOxPeak</v>
      </c>
      <c r="G28" t="str">
        <v>NyAff4</v>
      </c>
      <c r="H28" t="str">
        <v>NyAff4</v>
      </c>
      <c r="U28" s="97"/>
      <c r="V28" s="98"/>
    </row>
    <row r="29" spans="2:26" x14ac:dyDescent="0.25">
      <c r="G29" t="str">
        <v>NyAff5</v>
      </c>
      <c r="H29" t="str">
        <v>NyAff5</v>
      </c>
      <c r="U29" s="97"/>
      <c r="V29" s="98"/>
    </row>
    <row r="30" spans="2:26" x14ac:dyDescent="0.25">
      <c r="G30" t="str">
        <v>Flis</v>
      </c>
      <c r="H30" t="str">
        <v>Flis</v>
      </c>
      <c r="U30" s="97"/>
      <c r="V30" s="98"/>
    </row>
    <row r="31" spans="2:26" x14ac:dyDescent="0.25">
      <c r="G31" t="str">
        <v>NSvarme</v>
      </c>
      <c r="H31" t="str">
        <v>NSvarme</v>
      </c>
      <c r="U31" s="97"/>
      <c r="V31" s="98"/>
    </row>
    <row r="32" spans="2:26" x14ac:dyDescent="0.25">
      <c r="G32" t="str">
        <v>PeakFuel</v>
      </c>
      <c r="H32" t="str">
        <v>PeakFuel</v>
      </c>
      <c r="U32" s="97"/>
      <c r="V32" s="98"/>
    </row>
    <row r="33" spans="1:31" x14ac:dyDescent="0.25">
      <c r="U33" s="97"/>
      <c r="V33" s="98"/>
    </row>
    <row r="34" spans="1:31" x14ac:dyDescent="0.25">
      <c r="U34" s="97"/>
      <c r="V34" s="98"/>
    </row>
    <row r="35" spans="1:31" x14ac:dyDescent="0.25">
      <c r="U35" s="97"/>
      <c r="V35" s="98"/>
    </row>
    <row r="36" spans="1:31" x14ac:dyDescent="0.25">
      <c r="U36" s="97"/>
      <c r="V36" s="98"/>
    </row>
    <row r="37" spans="1:31" x14ac:dyDescent="0.25">
      <c r="U37" s="97"/>
      <c r="V37" s="98"/>
    </row>
    <row r="38" spans="1:31" x14ac:dyDescent="0.25">
      <c r="A38" t="s">
        <v>135</v>
      </c>
      <c r="B38" s="76" t="s">
        <v>104</v>
      </c>
      <c r="U38" s="97"/>
      <c r="V38" s="98"/>
    </row>
    <row r="39" spans="1:31" x14ac:dyDescent="0.25">
      <c r="A39" s="78">
        <f>COUNTA(_xlfn.ANCHORARRAY(C39))</f>
        <v>12</v>
      </c>
      <c r="B39" t="str">
        <f>B4</f>
        <v>Control</v>
      </c>
      <c r="C39" t="str" cm="1">
        <f t="array" ref="C39:N39">TRANSPOSE(_xlfn.ANCHORARRAY(C4))</f>
        <v>RunScenarios</v>
      </c>
      <c r="D39" t="str">
        <v>IncludeGSF</v>
      </c>
      <c r="E39" t="str">
        <v>VirtuelVarme</v>
      </c>
      <c r="F39" t="str">
        <v>VirtuelAffald</v>
      </c>
      <c r="G39" t="str">
        <v>Skorstensmetode</v>
      </c>
      <c r="H39" t="str">
        <v>FixAffald2021</v>
      </c>
      <c r="I39" t="str">
        <v>FixAffaldSum</v>
      </c>
      <c r="J39" t="str">
        <v>DeltaTonAktiv</v>
      </c>
      <c r="K39" t="str">
        <v>RgkRabatSats</v>
      </c>
      <c r="L39" t="str">
        <v>RgkAndelRabat</v>
      </c>
      <c r="M39" t="str">
        <v>Varmesalgspris</v>
      </c>
      <c r="N39" t="str">
        <v>EgetforbrugKVV</v>
      </c>
      <c r="U39" s="97"/>
      <c r="V39" s="98"/>
    </row>
    <row r="40" spans="1:31" x14ac:dyDescent="0.25">
      <c r="A40" s="78">
        <f t="shared" ref="A40:A44" si="0">COUNTA(_xlfn.ANCHORARRAY(C40))</f>
        <v>6</v>
      </c>
      <c r="B40" t="str">
        <f t="shared" ref="B40:B44" si="1">B5</f>
        <v>Plant</v>
      </c>
      <c r="C40" t="str" cm="1">
        <f t="array" ref="C40:H40">TRANSPOSE(_xlfn.ANCHORARRAY(D4))</f>
        <v>Ovn2</v>
      </c>
      <c r="D40" t="str">
        <v>Ovn3</v>
      </c>
      <c r="E40" t="str">
        <v>FlisK</v>
      </c>
      <c r="F40" t="str">
        <v>NS</v>
      </c>
      <c r="G40" t="str">
        <v>Cooler</v>
      </c>
      <c r="H40" t="str">
        <v>PeakK</v>
      </c>
      <c r="U40" s="97"/>
      <c r="V40" s="98"/>
    </row>
    <row r="41" spans="1:31" x14ac:dyDescent="0.25">
      <c r="A41" s="78">
        <f t="shared" si="0"/>
        <v>2</v>
      </c>
      <c r="B41" t="str">
        <f t="shared" si="1"/>
        <v>Storage</v>
      </c>
      <c r="C41" t="str" cm="1">
        <f t="array" ref="C41:D41">TRANSPOSE(_xlfn.ANCHORARRAY(E4))</f>
        <v>sto1</v>
      </c>
      <c r="D41" t="str">
        <v>sto2</v>
      </c>
    </row>
    <row r="42" spans="1:31" x14ac:dyDescent="0.25">
      <c r="A42" s="78">
        <f t="shared" si="0"/>
        <v>25</v>
      </c>
      <c r="B42" t="str">
        <f t="shared" si="1"/>
        <v>Prognoses</v>
      </c>
      <c r="C42" t="str" cm="1">
        <f t="array" ref="C42:AA42">TRANSPOSE(_xlfn.ANCHORARRAY(F4))</f>
        <v>Aktiv</v>
      </c>
      <c r="D42" t="str">
        <v>Ndage</v>
      </c>
      <c r="E42" t="str">
        <v>Ovn2</v>
      </c>
      <c r="F42" t="str">
        <v>Ovn3</v>
      </c>
      <c r="G42" t="str">
        <v>FlisK</v>
      </c>
      <c r="H42" t="str">
        <v>NS</v>
      </c>
      <c r="I42" t="str">
        <v>Cooler</v>
      </c>
      <c r="J42" t="str">
        <v>PeakK</v>
      </c>
      <c r="K42" t="str">
        <v>Turbine</v>
      </c>
      <c r="L42" t="str">
        <v>Varmebehov</v>
      </c>
      <c r="M42" t="str">
        <v>NSprod</v>
      </c>
      <c r="N42" t="str">
        <v>ELprod</v>
      </c>
      <c r="O42" t="str">
        <v>Bypass</v>
      </c>
      <c r="P42" t="str">
        <v>Elpris</v>
      </c>
      <c r="Q42" t="str">
        <v>ETS</v>
      </c>
      <c r="R42" t="str">
        <v>AFV</v>
      </c>
      <c r="S42" t="str">
        <v>ATL</v>
      </c>
      <c r="T42" t="str">
        <v>CO2aff</v>
      </c>
      <c r="U42" t="str">
        <v>ETSaff</v>
      </c>
      <c r="V42" t="str">
        <v>CO2afgAff</v>
      </c>
      <c r="W42" t="str">
        <v>NOxAff</v>
      </c>
      <c r="X42" t="str">
        <v>NOxFlis</v>
      </c>
      <c r="Y42" t="str">
        <v>EnrPeak</v>
      </c>
      <c r="Z42" t="str">
        <v>CO2peak</v>
      </c>
      <c r="AA42" t="str">
        <v>NOxPeak</v>
      </c>
    </row>
    <row r="43" spans="1:31" x14ac:dyDescent="0.25">
      <c r="A43" s="78">
        <f t="shared" si="0"/>
        <v>29</v>
      </c>
      <c r="B43" t="str">
        <f t="shared" si="1"/>
        <v>Fuel</v>
      </c>
      <c r="C43" t="str" cm="1">
        <f t="array" ref="C43:AE43">TRANSPOSE(_xlfn.ANCHORARRAY(G4))</f>
        <v>DepoSort</v>
      </c>
      <c r="D43" t="str">
        <v>DepoSmaat</v>
      </c>
      <c r="E43" t="str">
        <v>DepoNedd</v>
      </c>
      <c r="F43" t="str">
        <v>Dagren</v>
      </c>
      <c r="G43" t="str">
        <v>AndetBrand</v>
      </c>
      <c r="H43" t="str">
        <v>Trae</v>
      </c>
      <c r="I43" t="str">
        <v>DagrenRast</v>
      </c>
      <c r="J43" t="str">
        <v>DagrenInst</v>
      </c>
      <c r="K43" t="str">
        <v>DagrenHandel</v>
      </c>
      <c r="L43" t="str">
        <v>DagrenRestau</v>
      </c>
      <c r="M43" t="str">
        <v>Erhverv</v>
      </c>
      <c r="N43" t="str">
        <v>DagrenErhverv</v>
      </c>
      <c r="O43" t="str">
        <v>HandelKontor</v>
      </c>
      <c r="P43" t="str">
        <v>Privat</v>
      </c>
      <c r="Q43" t="str">
        <v>TyskRest</v>
      </c>
      <c r="R43" t="str">
        <v>PolskRest</v>
      </c>
      <c r="S43" t="str">
        <v>PcbTrae</v>
      </c>
      <c r="T43" t="str">
        <v>TraeRekv</v>
      </c>
      <c r="U43" t="str">
        <v>Halm</v>
      </c>
      <c r="V43" t="str">
        <v>Pulver</v>
      </c>
      <c r="W43" t="str">
        <v>FlisAffald</v>
      </c>
      <c r="X43" t="str">
        <v>NyAff1</v>
      </c>
      <c r="Y43" t="str">
        <v>NyAff2</v>
      </c>
      <c r="Z43" t="str">
        <v>NyAff3</v>
      </c>
      <c r="AA43" t="str">
        <v>NyAff4</v>
      </c>
      <c r="AB43" t="str">
        <v>NyAff5</v>
      </c>
      <c r="AC43" t="str">
        <v>Flis</v>
      </c>
      <c r="AD43" t="str">
        <v>NSvarme</v>
      </c>
      <c r="AE43" t="str">
        <v>PeakFuel</v>
      </c>
    </row>
    <row r="44" spans="1:31" x14ac:dyDescent="0.25">
      <c r="A44" s="78">
        <f t="shared" si="0"/>
        <v>29</v>
      </c>
      <c r="B44" t="str">
        <f t="shared" si="1"/>
        <v>FuelBounds</v>
      </c>
      <c r="C44" t="str" cm="1">
        <f t="array" ref="C44:AE44">TRANSPOSE(_xlfn.ANCHORARRAY(H4))</f>
        <v>DepoSort</v>
      </c>
      <c r="D44" t="str">
        <v>DepoSmaat</v>
      </c>
      <c r="E44" t="str">
        <v>DepoNedd</v>
      </c>
      <c r="F44" t="str">
        <v>Dagren</v>
      </c>
      <c r="G44" t="str">
        <v>AndetBrand</v>
      </c>
      <c r="H44" t="str">
        <v>Trae</v>
      </c>
      <c r="I44" t="str">
        <v>DagrenRast</v>
      </c>
      <c r="J44" t="str">
        <v>DagrenInst</v>
      </c>
      <c r="K44" t="str">
        <v>DagrenHandel</v>
      </c>
      <c r="L44" t="str">
        <v>DagrenRestau</v>
      </c>
      <c r="M44" t="str">
        <v>Erhverv</v>
      </c>
      <c r="N44" t="str">
        <v>DagrenErhverv</v>
      </c>
      <c r="O44" t="str">
        <v>HandelKontor</v>
      </c>
      <c r="P44" t="str">
        <v>Privat</v>
      </c>
      <c r="Q44" t="str">
        <v>TyskRest</v>
      </c>
      <c r="R44" t="str">
        <v>PolskRest</v>
      </c>
      <c r="S44" t="str">
        <v>PcbTrae</v>
      </c>
      <c r="T44" t="str">
        <v>TraeRekv</v>
      </c>
      <c r="U44" t="str">
        <v>Halm</v>
      </c>
      <c r="V44" t="str">
        <v>Pulver</v>
      </c>
      <c r="W44" t="str">
        <v>FlisAffald</v>
      </c>
      <c r="X44" t="str">
        <v>NyAff1</v>
      </c>
      <c r="Y44" t="str">
        <v>NyAff2</v>
      </c>
      <c r="Z44" t="str">
        <v>NyAff3</v>
      </c>
      <c r="AA44" t="str">
        <v>NyAff4</v>
      </c>
      <c r="AB44" t="str">
        <v>NyAff5</v>
      </c>
      <c r="AC44" t="str">
        <v>Flis</v>
      </c>
      <c r="AD44" t="str">
        <v>NSvarme</v>
      </c>
      <c r="AE44" t="str">
        <v>PeakFuel</v>
      </c>
    </row>
    <row r="45" spans="1:31" x14ac:dyDescent="0.25">
      <c r="A45" s="78"/>
    </row>
    <row r="46" spans="1:31" x14ac:dyDescent="0.25">
      <c r="A46" s="78"/>
    </row>
    <row r="47" spans="1:31" x14ac:dyDescent="0.25">
      <c r="A47" s="78"/>
      <c r="B47" s="76" t="s">
        <v>105</v>
      </c>
    </row>
    <row r="48" spans="1:31" x14ac:dyDescent="0.25">
      <c r="A48" s="78"/>
      <c r="B48" t="str">
        <f>B4</f>
        <v>Control</v>
      </c>
      <c r="C48" t="s">
        <v>107</v>
      </c>
    </row>
    <row r="49" spans="1:39" x14ac:dyDescent="0.25">
      <c r="A49" s="78">
        <f>COUNTA(_xlfn.ANCHORARRAY(C49))</f>
        <v>14</v>
      </c>
      <c r="B49" t="str">
        <f t="shared" ref="B49:B53" si="2">B5</f>
        <v>Plant</v>
      </c>
      <c r="C49" t="str" cm="1">
        <f t="array" ref="C49:P49">TRANSPOSE(_xlfn.ANCHORARRAY(K4))</f>
        <v>Aktiv</v>
      </c>
      <c r="D49" t="str">
        <v>Ukind</v>
      </c>
      <c r="E49" t="str">
        <v>Prioritet</v>
      </c>
      <c r="F49" t="str">
        <v>MinLhv</v>
      </c>
      <c r="G49" t="str">
        <v>MaxLhv</v>
      </c>
      <c r="H49" t="str">
        <v>MinTon</v>
      </c>
      <c r="I49" t="str">
        <v>MaxTon</v>
      </c>
      <c r="J49" t="str">
        <v>KapQNom</v>
      </c>
      <c r="K49" t="str">
        <v>KapRgk</v>
      </c>
      <c r="L49" t="str">
        <v>KapE</v>
      </c>
      <c r="M49" t="str">
        <v>EtaE</v>
      </c>
      <c r="N49" t="str">
        <v>EtaQ</v>
      </c>
      <c r="O49" t="str">
        <v>DVMWhq</v>
      </c>
      <c r="P49" t="str">
        <v>DVtime</v>
      </c>
    </row>
    <row r="50" spans="1:39" x14ac:dyDescent="0.25">
      <c r="A50" s="78">
        <f t="shared" ref="A50:A53" si="3">COUNTA(_xlfn.ANCHORARRAY(C50))</f>
        <v>12</v>
      </c>
      <c r="B50" t="str">
        <f t="shared" si="2"/>
        <v>Storage</v>
      </c>
      <c r="C50" t="str" cm="1">
        <f t="array" ref="C50:N50">TRANSPOSE(_xlfn.ANCHORARRAY(L4))</f>
        <v>Aktiv</v>
      </c>
      <c r="D50" t="str">
        <v>StoKind</v>
      </c>
      <c r="E50" t="str">
        <v>LoadInit</v>
      </c>
      <c r="F50" t="str">
        <v>LoadMin</v>
      </c>
      <c r="G50" t="str">
        <v>LoadMax</v>
      </c>
      <c r="H50" t="str">
        <v>DLoadMax</v>
      </c>
      <c r="I50" t="str">
        <v>LossRate</v>
      </c>
      <c r="J50" t="str">
        <v>LoadCost</v>
      </c>
      <c r="K50" t="str">
        <v>DLoadCost</v>
      </c>
      <c r="L50" t="str">
        <v>ResetFirst</v>
      </c>
      <c r="M50" t="str">
        <v>ResetIntv</v>
      </c>
      <c r="N50" t="str">
        <v>ResetLast</v>
      </c>
    </row>
    <row r="51" spans="1:39" x14ac:dyDescent="0.25">
      <c r="A51" s="78">
        <f t="shared" si="3"/>
        <v>1</v>
      </c>
      <c r="B51" t="str">
        <f t="shared" si="2"/>
        <v>Prognoses</v>
      </c>
      <c r="C51" t="s">
        <v>107</v>
      </c>
    </row>
    <row r="52" spans="1:39" x14ac:dyDescent="0.25">
      <c r="A52" s="78">
        <f t="shared" si="3"/>
        <v>16</v>
      </c>
      <c r="B52" t="str">
        <f t="shared" si="2"/>
        <v>Fuel</v>
      </c>
      <c r="C52" t="str" cm="1">
        <f t="array" ref="C52:R52">TRANSPOSE(_xlfn.ANCHORARRAY(N4))</f>
        <v>Aktiv</v>
      </c>
      <c r="D52" t="str">
        <v>Fkind</v>
      </c>
      <c r="E52" t="str">
        <v>Lagerbar</v>
      </c>
      <c r="F52" t="str">
        <v>Fri</v>
      </c>
      <c r="G52" t="str">
        <v>Flex</v>
      </c>
      <c r="H52" t="str">
        <v>Bortskaf</v>
      </c>
      <c r="I52" t="str">
        <v>TilOvn2</v>
      </c>
      <c r="J52" t="str">
        <v>TilOvn3</v>
      </c>
      <c r="K52" t="str">
        <v>DeltaTon</v>
      </c>
      <c r="L52" t="str">
        <v>MinTonnage</v>
      </c>
      <c r="M52" t="str">
        <v>MaxTonnage</v>
      </c>
      <c r="N52" t="str">
        <v>InitSto1</v>
      </c>
      <c r="O52" t="str">
        <v>InitSto2</v>
      </c>
      <c r="P52" t="str">
        <v>Pris</v>
      </c>
      <c r="Q52" t="str">
        <v>LHV</v>
      </c>
      <c r="R52" t="str">
        <v>NOxKgTon</v>
      </c>
    </row>
    <row r="53" spans="1:39" x14ac:dyDescent="0.25">
      <c r="A53" s="78">
        <f t="shared" si="3"/>
        <v>7</v>
      </c>
      <c r="B53" t="str">
        <f t="shared" si="2"/>
        <v>FuelBounds</v>
      </c>
      <c r="C53" t="str" cm="1">
        <f t="array" ref="C53:I53">TRANSPOSE(O4:O10)</f>
        <v>TilOvn2</v>
      </c>
      <c r="D53" t="str">
        <v>TilOvn3</v>
      </c>
      <c r="E53" t="str">
        <v>MinTonnage</v>
      </c>
      <c r="F53" t="str">
        <v>MaxTonnage</v>
      </c>
      <c r="G53" t="str">
        <v>Pris</v>
      </c>
      <c r="H53" t="str">
        <v>LHV</v>
      </c>
      <c r="I53" t="str">
        <v>CO2kgGJ</v>
      </c>
    </row>
    <row r="54" spans="1:39" x14ac:dyDescent="0.25">
      <c r="A54" s="78"/>
    </row>
    <row r="56" spans="1:39" x14ac:dyDescent="0.25">
      <c r="A56" t="s">
        <v>136</v>
      </c>
      <c r="B56">
        <v>5</v>
      </c>
    </row>
    <row r="57" spans="1:39" x14ac:dyDescent="0.25">
      <c r="B57">
        <f ca="1">OFFSET(OfzNiveau2,B56+1,COLUMNS(arrNiv2))</f>
        <v>0</v>
      </c>
    </row>
    <row r="59" spans="1:39" x14ac:dyDescent="0.25">
      <c r="B59" t="str" cm="1">
        <f t="array" aca="1" ref="B59:AM59" ca="1">OFFSET(OfzNiveau2,B56+1,1,1,COLUMNS(arrNiv2))</f>
        <v>DepoSort</v>
      </c>
      <c r="C59" t="str">
        <f ca="1"/>
        <v>DepoSmaat</v>
      </c>
      <c r="D59" t="str">
        <f ca="1"/>
        <v>DepoNedd</v>
      </c>
      <c r="E59" t="str">
        <f ca="1"/>
        <v>Dagren</v>
      </c>
      <c r="F59" t="str">
        <f ca="1"/>
        <v>AndetBrand</v>
      </c>
      <c r="G59" t="str">
        <f ca="1"/>
        <v>Trae</v>
      </c>
      <c r="H59" t="str">
        <f ca="1"/>
        <v>DagrenRast</v>
      </c>
      <c r="I59" t="str">
        <f ca="1"/>
        <v>DagrenInst</v>
      </c>
      <c r="J59" t="str">
        <f ca="1"/>
        <v>DagrenHandel</v>
      </c>
      <c r="K59" t="str">
        <f ca="1"/>
        <v>DagrenRestau</v>
      </c>
      <c r="L59" t="str">
        <f ca="1"/>
        <v>Erhverv</v>
      </c>
      <c r="M59" t="str">
        <f ca="1"/>
        <v>DagrenErhverv</v>
      </c>
      <c r="N59" t="str">
        <f ca="1"/>
        <v>HandelKontor</v>
      </c>
      <c r="O59" t="str">
        <f ca="1"/>
        <v>Privat</v>
      </c>
      <c r="P59" t="str">
        <f ca="1"/>
        <v>TyskRest</v>
      </c>
      <c r="Q59" t="str">
        <f ca="1"/>
        <v>PolskRest</v>
      </c>
      <c r="R59" t="str">
        <f ca="1"/>
        <v>PcbTrae</v>
      </c>
      <c r="S59" t="str">
        <f ca="1"/>
        <v>TraeRekv</v>
      </c>
      <c r="T59" t="str">
        <f ca="1"/>
        <v>Halm</v>
      </c>
      <c r="U59" t="str">
        <f ca="1"/>
        <v>Pulver</v>
      </c>
      <c r="V59" t="str">
        <f ca="1"/>
        <v>FlisAffald</v>
      </c>
      <c r="W59" t="str">
        <f ca="1"/>
        <v>NyAff1</v>
      </c>
      <c r="X59" t="str">
        <f ca="1"/>
        <v>NyAff2</v>
      </c>
      <c r="Y59" t="str">
        <f ca="1"/>
        <v>NyAff3</v>
      </c>
      <c r="Z59" t="str">
        <f ca="1"/>
        <v>NyAff4</v>
      </c>
      <c r="AA59" t="str">
        <f ca="1"/>
        <v>NyAff5</v>
      </c>
      <c r="AB59" t="str">
        <f ca="1"/>
        <v>Flis</v>
      </c>
      <c r="AC59" t="str">
        <f ca="1"/>
        <v>NSvarme</v>
      </c>
      <c r="AD59" t="str">
        <f ca="1"/>
        <v>PeakFuel</v>
      </c>
      <c r="AE59">
        <f ca="1"/>
        <v>0</v>
      </c>
      <c r="AF59">
        <f ca="1"/>
        <v>0</v>
      </c>
      <c r="AG59">
        <f ca="1"/>
        <v>0</v>
      </c>
      <c r="AH59">
        <f ca="1"/>
        <v>0</v>
      </c>
      <c r="AI59">
        <f ca="1"/>
        <v>0</v>
      </c>
      <c r="AJ59">
        <f ca="1"/>
        <v>0</v>
      </c>
      <c r="AK59">
        <f ca="1"/>
        <v>0</v>
      </c>
      <c r="AL59">
        <f ca="1"/>
        <v>0</v>
      </c>
      <c r="AM59">
        <f ca="1"/>
        <v>0</v>
      </c>
    </row>
  </sheetData>
  <dataValidations count="4">
    <dataValidation type="date" allowBlank="1" showInputMessage="1" showErrorMessage="1" sqref="U5:U39" xr:uid="{FAED36B8-3833-4928-A668-83778DD32ECB}">
      <formula1>40179</formula1>
      <formula2>47848</formula2>
    </dataValidation>
    <dataValidation type="list" allowBlank="1" showInputMessage="1" showErrorMessage="1" sqref="T5:T40" xr:uid="{4655BEED-A948-4FFE-9684-D5F3DF768B3B}">
      <formula1>DropDown3</formula1>
    </dataValidation>
    <dataValidation type="list" allowBlank="1" showInputMessage="1" showErrorMessage="1" sqref="S5:S40" xr:uid="{7104787F-C65B-4C49-8D0C-6DEF19F95528}">
      <formula1>DropDown2</formula1>
    </dataValidation>
    <dataValidation type="list" allowBlank="1" showInputMessage="1" showErrorMessage="1" sqref="R5:R40" xr:uid="{3C0CB5CF-3F0D-4AC4-AFF9-39B37F70728C}">
      <formula1>listRoot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C692D6-5F90-4CE4-B2E4-3DE71D5CDD2D}">
  <sheetPr codeName="Sheet5"/>
  <dimension ref="B2:M113"/>
  <sheetViews>
    <sheetView zoomScale="85" zoomScaleNormal="85" workbookViewId="0">
      <selection activeCell="H2" sqref="H2"/>
    </sheetView>
  </sheetViews>
  <sheetFormatPr defaultRowHeight="15" x14ac:dyDescent="0.25"/>
  <cols>
    <col min="2" max="2" width="21.7109375" bestFit="1" customWidth="1"/>
    <col min="3" max="3" width="32.7109375" bestFit="1" customWidth="1"/>
    <col min="4" max="4" width="15.5703125" bestFit="1" customWidth="1"/>
    <col min="5" max="5" width="17.5703125" bestFit="1" customWidth="1"/>
    <col min="6" max="7" width="19.5703125" bestFit="1" customWidth="1"/>
    <col min="9" max="9" width="40.42578125" bestFit="1" customWidth="1"/>
    <col min="10" max="10" width="18.85546875" bestFit="1" customWidth="1"/>
    <col min="12" max="12" width="12.5703125" customWidth="1"/>
  </cols>
  <sheetData>
    <row r="2" spans="2:13" x14ac:dyDescent="0.25">
      <c r="B2" s="76" t="s">
        <v>84</v>
      </c>
      <c r="C2" s="77" t="s">
        <v>83</v>
      </c>
      <c r="D2" s="77" t="s">
        <v>150</v>
      </c>
      <c r="E2" s="77" t="s">
        <v>139</v>
      </c>
      <c r="F2" s="77" t="s">
        <v>140</v>
      </c>
      <c r="G2" s="77" t="s">
        <v>140</v>
      </c>
      <c r="I2" s="76" t="s">
        <v>86</v>
      </c>
      <c r="L2" s="76" t="s">
        <v>87</v>
      </c>
    </row>
    <row r="3" spans="2:13" ht="15.75" x14ac:dyDescent="0.25">
      <c r="B3" s="75" t="str" cm="1">
        <f t="array" ref="B3:B6">_xlfn.UNIQUE(LEFT(_xlfn.ANCHORARRAY(I3),FIND(".",_xlfn.ANCHORARRAY(I3))-1))</f>
        <v>Nøgletal</v>
      </c>
      <c r="C3" t="str" cm="1">
        <f t="array" ref="C3:C49">_xlfn.LET(_xlpm.res,_xlfn._xlws.FILTER(_xlfn.ANCHORARRAY($I3),LEFT(_xlfn.ANCHORARRAY($I3),LEN(C$2))=C$2),MID(_xlpm.res,LEN(C$2)+2,999))</f>
        <v>FJV-behov</v>
      </c>
      <c r="D3" t="str" cm="1">
        <f t="array" ref="D3:D8">_xlfn.LET(_xlpm.res,_xlfn._xlws.FILTER(_xlfn.ANCHORARRAY($I3),LEFT(_xlfn.ANCHORARRAY($I3),LEN(D$2))=D$2),MID(_xlpm.res,LEN(D$2)+2,999))</f>
        <v>Ovn2</v>
      </c>
      <c r="E3" t="str" cm="1">
        <f t="array" ref="E3:E31">_xlfn.LET(_xlpm.res,_xlfn._xlws.FILTER(_xlfn.ANCHORARRAY($I3),LEFT(_xlfn.ANCHORARRAY($I3),LEN(E$2))=E$2),MID(_xlpm.res,LEN(E$2)+2,999))</f>
        <v>DepoSort</v>
      </c>
      <c r="F3" t="str" cm="1">
        <f t="array" ref="F3:F31">_xlfn.LET(_xlpm.res,_xlfn._xlws.FILTER(_xlfn.ANCHORARRAY($I3),LEFT(_xlfn.ANCHORARRAY($I3),LEN(F$2))=F$2),MID(_xlpm.res,LEN(F$2)+2,999))</f>
        <v>DepoSort</v>
      </c>
      <c r="G3" t="str" cm="1">
        <f t="array" ref="G3:G31">_xlfn.LET(_xlpm.res,_xlfn._xlws.FILTER(_xlfn.ANCHORARRAY($I3),LEFT(_xlfn.ANCHORARRAY($I3),LEN(G$2))=G$2),MID(_xlpm.res,LEN(G$2)+2,999))</f>
        <v>DepoSort</v>
      </c>
      <c r="I3" t="str" cm="1">
        <f t="array" ref="I3:I113">_xlfn._xlws.FILTER(listScenTopics,LEN(listScenTopics)&gt;0,)</f>
        <v>Nøgletal.FJV-behov</v>
      </c>
      <c r="J3" t="str" cm="1">
        <f t="array" ref="J3:J6">_xlfn.UNIQUE(LEFT(_xlfn.ANCHORARRAY(I3),FIND(".",_xlfn.ANCHORARRAY(I3))-1))</f>
        <v>Nøgletal</v>
      </c>
      <c r="L3" t="s">
        <v>88</v>
      </c>
      <c r="M3" cm="1">
        <f t="array" ref="M3">MATCH(TRUE,ISBLANK(Overblik!$D$4:$AD$4),0)-1</f>
        <v>5</v>
      </c>
    </row>
    <row r="4" spans="2:13" ht="15.75" x14ac:dyDescent="0.25">
      <c r="B4" s="75" t="str">
        <v>Varmemængder</v>
      </c>
      <c r="C4" t="str">
        <v>Total-NPV</v>
      </c>
      <c r="D4" t="str">
        <v>Ovn3</v>
      </c>
      <c r="E4" t="str">
        <v>DepoSmaat</v>
      </c>
      <c r="F4" t="str">
        <v>DepoSmaat</v>
      </c>
      <c r="G4" t="str">
        <v>DepoSmaat</v>
      </c>
      <c r="I4" t="str">
        <v>Nøgletal.Total-NPV</v>
      </c>
      <c r="J4" t="str">
        <v>Varmemængder</v>
      </c>
      <c r="L4" t="s">
        <v>142</v>
      </c>
      <c r="M4" s="109" cm="1">
        <f t="array" ref="M4">[2]!PerStart</f>
        <v>44562</v>
      </c>
    </row>
    <row r="5" spans="2:13" ht="15.75" x14ac:dyDescent="0.25">
      <c r="B5" s="75" t="str">
        <v>Brændselsforbrug</v>
      </c>
      <c r="C5" t="str">
        <v>Total-Var-VPO</v>
      </c>
      <c r="D5" t="str">
        <v>FlisK</v>
      </c>
      <c r="E5" t="str">
        <v>DepoNedd</v>
      </c>
      <c r="F5" t="str">
        <v>DepoNedd</v>
      </c>
      <c r="G5" t="str">
        <v>DepoNedd</v>
      </c>
      <c r="I5" t="str">
        <v>Nøgletal.Total-Var-VPO</v>
      </c>
      <c r="J5" t="str">
        <v>Brændselsforbrug</v>
      </c>
      <c r="L5" t="s">
        <v>143</v>
      </c>
      <c r="M5" s="109" cm="1">
        <f t="array" ref="M5">[2]!PerSlut</f>
        <v>44896</v>
      </c>
    </row>
    <row r="6" spans="2:13" ht="15.75" x14ac:dyDescent="0.25">
      <c r="B6" s="75" t="str">
        <v>Brændselsindkomst</v>
      </c>
      <c r="C6" t="str">
        <v>REFA-NPV</v>
      </c>
      <c r="D6" t="str">
        <v>NS</v>
      </c>
      <c r="E6" t="str">
        <v>Dagren</v>
      </c>
      <c r="F6" t="str">
        <v>Dagren</v>
      </c>
      <c r="G6" t="str">
        <v>Dagren</v>
      </c>
      <c r="I6" t="str">
        <v>Nøgletal.REFA-NPV</v>
      </c>
      <c r="J6" t="str">
        <v>Brændselsindkomst</v>
      </c>
      <c r="L6" t="s">
        <v>145</v>
      </c>
      <c r="M6">
        <v>-9.99</v>
      </c>
    </row>
    <row r="7" spans="2:13" ht="15.75" x14ac:dyDescent="0.25">
      <c r="B7" s="75"/>
      <c r="C7" t="str">
        <v>REFA-Var-VPO-Total</v>
      </c>
      <c r="D7" t="str">
        <v>Cooler</v>
      </c>
      <c r="E7" t="str">
        <v>AndetBrand</v>
      </c>
      <c r="F7" t="str">
        <v>AndetBrand</v>
      </c>
      <c r="G7" t="str">
        <v>AndetBrand</v>
      </c>
      <c r="I7" t="str">
        <v>Nøgletal.REFA-Var-VPO-Total</v>
      </c>
    </row>
    <row r="8" spans="2:13" ht="15.75" x14ac:dyDescent="0.25">
      <c r="B8" s="75"/>
      <c r="C8" t="str">
        <v>REFA-Var-VPO-Affald</v>
      </c>
      <c r="D8" t="str">
        <v>PeakK</v>
      </c>
      <c r="E8" t="str">
        <v>Trae</v>
      </c>
      <c r="F8" t="str">
        <v>Trae</v>
      </c>
      <c r="G8" t="str">
        <v>Trae</v>
      </c>
      <c r="I8" t="str">
        <v>Nøgletal.REFA-Var-VPO-Affald</v>
      </c>
    </row>
    <row r="9" spans="2:13" ht="15.75" x14ac:dyDescent="0.25">
      <c r="B9" s="75"/>
      <c r="C9" t="str">
        <v>REFA-Daekningsbidrag</v>
      </c>
      <c r="E9" t="str">
        <v>DagrenRast</v>
      </c>
      <c r="F9" t="str">
        <v>DagrenRast</v>
      </c>
      <c r="G9" t="str">
        <v>DagrenRast</v>
      </c>
      <c r="I9" t="str">
        <v>Nøgletal.REFA-Daekningsbidrag</v>
      </c>
    </row>
    <row r="10" spans="2:13" ht="15.75" x14ac:dyDescent="0.25">
      <c r="B10" s="75"/>
      <c r="C10" t="str">
        <v>REFA-Total-Var-Indkomst</v>
      </c>
      <c r="E10" t="str">
        <v>DagrenInst</v>
      </c>
      <c r="F10" t="str">
        <v>DagrenInst</v>
      </c>
      <c r="G10" t="str">
        <v>DagrenInst</v>
      </c>
      <c r="I10" t="str">
        <v>Nøgletal.REFA-Total-Var-Indkomst</v>
      </c>
    </row>
    <row r="11" spans="2:13" ht="15.75" x14ac:dyDescent="0.25">
      <c r="B11" s="75"/>
      <c r="C11" t="str">
        <v>REFA-Affald-Modtagelse</v>
      </c>
      <c r="E11" t="str">
        <v>DagrenHandel</v>
      </c>
      <c r="F11" t="str">
        <v>DagrenHandel</v>
      </c>
      <c r="G11" t="str">
        <v>DagrenHandel</v>
      </c>
      <c r="I11" t="str">
        <v>Nøgletal.REFA-Affald-Modtagelse</v>
      </c>
    </row>
    <row r="12" spans="2:13" ht="15.75" x14ac:dyDescent="0.25">
      <c r="B12" s="75"/>
      <c r="C12" t="str">
        <v>REFA-RGK-Rabat</v>
      </c>
      <c r="E12" t="str">
        <v>DagrenRestau</v>
      </c>
      <c r="F12" t="str">
        <v>DagrenRestau</v>
      </c>
      <c r="G12" t="str">
        <v>DagrenRestau</v>
      </c>
      <c r="I12" t="str">
        <v>Nøgletal.REFA-RGK-Rabat</v>
      </c>
    </row>
    <row r="13" spans="2:13" x14ac:dyDescent="0.25">
      <c r="C13" t="str">
        <v>REFA-Elsalg</v>
      </c>
      <c r="E13" t="str">
        <v>Erhverv</v>
      </c>
      <c r="F13" t="str">
        <v>Erhverv</v>
      </c>
      <c r="G13" t="str">
        <v>Erhverv</v>
      </c>
      <c r="I13" t="str">
        <v>Nøgletal.REFA-Elsalg</v>
      </c>
    </row>
    <row r="14" spans="2:13" x14ac:dyDescent="0.25">
      <c r="C14" t="str">
        <v>REFA-Varmesalg</v>
      </c>
      <c r="E14" t="str">
        <v>DagrenErhverv</v>
      </c>
      <c r="F14" t="str">
        <v>DagrenErhverv</v>
      </c>
      <c r="G14" t="str">
        <v>DagrenErhverv</v>
      </c>
      <c r="I14" t="str">
        <v>Nøgletal.REFA-Varmesalg</v>
      </c>
    </row>
    <row r="15" spans="2:13" x14ac:dyDescent="0.25">
      <c r="C15" t="str">
        <v>REFA-Total-Var-Omkostning</v>
      </c>
      <c r="E15" t="str">
        <v>HandelKontor</v>
      </c>
      <c r="F15" t="str">
        <v>HandelKontor</v>
      </c>
      <c r="G15" t="str">
        <v>HandelKontor</v>
      </c>
      <c r="I15" t="str">
        <v>Nøgletal.REFA-Total-Var-Omkostning</v>
      </c>
    </row>
    <row r="16" spans="2:13" x14ac:dyDescent="0.25">
      <c r="C16" t="str">
        <v>REFA-AnlaegsVarOmk</v>
      </c>
      <c r="E16" t="str">
        <v>Privat</v>
      </c>
      <c r="F16" t="str">
        <v>Privat</v>
      </c>
      <c r="G16" t="str">
        <v>Privat</v>
      </c>
      <c r="I16" t="str">
        <v>Nøgletal.REFA-AnlaegsVarOmk</v>
      </c>
    </row>
    <row r="17" spans="3:9" x14ac:dyDescent="0.25">
      <c r="C17" t="str">
        <v>REFA-BraendselOmk</v>
      </c>
      <c r="E17" t="str">
        <v>TyskRest</v>
      </c>
      <c r="F17" t="str">
        <v>TyskRest</v>
      </c>
      <c r="G17" t="str">
        <v>TyskRest</v>
      </c>
      <c r="I17" t="str">
        <v>Nøgletal.REFA-BraendselOmk</v>
      </c>
    </row>
    <row r="18" spans="3:9" x14ac:dyDescent="0.25">
      <c r="C18" t="str">
        <v>REFA-Afgifter</v>
      </c>
      <c r="E18" t="str">
        <v>PolskRest</v>
      </c>
      <c r="F18" t="str">
        <v>PolskRest</v>
      </c>
      <c r="G18" t="str">
        <v>PolskRest</v>
      </c>
      <c r="I18" t="str">
        <v>Nøgletal.REFA-Afgifter</v>
      </c>
    </row>
    <row r="19" spans="3:9" x14ac:dyDescent="0.25">
      <c r="C19" t="str">
        <v>REFA-Affaldvarme-afgift</v>
      </c>
      <c r="E19" t="str">
        <v>PcbTrae</v>
      </c>
      <c r="F19" t="str">
        <v>PcbTrae</v>
      </c>
      <c r="G19" t="str">
        <v>PcbTrae</v>
      </c>
      <c r="I19" t="str">
        <v>Nøgletal.REFA-Affaldvarme-afgift</v>
      </c>
    </row>
    <row r="20" spans="3:9" x14ac:dyDescent="0.25">
      <c r="C20" t="str">
        <v>REFA-Tillaegs-Afgift</v>
      </c>
      <c r="E20" t="str">
        <v>TraeRekv</v>
      </c>
      <c r="F20" t="str">
        <v>TraeRekv</v>
      </c>
      <c r="G20" t="str">
        <v>TraeRekv</v>
      </c>
      <c r="I20" t="str">
        <v>Nøgletal.REFA-Tillaegs-Afgift</v>
      </c>
    </row>
    <row r="21" spans="3:9" x14ac:dyDescent="0.25">
      <c r="C21" t="str">
        <v>REFA-CO2-Afgift</v>
      </c>
      <c r="E21" t="str">
        <v>Halm</v>
      </c>
      <c r="F21" t="str">
        <v>Halm</v>
      </c>
      <c r="G21" t="str">
        <v>Halm</v>
      </c>
      <c r="I21" t="str">
        <v>Nøgletal.REFA-CO2-Afgift</v>
      </c>
    </row>
    <row r="22" spans="3:9" x14ac:dyDescent="0.25">
      <c r="C22" t="str">
        <v>REFA-NOx-Afgift</v>
      </c>
      <c r="E22" t="str">
        <v>Pulver</v>
      </c>
      <c r="F22" t="str">
        <v>Pulver</v>
      </c>
      <c r="G22" t="str">
        <v>Pulver</v>
      </c>
      <c r="I22" t="str">
        <v>Nøgletal.REFA-NOx-Afgift</v>
      </c>
    </row>
    <row r="23" spans="3:9" x14ac:dyDescent="0.25">
      <c r="C23" t="str">
        <v>REFA-CO2-Kvoteomk</v>
      </c>
      <c r="E23" t="str">
        <v>FlisAffald</v>
      </c>
      <c r="F23" t="str">
        <v>FlisAffald</v>
      </c>
      <c r="G23" t="str">
        <v>FlisAffald</v>
      </c>
      <c r="I23" t="str">
        <v>Nøgletal.REFA-CO2-Kvoteomk</v>
      </c>
    </row>
    <row r="24" spans="3:9" x14ac:dyDescent="0.25">
      <c r="C24" t="str">
        <v>REFA-Lageromkostning</v>
      </c>
      <c r="E24" t="str">
        <v>NyAff1</v>
      </c>
      <c r="F24" t="str">
        <v>NyAff1</v>
      </c>
      <c r="G24" t="str">
        <v>NyAff1</v>
      </c>
      <c r="I24" t="str">
        <v>Nøgletal.REFA-Lageromkostning</v>
      </c>
    </row>
    <row r="25" spans="3:9" x14ac:dyDescent="0.25">
      <c r="C25" t="str">
        <v>REFA-CO2-Emission-Afgift</v>
      </c>
      <c r="E25" t="str">
        <v>NyAff2</v>
      </c>
      <c r="F25" t="str">
        <v>NyAff2</v>
      </c>
      <c r="G25" t="str">
        <v>NyAff2</v>
      </c>
      <c r="I25" t="str">
        <v>Nøgletal.REFA-CO2-Emission-Afgift</v>
      </c>
    </row>
    <row r="26" spans="3:9" x14ac:dyDescent="0.25">
      <c r="C26" t="str">
        <v>REFA-CO2-Emission-Kvote</v>
      </c>
      <c r="E26" t="str">
        <v>NyAff3</v>
      </c>
      <c r="F26" t="str">
        <v>NyAff3</v>
      </c>
      <c r="G26" t="str">
        <v>NyAff3</v>
      </c>
      <c r="I26" t="str">
        <v>Nøgletal.REFA-CO2-Emission-Kvote</v>
      </c>
    </row>
    <row r="27" spans="3:9" x14ac:dyDescent="0.25">
      <c r="C27" t="str">
        <v>REFA-El-produktion-Brutto</v>
      </c>
      <c r="E27" t="str">
        <v>NyAff4</v>
      </c>
      <c r="F27" t="str">
        <v>NyAff4</v>
      </c>
      <c r="G27" t="str">
        <v>NyAff4</v>
      </c>
      <c r="I27" t="str">
        <v>Nøgletal.REFA-El-produktion-Brutto</v>
      </c>
    </row>
    <row r="28" spans="3:9" x14ac:dyDescent="0.25">
      <c r="C28" t="str">
        <v>REFA-El-produktion-Netto</v>
      </c>
      <c r="E28" t="str">
        <v>NyAff5</v>
      </c>
      <c r="F28" t="str">
        <v>NyAff5</v>
      </c>
      <c r="G28" t="str">
        <v>NyAff5</v>
      </c>
      <c r="I28" t="str">
        <v>Nøgletal.REFA-El-produktion-Netto</v>
      </c>
    </row>
    <row r="29" spans="3:9" x14ac:dyDescent="0.25">
      <c r="C29" t="str">
        <v>REFA-Total-Affald-Raadighed</v>
      </c>
      <c r="E29" t="str">
        <v>Flis</v>
      </c>
      <c r="F29" t="str">
        <v>Flis</v>
      </c>
      <c r="G29" t="str">
        <v>Flis</v>
      </c>
      <c r="I29" t="str">
        <v>Nøgletal.REFA-Total-Affald-Raadighed</v>
      </c>
    </row>
    <row r="30" spans="3:9" x14ac:dyDescent="0.25">
      <c r="C30" t="str">
        <v>REFA-Affald-anvendt</v>
      </c>
      <c r="E30" t="str">
        <v>NSvarme</v>
      </c>
      <c r="F30" t="str">
        <v>NSvarme</v>
      </c>
      <c r="G30" t="str">
        <v>NSvarme</v>
      </c>
      <c r="I30" t="str">
        <v>Nøgletal.REFA-Affald-anvendt</v>
      </c>
    </row>
    <row r="31" spans="3:9" x14ac:dyDescent="0.25">
      <c r="C31" t="str">
        <v>REFA-Affald-Uudnyttet</v>
      </c>
      <c r="E31" t="str">
        <v>PeakFuel</v>
      </c>
      <c r="F31" t="str">
        <v>PeakFuel</v>
      </c>
      <c r="G31" t="str">
        <v>PeakFuel</v>
      </c>
      <c r="I31" t="str">
        <v>Nøgletal.REFA-Affald-Uudnyttet</v>
      </c>
    </row>
    <row r="32" spans="3:9" x14ac:dyDescent="0.25">
      <c r="C32" t="str">
        <v>REFA-Affald-Lagret</v>
      </c>
      <c r="I32" t="str">
        <v>Nøgletal.REFA-Affald-Lagret</v>
      </c>
    </row>
    <row r="33" spans="3:9" x14ac:dyDescent="0.25">
      <c r="C33" t="str">
        <v>REFA-Total-Varme-Produktion</v>
      </c>
      <c r="I33" t="str">
        <v>Nøgletal.REFA-Total-Varme-Produktion</v>
      </c>
    </row>
    <row r="34" spans="3:9" x14ac:dyDescent="0.25">
      <c r="C34" t="str">
        <v>REFA-Leveret-Varme</v>
      </c>
      <c r="I34" t="str">
        <v>Nøgletal.REFA-Leveret-Varme</v>
      </c>
    </row>
    <row r="35" spans="3:9" x14ac:dyDescent="0.25">
      <c r="C35" t="str">
        <v>REFA-Modtryk-Varme</v>
      </c>
      <c r="I35" t="str">
        <v>Nøgletal.REFA-Modtryk-Varme</v>
      </c>
    </row>
    <row r="36" spans="3:9" x14ac:dyDescent="0.25">
      <c r="C36" t="str">
        <v>REFA-Bypass-Varme</v>
      </c>
      <c r="I36" t="str">
        <v>Nøgletal.REFA-Bypass-Varme</v>
      </c>
    </row>
    <row r="37" spans="3:9" x14ac:dyDescent="0.25">
      <c r="C37" t="str">
        <v>REFA-RGK-Varme</v>
      </c>
      <c r="I37" t="str">
        <v>Nøgletal.REFA-RGK-Varme</v>
      </c>
    </row>
    <row r="38" spans="3:9" x14ac:dyDescent="0.25">
      <c r="C38" t="str">
        <v>REFA-Bortkoelet-Varme</v>
      </c>
      <c r="I38" t="str">
        <v>Nøgletal.REFA-Bortkoelet-Varme</v>
      </c>
    </row>
    <row r="39" spans="3:9" x14ac:dyDescent="0.25">
      <c r="C39" t="str">
        <v>GSF-Total-Var-Omkostning</v>
      </c>
      <c r="I39" t="str">
        <v>Nøgletal.GSF-Total-Var-Omkostning</v>
      </c>
    </row>
    <row r="40" spans="3:9" x14ac:dyDescent="0.25">
      <c r="C40" t="str">
        <v>GSF-AnlaegsVarOmk</v>
      </c>
      <c r="I40" t="str">
        <v>Nøgletal.GSF-AnlaegsVarOmk</v>
      </c>
    </row>
    <row r="41" spans="3:9" x14ac:dyDescent="0.25">
      <c r="C41" t="str">
        <v>GSF-BraendselOmk</v>
      </c>
      <c r="I41" t="str">
        <v>Nøgletal.GSF-BraendselOmk</v>
      </c>
    </row>
    <row r="42" spans="3:9" x14ac:dyDescent="0.25">
      <c r="C42" t="str">
        <v>GSF-Afgifter</v>
      </c>
      <c r="I42" t="str">
        <v>Nøgletal.GSF-Afgifter</v>
      </c>
    </row>
    <row r="43" spans="3:9" x14ac:dyDescent="0.25">
      <c r="C43" t="str">
        <v>GSF-CO2-Emission</v>
      </c>
      <c r="I43" t="str">
        <v>Nøgletal.GSF-CO2-Emission</v>
      </c>
    </row>
    <row r="44" spans="3:9" x14ac:dyDescent="0.25">
      <c r="C44" t="str">
        <v>GSF-Total-Varme-Produktion</v>
      </c>
      <c r="I44" t="str">
        <v>Nøgletal.GSF-Total-Varme-Produktion</v>
      </c>
    </row>
    <row r="45" spans="3:9" x14ac:dyDescent="0.25">
      <c r="C45" t="str">
        <v>NS-Total-Varme-Produktion</v>
      </c>
      <c r="I45" t="str">
        <v>Nøgletal.NS-Total-Varme-Produktion</v>
      </c>
    </row>
    <row r="46" spans="3:9" x14ac:dyDescent="0.25">
      <c r="C46" t="str">
        <v>Virtuel-Varme-Kilde</v>
      </c>
      <c r="I46" t="str">
        <v>Nøgletal.Virtuel-Varme-Kilde</v>
      </c>
    </row>
    <row r="47" spans="3:9" x14ac:dyDescent="0.25">
      <c r="C47" t="str">
        <v>Virtuel-Varme-Draen</v>
      </c>
      <c r="I47" t="str">
        <v>Nøgletal.Virtuel-Varme-Draen</v>
      </c>
    </row>
    <row r="48" spans="3:9" x14ac:dyDescent="0.25">
      <c r="C48" t="str">
        <v>Virtuel-Affaldstonnage-Kilde</v>
      </c>
      <c r="I48" t="str">
        <v>Nøgletal.Virtuel-Affaldstonnage-Kilde</v>
      </c>
    </row>
    <row r="49" spans="3:9" x14ac:dyDescent="0.25">
      <c r="C49" t="str">
        <v>Virtuel-Affaldstonnage-Draen</v>
      </c>
      <c r="I49" t="str">
        <v>Nøgletal.Virtuel-Affaldstonnage-Draen</v>
      </c>
    </row>
    <row r="50" spans="3:9" x14ac:dyDescent="0.25">
      <c r="I50" t="str">
        <v>Varmemængder.Ovn2</v>
      </c>
    </row>
    <row r="51" spans="3:9" x14ac:dyDescent="0.25">
      <c r="I51" t="str">
        <v>Varmemængder.Ovn3</v>
      </c>
    </row>
    <row r="52" spans="3:9" x14ac:dyDescent="0.25">
      <c r="I52" t="str">
        <v>Varmemængder.FlisK</v>
      </c>
    </row>
    <row r="53" spans="3:9" x14ac:dyDescent="0.25">
      <c r="I53" t="str">
        <v>Varmemængder.NS</v>
      </c>
    </row>
    <row r="54" spans="3:9" x14ac:dyDescent="0.25">
      <c r="I54" t="str">
        <v>Varmemængder.Cooler</v>
      </c>
    </row>
    <row r="55" spans="3:9" x14ac:dyDescent="0.25">
      <c r="I55" t="str">
        <v>Varmemængder.PeakK</v>
      </c>
    </row>
    <row r="56" spans="3:9" x14ac:dyDescent="0.25">
      <c r="I56" t="str">
        <v>Brændselsforbrug.DepoSort</v>
      </c>
    </row>
    <row r="57" spans="3:9" x14ac:dyDescent="0.25">
      <c r="I57" t="str">
        <v>Brændselsforbrug.DepoSmaat</v>
      </c>
    </row>
    <row r="58" spans="3:9" x14ac:dyDescent="0.25">
      <c r="I58" t="str">
        <v>Brændselsforbrug.DepoNedd</v>
      </c>
    </row>
    <row r="59" spans="3:9" x14ac:dyDescent="0.25">
      <c r="I59" t="str">
        <v>Brændselsforbrug.Dagren</v>
      </c>
    </row>
    <row r="60" spans="3:9" x14ac:dyDescent="0.25">
      <c r="I60" t="str">
        <v>Brændselsforbrug.AndetBrand</v>
      </c>
    </row>
    <row r="61" spans="3:9" x14ac:dyDescent="0.25">
      <c r="I61" t="str">
        <v>Brændselsforbrug.Trae</v>
      </c>
    </row>
    <row r="62" spans="3:9" x14ac:dyDescent="0.25">
      <c r="I62" t="str">
        <v>Brændselsforbrug.DagrenRast</v>
      </c>
    </row>
    <row r="63" spans="3:9" x14ac:dyDescent="0.25">
      <c r="I63" t="str">
        <v>Brændselsforbrug.DagrenInst</v>
      </c>
    </row>
    <row r="64" spans="3:9" x14ac:dyDescent="0.25">
      <c r="I64" t="str">
        <v>Brændselsforbrug.DagrenHandel</v>
      </c>
    </row>
    <row r="65" spans="9:9" x14ac:dyDescent="0.25">
      <c r="I65" t="str">
        <v>Brændselsforbrug.DagrenRestau</v>
      </c>
    </row>
    <row r="66" spans="9:9" x14ac:dyDescent="0.25">
      <c r="I66" t="str">
        <v>Brændselsforbrug.Erhverv</v>
      </c>
    </row>
    <row r="67" spans="9:9" x14ac:dyDescent="0.25">
      <c r="I67" t="str">
        <v>Brændselsforbrug.DagrenErhverv</v>
      </c>
    </row>
    <row r="68" spans="9:9" x14ac:dyDescent="0.25">
      <c r="I68" t="str">
        <v>Brændselsforbrug.HandelKontor</v>
      </c>
    </row>
    <row r="69" spans="9:9" x14ac:dyDescent="0.25">
      <c r="I69" t="str">
        <v>Brændselsforbrug.Privat</v>
      </c>
    </row>
    <row r="70" spans="9:9" x14ac:dyDescent="0.25">
      <c r="I70" t="str">
        <v>Brændselsforbrug.TyskRest</v>
      </c>
    </row>
    <row r="71" spans="9:9" x14ac:dyDescent="0.25">
      <c r="I71" t="str">
        <v>Brændselsforbrug.PolskRest</v>
      </c>
    </row>
    <row r="72" spans="9:9" x14ac:dyDescent="0.25">
      <c r="I72" t="str">
        <v>Brændselsforbrug.PcbTrae</v>
      </c>
    </row>
    <row r="73" spans="9:9" x14ac:dyDescent="0.25">
      <c r="I73" t="str">
        <v>Brændselsforbrug.TraeRekv</v>
      </c>
    </row>
    <row r="74" spans="9:9" x14ac:dyDescent="0.25">
      <c r="I74" t="str">
        <v>Brændselsforbrug.Halm</v>
      </c>
    </row>
    <row r="75" spans="9:9" x14ac:dyDescent="0.25">
      <c r="I75" t="str">
        <v>Brændselsforbrug.Pulver</v>
      </c>
    </row>
    <row r="76" spans="9:9" x14ac:dyDescent="0.25">
      <c r="I76" t="str">
        <v>Brændselsforbrug.FlisAffald</v>
      </c>
    </row>
    <row r="77" spans="9:9" x14ac:dyDescent="0.25">
      <c r="I77" t="str">
        <v>Brændselsforbrug.NyAff1</v>
      </c>
    </row>
    <row r="78" spans="9:9" x14ac:dyDescent="0.25">
      <c r="I78" t="str">
        <v>Brændselsforbrug.NyAff2</v>
      </c>
    </row>
    <row r="79" spans="9:9" x14ac:dyDescent="0.25">
      <c r="I79" t="str">
        <v>Brændselsforbrug.NyAff3</v>
      </c>
    </row>
    <row r="80" spans="9:9" x14ac:dyDescent="0.25">
      <c r="I80" t="str">
        <v>Brændselsforbrug.NyAff4</v>
      </c>
    </row>
    <row r="81" spans="9:9" x14ac:dyDescent="0.25">
      <c r="I81" t="str">
        <v>Brændselsforbrug.NyAff5</v>
      </c>
    </row>
    <row r="82" spans="9:9" x14ac:dyDescent="0.25">
      <c r="I82" t="str">
        <v>Brændselsforbrug.Flis</v>
      </c>
    </row>
    <row r="83" spans="9:9" x14ac:dyDescent="0.25">
      <c r="I83" t="str">
        <v>Brændselsforbrug.NSvarme</v>
      </c>
    </row>
    <row r="84" spans="9:9" x14ac:dyDescent="0.25">
      <c r="I84" t="str">
        <v>Brændselsforbrug.PeakFuel</v>
      </c>
    </row>
    <row r="85" spans="9:9" x14ac:dyDescent="0.25">
      <c r="I85" t="str">
        <v>Brændselsindkomst.DepoSort</v>
      </c>
    </row>
    <row r="86" spans="9:9" x14ac:dyDescent="0.25">
      <c r="I86" t="str">
        <v>Brændselsindkomst.DepoSmaat</v>
      </c>
    </row>
    <row r="87" spans="9:9" x14ac:dyDescent="0.25">
      <c r="I87" t="str">
        <v>Brændselsindkomst.DepoNedd</v>
      </c>
    </row>
    <row r="88" spans="9:9" x14ac:dyDescent="0.25">
      <c r="I88" t="str">
        <v>Brændselsindkomst.Dagren</v>
      </c>
    </row>
    <row r="89" spans="9:9" x14ac:dyDescent="0.25">
      <c r="I89" t="str">
        <v>Brændselsindkomst.AndetBrand</v>
      </c>
    </row>
    <row r="90" spans="9:9" x14ac:dyDescent="0.25">
      <c r="I90" t="str">
        <v>Brændselsindkomst.Trae</v>
      </c>
    </row>
    <row r="91" spans="9:9" x14ac:dyDescent="0.25">
      <c r="I91" t="str">
        <v>Brændselsindkomst.DagrenRast</v>
      </c>
    </row>
    <row r="92" spans="9:9" x14ac:dyDescent="0.25">
      <c r="I92" t="str">
        <v>Brændselsindkomst.DagrenInst</v>
      </c>
    </row>
    <row r="93" spans="9:9" x14ac:dyDescent="0.25">
      <c r="I93" t="str">
        <v>Brændselsindkomst.DagrenHandel</v>
      </c>
    </row>
    <row r="94" spans="9:9" x14ac:dyDescent="0.25">
      <c r="I94" t="str">
        <v>Brændselsindkomst.DagrenRestau</v>
      </c>
    </row>
    <row r="95" spans="9:9" x14ac:dyDescent="0.25">
      <c r="I95" t="str">
        <v>Brændselsindkomst.Erhverv</v>
      </c>
    </row>
    <row r="96" spans="9:9" x14ac:dyDescent="0.25">
      <c r="I96" t="str">
        <v>Brændselsindkomst.DagrenErhverv</v>
      </c>
    </row>
    <row r="97" spans="9:9" x14ac:dyDescent="0.25">
      <c r="I97" t="str">
        <v>Brændselsindkomst.HandelKontor</v>
      </c>
    </row>
    <row r="98" spans="9:9" x14ac:dyDescent="0.25">
      <c r="I98" t="str">
        <v>Brændselsindkomst.Privat</v>
      </c>
    </row>
    <row r="99" spans="9:9" x14ac:dyDescent="0.25">
      <c r="I99" t="str">
        <v>Brændselsindkomst.TyskRest</v>
      </c>
    </row>
    <row r="100" spans="9:9" x14ac:dyDescent="0.25">
      <c r="I100" t="str">
        <v>Brændselsindkomst.PolskRest</v>
      </c>
    </row>
    <row r="101" spans="9:9" x14ac:dyDescent="0.25">
      <c r="I101" t="str">
        <v>Brændselsindkomst.PcbTrae</v>
      </c>
    </row>
    <row r="102" spans="9:9" x14ac:dyDescent="0.25">
      <c r="I102" t="str">
        <v>Brændselsindkomst.TraeRekv</v>
      </c>
    </row>
    <row r="103" spans="9:9" x14ac:dyDescent="0.25">
      <c r="I103" t="str">
        <v>Brændselsindkomst.Halm</v>
      </c>
    </row>
    <row r="104" spans="9:9" x14ac:dyDescent="0.25">
      <c r="I104" t="str">
        <v>Brændselsindkomst.Pulver</v>
      </c>
    </row>
    <row r="105" spans="9:9" x14ac:dyDescent="0.25">
      <c r="I105" t="str">
        <v>Brændselsindkomst.FlisAffald</v>
      </c>
    </row>
    <row r="106" spans="9:9" x14ac:dyDescent="0.25">
      <c r="I106" t="str">
        <v>Brændselsindkomst.NyAff1</v>
      </c>
    </row>
    <row r="107" spans="9:9" x14ac:dyDescent="0.25">
      <c r="I107" t="str">
        <v>Brændselsindkomst.NyAff2</v>
      </c>
    </row>
    <row r="108" spans="9:9" x14ac:dyDescent="0.25">
      <c r="I108" t="str">
        <v>Brændselsindkomst.NyAff3</v>
      </c>
    </row>
    <row r="109" spans="9:9" x14ac:dyDescent="0.25">
      <c r="I109" t="str">
        <v>Brændselsindkomst.NyAff4</v>
      </c>
    </row>
    <row r="110" spans="9:9" x14ac:dyDescent="0.25">
      <c r="I110" t="str">
        <v>Brændselsindkomst.NyAff5</v>
      </c>
    </row>
    <row r="111" spans="9:9" x14ac:dyDescent="0.25">
      <c r="I111" t="str">
        <v>Brændselsindkomst.Flis</v>
      </c>
    </row>
    <row r="112" spans="9:9" x14ac:dyDescent="0.25">
      <c r="I112" t="str">
        <v>Brændselsindkomst.NSvarme</v>
      </c>
    </row>
    <row r="113" spans="9:9" x14ac:dyDescent="0.25">
      <c r="I113" t="str">
        <v>Brændselsindkomst.PeakFuel</v>
      </c>
    </row>
  </sheetData>
  <dataValidations count="1">
    <dataValidation type="list" allowBlank="1" showInputMessage="1" showErrorMessage="1" sqref="C2:G2" xr:uid="{8F7B67C0-C570-47CF-A382-F352CB44410F}">
      <formula1>listKategori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5</vt:i4>
      </vt:variant>
      <vt:variant>
        <vt:lpstr>Charts</vt:lpstr>
      </vt:variant>
      <vt:variant>
        <vt:i4>3</vt:i4>
      </vt:variant>
      <vt:variant>
        <vt:lpstr>Named Ranges</vt:lpstr>
      </vt:variant>
      <vt:variant>
        <vt:i4>15</vt:i4>
      </vt:variant>
    </vt:vector>
  </HeadingPairs>
  <TitlesOfParts>
    <vt:vector size="23" baseType="lpstr">
      <vt:lpstr>ScenInput</vt:lpstr>
      <vt:lpstr>Overblik</vt:lpstr>
      <vt:lpstr>Charts</vt:lpstr>
      <vt:lpstr>Lister</vt:lpstr>
      <vt:lpstr>Lister1</vt:lpstr>
      <vt:lpstr>cØkonomi</vt:lpstr>
      <vt:lpstr>cVarme</vt:lpstr>
      <vt:lpstr>cFuel</vt:lpstr>
      <vt:lpstr>arrNiv2</vt:lpstr>
      <vt:lpstr>arrNiv3</vt:lpstr>
      <vt:lpstr>listFuelBounds</vt:lpstr>
      <vt:lpstr>listHeaders</vt:lpstr>
      <vt:lpstr>listRoot</vt:lpstr>
      <vt:lpstr>listScenHeaders</vt:lpstr>
      <vt:lpstr>listScenTopics</vt:lpstr>
      <vt:lpstr>NotANumber</vt:lpstr>
      <vt:lpstr>Nscen</vt:lpstr>
      <vt:lpstr>OfzNiveau2</vt:lpstr>
      <vt:lpstr>OfzNiveau3</vt:lpstr>
      <vt:lpstr>PerSlut2</vt:lpstr>
      <vt:lpstr>PerStart2</vt:lpstr>
      <vt:lpstr>scenTopicsHeader</vt:lpstr>
      <vt:lpstr>valgtKategori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dcterms:created xsi:type="dcterms:W3CDTF">2022-01-21T15:24:22Z</dcterms:created>
  <dcterms:modified xsi:type="dcterms:W3CDTF">2022-03-07T19:10:51Z</dcterms:modified>
</cp:coreProperties>
</file>