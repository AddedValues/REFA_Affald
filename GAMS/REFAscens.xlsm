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F8FE3588-A458-4703-82A6-A316EE3CF200}" xr6:coauthVersionLast="47" xr6:coauthVersionMax="47" xr10:uidLastSave="{00000000-0000-0000-0000-000000000000}"/>
  <bookViews>
    <workbookView xWindow="28680" yWindow="-120" windowWidth="29040" windowHeight="17790" activeTab="1" xr2:uid="{43F97B8D-A1C5-4A28-82B2-29FE10E7B610}"/>
  </bookViews>
  <sheets>
    <sheet name="Overblik" sheetId="1" r:id="rId1"/>
    <sheet name="Charts" sheetId="2" r:id="rId2"/>
    <sheet name="Lister" sheetId="3" r:id="rId3"/>
  </sheets>
  <definedNames>
    <definedName name="_xlpm.id" hidden="1" xlm="1">#NAME?</definedName>
    <definedName name="_xlpm.ll" hidden="1" xlm="1">#NAME?</definedName>
    <definedName name="_xlpm.res" hidden="1" xlm="1">#NAME?</definedName>
    <definedName name="listdynEmner">_xlfn.ANCHORARRAY(Lister!$C$3)</definedName>
    <definedName name="listKategori">_xlfn.ANCHORARRAY(Lister!$B$3)</definedName>
    <definedName name="listScenTopics">Overblik!$A$5:$A$129</definedName>
    <definedName name="listScenTopicsTopLeft">Overblik!$A$5</definedName>
    <definedName name="Nscen">Lister!$I$3</definedName>
    <definedName name="series1">_xlfn.ANCHORARRAY(Charts!$G$6)</definedName>
    <definedName name="Series2">_xlfn.ANCHORARRAY(Charts!$G$7)</definedName>
    <definedName name="Series3">_xlfn.ANCHORARRAY(Charts!$G$8)</definedName>
    <definedName name="Series4">_xlfn.ANCHORARRAY(Charts!$G$9)</definedName>
    <definedName name="Series5">_xlfn.ANCHORARRAY(Charts!$G$10)</definedName>
    <definedName name="valgtKategori">Charts!$B$6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2" l="1" a="1"/>
  <c r="G7" i="2" s="1"/>
  <c r="G8" i="2" a="1"/>
  <c r="G8" i="2" s="1"/>
  <c r="G9" i="2" a="1"/>
  <c r="G9" i="2" s="1"/>
  <c r="G10" i="2" a="1"/>
  <c r="G10" i="2" s="1"/>
  <c r="I3" i="3" a="1"/>
  <c r="I3" i="3" s="1"/>
  <c r="I4" i="3" a="1"/>
  <c r="I4" i="3" s="1"/>
  <c r="E7" i="2"/>
  <c r="E8" i="2"/>
  <c r="E9" i="2"/>
  <c r="E10" i="2"/>
  <c r="E6" i="2"/>
  <c r="G6" i="2" s="1" a="1"/>
  <c r="G6" i="2" s="1"/>
  <c r="F7" i="2"/>
  <c r="F8" i="2"/>
  <c r="F9" i="2"/>
  <c r="F10" i="2"/>
  <c r="F6" i="2"/>
  <c r="C2" i="3"/>
  <c r="E3" i="3" a="1"/>
  <c r="E3" i="3" s="1"/>
  <c r="F3" i="3" s="1" a="1"/>
  <c r="F3" i="3" s="1"/>
  <c r="A97" i="1"/>
  <c r="A98" i="1"/>
  <c r="A8" i="1"/>
  <c r="A9" i="1"/>
  <c r="A10" i="1"/>
  <c r="A11" i="1"/>
  <c r="A12" i="1"/>
  <c r="A13" i="1"/>
  <c r="A129" i="1"/>
  <c r="A130" i="1"/>
  <c r="A131" i="1"/>
  <c r="A132" i="1"/>
  <c r="A133" i="1"/>
  <c r="A134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00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68" i="1"/>
  <c r="A61" i="1"/>
  <c r="A62" i="1"/>
  <c r="A63" i="1"/>
  <c r="A64" i="1"/>
  <c r="A65" i="1"/>
  <c r="A66" i="1"/>
  <c r="A60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6" i="1"/>
  <c r="A5" i="1"/>
  <c r="J1" i="1"/>
  <c r="H5" i="2" l="1"/>
  <c r="P5" i="2"/>
  <c r="X5" i="2"/>
  <c r="AB5" i="2"/>
  <c r="AC5" i="2"/>
  <c r="N5" i="2"/>
  <c r="W5" i="2"/>
  <c r="I5" i="2"/>
  <c r="Q5" i="2"/>
  <c r="Y5" i="2"/>
  <c r="L5" i="2"/>
  <c r="M5" i="2"/>
  <c r="J5" i="2"/>
  <c r="R5" i="2"/>
  <c r="Z5" i="2"/>
  <c r="T5" i="2"/>
  <c r="U5" i="2"/>
  <c r="G5" i="2"/>
  <c r="O5" i="2"/>
  <c r="K5" i="2"/>
  <c r="S5" i="2"/>
  <c r="AA5" i="2"/>
  <c r="V5" i="2"/>
  <c r="C3" i="3" a="1"/>
  <c r="C3" i="3" s="1"/>
  <c r="B3" i="3" a="1"/>
  <c r="B3" i="3" s="1"/>
  <c r="A7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<sst xmlns="http://schemas.openxmlformats.org/spreadsheetml/2006/main" count="306" uniqueCount="116">
  <si>
    <t>Tidsstempel</t>
  </si>
  <si>
    <t>Periode</t>
  </si>
  <si>
    <t>tDKK</t>
  </si>
  <si>
    <t>Enhed</t>
  </si>
  <si>
    <t>MWhq</t>
  </si>
  <si>
    <t>FJV-behov</t>
  </si>
  <si>
    <t>DKK/MWhq</t>
  </si>
  <si>
    <t>REFA-Daekningsbidrag</t>
  </si>
  <si>
    <t>REFA-Total-Var-Indkomst</t>
  </si>
  <si>
    <t>REFA-Affald-Modtagelse</t>
  </si>
  <si>
    <t>REFA-RGK-Rabat</t>
  </si>
  <si>
    <t>REFA-Elsalg</t>
  </si>
  <si>
    <t>REFA-Total-Var-Omkostning</t>
  </si>
  <si>
    <t>REFA-AnlaegsVarOmk</t>
  </si>
  <si>
    <t>REFA-BraendselOmk</t>
  </si>
  <si>
    <t>REFA-Afgifter</t>
  </si>
  <si>
    <t>REFA-CO2-Kvoteomk</t>
  </si>
  <si>
    <t>REFA-Lageromkostning</t>
  </si>
  <si>
    <t>ton</t>
  </si>
  <si>
    <t>REFA-CO2-Emission-Afgift</t>
  </si>
  <si>
    <t>REFA-CO2-Emission-Kvote</t>
  </si>
  <si>
    <t>MWhe</t>
  </si>
  <si>
    <t>REFA-El-produktion-Brutto</t>
  </si>
  <si>
    <t>REFA-El-produktion-Netto</t>
  </si>
  <si>
    <t>REFA-Total-Affald-Raadighed</t>
  </si>
  <si>
    <t>REFA-Affald-anvendt</t>
  </si>
  <si>
    <t>REFA-Affald-Uudnyttet</t>
  </si>
  <si>
    <t>REFA-Affald-Lagret</t>
  </si>
  <si>
    <t>REFA-Total-Varme-Produktion</t>
  </si>
  <si>
    <t>REFA-Modtryk-Varme</t>
  </si>
  <si>
    <t>REFA-Bypass-Varme</t>
  </si>
  <si>
    <t>REFA-RGK-Varme</t>
  </si>
  <si>
    <t>REFA-Bortkoelet-Varme</t>
  </si>
  <si>
    <t>GSF-Total-Var-Omkostning</t>
  </si>
  <si>
    <t>GSF-AnlaegsVarOmk</t>
  </si>
  <si>
    <t>GSF-BraendselOmk</t>
  </si>
  <si>
    <t>GSF-Afgifter</t>
  </si>
  <si>
    <t>GSF-CO2-Emission</t>
  </si>
  <si>
    <t>GSF-Total-Varme-Produktion</t>
  </si>
  <si>
    <t>Varmemængder</t>
  </si>
  <si>
    <t>Ovn2</t>
  </si>
  <si>
    <t>Ovn3</t>
  </si>
  <si>
    <t>FlisK</t>
  </si>
  <si>
    <t>NS</t>
  </si>
  <si>
    <t>Cooler</t>
  </si>
  <si>
    <t>PeakK</t>
  </si>
  <si>
    <t>Brændselsforbrug</t>
  </si>
  <si>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</si>
  <si>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</si>
  <si>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</si>
  <si>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</si>
  <si>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</si>
  <si>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</si>
  <si>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</si>
  <si>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</si>
  <si>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</si>
  <si>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</si>
  <si>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</si>
  <si>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</si>
  <si>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</si>
  <si>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</si>
  <si>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</si>
  <si>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</si>
  <si>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</si>
  <si>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TraeRekv</t>
  </si>
  <si>
    <t>Halm</t>
  </si>
  <si>
    <t>Pulver</t>
  </si>
  <si>
    <t>FlisAffald</t>
  </si>
  <si>
    <t>NyAff1</t>
  </si>
  <si>
    <t>NyAff2</t>
  </si>
  <si>
    <t>NyAff3</t>
  </si>
  <si>
    <t>NyAff4</t>
  </si>
  <si>
    <t>NyAff5</t>
  </si>
  <si>
    <t>Flis</t>
  </si>
  <si>
    <t>NSvarme</t>
  </si>
  <si>
    <t>PeakFuel</t>
  </si>
  <si>
    <t>Brændselsindkomst</t>
  </si>
  <si>
    <t>scen0</t>
  </si>
  <si>
    <t>scen1</t>
  </si>
  <si>
    <t>NS-Total-Varme-Produktion</t>
  </si>
  <si>
    <t>REFA-Leveret-Varme</t>
  </si>
  <si>
    <t>Virtuel-Varme-Kilde</t>
  </si>
  <si>
    <t>Virtuel-Affaldstonnage-Kilde</t>
  </si>
  <si>
    <t>Total-NPV</t>
  </si>
  <si>
    <t>Total-Var-Varmeproduktions-Omk</t>
  </si>
  <si>
    <t>REFA-NPV</t>
  </si>
  <si>
    <t>REFA-Var-Varmeproduktions-Omk</t>
  </si>
  <si>
    <t>REFA-Varmesalg</t>
  </si>
  <si>
    <t>Virtuel-Varme-Draen</t>
  </si>
  <si>
    <t>Virtuel-Affaldstonnage-Draen</t>
  </si>
  <si>
    <t>Elpris</t>
  </si>
  <si>
    <t>ETS</t>
  </si>
  <si>
    <t>Nøgletal</t>
  </si>
  <si>
    <t>DKK/MWhe</t>
  </si>
  <si>
    <t>DKK/ton CO2</t>
  </si>
  <si>
    <t>scen2</t>
  </si>
  <si>
    <t>scen3</t>
  </si>
  <si>
    <t>scen4</t>
  </si>
  <si>
    <t>scen5</t>
  </si>
  <si>
    <t>scen6</t>
  </si>
  <si>
    <t>scen7</t>
  </si>
  <si>
    <t>scen8</t>
  </si>
  <si>
    <t>scen9</t>
  </si>
  <si>
    <t>scen10</t>
  </si>
  <si>
    <t>Prognose</t>
  </si>
  <si>
    <t>Kategori</t>
  </si>
  <si>
    <t>Emne</t>
  </si>
  <si>
    <t>Bruttoemner</t>
  </si>
  <si>
    <t>Interne variable</t>
  </si>
  <si>
    <t>Nscen</t>
  </si>
  <si>
    <t>ChartTekst</t>
  </si>
  <si>
    <t>Vis</t>
  </si>
  <si>
    <t>Ofz</t>
  </si>
  <si>
    <t>Skalafaktor</t>
  </si>
  <si>
    <t>Titel:</t>
  </si>
  <si>
    <t>2021: Elpris [200 - 1000], Kvotepris {400, 900}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</si>
</sst>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-* #,##0.00_-;\-* #,##0.00_-;_-* &quot;-&quot;??_-;_-@_-"/>
    <numFmt numFmtId="164" formatCode="yyyy\ mmm\ dd\,\ hh:mm;@"/>
    <numFmt numFmtId="165" formatCode="yy\'mmm"/>
    <numFmt numFmtId="166" formatCode="_-#,##0,_-;\-#,##0,_-;_-* &quot;-&quot;??_-;_-@_-"/>
    <numFmt numFmtId="167" formatCode="_-#,##0_-;\-#,##0_-;_-* &quot;-&quot;??_-;_-@_-"/>
    <numFmt numFmtId="168" formatCode="_-* #,##0_-;\-* #,##0_-;_-* &quot;-&quot;??_-;_-@_-"/>
    <numFmt numFmtId="169" formatCode="_-#,##0.00_-;\-#,##0.00_-;_-* &quot;-&quot;??_-;_-@_-"/>
    <numFmt numFmtId="171" formatCode="_-* #,##0_-;\-#,##0_-;_-* &quot;-&quot;??_-;_-@_-"/>
    <numFmt numFmtId="172" formatCode="[$-F400]h:mm:ss\ AM/PM"/>
    <numFmt numFmtId="173" formatCode="yyyy/mm/dd\ hh:mm;@"/>
    <numFmt numFmtId="174" formatCode="_-* #,##0_-;\-#,##0_-;_-\ &quot;-&quot;??_-;_-@_-"/>
    <numFmt numFmtId="175" formatCode="#,##0;\-#,##0;0"/>
    <numFmt numFmtId="176" formatCode="#,##0,;\-#,##0,;0"/>
    <numFmt numFmtId="177" formatCode="ddd\ yyyy\ mmm\ dd\,\ hh:mm;@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11" fillId="6" borderId="8" applyNumberFormat="0" applyAlignment="0" applyProtection="0"/>
  </cellStyleXfs>
  <cellXfs count="94">
    <xf numFmtId="0" fontId="0" fillId="0" borderId="0" xfId="0"/>
    <xf numFmtId="0" fontId="2" fillId="2" borderId="1" xfId="0" applyFont="1" applyFill="1" applyBorder="1" applyAlignment="1">
      <alignment horizontal="left" indent="1"/>
    </xf>
    <xf numFmtId="0" fontId="2" fillId="2" borderId="4" xfId="0" applyFont="1" applyFill="1" applyBorder="1" applyAlignment="1">
      <alignment horizontal="left" indent="1"/>
    </xf>
    <xf numFmtId="165" fontId="0" fillId="0" borderId="0" xfId="0" applyNumberFormat="1" applyAlignment="1">
      <alignment horizontal="center"/>
    </xf>
    <xf numFmtId="165" fontId="0" fillId="0" borderId="5" xfId="0" applyNumberFormat="1" applyBorder="1" applyAlignment="1">
      <alignment horizontal="left" indent="1"/>
    </xf>
    <xf numFmtId="0" fontId="0" fillId="0" borderId="0" xfId="0" applyAlignment="1">
      <alignment horizontal="left" indent="1"/>
    </xf>
    <xf numFmtId="0" fontId="4" fillId="0" borderId="0" xfId="0" applyFont="1"/>
    <xf numFmtId="167" fontId="0" fillId="0" borderId="0" xfId="1" applyNumberFormat="1" applyFont="1"/>
    <xf numFmtId="168" fontId="0" fillId="0" borderId="0" xfId="1" applyNumberFormat="1" applyFont="1" applyAlignment="1">
      <alignment horizontal="left"/>
    </xf>
    <xf numFmtId="0" fontId="0" fillId="0" borderId="0" xfId="0" quotePrefix="1" applyAlignment="1">
      <alignment horizontal="left" indent="1"/>
    </xf>
    <xf numFmtId="2" fontId="0" fillId="0" borderId="0" xfId="0" applyNumberFormat="1"/>
    <xf numFmtId="169" fontId="0" fillId="0" borderId="0" xfId="1" applyNumberFormat="1" applyFont="1"/>
    <xf numFmtId="166" fontId="0" fillId="0" borderId="0" xfId="1" applyNumberFormat="1" applyFont="1"/>
    <xf numFmtId="166" fontId="0" fillId="0" borderId="0" xfId="1" applyNumberFormat="1" applyFont="1" applyAlignment="1">
      <alignment horizontal="left"/>
    </xf>
    <xf numFmtId="0" fontId="0" fillId="2" borderId="0" xfId="0" quotePrefix="1" applyFill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0" fontId="0" fillId="2" borderId="0" xfId="0" quotePrefix="1" applyFill="1" applyAlignment="1">
      <alignment horizontal="left" indent="2"/>
    </xf>
    <xf numFmtId="168" fontId="0" fillId="0" borderId="0" xfId="1" applyNumberFormat="1" applyFont="1"/>
    <xf numFmtId="0" fontId="0" fillId="3" borderId="0" xfId="0" quotePrefix="1" applyFill="1" applyAlignment="1">
      <alignment horizontal="left" indent="2"/>
    </xf>
    <xf numFmtId="0" fontId="0" fillId="3" borderId="0" xfId="0" quotePrefix="1" applyFill="1" applyAlignment="1">
      <alignment horizontal="left" indent="1"/>
    </xf>
    <xf numFmtId="0" fontId="0" fillId="0" borderId="0" xfId="0" applyAlignment="1">
      <alignment horizontal="left"/>
    </xf>
    <xf numFmtId="0" fontId="3" fillId="0" borderId="0" xfId="0" applyFont="1"/>
    <xf numFmtId="0" fontId="2" fillId="3" borderId="0" xfId="0" quotePrefix="1" applyFont="1" applyFill="1" applyAlignment="1">
      <alignment horizontal="left" indent="1"/>
    </xf>
    <xf numFmtId="171" fontId="0" fillId="0" borderId="6" xfId="1" applyNumberFormat="1" applyFont="1" applyBorder="1"/>
    <xf numFmtId="0" fontId="0" fillId="0" borderId="0" xfId="0" quotePrefix="1" applyAlignment="1">
      <alignment horizontal="right" indent="1"/>
    </xf>
    <xf numFmtId="43" fontId="0" fillId="0" borderId="0" xfId="1" applyFont="1"/>
    <xf numFmtId="43" fontId="0" fillId="0" borderId="0" xfId="1" applyFont="1" applyAlignment="1">
      <alignment horizontal="left" indent="1"/>
    </xf>
    <xf numFmtId="43" fontId="0" fillId="0" borderId="0" xfId="1" quotePrefix="1" applyFont="1"/>
    <xf numFmtId="168" fontId="0" fillId="0" borderId="6" xfId="1" applyNumberFormat="1" applyFont="1" applyBorder="1"/>
    <xf numFmtId="168" fontId="0" fillId="0" borderId="0" xfId="1" applyNumberFormat="1" applyFont="1" applyBorder="1" applyAlignment="1">
      <alignment horizontal="left"/>
    </xf>
    <xf numFmtId="168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0" xfId="0" quotePrefix="1"/>
    <xf numFmtId="0" fontId="6" fillId="2" borderId="2" xfId="0" quotePrefix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left" indent="1"/>
    </xf>
    <xf numFmtId="0" fontId="0" fillId="3" borderId="0" xfId="0" quotePrefix="1" applyFont="1" applyFill="1" applyAlignment="1">
      <alignment horizontal="left" indent="2"/>
    </xf>
    <xf numFmtId="0" fontId="2" fillId="4" borderId="0" xfId="0" quotePrefix="1" applyFont="1" applyFill="1" applyAlignment="1">
      <alignment horizontal="left" indent="1"/>
    </xf>
    <xf numFmtId="0" fontId="0" fillId="0" borderId="0" xfId="0" applyAlignment="1"/>
    <xf numFmtId="172" fontId="0" fillId="0" borderId="0" xfId="0" applyNumberFormat="1"/>
    <xf numFmtId="172" fontId="0" fillId="0" borderId="0" xfId="0" applyNumberFormat="1" applyAlignment="1">
      <alignment horizontal="center"/>
    </xf>
    <xf numFmtId="164" fontId="8" fillId="0" borderId="4" xfId="0" quotePrefix="1" applyNumberFormat="1" applyFont="1" applyBorder="1" applyAlignment="1">
      <alignment horizontal="center"/>
    </xf>
    <xf numFmtId="164" fontId="8" fillId="0" borderId="0" xfId="0" quotePrefix="1" applyNumberFormat="1" applyFont="1" applyBorder="1" applyAlignment="1">
      <alignment horizontal="center"/>
    </xf>
    <xf numFmtId="164" fontId="8" fillId="0" borderId="0" xfId="0" applyNumberFormat="1" applyFont="1" applyBorder="1" applyAlignment="1">
      <alignment horizontal="center"/>
    </xf>
    <xf numFmtId="168" fontId="0" fillId="0" borderId="2" xfId="1" applyNumberFormat="1" applyFont="1" applyBorder="1"/>
    <xf numFmtId="168" fontId="0" fillId="0" borderId="2" xfId="1" applyNumberFormat="1" applyFont="1" applyBorder="1" applyAlignment="1">
      <alignment horizontal="left"/>
    </xf>
    <xf numFmtId="0" fontId="0" fillId="0" borderId="2" xfId="0" applyBorder="1"/>
    <xf numFmtId="173" fontId="9" fillId="0" borderId="0" xfId="0" applyNumberFormat="1" applyFont="1"/>
    <xf numFmtId="2" fontId="10" fillId="0" borderId="2" xfId="0" applyNumberFormat="1" applyFont="1" applyBorder="1" applyAlignment="1">
      <alignment horizontal="center"/>
    </xf>
    <xf numFmtId="0" fontId="0" fillId="5" borderId="2" xfId="0" quotePrefix="1" applyFill="1" applyBorder="1" applyAlignment="1">
      <alignment horizontal="left" indent="1"/>
    </xf>
    <xf numFmtId="0" fontId="0" fillId="5" borderId="0" xfId="0" quotePrefix="1" applyFill="1" applyAlignment="1">
      <alignment horizontal="left" indent="1"/>
    </xf>
    <xf numFmtId="2" fontId="0" fillId="0" borderId="0" xfId="0" applyNumberFormat="1" applyAlignment="1">
      <alignment horizontal="left" indent="1"/>
    </xf>
    <xf numFmtId="174" fontId="0" fillId="0" borderId="6" xfId="1" applyNumberFormat="1" applyFont="1" applyBorder="1"/>
    <xf numFmtId="175" fontId="0" fillId="0" borderId="6" xfId="1" applyNumberFormat="1" applyFont="1" applyBorder="1"/>
    <xf numFmtId="176" fontId="0" fillId="0" borderId="6" xfId="1" applyNumberFormat="1" applyFont="1" applyBorder="1"/>
    <xf numFmtId="176" fontId="0" fillId="0" borderId="0" xfId="0" quotePrefix="1" applyNumberFormat="1" applyAlignment="1">
      <alignment horizontal="right" indent="1"/>
    </xf>
    <xf numFmtId="176" fontId="0" fillId="0" borderId="0" xfId="0" applyNumberFormat="1" applyAlignment="1">
      <alignment horizontal="left"/>
    </xf>
    <xf numFmtId="176" fontId="0" fillId="0" borderId="0" xfId="0" quotePrefix="1" applyNumberFormat="1"/>
    <xf numFmtId="176" fontId="0" fillId="0" borderId="0" xfId="1" applyNumberFormat="1" applyFont="1" applyBorder="1" applyAlignment="1">
      <alignment horizontal="left" indent="1"/>
    </xf>
    <xf numFmtId="2" fontId="0" fillId="0" borderId="0" xfId="0" quotePrefix="1" applyNumberFormat="1" applyAlignment="1">
      <alignment horizontal="left" indent="1"/>
    </xf>
    <xf numFmtId="166" fontId="2" fillId="0" borderId="7" xfId="1" applyNumberFormat="1" applyFont="1" applyBorder="1"/>
    <xf numFmtId="166" fontId="2" fillId="0" borderId="7" xfId="1" applyNumberFormat="1" applyFont="1" applyBorder="1" applyAlignment="1">
      <alignment horizontal="left"/>
    </xf>
    <xf numFmtId="0" fontId="2" fillId="2" borderId="7" xfId="0" quotePrefix="1" applyFont="1" applyFill="1" applyBorder="1" applyAlignment="1">
      <alignment horizontal="left" indent="1"/>
    </xf>
    <xf numFmtId="0" fontId="2" fillId="0" borderId="7" xfId="0" applyFont="1" applyBorder="1"/>
    <xf numFmtId="177" fontId="0" fillId="0" borderId="3" xfId="0" applyNumberFormat="1" applyBorder="1" applyAlignment="1">
      <alignment horizontal="left" indent="1"/>
    </xf>
    <xf numFmtId="2" fontId="12" fillId="0" borderId="0" xfId="0" applyNumberFormat="1" applyFont="1"/>
    <xf numFmtId="0" fontId="12" fillId="0" borderId="0" xfId="0" applyFont="1"/>
    <xf numFmtId="0" fontId="13" fillId="2" borderId="2" xfId="0" applyFont="1" applyFill="1" applyBorder="1" applyAlignment="1">
      <alignment horizontal="left" indent="1"/>
    </xf>
    <xf numFmtId="167" fontId="12" fillId="0" borderId="0" xfId="1" applyNumberFormat="1" applyFont="1"/>
    <xf numFmtId="166" fontId="14" fillId="0" borderId="7" xfId="1" applyNumberFormat="1" applyFont="1" applyBorder="1"/>
    <xf numFmtId="166" fontId="14" fillId="0" borderId="0" xfId="1" applyNumberFormat="1" applyFont="1"/>
    <xf numFmtId="166" fontId="12" fillId="0" borderId="0" xfId="1" applyNumberFormat="1" applyFont="1"/>
    <xf numFmtId="168" fontId="12" fillId="0" borderId="0" xfId="1" applyNumberFormat="1" applyFont="1"/>
    <xf numFmtId="168" fontId="14" fillId="0" borderId="0" xfId="1" applyNumberFormat="1" applyFont="1"/>
    <xf numFmtId="168" fontId="12" fillId="0" borderId="2" xfId="1" applyNumberFormat="1" applyFont="1" applyBorder="1"/>
    <xf numFmtId="43" fontId="12" fillId="0" borderId="0" xfId="1" applyFont="1"/>
    <xf numFmtId="175" fontId="12" fillId="0" borderId="6" xfId="1" applyNumberFormat="1" applyFont="1" applyBorder="1"/>
    <xf numFmtId="175" fontId="12" fillId="0" borderId="0" xfId="1" applyNumberFormat="1" applyFont="1"/>
    <xf numFmtId="2" fontId="15" fillId="0" borderId="0" xfId="0" applyNumberFormat="1" applyFont="1"/>
    <xf numFmtId="0" fontId="15" fillId="0" borderId="0" xfId="0" applyFont="1"/>
    <xf numFmtId="0" fontId="16" fillId="2" borderId="2" xfId="0" applyFont="1" applyFill="1" applyBorder="1" applyAlignment="1">
      <alignment horizontal="left" indent="1"/>
    </xf>
    <xf numFmtId="167" fontId="15" fillId="0" borderId="0" xfId="1" applyNumberFormat="1" applyFont="1"/>
    <xf numFmtId="0" fontId="17" fillId="2" borderId="0" xfId="0" applyFont="1" applyFill="1" applyBorder="1" applyAlignment="1">
      <alignment horizontal="left" indent="1"/>
    </xf>
    <xf numFmtId="0" fontId="2" fillId="0" borderId="0" xfId="0" applyFont="1"/>
    <xf numFmtId="0" fontId="11" fillId="6" borderId="8" xfId="2"/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0" xfId="0" applyNumberFormat="1"/>
    <xf numFmtId="3" fontId="2" fillId="0" borderId="0" xfId="0" applyNumberFormat="1" applyFont="1" applyAlignment="1">
      <alignment horizontal="center"/>
    </xf>
    <xf numFmtId="0" fontId="11" fillId="6" borderId="8" xfId="2" applyAlignment="1">
      <alignment horizontal="center"/>
    </xf>
    <xf numFmtId="0" fontId="2" fillId="0" borderId="0" xfId="0" applyFont="1" applyAlignment="1">
      <alignment horizontal="center"/>
    </xf>
    <xf numFmtId="3" fontId="11" fillId="6" borderId="8" xfId="2" applyNumberFormat="1" applyAlignment="1">
      <alignment horizontal="center"/>
    </xf>
    <xf numFmtId="0" fontId="18" fillId="6" borderId="9" xfId="2" applyFont="1" applyBorder="1" applyAlignment="1">
      <alignment horizontal="center"/>
    </xf>
    <xf numFmtId="0" fontId="18" fillId="6" borderId="10" xfId="2" applyFont="1" applyBorder="1" applyAlignment="1">
      <alignment horizontal="center"/>
    </xf>
    <xf numFmtId="0" fontId="2" fillId="0" borderId="0" xfId="0" applyFont="1" applyAlignment="1">
      <alignment horizontal="left" indent="1"/>
    </xf>
  </cellXfs>
  <cellStyles count="3">
    <cellStyle name="Comma" xfId="1" builtinId="3"/>
    <cellStyle name="Input" xfId="2" builtinId="20"/>
    <cellStyle name="Normal" xfId="0" builtinId="0"/>
  </cellStyles>
  <dxfs count="116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Charts!$B$3</c:f>
          <c:strCache>
            <c:ptCount val="1"/>
            <c:pt idx="0">
              <c:v>2021: Elpris [200 - 1000], Kvotepris {400, 900}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7185600163661096E-2"/>
          <c:y val="0.10062428834217946"/>
          <c:w val="0.88646467441107635"/>
          <c:h val="0.761405325144408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Charts!$F$6:$G$6</c:f>
              <c:strCache>
                <c:ptCount val="2"/>
                <c:pt idx="0">
                  <c:v>REFA-Daekningsbidrag</c:v>
                </c:pt>
                <c:pt idx="1">
                  <c:v>-2.809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Charts!$H$5:$Q$5</c:f>
              <c:strCache>
                <c:ptCount val="10"/>
                <c:pt idx="0">
                  <c:v>sc-1</c:v>
                </c:pt>
                <c:pt idx="1">
                  <c:v>sc-2</c:v>
                </c:pt>
                <c:pt idx="2">
                  <c:v>sc-3</c:v>
                </c:pt>
                <c:pt idx="3">
                  <c:v>sc-4</c:v>
                </c:pt>
                <c:pt idx="4">
                  <c:v>sc-5</c:v>
                </c:pt>
                <c:pt idx="5">
                  <c:v>sc-6</c:v>
                </c:pt>
                <c:pt idx="6">
                  <c:v>sc-7</c:v>
                </c:pt>
                <c:pt idx="7">
                  <c:v>sc-8</c:v>
                </c:pt>
                <c:pt idx="8">
                  <c:v>sc-9</c:v>
                </c:pt>
                <c:pt idx="9">
                  <c:v>sc-10</c:v>
                </c:pt>
              </c:strCache>
            </c:strRef>
          </c:cat>
          <c:val>
            <c:numRef>
              <c:f>[0]!series1</c:f>
              <c:numCache>
                <c:formatCode>#,##0</c:formatCode>
                <c:ptCount val="11"/>
                <c:pt idx="0">
                  <c:v>-2808.8488781447604</c:v>
                </c:pt>
                <c:pt idx="1">
                  <c:v>-20659.761523306373</c:v>
                </c:pt>
                <c:pt idx="2">
                  <c:v>-13981.533509566754</c:v>
                </c:pt>
                <c:pt idx="3">
                  <c:v>-7405.1160195641205</c:v>
                </c:pt>
                <c:pt idx="4">
                  <c:v>858.69096097620343</c:v>
                </c:pt>
                <c:pt idx="5">
                  <c:v>8676.5146425929725</c:v>
                </c:pt>
                <c:pt idx="6">
                  <c:v>-38925.191275084522</c:v>
                </c:pt>
                <c:pt idx="7">
                  <c:v>-32228.51855913207</c:v>
                </c:pt>
                <c:pt idx="8">
                  <c:v>-25657.000206260665</c:v>
                </c:pt>
                <c:pt idx="9">
                  <c:v>-17087.310241928953</c:v>
                </c:pt>
                <c:pt idx="10">
                  <c:v>-9680.8662545892676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1-4039-9784-4428DDC4103B}"/>
            </c:ext>
          </c:extLst>
        </c:ser>
        <c:ser>
          <c:idx val="1"/>
          <c:order val="1"/>
          <c:tx>
            <c:strRef>
              <c:f>Charts!$F$7</c:f>
              <c:strCache>
                <c:ptCount val="1"/>
                <c:pt idx="0">
                  <c:v>REFA-Total-Var-Indkomst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Charts!$H$5:$Q$5</c:f>
              <c:strCache>
                <c:ptCount val="10"/>
                <c:pt idx="0">
                  <c:v>sc-1</c:v>
                </c:pt>
                <c:pt idx="1">
                  <c:v>sc-2</c:v>
                </c:pt>
                <c:pt idx="2">
                  <c:v>sc-3</c:v>
                </c:pt>
                <c:pt idx="3">
                  <c:v>sc-4</c:v>
                </c:pt>
                <c:pt idx="4">
                  <c:v>sc-5</c:v>
                </c:pt>
                <c:pt idx="5">
                  <c:v>sc-6</c:v>
                </c:pt>
                <c:pt idx="6">
                  <c:v>sc-7</c:v>
                </c:pt>
                <c:pt idx="7">
                  <c:v>sc-8</c:v>
                </c:pt>
                <c:pt idx="8">
                  <c:v>sc-9</c:v>
                </c:pt>
                <c:pt idx="9">
                  <c:v>sc-10</c:v>
                </c:pt>
              </c:strCache>
            </c:strRef>
          </c:cat>
          <c:val>
            <c:numRef>
              <c:f>[0]!Series2</c:f>
              <c:numCache>
                <c:formatCode>#,##0</c:formatCode>
                <c:ptCount val="11"/>
                <c:pt idx="0">
                  <c:v>72991.092744539521</c:v>
                </c:pt>
                <c:pt idx="1">
                  <c:v>53961.35536508933</c:v>
                </c:pt>
                <c:pt idx="2">
                  <c:v>60586.691114636698</c:v>
                </c:pt>
                <c:pt idx="3">
                  <c:v>67157.697910482108</c:v>
                </c:pt>
                <c:pt idx="4">
                  <c:v>77124.125973480346</c:v>
                </c:pt>
                <c:pt idx="5">
                  <c:v>85209.151927156694</c:v>
                </c:pt>
                <c:pt idx="6">
                  <c:v>53961.35536508933</c:v>
                </c:pt>
                <c:pt idx="7">
                  <c:v>60602.464023691959</c:v>
                </c:pt>
                <c:pt idx="8">
                  <c:v>67173.982376563377</c:v>
                </c:pt>
                <c:pt idx="9">
                  <c:v>75575.389822510653</c:v>
                </c:pt>
                <c:pt idx="10">
                  <c:v>85245.272880475502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B1-4039-9784-4428DDC4103B}"/>
            </c:ext>
          </c:extLst>
        </c:ser>
        <c:ser>
          <c:idx val="2"/>
          <c:order val="2"/>
          <c:tx>
            <c:strRef>
              <c:f>Charts!$F$8</c:f>
              <c:strCache>
                <c:ptCount val="1"/>
                <c:pt idx="0">
                  <c:v>REFA-Total-Var-Omkostning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Charts!$H$5:$Q$5</c:f>
              <c:strCache>
                <c:ptCount val="10"/>
                <c:pt idx="0">
                  <c:v>sc-1</c:v>
                </c:pt>
                <c:pt idx="1">
                  <c:v>sc-2</c:v>
                </c:pt>
                <c:pt idx="2">
                  <c:v>sc-3</c:v>
                </c:pt>
                <c:pt idx="3">
                  <c:v>sc-4</c:v>
                </c:pt>
                <c:pt idx="4">
                  <c:v>sc-5</c:v>
                </c:pt>
                <c:pt idx="5">
                  <c:v>sc-6</c:v>
                </c:pt>
                <c:pt idx="6">
                  <c:v>sc-7</c:v>
                </c:pt>
                <c:pt idx="7">
                  <c:v>sc-8</c:v>
                </c:pt>
                <c:pt idx="8">
                  <c:v>sc-9</c:v>
                </c:pt>
                <c:pt idx="9">
                  <c:v>sc-10</c:v>
                </c:pt>
              </c:strCache>
            </c:strRef>
          </c:cat>
          <c:val>
            <c:numRef>
              <c:f>[0]!Series3</c:f>
              <c:numCache>
                <c:formatCode>#,##0</c:formatCode>
                <c:ptCount val="11"/>
                <c:pt idx="0">
                  <c:v>75799.941622684288</c:v>
                </c:pt>
                <c:pt idx="1">
                  <c:v>74621.116888395714</c:v>
                </c:pt>
                <c:pt idx="2">
                  <c:v>74568.224624203445</c:v>
                </c:pt>
                <c:pt idx="3">
                  <c:v>74562.81393004625</c:v>
                </c:pt>
                <c:pt idx="4">
                  <c:v>76265.435012504167</c:v>
                </c:pt>
                <c:pt idx="5">
                  <c:v>76532.637284563723</c:v>
                </c:pt>
                <c:pt idx="6">
                  <c:v>92886.546640173867</c:v>
                </c:pt>
                <c:pt idx="7">
                  <c:v>92830.982582824043</c:v>
                </c:pt>
                <c:pt idx="8">
                  <c:v>92830.982582824043</c:v>
                </c:pt>
                <c:pt idx="9">
                  <c:v>92662.700064439618</c:v>
                </c:pt>
                <c:pt idx="10">
                  <c:v>94926.139135064775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B1-4039-9784-4428DDC4103B}"/>
            </c:ext>
          </c:extLst>
        </c:ser>
        <c:ser>
          <c:idx val="3"/>
          <c:order val="3"/>
          <c:tx>
            <c:strRef>
              <c:f>Charts!$F$9:$G$9</c:f>
              <c:strCache>
                <c:ptCount val="2"/>
                <c:pt idx="0">
                  <c:v>REFA-Afgifter</c:v>
                </c:pt>
                <c:pt idx="1">
                  <c:v>41.564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Charts!$H$5:$Q$5</c:f>
              <c:strCache>
                <c:ptCount val="10"/>
                <c:pt idx="0">
                  <c:v>sc-1</c:v>
                </c:pt>
                <c:pt idx="1">
                  <c:v>sc-2</c:v>
                </c:pt>
                <c:pt idx="2">
                  <c:v>sc-3</c:v>
                </c:pt>
                <c:pt idx="3">
                  <c:v>sc-4</c:v>
                </c:pt>
                <c:pt idx="4">
                  <c:v>sc-5</c:v>
                </c:pt>
                <c:pt idx="5">
                  <c:v>sc-6</c:v>
                </c:pt>
                <c:pt idx="6">
                  <c:v>sc-7</c:v>
                </c:pt>
                <c:pt idx="7">
                  <c:v>sc-8</c:v>
                </c:pt>
                <c:pt idx="8">
                  <c:v>sc-9</c:v>
                </c:pt>
                <c:pt idx="9">
                  <c:v>sc-10</c:v>
                </c:pt>
              </c:strCache>
            </c:strRef>
          </c:cat>
          <c:val>
            <c:numRef>
              <c:f>[0]!Series4</c:f>
              <c:numCache>
                <c:formatCode>#,##0</c:formatCode>
                <c:ptCount val="11"/>
                <c:pt idx="0">
                  <c:v>41564.133556720641</c:v>
                </c:pt>
                <c:pt idx="1">
                  <c:v>42611.967000826597</c:v>
                </c:pt>
                <c:pt idx="2">
                  <c:v>42455.270635217414</c:v>
                </c:pt>
                <c:pt idx="3">
                  <c:v>42449.859941060211</c:v>
                </c:pt>
                <c:pt idx="4">
                  <c:v>40746.677915686581</c:v>
                </c:pt>
                <c:pt idx="5">
                  <c:v>41094.223425630182</c:v>
                </c:pt>
                <c:pt idx="6">
                  <c:v>42611.967000826597</c:v>
                </c:pt>
                <c:pt idx="7">
                  <c:v>42452.598842059837</c:v>
                </c:pt>
                <c:pt idx="8">
                  <c:v>42452.598842059837</c:v>
                </c:pt>
                <c:pt idx="9">
                  <c:v>41262.905241015644</c:v>
                </c:pt>
                <c:pt idx="10">
                  <c:v>40477.028410194966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B1-4039-9784-4428DDC4103B}"/>
            </c:ext>
          </c:extLst>
        </c:ser>
        <c:ser>
          <c:idx val="4"/>
          <c:order val="4"/>
          <c:tx>
            <c:strRef>
              <c:f>Charts!$F$10</c:f>
              <c:strCache>
                <c:ptCount val="1"/>
                <c:pt idx="0">
                  <c:v>REFA-CO2-Kvoteomk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Charts!$H$5:$Q$5</c:f>
              <c:strCache>
                <c:ptCount val="10"/>
                <c:pt idx="0">
                  <c:v>sc-1</c:v>
                </c:pt>
                <c:pt idx="1">
                  <c:v>sc-2</c:v>
                </c:pt>
                <c:pt idx="2">
                  <c:v>sc-3</c:v>
                </c:pt>
                <c:pt idx="3">
                  <c:v>sc-4</c:v>
                </c:pt>
                <c:pt idx="4">
                  <c:v>sc-5</c:v>
                </c:pt>
                <c:pt idx="5">
                  <c:v>sc-6</c:v>
                </c:pt>
                <c:pt idx="6">
                  <c:v>sc-7</c:v>
                </c:pt>
                <c:pt idx="7">
                  <c:v>sc-8</c:v>
                </c:pt>
                <c:pt idx="8">
                  <c:v>sc-9</c:v>
                </c:pt>
                <c:pt idx="9">
                  <c:v>sc-10</c:v>
                </c:pt>
              </c:strCache>
            </c:strRef>
          </c:cat>
          <c:val>
            <c:numRef>
              <c:f>[0]!Series5</c:f>
              <c:numCache>
                <c:formatCode>#,##0</c:formatCode>
                <c:ptCount val="11"/>
                <c:pt idx="0">
                  <c:v>14968.519681582196</c:v>
                </c:pt>
                <c:pt idx="1">
                  <c:v>14612.343801422527</c:v>
                </c:pt>
                <c:pt idx="2">
                  <c:v>14612.343801422525</c:v>
                </c:pt>
                <c:pt idx="3">
                  <c:v>14612.343801422525</c:v>
                </c:pt>
                <c:pt idx="4">
                  <c:v>14612.343801422527</c:v>
                </c:pt>
                <c:pt idx="5">
                  <c:v>14612.343801422525</c:v>
                </c:pt>
                <c:pt idx="6">
                  <c:v>32877.773553200677</c:v>
                </c:pt>
                <c:pt idx="7">
                  <c:v>32877.773553200677</c:v>
                </c:pt>
                <c:pt idx="8">
                  <c:v>32877.773553200677</c:v>
                </c:pt>
                <c:pt idx="9">
                  <c:v>32877.773553200677</c:v>
                </c:pt>
                <c:pt idx="10">
                  <c:v>32877.773553200677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B1-4039-9784-4428DDC41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0900856"/>
        <c:axId val="1120898232"/>
      </c:barChart>
      <c:catAx>
        <c:axId val="1120900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20898232"/>
        <c:crosses val="autoZero"/>
        <c:auto val="1"/>
        <c:lblAlgn val="ctr"/>
        <c:lblOffset val="100"/>
        <c:noMultiLvlLbl val="0"/>
      </c:catAx>
      <c:valAx>
        <c:axId val="1120898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20900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16809</xdr:colOff>
      <xdr:row>11</xdr:row>
      <xdr:rowOff>1119</xdr:rowOff>
    </xdr:from>
    <xdr:to>
      <xdr:col>15</xdr:col>
      <xdr:colOff>201706</xdr:colOff>
      <xdr:row>35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B1A7B5-EF54-466B-9454-386BBC3C14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74745-1B14-41C3-9396-BB0150FBA63C}">
  <sheetPr>
    <tabColor theme="4"/>
  </sheetPr>
  <dimension ref="A1:AB212"/>
  <sheetViews>
    <sheetView zoomScale="85" zoomScaleNormal="85" workbookViewId="0">
      <pane xSplit="3" ySplit="3" topLeftCell="D4" activePane="bottomRight" state="frozen"/>
      <selection pane="topRight" activeCell="D1" sqref="D1"/>
      <selection pane="bottomLeft" activeCell="A6" sqref="A6"/>
      <selection pane="bottomRight" activeCell="D22" sqref="D22"/>
    </sheetView>
  </sheetViews>
  <sheetFormatPr defaultRowHeight="15" outlineLevelRow="1" outlineLevelCol="1" x14ac:dyDescent="0.25"/>
  <cols>
    <col min="1" max="1" width="41.28515625" bestFit="1" customWidth="1"/>
    <col min="2" max="2" width="13.85546875" style="5" bestFit="1" customWidth="1"/>
    <col min="3" max="3" width="34.140625" bestFit="1" customWidth="1"/>
    <col min="4" max="27" width="10.7109375" customWidth="1" outlineLevel="1"/>
    <col min="28" max="29" width="9.7109375" customWidth="1"/>
  </cols>
  <sheetData>
    <row r="1" spans="1:27" x14ac:dyDescent="0.25">
      <c r="A1" s="1" t="s">
        <v>0</v>
      </c>
      <c r="B1" s="47">
        <v>0</v>
      </c>
      <c r="C1" s="63">
        <v>44587.940363900459</v>
      </c>
      <c r="D1" s="40"/>
      <c r="E1" s="41"/>
      <c r="F1" s="41"/>
      <c r="G1" s="42"/>
      <c r="H1" s="42"/>
      <c r="I1" s="42"/>
      <c r="J1" s="46" t="str">
        <f>IF($B$1&gt;0,"Virtuelle ressourcer er blevet brugt","")</f>
        <v/>
      </c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</row>
    <row r="2" spans="1:27" s="37" customFormat="1" x14ac:dyDescent="0.25">
      <c r="A2" s="2" t="s">
        <v>1</v>
      </c>
      <c r="B2" s="3">
        <v>44197</v>
      </c>
      <c r="C2" s="4">
        <v>44531</v>
      </c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</row>
    <row r="3" spans="1:27" x14ac:dyDescent="0.25">
      <c r="D3" s="38"/>
    </row>
    <row r="4" spans="1:27" s="21" customFormat="1" ht="18.75" x14ac:dyDescent="0.3">
      <c r="A4" s="34"/>
      <c r="B4" s="34" t="s">
        <v>3</v>
      </c>
      <c r="C4" s="34" t="s">
        <v>104</v>
      </c>
      <c r="D4" s="33" t="s">
        <v>77</v>
      </c>
      <c r="E4" s="33" t="s">
        <v>78</v>
      </c>
      <c r="F4" s="33" t="s">
        <v>95</v>
      </c>
      <c r="G4" s="33" t="s">
        <v>96</v>
      </c>
      <c r="H4" s="33" t="s">
        <v>97</v>
      </c>
      <c r="I4" s="33" t="s">
        <v>98</v>
      </c>
      <c r="J4" s="33" t="s">
        <v>99</v>
      </c>
      <c r="K4" s="33" t="s">
        <v>100</v>
      </c>
      <c r="L4" s="33" t="s">
        <v>101</v>
      </c>
      <c r="M4" s="33" t="s">
        <v>102</v>
      </c>
      <c r="N4" s="33" t="s">
        <v>103</v>
      </c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</row>
    <row r="5" spans="1:27" s="10" customFormat="1" x14ac:dyDescent="0.25">
      <c r="A5" s="77" t="str">
        <f>IF(B5="Enhed",C5,IF(NOT(ISBLANK(C5)),$C$4&amp;"."&amp;C5,""))</f>
        <v>Prognose.Elpris</v>
      </c>
      <c r="B5" s="50" t="s">
        <v>93</v>
      </c>
      <c r="C5" s="58" t="s">
        <v>90</v>
      </c>
      <c r="E5" s="10">
        <v>200</v>
      </c>
      <c r="F5" s="10">
        <v>400</v>
      </c>
      <c r="G5" s="10">
        <v>600</v>
      </c>
      <c r="H5" s="10">
        <v>800</v>
      </c>
      <c r="I5" s="10">
        <v>1000</v>
      </c>
      <c r="J5" s="10">
        <v>200</v>
      </c>
      <c r="K5" s="10">
        <v>400</v>
      </c>
      <c r="L5" s="10">
        <v>600</v>
      </c>
      <c r="M5" s="10">
        <v>800</v>
      </c>
      <c r="N5" s="10">
        <v>1000</v>
      </c>
    </row>
    <row r="6" spans="1:27" s="10" customFormat="1" x14ac:dyDescent="0.25">
      <c r="A6" s="77" t="str">
        <f t="shared" ref="A6:A15" si="0">IF(B6="Enhed",C6,IF(NOT(ISBLANK(C6)),$C$4&amp;"."&amp;C6,""))</f>
        <v>Prognose.ETS</v>
      </c>
      <c r="B6" s="50" t="s">
        <v>94</v>
      </c>
      <c r="C6" s="58" t="s">
        <v>91</v>
      </c>
      <c r="E6" s="10">
        <v>400</v>
      </c>
      <c r="F6" s="10">
        <v>400</v>
      </c>
      <c r="G6" s="10">
        <v>400</v>
      </c>
      <c r="H6" s="10">
        <v>400</v>
      </c>
      <c r="I6" s="10">
        <v>400</v>
      </c>
      <c r="J6" s="10">
        <v>900</v>
      </c>
      <c r="K6" s="10">
        <v>900</v>
      </c>
      <c r="L6" s="10">
        <v>900</v>
      </c>
      <c r="M6" s="10">
        <v>900</v>
      </c>
      <c r="N6" s="10">
        <v>900</v>
      </c>
    </row>
    <row r="7" spans="1:27" x14ac:dyDescent="0.25">
      <c r="A7" s="77" t="str">
        <f t="shared" si="0"/>
        <v/>
      </c>
      <c r="C7" s="5"/>
      <c r="D7" s="38"/>
    </row>
    <row r="8" spans="1:27" hidden="1" outlineLevel="1" x14ac:dyDescent="0.25">
      <c r="A8" s="78" t="str">
        <f t="shared" si="0"/>
        <v/>
      </c>
      <c r="C8" s="5"/>
      <c r="D8" s="38"/>
    </row>
    <row r="9" spans="1:27" hidden="1" outlineLevel="1" x14ac:dyDescent="0.25">
      <c r="A9" s="78" t="str">
        <f t="shared" si="0"/>
        <v/>
      </c>
      <c r="C9" s="5"/>
      <c r="D9" s="38"/>
    </row>
    <row r="10" spans="1:27" hidden="1" outlineLevel="1" x14ac:dyDescent="0.25">
      <c r="A10" s="78" t="str">
        <f t="shared" si="0"/>
        <v/>
      </c>
      <c r="C10" s="5"/>
      <c r="D10" s="38"/>
    </row>
    <row r="11" spans="1:27" hidden="1" outlineLevel="1" x14ac:dyDescent="0.25">
      <c r="A11" s="78" t="str">
        <f t="shared" si="0"/>
        <v/>
      </c>
      <c r="C11" s="5"/>
      <c r="D11" s="38"/>
    </row>
    <row r="12" spans="1:27" hidden="1" outlineLevel="1" x14ac:dyDescent="0.25">
      <c r="A12" s="78" t="str">
        <f t="shared" si="0"/>
        <v/>
      </c>
      <c r="C12" s="5"/>
      <c r="D12" s="38"/>
    </row>
    <row r="13" spans="1:27" hidden="1" outlineLevel="1" x14ac:dyDescent="0.25">
      <c r="A13" s="78" t="str">
        <f t="shared" si="0"/>
        <v/>
      </c>
      <c r="C13" s="5"/>
      <c r="D13" s="38"/>
    </row>
    <row r="14" spans="1:27" s="21" customFormat="1" ht="18.75" collapsed="1" x14ac:dyDescent="0.3">
      <c r="A14" s="79"/>
      <c r="B14" s="34" t="s">
        <v>3</v>
      </c>
      <c r="C14" s="34" t="s">
        <v>92</v>
      </c>
      <c r="D14" s="33" t="s">
        <v>77</v>
      </c>
      <c r="E14" s="33" t="s">
        <v>78</v>
      </c>
      <c r="F14" s="33" t="s">
        <v>95</v>
      </c>
      <c r="G14" s="33" t="s">
        <v>96</v>
      </c>
      <c r="H14" s="33" t="s">
        <v>97</v>
      </c>
      <c r="I14" s="33" t="s">
        <v>98</v>
      </c>
      <c r="J14" s="33" t="s">
        <v>99</v>
      </c>
      <c r="K14" s="33" t="s">
        <v>100</v>
      </c>
      <c r="L14" s="33" t="s">
        <v>101</v>
      </c>
      <c r="M14" s="33" t="s">
        <v>102</v>
      </c>
      <c r="N14" s="33" t="s">
        <v>103</v>
      </c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</row>
    <row r="15" spans="1:27" outlineLevel="1" x14ac:dyDescent="0.25">
      <c r="A15" s="80"/>
      <c r="B15" s="13"/>
      <c r="C15" s="9" t="s">
        <v>0</v>
      </c>
      <c r="D15" s="39">
        <v>0.93969091435428709</v>
      </c>
      <c r="E15" s="39">
        <v>0.93974077546590706</v>
      </c>
      <c r="F15" s="39">
        <v>0.93979854166536825</v>
      </c>
      <c r="G15" s="39">
        <v>0.93985741898359265</v>
      </c>
      <c r="H15" s="39">
        <v>0.93994084490987007</v>
      </c>
      <c r="I15" s="39">
        <v>0.94001589120307472</v>
      </c>
      <c r="J15" s="39">
        <v>0.94006834490573965</v>
      </c>
      <c r="K15" s="39">
        <v>0.94012451388698537</v>
      </c>
      <c r="L15" s="39">
        <v>0.94017910879483679</v>
      </c>
      <c r="M15" s="39">
        <v>0.94025315972248791</v>
      </c>
      <c r="N15" s="39">
        <v>0.94032759259425802</v>
      </c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</row>
    <row r="16" spans="1:27" outlineLevel="1" x14ac:dyDescent="0.25">
      <c r="A16" s="80" t="str">
        <f t="shared" ref="A16:A58" si="1">IF(B16="Enhed",C16,IF(NOT(ISBLANK(C16)),$C$14&amp;"."&amp;C16,""))</f>
        <v>Nøgletal.FJV-behov</v>
      </c>
      <c r="B16" s="8" t="s">
        <v>4</v>
      </c>
      <c r="C16" s="9" t="s">
        <v>5</v>
      </c>
      <c r="D16" s="7">
        <v>240000</v>
      </c>
      <c r="E16" s="7">
        <v>240000</v>
      </c>
      <c r="F16" s="7">
        <v>240000</v>
      </c>
      <c r="G16" s="7">
        <v>240000</v>
      </c>
      <c r="H16" s="7">
        <v>240000</v>
      </c>
      <c r="I16" s="7">
        <v>240000</v>
      </c>
      <c r="J16" s="7">
        <v>240000</v>
      </c>
      <c r="K16" s="7">
        <v>240000</v>
      </c>
      <c r="L16" s="7">
        <v>240000</v>
      </c>
      <c r="M16" s="7">
        <v>240000</v>
      </c>
      <c r="N16" s="7">
        <v>240000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1:27" outlineLevel="1" x14ac:dyDescent="0.25">
      <c r="A17" s="80" t="str">
        <f t="shared" si="1"/>
        <v>Nøgletal.Total-NPV</v>
      </c>
      <c r="B17" s="13" t="s">
        <v>2</v>
      </c>
      <c r="C17" s="9" t="s">
        <v>83</v>
      </c>
      <c r="D17" s="12">
        <v>-4858251.7794083711</v>
      </c>
      <c r="E17" s="12">
        <v>-22714209.746126417</v>
      </c>
      <c r="F17" s="12">
        <v>-16030936.410830352</v>
      </c>
      <c r="G17" s="12">
        <v>-9454518.9208277296</v>
      </c>
      <c r="H17" s="12">
        <v>-1197770.7638168479</v>
      </c>
      <c r="I17" s="12">
        <v>6616237.3023519032</v>
      </c>
      <c r="J17" s="12">
        <v>-40979639.497904576</v>
      </c>
      <c r="K17" s="12">
        <v>-34277921.460395686</v>
      </c>
      <c r="L17" s="12">
        <v>-27706403.107524283</v>
      </c>
      <c r="M17" s="12">
        <v>-19164846.996752419</v>
      </c>
      <c r="N17" s="12">
        <v>-11713009.74127052</v>
      </c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</row>
    <row r="18" spans="1:27" outlineLevel="1" x14ac:dyDescent="0.25">
      <c r="A18" s="64" t="str">
        <f t="shared" si="1"/>
        <v>Nøgletal.Total-Var-Varmeproduktions-Omk</v>
      </c>
      <c r="B18" s="8" t="s">
        <v>6</v>
      </c>
      <c r="C18" s="9" t="s">
        <v>84</v>
      </c>
      <c r="D18" s="11">
        <v>162.39519280497231</v>
      </c>
      <c r="E18" s="11">
        <v>1036.4717515026327</v>
      </c>
      <c r="F18" s="11">
        <v>720.65515011272669</v>
      </c>
      <c r="G18" s="11">
        <v>414.6915504949506</v>
      </c>
      <c r="H18" s="11">
        <v>-16.096261633391251</v>
      </c>
      <c r="I18" s="11">
        <v>-464.65822484363338</v>
      </c>
      <c r="J18" s="11">
        <v>2123.055182535983</v>
      </c>
      <c r="K18" s="11">
        <v>1808.9069266084273</v>
      </c>
      <c r="L18" s="11">
        <v>1503.3713350877181</v>
      </c>
      <c r="M18" s="11">
        <v>1022.8210432939471</v>
      </c>
      <c r="N18" s="11">
        <v>578.52441326423877</v>
      </c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</row>
    <row r="19" spans="1:27" outlineLevel="1" x14ac:dyDescent="0.25">
      <c r="A19" s="67" t="str">
        <f t="shared" si="1"/>
        <v>Nøgletal.REFA-NPV</v>
      </c>
      <c r="B19" s="13" t="s">
        <v>2</v>
      </c>
      <c r="C19" s="14" t="s">
        <v>85</v>
      </c>
      <c r="D19" s="12">
        <v>-3043851.7794083711</v>
      </c>
      <c r="E19" s="12">
        <v>-20899809.746126417</v>
      </c>
      <c r="F19" s="12">
        <v>-14216536.410830352</v>
      </c>
      <c r="G19" s="12">
        <v>-7640118.9208277296</v>
      </c>
      <c r="H19" s="12">
        <v>616629.23618315207</v>
      </c>
      <c r="I19" s="12">
        <v>8430637.3023519032</v>
      </c>
      <c r="J19" s="12">
        <v>-39165239.497904576</v>
      </c>
      <c r="K19" s="12">
        <v>-32463521.460395686</v>
      </c>
      <c r="L19" s="12">
        <v>-25892003.107524283</v>
      </c>
      <c r="M19" s="12">
        <v>-17350446.996752419</v>
      </c>
      <c r="N19" s="12">
        <v>-9898609.7412705198</v>
      </c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</row>
    <row r="20" spans="1:27" outlineLevel="1" x14ac:dyDescent="0.25">
      <c r="A20" s="64" t="str">
        <f t="shared" si="1"/>
        <v>Nøgletal.REFA-Var-Varmeproduktions-Omk</v>
      </c>
      <c r="B20" s="8" t="s">
        <v>6</v>
      </c>
      <c r="C20" s="14" t="s">
        <v>86</v>
      </c>
      <c r="D20" s="11">
        <v>96.610102272691705</v>
      </c>
      <c r="E20" s="11">
        <v>1010.2660252928989</v>
      </c>
      <c r="F20" s="11">
        <v>685.54228815186104</v>
      </c>
      <c r="G20" s="11">
        <v>370.67155278295331</v>
      </c>
      <c r="H20" s="11">
        <v>-69.023395096520204</v>
      </c>
      <c r="I20" s="11">
        <v>-526.49249405789396</v>
      </c>
      <c r="J20" s="11">
        <v>2116.2973131967974</v>
      </c>
      <c r="K20" s="11">
        <v>1793.2419215181101</v>
      </c>
      <c r="L20" s="11">
        <v>1478.7991942462693</v>
      </c>
      <c r="M20" s="11">
        <v>989.34176670136628</v>
      </c>
      <c r="N20" s="11">
        <v>536.13800092052645</v>
      </c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</row>
    <row r="21" spans="1:27" s="62" customFormat="1" outlineLevel="1" x14ac:dyDescent="0.25">
      <c r="A21" s="68" t="str">
        <f t="shared" si="1"/>
        <v>Nøgletal.REFA-Daekningsbidrag</v>
      </c>
      <c r="B21" s="60" t="s">
        <v>2</v>
      </c>
      <c r="C21" s="61" t="s">
        <v>7</v>
      </c>
      <c r="D21" s="59">
        <v>-2808848.8781447606</v>
      </c>
      <c r="E21" s="59">
        <v>-20659761.523306374</v>
      </c>
      <c r="F21" s="59">
        <v>-13981533.509566754</v>
      </c>
      <c r="G21" s="59">
        <v>-7405116.0195641201</v>
      </c>
      <c r="H21" s="59">
        <v>858690.96097620344</v>
      </c>
      <c r="I21" s="59">
        <v>8676514.6425929721</v>
      </c>
      <c r="J21" s="59">
        <v>-38925191.275084525</v>
      </c>
      <c r="K21" s="59">
        <v>-32228518.559132069</v>
      </c>
      <c r="L21" s="59">
        <v>-25657000.206260666</v>
      </c>
      <c r="M21" s="59">
        <v>-17087310.241928954</v>
      </c>
      <c r="N21" s="59">
        <v>-9680866.2545892671</v>
      </c>
      <c r="O21" s="59"/>
      <c r="P21" s="59"/>
      <c r="Q21" s="59"/>
      <c r="R21" s="59"/>
      <c r="S21" s="59"/>
      <c r="T21" s="59"/>
      <c r="U21" s="59"/>
      <c r="V21" s="59"/>
      <c r="W21" s="59"/>
      <c r="X21" s="59"/>
      <c r="Y21" s="59"/>
      <c r="Z21" s="59"/>
      <c r="AA21" s="59"/>
    </row>
    <row r="22" spans="1:27" outlineLevel="1" x14ac:dyDescent="0.25">
      <c r="A22" s="69" t="str">
        <f t="shared" si="1"/>
        <v>Nøgletal.REFA-Total-Var-Indkomst</v>
      </c>
      <c r="B22" s="13" t="s">
        <v>2</v>
      </c>
      <c r="C22" s="15" t="s">
        <v>8</v>
      </c>
      <c r="D22" s="12">
        <v>72991092.744539514</v>
      </c>
      <c r="E22" s="12">
        <v>53961355.365089327</v>
      </c>
      <c r="F22" s="12">
        <v>60586691.114636697</v>
      </c>
      <c r="G22" s="12">
        <v>67157697.910482109</v>
      </c>
      <c r="H22" s="12">
        <v>77124125.973480344</v>
      </c>
      <c r="I22" s="12">
        <v>85209151.927156687</v>
      </c>
      <c r="J22" s="12">
        <v>53961355.365089327</v>
      </c>
      <c r="K22" s="12">
        <v>60602464.02369196</v>
      </c>
      <c r="L22" s="12">
        <v>67173982.37656337</v>
      </c>
      <c r="M22" s="12">
        <v>75575389.82251066</v>
      </c>
      <c r="N22" s="12">
        <v>85245272.880475506</v>
      </c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</row>
    <row r="23" spans="1:27" outlineLevel="1" x14ac:dyDescent="0.25">
      <c r="A23" s="70" t="str">
        <f t="shared" si="1"/>
        <v>Nøgletal.REFA-Affald-Modtagelse</v>
      </c>
      <c r="B23" s="13" t="s">
        <v>2</v>
      </c>
      <c r="C23" s="16" t="s">
        <v>9</v>
      </c>
      <c r="D23" s="12">
        <v>46019528.788058229</v>
      </c>
      <c r="E23" s="12">
        <v>46019528.788058214</v>
      </c>
      <c r="F23" s="12">
        <v>46019528.788058221</v>
      </c>
      <c r="G23" s="12">
        <v>46019528.788058221</v>
      </c>
      <c r="H23" s="12">
        <v>46019528.788058221</v>
      </c>
      <c r="I23" s="12">
        <v>46019528.788058221</v>
      </c>
      <c r="J23" s="12">
        <v>46019528.788058214</v>
      </c>
      <c r="K23" s="12">
        <v>46019528.788058214</v>
      </c>
      <c r="L23" s="12">
        <v>46019528.788058214</v>
      </c>
      <c r="M23" s="12">
        <v>46019528.788058221</v>
      </c>
      <c r="N23" s="12">
        <v>46019528.788058221</v>
      </c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</row>
    <row r="24" spans="1:27" outlineLevel="1" x14ac:dyDescent="0.25">
      <c r="A24" s="70" t="str">
        <f t="shared" si="1"/>
        <v>Nøgletal.REFA-RGK-Rabat</v>
      </c>
      <c r="B24" s="13" t="s">
        <v>2</v>
      </c>
      <c r="C24" s="16" t="s">
        <v>10</v>
      </c>
      <c r="D24" s="12">
        <v>1470807.6268449356</v>
      </c>
      <c r="E24" s="12">
        <v>1571485.751426297</v>
      </c>
      <c r="F24" s="12">
        <v>1555555.987893081</v>
      </c>
      <c r="G24" s="12">
        <v>1555044.4308671064</v>
      </c>
      <c r="H24" s="12">
        <v>1456753.1226100828</v>
      </c>
      <c r="I24" s="12">
        <v>1318028.8210243783</v>
      </c>
      <c r="J24" s="12">
        <v>1571485.751426297</v>
      </c>
      <c r="K24" s="12">
        <v>1571328.896948341</v>
      </c>
      <c r="L24" s="12">
        <v>1571328.896948341</v>
      </c>
      <c r="M24" s="12">
        <v>1490295.2620568352</v>
      </c>
      <c r="N24" s="12">
        <v>1354149.7743431956</v>
      </c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</row>
    <row r="25" spans="1:27" outlineLevel="1" x14ac:dyDescent="0.25">
      <c r="A25" s="70" t="str">
        <f t="shared" si="1"/>
        <v>Nøgletal.REFA-Elsalg</v>
      </c>
      <c r="B25" s="13" t="s">
        <v>2</v>
      </c>
      <c r="C25" s="16" t="s">
        <v>11</v>
      </c>
      <c r="D25" s="12">
        <v>25500756.329636361</v>
      </c>
      <c r="E25" s="12">
        <v>6370340.8256048197</v>
      </c>
      <c r="F25" s="12">
        <v>13011606.33868539</v>
      </c>
      <c r="G25" s="12">
        <v>19583124.691556796</v>
      </c>
      <c r="H25" s="12">
        <v>29647844.06281206</v>
      </c>
      <c r="I25" s="12">
        <v>37871594.318074092</v>
      </c>
      <c r="J25" s="12">
        <v>6370340.8256048197</v>
      </c>
      <c r="K25" s="12">
        <v>13011606.33868539</v>
      </c>
      <c r="L25" s="12">
        <v>19583124.691556796</v>
      </c>
      <c r="M25" s="12">
        <v>28065565.772395611</v>
      </c>
      <c r="N25" s="12">
        <v>37871594.318074092</v>
      </c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</row>
    <row r="26" spans="1:27" outlineLevel="1" x14ac:dyDescent="0.25">
      <c r="A26" s="70" t="str">
        <f t="shared" si="1"/>
        <v>Nøgletal.REFA-Varmesalg</v>
      </c>
      <c r="B26" s="13" t="s">
        <v>2</v>
      </c>
      <c r="C26" s="16" t="s">
        <v>87</v>
      </c>
      <c r="D26" s="12">
        <v>1.1999999999999997E-13</v>
      </c>
      <c r="E26" s="12">
        <v>1.1999999999999997E-13</v>
      </c>
      <c r="F26" s="12">
        <v>1.1999999999999997E-13</v>
      </c>
      <c r="G26" s="12">
        <v>1.1999999999999997E-13</v>
      </c>
      <c r="H26" s="12">
        <v>1.1999999999999997E-13</v>
      </c>
      <c r="I26" s="12">
        <v>1.1999999999999997E-13</v>
      </c>
      <c r="J26" s="12">
        <v>1.1999999999999997E-13</v>
      </c>
      <c r="K26" s="12">
        <v>1.1999999999999997E-13</v>
      </c>
      <c r="L26" s="12">
        <v>1.1999999999999997E-13</v>
      </c>
      <c r="M26" s="12">
        <v>1.1999999999999997E-13</v>
      </c>
      <c r="N26" s="12">
        <v>1.1999999999999997E-13</v>
      </c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</row>
    <row r="27" spans="1:27" outlineLevel="1" x14ac:dyDescent="0.25">
      <c r="A27" s="69" t="str">
        <f t="shared" si="1"/>
        <v>Nøgletal.REFA-Total-Var-Omkostning</v>
      </c>
      <c r="B27" s="13" t="s">
        <v>2</v>
      </c>
      <c r="C27" s="15" t="s">
        <v>12</v>
      </c>
      <c r="D27" s="12">
        <v>75799941.622684285</v>
      </c>
      <c r="E27" s="12">
        <v>74621116.888395712</v>
      </c>
      <c r="F27" s="12">
        <v>74568224.624203444</v>
      </c>
      <c r="G27" s="12">
        <v>74562813.930046245</v>
      </c>
      <c r="H27" s="12">
        <v>76265435.01250416</v>
      </c>
      <c r="I27" s="12">
        <v>76532637.28456372</v>
      </c>
      <c r="J27" s="12">
        <v>92886546.640173867</v>
      </c>
      <c r="K27" s="12">
        <v>92830982.582824036</v>
      </c>
      <c r="L27" s="12">
        <v>92830982.582824036</v>
      </c>
      <c r="M27" s="12">
        <v>92662700.064439625</v>
      </c>
      <c r="N27" s="12">
        <v>94926139.135064781</v>
      </c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</row>
    <row r="28" spans="1:27" outlineLevel="1" x14ac:dyDescent="0.25">
      <c r="A28" s="70" t="str">
        <f t="shared" si="1"/>
        <v>Nøgletal.REFA-AnlaegsVarOmk</v>
      </c>
      <c r="B28" s="13" t="s">
        <v>2</v>
      </c>
      <c r="C28" s="16" t="s">
        <v>13</v>
      </c>
      <c r="D28" s="12">
        <v>11110871.490211375</v>
      </c>
      <c r="E28" s="12">
        <v>10667856.25164539</v>
      </c>
      <c r="F28" s="12">
        <v>10690355.925221331</v>
      </c>
      <c r="G28" s="12">
        <v>10690355.925221331</v>
      </c>
      <c r="H28" s="12">
        <v>11563887.154333066</v>
      </c>
      <c r="I28" s="12">
        <v>11660549.976468008</v>
      </c>
      <c r="J28" s="12">
        <v>10667856.25164539</v>
      </c>
      <c r="K28" s="12">
        <v>10690355.925221331</v>
      </c>
      <c r="L28" s="12">
        <v>10690355.925221331</v>
      </c>
      <c r="M28" s="12">
        <v>11184019.509466957</v>
      </c>
      <c r="N28" s="12">
        <v>11587401.957212426</v>
      </c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</row>
    <row r="29" spans="1:27" outlineLevel="1" x14ac:dyDescent="0.25">
      <c r="A29" s="70" t="str">
        <f t="shared" si="1"/>
        <v>Nøgletal.REFA-BraendselOmk</v>
      </c>
      <c r="B29" s="13" t="s">
        <v>2</v>
      </c>
      <c r="C29" s="16" t="s">
        <v>14</v>
      </c>
      <c r="D29" s="12">
        <v>8156416.8941700533</v>
      </c>
      <c r="E29" s="12">
        <v>6728949.8345012013</v>
      </c>
      <c r="F29" s="12">
        <v>6810254.2623421717</v>
      </c>
      <c r="G29" s="12">
        <v>6810254.2623421736</v>
      </c>
      <c r="H29" s="12">
        <v>9342526.1410619747</v>
      </c>
      <c r="I29" s="12">
        <v>9165520.081042992</v>
      </c>
      <c r="J29" s="12">
        <v>6728949.8345012013</v>
      </c>
      <c r="K29" s="12">
        <v>6810254.2623421727</v>
      </c>
      <c r="L29" s="12">
        <v>6810254.2623421727</v>
      </c>
      <c r="M29" s="12">
        <v>7338001.7607563408</v>
      </c>
      <c r="N29" s="12">
        <v>9983935.2144567035</v>
      </c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</row>
    <row r="30" spans="1:27" outlineLevel="1" x14ac:dyDescent="0.25">
      <c r="A30" s="70" t="str">
        <f t="shared" si="1"/>
        <v>Nøgletal.REFA-Afgifter</v>
      </c>
      <c r="B30" s="13" t="s">
        <v>2</v>
      </c>
      <c r="C30" s="16" t="s">
        <v>15</v>
      </c>
      <c r="D30" s="12">
        <v>41564133.556720644</v>
      </c>
      <c r="E30" s="12">
        <v>42611967.000826597</v>
      </c>
      <c r="F30" s="12">
        <v>42455270.635217413</v>
      </c>
      <c r="G30" s="12">
        <v>42449859.941060208</v>
      </c>
      <c r="H30" s="12">
        <v>40746677.915686585</v>
      </c>
      <c r="I30" s="12">
        <v>41094223.425630182</v>
      </c>
      <c r="J30" s="12">
        <v>42611967.000826597</v>
      </c>
      <c r="K30" s="12">
        <v>42452598.842059836</v>
      </c>
      <c r="L30" s="12">
        <v>42452598.842059836</v>
      </c>
      <c r="M30" s="12">
        <v>41262905.241015643</v>
      </c>
      <c r="N30" s="12">
        <v>40477028.410194963</v>
      </c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</row>
    <row r="31" spans="1:27" outlineLevel="1" x14ac:dyDescent="0.25">
      <c r="A31" s="70" t="str">
        <f t="shared" si="1"/>
        <v>Nøgletal.REFA-CO2-Kvoteomk</v>
      </c>
      <c r="B31" s="13" t="s">
        <v>2</v>
      </c>
      <c r="C31" s="16" t="s">
        <v>16</v>
      </c>
      <c r="D31" s="12">
        <v>14968519.681582196</v>
      </c>
      <c r="E31" s="12">
        <v>14612343.801422527</v>
      </c>
      <c r="F31" s="12">
        <v>14612343.801422525</v>
      </c>
      <c r="G31" s="12">
        <v>14612343.801422525</v>
      </c>
      <c r="H31" s="12">
        <v>14612343.801422527</v>
      </c>
      <c r="I31" s="12">
        <v>14612343.801422525</v>
      </c>
      <c r="J31" s="12">
        <v>32877773.553200681</v>
      </c>
      <c r="K31" s="12">
        <v>32877773.553200681</v>
      </c>
      <c r="L31" s="12">
        <v>32877773.553200681</v>
      </c>
      <c r="M31" s="12">
        <v>32877773.553200681</v>
      </c>
      <c r="N31" s="12">
        <v>32877773.553200681</v>
      </c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</row>
    <row r="32" spans="1:27" outlineLevel="1" x14ac:dyDescent="0.25">
      <c r="A32" s="70" t="str">
        <f t="shared" si="1"/>
        <v>Nøgletal.REFA-Lageromkostning</v>
      </c>
      <c r="B32" s="13" t="s">
        <v>2</v>
      </c>
      <c r="C32" s="16" t="s">
        <v>17</v>
      </c>
      <c r="D32" s="12">
        <v>1.1999999999999997E-13</v>
      </c>
      <c r="E32" s="12">
        <v>1.1999999999999997E-13</v>
      </c>
      <c r="F32" s="12">
        <v>1.1999999999999997E-13</v>
      </c>
      <c r="G32" s="12">
        <v>1.1999999999999997E-13</v>
      </c>
      <c r="H32" s="12">
        <v>1.1999999999999997E-13</v>
      </c>
      <c r="I32" s="12">
        <v>1.1999999999999997E-13</v>
      </c>
      <c r="J32" s="12">
        <v>1.1999999999999997E-13</v>
      </c>
      <c r="K32" s="12">
        <v>1.1999999999999997E-13</v>
      </c>
      <c r="L32" s="12">
        <v>1.1999999999999997E-13</v>
      </c>
      <c r="M32" s="12">
        <v>1.1999999999999997E-13</v>
      </c>
      <c r="N32" s="12">
        <v>1.1999999999999997E-13</v>
      </c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</row>
    <row r="33" spans="1:27" outlineLevel="1" x14ac:dyDescent="0.25">
      <c r="A33" s="71" t="str">
        <f t="shared" si="1"/>
        <v>Nøgletal.REFA-CO2-Emission-Afgift</v>
      </c>
      <c r="B33" s="8" t="s">
        <v>18</v>
      </c>
      <c r="C33" s="14" t="s">
        <v>19</v>
      </c>
      <c r="D33" s="17">
        <v>36530.859503556312</v>
      </c>
      <c r="E33" s="17">
        <v>36530.859503556312</v>
      </c>
      <c r="F33" s="17">
        <v>36530.859503556319</v>
      </c>
      <c r="G33" s="17">
        <v>36530.859503556312</v>
      </c>
      <c r="H33" s="17">
        <v>36530.859503556312</v>
      </c>
      <c r="I33" s="17">
        <v>36530.859503556312</v>
      </c>
      <c r="J33" s="17">
        <v>36530.859503556312</v>
      </c>
      <c r="K33" s="17">
        <v>36530.859503556319</v>
      </c>
      <c r="L33" s="17">
        <v>36530.859503556319</v>
      </c>
      <c r="M33" s="17">
        <v>36530.859503556312</v>
      </c>
      <c r="N33" s="17">
        <v>36530.859503556312</v>
      </c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</row>
    <row r="34" spans="1:27" outlineLevel="1" x14ac:dyDescent="0.25">
      <c r="A34" s="71" t="str">
        <f t="shared" si="1"/>
        <v>Nøgletal.REFA-CO2-Emission-Kvote</v>
      </c>
      <c r="B34" s="8" t="s">
        <v>18</v>
      </c>
      <c r="C34" s="14" t="s">
        <v>20</v>
      </c>
      <c r="D34" s="17">
        <v>36530.859503556312</v>
      </c>
      <c r="E34" s="17">
        <v>36530.859503556312</v>
      </c>
      <c r="F34" s="17">
        <v>36530.859503556319</v>
      </c>
      <c r="G34" s="17">
        <v>36530.859503556312</v>
      </c>
      <c r="H34" s="17">
        <v>36530.859503556312</v>
      </c>
      <c r="I34" s="17">
        <v>36530.859503556312</v>
      </c>
      <c r="J34" s="17">
        <v>36530.859503556312</v>
      </c>
      <c r="K34" s="17">
        <v>36530.859503556319</v>
      </c>
      <c r="L34" s="17">
        <v>36530.859503556319</v>
      </c>
      <c r="M34" s="17">
        <v>36530.859503556312</v>
      </c>
      <c r="N34" s="17">
        <v>36530.859503556312</v>
      </c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</row>
    <row r="35" spans="1:27" outlineLevel="1" x14ac:dyDescent="0.25">
      <c r="A35" s="71" t="str">
        <f t="shared" si="1"/>
        <v>Nøgletal.REFA-El-produktion-Brutto</v>
      </c>
      <c r="B35" s="8" t="s">
        <v>21</v>
      </c>
      <c r="C35" s="14" t="s">
        <v>22</v>
      </c>
      <c r="D35" s="17">
        <v>42219.454013338989</v>
      </c>
      <c r="E35" s="17">
        <v>39462.944461702595</v>
      </c>
      <c r="F35" s="17">
        <v>39818.797319912606</v>
      </c>
      <c r="G35" s="17">
        <v>39818.797319912606</v>
      </c>
      <c r="H35" s="17">
        <v>44207.240810344578</v>
      </c>
      <c r="I35" s="17">
        <v>44984.894629927134</v>
      </c>
      <c r="J35" s="17">
        <v>39462.944461702595</v>
      </c>
      <c r="K35" s="17">
        <v>39818.797319912606</v>
      </c>
      <c r="L35" s="17">
        <v>39818.797319912606</v>
      </c>
      <c r="M35" s="17">
        <v>42219.454013338989</v>
      </c>
      <c r="N35" s="17">
        <v>44984.894629927134</v>
      </c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</row>
    <row r="36" spans="1:27" outlineLevel="1" x14ac:dyDescent="0.25">
      <c r="A36" s="71" t="str">
        <f t="shared" si="1"/>
        <v>Nøgletal.REFA-El-produktion-Netto</v>
      </c>
      <c r="B36" s="8" t="s">
        <v>21</v>
      </c>
      <c r="C36" s="14" t="s">
        <v>23</v>
      </c>
      <c r="D36" s="17">
        <v>35258.248457783433</v>
      </c>
      <c r="E36" s="17">
        <v>32501.738906147046</v>
      </c>
      <c r="F36" s="17">
        <v>32857.59176435705</v>
      </c>
      <c r="G36" s="17">
        <v>32857.59176435705</v>
      </c>
      <c r="H36" s="17">
        <v>37246.035254789022</v>
      </c>
      <c r="I36" s="17">
        <v>38023.68907437157</v>
      </c>
      <c r="J36" s="17">
        <v>32501.738906147046</v>
      </c>
      <c r="K36" s="17">
        <v>32857.59176435705</v>
      </c>
      <c r="L36" s="17">
        <v>32857.59176435705</v>
      </c>
      <c r="M36" s="17">
        <v>35258.248457783433</v>
      </c>
      <c r="N36" s="17">
        <v>38023.68907437157</v>
      </c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</row>
    <row r="37" spans="1:27" outlineLevel="1" x14ac:dyDescent="0.25">
      <c r="A37" s="72" t="str">
        <f t="shared" si="1"/>
        <v>Nøgletal.REFA-Total-Affald-Raadighed</v>
      </c>
      <c r="B37" s="8" t="s">
        <v>18</v>
      </c>
      <c r="C37" s="15" t="s">
        <v>24</v>
      </c>
      <c r="D37" s="7">
        <v>658732</v>
      </c>
      <c r="E37" s="7">
        <v>658732</v>
      </c>
      <c r="F37" s="7">
        <v>658732</v>
      </c>
      <c r="G37" s="7">
        <v>658732</v>
      </c>
      <c r="H37" s="7">
        <v>658732</v>
      </c>
      <c r="I37" s="7">
        <v>658732</v>
      </c>
      <c r="J37" s="7">
        <v>658732</v>
      </c>
      <c r="K37" s="7">
        <v>658732</v>
      </c>
      <c r="L37" s="7">
        <v>658732</v>
      </c>
      <c r="M37" s="7">
        <v>658732</v>
      </c>
      <c r="N37" s="7">
        <v>658732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outlineLevel="1" x14ac:dyDescent="0.25">
      <c r="A38" s="71" t="str">
        <f t="shared" si="1"/>
        <v>Nøgletal.REFA-Affald-anvendt</v>
      </c>
      <c r="B38" s="8" t="s">
        <v>18</v>
      </c>
      <c r="C38" s="16" t="s">
        <v>25</v>
      </c>
      <c r="D38" s="7">
        <v>102399.47077665094</v>
      </c>
      <c r="E38" s="7">
        <v>98436.092807520792</v>
      </c>
      <c r="F38" s="7">
        <v>99054.967343538199</v>
      </c>
      <c r="G38" s="7">
        <v>99054.967343538214</v>
      </c>
      <c r="H38" s="7">
        <v>106188.1236370328</v>
      </c>
      <c r="I38" s="7">
        <v>108261.65253502419</v>
      </c>
      <c r="J38" s="7">
        <v>98436.092807520792</v>
      </c>
      <c r="K38" s="7">
        <v>99054.967343538214</v>
      </c>
      <c r="L38" s="7">
        <v>99054.967343538214</v>
      </c>
      <c r="M38" s="7">
        <v>103721.23434797658</v>
      </c>
      <c r="N38" s="7">
        <v>106939.88896369854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outlineLevel="1" x14ac:dyDescent="0.25">
      <c r="A39" s="71" t="str">
        <f t="shared" si="1"/>
        <v>Nøgletal.REFA-Affald-Uudnyttet</v>
      </c>
      <c r="B39" s="8" t="s">
        <v>18</v>
      </c>
      <c r="C39" s="16" t="s">
        <v>26</v>
      </c>
      <c r="D39" s="7">
        <v>295.99965514584073</v>
      </c>
      <c r="E39" s="7">
        <v>295.99965514584085</v>
      </c>
      <c r="F39" s="7">
        <v>295.99965514584085</v>
      </c>
      <c r="G39" s="7">
        <v>295.99965514584085</v>
      </c>
      <c r="H39" s="7">
        <v>295.99965514584073</v>
      </c>
      <c r="I39" s="7">
        <v>295.99965514584085</v>
      </c>
      <c r="J39" s="7">
        <v>295.99965514584073</v>
      </c>
      <c r="K39" s="7">
        <v>295.99965514584073</v>
      </c>
      <c r="L39" s="7">
        <v>295.99965514584073</v>
      </c>
      <c r="M39" s="7">
        <v>295.99965514584073</v>
      </c>
      <c r="N39" s="7">
        <v>295.99965514584073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outlineLevel="1" x14ac:dyDescent="0.25">
      <c r="A40" s="71" t="str">
        <f t="shared" si="1"/>
        <v>Nøgletal.REFA-Affald-Lagret</v>
      </c>
      <c r="B40" s="8" t="s">
        <v>18</v>
      </c>
      <c r="C40" s="16" t="s">
        <v>27</v>
      </c>
      <c r="D40" s="7">
        <v>1.1999999999999997E-13</v>
      </c>
      <c r="E40" s="7">
        <v>1.1999999999999997E-13</v>
      </c>
      <c r="F40" s="7">
        <v>1.1999999999999997E-13</v>
      </c>
      <c r="G40" s="7">
        <v>1.1999999999999997E-13</v>
      </c>
      <c r="H40" s="7">
        <v>1.1999999999999997E-13</v>
      </c>
      <c r="I40" s="7">
        <v>1.1999999999999997E-13</v>
      </c>
      <c r="J40" s="7">
        <v>1.1999999999999997E-13</v>
      </c>
      <c r="K40" s="7">
        <v>1.1999999999999997E-13</v>
      </c>
      <c r="L40" s="7">
        <v>1.1999999999999997E-13</v>
      </c>
      <c r="M40" s="7">
        <v>1.1999999999999997E-13</v>
      </c>
      <c r="N40" s="7">
        <v>1.1999999999999997E-13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outlineLevel="1" x14ac:dyDescent="0.25">
      <c r="A41" s="72" t="str">
        <f t="shared" si="1"/>
        <v>Nøgletal.REFA-Total-Varme-Produktion</v>
      </c>
      <c r="B41" s="8" t="s">
        <v>4</v>
      </c>
      <c r="C41" s="15" t="s">
        <v>28</v>
      </c>
      <c r="D41" s="7">
        <v>252561.0535140569</v>
      </c>
      <c r="E41" s="7">
        <v>245552.46076422284</v>
      </c>
      <c r="F41" s="7">
        <v>245552.46076422284</v>
      </c>
      <c r="G41" s="7">
        <v>245552.46076422284</v>
      </c>
      <c r="H41" s="7">
        <v>259805.4320631439</v>
      </c>
      <c r="I41" s="7">
        <v>260349.81061223094</v>
      </c>
      <c r="J41" s="7">
        <v>245552.46076422284</v>
      </c>
      <c r="K41" s="7">
        <v>245552.46076422284</v>
      </c>
      <c r="L41" s="7">
        <v>245552.46076422284</v>
      </c>
      <c r="M41" s="7">
        <v>252561.05351405687</v>
      </c>
      <c r="N41" s="7">
        <v>260349.81061223094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outlineLevel="1" x14ac:dyDescent="0.25">
      <c r="A42" s="71" t="str">
        <f t="shared" si="1"/>
        <v>Nøgletal.REFA-Leveret-Varme</v>
      </c>
      <c r="B42" s="8" t="s">
        <v>4</v>
      </c>
      <c r="C42" s="16" t="s">
        <v>80</v>
      </c>
      <c r="D42" s="7">
        <v>230400</v>
      </c>
      <c r="E42" s="7">
        <v>230400</v>
      </c>
      <c r="F42" s="7">
        <v>230400</v>
      </c>
      <c r="G42" s="7">
        <v>230400</v>
      </c>
      <c r="H42" s="7">
        <v>230400</v>
      </c>
      <c r="I42" s="7">
        <v>230400</v>
      </c>
      <c r="J42" s="7">
        <v>230400</v>
      </c>
      <c r="K42" s="7">
        <v>230400</v>
      </c>
      <c r="L42" s="7">
        <v>230400</v>
      </c>
      <c r="M42" s="7">
        <v>230400</v>
      </c>
      <c r="N42" s="7">
        <v>230400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1:27" outlineLevel="1" x14ac:dyDescent="0.25">
      <c r="A43" s="71" t="str">
        <f t="shared" si="1"/>
        <v>Nøgletal.REFA-Modtryk-Varme</v>
      </c>
      <c r="B43" s="8" t="s">
        <v>4</v>
      </c>
      <c r="C43" s="16" t="s">
        <v>29</v>
      </c>
      <c r="D43" s="7">
        <v>198077.52076349538</v>
      </c>
      <c r="E43" s="7">
        <v>189772.0420415182</v>
      </c>
      <c r="F43" s="7">
        <v>191068.92801366135</v>
      </c>
      <c r="G43" s="7">
        <v>191068.92801366135</v>
      </c>
      <c r="H43" s="7">
        <v>206216.01695964125</v>
      </c>
      <c r="I43" s="7">
        <v>211155.84077082141</v>
      </c>
      <c r="J43" s="7">
        <v>189772.0420415182</v>
      </c>
      <c r="K43" s="7">
        <v>191068.92801366135</v>
      </c>
      <c r="L43" s="7">
        <v>191068.92801366135</v>
      </c>
      <c r="M43" s="7">
        <v>201641.14221440835</v>
      </c>
      <c r="N43" s="7">
        <v>207592.21931990844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outlineLevel="1" x14ac:dyDescent="0.25">
      <c r="A44" s="71" t="str">
        <f t="shared" si="1"/>
        <v>Nøgletal.REFA-Bypass-Varme</v>
      </c>
      <c r="B44" s="8" t="s">
        <v>4</v>
      </c>
      <c r="C44" s="16" t="s">
        <v>30</v>
      </c>
      <c r="D44" s="7">
        <v>4568.5159207230936</v>
      </c>
      <c r="E44" s="7">
        <v>4568.5159207230936</v>
      </c>
      <c r="F44" s="7">
        <v>4568.5159207230936</v>
      </c>
      <c r="G44" s="7">
        <v>4568.5159207230936</v>
      </c>
      <c r="H44" s="7">
        <v>4568.5159207230936</v>
      </c>
      <c r="I44" s="7">
        <v>4568.5159207230936</v>
      </c>
      <c r="J44" s="7">
        <v>4568.5159207230936</v>
      </c>
      <c r="K44" s="7">
        <v>4568.5159207230936</v>
      </c>
      <c r="L44" s="7">
        <v>4568.5159207230936</v>
      </c>
      <c r="M44" s="7">
        <v>4568.5159207230936</v>
      </c>
      <c r="N44" s="7">
        <v>4568.5159207230936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outlineLevel="1" x14ac:dyDescent="0.25">
      <c r="A45" s="71" t="str">
        <f t="shared" si="1"/>
        <v>Nøgletal.REFA-RGK-Varme</v>
      </c>
      <c r="B45" s="8" t="s">
        <v>4</v>
      </c>
      <c r="C45" s="16" t="s">
        <v>31</v>
      </c>
      <c r="D45" s="7">
        <v>18931.774205638954</v>
      </c>
      <c r="E45" s="7">
        <v>19436.306361281378</v>
      </c>
      <c r="F45" s="7">
        <v>18931.774205638951</v>
      </c>
      <c r="G45" s="7">
        <v>18931.774205638951</v>
      </c>
      <c r="H45" s="7">
        <v>19637.656558580129</v>
      </c>
      <c r="I45" s="7">
        <v>20019.218103383893</v>
      </c>
      <c r="J45" s="7">
        <v>19436.306361281371</v>
      </c>
      <c r="K45" s="7">
        <v>18931.774205638951</v>
      </c>
      <c r="L45" s="7">
        <v>18931.774205638951</v>
      </c>
      <c r="M45" s="7">
        <v>21745.15956162287</v>
      </c>
      <c r="N45" s="7">
        <v>17205.832747399974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:27" outlineLevel="1" x14ac:dyDescent="0.25">
      <c r="A46" s="71" t="str">
        <f t="shared" si="1"/>
        <v>Nøgletal.REFA-Bortkoelet-Varme</v>
      </c>
      <c r="B46" s="8" t="s">
        <v>4</v>
      </c>
      <c r="C46" s="16" t="s">
        <v>32</v>
      </c>
      <c r="D46" s="7">
        <v>22161.053514056875</v>
      </c>
      <c r="E46" s="7">
        <v>15152.460764222833</v>
      </c>
      <c r="F46" s="7">
        <v>15152.460764222833</v>
      </c>
      <c r="G46" s="7">
        <v>15152.460764222833</v>
      </c>
      <c r="H46" s="7">
        <v>29405.432063143908</v>
      </c>
      <c r="I46" s="7">
        <v>29949.810612230947</v>
      </c>
      <c r="J46" s="7">
        <v>15152.460764222833</v>
      </c>
      <c r="K46" s="7">
        <v>15152.460764222833</v>
      </c>
      <c r="L46" s="7">
        <v>15152.460764222833</v>
      </c>
      <c r="M46" s="7">
        <v>22161.053514056868</v>
      </c>
      <c r="N46" s="7">
        <v>29949.810612230947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outlineLevel="1" x14ac:dyDescent="0.25">
      <c r="A47" s="72" t="str">
        <f t="shared" si="1"/>
        <v>Nøgletal.GSF-Total-Var-Omkostning</v>
      </c>
      <c r="B47" s="13" t="s">
        <v>2</v>
      </c>
      <c r="C47" s="22" t="s">
        <v>33</v>
      </c>
      <c r="D47" s="12">
        <v>1814400</v>
      </c>
      <c r="E47" s="12">
        <v>1814400</v>
      </c>
      <c r="F47" s="12">
        <v>1814400</v>
      </c>
      <c r="G47" s="12">
        <v>1814400</v>
      </c>
      <c r="H47" s="12">
        <v>1814400</v>
      </c>
      <c r="I47" s="12">
        <v>1814400</v>
      </c>
      <c r="J47" s="12">
        <v>1814400</v>
      </c>
      <c r="K47" s="12">
        <v>1814400</v>
      </c>
      <c r="L47" s="12">
        <v>1814400</v>
      </c>
      <c r="M47" s="12">
        <v>1814400</v>
      </c>
      <c r="N47" s="12">
        <v>1814400</v>
      </c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</row>
    <row r="48" spans="1:27" outlineLevel="1" x14ac:dyDescent="0.25">
      <c r="A48" s="69" t="str">
        <f t="shared" si="1"/>
        <v>Nøgletal.GSF-AnlaegsVarOmk</v>
      </c>
      <c r="B48" s="13" t="s">
        <v>2</v>
      </c>
      <c r="C48" s="35" t="s">
        <v>34</v>
      </c>
      <c r="D48" s="12">
        <v>1.1999999999999997E-13</v>
      </c>
      <c r="E48" s="12">
        <v>1.1999999999999997E-13</v>
      </c>
      <c r="F48" s="12">
        <v>1.1999999999999997E-13</v>
      </c>
      <c r="G48" s="12">
        <v>1.1999999999999997E-13</v>
      </c>
      <c r="H48" s="12">
        <v>1.1999999999999997E-13</v>
      </c>
      <c r="I48" s="12">
        <v>1.1999999999999997E-13</v>
      </c>
      <c r="J48" s="12">
        <v>1.1999999999999997E-13</v>
      </c>
      <c r="K48" s="12">
        <v>1.1999999999999997E-13</v>
      </c>
      <c r="L48" s="12">
        <v>1.1999999999999997E-13</v>
      </c>
      <c r="M48" s="12">
        <v>1.1999999999999997E-13</v>
      </c>
      <c r="N48" s="12">
        <v>1.1999999999999997E-13</v>
      </c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</row>
    <row r="49" spans="1:28" outlineLevel="1" x14ac:dyDescent="0.25">
      <c r="A49" s="70" t="str">
        <f t="shared" si="1"/>
        <v>Nøgletal.GSF-BraendselOmk</v>
      </c>
      <c r="B49" s="13" t="s">
        <v>2</v>
      </c>
      <c r="C49" s="18" t="s">
        <v>35</v>
      </c>
      <c r="D49" s="12">
        <v>1814400</v>
      </c>
      <c r="E49" s="12">
        <v>1814400</v>
      </c>
      <c r="F49" s="12">
        <v>1814400</v>
      </c>
      <c r="G49" s="12">
        <v>1814400</v>
      </c>
      <c r="H49" s="12">
        <v>1814400</v>
      </c>
      <c r="I49" s="12">
        <v>1814400</v>
      </c>
      <c r="J49" s="12">
        <v>1814400</v>
      </c>
      <c r="K49" s="12">
        <v>1814400</v>
      </c>
      <c r="L49" s="12">
        <v>1814400</v>
      </c>
      <c r="M49" s="12">
        <v>1814400</v>
      </c>
      <c r="N49" s="12">
        <v>1814400</v>
      </c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</row>
    <row r="50" spans="1:28" outlineLevel="1" x14ac:dyDescent="0.25">
      <c r="A50" s="70" t="str">
        <f t="shared" si="1"/>
        <v>Nøgletal.GSF-Afgifter</v>
      </c>
      <c r="B50" s="13" t="s">
        <v>2</v>
      </c>
      <c r="C50" s="18" t="s">
        <v>36</v>
      </c>
      <c r="D50" s="12">
        <v>1.1999999999999997E-13</v>
      </c>
      <c r="E50" s="12">
        <v>1.1999999999999997E-13</v>
      </c>
      <c r="F50" s="12">
        <v>1.1999999999999997E-13</v>
      </c>
      <c r="G50" s="12">
        <v>1.1999999999999997E-13</v>
      </c>
      <c r="H50" s="12">
        <v>1.1999999999999997E-13</v>
      </c>
      <c r="I50" s="12">
        <v>1.1999999999999997E-13</v>
      </c>
      <c r="J50" s="12">
        <v>1.1999999999999997E-13</v>
      </c>
      <c r="K50" s="12">
        <v>1.1999999999999997E-13</v>
      </c>
      <c r="L50" s="12">
        <v>1.1999999999999997E-13</v>
      </c>
      <c r="M50" s="12">
        <v>1.1999999999999997E-13</v>
      </c>
      <c r="N50" s="12">
        <v>1.1999999999999997E-13</v>
      </c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</row>
    <row r="51" spans="1:28" outlineLevel="1" x14ac:dyDescent="0.25">
      <c r="A51" s="71" t="str">
        <f t="shared" si="1"/>
        <v>Nøgletal.GSF-CO2-Emission</v>
      </c>
      <c r="B51" s="8" t="s">
        <v>18</v>
      </c>
      <c r="C51" s="18" t="s">
        <v>37</v>
      </c>
      <c r="D51" s="12">
        <v>1.1999999999999997E-13</v>
      </c>
      <c r="E51" s="12">
        <v>1.1999999999999997E-13</v>
      </c>
      <c r="F51" s="12">
        <v>1.1999999999999997E-13</v>
      </c>
      <c r="G51" s="12">
        <v>1.1999999999999997E-13</v>
      </c>
      <c r="H51" s="12">
        <v>1.1999999999999997E-13</v>
      </c>
      <c r="I51" s="12">
        <v>1.1999999999999997E-13</v>
      </c>
      <c r="J51" s="12">
        <v>1.1999999999999997E-13</v>
      </c>
      <c r="K51" s="12">
        <v>1.1999999999999997E-13</v>
      </c>
      <c r="L51" s="12">
        <v>1.1999999999999997E-13</v>
      </c>
      <c r="M51" s="12">
        <v>1.1999999999999997E-13</v>
      </c>
      <c r="N51" s="12">
        <v>1.1999999999999997E-13</v>
      </c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</row>
    <row r="52" spans="1:28" outlineLevel="1" x14ac:dyDescent="0.25">
      <c r="A52" s="71" t="str">
        <f t="shared" si="1"/>
        <v>Nøgletal.GSF-Total-Varme-Produktion</v>
      </c>
      <c r="B52" s="8" t="s">
        <v>4</v>
      </c>
      <c r="C52" s="19" t="s">
        <v>38</v>
      </c>
      <c r="D52" s="17">
        <v>1.1999999999999997E-13</v>
      </c>
      <c r="E52" s="17">
        <v>1.1999999999999997E-13</v>
      </c>
      <c r="F52" s="17">
        <v>1.1999999999999997E-13</v>
      </c>
      <c r="G52" s="17">
        <v>1.1999999999999997E-13</v>
      </c>
      <c r="H52" s="17">
        <v>1.1999999999999997E-13</v>
      </c>
      <c r="I52" s="17">
        <v>1.1999999999999997E-13</v>
      </c>
      <c r="J52" s="17">
        <v>1.1999999999999997E-13</v>
      </c>
      <c r="K52" s="17">
        <v>1.1999999999999997E-13</v>
      </c>
      <c r="L52" s="17">
        <v>1.1999999999999997E-13</v>
      </c>
      <c r="M52" s="17">
        <v>1.1999999999999997E-13</v>
      </c>
      <c r="N52" s="17">
        <v>1.1999999999999997E-13</v>
      </c>
      <c r="O52" s="17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</row>
    <row r="53" spans="1:28" outlineLevel="1" x14ac:dyDescent="0.25">
      <c r="A53" s="71" t="str">
        <f t="shared" si="1"/>
        <v>Nøgletal.NS-Total-Varme-Produktion</v>
      </c>
      <c r="B53" s="8" t="s">
        <v>4</v>
      </c>
      <c r="C53" s="36" t="s">
        <v>79</v>
      </c>
      <c r="D53" s="17">
        <v>9600</v>
      </c>
      <c r="E53" s="17">
        <v>9600</v>
      </c>
      <c r="F53" s="17">
        <v>9600</v>
      </c>
      <c r="G53" s="17">
        <v>9600</v>
      </c>
      <c r="H53" s="17">
        <v>9600</v>
      </c>
      <c r="I53" s="17">
        <v>9600</v>
      </c>
      <c r="J53" s="17">
        <v>9600</v>
      </c>
      <c r="K53" s="17">
        <v>9600</v>
      </c>
      <c r="L53" s="17">
        <v>9600</v>
      </c>
      <c r="M53" s="17">
        <v>9600</v>
      </c>
      <c r="N53" s="17">
        <v>9600</v>
      </c>
      <c r="O53" s="17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</row>
    <row r="54" spans="1:28" s="45" customFormat="1" outlineLevel="1" x14ac:dyDescent="0.25">
      <c r="A54" s="73" t="str">
        <f t="shared" si="1"/>
        <v>Nøgletal.Virtuel-Varme-Kilde</v>
      </c>
      <c r="B54" s="44" t="s">
        <v>4</v>
      </c>
      <c r="C54" s="48" t="s">
        <v>81</v>
      </c>
      <c r="D54" s="43">
        <v>1.1999999999999997E-13</v>
      </c>
      <c r="E54" s="43">
        <v>1.1999999999999997E-13</v>
      </c>
      <c r="F54" s="43">
        <v>1.1999999999999997E-13</v>
      </c>
      <c r="G54" s="43">
        <v>1.1999999999999997E-13</v>
      </c>
      <c r="H54" s="43">
        <v>1.1999999999999997E-13</v>
      </c>
      <c r="I54" s="43">
        <v>1.1999999999999997E-13</v>
      </c>
      <c r="J54" s="43">
        <v>1.1999999999999997E-13</v>
      </c>
      <c r="K54" s="43">
        <v>1.1999999999999997E-13</v>
      </c>
      <c r="L54" s="43">
        <v>1.1999999999999997E-13</v>
      </c>
      <c r="M54" s="43">
        <v>1.1999999999999997E-13</v>
      </c>
      <c r="N54" s="43">
        <v>1.1999999999999997E-13</v>
      </c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</row>
    <row r="55" spans="1:28" outlineLevel="1" x14ac:dyDescent="0.25">
      <c r="A55" s="71" t="str">
        <f t="shared" si="1"/>
        <v>Nøgletal.Virtuel-Varme-Draen</v>
      </c>
      <c r="B55" s="8" t="s">
        <v>4</v>
      </c>
      <c r="C55" s="49" t="s">
        <v>88</v>
      </c>
      <c r="D55" s="17">
        <v>1.1999999999999997E-13</v>
      </c>
      <c r="E55" s="17">
        <v>1.1999999999999997E-13</v>
      </c>
      <c r="F55" s="17">
        <v>1.1999999999999997E-13</v>
      </c>
      <c r="G55" s="17">
        <v>1.1999999999999997E-13</v>
      </c>
      <c r="H55" s="17">
        <v>1.1999999999999997E-13</v>
      </c>
      <c r="I55" s="17">
        <v>1.1999999999999997E-13</v>
      </c>
      <c r="J55" s="17">
        <v>1.1999999999999997E-13</v>
      </c>
      <c r="K55" s="17">
        <v>1.1999999999999997E-13</v>
      </c>
      <c r="L55" s="17">
        <v>1.1999999999999997E-13</v>
      </c>
      <c r="M55" s="17">
        <v>1.1999999999999997E-13</v>
      </c>
      <c r="N55" s="17">
        <v>1.1999999999999997E-13</v>
      </c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</row>
    <row r="56" spans="1:28" outlineLevel="1" x14ac:dyDescent="0.25">
      <c r="A56" s="71" t="str">
        <f t="shared" si="1"/>
        <v>Nøgletal.Virtuel-Affaldstonnage-Kilde</v>
      </c>
      <c r="B56" s="8" t="s">
        <v>18</v>
      </c>
      <c r="C56" s="49" t="s">
        <v>82</v>
      </c>
      <c r="D56" s="17">
        <v>1.1999999999999997E-13</v>
      </c>
      <c r="E56" s="17">
        <v>1.1999999999999997E-13</v>
      </c>
      <c r="F56" s="17">
        <v>1.1999999999999997E-13</v>
      </c>
      <c r="G56" s="17">
        <v>1.1999999999999997E-13</v>
      </c>
      <c r="H56" s="17">
        <v>1.1999999999999997E-13</v>
      </c>
      <c r="I56" s="17">
        <v>1.1999999999999997E-13</v>
      </c>
      <c r="J56" s="17">
        <v>1.1999999999999997E-13</v>
      </c>
      <c r="K56" s="17">
        <v>1.1999999999999997E-13</v>
      </c>
      <c r="L56" s="17">
        <v>1.1999999999999997E-13</v>
      </c>
      <c r="M56" s="17">
        <v>1.1999999999999997E-13</v>
      </c>
      <c r="N56" s="17">
        <v>1.1999999999999997E-13</v>
      </c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17"/>
    </row>
    <row r="57" spans="1:28" outlineLevel="1" x14ac:dyDescent="0.25">
      <c r="A57" s="71" t="str">
        <f t="shared" si="1"/>
        <v>Nøgletal.Virtuel-Affaldstonnage-Draen</v>
      </c>
      <c r="B57" s="8" t="s">
        <v>18</v>
      </c>
      <c r="C57" s="49" t="s">
        <v>89</v>
      </c>
      <c r="D57" s="17">
        <v>1.1999999999999997E-13</v>
      </c>
      <c r="E57" s="17">
        <v>1.1999999999999997E-13</v>
      </c>
      <c r="F57" s="17">
        <v>1.1999999999999997E-13</v>
      </c>
      <c r="G57" s="17">
        <v>1.1999999999999997E-13</v>
      </c>
      <c r="H57" s="17">
        <v>1.1999999999999997E-13</v>
      </c>
      <c r="I57" s="17">
        <v>1.1999999999999997E-13</v>
      </c>
      <c r="J57" s="17">
        <v>1.1999999999999997E-13</v>
      </c>
      <c r="K57" s="17">
        <v>1.1999999999999997E-13</v>
      </c>
      <c r="L57" s="17">
        <v>1.1999999999999997E-13</v>
      </c>
      <c r="M57" s="17">
        <v>1.1999999999999997E-13</v>
      </c>
      <c r="N57" s="17">
        <v>1.1999999999999997E-13</v>
      </c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</row>
    <row r="58" spans="1:28" s="6" customFormat="1" ht="18.75" x14ac:dyDescent="0.3">
      <c r="A58" s="65" t="str">
        <f t="shared" si="1"/>
        <v/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s="21" customFormat="1" ht="18.75" x14ac:dyDescent="0.3">
      <c r="A59" s="66"/>
      <c r="B59" s="34" t="s">
        <v>3</v>
      </c>
      <c r="C59" s="34" t="s">
        <v>39</v>
      </c>
      <c r="D59" s="33" t="s">
        <v>77</v>
      </c>
      <c r="E59" s="33" t="s">
        <v>78</v>
      </c>
      <c r="F59" s="33" t="s">
        <v>95</v>
      </c>
      <c r="G59" s="33" t="s">
        <v>96</v>
      </c>
      <c r="H59" s="33" t="s">
        <v>97</v>
      </c>
      <c r="I59" s="33" t="s">
        <v>98</v>
      </c>
      <c r="J59" s="33" t="s">
        <v>99</v>
      </c>
      <c r="K59" s="33" t="s">
        <v>100</v>
      </c>
      <c r="L59" s="33" t="s">
        <v>101</v>
      </c>
      <c r="M59" s="33" t="s">
        <v>102</v>
      </c>
      <c r="N59" s="33" t="s">
        <v>103</v>
      </c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</row>
    <row r="60" spans="1:28" outlineLevel="1" x14ac:dyDescent="0.25">
      <c r="A60" s="70" t="str">
        <f>IF(NOT(ISBLANK(C60)),$C$59&amp;"."&amp;C60,"")</f>
        <v>Varmemængder.Ovn2</v>
      </c>
      <c r="B60" s="8" t="s">
        <v>4</v>
      </c>
      <c r="C60" s="24" t="s">
        <v>40</v>
      </c>
      <c r="D60" s="23">
        <v>48210.549251352524</v>
      </c>
      <c r="E60" s="23">
        <v>48345.091159523829</v>
      </c>
      <c r="F60" s="23">
        <v>48210.549251352524</v>
      </c>
      <c r="G60" s="23">
        <v>48210.549251352524</v>
      </c>
      <c r="H60" s="23">
        <v>49292.902192529</v>
      </c>
      <c r="I60" s="23">
        <v>52064.155741664144</v>
      </c>
      <c r="J60" s="23">
        <v>48345.091159523829</v>
      </c>
      <c r="K60" s="23">
        <v>48210.549251352524</v>
      </c>
      <c r="L60" s="23">
        <v>48210.549251352524</v>
      </c>
      <c r="M60" s="23">
        <v>52524.406797194533</v>
      </c>
      <c r="N60" s="23">
        <v>47750.298195822135</v>
      </c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</row>
    <row r="61" spans="1:28" outlineLevel="1" x14ac:dyDescent="0.25">
      <c r="A61" s="70" t="str">
        <f t="shared" ref="A61:A66" si="2">IF(NOT(ISBLANK(C61)),$C$59&amp;"."&amp;C61,"")</f>
        <v>Varmemængder.Ovn3</v>
      </c>
      <c r="B61" s="8" t="s">
        <v>4</v>
      </c>
      <c r="C61" s="24" t="s">
        <v>41</v>
      </c>
      <c r="D61" s="23">
        <v>173367.26163850492</v>
      </c>
      <c r="E61" s="23">
        <v>165431.77316399885</v>
      </c>
      <c r="F61" s="23">
        <v>166358.66888867089</v>
      </c>
      <c r="G61" s="23">
        <v>166358.66888867089</v>
      </c>
      <c r="H61" s="23">
        <v>181129.28724641548</v>
      </c>
      <c r="I61" s="23">
        <v>183679.41905326425</v>
      </c>
      <c r="J61" s="23">
        <v>165431.77316399885</v>
      </c>
      <c r="K61" s="23">
        <v>166358.66888867089</v>
      </c>
      <c r="L61" s="23">
        <v>166358.66888867089</v>
      </c>
      <c r="M61" s="23">
        <v>175430.41089955979</v>
      </c>
      <c r="N61" s="23">
        <v>181616.26979220938</v>
      </c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</row>
    <row r="62" spans="1:28" outlineLevel="1" x14ac:dyDescent="0.25">
      <c r="A62" s="71" t="str">
        <f t="shared" si="2"/>
        <v>Varmemængder.FlisK</v>
      </c>
      <c r="B62" s="8" t="s">
        <v>4</v>
      </c>
      <c r="C62" s="24" t="s">
        <v>42</v>
      </c>
      <c r="D62" s="23">
        <v>30983.242624199418</v>
      </c>
      <c r="E62" s="23">
        <v>31775.596440700123</v>
      </c>
      <c r="F62" s="23">
        <v>30983.242624199418</v>
      </c>
      <c r="G62" s="23">
        <v>30983.242624199418</v>
      </c>
      <c r="H62" s="23">
        <v>29383.242624199418</v>
      </c>
      <c r="I62" s="23">
        <v>24606.235817302535</v>
      </c>
      <c r="J62" s="23">
        <v>31775.596440700123</v>
      </c>
      <c r="K62" s="23">
        <v>30983.242624199418</v>
      </c>
      <c r="L62" s="23">
        <v>30983.242624199418</v>
      </c>
      <c r="M62" s="23">
        <v>24606.235817302535</v>
      </c>
      <c r="N62" s="23">
        <v>30983.242624199418</v>
      </c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</row>
    <row r="63" spans="1:28" outlineLevel="1" x14ac:dyDescent="0.25">
      <c r="A63" s="71" t="str">
        <f t="shared" si="2"/>
        <v>Varmemængder.NS</v>
      </c>
      <c r="B63" s="8" t="s">
        <v>4</v>
      </c>
      <c r="C63" s="24" t="s">
        <v>43</v>
      </c>
      <c r="D63" s="51">
        <v>9600</v>
      </c>
      <c r="E63" s="23">
        <v>9600</v>
      </c>
      <c r="F63" s="23">
        <v>9600</v>
      </c>
      <c r="G63" s="23">
        <v>9600</v>
      </c>
      <c r="H63" s="23">
        <v>9600</v>
      </c>
      <c r="I63" s="23">
        <v>9600</v>
      </c>
      <c r="J63" s="23">
        <v>9600</v>
      </c>
      <c r="K63" s="23">
        <v>9600</v>
      </c>
      <c r="L63" s="23">
        <v>9600</v>
      </c>
      <c r="M63" s="23">
        <v>9600</v>
      </c>
      <c r="N63" s="23">
        <v>9600</v>
      </c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</row>
    <row r="64" spans="1:28" outlineLevel="1" x14ac:dyDescent="0.25">
      <c r="A64" s="71" t="str">
        <f t="shared" si="2"/>
        <v>Varmemængder.Cooler</v>
      </c>
      <c r="B64" s="8" t="s">
        <v>4</v>
      </c>
      <c r="C64" s="24" t="s">
        <v>44</v>
      </c>
      <c r="D64" s="23">
        <v>-22161.053514056875</v>
      </c>
      <c r="E64" s="23">
        <v>-15152.460764222833</v>
      </c>
      <c r="F64" s="23">
        <v>-15152.460764222833</v>
      </c>
      <c r="G64" s="23">
        <v>-15152.460764222833</v>
      </c>
      <c r="H64" s="23">
        <v>-29405.432063143908</v>
      </c>
      <c r="I64" s="23">
        <v>-29949.810612230947</v>
      </c>
      <c r="J64" s="23">
        <v>-15152.460764222833</v>
      </c>
      <c r="K64" s="23">
        <v>-15152.460764222833</v>
      </c>
      <c r="L64" s="23">
        <v>-15152.460764222833</v>
      </c>
      <c r="M64" s="23">
        <v>-22161.053514056868</v>
      </c>
      <c r="N64" s="23">
        <v>-29949.810612230947</v>
      </c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</row>
    <row r="65" spans="1:27" outlineLevel="1" x14ac:dyDescent="0.25">
      <c r="A65" s="71" t="str">
        <f t="shared" si="2"/>
        <v>Varmemængder.PeakK</v>
      </c>
      <c r="B65" s="8" t="s">
        <v>4</v>
      </c>
      <c r="C65" s="24" t="s">
        <v>45</v>
      </c>
      <c r="D65" s="23">
        <v>1.1999999999999997E-13</v>
      </c>
      <c r="E65" s="23">
        <v>1.1999999999999997E-13</v>
      </c>
      <c r="F65" s="23">
        <v>1.1999999999999997E-13</v>
      </c>
      <c r="G65" s="23">
        <v>1.1999999999999997E-13</v>
      </c>
      <c r="H65" s="23">
        <v>1.1999999999999997E-13</v>
      </c>
      <c r="I65" s="23">
        <v>1.1999999999999997E-13</v>
      </c>
      <c r="J65" s="23">
        <v>1.1999999999999997E-13</v>
      </c>
      <c r="K65" s="23">
        <v>1.1999999999999997E-13</v>
      </c>
      <c r="L65" s="23">
        <v>1.1999999999999997E-13</v>
      </c>
      <c r="M65" s="23">
        <v>1.1999999999999997E-13</v>
      </c>
      <c r="N65" s="23">
        <v>1.1999999999999997E-13</v>
      </c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</row>
    <row r="66" spans="1:27" outlineLevel="1" x14ac:dyDescent="0.25">
      <c r="A66" s="74" t="str">
        <f t="shared" si="2"/>
        <v/>
      </c>
      <c r="B66" s="26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</row>
    <row r="67" spans="1:27" s="21" customFormat="1" ht="18.75" x14ac:dyDescent="0.3">
      <c r="A67" s="66"/>
      <c r="B67" s="34" t="s">
        <v>3</v>
      </c>
      <c r="C67" s="34" t="s">
        <v>46</v>
      </c>
      <c r="D67" s="33" t="s">
        <v>77</v>
      </c>
      <c r="E67" s="33" t="s">
        <v>78</v>
      </c>
      <c r="F67" s="33" t="s">
        <v>95</v>
      </c>
      <c r="G67" s="33" t="s">
        <v>96</v>
      </c>
      <c r="H67" s="33" t="s">
        <v>97</v>
      </c>
      <c r="I67" s="33" t="s">
        <v>98</v>
      </c>
      <c r="J67" s="33" t="s">
        <v>99</v>
      </c>
      <c r="K67" s="33" t="s">
        <v>100</v>
      </c>
      <c r="L67" s="33" t="s">
        <v>101</v>
      </c>
      <c r="M67" s="33" t="s">
        <v>102</v>
      </c>
      <c r="N67" s="33" t="s">
        <v>103</v>
      </c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</row>
    <row r="68" spans="1:27" outlineLevel="1" x14ac:dyDescent="0.25">
      <c r="A68" s="70" t="str">
        <f>IF(NOT(ISBLANK(C68)),$C$67&amp;"."&amp;C68,"")</f>
        <v>Brændselsforbrug.DepoSort</v>
      </c>
      <c r="B68" s="29" t="s">
        <v>18</v>
      </c>
      <c r="C68" s="30" t="s">
        <v>47</v>
      </c>
      <c r="D68" s="52">
        <v>9093.0083352500005</v>
      </c>
      <c r="E68" s="52">
        <v>9093.0083352500005</v>
      </c>
      <c r="F68" s="52">
        <v>9093.0083352500005</v>
      </c>
      <c r="G68" s="52">
        <v>9093.0083352500005</v>
      </c>
      <c r="H68" s="52">
        <v>9093.0083352500005</v>
      </c>
      <c r="I68" s="52">
        <v>9093.0083352500005</v>
      </c>
      <c r="J68" s="52">
        <v>9093.0083352500005</v>
      </c>
      <c r="K68" s="52">
        <v>9093.0083352500005</v>
      </c>
      <c r="L68" s="52">
        <v>9093.0083352500005</v>
      </c>
      <c r="M68" s="52">
        <v>9093.0083352500005</v>
      </c>
      <c r="N68" s="52">
        <v>9093.0083352500005</v>
      </c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</row>
    <row r="69" spans="1:27" outlineLevel="1" x14ac:dyDescent="0.25">
      <c r="A69" s="75" t="str">
        <f t="shared" ref="A69:A98" si="3">IF(NOT(ISBLANK(C69)),$C$67&amp;"."&amp;C69,"")</f>
        <v>Brændselsforbrug.DepoSmaat</v>
      </c>
      <c r="B69" s="29" t="s">
        <v>18</v>
      </c>
      <c r="C69" s="30" t="s">
        <v>48</v>
      </c>
      <c r="D69" s="52">
        <v>-1.1999999999999997E-13</v>
      </c>
      <c r="E69" s="52">
        <v>-1.1999999999999997E-13</v>
      </c>
      <c r="F69" s="52">
        <v>-1.1999999999999997E-13</v>
      </c>
      <c r="G69" s="52">
        <v>-1.1999999999999997E-13</v>
      </c>
      <c r="H69" s="52">
        <v>-1.1999999999999997E-13</v>
      </c>
      <c r="I69" s="52">
        <v>-1.1999999999999997E-13</v>
      </c>
      <c r="J69" s="52">
        <v>-1.1999999999999997E-13</v>
      </c>
      <c r="K69" s="52">
        <v>-1.1999999999999997E-13</v>
      </c>
      <c r="L69" s="52">
        <v>-1.1999999999999997E-13</v>
      </c>
      <c r="M69" s="52">
        <v>-1.1999999999999997E-13</v>
      </c>
      <c r="N69" s="52">
        <v>-1.1999999999999997E-13</v>
      </c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</row>
    <row r="70" spans="1:27" outlineLevel="1" x14ac:dyDescent="0.25">
      <c r="A70" s="75" t="str">
        <f t="shared" si="3"/>
        <v>Brændselsforbrug.DepoNedd</v>
      </c>
      <c r="B70" s="29" t="s">
        <v>18</v>
      </c>
      <c r="C70" s="30" t="s">
        <v>49</v>
      </c>
      <c r="D70" s="52">
        <v>-1.1999999999999997E-13</v>
      </c>
      <c r="E70" s="52">
        <v>-1.1999999999999997E-13</v>
      </c>
      <c r="F70" s="52">
        <v>-1.1999999999999997E-13</v>
      </c>
      <c r="G70" s="52">
        <v>-1.1999999999999997E-13</v>
      </c>
      <c r="H70" s="52">
        <v>-1.1999999999999997E-13</v>
      </c>
      <c r="I70" s="52">
        <v>-1.1999999999999997E-13</v>
      </c>
      <c r="J70" s="52">
        <v>-1.1999999999999997E-13</v>
      </c>
      <c r="K70" s="52">
        <v>-1.1999999999999997E-13</v>
      </c>
      <c r="L70" s="52">
        <v>-1.1999999999999997E-13</v>
      </c>
      <c r="M70" s="52">
        <v>-1.1999999999999997E-13</v>
      </c>
      <c r="N70" s="52">
        <v>-1.1999999999999997E-13</v>
      </c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</row>
    <row r="71" spans="1:27" outlineLevel="1" x14ac:dyDescent="0.25">
      <c r="A71" s="75" t="str">
        <f t="shared" si="3"/>
        <v>Brændselsforbrug.Dagren</v>
      </c>
      <c r="B71" s="29" t="s">
        <v>18</v>
      </c>
      <c r="C71" s="30" t="s">
        <v>50</v>
      </c>
      <c r="D71" s="52">
        <v>28869.026463250008</v>
      </c>
      <c r="E71" s="52">
        <v>28869.026463250008</v>
      </c>
      <c r="F71" s="52">
        <v>28869.026463250008</v>
      </c>
      <c r="G71" s="52">
        <v>28869.026463250008</v>
      </c>
      <c r="H71" s="52">
        <v>28869.026463250008</v>
      </c>
      <c r="I71" s="52">
        <v>28869.026463250008</v>
      </c>
      <c r="J71" s="52">
        <v>28869.026463250008</v>
      </c>
      <c r="K71" s="52">
        <v>28869.026463250008</v>
      </c>
      <c r="L71" s="52">
        <v>28869.026463250008</v>
      </c>
      <c r="M71" s="52">
        <v>28869.026463250008</v>
      </c>
      <c r="N71" s="52">
        <v>28869.026463250008</v>
      </c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</row>
    <row r="72" spans="1:27" outlineLevel="1" x14ac:dyDescent="0.25">
      <c r="A72" s="75" t="str">
        <f t="shared" si="3"/>
        <v>Brændselsforbrug.AndetBrand</v>
      </c>
      <c r="B72" s="29" t="s">
        <v>18</v>
      </c>
      <c r="C72" s="30" t="s">
        <v>51</v>
      </c>
      <c r="D72" s="52">
        <v>3500.0032083333331</v>
      </c>
      <c r="E72" s="52">
        <v>3500.0032083333331</v>
      </c>
      <c r="F72" s="52">
        <v>3500.0032083333331</v>
      </c>
      <c r="G72" s="52">
        <v>3500.0032083333331</v>
      </c>
      <c r="H72" s="52">
        <v>3500.0032083333331</v>
      </c>
      <c r="I72" s="52">
        <v>3500.0032083333331</v>
      </c>
      <c r="J72" s="52">
        <v>3500.0032083333331</v>
      </c>
      <c r="K72" s="52">
        <v>3500.0032083333331</v>
      </c>
      <c r="L72" s="52">
        <v>3500.0032083333331</v>
      </c>
      <c r="M72" s="52">
        <v>3500.0032083333331</v>
      </c>
      <c r="N72" s="52">
        <v>3500.0032083333331</v>
      </c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</row>
    <row r="73" spans="1:27" outlineLevel="1" x14ac:dyDescent="0.25">
      <c r="A73" s="75" t="str">
        <f t="shared" si="3"/>
        <v>Brændselsforbrug.Trae</v>
      </c>
      <c r="B73" s="29" t="s">
        <v>18</v>
      </c>
      <c r="C73" s="30" t="s">
        <v>52</v>
      </c>
      <c r="D73" s="52">
        <v>-1.1999999999999997E-13</v>
      </c>
      <c r="E73" s="52">
        <v>-1.1999999999999997E-13</v>
      </c>
      <c r="F73" s="52">
        <v>-1.1999999999999997E-13</v>
      </c>
      <c r="G73" s="52">
        <v>-1.1999999999999997E-13</v>
      </c>
      <c r="H73" s="52">
        <v>-1.1999999999999997E-13</v>
      </c>
      <c r="I73" s="52">
        <v>-1.1999999999999997E-13</v>
      </c>
      <c r="J73" s="52">
        <v>-1.1999999999999997E-13</v>
      </c>
      <c r="K73" s="52">
        <v>-1.1999999999999997E-13</v>
      </c>
      <c r="L73" s="52">
        <v>-1.1999999999999997E-13</v>
      </c>
      <c r="M73" s="52">
        <v>-1.1999999999999997E-13</v>
      </c>
      <c r="N73" s="52">
        <v>-1.1999999999999997E-13</v>
      </c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</row>
    <row r="74" spans="1:27" outlineLevel="1" x14ac:dyDescent="0.25">
      <c r="A74" s="75" t="str">
        <f t="shared" si="3"/>
        <v>Brændselsforbrug.DagrenRast</v>
      </c>
      <c r="B74" s="29" t="s">
        <v>18</v>
      </c>
      <c r="C74" s="30" t="s">
        <v>53</v>
      </c>
      <c r="D74" s="52">
        <v>-1.1999999999999997E-13</v>
      </c>
      <c r="E74" s="52">
        <v>-1.1999999999999997E-13</v>
      </c>
      <c r="F74" s="52">
        <v>-1.1999999999999997E-13</v>
      </c>
      <c r="G74" s="52">
        <v>-1.1999999999999997E-13</v>
      </c>
      <c r="H74" s="52">
        <v>-1.1999999999999997E-13</v>
      </c>
      <c r="I74" s="52">
        <v>-1.1999999999999997E-13</v>
      </c>
      <c r="J74" s="52">
        <v>-1.1999999999999997E-13</v>
      </c>
      <c r="K74" s="52">
        <v>-1.1999999999999997E-13</v>
      </c>
      <c r="L74" s="52">
        <v>-1.1999999999999997E-13</v>
      </c>
      <c r="M74" s="52">
        <v>-1.1999999999999997E-13</v>
      </c>
      <c r="N74" s="52">
        <v>-1.1999999999999997E-13</v>
      </c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</row>
    <row r="75" spans="1:27" outlineLevel="1" x14ac:dyDescent="0.25">
      <c r="A75" s="75" t="str">
        <f t="shared" si="3"/>
        <v>Brændselsforbrug.DagrenInst</v>
      </c>
      <c r="B75" s="29" t="s">
        <v>18</v>
      </c>
      <c r="C75" s="30" t="s">
        <v>54</v>
      </c>
      <c r="D75" s="52">
        <v>7800.0071499999995</v>
      </c>
      <c r="E75" s="52">
        <v>7800.0071499999995</v>
      </c>
      <c r="F75" s="52">
        <v>7800.0071499999995</v>
      </c>
      <c r="G75" s="52">
        <v>7800.0071499999995</v>
      </c>
      <c r="H75" s="52">
        <v>7800.0071499999995</v>
      </c>
      <c r="I75" s="52">
        <v>7800.0071499999995</v>
      </c>
      <c r="J75" s="52">
        <v>7800.0071499999995</v>
      </c>
      <c r="K75" s="52">
        <v>7800.0071499999995</v>
      </c>
      <c r="L75" s="52">
        <v>7800.0071499999995</v>
      </c>
      <c r="M75" s="52">
        <v>7800.0071499999995</v>
      </c>
      <c r="N75" s="52">
        <v>7800.0071499999995</v>
      </c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</row>
    <row r="76" spans="1:27" outlineLevel="1" x14ac:dyDescent="0.25">
      <c r="A76" s="75" t="str">
        <f t="shared" si="3"/>
        <v>Brændselsforbrug.DagrenHandel</v>
      </c>
      <c r="B76" s="29" t="s">
        <v>18</v>
      </c>
      <c r="C76" s="30" t="s">
        <v>55</v>
      </c>
      <c r="D76" s="52">
        <v>-1.1999999999999997E-13</v>
      </c>
      <c r="E76" s="52">
        <v>-1.1999999999999997E-13</v>
      </c>
      <c r="F76" s="52">
        <v>-1.1999999999999997E-13</v>
      </c>
      <c r="G76" s="52">
        <v>-1.1999999999999997E-13</v>
      </c>
      <c r="H76" s="52">
        <v>-1.1999999999999997E-13</v>
      </c>
      <c r="I76" s="52">
        <v>-1.1999999999999997E-13</v>
      </c>
      <c r="J76" s="52">
        <v>-1.1999999999999997E-13</v>
      </c>
      <c r="K76" s="52">
        <v>-1.1999999999999997E-13</v>
      </c>
      <c r="L76" s="52">
        <v>-1.1999999999999997E-13</v>
      </c>
      <c r="M76" s="52">
        <v>-1.1999999999999997E-13</v>
      </c>
      <c r="N76" s="52">
        <v>-1.1999999999999997E-13</v>
      </c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</row>
    <row r="77" spans="1:27" outlineLevel="1" x14ac:dyDescent="0.25">
      <c r="A77" s="75" t="str">
        <f t="shared" si="3"/>
        <v>Brændselsforbrug.DagrenRestau</v>
      </c>
      <c r="B77" s="29" t="s">
        <v>18</v>
      </c>
      <c r="C77" s="30" t="s">
        <v>56</v>
      </c>
      <c r="D77" s="52">
        <v>-1.1999999999999997E-13</v>
      </c>
      <c r="E77" s="52">
        <v>-1.1999999999999997E-13</v>
      </c>
      <c r="F77" s="52">
        <v>-1.1999999999999997E-13</v>
      </c>
      <c r="G77" s="52">
        <v>-1.1999999999999997E-13</v>
      </c>
      <c r="H77" s="52">
        <v>-1.1999999999999997E-13</v>
      </c>
      <c r="I77" s="52">
        <v>-1.1999999999999997E-13</v>
      </c>
      <c r="J77" s="52">
        <v>-1.1999999999999997E-13</v>
      </c>
      <c r="K77" s="52">
        <v>-1.1999999999999997E-13</v>
      </c>
      <c r="L77" s="52">
        <v>-1.1999999999999997E-13</v>
      </c>
      <c r="M77" s="52">
        <v>-1.1999999999999997E-13</v>
      </c>
      <c r="N77" s="52">
        <v>-1.1999999999999997E-13</v>
      </c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</row>
    <row r="78" spans="1:27" outlineLevel="1" x14ac:dyDescent="0.25">
      <c r="A78" s="75" t="str">
        <f t="shared" si="3"/>
        <v>Brændselsforbrug.Erhverv</v>
      </c>
      <c r="B78" s="29" t="s">
        <v>18</v>
      </c>
      <c r="C78" s="30" t="s">
        <v>57</v>
      </c>
      <c r="D78" s="52">
        <v>5200.0047666666669</v>
      </c>
      <c r="E78" s="52">
        <v>5200.0047666666669</v>
      </c>
      <c r="F78" s="52">
        <v>5200.0047666666669</v>
      </c>
      <c r="G78" s="52">
        <v>5200.0047666666669</v>
      </c>
      <c r="H78" s="52">
        <v>5200.0047666666669</v>
      </c>
      <c r="I78" s="52">
        <v>5200.0047666666669</v>
      </c>
      <c r="J78" s="52">
        <v>5200.0047666666669</v>
      </c>
      <c r="K78" s="52">
        <v>5200.0047666666669</v>
      </c>
      <c r="L78" s="52">
        <v>5200.0047666666669</v>
      </c>
      <c r="M78" s="52">
        <v>5200.0047666666669</v>
      </c>
      <c r="N78" s="52">
        <v>5200.0047666666669</v>
      </c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</row>
    <row r="79" spans="1:27" outlineLevel="1" x14ac:dyDescent="0.25">
      <c r="A79" s="75" t="str">
        <f t="shared" si="3"/>
        <v>Brændselsforbrug.DagrenErhverv</v>
      </c>
      <c r="B79" s="29" t="s">
        <v>18</v>
      </c>
      <c r="C79" s="30" t="s">
        <v>58</v>
      </c>
      <c r="D79" s="52">
        <v>458.33379166666651</v>
      </c>
      <c r="E79" s="52">
        <v>458.33379166666651</v>
      </c>
      <c r="F79" s="52">
        <v>458.33379166666651</v>
      </c>
      <c r="G79" s="52">
        <v>458.33379166666651</v>
      </c>
      <c r="H79" s="52">
        <v>458.33379166666651</v>
      </c>
      <c r="I79" s="52">
        <v>458.33379166666651</v>
      </c>
      <c r="J79" s="52">
        <v>458.33379166666651</v>
      </c>
      <c r="K79" s="52">
        <v>458.33379166666651</v>
      </c>
      <c r="L79" s="52">
        <v>458.33379166666651</v>
      </c>
      <c r="M79" s="52">
        <v>458.33379166666651</v>
      </c>
      <c r="N79" s="52">
        <v>458.33379166666651</v>
      </c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</row>
    <row r="80" spans="1:27" outlineLevel="1" x14ac:dyDescent="0.25">
      <c r="A80" s="75" t="str">
        <f t="shared" si="3"/>
        <v>Brændselsforbrug.HandelKontor</v>
      </c>
      <c r="B80" s="29" t="s">
        <v>18</v>
      </c>
      <c r="C80" s="30" t="s">
        <v>59</v>
      </c>
      <c r="D80" s="52">
        <v>-1.1999999999999997E-13</v>
      </c>
      <c r="E80" s="52">
        <v>-1.1999999999999997E-13</v>
      </c>
      <c r="F80" s="52">
        <v>-1.1999999999999997E-13</v>
      </c>
      <c r="G80" s="52">
        <v>-1.1999999999999997E-13</v>
      </c>
      <c r="H80" s="52">
        <v>-1.1999999999999997E-13</v>
      </c>
      <c r="I80" s="52">
        <v>-1.1999999999999997E-13</v>
      </c>
      <c r="J80" s="52">
        <v>-1.1999999999999997E-13</v>
      </c>
      <c r="K80" s="52">
        <v>-1.1999999999999997E-13</v>
      </c>
      <c r="L80" s="52">
        <v>-1.1999999999999997E-13</v>
      </c>
      <c r="M80" s="52">
        <v>-1.1999999999999997E-13</v>
      </c>
      <c r="N80" s="52">
        <v>-1.1999999999999997E-13</v>
      </c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</row>
    <row r="81" spans="1:27" outlineLevel="1" x14ac:dyDescent="0.25">
      <c r="A81" s="75" t="str">
        <f t="shared" si="3"/>
        <v>Brændselsforbrug.Privat</v>
      </c>
      <c r="B81" s="29" t="s">
        <v>18</v>
      </c>
      <c r="C81" s="30" t="s">
        <v>60</v>
      </c>
      <c r="D81" s="52">
        <v>-1.1999999999999997E-13</v>
      </c>
      <c r="E81" s="52">
        <v>-1.1999999999999997E-13</v>
      </c>
      <c r="F81" s="52">
        <v>-1.1999999999999997E-13</v>
      </c>
      <c r="G81" s="52">
        <v>-1.1999999999999997E-13</v>
      </c>
      <c r="H81" s="52">
        <v>-1.1999999999999997E-13</v>
      </c>
      <c r="I81" s="52">
        <v>-1.1999999999999997E-13</v>
      </c>
      <c r="J81" s="52">
        <v>-1.1999999999999997E-13</v>
      </c>
      <c r="K81" s="52">
        <v>-1.1999999999999997E-13</v>
      </c>
      <c r="L81" s="52">
        <v>-1.1999999999999997E-13</v>
      </c>
      <c r="M81" s="52">
        <v>-1.1999999999999997E-13</v>
      </c>
      <c r="N81" s="52">
        <v>-1.1999999999999997E-13</v>
      </c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/>
    </row>
    <row r="82" spans="1:27" outlineLevel="1" x14ac:dyDescent="0.25">
      <c r="A82" s="75" t="str">
        <f t="shared" si="3"/>
        <v>Brændselsforbrug.TyskRest</v>
      </c>
      <c r="B82" s="29" t="s">
        <v>18</v>
      </c>
      <c r="C82" s="30" t="s">
        <v>61</v>
      </c>
      <c r="D82" s="52">
        <v>40000.039999999986</v>
      </c>
      <c r="E82" s="52">
        <v>40000.039999999986</v>
      </c>
      <c r="F82" s="52">
        <v>40000.039999999994</v>
      </c>
      <c r="G82" s="52">
        <v>40000.039999999994</v>
      </c>
      <c r="H82" s="52">
        <v>40000.039999999994</v>
      </c>
      <c r="I82" s="52">
        <v>40000.039999999994</v>
      </c>
      <c r="J82" s="52">
        <v>40000.039999999986</v>
      </c>
      <c r="K82" s="52">
        <v>40000.039999999994</v>
      </c>
      <c r="L82" s="52">
        <v>40000.039999999994</v>
      </c>
      <c r="M82" s="52">
        <v>40000.039999999994</v>
      </c>
      <c r="N82" s="52">
        <v>40000.039999999994</v>
      </c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</row>
    <row r="83" spans="1:27" outlineLevel="1" x14ac:dyDescent="0.25">
      <c r="A83" s="75" t="str">
        <f t="shared" si="3"/>
        <v>Brændselsforbrug.PolskRest</v>
      </c>
      <c r="B83" s="29" t="s">
        <v>18</v>
      </c>
      <c r="C83" s="30" t="s">
        <v>62</v>
      </c>
      <c r="D83" s="52">
        <v>1880.6688448541586</v>
      </c>
      <c r="E83" s="52">
        <v>1880.6688448541584</v>
      </c>
      <c r="F83" s="52">
        <v>1880.6688448541584</v>
      </c>
      <c r="G83" s="52">
        <v>1880.6688448541584</v>
      </c>
      <c r="H83" s="52">
        <v>1880.6688448541586</v>
      </c>
      <c r="I83" s="52">
        <v>1880.6688448541584</v>
      </c>
      <c r="J83" s="52">
        <v>1880.6688448541586</v>
      </c>
      <c r="K83" s="52">
        <v>1880.6688448541586</v>
      </c>
      <c r="L83" s="52">
        <v>1880.6688448541586</v>
      </c>
      <c r="M83" s="52">
        <v>1880.6688448541586</v>
      </c>
      <c r="N83" s="52">
        <v>1880.6688448541586</v>
      </c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/>
    </row>
    <row r="84" spans="1:27" outlineLevel="1" x14ac:dyDescent="0.25">
      <c r="A84" s="75" t="str">
        <f t="shared" si="3"/>
        <v>Brændselsforbrug.PcbTrae</v>
      </c>
      <c r="B84" s="29" t="s">
        <v>18</v>
      </c>
      <c r="C84" s="30" t="s">
        <v>63</v>
      </c>
      <c r="D84" s="52">
        <v>-1.1999999999999997E-13</v>
      </c>
      <c r="E84" s="52">
        <v>-1.1999999999999997E-13</v>
      </c>
      <c r="F84" s="52">
        <v>-1.1999999999999997E-13</v>
      </c>
      <c r="G84" s="52">
        <v>-1.1999999999999997E-13</v>
      </c>
      <c r="H84" s="52">
        <v>-1.1999999999999997E-13</v>
      </c>
      <c r="I84" s="52">
        <v>-1.1999999999999997E-13</v>
      </c>
      <c r="J84" s="52">
        <v>-1.1999999999999997E-13</v>
      </c>
      <c r="K84" s="52">
        <v>-1.1999999999999997E-13</v>
      </c>
      <c r="L84" s="52">
        <v>-1.1999999999999997E-13</v>
      </c>
      <c r="M84" s="52">
        <v>-1.1999999999999997E-13</v>
      </c>
      <c r="N84" s="52">
        <v>-1.1999999999999997E-13</v>
      </c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  <c r="AA84" s="52"/>
    </row>
    <row r="85" spans="1:27" outlineLevel="1" x14ac:dyDescent="0.25">
      <c r="A85" s="75" t="str">
        <f t="shared" si="3"/>
        <v>Brændselsforbrug.TraeRekv</v>
      </c>
      <c r="B85" s="29" t="s">
        <v>18</v>
      </c>
      <c r="C85" s="30" t="s">
        <v>64</v>
      </c>
      <c r="D85" s="52">
        <v>1375</v>
      </c>
      <c r="E85" s="52">
        <v>1375</v>
      </c>
      <c r="F85" s="52">
        <v>1375</v>
      </c>
      <c r="G85" s="52">
        <v>1375</v>
      </c>
      <c r="H85" s="52">
        <v>1375</v>
      </c>
      <c r="I85" s="52">
        <v>1375</v>
      </c>
      <c r="J85" s="52">
        <v>1375</v>
      </c>
      <c r="K85" s="52">
        <v>1375</v>
      </c>
      <c r="L85" s="52">
        <v>1375</v>
      </c>
      <c r="M85" s="52">
        <v>1375</v>
      </c>
      <c r="N85" s="52">
        <v>1375</v>
      </c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  <c r="AA85" s="52"/>
    </row>
    <row r="86" spans="1:27" outlineLevel="1" x14ac:dyDescent="0.25">
      <c r="A86" s="75" t="str">
        <f t="shared" si="3"/>
        <v>Brændselsforbrug.Halm</v>
      </c>
      <c r="B86" s="29" t="s">
        <v>18</v>
      </c>
      <c r="C86" s="30" t="s">
        <v>65</v>
      </c>
      <c r="D86" s="52">
        <v>-1.1999999999999997E-13</v>
      </c>
      <c r="E86" s="52">
        <v>-1.1999999999999997E-13</v>
      </c>
      <c r="F86" s="52">
        <v>-1.1999999999999997E-13</v>
      </c>
      <c r="G86" s="52">
        <v>-1.1999999999999997E-13</v>
      </c>
      <c r="H86" s="52">
        <v>-1.1999999999999997E-13</v>
      </c>
      <c r="I86" s="52">
        <v>-1.1999999999999997E-13</v>
      </c>
      <c r="J86" s="52">
        <v>-1.1999999999999997E-13</v>
      </c>
      <c r="K86" s="52">
        <v>-1.1999999999999997E-13</v>
      </c>
      <c r="L86" s="52">
        <v>-1.1999999999999997E-13</v>
      </c>
      <c r="M86" s="52">
        <v>-1.1999999999999997E-13</v>
      </c>
      <c r="N86" s="52">
        <v>-1.1999999999999997E-13</v>
      </c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  <c r="AA86" s="52"/>
    </row>
    <row r="87" spans="1:27" outlineLevel="1" x14ac:dyDescent="0.25">
      <c r="A87" s="75" t="str">
        <f t="shared" si="3"/>
        <v>Brændselsforbrug.Pulver</v>
      </c>
      <c r="B87" s="29" t="s">
        <v>18</v>
      </c>
      <c r="C87" s="30" t="s">
        <v>66</v>
      </c>
      <c r="D87" s="52">
        <v>110.00011000000002</v>
      </c>
      <c r="E87" s="52">
        <v>110.00011000000002</v>
      </c>
      <c r="F87" s="52">
        <v>110.00011000000002</v>
      </c>
      <c r="G87" s="52">
        <v>110.00011000000002</v>
      </c>
      <c r="H87" s="52">
        <v>110.00011000000002</v>
      </c>
      <c r="I87" s="52">
        <v>110.00011000000002</v>
      </c>
      <c r="J87" s="52">
        <v>110.00011000000002</v>
      </c>
      <c r="K87" s="52">
        <v>110.00011000000002</v>
      </c>
      <c r="L87" s="52">
        <v>110.00011000000002</v>
      </c>
      <c r="M87" s="52">
        <v>110.00011000000002</v>
      </c>
      <c r="N87" s="52">
        <v>110.00011000000002</v>
      </c>
      <c r="O87" s="52"/>
      <c r="P87" s="52"/>
      <c r="Q87" s="52"/>
      <c r="R87" s="52"/>
      <c r="S87" s="52"/>
      <c r="T87" s="52"/>
      <c r="U87" s="52"/>
      <c r="V87" s="52"/>
      <c r="W87" s="52"/>
      <c r="X87" s="52"/>
      <c r="Y87" s="52"/>
      <c r="Z87" s="52"/>
      <c r="AA87" s="52"/>
    </row>
    <row r="88" spans="1:27" outlineLevel="1" x14ac:dyDescent="0.25">
      <c r="A88" s="75" t="str">
        <f t="shared" si="3"/>
        <v>Brændselsforbrug.FlisAffald</v>
      </c>
      <c r="B88" s="29" t="s">
        <v>18</v>
      </c>
      <c r="C88" s="30" t="s">
        <v>67</v>
      </c>
      <c r="D88" s="52">
        <v>150.00013749999997</v>
      </c>
      <c r="E88" s="52">
        <v>150.00013749999997</v>
      </c>
      <c r="F88" s="52">
        <v>150.00013749999997</v>
      </c>
      <c r="G88" s="52">
        <v>150.00013749999997</v>
      </c>
      <c r="H88" s="52">
        <v>150.00013749999997</v>
      </c>
      <c r="I88" s="52">
        <v>150.00013749999997</v>
      </c>
      <c r="J88" s="52">
        <v>150.00013749999997</v>
      </c>
      <c r="K88" s="52">
        <v>150.00013749999997</v>
      </c>
      <c r="L88" s="52">
        <v>150.00013749999997</v>
      </c>
      <c r="M88" s="52">
        <v>150.00013749999997</v>
      </c>
      <c r="N88" s="52">
        <v>150.00013749999997</v>
      </c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  <c r="AA88" s="52"/>
    </row>
    <row r="89" spans="1:27" outlineLevel="1" x14ac:dyDescent="0.25">
      <c r="A89" s="75" t="str">
        <f t="shared" si="3"/>
        <v>Brændselsforbrug.NyAff1</v>
      </c>
      <c r="B89" s="29" t="s">
        <v>18</v>
      </c>
      <c r="C89" s="30" t="s">
        <v>68</v>
      </c>
      <c r="D89" s="52">
        <v>3963.3779691301447</v>
      </c>
      <c r="E89" s="52">
        <v>1.1999999999999997E-13</v>
      </c>
      <c r="F89" s="52">
        <v>618.87453601739549</v>
      </c>
      <c r="G89" s="52">
        <v>618.87453601739969</v>
      </c>
      <c r="H89" s="52">
        <v>7752.0308295119758</v>
      </c>
      <c r="I89" s="52">
        <v>9825.5597275033633</v>
      </c>
      <c r="J89" s="52">
        <v>1.1999999999999997E-13</v>
      </c>
      <c r="K89" s="52">
        <v>618.87453601739765</v>
      </c>
      <c r="L89" s="52">
        <v>618.87453601739765</v>
      </c>
      <c r="M89" s="52">
        <v>5285.1415404557802</v>
      </c>
      <c r="N89" s="52">
        <v>8503.7961561777265</v>
      </c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  <c r="AA89" s="52"/>
    </row>
    <row r="90" spans="1:27" outlineLevel="1" x14ac:dyDescent="0.25">
      <c r="A90" s="75" t="str">
        <f t="shared" si="3"/>
        <v>Brændselsforbrug.NyAff2</v>
      </c>
      <c r="B90" s="29" t="s">
        <v>18</v>
      </c>
      <c r="C90" s="30" t="s">
        <v>69</v>
      </c>
      <c r="D90" s="52">
        <v>-1.1999999999999997E-13</v>
      </c>
      <c r="E90" s="52">
        <v>-1.1999999999999997E-13</v>
      </c>
      <c r="F90" s="52">
        <v>-1.1999999999999997E-13</v>
      </c>
      <c r="G90" s="52">
        <v>-1.1999999999999997E-13</v>
      </c>
      <c r="H90" s="52">
        <v>-1.1999999999999997E-13</v>
      </c>
      <c r="I90" s="52">
        <v>-1.1999999999999997E-13</v>
      </c>
      <c r="J90" s="52">
        <v>-1.1999999999999997E-13</v>
      </c>
      <c r="K90" s="52">
        <v>-1.1999999999999997E-13</v>
      </c>
      <c r="L90" s="52">
        <v>-1.1999999999999997E-13</v>
      </c>
      <c r="M90" s="52">
        <v>-1.1999999999999997E-13</v>
      </c>
      <c r="N90" s="52">
        <v>-1.1999999999999997E-13</v>
      </c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  <c r="AA90" s="52"/>
    </row>
    <row r="91" spans="1:27" outlineLevel="1" x14ac:dyDescent="0.25">
      <c r="A91" s="75" t="str">
        <f t="shared" si="3"/>
        <v>Brændselsforbrug.NyAff3</v>
      </c>
      <c r="B91" s="29" t="s">
        <v>18</v>
      </c>
      <c r="C91" s="30" t="s">
        <v>70</v>
      </c>
      <c r="D91" s="52">
        <v>-1.1999999999999997E-13</v>
      </c>
      <c r="E91" s="52">
        <v>-1.1999999999999997E-13</v>
      </c>
      <c r="F91" s="52">
        <v>-1.1999999999999997E-13</v>
      </c>
      <c r="G91" s="52">
        <v>-1.1999999999999997E-13</v>
      </c>
      <c r="H91" s="52">
        <v>-1.1999999999999997E-13</v>
      </c>
      <c r="I91" s="52">
        <v>-1.1999999999999997E-13</v>
      </c>
      <c r="J91" s="52">
        <v>-1.1999999999999997E-13</v>
      </c>
      <c r="K91" s="52">
        <v>-1.1999999999999997E-13</v>
      </c>
      <c r="L91" s="52">
        <v>-1.1999999999999997E-13</v>
      </c>
      <c r="M91" s="52">
        <v>-1.1999999999999997E-13</v>
      </c>
      <c r="N91" s="52">
        <v>-1.1999999999999997E-13</v>
      </c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</row>
    <row r="92" spans="1:27" outlineLevel="1" x14ac:dyDescent="0.25">
      <c r="A92" s="75" t="str">
        <f t="shared" si="3"/>
        <v>Brændselsforbrug.NyAff4</v>
      </c>
      <c r="B92" s="29" t="s">
        <v>18</v>
      </c>
      <c r="C92" s="30" t="s">
        <v>71</v>
      </c>
      <c r="D92" s="52">
        <v>-1.1999999999999997E-13</v>
      </c>
      <c r="E92" s="52">
        <v>-1.1999999999999997E-13</v>
      </c>
      <c r="F92" s="52">
        <v>-1.1999999999999997E-13</v>
      </c>
      <c r="G92" s="52">
        <v>-1.1999999999999997E-13</v>
      </c>
      <c r="H92" s="52">
        <v>-1.1999999999999997E-13</v>
      </c>
      <c r="I92" s="52">
        <v>-1.1999999999999997E-13</v>
      </c>
      <c r="J92" s="52">
        <v>-1.1999999999999997E-13</v>
      </c>
      <c r="K92" s="52">
        <v>-1.1999999999999997E-13</v>
      </c>
      <c r="L92" s="52">
        <v>-1.1999999999999997E-13</v>
      </c>
      <c r="M92" s="52">
        <v>-1.1999999999999997E-13</v>
      </c>
      <c r="N92" s="52">
        <v>-1.1999999999999997E-13</v>
      </c>
      <c r="O92" s="52"/>
      <c r="P92" s="52"/>
      <c r="Q92" s="52"/>
      <c r="R92" s="52"/>
      <c r="S92" s="52"/>
      <c r="T92" s="52"/>
      <c r="U92" s="52"/>
      <c r="V92" s="52"/>
      <c r="W92" s="52"/>
      <c r="X92" s="52"/>
      <c r="Y92" s="52"/>
      <c r="Z92" s="52"/>
      <c r="AA92" s="52"/>
    </row>
    <row r="93" spans="1:27" outlineLevel="1" x14ac:dyDescent="0.25">
      <c r="A93" s="75" t="str">
        <f t="shared" si="3"/>
        <v>Brændselsforbrug.NyAff5</v>
      </c>
      <c r="B93" s="29" t="s">
        <v>18</v>
      </c>
      <c r="C93" s="30" t="s">
        <v>72</v>
      </c>
      <c r="D93" s="52">
        <v>-1.1999999999999997E-13</v>
      </c>
      <c r="E93" s="52">
        <v>-1.1999999999999997E-13</v>
      </c>
      <c r="F93" s="52">
        <v>-1.1999999999999997E-13</v>
      </c>
      <c r="G93" s="52">
        <v>-1.1999999999999997E-13</v>
      </c>
      <c r="H93" s="52">
        <v>-1.1999999999999997E-13</v>
      </c>
      <c r="I93" s="52">
        <v>-1.1999999999999997E-13</v>
      </c>
      <c r="J93" s="52">
        <v>-1.1999999999999997E-13</v>
      </c>
      <c r="K93" s="52">
        <v>-1.1999999999999997E-13</v>
      </c>
      <c r="L93" s="52">
        <v>-1.1999999999999997E-13</v>
      </c>
      <c r="M93" s="52">
        <v>-1.1999999999999997E-13</v>
      </c>
      <c r="N93" s="52">
        <v>-1.1999999999999997E-13</v>
      </c>
      <c r="O93" s="52"/>
      <c r="P93" s="52"/>
      <c r="Q93" s="52"/>
      <c r="R93" s="52"/>
      <c r="S93" s="52"/>
      <c r="T93" s="52"/>
      <c r="U93" s="52"/>
      <c r="V93" s="52"/>
      <c r="W93" s="52"/>
      <c r="X93" s="52"/>
      <c r="Y93" s="52"/>
      <c r="Z93" s="52"/>
      <c r="AA93" s="52"/>
    </row>
    <row r="94" spans="1:27" outlineLevel="1" x14ac:dyDescent="0.25">
      <c r="A94" s="75" t="str">
        <f t="shared" si="3"/>
        <v>Brændselsforbrug.Flis</v>
      </c>
      <c r="B94" s="29" t="s">
        <v>18</v>
      </c>
      <c r="C94" s="30" t="s">
        <v>73</v>
      </c>
      <c r="D94" s="52">
        <v>13959.909067223767</v>
      </c>
      <c r="E94" s="52">
        <v>14316.914541491917</v>
      </c>
      <c r="F94" s="52">
        <v>13959.909067223767</v>
      </c>
      <c r="G94" s="52">
        <v>13959.909067223767</v>
      </c>
      <c r="H94" s="52">
        <v>13239.007940815756</v>
      </c>
      <c r="I94" s="52">
        <v>11086.664448346573</v>
      </c>
      <c r="J94" s="52">
        <v>14316.914541491917</v>
      </c>
      <c r="K94" s="52">
        <v>13959.909067223767</v>
      </c>
      <c r="L94" s="52">
        <v>13959.909067223767</v>
      </c>
      <c r="M94" s="52">
        <v>11086.664448346573</v>
      </c>
      <c r="N94" s="52">
        <v>13959.909067223767</v>
      </c>
      <c r="O94" s="52"/>
      <c r="P94" s="52"/>
      <c r="Q94" s="52"/>
      <c r="R94" s="52"/>
      <c r="S94" s="52"/>
      <c r="T94" s="52"/>
      <c r="U94" s="52"/>
      <c r="V94" s="52"/>
      <c r="W94" s="52"/>
      <c r="X94" s="52"/>
      <c r="Y94" s="52"/>
      <c r="Z94" s="52"/>
      <c r="AA94" s="52"/>
    </row>
    <row r="95" spans="1:27" outlineLevel="1" x14ac:dyDescent="0.25">
      <c r="A95" s="75" t="str">
        <f t="shared" si="3"/>
        <v>Brændselsforbrug.NSvarme</v>
      </c>
      <c r="B95" s="29" t="s">
        <v>18</v>
      </c>
      <c r="C95" s="30" t="s">
        <v>74</v>
      </c>
      <c r="D95" s="52">
        <v>9600</v>
      </c>
      <c r="E95" s="52">
        <v>9600</v>
      </c>
      <c r="F95" s="52">
        <v>9600</v>
      </c>
      <c r="G95" s="52">
        <v>9600</v>
      </c>
      <c r="H95" s="52">
        <v>9600</v>
      </c>
      <c r="I95" s="52">
        <v>9600</v>
      </c>
      <c r="J95" s="52">
        <v>9600</v>
      </c>
      <c r="K95" s="52">
        <v>9600</v>
      </c>
      <c r="L95" s="52">
        <v>9600</v>
      </c>
      <c r="M95" s="52">
        <v>9600</v>
      </c>
      <c r="N95" s="52">
        <v>9600</v>
      </c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</row>
    <row r="96" spans="1:27" outlineLevel="1" x14ac:dyDescent="0.25">
      <c r="A96" s="75" t="str">
        <f t="shared" si="3"/>
        <v>Brændselsforbrug.PeakFuel</v>
      </c>
      <c r="B96" s="29" t="s">
        <v>18</v>
      </c>
      <c r="C96" s="30" t="s">
        <v>75</v>
      </c>
      <c r="D96" s="52">
        <v>1.1999999999999997E-13</v>
      </c>
      <c r="E96" s="52">
        <v>1.1999999999999997E-13</v>
      </c>
      <c r="F96" s="52">
        <v>1.1999999999999997E-13</v>
      </c>
      <c r="G96" s="52">
        <v>1.1999999999999997E-13</v>
      </c>
      <c r="H96" s="52">
        <v>1.1999999999999997E-13</v>
      </c>
      <c r="I96" s="52">
        <v>1.1999999999999997E-13</v>
      </c>
      <c r="J96" s="52">
        <v>1.1999999999999997E-13</v>
      </c>
      <c r="K96" s="52">
        <v>1.1999999999999997E-13</v>
      </c>
      <c r="L96" s="52">
        <v>1.1999999999999997E-13</v>
      </c>
      <c r="M96" s="52">
        <v>1.1999999999999997E-13</v>
      </c>
      <c r="N96" s="52">
        <v>1.1999999999999997E-13</v>
      </c>
      <c r="O96" s="52"/>
      <c r="P96" s="52"/>
      <c r="Q96" s="52"/>
      <c r="R96" s="52"/>
      <c r="S96" s="52"/>
      <c r="T96" s="52"/>
      <c r="U96" s="52"/>
      <c r="V96" s="52"/>
      <c r="W96" s="52"/>
      <c r="X96" s="52"/>
      <c r="Y96" s="52"/>
      <c r="Z96" s="52"/>
      <c r="AA96" s="52"/>
    </row>
    <row r="97" spans="1:27" outlineLevel="1" x14ac:dyDescent="0.25">
      <c r="A97" s="76" t="str">
        <f t="shared" si="3"/>
        <v/>
      </c>
      <c r="B97" s="29"/>
      <c r="C97" s="30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</row>
    <row r="98" spans="1:27" outlineLevel="1" x14ac:dyDescent="0.25">
      <c r="A98" s="71" t="str">
        <f t="shared" si="3"/>
        <v/>
      </c>
      <c r="B98" s="8"/>
      <c r="C98" s="31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</row>
    <row r="99" spans="1:27" s="21" customFormat="1" ht="18.75" x14ac:dyDescent="0.3">
      <c r="A99" s="66"/>
      <c r="B99" s="34" t="s">
        <v>3</v>
      </c>
      <c r="C99" s="34" t="s">
        <v>76</v>
      </c>
      <c r="D99" s="33" t="s">
        <v>77</v>
      </c>
      <c r="E99" s="33" t="s">
        <v>78</v>
      </c>
      <c r="F99" s="33" t="s">
        <v>95</v>
      </c>
      <c r="G99" s="33" t="s">
        <v>96</v>
      </c>
      <c r="H99" s="33" t="s">
        <v>97</v>
      </c>
      <c r="I99" s="33" t="s">
        <v>98</v>
      </c>
      <c r="J99" s="33" t="s">
        <v>99</v>
      </c>
      <c r="K99" s="33" t="s">
        <v>100</v>
      </c>
      <c r="L99" s="33" t="s">
        <v>101</v>
      </c>
      <c r="M99" s="33" t="s">
        <v>102</v>
      </c>
      <c r="N99" s="33" t="s">
        <v>103</v>
      </c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</row>
    <row r="100" spans="1:27" outlineLevel="1" x14ac:dyDescent="0.25">
      <c r="A100" s="70" t="str">
        <f>IF(NOT(ISBLANK(C100)),$C$99&amp;"."&amp;C100,"")</f>
        <v>Brændselsindkomst.DepoSort</v>
      </c>
      <c r="B100" s="57" t="s">
        <v>2</v>
      </c>
      <c r="C100" s="54" t="s">
        <v>47</v>
      </c>
      <c r="D100" s="53">
        <v>4773829.3760062484</v>
      </c>
      <c r="E100" s="53">
        <v>4773829.3760062484</v>
      </c>
      <c r="F100" s="53">
        <v>4773829.3760062484</v>
      </c>
      <c r="G100" s="53">
        <v>4773829.3760062484</v>
      </c>
      <c r="H100" s="53">
        <v>4773829.3760062484</v>
      </c>
      <c r="I100" s="53">
        <v>4773829.3760062484</v>
      </c>
      <c r="J100" s="53">
        <v>4773829.3760062484</v>
      </c>
      <c r="K100" s="53">
        <v>4773829.3760062484</v>
      </c>
      <c r="L100" s="53">
        <v>4773829.3760062484</v>
      </c>
      <c r="M100" s="53">
        <v>4773829.3760062484</v>
      </c>
      <c r="N100" s="53">
        <v>4773829.3760062484</v>
      </c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</row>
    <row r="101" spans="1:27" outlineLevel="1" x14ac:dyDescent="0.25">
      <c r="A101" s="75" t="str">
        <f t="shared" ref="A101:A134" si="4">IF(NOT(ISBLANK(C101)),$C$99&amp;"."&amp;C101,"")</f>
        <v>Brændselsindkomst.DepoSmaat</v>
      </c>
      <c r="B101" s="57" t="s">
        <v>2</v>
      </c>
      <c r="C101" s="54" t="s">
        <v>48</v>
      </c>
      <c r="D101" s="53">
        <v>-1.1999999999999997E-13</v>
      </c>
      <c r="E101" s="53">
        <v>-1.1999999999999997E-13</v>
      </c>
      <c r="F101" s="53">
        <v>-1.1999999999999997E-13</v>
      </c>
      <c r="G101" s="53">
        <v>-1.1999999999999997E-13</v>
      </c>
      <c r="H101" s="53">
        <v>-1.1999999999999997E-13</v>
      </c>
      <c r="I101" s="53">
        <v>-1.1999999999999997E-13</v>
      </c>
      <c r="J101" s="53">
        <v>-1.1999999999999997E-13</v>
      </c>
      <c r="K101" s="53">
        <v>-1.1999999999999997E-13</v>
      </c>
      <c r="L101" s="53">
        <v>-1.1999999999999997E-13</v>
      </c>
      <c r="M101" s="53">
        <v>-1.1999999999999997E-13</v>
      </c>
      <c r="N101" s="53">
        <v>-1.1999999999999997E-13</v>
      </c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</row>
    <row r="102" spans="1:27" outlineLevel="1" x14ac:dyDescent="0.25">
      <c r="A102" s="75" t="str">
        <f t="shared" si="4"/>
        <v>Brændselsindkomst.DepoNedd</v>
      </c>
      <c r="B102" s="57" t="s">
        <v>2</v>
      </c>
      <c r="C102" s="54" t="s">
        <v>49</v>
      </c>
      <c r="D102" s="53">
        <v>-1.1999999999999997E-13</v>
      </c>
      <c r="E102" s="53">
        <v>-1.1999999999999997E-13</v>
      </c>
      <c r="F102" s="53">
        <v>-1.1999999999999997E-13</v>
      </c>
      <c r="G102" s="53">
        <v>-1.1999999999999997E-13</v>
      </c>
      <c r="H102" s="53">
        <v>-1.1999999999999997E-13</v>
      </c>
      <c r="I102" s="53">
        <v>-1.1999999999999997E-13</v>
      </c>
      <c r="J102" s="53">
        <v>-1.1999999999999997E-13</v>
      </c>
      <c r="K102" s="53">
        <v>-1.1999999999999997E-13</v>
      </c>
      <c r="L102" s="53">
        <v>-1.1999999999999997E-13</v>
      </c>
      <c r="M102" s="53">
        <v>-1.1999999999999997E-13</v>
      </c>
      <c r="N102" s="53">
        <v>-1.1999999999999997E-13</v>
      </c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</row>
    <row r="103" spans="1:27" outlineLevel="1" x14ac:dyDescent="0.25">
      <c r="A103" s="75" t="str">
        <f t="shared" si="4"/>
        <v>Brændselsindkomst.Dagren</v>
      </c>
      <c r="B103" s="57" t="s">
        <v>2</v>
      </c>
      <c r="C103" s="54" t="s">
        <v>50</v>
      </c>
      <c r="D103" s="53">
        <v>15156238.893206248</v>
      </c>
      <c r="E103" s="53">
        <v>15156238.893206248</v>
      </c>
      <c r="F103" s="53">
        <v>15156238.893206248</v>
      </c>
      <c r="G103" s="53">
        <v>15156238.893206248</v>
      </c>
      <c r="H103" s="53">
        <v>15156238.893206248</v>
      </c>
      <c r="I103" s="53">
        <v>15156238.893206248</v>
      </c>
      <c r="J103" s="53">
        <v>15156238.893206248</v>
      </c>
      <c r="K103" s="53">
        <v>15156238.893206248</v>
      </c>
      <c r="L103" s="53">
        <v>15156238.893206248</v>
      </c>
      <c r="M103" s="53">
        <v>15156238.893206248</v>
      </c>
      <c r="N103" s="53">
        <v>15156238.893206248</v>
      </c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</row>
    <row r="104" spans="1:27" outlineLevel="1" x14ac:dyDescent="0.25">
      <c r="A104" s="75" t="str">
        <f t="shared" si="4"/>
        <v>Brændselsindkomst.AndetBrand</v>
      </c>
      <c r="B104" s="57" t="s">
        <v>2</v>
      </c>
      <c r="C104" s="54" t="s">
        <v>51</v>
      </c>
      <c r="D104" s="53">
        <v>1837501.6843749997</v>
      </c>
      <c r="E104" s="53">
        <v>1837501.6843749997</v>
      </c>
      <c r="F104" s="53">
        <v>1837501.6843749997</v>
      </c>
      <c r="G104" s="53">
        <v>1837501.6843749997</v>
      </c>
      <c r="H104" s="53">
        <v>1837501.6843749997</v>
      </c>
      <c r="I104" s="53">
        <v>1837501.6843749997</v>
      </c>
      <c r="J104" s="53">
        <v>1837501.6843749997</v>
      </c>
      <c r="K104" s="53">
        <v>1837501.6843749997</v>
      </c>
      <c r="L104" s="53">
        <v>1837501.6843749997</v>
      </c>
      <c r="M104" s="53">
        <v>1837501.6843749997</v>
      </c>
      <c r="N104" s="53">
        <v>1837501.6843749997</v>
      </c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</row>
    <row r="105" spans="1:27" outlineLevel="1" x14ac:dyDescent="0.25">
      <c r="A105" s="75" t="str">
        <f t="shared" si="4"/>
        <v>Brændselsindkomst.Trae</v>
      </c>
      <c r="B105" s="57" t="s">
        <v>2</v>
      </c>
      <c r="C105" s="54" t="s">
        <v>52</v>
      </c>
      <c r="D105" s="53">
        <v>-1.1999999999999997E-13</v>
      </c>
      <c r="E105" s="53">
        <v>-1.1999999999999997E-13</v>
      </c>
      <c r="F105" s="53">
        <v>-1.1999999999999997E-13</v>
      </c>
      <c r="G105" s="53">
        <v>-1.1999999999999997E-13</v>
      </c>
      <c r="H105" s="53">
        <v>-1.1999999999999997E-13</v>
      </c>
      <c r="I105" s="53">
        <v>-1.1999999999999997E-13</v>
      </c>
      <c r="J105" s="53">
        <v>-1.1999999999999997E-13</v>
      </c>
      <c r="K105" s="53">
        <v>-1.1999999999999997E-13</v>
      </c>
      <c r="L105" s="53">
        <v>-1.1999999999999997E-13</v>
      </c>
      <c r="M105" s="53">
        <v>-1.1999999999999997E-13</v>
      </c>
      <c r="N105" s="53">
        <v>-1.1999999999999997E-13</v>
      </c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</row>
    <row r="106" spans="1:27" outlineLevel="1" x14ac:dyDescent="0.25">
      <c r="A106" s="75" t="str">
        <f t="shared" si="4"/>
        <v>Brændselsindkomst.DagrenRast</v>
      </c>
      <c r="B106" s="57" t="s">
        <v>2</v>
      </c>
      <c r="C106" s="54" t="s">
        <v>53</v>
      </c>
      <c r="D106" s="53">
        <v>-1.1999999999999997E-13</v>
      </c>
      <c r="E106" s="53">
        <v>-1.1999999999999997E-13</v>
      </c>
      <c r="F106" s="53">
        <v>-1.1999999999999997E-13</v>
      </c>
      <c r="G106" s="53">
        <v>-1.1999999999999997E-13</v>
      </c>
      <c r="H106" s="53">
        <v>-1.1999999999999997E-13</v>
      </c>
      <c r="I106" s="53">
        <v>-1.1999999999999997E-13</v>
      </c>
      <c r="J106" s="53">
        <v>-1.1999999999999997E-13</v>
      </c>
      <c r="K106" s="53">
        <v>-1.1999999999999997E-13</v>
      </c>
      <c r="L106" s="53">
        <v>-1.1999999999999997E-13</v>
      </c>
      <c r="M106" s="53">
        <v>-1.1999999999999997E-13</v>
      </c>
      <c r="N106" s="53">
        <v>-1.1999999999999997E-13</v>
      </c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</row>
    <row r="107" spans="1:27" outlineLevel="1" x14ac:dyDescent="0.25">
      <c r="A107" s="75" t="str">
        <f t="shared" si="4"/>
        <v>Brændselsindkomst.DagrenInst</v>
      </c>
      <c r="B107" s="57" t="s">
        <v>2</v>
      </c>
      <c r="C107" s="54" t="s">
        <v>54</v>
      </c>
      <c r="D107" s="53">
        <v>4095003.7537500001</v>
      </c>
      <c r="E107" s="53">
        <v>4095003.7537500001</v>
      </c>
      <c r="F107" s="53">
        <v>4095003.7537500001</v>
      </c>
      <c r="G107" s="53">
        <v>4095003.7537500001</v>
      </c>
      <c r="H107" s="53">
        <v>4095003.7537500001</v>
      </c>
      <c r="I107" s="53">
        <v>4095003.7537500001</v>
      </c>
      <c r="J107" s="53">
        <v>4095003.7537500001</v>
      </c>
      <c r="K107" s="53">
        <v>4095003.7537500001</v>
      </c>
      <c r="L107" s="53">
        <v>4095003.7537500001</v>
      </c>
      <c r="M107" s="53">
        <v>4095003.7537500001</v>
      </c>
      <c r="N107" s="53">
        <v>4095003.7537500001</v>
      </c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</row>
    <row r="108" spans="1:27" outlineLevel="1" x14ac:dyDescent="0.25">
      <c r="A108" s="75" t="str">
        <f t="shared" si="4"/>
        <v>Brændselsindkomst.DagrenHandel</v>
      </c>
      <c r="B108" s="57" t="s">
        <v>2</v>
      </c>
      <c r="C108" s="54" t="s">
        <v>55</v>
      </c>
      <c r="D108" s="53">
        <v>-1.1999999999999997E-13</v>
      </c>
      <c r="E108" s="53">
        <v>-1.1999999999999997E-13</v>
      </c>
      <c r="F108" s="53">
        <v>-1.1999999999999997E-13</v>
      </c>
      <c r="G108" s="53">
        <v>-1.1999999999999997E-13</v>
      </c>
      <c r="H108" s="53">
        <v>-1.1999999999999997E-13</v>
      </c>
      <c r="I108" s="53">
        <v>-1.1999999999999997E-13</v>
      </c>
      <c r="J108" s="53">
        <v>-1.1999999999999997E-13</v>
      </c>
      <c r="K108" s="53">
        <v>-1.1999999999999997E-13</v>
      </c>
      <c r="L108" s="53">
        <v>-1.1999999999999997E-13</v>
      </c>
      <c r="M108" s="53">
        <v>-1.1999999999999997E-13</v>
      </c>
      <c r="N108" s="53">
        <v>-1.1999999999999997E-13</v>
      </c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</row>
    <row r="109" spans="1:27" outlineLevel="1" x14ac:dyDescent="0.25">
      <c r="A109" s="75" t="str">
        <f t="shared" si="4"/>
        <v>Brændselsindkomst.DagrenRestau</v>
      </c>
      <c r="B109" s="57" t="s">
        <v>2</v>
      </c>
      <c r="C109" s="54" t="s">
        <v>56</v>
      </c>
      <c r="D109" s="53">
        <v>-1.1999999999999997E-13</v>
      </c>
      <c r="E109" s="53">
        <v>-1.1999999999999997E-13</v>
      </c>
      <c r="F109" s="53">
        <v>-1.1999999999999997E-13</v>
      </c>
      <c r="G109" s="53">
        <v>-1.1999999999999997E-13</v>
      </c>
      <c r="H109" s="53">
        <v>-1.1999999999999997E-13</v>
      </c>
      <c r="I109" s="53">
        <v>-1.1999999999999997E-13</v>
      </c>
      <c r="J109" s="53">
        <v>-1.1999999999999997E-13</v>
      </c>
      <c r="K109" s="53">
        <v>-1.1999999999999997E-13</v>
      </c>
      <c r="L109" s="53">
        <v>-1.1999999999999997E-13</v>
      </c>
      <c r="M109" s="53">
        <v>-1.1999999999999997E-13</v>
      </c>
      <c r="N109" s="53">
        <v>-1.1999999999999997E-13</v>
      </c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</row>
    <row r="110" spans="1:27" outlineLevel="1" x14ac:dyDescent="0.25">
      <c r="A110" s="75" t="str">
        <f t="shared" si="4"/>
        <v>Brændselsindkomst.Erhverv</v>
      </c>
      <c r="B110" s="57" t="s">
        <v>2</v>
      </c>
      <c r="C110" s="54" t="s">
        <v>57</v>
      </c>
      <c r="D110" s="53">
        <v>2730002.5024999999</v>
      </c>
      <c r="E110" s="53">
        <v>2730002.5024999999</v>
      </c>
      <c r="F110" s="53">
        <v>2730002.5024999999</v>
      </c>
      <c r="G110" s="53">
        <v>2730002.5024999999</v>
      </c>
      <c r="H110" s="53">
        <v>2730002.5024999999</v>
      </c>
      <c r="I110" s="53">
        <v>2730002.5024999999</v>
      </c>
      <c r="J110" s="53">
        <v>2730002.5024999999</v>
      </c>
      <c r="K110" s="53">
        <v>2730002.5024999999</v>
      </c>
      <c r="L110" s="53">
        <v>2730002.5024999999</v>
      </c>
      <c r="M110" s="53">
        <v>2730002.5024999999</v>
      </c>
      <c r="N110" s="53">
        <v>2730002.5024999999</v>
      </c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</row>
    <row r="111" spans="1:27" outlineLevel="1" x14ac:dyDescent="0.25">
      <c r="A111" s="75" t="str">
        <f t="shared" si="4"/>
        <v>Brændselsindkomst.DagrenErhverv</v>
      </c>
      <c r="B111" s="57" t="s">
        <v>2</v>
      </c>
      <c r="C111" s="54" t="s">
        <v>58</v>
      </c>
      <c r="D111" s="53">
        <v>359792.02645833325</v>
      </c>
      <c r="E111" s="53">
        <v>359792.02645833325</v>
      </c>
      <c r="F111" s="53">
        <v>359792.02645833325</v>
      </c>
      <c r="G111" s="53">
        <v>359792.02645833325</v>
      </c>
      <c r="H111" s="53">
        <v>359792.02645833325</v>
      </c>
      <c r="I111" s="53">
        <v>359792.02645833325</v>
      </c>
      <c r="J111" s="53">
        <v>359792.02645833325</v>
      </c>
      <c r="K111" s="53">
        <v>359792.02645833325</v>
      </c>
      <c r="L111" s="53">
        <v>359792.02645833325</v>
      </c>
      <c r="M111" s="53">
        <v>359792.02645833325</v>
      </c>
      <c r="N111" s="53">
        <v>359792.02645833325</v>
      </c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</row>
    <row r="112" spans="1:27" outlineLevel="1" x14ac:dyDescent="0.25">
      <c r="A112" s="75" t="str">
        <f t="shared" si="4"/>
        <v>Brændselsindkomst.HandelKontor</v>
      </c>
      <c r="B112" s="57" t="s">
        <v>2</v>
      </c>
      <c r="C112" s="54" t="s">
        <v>59</v>
      </c>
      <c r="D112" s="53">
        <v>-1.1999999999999997E-13</v>
      </c>
      <c r="E112" s="53">
        <v>-1.1999999999999997E-13</v>
      </c>
      <c r="F112" s="53">
        <v>-1.1999999999999997E-13</v>
      </c>
      <c r="G112" s="53">
        <v>-1.1999999999999997E-13</v>
      </c>
      <c r="H112" s="53">
        <v>-1.1999999999999997E-13</v>
      </c>
      <c r="I112" s="53">
        <v>-1.1999999999999997E-13</v>
      </c>
      <c r="J112" s="53">
        <v>-1.1999999999999997E-13</v>
      </c>
      <c r="K112" s="53">
        <v>-1.1999999999999997E-13</v>
      </c>
      <c r="L112" s="53">
        <v>-1.1999999999999997E-13</v>
      </c>
      <c r="M112" s="53">
        <v>-1.1999999999999997E-13</v>
      </c>
      <c r="N112" s="53">
        <v>-1.1999999999999997E-13</v>
      </c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</row>
    <row r="113" spans="1:27" outlineLevel="1" x14ac:dyDescent="0.25">
      <c r="A113" s="75" t="str">
        <f t="shared" si="4"/>
        <v>Brændselsindkomst.Privat</v>
      </c>
      <c r="B113" s="57" t="s">
        <v>2</v>
      </c>
      <c r="C113" s="54" t="s">
        <v>60</v>
      </c>
      <c r="D113" s="53">
        <v>-1.1999999999999997E-13</v>
      </c>
      <c r="E113" s="53">
        <v>-1.1999999999999997E-13</v>
      </c>
      <c r="F113" s="53">
        <v>-1.1999999999999997E-13</v>
      </c>
      <c r="G113" s="53">
        <v>-1.1999999999999997E-13</v>
      </c>
      <c r="H113" s="53">
        <v>-1.1999999999999997E-13</v>
      </c>
      <c r="I113" s="53">
        <v>-1.1999999999999997E-13</v>
      </c>
      <c r="J113" s="53">
        <v>-1.1999999999999997E-13</v>
      </c>
      <c r="K113" s="53">
        <v>-1.1999999999999997E-13</v>
      </c>
      <c r="L113" s="53">
        <v>-1.1999999999999997E-13</v>
      </c>
      <c r="M113" s="53">
        <v>-1.1999999999999997E-13</v>
      </c>
      <c r="N113" s="53">
        <v>-1.1999999999999997E-13</v>
      </c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</row>
    <row r="114" spans="1:27" outlineLevel="1" x14ac:dyDescent="0.25">
      <c r="A114" s="75" t="str">
        <f t="shared" si="4"/>
        <v>Brændselsindkomst.TyskRest</v>
      </c>
      <c r="B114" s="57" t="s">
        <v>2</v>
      </c>
      <c r="C114" s="54" t="s">
        <v>61</v>
      </c>
      <c r="D114" s="53">
        <v>16000015.999999996</v>
      </c>
      <c r="E114" s="53">
        <v>16000015.999999996</v>
      </c>
      <c r="F114" s="53">
        <v>16000015.999999996</v>
      </c>
      <c r="G114" s="53">
        <v>16000015.999999996</v>
      </c>
      <c r="H114" s="53">
        <v>16000015.999999996</v>
      </c>
      <c r="I114" s="53">
        <v>16000015.999999996</v>
      </c>
      <c r="J114" s="53">
        <v>16000015.999999996</v>
      </c>
      <c r="K114" s="53">
        <v>16000015.999999996</v>
      </c>
      <c r="L114" s="53">
        <v>16000015.999999996</v>
      </c>
      <c r="M114" s="53">
        <v>16000015.999999996</v>
      </c>
      <c r="N114" s="53">
        <v>16000015.999999996</v>
      </c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</row>
    <row r="115" spans="1:27" outlineLevel="1" x14ac:dyDescent="0.25">
      <c r="A115" s="75" t="str">
        <f t="shared" si="4"/>
        <v>Brændselsindkomst.PolskRest</v>
      </c>
      <c r="B115" s="57" t="s">
        <v>2</v>
      </c>
      <c r="C115" s="54" t="s">
        <v>62</v>
      </c>
      <c r="D115" s="53">
        <v>968544.45509989199</v>
      </c>
      <c r="E115" s="53">
        <v>968544.45509989199</v>
      </c>
      <c r="F115" s="53">
        <v>968544.45509989199</v>
      </c>
      <c r="G115" s="53">
        <v>968544.45509989199</v>
      </c>
      <c r="H115" s="53">
        <v>968544.45509989199</v>
      </c>
      <c r="I115" s="53">
        <v>968544.45509989199</v>
      </c>
      <c r="J115" s="53">
        <v>968544.45509989199</v>
      </c>
      <c r="K115" s="53">
        <v>968544.45509989199</v>
      </c>
      <c r="L115" s="53">
        <v>968544.45509989199</v>
      </c>
      <c r="M115" s="53">
        <v>968544.45509989199</v>
      </c>
      <c r="N115" s="53">
        <v>968544.45509989199</v>
      </c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</row>
    <row r="116" spans="1:27" outlineLevel="1" x14ac:dyDescent="0.25">
      <c r="A116" s="75" t="str">
        <f t="shared" si="4"/>
        <v>Brændselsindkomst.PcbTrae</v>
      </c>
      <c r="B116" s="57" t="s">
        <v>2</v>
      </c>
      <c r="C116" s="54" t="s">
        <v>63</v>
      </c>
      <c r="D116" s="53">
        <v>-1.1999999999999997E-13</v>
      </c>
      <c r="E116" s="53">
        <v>-1.1999999999999997E-13</v>
      </c>
      <c r="F116" s="53">
        <v>-1.1999999999999997E-13</v>
      </c>
      <c r="G116" s="53">
        <v>-1.1999999999999997E-13</v>
      </c>
      <c r="H116" s="53">
        <v>-1.1999999999999997E-13</v>
      </c>
      <c r="I116" s="53">
        <v>-1.1999999999999997E-13</v>
      </c>
      <c r="J116" s="53">
        <v>-1.1999999999999997E-13</v>
      </c>
      <c r="K116" s="53">
        <v>-1.1999999999999997E-13</v>
      </c>
      <c r="L116" s="53">
        <v>-1.1999999999999997E-13</v>
      </c>
      <c r="M116" s="53">
        <v>-1.1999999999999997E-13</v>
      </c>
      <c r="N116" s="53">
        <v>-1.1999999999999997E-13</v>
      </c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</row>
    <row r="117" spans="1:27" outlineLevel="1" x14ac:dyDescent="0.25">
      <c r="A117" s="75" t="str">
        <f t="shared" si="4"/>
        <v>Brændselsindkomst.TraeRekv</v>
      </c>
      <c r="B117" s="57" t="s">
        <v>2</v>
      </c>
      <c r="C117" s="54" t="s">
        <v>64</v>
      </c>
      <c r="D117" s="53">
        <v>1.1999999999999997E-13</v>
      </c>
      <c r="E117" s="53">
        <v>1.1999999999999997E-13</v>
      </c>
      <c r="F117" s="53">
        <v>1.1999999999999997E-13</v>
      </c>
      <c r="G117" s="53">
        <v>1.1999999999999997E-13</v>
      </c>
      <c r="H117" s="53">
        <v>1.1999999999999997E-13</v>
      </c>
      <c r="I117" s="53">
        <v>1.1999999999999997E-13</v>
      </c>
      <c r="J117" s="53">
        <v>1.1999999999999997E-13</v>
      </c>
      <c r="K117" s="53">
        <v>1.1999999999999997E-13</v>
      </c>
      <c r="L117" s="53">
        <v>1.1999999999999997E-13</v>
      </c>
      <c r="M117" s="53">
        <v>1.1999999999999997E-13</v>
      </c>
      <c r="N117" s="53">
        <v>1.1999999999999997E-13</v>
      </c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</row>
    <row r="118" spans="1:27" outlineLevel="1" x14ac:dyDescent="0.25">
      <c r="A118" s="75" t="str">
        <f t="shared" si="4"/>
        <v>Brændselsindkomst.Halm</v>
      </c>
      <c r="B118" s="57" t="s">
        <v>2</v>
      </c>
      <c r="C118" s="54" t="s">
        <v>65</v>
      </c>
      <c r="D118" s="53">
        <v>-1.1999999999999997E-13</v>
      </c>
      <c r="E118" s="53">
        <v>-1.1999999999999997E-13</v>
      </c>
      <c r="F118" s="53">
        <v>-1.1999999999999997E-13</v>
      </c>
      <c r="G118" s="53">
        <v>-1.1999999999999997E-13</v>
      </c>
      <c r="H118" s="53">
        <v>-1.1999999999999997E-13</v>
      </c>
      <c r="I118" s="53">
        <v>-1.1999999999999997E-13</v>
      </c>
      <c r="J118" s="53">
        <v>-1.1999999999999997E-13</v>
      </c>
      <c r="K118" s="53">
        <v>-1.1999999999999997E-13</v>
      </c>
      <c r="L118" s="53">
        <v>-1.1999999999999997E-13</v>
      </c>
      <c r="M118" s="53">
        <v>-1.1999999999999997E-13</v>
      </c>
      <c r="N118" s="53">
        <v>-1.1999999999999997E-13</v>
      </c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</row>
    <row r="119" spans="1:27" outlineLevel="1" x14ac:dyDescent="0.25">
      <c r="A119" s="75" t="str">
        <f t="shared" si="4"/>
        <v>Brændselsindkomst.Pulver</v>
      </c>
      <c r="B119" s="57" t="s">
        <v>2</v>
      </c>
      <c r="C119" s="54" t="s">
        <v>66</v>
      </c>
      <c r="D119" s="53">
        <v>75350.075349999999</v>
      </c>
      <c r="E119" s="53">
        <v>75350.075349999999</v>
      </c>
      <c r="F119" s="53">
        <v>75350.075349999999</v>
      </c>
      <c r="G119" s="53">
        <v>75350.075349999999</v>
      </c>
      <c r="H119" s="53">
        <v>75350.075349999999</v>
      </c>
      <c r="I119" s="53">
        <v>75350.075349999999</v>
      </c>
      <c r="J119" s="53">
        <v>75350.075349999999</v>
      </c>
      <c r="K119" s="53">
        <v>75350.075349999999</v>
      </c>
      <c r="L119" s="53">
        <v>75350.075349999999</v>
      </c>
      <c r="M119" s="53">
        <v>75350.075349999999</v>
      </c>
      <c r="N119" s="53">
        <v>75350.075349999999</v>
      </c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</row>
    <row r="120" spans="1:27" outlineLevel="1" x14ac:dyDescent="0.25">
      <c r="A120" s="75" t="str">
        <f t="shared" si="4"/>
        <v>Brændselsindkomst.FlisAffald</v>
      </c>
      <c r="B120" s="57" t="s">
        <v>2</v>
      </c>
      <c r="C120" s="54" t="s">
        <v>67</v>
      </c>
      <c r="D120" s="53">
        <v>23250.021312500001</v>
      </c>
      <c r="E120" s="53">
        <v>23250.021312500001</v>
      </c>
      <c r="F120" s="53">
        <v>23250.021312500001</v>
      </c>
      <c r="G120" s="53">
        <v>23250.021312500001</v>
      </c>
      <c r="H120" s="53">
        <v>23250.021312500001</v>
      </c>
      <c r="I120" s="53">
        <v>23250.021312500001</v>
      </c>
      <c r="J120" s="53">
        <v>23250.021312500001</v>
      </c>
      <c r="K120" s="53">
        <v>23250.021312500001</v>
      </c>
      <c r="L120" s="53">
        <v>23250.021312500001</v>
      </c>
      <c r="M120" s="53">
        <v>23250.021312500001</v>
      </c>
      <c r="N120" s="53">
        <v>23250.021312500001</v>
      </c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</row>
    <row r="121" spans="1:27" outlineLevel="1" x14ac:dyDescent="0.25">
      <c r="A121" s="75" t="str">
        <f t="shared" si="4"/>
        <v>Brændselsindkomst.NyAff1</v>
      </c>
      <c r="B121" s="57" t="s">
        <v>2</v>
      </c>
      <c r="C121" s="54" t="s">
        <v>68</v>
      </c>
      <c r="D121" s="53">
        <v>-1595259.6325748833</v>
      </c>
      <c r="E121" s="53">
        <v>1.1999999999999997E-13</v>
      </c>
      <c r="F121" s="53">
        <v>-249097.00074700167</v>
      </c>
      <c r="G121" s="53">
        <v>-249097.00074700339</v>
      </c>
      <c r="H121" s="53">
        <v>-3120192.4088785704</v>
      </c>
      <c r="I121" s="53">
        <v>-3954787.7903201035</v>
      </c>
      <c r="J121" s="53">
        <v>1.1999999999999997E-13</v>
      </c>
      <c r="K121" s="53">
        <v>-249097.00074700254</v>
      </c>
      <c r="L121" s="53">
        <v>-249097.00074700254</v>
      </c>
      <c r="M121" s="53">
        <v>-2127269.4700334514</v>
      </c>
      <c r="N121" s="53">
        <v>-3422777.9528615349</v>
      </c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</row>
    <row r="122" spans="1:27" outlineLevel="1" x14ac:dyDescent="0.25">
      <c r="A122" s="75" t="str">
        <f t="shared" si="4"/>
        <v>Brændselsindkomst.NyAff2</v>
      </c>
      <c r="B122" s="57" t="s">
        <v>2</v>
      </c>
      <c r="C122" s="54" t="s">
        <v>69</v>
      </c>
      <c r="D122" s="53">
        <v>-1.1999999999999997E-13</v>
      </c>
      <c r="E122" s="53">
        <v>-1.1999999999999997E-13</v>
      </c>
      <c r="F122" s="53">
        <v>-1.1999999999999997E-13</v>
      </c>
      <c r="G122" s="53">
        <v>-1.1999999999999997E-13</v>
      </c>
      <c r="H122" s="53">
        <v>-1.1999999999999997E-13</v>
      </c>
      <c r="I122" s="53">
        <v>-1.1999999999999997E-13</v>
      </c>
      <c r="J122" s="53">
        <v>-1.1999999999999997E-13</v>
      </c>
      <c r="K122" s="53">
        <v>-1.1999999999999997E-13</v>
      </c>
      <c r="L122" s="53">
        <v>-1.1999999999999997E-13</v>
      </c>
      <c r="M122" s="53">
        <v>-1.1999999999999997E-13</v>
      </c>
      <c r="N122" s="53">
        <v>-1.1999999999999997E-13</v>
      </c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</row>
    <row r="123" spans="1:27" outlineLevel="1" x14ac:dyDescent="0.25">
      <c r="A123" s="75" t="str">
        <f t="shared" si="4"/>
        <v>Brændselsindkomst.NyAff3</v>
      </c>
      <c r="B123" s="57" t="s">
        <v>2</v>
      </c>
      <c r="C123" s="54" t="s">
        <v>70</v>
      </c>
      <c r="D123" s="53">
        <v>-1.1999999999999997E-13</v>
      </c>
      <c r="E123" s="53">
        <v>-1.1999999999999997E-13</v>
      </c>
      <c r="F123" s="53">
        <v>-1.1999999999999997E-13</v>
      </c>
      <c r="G123" s="53">
        <v>-1.1999999999999997E-13</v>
      </c>
      <c r="H123" s="53">
        <v>-1.1999999999999997E-13</v>
      </c>
      <c r="I123" s="53">
        <v>-1.1999999999999997E-13</v>
      </c>
      <c r="J123" s="53">
        <v>-1.1999999999999997E-13</v>
      </c>
      <c r="K123" s="53">
        <v>-1.1999999999999997E-13</v>
      </c>
      <c r="L123" s="53">
        <v>-1.1999999999999997E-13</v>
      </c>
      <c r="M123" s="53">
        <v>-1.1999999999999997E-13</v>
      </c>
      <c r="N123" s="53">
        <v>-1.1999999999999997E-13</v>
      </c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</row>
    <row r="124" spans="1:27" outlineLevel="1" x14ac:dyDescent="0.25">
      <c r="A124" s="75" t="str">
        <f t="shared" si="4"/>
        <v>Brændselsindkomst.NyAff4</v>
      </c>
      <c r="B124" s="57" t="s">
        <v>2</v>
      </c>
      <c r="C124" s="54" t="s">
        <v>71</v>
      </c>
      <c r="D124" s="53">
        <v>-1.1999999999999997E-13</v>
      </c>
      <c r="E124" s="53">
        <v>-1.1999999999999997E-13</v>
      </c>
      <c r="F124" s="53">
        <v>-1.1999999999999997E-13</v>
      </c>
      <c r="G124" s="53">
        <v>-1.1999999999999997E-13</v>
      </c>
      <c r="H124" s="53">
        <v>-1.1999999999999997E-13</v>
      </c>
      <c r="I124" s="53">
        <v>-1.1999999999999997E-13</v>
      </c>
      <c r="J124" s="53">
        <v>-1.1999999999999997E-13</v>
      </c>
      <c r="K124" s="53">
        <v>-1.1999999999999997E-13</v>
      </c>
      <c r="L124" s="53">
        <v>-1.1999999999999997E-13</v>
      </c>
      <c r="M124" s="53">
        <v>-1.1999999999999997E-13</v>
      </c>
      <c r="N124" s="53">
        <v>-1.1999999999999997E-13</v>
      </c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</row>
    <row r="125" spans="1:27" outlineLevel="1" x14ac:dyDescent="0.25">
      <c r="A125" s="75" t="str">
        <f t="shared" si="4"/>
        <v>Brændselsindkomst.NyAff5</v>
      </c>
      <c r="B125" s="57" t="s">
        <v>2</v>
      </c>
      <c r="C125" s="54" t="s">
        <v>72</v>
      </c>
      <c r="D125" s="53">
        <v>-1.1999999999999997E-13</v>
      </c>
      <c r="E125" s="53">
        <v>-1.1999999999999997E-13</v>
      </c>
      <c r="F125" s="53">
        <v>-1.1999999999999997E-13</v>
      </c>
      <c r="G125" s="53">
        <v>-1.1999999999999997E-13</v>
      </c>
      <c r="H125" s="53">
        <v>-1.1999999999999997E-13</v>
      </c>
      <c r="I125" s="53">
        <v>-1.1999999999999997E-13</v>
      </c>
      <c r="J125" s="53">
        <v>-1.1999999999999997E-13</v>
      </c>
      <c r="K125" s="53">
        <v>-1.1999999999999997E-13</v>
      </c>
      <c r="L125" s="53">
        <v>-1.1999999999999997E-13</v>
      </c>
      <c r="M125" s="53">
        <v>-1.1999999999999997E-13</v>
      </c>
      <c r="N125" s="53">
        <v>-1.1999999999999997E-13</v>
      </c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</row>
    <row r="126" spans="1:27" outlineLevel="1" x14ac:dyDescent="0.25">
      <c r="A126" s="75" t="str">
        <f t="shared" si="4"/>
        <v>Brændselsindkomst.Flis</v>
      </c>
      <c r="B126" s="57" t="s">
        <v>2</v>
      </c>
      <c r="C126" s="54" t="s">
        <v>73</v>
      </c>
      <c r="D126" s="53">
        <v>-6561157.26159517</v>
      </c>
      <c r="E126" s="53">
        <v>-6728949.8345012013</v>
      </c>
      <c r="F126" s="53">
        <v>-6561157.26159517</v>
      </c>
      <c r="G126" s="53">
        <v>-6561157.26159517</v>
      </c>
      <c r="H126" s="53">
        <v>-6222333.7321834052</v>
      </c>
      <c r="I126" s="53">
        <v>-5210732.2907228889</v>
      </c>
      <c r="J126" s="53">
        <v>-6728949.8345012013</v>
      </c>
      <c r="K126" s="53">
        <v>-6561157.26159517</v>
      </c>
      <c r="L126" s="53">
        <v>-6561157.26159517</v>
      </c>
      <c r="M126" s="53">
        <v>-5210732.2907228889</v>
      </c>
      <c r="N126" s="53">
        <v>-6561157.26159517</v>
      </c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</row>
    <row r="127" spans="1:27" outlineLevel="1" x14ac:dyDescent="0.25">
      <c r="A127" s="75" t="str">
        <f t="shared" si="4"/>
        <v>Brændselsindkomst.NSvarme</v>
      </c>
      <c r="B127" s="57" t="s">
        <v>2</v>
      </c>
      <c r="C127" s="54" t="s">
        <v>74</v>
      </c>
      <c r="D127" s="53">
        <v>-1814400</v>
      </c>
      <c r="E127" s="53">
        <v>-1814400</v>
      </c>
      <c r="F127" s="53">
        <v>-1814400</v>
      </c>
      <c r="G127" s="53">
        <v>-1814400</v>
      </c>
      <c r="H127" s="53">
        <v>-1814400</v>
      </c>
      <c r="I127" s="53">
        <v>-1814400</v>
      </c>
      <c r="J127" s="53">
        <v>-1814400</v>
      </c>
      <c r="K127" s="53">
        <v>-1814400</v>
      </c>
      <c r="L127" s="53">
        <v>-1814400</v>
      </c>
      <c r="M127" s="53">
        <v>-1814400</v>
      </c>
      <c r="N127" s="53">
        <v>-1814400</v>
      </c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</row>
    <row r="128" spans="1:27" outlineLevel="1" x14ac:dyDescent="0.25">
      <c r="A128" s="75" t="str">
        <f t="shared" si="4"/>
        <v>Brændselsindkomst.PeakFuel</v>
      </c>
      <c r="B128" s="57" t="s">
        <v>2</v>
      </c>
      <c r="C128" s="54" t="s">
        <v>75</v>
      </c>
      <c r="D128" s="53">
        <v>1.1999999999999997E-13</v>
      </c>
      <c r="E128" s="53">
        <v>1.1999999999999997E-13</v>
      </c>
      <c r="F128" s="53">
        <v>1.1999999999999997E-13</v>
      </c>
      <c r="G128" s="53">
        <v>1.1999999999999997E-13</v>
      </c>
      <c r="H128" s="53">
        <v>1.1999999999999997E-13</v>
      </c>
      <c r="I128" s="53">
        <v>1.1999999999999997E-13</v>
      </c>
      <c r="J128" s="53">
        <v>1.1999999999999997E-13</v>
      </c>
      <c r="K128" s="53">
        <v>1.1999999999999997E-13</v>
      </c>
      <c r="L128" s="53">
        <v>1.1999999999999997E-13</v>
      </c>
      <c r="M128" s="53">
        <v>1.1999999999999997E-13</v>
      </c>
      <c r="N128" s="53">
        <v>1.1999999999999997E-13</v>
      </c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</row>
    <row r="129" spans="1:27" outlineLevel="1" x14ac:dyDescent="0.25">
      <c r="A129" s="75" t="str">
        <f t="shared" si="4"/>
        <v/>
      </c>
      <c r="B129" s="55"/>
      <c r="C129" s="56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</row>
    <row r="130" spans="1:27" outlineLevel="1" x14ac:dyDescent="0.25">
      <c r="A130" s="75" t="str">
        <f t="shared" si="4"/>
        <v/>
      </c>
      <c r="B130" s="20"/>
      <c r="C130" s="32"/>
      <c r="D130" s="32"/>
      <c r="E130" s="32"/>
      <c r="F130" s="32"/>
      <c r="G130" s="32"/>
      <c r="H130" s="32"/>
      <c r="I130" s="32"/>
      <c r="J130" s="32"/>
      <c r="K130" s="32"/>
      <c r="L130" s="32"/>
      <c r="M130" s="32"/>
      <c r="N130" s="32"/>
      <c r="O130" s="32"/>
    </row>
    <row r="131" spans="1:27" outlineLevel="1" x14ac:dyDescent="0.25">
      <c r="A131" s="75" t="str">
        <f t="shared" si="4"/>
        <v/>
      </c>
      <c r="B131"/>
    </row>
    <row r="132" spans="1:27" outlineLevel="1" x14ac:dyDescent="0.25">
      <c r="A132" s="75" t="str">
        <f t="shared" si="4"/>
        <v/>
      </c>
      <c r="B132"/>
    </row>
    <row r="133" spans="1:27" outlineLevel="1" x14ac:dyDescent="0.25">
      <c r="A133" s="75" t="str">
        <f t="shared" si="4"/>
        <v/>
      </c>
      <c r="B133"/>
    </row>
    <row r="134" spans="1:27" outlineLevel="1" x14ac:dyDescent="0.25">
      <c r="A134" s="75" t="str">
        <f t="shared" si="4"/>
        <v/>
      </c>
      <c r="B134"/>
    </row>
    <row r="135" spans="1:27" outlineLevel="1" x14ac:dyDescent="0.25">
      <c r="B135"/>
    </row>
    <row r="136" spans="1:27" outlineLevel="1" x14ac:dyDescent="0.25">
      <c r="B136"/>
    </row>
    <row r="137" spans="1:27" outlineLevel="1" x14ac:dyDescent="0.25">
      <c r="B137"/>
    </row>
    <row r="138" spans="1:27" outlineLevel="1" x14ac:dyDescent="0.25">
      <c r="B138"/>
    </row>
    <row r="139" spans="1:27" outlineLevel="1" x14ac:dyDescent="0.25">
      <c r="B139"/>
    </row>
    <row r="140" spans="1:27" outlineLevel="1" x14ac:dyDescent="0.25">
      <c r="B140"/>
    </row>
    <row r="141" spans="1:27" outlineLevel="1" x14ac:dyDescent="0.25">
      <c r="B141"/>
    </row>
    <row r="142" spans="1:27" outlineLevel="1" x14ac:dyDescent="0.25">
      <c r="B142"/>
    </row>
    <row r="143" spans="1:27" outlineLevel="1" x14ac:dyDescent="0.25">
      <c r="B143"/>
    </row>
    <row r="144" spans="1:27" outlineLevel="1" x14ac:dyDescent="0.25">
      <c r="B144"/>
    </row>
    <row r="145" spans="2:2" outlineLevel="1" x14ac:dyDescent="0.25">
      <c r="B145"/>
    </row>
    <row r="146" spans="2:2" outlineLevel="1" x14ac:dyDescent="0.25">
      <c r="B146"/>
    </row>
    <row r="147" spans="2:2" outlineLevel="1" x14ac:dyDescent="0.25">
      <c r="B147"/>
    </row>
    <row r="148" spans="2:2" outlineLevel="1" x14ac:dyDescent="0.25">
      <c r="B148"/>
    </row>
    <row r="149" spans="2:2" outlineLevel="1" x14ac:dyDescent="0.25">
      <c r="B149"/>
    </row>
    <row r="150" spans="2:2" outlineLevel="1" x14ac:dyDescent="0.25">
      <c r="B150"/>
    </row>
    <row r="151" spans="2:2" outlineLevel="1" x14ac:dyDescent="0.25">
      <c r="B151"/>
    </row>
    <row r="152" spans="2:2" outlineLevel="1" x14ac:dyDescent="0.25">
      <c r="B152"/>
    </row>
    <row r="153" spans="2:2" outlineLevel="1" x14ac:dyDescent="0.25">
      <c r="B153"/>
    </row>
    <row r="154" spans="2:2" outlineLevel="1" x14ac:dyDescent="0.25">
      <c r="B154"/>
    </row>
    <row r="155" spans="2:2" outlineLevel="1" x14ac:dyDescent="0.25">
      <c r="B155"/>
    </row>
    <row r="156" spans="2:2" outlineLevel="1" x14ac:dyDescent="0.25">
      <c r="B156"/>
    </row>
    <row r="157" spans="2:2" outlineLevel="1" x14ac:dyDescent="0.25">
      <c r="B157"/>
    </row>
    <row r="158" spans="2:2" outlineLevel="1" x14ac:dyDescent="0.25">
      <c r="B158"/>
    </row>
    <row r="159" spans="2:2" outlineLevel="1" x14ac:dyDescent="0.25">
      <c r="B159"/>
    </row>
    <row r="160" spans="2:2" outlineLevel="1" x14ac:dyDescent="0.25">
      <c r="B160"/>
    </row>
    <row r="161" spans="2:2" outlineLevel="1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</sheetData>
  <phoneticPr fontId="5" type="noConversion"/>
  <conditionalFormatting sqref="A16 E34:AA34 A34 A36 D36:AA36 D43:AA44 A43:A44 A21:A24 A46:A53 D48:AA53 D18:AA24 D16:AA16 D26:AA31 A26:A31">
    <cfRule type="cellIs" dxfId="115" priority="170" operator="between">
      <formula>-0.0000000000001</formula>
      <formula>0.0000000000001</formula>
    </cfRule>
  </conditionalFormatting>
  <conditionalFormatting sqref="A16 A34 E34:AA34 D36:AA36 A36 A43:A44 D43:AA44 A21:A24 A46:A53 D48:AA53 A26:A31">
    <cfRule type="cellIs" dxfId="114" priority="164" operator="between">
      <formula>-0.0000000000001</formula>
      <formula>0.0000000000001</formula>
    </cfRule>
  </conditionalFormatting>
  <conditionalFormatting sqref="A26 C26:O26">
    <cfRule type="cellIs" dxfId="113" priority="163" operator="between">
      <formula>-0.0000000000001</formula>
      <formula>0.0000000000001</formula>
    </cfRule>
  </conditionalFormatting>
  <conditionalFormatting sqref="P26:AA26">
    <cfRule type="cellIs" dxfId="112" priority="162" operator="between">
      <formula>-0.0000000000001</formula>
      <formula>0.0000000000001</formula>
    </cfRule>
  </conditionalFormatting>
  <conditionalFormatting sqref="C16:O16 A16">
    <cfRule type="cellIs" dxfId="111" priority="161" operator="between">
      <formula>-0.0000000000001</formula>
      <formula>0.0000000000001</formula>
    </cfRule>
  </conditionalFormatting>
  <conditionalFormatting sqref="P16:AA16">
    <cfRule type="cellIs" dxfId="110" priority="160" operator="between">
      <formula>-0.0000000000001</formula>
      <formula>0.0000000000001</formula>
    </cfRule>
  </conditionalFormatting>
  <conditionalFormatting sqref="C23">
    <cfRule type="cellIs" dxfId="109" priority="159" operator="between">
      <formula>-0.0000000000001</formula>
      <formula>0.0000000000001</formula>
    </cfRule>
  </conditionalFormatting>
  <conditionalFormatting sqref="C24">
    <cfRule type="cellIs" dxfId="108" priority="158" operator="between">
      <formula>-0.0000000000001</formula>
      <formula>0.0000000000001</formula>
    </cfRule>
  </conditionalFormatting>
  <conditionalFormatting sqref="A24 C24:O24">
    <cfRule type="cellIs" dxfId="107" priority="157" operator="between">
      <formula>-0.0000000000001</formula>
      <formula>0.0000000000001</formula>
    </cfRule>
  </conditionalFormatting>
  <conditionalFormatting sqref="P24:AA24">
    <cfRule type="cellIs" dxfId="106" priority="156" operator="between">
      <formula>-0.0000000000001</formula>
      <formula>0.0000000000001</formula>
    </cfRule>
  </conditionalFormatting>
  <conditionalFormatting sqref="C30:O31 A30:A31">
    <cfRule type="cellIs" dxfId="105" priority="155" operator="between">
      <formula>-0.0000000000001</formula>
      <formula>0.0000000000001</formula>
    </cfRule>
  </conditionalFormatting>
  <conditionalFormatting sqref="P30:AA31">
    <cfRule type="cellIs" dxfId="104" priority="154" operator="between">
      <formula>-0.0000000000001</formula>
      <formula>0.0000000000001</formula>
    </cfRule>
  </conditionalFormatting>
  <conditionalFormatting sqref="C51:O51 C53:AA53 C50:AA50 D49:AA49 A49:A53 D52:O53">
    <cfRule type="cellIs" dxfId="103" priority="153" operator="between">
      <formula>-0.0000000000001</formula>
      <formula>0.0000000000001</formula>
    </cfRule>
  </conditionalFormatting>
  <conditionalFormatting sqref="P51:AA51">
    <cfRule type="cellIs" dxfId="102" priority="152" operator="between">
      <formula>-0.0000000000001</formula>
      <formula>0.0000000000001</formula>
    </cfRule>
  </conditionalFormatting>
  <conditionalFormatting sqref="C52:O52 D53:O53">
    <cfRule type="cellIs" dxfId="101" priority="151" operator="between">
      <formula>-0.0000000000001</formula>
      <formula>0.0000000000001</formula>
    </cfRule>
  </conditionalFormatting>
  <conditionalFormatting sqref="P52:AA53">
    <cfRule type="cellIs" dxfId="100" priority="150" operator="between">
      <formula>-0.0000000000001</formula>
      <formula>0.0000000000001</formula>
    </cfRule>
  </conditionalFormatting>
  <conditionalFormatting sqref="C21:O21">
    <cfRule type="cellIs" dxfId="99" priority="149" operator="between">
      <formula>-0.0000000000001</formula>
      <formula>0.0000000000001</formula>
    </cfRule>
  </conditionalFormatting>
  <conditionalFormatting sqref="P21:AA21">
    <cfRule type="cellIs" dxfId="98" priority="148" operator="between">
      <formula>-0.0000000000001</formula>
      <formula>0.0000000000001</formula>
    </cfRule>
  </conditionalFormatting>
  <conditionalFormatting sqref="C21">
    <cfRule type="cellIs" dxfId="97" priority="147" operator="between">
      <formula>-0.0000000000001</formula>
      <formula>0.0000000000001</formula>
    </cfRule>
  </conditionalFormatting>
  <conditionalFormatting sqref="C22:O22 A22">
    <cfRule type="cellIs" dxfId="96" priority="144" operator="between">
      <formula>-0.0000000000001</formula>
      <formula>0.0000000000001</formula>
    </cfRule>
  </conditionalFormatting>
  <conditionalFormatting sqref="P22:AA22">
    <cfRule type="cellIs" dxfId="95" priority="143" operator="between">
      <formula>-0.0000000000001</formula>
      <formula>0.0000000000001</formula>
    </cfRule>
  </conditionalFormatting>
  <conditionalFormatting sqref="C22">
    <cfRule type="cellIs" dxfId="94" priority="142" operator="between">
      <formula>-0.0000000000001</formula>
      <formula>0.0000000000001</formula>
    </cfRule>
  </conditionalFormatting>
  <conditionalFormatting sqref="C27:O27 A27">
    <cfRule type="cellIs" dxfId="93" priority="141" operator="between">
      <formula>-0.0000000000001</formula>
      <formula>0.0000000000001</formula>
    </cfRule>
  </conditionalFormatting>
  <conditionalFormatting sqref="P27:AA27">
    <cfRule type="cellIs" dxfId="92" priority="140" operator="between">
      <formula>-0.0000000000001</formula>
      <formula>0.0000000000001</formula>
    </cfRule>
  </conditionalFormatting>
  <conditionalFormatting sqref="C27">
    <cfRule type="cellIs" dxfId="91" priority="139" operator="between">
      <formula>-0.0000000000001</formula>
      <formula>0.0000000000001</formula>
    </cfRule>
  </conditionalFormatting>
  <conditionalFormatting sqref="A49 C49:AA49">
    <cfRule type="cellIs" dxfId="90" priority="138" operator="between">
      <formula>-0.0000000000001</formula>
      <formula>0.0000000000001</formula>
    </cfRule>
  </conditionalFormatting>
  <conditionalFormatting sqref="D20:O20">
    <cfRule type="cellIs" dxfId="89" priority="136" operator="between">
      <formula>-0.0000000000001</formula>
      <formula>0.0000000000001</formula>
    </cfRule>
  </conditionalFormatting>
  <conditionalFormatting sqref="P20:AA20">
    <cfRule type="cellIs" dxfId="88" priority="135" operator="between">
      <formula>-0.0000000000001</formula>
      <formula>0.0000000000001</formula>
    </cfRule>
  </conditionalFormatting>
  <conditionalFormatting sqref="C44:AA44 A44">
    <cfRule type="cellIs" dxfId="87" priority="134" operator="between">
      <formula>-0.0000000000001</formula>
      <formula>0.0000000000001</formula>
    </cfRule>
  </conditionalFormatting>
  <conditionalFormatting sqref="P44:AA44">
    <cfRule type="cellIs" dxfId="86" priority="133" operator="between">
      <formula>-0.0000000000001</formula>
      <formula>0.0000000000001</formula>
    </cfRule>
  </conditionalFormatting>
  <conditionalFormatting sqref="C20">
    <cfRule type="cellIs" dxfId="85" priority="131" operator="between">
      <formula>-0.0000000000001</formula>
      <formula>0.0000000000001</formula>
    </cfRule>
  </conditionalFormatting>
  <conditionalFormatting sqref="A21">
    <cfRule type="cellIs" dxfId="84" priority="130" operator="between">
      <formula>-0.0000000000001</formula>
      <formula>0.0000000000001</formula>
    </cfRule>
  </conditionalFormatting>
  <conditionalFormatting sqref="A32 D32:AA32">
    <cfRule type="cellIs" dxfId="83" priority="127" operator="between">
      <formula>-0.0000000000001</formula>
      <formula>0.0000000000001</formula>
    </cfRule>
  </conditionalFormatting>
  <conditionalFormatting sqref="D32:AA32 A32">
    <cfRule type="cellIs" dxfId="82" priority="126" operator="between">
      <formula>-0.0000000000001</formula>
      <formula>0.0000000000001</formula>
    </cfRule>
  </conditionalFormatting>
  <conditionalFormatting sqref="C32:O32 A32">
    <cfRule type="cellIs" dxfId="81" priority="125" operator="between">
      <formula>-0.0000000000001</formula>
      <formula>0.0000000000001</formula>
    </cfRule>
  </conditionalFormatting>
  <conditionalFormatting sqref="P32:AA32">
    <cfRule type="cellIs" dxfId="80" priority="124" operator="between">
      <formula>-0.0000000000001</formula>
      <formula>0.0000000000001</formula>
    </cfRule>
  </conditionalFormatting>
  <conditionalFormatting sqref="E33:AA33 A33">
    <cfRule type="cellIs" dxfId="79" priority="108" operator="between">
      <formula>-0.0000000000001</formula>
      <formula>0.0000000000001</formula>
    </cfRule>
  </conditionalFormatting>
  <conditionalFormatting sqref="A33 E33:AA33">
    <cfRule type="cellIs" dxfId="78" priority="107" operator="between">
      <formula>-0.0000000000001</formula>
      <formula>0.0000000000001</formula>
    </cfRule>
  </conditionalFormatting>
  <conditionalFormatting sqref="D35:AA35 A35">
    <cfRule type="cellIs" dxfId="77" priority="106" operator="between">
      <formula>-0.0000000000001</formula>
      <formula>0.0000000000001</formula>
    </cfRule>
  </conditionalFormatting>
  <conditionalFormatting sqref="A35 D35:AA35">
    <cfRule type="cellIs" dxfId="76" priority="105" operator="between">
      <formula>-0.0000000000001</formula>
      <formula>0.0000000000001</formula>
    </cfRule>
  </conditionalFormatting>
  <conditionalFormatting sqref="A45 D45:AA46">
    <cfRule type="cellIs" dxfId="75" priority="104" operator="between">
      <formula>-0.0000000000001</formula>
      <formula>0.0000000000001</formula>
    </cfRule>
  </conditionalFormatting>
  <conditionalFormatting sqref="A45 D45:AA46">
    <cfRule type="cellIs" dxfId="74" priority="103" operator="between">
      <formula>-0.0000000000001</formula>
      <formula>0.0000000000001</formula>
    </cfRule>
  </conditionalFormatting>
  <conditionalFormatting sqref="A37:A38 D37:AA39 D41:AA41 A41">
    <cfRule type="cellIs" dxfId="73" priority="100" operator="between">
      <formula>-0.0000000000001</formula>
      <formula>0.0000000000001</formula>
    </cfRule>
  </conditionalFormatting>
  <conditionalFormatting sqref="D37:AA39 A37:A38 A41 D41:AA41">
    <cfRule type="cellIs" dxfId="72" priority="99" operator="between">
      <formula>-0.0000000000001</formula>
      <formula>0.0000000000001</formula>
    </cfRule>
  </conditionalFormatting>
  <conditionalFormatting sqref="C38:AA39 A38">
    <cfRule type="cellIs" dxfId="71" priority="98" operator="between">
      <formula>-0.0000000000001</formula>
      <formula>0.0000000000001</formula>
    </cfRule>
  </conditionalFormatting>
  <conditionalFormatting sqref="P38:AA39">
    <cfRule type="cellIs" dxfId="70" priority="97" operator="between">
      <formula>-0.0000000000001</formula>
      <formula>0.0000000000001</formula>
    </cfRule>
  </conditionalFormatting>
  <conditionalFormatting sqref="A40 D40:AA40">
    <cfRule type="cellIs" dxfId="69" priority="96" operator="between">
      <formula>-0.0000000000001</formula>
      <formula>0.0000000000001</formula>
    </cfRule>
  </conditionalFormatting>
  <conditionalFormatting sqref="D40:AA40 A40">
    <cfRule type="cellIs" dxfId="68" priority="95" operator="between">
      <formula>-0.0000000000001</formula>
      <formula>0.0000000000001</formula>
    </cfRule>
  </conditionalFormatting>
  <conditionalFormatting sqref="D51:O51">
    <cfRule type="cellIs" dxfId="67" priority="94" operator="between">
      <formula>-0.0000000000001</formula>
      <formula>0.0000000000001</formula>
    </cfRule>
  </conditionalFormatting>
  <conditionalFormatting sqref="D48:AA48">
    <cfRule type="cellIs" dxfId="66" priority="93" operator="between">
      <formula>-0.0000000000001</formula>
      <formula>0.0000000000001</formula>
    </cfRule>
  </conditionalFormatting>
  <conditionalFormatting sqref="A39">
    <cfRule type="cellIs" dxfId="65" priority="92" operator="between">
      <formula>-0.0000000000001</formula>
      <formula>0.0000000000001</formula>
    </cfRule>
  </conditionalFormatting>
  <conditionalFormatting sqref="A39">
    <cfRule type="cellIs" dxfId="64" priority="91" operator="between">
      <formula>-0.0000000000001</formula>
      <formula>0.0000000000001</formula>
    </cfRule>
  </conditionalFormatting>
  <conditionalFormatting sqref="A47">
    <cfRule type="cellIs" dxfId="63" priority="90" operator="between">
      <formula>-0.0000000000001</formula>
      <formula>0.0000000000001</formula>
    </cfRule>
  </conditionalFormatting>
  <conditionalFormatting sqref="A47">
    <cfRule type="cellIs" dxfId="62" priority="89" operator="between">
      <formula>-0.0000000000001</formula>
      <formula>0.0000000000001</formula>
    </cfRule>
  </conditionalFormatting>
  <conditionalFormatting sqref="A52">
    <cfRule type="cellIs" dxfId="61" priority="88" operator="between">
      <formula>-0.0000000000001</formula>
      <formula>0.0000000000001</formula>
    </cfRule>
  </conditionalFormatting>
  <conditionalFormatting sqref="A52">
    <cfRule type="cellIs" dxfId="60" priority="87" operator="between">
      <formula>-0.0000000000001</formula>
      <formula>0.0000000000001</formula>
    </cfRule>
  </conditionalFormatting>
  <conditionalFormatting sqref="D34">
    <cfRule type="cellIs" dxfId="59" priority="86" operator="between">
      <formula>-0.0000000000001</formula>
      <formula>0.0000000000001</formula>
    </cfRule>
  </conditionalFormatting>
  <conditionalFormatting sqref="D34">
    <cfRule type="cellIs" dxfId="58" priority="85" operator="between">
      <formula>-0.0000000000001</formula>
      <formula>0.0000000000001</formula>
    </cfRule>
  </conditionalFormatting>
  <conditionalFormatting sqref="D33">
    <cfRule type="cellIs" dxfId="57" priority="84" operator="between">
      <formula>-0.0000000000001</formula>
      <formula>0.0000000000001</formula>
    </cfRule>
  </conditionalFormatting>
  <conditionalFormatting sqref="D33">
    <cfRule type="cellIs" dxfId="56" priority="83" operator="between">
      <formula>-0.0000000000001</formula>
      <formula>0.0000000000001</formula>
    </cfRule>
  </conditionalFormatting>
  <conditionalFormatting sqref="A18:A20">
    <cfRule type="cellIs" dxfId="55" priority="81" operator="between">
      <formula>-0.0000000000001</formula>
      <formula>0.0000000000001</formula>
    </cfRule>
  </conditionalFormatting>
  <conditionalFormatting sqref="A18:A20">
    <cfRule type="cellIs" dxfId="54" priority="80" operator="between">
      <formula>-0.0000000000001</formula>
      <formula>0.0000000000001</formula>
    </cfRule>
  </conditionalFormatting>
  <conditionalFormatting sqref="A15:A16">
    <cfRule type="cellIs" dxfId="53" priority="74" operator="between">
      <formula>-0.0000000000001</formula>
      <formula>0.0000000000001</formula>
    </cfRule>
  </conditionalFormatting>
  <conditionalFormatting sqref="A15:A16">
    <cfRule type="cellIs" dxfId="52" priority="73" operator="between">
      <formula>-0.0000000000001</formula>
      <formula>0.0000000000001</formula>
    </cfRule>
  </conditionalFormatting>
  <conditionalFormatting sqref="C15:C16 A15:A16">
    <cfRule type="cellIs" dxfId="51" priority="72" operator="between">
      <formula>-0.0000000000001</formula>
      <formula>0.0000000000001</formula>
    </cfRule>
  </conditionalFormatting>
  <conditionalFormatting sqref="A19">
    <cfRule type="cellIs" dxfId="50" priority="70" operator="between">
      <formula>-0.0000000000001</formula>
      <formula>0.0000000000001</formula>
    </cfRule>
  </conditionalFormatting>
  <conditionalFormatting sqref="A19">
    <cfRule type="cellIs" dxfId="49" priority="69" operator="between">
      <formula>-0.0000000000001</formula>
      <formula>0.0000000000001</formula>
    </cfRule>
  </conditionalFormatting>
  <conditionalFormatting sqref="C19 A19">
    <cfRule type="cellIs" dxfId="48" priority="68" operator="between">
      <formula>-0.0000000000001</formula>
      <formula>0.0000000000001</formula>
    </cfRule>
  </conditionalFormatting>
  <conditionalFormatting sqref="D98:AA98">
    <cfRule type="colorScale" priority="66">
      <colorScale>
        <cfvo type="min"/>
        <cfvo type="max"/>
        <color rgb="FFFCFCFF"/>
        <color rgb="FF63BE7B"/>
      </colorScale>
    </cfRule>
  </conditionalFormatting>
  <conditionalFormatting sqref="D98:AA98">
    <cfRule type="cellIs" dxfId="47" priority="62" operator="between">
      <formula>-0.0000000000001</formula>
      <formula>0.0000000000001</formula>
    </cfRule>
  </conditionalFormatting>
  <conditionalFormatting sqref="D19:AA19">
    <cfRule type="cellIs" dxfId="46" priority="60" operator="between">
      <formula>-0.0000000000001</formula>
      <formula>0.0000000000001</formula>
    </cfRule>
  </conditionalFormatting>
  <conditionalFormatting sqref="D19:AA19">
    <cfRule type="cellIs" dxfId="45" priority="59" operator="between">
      <formula>-0.0000000000001</formula>
      <formula>0.0000000000001</formula>
    </cfRule>
  </conditionalFormatting>
  <conditionalFormatting sqref="D47:AA47">
    <cfRule type="cellIs" dxfId="44" priority="56" operator="between">
      <formula>-0.0000000000001</formula>
      <formula>0.0000000000001</formula>
    </cfRule>
  </conditionalFormatting>
  <conditionalFormatting sqref="D47:AA47">
    <cfRule type="cellIs" dxfId="43" priority="55" operator="between">
      <formula>-0.0000000000001</formula>
      <formula>0.0000000000001</formula>
    </cfRule>
  </conditionalFormatting>
  <conditionalFormatting sqref="D47:AA47">
    <cfRule type="cellIs" dxfId="42" priority="54" operator="between">
      <formula>-0.0000000000001</formula>
      <formula>0.0000000000001</formula>
    </cfRule>
  </conditionalFormatting>
  <conditionalFormatting sqref="A48">
    <cfRule type="cellIs" dxfId="41" priority="53" operator="between">
      <formula>-0.0000000000001</formula>
      <formula>0.0000000000001</formula>
    </cfRule>
  </conditionalFormatting>
  <conditionalFormatting sqref="A46">
    <cfRule type="cellIs" dxfId="40" priority="52" operator="between">
      <formula>-0.0000000000001</formula>
      <formula>0.0000000000001</formula>
    </cfRule>
  </conditionalFormatting>
  <conditionalFormatting sqref="A46">
    <cfRule type="cellIs" dxfId="39" priority="51" operator="between">
      <formula>-0.0000000000001</formula>
      <formula>0.0000000000001</formula>
    </cfRule>
  </conditionalFormatting>
  <conditionalFormatting sqref="A51">
    <cfRule type="cellIs" dxfId="38" priority="50" operator="between">
      <formula>-0.0000000000001</formula>
      <formula>0.0000000000001</formula>
    </cfRule>
  </conditionalFormatting>
  <conditionalFormatting sqref="A51">
    <cfRule type="cellIs" dxfId="37" priority="49" operator="between">
      <formula>-0.0000000000001</formula>
      <formula>0.0000000000001</formula>
    </cfRule>
  </conditionalFormatting>
  <conditionalFormatting sqref="A17">
    <cfRule type="cellIs" dxfId="36" priority="48" operator="between">
      <formula>-0.0000000000001</formula>
      <formula>0.0000000000001</formula>
    </cfRule>
  </conditionalFormatting>
  <conditionalFormatting sqref="A17">
    <cfRule type="cellIs" dxfId="35" priority="47" operator="between">
      <formula>-0.0000000000001</formula>
      <formula>0.0000000000001</formula>
    </cfRule>
  </conditionalFormatting>
  <conditionalFormatting sqref="C17 A17">
    <cfRule type="cellIs" dxfId="34" priority="46" operator="between">
      <formula>-0.0000000000001</formula>
      <formula>0.0000000000001</formula>
    </cfRule>
  </conditionalFormatting>
  <conditionalFormatting sqref="D17:AA17">
    <cfRule type="cellIs" dxfId="33" priority="45" operator="between">
      <formula>-0.0000000000001</formula>
      <formula>0.0000000000001</formula>
    </cfRule>
  </conditionalFormatting>
  <conditionalFormatting sqref="D17:AA17">
    <cfRule type="cellIs" dxfId="32" priority="44" operator="between">
      <formula>-0.0000000000001</formula>
      <formula>0.0000000000001</formula>
    </cfRule>
  </conditionalFormatting>
  <conditionalFormatting sqref="D17:O17">
    <cfRule type="cellIs" dxfId="31" priority="43" operator="between">
      <formula>-0.0000000000001</formula>
      <formula>0.0000000000001</formula>
    </cfRule>
  </conditionalFormatting>
  <conditionalFormatting sqref="P17:AA17">
    <cfRule type="cellIs" dxfId="30" priority="42" operator="between">
      <formula>-0.0000000000001</formula>
      <formula>0.0000000000001</formula>
    </cfRule>
  </conditionalFormatting>
  <conditionalFormatting sqref="D42:AA42 A42">
    <cfRule type="cellIs" dxfId="29" priority="41" operator="between">
      <formula>-0.0000000000001</formula>
      <formula>0.0000000000001</formula>
    </cfRule>
  </conditionalFormatting>
  <conditionalFormatting sqref="A42 D42:AA42">
    <cfRule type="cellIs" dxfId="28" priority="40" operator="between">
      <formula>-0.0000000000001</formula>
      <formula>0.0000000000001</formula>
    </cfRule>
  </conditionalFormatting>
  <conditionalFormatting sqref="D54:AA57">
    <cfRule type="cellIs" dxfId="27" priority="32" operator="greaterThan">
      <formula>0.000000000001</formula>
    </cfRule>
    <cfRule type="cellIs" dxfId="26" priority="35" operator="between">
      <formula>-0.0000000000001</formula>
      <formula>0.0000000000001</formula>
    </cfRule>
  </conditionalFormatting>
  <conditionalFormatting sqref="D54:AA57">
    <cfRule type="cellIs" dxfId="25" priority="34" operator="between">
      <formula>-0.0000000000001</formula>
      <formula>0.0000000000001</formula>
    </cfRule>
  </conditionalFormatting>
  <conditionalFormatting sqref="D54:AA57">
    <cfRule type="cellIs" dxfId="24" priority="33" operator="between">
      <formula>-0.0000000000001</formula>
      <formula>0.0000000000001</formula>
    </cfRule>
  </conditionalFormatting>
  <conditionalFormatting sqref="B1">
    <cfRule type="cellIs" dxfId="23" priority="31" operator="greaterThan">
      <formula>0</formula>
    </cfRule>
  </conditionalFormatting>
  <conditionalFormatting sqref="A25 D25:AA25">
    <cfRule type="cellIs" dxfId="22" priority="30" operator="between">
      <formula>-0.0000000000001</formula>
      <formula>0.0000000000001</formula>
    </cfRule>
  </conditionalFormatting>
  <conditionalFormatting sqref="A25">
    <cfRule type="cellIs" dxfId="21" priority="29" operator="between">
      <formula>-0.0000000000001</formula>
      <formula>0.0000000000001</formula>
    </cfRule>
  </conditionalFormatting>
  <conditionalFormatting sqref="A25 C25:O25">
    <cfRule type="cellIs" dxfId="20" priority="28" operator="between">
      <formula>-0.0000000000001</formula>
      <formula>0.0000000000001</formula>
    </cfRule>
  </conditionalFormatting>
  <conditionalFormatting sqref="P25:AA25">
    <cfRule type="cellIs" dxfId="19" priority="27" operator="between">
      <formula>-0.0000000000001</formula>
      <formula>0.0000000000001</formula>
    </cfRule>
  </conditionalFormatting>
  <conditionalFormatting sqref="D60:AA65">
    <cfRule type="cellIs" dxfId="18" priority="24" operator="between">
      <formula>-0.00000000001</formula>
      <formula>0.00000000001</formula>
    </cfRule>
    <cfRule type="colorScale" priority="25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68:AA97">
    <cfRule type="colorScale" priority="22">
      <colorScale>
        <cfvo type="min"/>
        <cfvo type="max"/>
        <color rgb="FFFCFCFF"/>
        <color rgb="FF63BE7B"/>
      </colorScale>
    </cfRule>
  </conditionalFormatting>
  <conditionalFormatting sqref="B68:AA97">
    <cfRule type="cellIs" dxfId="17" priority="20" operator="between">
      <formula>-0.00000000001</formula>
      <formula>0.00000000001</formula>
    </cfRule>
  </conditionalFormatting>
  <conditionalFormatting sqref="D100:AA129">
    <cfRule type="colorScale" priority="18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B100:AA129">
    <cfRule type="cellIs" dxfId="16" priority="17" operator="between">
      <formula>-0.00000000001</formula>
      <formula>0.00000000001</formula>
    </cfRule>
  </conditionalFormatting>
  <conditionalFormatting sqref="A63 A65 A60">
    <cfRule type="cellIs" dxfId="15" priority="16" operator="between">
      <formula>-0.0000000000001</formula>
      <formula>0.0000000000001</formula>
    </cfRule>
  </conditionalFormatting>
  <conditionalFormatting sqref="A63 A65 A60">
    <cfRule type="cellIs" dxfId="14" priority="15" operator="between">
      <formula>-0.0000000000001</formula>
      <formula>0.0000000000001</formula>
    </cfRule>
  </conditionalFormatting>
  <conditionalFormatting sqref="A60">
    <cfRule type="cellIs" dxfId="13" priority="14" operator="between">
      <formula>-0.0000000000001</formula>
      <formula>0.0000000000001</formula>
    </cfRule>
  </conditionalFormatting>
  <conditionalFormatting sqref="A61">
    <cfRule type="cellIs" dxfId="12" priority="13" operator="between">
      <formula>-0.0000000000001</formula>
      <formula>0.0000000000001</formula>
    </cfRule>
  </conditionalFormatting>
  <conditionalFormatting sqref="A61">
    <cfRule type="cellIs" dxfId="11" priority="12" operator="between">
      <formula>-0.0000000000001</formula>
      <formula>0.0000000000001</formula>
    </cfRule>
  </conditionalFormatting>
  <conditionalFormatting sqref="A61">
    <cfRule type="cellIs" dxfId="10" priority="11" operator="between">
      <formula>-0.0000000000001</formula>
      <formula>0.0000000000001</formula>
    </cfRule>
  </conditionalFormatting>
  <conditionalFormatting sqref="A62">
    <cfRule type="cellIs" dxfId="9" priority="10" operator="between">
      <formula>-0.0000000000001</formula>
      <formula>0.0000000000001</formula>
    </cfRule>
  </conditionalFormatting>
  <conditionalFormatting sqref="A62">
    <cfRule type="cellIs" dxfId="8" priority="9" operator="between">
      <formula>-0.0000000000001</formula>
      <formula>0.0000000000001</formula>
    </cfRule>
  </conditionalFormatting>
  <conditionalFormatting sqref="A64">
    <cfRule type="cellIs" dxfId="7" priority="8" operator="between">
      <formula>-0.0000000000001</formula>
      <formula>0.0000000000001</formula>
    </cfRule>
  </conditionalFormatting>
  <conditionalFormatting sqref="A64">
    <cfRule type="cellIs" dxfId="6" priority="7" operator="between">
      <formula>-0.0000000000001</formula>
      <formula>0.0000000000001</formula>
    </cfRule>
  </conditionalFormatting>
  <conditionalFormatting sqref="A68">
    <cfRule type="cellIs" dxfId="5" priority="6" operator="between">
      <formula>-0.0000000000001</formula>
      <formula>0.0000000000001</formula>
    </cfRule>
  </conditionalFormatting>
  <conditionalFormatting sqref="A68">
    <cfRule type="cellIs" dxfId="4" priority="5" operator="between">
      <formula>-0.0000000000001</formula>
      <formula>0.0000000000001</formula>
    </cfRule>
  </conditionalFormatting>
  <conditionalFormatting sqref="A68">
    <cfRule type="cellIs" dxfId="3" priority="4" operator="between">
      <formula>-0.0000000000001</formula>
      <formula>0.0000000000001</formula>
    </cfRule>
  </conditionalFormatting>
  <conditionalFormatting sqref="A100">
    <cfRule type="cellIs" dxfId="2" priority="3" operator="between">
      <formula>-0.0000000000001</formula>
      <formula>0.0000000000001</formula>
    </cfRule>
  </conditionalFormatting>
  <conditionalFormatting sqref="A100">
    <cfRule type="cellIs" dxfId="1" priority="2" operator="between">
      <formula>-0.0000000000001</formula>
      <formula>0.0000000000001</formula>
    </cfRule>
  </conditionalFormatting>
  <conditionalFormatting sqref="A100">
    <cfRule type="cellIs" dxfId="0" priority="1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D33E5-C87C-4AC3-AE65-3A6C2A4670E1}">
  <sheetPr codeName="Sheet1"/>
  <dimension ref="A3:AF10"/>
  <sheetViews>
    <sheetView tabSelected="1" zoomScale="85" zoomScaleNormal="85" workbookViewId="0">
      <selection activeCell="G3" sqref="G3"/>
    </sheetView>
  </sheetViews>
  <sheetFormatPr defaultRowHeight="15" x14ac:dyDescent="0.25"/>
  <cols>
    <col min="2" max="2" width="25.85546875" customWidth="1"/>
    <col min="3" max="3" width="32.7109375" bestFit="1" customWidth="1"/>
    <col min="4" max="4" width="10.85546875" bestFit="1" customWidth="1"/>
    <col min="5" max="5" width="5.28515625" style="84" customWidth="1"/>
    <col min="6" max="6" width="10.42578125" bestFit="1" customWidth="1"/>
    <col min="7" max="17" width="12.7109375" style="86" customWidth="1"/>
    <col min="18" max="32" width="9.140625" style="86"/>
  </cols>
  <sheetData>
    <row r="3" spans="1:29" x14ac:dyDescent="0.25">
      <c r="A3" s="93" t="s">
        <v>114</v>
      </c>
      <c r="B3" s="91" t="s">
        <v>115</v>
      </c>
      <c r="C3" s="92"/>
    </row>
    <row r="5" spans="1:29" x14ac:dyDescent="0.25">
      <c r="A5" s="89" t="s">
        <v>111</v>
      </c>
      <c r="B5" s="82" t="s">
        <v>105</v>
      </c>
      <c r="C5" s="82" t="s">
        <v>106</v>
      </c>
      <c r="D5" s="82" t="s">
        <v>113</v>
      </c>
      <c r="E5" s="89" t="s">
        <v>112</v>
      </c>
      <c r="F5" s="82" t="s">
        <v>110</v>
      </c>
      <c r="G5" s="87" t="str">
        <f>_xlfn.LET(_xlpm.id,COLUMN(G5)-COLUMN($G$5),IF(_xlpm.id&lt;Nscen,"sc-"&amp;_xlpm.id,""))</f>
        <v>sc-0</v>
      </c>
      <c r="H5" s="87" t="str">
        <f>_xlfn.LET(_xlpm.id,COLUMN(H5)-COLUMN($G$5),IF(_xlpm.id&lt;Nscen,"sc-"&amp;_xlpm.id,""))</f>
        <v>sc-1</v>
      </c>
      <c r="I5" s="87" t="str">
        <f>_xlfn.LET(_xlpm.id,COLUMN(I5)-COLUMN($G$5),IF(_xlpm.id&lt;Nscen,"sc-"&amp;_xlpm.id,""))</f>
        <v>sc-2</v>
      </c>
      <c r="J5" s="87" t="str">
        <f>_xlfn.LET(_xlpm.id,COLUMN(J5)-COLUMN($G$5),IF(_xlpm.id&lt;Nscen,"sc-"&amp;_xlpm.id,""))</f>
        <v>sc-3</v>
      </c>
      <c r="K5" s="87" t="str">
        <f>_xlfn.LET(_xlpm.id,COLUMN(K5)-COLUMN($G$5),IF(_xlpm.id&lt;Nscen,"sc-"&amp;_xlpm.id,""))</f>
        <v>sc-4</v>
      </c>
      <c r="L5" s="87" t="str">
        <f>_xlfn.LET(_xlpm.id,COLUMN(L5)-COLUMN($G$5),IF(_xlpm.id&lt;Nscen,"sc-"&amp;_xlpm.id,""))</f>
        <v>sc-5</v>
      </c>
      <c r="M5" s="87" t="str">
        <f>_xlfn.LET(_xlpm.id,COLUMN(M5)-COLUMN($G$5),IF(_xlpm.id&lt;Nscen,"sc-"&amp;_xlpm.id,""))</f>
        <v>sc-6</v>
      </c>
      <c r="N5" s="87" t="str">
        <f>_xlfn.LET(_xlpm.id,COLUMN(N5)-COLUMN($G$5),IF(_xlpm.id&lt;Nscen,"sc-"&amp;_xlpm.id,""))</f>
        <v>sc-7</v>
      </c>
      <c r="O5" s="87" t="str">
        <f>_xlfn.LET(_xlpm.id,COLUMN(O5)-COLUMN($G$5),IF(_xlpm.id&lt;Nscen,"sc-"&amp;_xlpm.id,""))</f>
        <v>sc-8</v>
      </c>
      <c r="P5" s="87" t="str">
        <f>_xlfn.LET(_xlpm.id,COLUMN(P5)-COLUMN($G$5),IF(_xlpm.id&lt;Nscen,"sc-"&amp;_xlpm.id,""))</f>
        <v>sc-9</v>
      </c>
      <c r="Q5" s="87" t="str">
        <f>_xlfn.LET(_xlpm.id,COLUMN(Q5)-COLUMN($G$5),IF(_xlpm.id&lt;Nscen,"sc-"&amp;_xlpm.id,""))</f>
        <v>sc-10</v>
      </c>
      <c r="R5" s="85" t="str">
        <f>_xlfn.LET(_xlpm.id,COLUMN(R5)-COLUMN($G$5),IF(_xlpm.id&lt;Nscen,"sc-"&amp;_xlpm.id,""))</f>
        <v/>
      </c>
      <c r="S5" s="85" t="str">
        <f>_xlfn.LET(_xlpm.id,COLUMN(S5)-COLUMN($G$5),IF(_xlpm.id&lt;Nscen,"sc-"&amp;_xlpm.id,""))</f>
        <v/>
      </c>
      <c r="T5" s="85" t="str">
        <f>_xlfn.LET(_xlpm.id,COLUMN(T5)-COLUMN($G$5),IF(_xlpm.id&lt;Nscen,"sc-"&amp;_xlpm.id,""))</f>
        <v/>
      </c>
      <c r="U5" s="85" t="str">
        <f>_xlfn.LET(_xlpm.id,COLUMN(U5)-COLUMN($G$5),IF(_xlpm.id&lt;Nscen,"sc-"&amp;_xlpm.id,""))</f>
        <v/>
      </c>
      <c r="V5" s="85" t="str">
        <f>_xlfn.LET(_xlpm.id,COLUMN(V5)-COLUMN($G$5),IF(_xlpm.id&lt;Nscen,"sc-"&amp;_xlpm.id,""))</f>
        <v/>
      </c>
      <c r="W5" s="85" t="str">
        <f>_xlfn.LET(_xlpm.id,COLUMN(W5)-COLUMN($G$5),IF(_xlpm.id&lt;Nscen,"sc-"&amp;_xlpm.id,""))</f>
        <v/>
      </c>
      <c r="X5" s="85" t="str">
        <f>_xlfn.LET(_xlpm.id,COLUMN(X5)-COLUMN($G$5),IF(_xlpm.id&lt;Nscen,"sc-"&amp;_xlpm.id,""))</f>
        <v/>
      </c>
      <c r="Y5" s="85" t="str">
        <f>_xlfn.LET(_xlpm.id,COLUMN(Y5)-COLUMN($G$5),IF(_xlpm.id&lt;Nscen,"sc-"&amp;_xlpm.id,""))</f>
        <v/>
      </c>
      <c r="Z5" s="85" t="str">
        <f>_xlfn.LET(_xlpm.id,COLUMN(Z5)-COLUMN($G$5),IF(_xlpm.id&lt;Nscen,"sc-"&amp;_xlpm.id,""))</f>
        <v/>
      </c>
      <c r="AA5" s="85" t="str">
        <f>_xlfn.LET(_xlpm.id,COLUMN(AA5)-COLUMN($G$5),IF(_xlpm.id&lt;Nscen,"sc-"&amp;_xlpm.id,""))</f>
        <v/>
      </c>
      <c r="AB5" s="85" t="str">
        <f>_xlfn.LET(_xlpm.id,COLUMN(AB5)-COLUMN($G$5),IF(_xlpm.id&lt;Nscen,"sc-"&amp;_xlpm.id,""))</f>
        <v/>
      </c>
      <c r="AC5" s="85" t="str">
        <f>_xlfn.LET(_xlpm.id,COLUMN(AC5)-COLUMN($G$5),IF(_xlpm.id&lt;Nscen,"sc-"&amp;_xlpm.id,""))</f>
        <v/>
      </c>
    </row>
    <row r="6" spans="1:29" x14ac:dyDescent="0.25">
      <c r="A6" s="88">
        <v>1</v>
      </c>
      <c r="B6" s="83" t="s">
        <v>92</v>
      </c>
      <c r="C6" s="83" t="s">
        <v>7</v>
      </c>
      <c r="D6" s="90">
        <v>1000</v>
      </c>
      <c r="E6" s="84">
        <f>MATCH(B6&amp;"."&amp;C6,listScenTopics,0)</f>
        <v>17</v>
      </c>
      <c r="F6" t="str">
        <f>C6</f>
        <v>REFA-Daekningsbidrag</v>
      </c>
      <c r="G6" s="86" cm="1">
        <f t="array" aca="1" ref="G6:Q6" ca="1">IF(A6=0,"",OFFSET(listScenTopicsTopLeft,E6-1,3,1,Nscen))/D6</f>
        <v>-2808.8488781447604</v>
      </c>
      <c r="H6" s="86">
        <f ca="1"/>
        <v>-20659.761523306373</v>
      </c>
      <c r="I6" s="86">
        <f ca="1"/>
        <v>-13981.533509566754</v>
      </c>
      <c r="J6" s="86">
        <f ca="1"/>
        <v>-7405.1160195641205</v>
      </c>
      <c r="K6" s="86">
        <f ca="1"/>
        <v>858.69096097620343</v>
      </c>
      <c r="L6" s="86">
        <f ca="1"/>
        <v>8676.5146425929725</v>
      </c>
      <c r="M6" s="86">
        <f ca="1"/>
        <v>-38925.191275084522</v>
      </c>
      <c r="N6" s="86">
        <f ca="1"/>
        <v>-32228.51855913207</v>
      </c>
      <c r="O6" s="86">
        <f ca="1"/>
        <v>-25657.000206260665</v>
      </c>
      <c r="P6" s="86">
        <f ca="1"/>
        <v>-17087.310241928953</v>
      </c>
      <c r="Q6" s="86">
        <f ca="1"/>
        <v>-9680.8662545892676</v>
      </c>
    </row>
    <row r="7" spans="1:29" x14ac:dyDescent="0.25">
      <c r="A7" s="88">
        <v>1</v>
      </c>
      <c r="B7" s="83" t="s">
        <v>92</v>
      </c>
      <c r="C7" s="83" t="s">
        <v>8</v>
      </c>
      <c r="D7" s="90">
        <v>1000</v>
      </c>
      <c r="E7" s="84">
        <f>MATCH(B7&amp;"."&amp;C7,listScenTopics,0)</f>
        <v>18</v>
      </c>
      <c r="F7" t="str">
        <f>C7</f>
        <v>REFA-Total-Var-Indkomst</v>
      </c>
      <c r="G7" s="86" cm="1">
        <f t="array" aca="1" ref="G7:Q7" ca="1">IF(A7=0,"",OFFSET(listScenTopicsTopLeft,E7-1,3,1,Nscen))/D7</f>
        <v>72991.092744539521</v>
      </c>
      <c r="H7" s="86">
        <f ca="1"/>
        <v>53961.35536508933</v>
      </c>
      <c r="I7" s="86">
        <f ca="1"/>
        <v>60586.691114636698</v>
      </c>
      <c r="J7" s="86">
        <f ca="1"/>
        <v>67157.697910482108</v>
      </c>
      <c r="K7" s="86">
        <f ca="1"/>
        <v>77124.125973480346</v>
      </c>
      <c r="L7" s="86">
        <f ca="1"/>
        <v>85209.151927156694</v>
      </c>
      <c r="M7" s="86">
        <f ca="1"/>
        <v>53961.35536508933</v>
      </c>
      <c r="N7" s="86">
        <f ca="1"/>
        <v>60602.464023691959</v>
      </c>
      <c r="O7" s="86">
        <f ca="1"/>
        <v>67173.982376563377</v>
      </c>
      <c r="P7" s="86">
        <f ca="1"/>
        <v>75575.389822510653</v>
      </c>
      <c r="Q7" s="86">
        <f ca="1"/>
        <v>85245.272880475502</v>
      </c>
    </row>
    <row r="8" spans="1:29" x14ac:dyDescent="0.25">
      <c r="A8" s="88">
        <v>1</v>
      </c>
      <c r="B8" s="83" t="s">
        <v>92</v>
      </c>
      <c r="C8" s="83" t="s">
        <v>12</v>
      </c>
      <c r="D8" s="90">
        <v>1000</v>
      </c>
      <c r="E8" s="84">
        <f>MATCH(B8&amp;"."&amp;C8,listScenTopics,0)</f>
        <v>23</v>
      </c>
      <c r="F8" t="str">
        <f>C8</f>
        <v>REFA-Total-Var-Omkostning</v>
      </c>
      <c r="G8" s="86" cm="1">
        <f t="array" aca="1" ref="G8:Q8" ca="1">IF(A8=0,"",OFFSET(listScenTopicsTopLeft,E8-1,3,1,Nscen))/D8</f>
        <v>75799.941622684288</v>
      </c>
      <c r="H8" s="86">
        <f ca="1"/>
        <v>74621.116888395714</v>
      </c>
      <c r="I8" s="86">
        <f ca="1"/>
        <v>74568.224624203445</v>
      </c>
      <c r="J8" s="86">
        <f ca="1"/>
        <v>74562.81393004625</v>
      </c>
      <c r="K8" s="86">
        <f ca="1"/>
        <v>76265.435012504167</v>
      </c>
      <c r="L8" s="86">
        <f ca="1"/>
        <v>76532.637284563723</v>
      </c>
      <c r="M8" s="86">
        <f ca="1"/>
        <v>92886.546640173867</v>
      </c>
      <c r="N8" s="86">
        <f ca="1"/>
        <v>92830.982582824043</v>
      </c>
      <c r="O8" s="86">
        <f ca="1"/>
        <v>92830.982582824043</v>
      </c>
      <c r="P8" s="86">
        <f ca="1"/>
        <v>92662.700064439618</v>
      </c>
      <c r="Q8" s="86">
        <f ca="1"/>
        <v>94926.139135064775</v>
      </c>
    </row>
    <row r="9" spans="1:29" x14ac:dyDescent="0.25">
      <c r="A9" s="88">
        <v>1</v>
      </c>
      <c r="B9" s="83" t="s">
        <v>92</v>
      </c>
      <c r="C9" s="83" t="s">
        <v>15</v>
      </c>
      <c r="D9" s="90">
        <v>1000</v>
      </c>
      <c r="E9" s="84">
        <f>MATCH(B9&amp;"."&amp;C9,listScenTopics,0)</f>
        <v>26</v>
      </c>
      <c r="F9" t="str">
        <f>C9</f>
        <v>REFA-Afgifter</v>
      </c>
      <c r="G9" s="86" cm="1">
        <f t="array" aca="1" ref="G9:Q9" ca="1">IF(A9=0,"",OFFSET(listScenTopicsTopLeft,E9-1,3,1,Nscen))/D9</f>
        <v>41564.133556720641</v>
      </c>
      <c r="H9" s="86">
        <f ca="1"/>
        <v>42611.967000826597</v>
      </c>
      <c r="I9" s="86">
        <f ca="1"/>
        <v>42455.270635217414</v>
      </c>
      <c r="J9" s="86">
        <f ca="1"/>
        <v>42449.859941060211</v>
      </c>
      <c r="K9" s="86">
        <f ca="1"/>
        <v>40746.677915686581</v>
      </c>
      <c r="L9" s="86">
        <f ca="1"/>
        <v>41094.223425630182</v>
      </c>
      <c r="M9" s="86">
        <f ca="1"/>
        <v>42611.967000826597</v>
      </c>
      <c r="N9" s="86">
        <f ca="1"/>
        <v>42452.598842059837</v>
      </c>
      <c r="O9" s="86">
        <f ca="1"/>
        <v>42452.598842059837</v>
      </c>
      <c r="P9" s="86">
        <f ca="1"/>
        <v>41262.905241015644</v>
      </c>
      <c r="Q9" s="86">
        <f ca="1"/>
        <v>40477.028410194966</v>
      </c>
    </row>
    <row r="10" spans="1:29" x14ac:dyDescent="0.25">
      <c r="A10" s="88">
        <v>1</v>
      </c>
      <c r="B10" s="83" t="s">
        <v>92</v>
      </c>
      <c r="C10" s="83" t="s">
        <v>16</v>
      </c>
      <c r="D10" s="90">
        <v>1000</v>
      </c>
      <c r="E10" s="84">
        <f>MATCH(B10&amp;"."&amp;C10,listScenTopics,0)</f>
        <v>27</v>
      </c>
      <c r="F10" t="str">
        <f>C10</f>
        <v>REFA-CO2-Kvoteomk</v>
      </c>
      <c r="G10" s="86" cm="1">
        <f t="array" aca="1" ref="G10:Q10" ca="1">IF(A10=0,"",OFFSET(listScenTopicsTopLeft,E10-1,3,1,Nscen))/D10</f>
        <v>14968.519681582196</v>
      </c>
      <c r="H10" s="86">
        <f ca="1"/>
        <v>14612.343801422527</v>
      </c>
      <c r="I10" s="86">
        <f ca="1"/>
        <v>14612.343801422525</v>
      </c>
      <c r="J10" s="86">
        <f ca="1"/>
        <v>14612.343801422525</v>
      </c>
      <c r="K10" s="86">
        <f ca="1"/>
        <v>14612.343801422527</v>
      </c>
      <c r="L10" s="86">
        <f ca="1"/>
        <v>14612.343801422525</v>
      </c>
      <c r="M10" s="86">
        <f ca="1"/>
        <v>32877.773553200677</v>
      </c>
      <c r="N10" s="86">
        <f ca="1"/>
        <v>32877.773553200677</v>
      </c>
      <c r="O10" s="86">
        <f ca="1"/>
        <v>32877.773553200677</v>
      </c>
      <c r="P10" s="86">
        <f ca="1"/>
        <v>32877.773553200677</v>
      </c>
      <c r="Q10" s="86">
        <f ca="1"/>
        <v>32877.773553200677</v>
      </c>
    </row>
  </sheetData>
  <mergeCells count="1">
    <mergeCell ref="B3:C3"/>
  </mergeCells>
  <conditionalFormatting sqref="A6:A10">
    <cfRule type="iconSet" priority="1">
      <iconSet>
        <cfvo type="percent" val="0"/>
        <cfvo type="percent" val="33"/>
        <cfvo type="percent" val="67"/>
      </iconSet>
    </cfRule>
  </conditionalFormatting>
  <dataValidations count="3">
    <dataValidation type="list" allowBlank="1" showInputMessage="1" showErrorMessage="1" sqref="B6:B10" xr:uid="{D3DDF137-E67F-48B9-98BC-33E3A7408901}">
      <formula1>listKategori</formula1>
    </dataValidation>
    <dataValidation type="list" allowBlank="1" showInputMessage="1" showErrorMessage="1" sqref="C6:C10 E6:E10" xr:uid="{C2A692C2-3D6D-424F-8D77-D516B2A67503}">
      <formula1>listdynEmner</formula1>
    </dataValidation>
    <dataValidation type="whole" allowBlank="1" showInputMessage="1" showErrorMessage="1" sqref="A6:A10" xr:uid="{DE08E23B-0825-42E7-A9AE-A72A1F855AB7}">
      <formula1>0</formula1>
      <formula2>1</formula2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692D6-5F90-4CE4-B2E4-3DE71D5CDD2D}">
  <dimension ref="B2:I110"/>
  <sheetViews>
    <sheetView zoomScale="85" zoomScaleNormal="85" workbookViewId="0">
      <selection activeCell="I3" sqref="I3"/>
    </sheetView>
  </sheetViews>
  <sheetFormatPr defaultRowHeight="15" x14ac:dyDescent="0.25"/>
  <cols>
    <col min="2" max="2" width="21.7109375" bestFit="1" customWidth="1"/>
    <col min="3" max="3" width="32" bestFit="1" customWidth="1"/>
    <col min="5" max="5" width="40.42578125" bestFit="1" customWidth="1"/>
    <col min="6" max="6" width="18.85546875" bestFit="1" customWidth="1"/>
  </cols>
  <sheetData>
    <row r="2" spans="2:9" x14ac:dyDescent="0.25">
      <c r="B2" s="82" t="s">
        <v>105</v>
      </c>
      <c r="C2" s="83" t="str">
        <f>valgtKategori</f>
        <v>Nøgletal</v>
      </c>
      <c r="E2" s="82" t="s">
        <v>107</v>
      </c>
      <c r="H2" t="s">
        <v>108</v>
      </c>
    </row>
    <row r="3" spans="2:9" ht="15.75" x14ac:dyDescent="0.25">
      <c r="B3" s="81" t="str" cm="1">
        <f t="array" ref="B3:B7">_xlfn.UNIQUE(LEFT(_xlfn.ANCHORARRAY(E3),FIND(".",_xlfn.ANCHORARRAY(E3))-1))</f>
        <v>Prognose</v>
      </c>
      <c r="C3" t="str" cm="1">
        <f t="array" ref="C3:C44">_xlfn.LET(_xlpm.res,_xlfn._xlws.FILTER(_xlfn.ANCHORARRAY(E3),LEFT(_xlfn.ANCHORARRAY(E3),LEN($C$2))=$C$2),MID(_xlpm.res,LEN($C$2)+2,999))</f>
        <v>FJV-behov</v>
      </c>
      <c r="E3" t="str" cm="1">
        <f t="array" ref="E3:E110">_xlfn._xlws.FILTER(listScenTopics,LEN(listScenTopics)&gt;0,)</f>
        <v>Prognose.Elpris</v>
      </c>
      <c r="F3" t="str" cm="1">
        <f t="array" ref="F3:F7">_xlfn.UNIQUE(LEFT(_xlfn.ANCHORARRAY(E3),FIND(".",_xlfn.ANCHORARRAY(E3))-1))</f>
        <v>Prognose</v>
      </c>
      <c r="H3" t="s">
        <v>109</v>
      </c>
      <c r="I3" cm="1">
        <f t="array" ref="I3">MATCH(TRUE,ISBLANK(Overblik!$D$4:$CC$4),0)-1</f>
        <v>11</v>
      </c>
    </row>
    <row r="4" spans="2:9" ht="15.75" x14ac:dyDescent="0.25">
      <c r="B4" s="81" t="str">
        <v>Nøgletal</v>
      </c>
      <c r="C4" t="str">
        <v>Total-NPV</v>
      </c>
      <c r="E4" t="str">
        <v>Prognose.ETS</v>
      </c>
      <c r="F4" t="str">
        <v>Nøgletal</v>
      </c>
      <c r="I4" cm="1">
        <f t="array" ref="I4">MATCH(TRUE,ISBLANK(Overblik!$D$4:$CC$4),0)-1</f>
        <v>11</v>
      </c>
    </row>
    <row r="5" spans="2:9" ht="15.75" x14ac:dyDescent="0.25">
      <c r="B5" s="81" t="str">
        <v>Varmemængder</v>
      </c>
      <c r="C5" t="str">
        <v>Total-Var-Varmeproduktions-Omk</v>
      </c>
      <c r="E5" t="str">
        <v>Nøgletal.FJV-behov</v>
      </c>
      <c r="F5" t="str">
        <v>Varmemængder</v>
      </c>
    </row>
    <row r="6" spans="2:9" ht="15.75" x14ac:dyDescent="0.25">
      <c r="B6" s="81" t="str">
        <v>Brændselsforbrug</v>
      </c>
      <c r="C6" t="str">
        <v>REFA-NPV</v>
      </c>
      <c r="E6" t="str">
        <v>Nøgletal.Total-NPV</v>
      </c>
      <c r="F6" t="str">
        <v>Brændselsforbrug</v>
      </c>
    </row>
    <row r="7" spans="2:9" ht="15.75" x14ac:dyDescent="0.25">
      <c r="B7" s="81" t="str">
        <v>Brændselsindkomst</v>
      </c>
      <c r="C7" t="str">
        <v>REFA-Var-Varmeproduktions-Omk</v>
      </c>
      <c r="E7" t="str">
        <v>Nøgletal.Total-Var-Varmeproduktions-Omk</v>
      </c>
      <c r="F7" t="str">
        <v>Brændselsindkomst</v>
      </c>
    </row>
    <row r="8" spans="2:9" ht="15.75" x14ac:dyDescent="0.25">
      <c r="B8" s="81"/>
      <c r="C8" t="str">
        <v>REFA-Daekningsbidrag</v>
      </c>
      <c r="E8" t="str">
        <v>Nøgletal.REFA-NPV</v>
      </c>
    </row>
    <row r="9" spans="2:9" ht="15.75" x14ac:dyDescent="0.25">
      <c r="B9" s="81"/>
      <c r="C9" t="str">
        <v>REFA-Total-Var-Indkomst</v>
      </c>
      <c r="E9" t="str">
        <v>Nøgletal.REFA-Var-Varmeproduktions-Omk</v>
      </c>
    </row>
    <row r="10" spans="2:9" ht="15.75" x14ac:dyDescent="0.25">
      <c r="B10" s="81"/>
      <c r="C10" t="str">
        <v>REFA-Affald-Modtagelse</v>
      </c>
      <c r="E10" t="str">
        <v>Nøgletal.REFA-Daekningsbidrag</v>
      </c>
    </row>
    <row r="11" spans="2:9" ht="15.75" x14ac:dyDescent="0.25">
      <c r="B11" s="81"/>
      <c r="C11" t="str">
        <v>REFA-RGK-Rabat</v>
      </c>
      <c r="E11" t="str">
        <v>Nøgletal.REFA-Total-Var-Indkomst</v>
      </c>
    </row>
    <row r="12" spans="2:9" ht="15.75" x14ac:dyDescent="0.25">
      <c r="B12" s="81"/>
      <c r="C12" t="str">
        <v>REFA-Elsalg</v>
      </c>
      <c r="E12" t="str">
        <v>Nøgletal.REFA-Affald-Modtagelse</v>
      </c>
    </row>
    <row r="13" spans="2:9" x14ac:dyDescent="0.25">
      <c r="C13" t="str">
        <v>REFA-Varmesalg</v>
      </c>
      <c r="E13" t="str">
        <v>Nøgletal.REFA-RGK-Rabat</v>
      </c>
    </row>
    <row r="14" spans="2:9" x14ac:dyDescent="0.25">
      <c r="C14" t="str">
        <v>REFA-Total-Var-Omkostning</v>
      </c>
      <c r="E14" t="str">
        <v>Nøgletal.REFA-Elsalg</v>
      </c>
    </row>
    <row r="15" spans="2:9" x14ac:dyDescent="0.25">
      <c r="C15" t="str">
        <v>REFA-AnlaegsVarOmk</v>
      </c>
      <c r="E15" t="str">
        <v>Nøgletal.REFA-Varmesalg</v>
      </c>
    </row>
    <row r="16" spans="2:9" x14ac:dyDescent="0.25">
      <c r="C16" t="str">
        <v>REFA-BraendselOmk</v>
      </c>
      <c r="E16" t="str">
        <v>Nøgletal.REFA-Total-Var-Omkostning</v>
      </c>
    </row>
    <row r="17" spans="3:5" x14ac:dyDescent="0.25">
      <c r="C17" t="str">
        <v>REFA-Afgifter</v>
      </c>
      <c r="E17" t="str">
        <v>Nøgletal.REFA-AnlaegsVarOmk</v>
      </c>
    </row>
    <row r="18" spans="3:5" x14ac:dyDescent="0.25">
      <c r="C18" t="str">
        <v>REFA-CO2-Kvoteomk</v>
      </c>
      <c r="E18" t="str">
        <v>Nøgletal.REFA-BraendselOmk</v>
      </c>
    </row>
    <row r="19" spans="3:5" x14ac:dyDescent="0.25">
      <c r="C19" t="str">
        <v>REFA-Lageromkostning</v>
      </c>
      <c r="E19" t="str">
        <v>Nøgletal.REFA-Afgifter</v>
      </c>
    </row>
    <row r="20" spans="3:5" x14ac:dyDescent="0.25">
      <c r="C20" t="str">
        <v>REFA-CO2-Emission-Afgift</v>
      </c>
      <c r="E20" t="str">
        <v>Nøgletal.REFA-CO2-Kvoteomk</v>
      </c>
    </row>
    <row r="21" spans="3:5" x14ac:dyDescent="0.25">
      <c r="C21" t="str">
        <v>REFA-CO2-Emission-Kvote</v>
      </c>
      <c r="E21" t="str">
        <v>Nøgletal.REFA-Lageromkostning</v>
      </c>
    </row>
    <row r="22" spans="3:5" x14ac:dyDescent="0.25">
      <c r="C22" t="str">
        <v>REFA-El-produktion-Brutto</v>
      </c>
      <c r="E22" t="str">
        <v>Nøgletal.REFA-CO2-Emission-Afgift</v>
      </c>
    </row>
    <row r="23" spans="3:5" x14ac:dyDescent="0.25">
      <c r="C23" t="str">
        <v>REFA-El-produktion-Netto</v>
      </c>
      <c r="E23" t="str">
        <v>Nøgletal.REFA-CO2-Emission-Kvote</v>
      </c>
    </row>
    <row r="24" spans="3:5" x14ac:dyDescent="0.25">
      <c r="C24" t="str">
        <v>REFA-Total-Affald-Raadighed</v>
      </c>
      <c r="E24" t="str">
        <v>Nøgletal.REFA-El-produktion-Brutto</v>
      </c>
    </row>
    <row r="25" spans="3:5" x14ac:dyDescent="0.25">
      <c r="C25" t="str">
        <v>REFA-Affald-anvendt</v>
      </c>
      <c r="E25" t="str">
        <v>Nøgletal.REFA-El-produktion-Netto</v>
      </c>
    </row>
    <row r="26" spans="3:5" x14ac:dyDescent="0.25">
      <c r="C26" t="str">
        <v>REFA-Affald-Uudnyttet</v>
      </c>
      <c r="E26" t="str">
        <v>Nøgletal.REFA-Total-Affald-Raadighed</v>
      </c>
    </row>
    <row r="27" spans="3:5" x14ac:dyDescent="0.25">
      <c r="C27" t="str">
        <v>REFA-Affald-Lagret</v>
      </c>
      <c r="E27" t="str">
        <v>Nøgletal.REFA-Affald-anvendt</v>
      </c>
    </row>
    <row r="28" spans="3:5" x14ac:dyDescent="0.25">
      <c r="C28" t="str">
        <v>REFA-Total-Varme-Produktion</v>
      </c>
      <c r="E28" t="str">
        <v>Nøgletal.REFA-Affald-Uudnyttet</v>
      </c>
    </row>
    <row r="29" spans="3:5" x14ac:dyDescent="0.25">
      <c r="C29" t="str">
        <v>REFA-Leveret-Varme</v>
      </c>
      <c r="E29" t="str">
        <v>Nøgletal.REFA-Affald-Lagret</v>
      </c>
    </row>
    <row r="30" spans="3:5" x14ac:dyDescent="0.25">
      <c r="C30" t="str">
        <v>REFA-Modtryk-Varme</v>
      </c>
      <c r="E30" t="str">
        <v>Nøgletal.REFA-Total-Varme-Produktion</v>
      </c>
    </row>
    <row r="31" spans="3:5" x14ac:dyDescent="0.25">
      <c r="C31" t="str">
        <v>REFA-Bypass-Varme</v>
      </c>
      <c r="E31" t="str">
        <v>Nøgletal.REFA-Leveret-Varme</v>
      </c>
    </row>
    <row r="32" spans="3:5" x14ac:dyDescent="0.25">
      <c r="C32" t="str">
        <v>REFA-RGK-Varme</v>
      </c>
      <c r="E32" t="str">
        <v>Nøgletal.REFA-Modtryk-Varme</v>
      </c>
    </row>
    <row r="33" spans="3:5" x14ac:dyDescent="0.25">
      <c r="C33" t="str">
        <v>REFA-Bortkoelet-Varme</v>
      </c>
      <c r="E33" t="str">
        <v>Nøgletal.REFA-Bypass-Varme</v>
      </c>
    </row>
    <row r="34" spans="3:5" x14ac:dyDescent="0.25">
      <c r="C34" t="str">
        <v>GSF-Total-Var-Omkostning</v>
      </c>
      <c r="E34" t="str">
        <v>Nøgletal.REFA-RGK-Varme</v>
      </c>
    </row>
    <row r="35" spans="3:5" x14ac:dyDescent="0.25">
      <c r="C35" t="str">
        <v>GSF-AnlaegsVarOmk</v>
      </c>
      <c r="E35" t="str">
        <v>Nøgletal.REFA-Bortkoelet-Varme</v>
      </c>
    </row>
    <row r="36" spans="3:5" x14ac:dyDescent="0.25">
      <c r="C36" t="str">
        <v>GSF-BraendselOmk</v>
      </c>
      <c r="E36" t="str">
        <v>Nøgletal.GSF-Total-Var-Omkostning</v>
      </c>
    </row>
    <row r="37" spans="3:5" x14ac:dyDescent="0.25">
      <c r="C37" t="str">
        <v>GSF-Afgifter</v>
      </c>
      <c r="E37" t="str">
        <v>Nøgletal.GSF-AnlaegsVarOmk</v>
      </c>
    </row>
    <row r="38" spans="3:5" x14ac:dyDescent="0.25">
      <c r="C38" t="str">
        <v>GSF-CO2-Emission</v>
      </c>
      <c r="E38" t="str">
        <v>Nøgletal.GSF-BraendselOmk</v>
      </c>
    </row>
    <row r="39" spans="3:5" x14ac:dyDescent="0.25">
      <c r="C39" t="str">
        <v>GSF-Total-Varme-Produktion</v>
      </c>
      <c r="E39" t="str">
        <v>Nøgletal.GSF-Afgifter</v>
      </c>
    </row>
    <row r="40" spans="3:5" x14ac:dyDescent="0.25">
      <c r="C40" t="str">
        <v>NS-Total-Varme-Produktion</v>
      </c>
      <c r="E40" t="str">
        <v>Nøgletal.GSF-CO2-Emission</v>
      </c>
    </row>
    <row r="41" spans="3:5" x14ac:dyDescent="0.25">
      <c r="C41" t="str">
        <v>Virtuel-Varme-Kilde</v>
      </c>
      <c r="E41" t="str">
        <v>Nøgletal.GSF-Total-Varme-Produktion</v>
      </c>
    </row>
    <row r="42" spans="3:5" x14ac:dyDescent="0.25">
      <c r="C42" t="str">
        <v>Virtuel-Varme-Draen</v>
      </c>
      <c r="E42" t="str">
        <v>Nøgletal.NS-Total-Varme-Produktion</v>
      </c>
    </row>
    <row r="43" spans="3:5" x14ac:dyDescent="0.25">
      <c r="C43" t="str">
        <v>Virtuel-Affaldstonnage-Kilde</v>
      </c>
      <c r="E43" t="str">
        <v>Nøgletal.Virtuel-Varme-Kilde</v>
      </c>
    </row>
    <row r="44" spans="3:5" x14ac:dyDescent="0.25">
      <c r="C44" t="str">
        <v>Virtuel-Affaldstonnage-Draen</v>
      </c>
      <c r="E44" t="str">
        <v>Nøgletal.Virtuel-Varme-Draen</v>
      </c>
    </row>
    <row r="45" spans="3:5" x14ac:dyDescent="0.25">
      <c r="E45" t="str">
        <v>Nøgletal.Virtuel-Affaldstonnage-Kilde</v>
      </c>
    </row>
    <row r="46" spans="3:5" x14ac:dyDescent="0.25">
      <c r="E46" t="str">
        <v>Nøgletal.Virtuel-Affaldstonnage-Draen</v>
      </c>
    </row>
    <row r="47" spans="3:5" x14ac:dyDescent="0.25">
      <c r="E47" t="str">
        <v>Varmemængder.Ovn2</v>
      </c>
    </row>
    <row r="48" spans="3:5" x14ac:dyDescent="0.25">
      <c r="E48" t="str">
        <v>Varmemængder.Ovn3</v>
      </c>
    </row>
    <row r="49" spans="5:5" x14ac:dyDescent="0.25">
      <c r="E49" t="str">
        <v>Varmemængder.FlisK</v>
      </c>
    </row>
    <row r="50" spans="5:5" x14ac:dyDescent="0.25">
      <c r="E50" t="str">
        <v>Varmemængder.NS</v>
      </c>
    </row>
    <row r="51" spans="5:5" x14ac:dyDescent="0.25">
      <c r="E51" t="str">
        <v>Varmemængder.Cooler</v>
      </c>
    </row>
    <row r="52" spans="5:5" x14ac:dyDescent="0.25">
      <c r="E52" t="str">
        <v>Varmemængder.PeakK</v>
      </c>
    </row>
    <row r="53" spans="5:5" x14ac:dyDescent="0.25">
      <c r="E53" t="str">
        <v>Brændselsforbrug.DepoSort</v>
      </c>
    </row>
    <row r="54" spans="5:5" x14ac:dyDescent="0.25">
      <c r="E54" t="str">
        <v>Brændselsforbrug.DepoSmaat</v>
      </c>
    </row>
    <row r="55" spans="5:5" x14ac:dyDescent="0.25">
      <c r="E55" t="str">
        <v>Brændselsforbrug.DepoNedd</v>
      </c>
    </row>
    <row r="56" spans="5:5" x14ac:dyDescent="0.25">
      <c r="E56" t="str">
        <v>Brændselsforbrug.Dagren</v>
      </c>
    </row>
    <row r="57" spans="5:5" x14ac:dyDescent="0.25">
      <c r="E57" t="str">
        <v>Brændselsforbrug.AndetBrand</v>
      </c>
    </row>
    <row r="58" spans="5:5" x14ac:dyDescent="0.25">
      <c r="E58" t="str">
        <v>Brændselsforbrug.Trae</v>
      </c>
    </row>
    <row r="59" spans="5:5" x14ac:dyDescent="0.25">
      <c r="E59" t="str">
        <v>Brændselsforbrug.DagrenRast</v>
      </c>
    </row>
    <row r="60" spans="5:5" x14ac:dyDescent="0.25">
      <c r="E60" t="str">
        <v>Brændselsforbrug.DagrenInst</v>
      </c>
    </row>
    <row r="61" spans="5:5" x14ac:dyDescent="0.25">
      <c r="E61" t="str">
        <v>Brændselsforbrug.DagrenHandel</v>
      </c>
    </row>
    <row r="62" spans="5:5" x14ac:dyDescent="0.25">
      <c r="E62" t="str">
        <v>Brændselsforbrug.DagrenRestau</v>
      </c>
    </row>
    <row r="63" spans="5:5" x14ac:dyDescent="0.25">
      <c r="E63" t="str">
        <v>Brændselsforbrug.Erhverv</v>
      </c>
    </row>
    <row r="64" spans="5:5" x14ac:dyDescent="0.25">
      <c r="E64" t="str">
        <v>Brændselsforbrug.DagrenErhverv</v>
      </c>
    </row>
    <row r="65" spans="5:5" x14ac:dyDescent="0.25">
      <c r="E65" t="str">
        <v>Brændselsforbrug.HandelKontor</v>
      </c>
    </row>
    <row r="66" spans="5:5" x14ac:dyDescent="0.25">
      <c r="E66" t="str">
        <v>Brændselsforbrug.Privat</v>
      </c>
    </row>
    <row r="67" spans="5:5" x14ac:dyDescent="0.25">
      <c r="E67" t="str">
        <v>Brændselsforbrug.TyskRest</v>
      </c>
    </row>
    <row r="68" spans="5:5" x14ac:dyDescent="0.25">
      <c r="E68" t="str">
        <v>Brændselsforbrug.PolskRest</v>
      </c>
    </row>
    <row r="69" spans="5:5" x14ac:dyDescent="0.25">
      <c r="E69" t="str">
        <v>Brændselsforbrug.PcbTrae</v>
      </c>
    </row>
    <row r="70" spans="5:5" x14ac:dyDescent="0.25">
      <c r="E70" t="str">
        <v>Brændselsforbrug.TraeRekv</v>
      </c>
    </row>
    <row r="71" spans="5:5" x14ac:dyDescent="0.25">
      <c r="E71" t="str">
        <v>Brændselsforbrug.Halm</v>
      </c>
    </row>
    <row r="72" spans="5:5" x14ac:dyDescent="0.25">
      <c r="E72" t="str">
        <v>Brændselsforbrug.Pulver</v>
      </c>
    </row>
    <row r="73" spans="5:5" x14ac:dyDescent="0.25">
      <c r="E73" t="str">
        <v>Brændselsforbrug.FlisAffald</v>
      </c>
    </row>
    <row r="74" spans="5:5" x14ac:dyDescent="0.25">
      <c r="E74" t="str">
        <v>Brændselsforbrug.NyAff1</v>
      </c>
    </row>
    <row r="75" spans="5:5" x14ac:dyDescent="0.25">
      <c r="E75" t="str">
        <v>Brændselsforbrug.NyAff2</v>
      </c>
    </row>
    <row r="76" spans="5:5" x14ac:dyDescent="0.25">
      <c r="E76" t="str">
        <v>Brændselsforbrug.NyAff3</v>
      </c>
    </row>
    <row r="77" spans="5:5" x14ac:dyDescent="0.25">
      <c r="E77" t="str">
        <v>Brændselsforbrug.NyAff4</v>
      </c>
    </row>
    <row r="78" spans="5:5" x14ac:dyDescent="0.25">
      <c r="E78" t="str">
        <v>Brændselsforbrug.NyAff5</v>
      </c>
    </row>
    <row r="79" spans="5:5" x14ac:dyDescent="0.25">
      <c r="E79" t="str">
        <v>Brændselsforbrug.Flis</v>
      </c>
    </row>
    <row r="80" spans="5:5" x14ac:dyDescent="0.25">
      <c r="E80" t="str">
        <v>Brændselsforbrug.NSvarme</v>
      </c>
    </row>
    <row r="81" spans="5:5" x14ac:dyDescent="0.25">
      <c r="E81" t="str">
        <v>Brændselsforbrug.PeakFuel</v>
      </c>
    </row>
    <row r="82" spans="5:5" x14ac:dyDescent="0.25">
      <c r="E82" t="str">
        <v>Brændselsindkomst.DepoSort</v>
      </c>
    </row>
    <row r="83" spans="5:5" x14ac:dyDescent="0.25">
      <c r="E83" t="str">
        <v>Brændselsindkomst.DepoSmaat</v>
      </c>
    </row>
    <row r="84" spans="5:5" x14ac:dyDescent="0.25">
      <c r="E84" t="str">
        <v>Brændselsindkomst.DepoNedd</v>
      </c>
    </row>
    <row r="85" spans="5:5" x14ac:dyDescent="0.25">
      <c r="E85" t="str">
        <v>Brændselsindkomst.Dagren</v>
      </c>
    </row>
    <row r="86" spans="5:5" x14ac:dyDescent="0.25">
      <c r="E86" t="str">
        <v>Brændselsindkomst.AndetBrand</v>
      </c>
    </row>
    <row r="87" spans="5:5" x14ac:dyDescent="0.25">
      <c r="E87" t="str">
        <v>Brændselsindkomst.Trae</v>
      </c>
    </row>
    <row r="88" spans="5:5" x14ac:dyDescent="0.25">
      <c r="E88" t="str">
        <v>Brændselsindkomst.DagrenRast</v>
      </c>
    </row>
    <row r="89" spans="5:5" x14ac:dyDescent="0.25">
      <c r="E89" t="str">
        <v>Brændselsindkomst.DagrenInst</v>
      </c>
    </row>
    <row r="90" spans="5:5" x14ac:dyDescent="0.25">
      <c r="E90" t="str">
        <v>Brændselsindkomst.DagrenHandel</v>
      </c>
    </row>
    <row r="91" spans="5:5" x14ac:dyDescent="0.25">
      <c r="E91" t="str">
        <v>Brændselsindkomst.DagrenRestau</v>
      </c>
    </row>
    <row r="92" spans="5:5" x14ac:dyDescent="0.25">
      <c r="E92" t="str">
        <v>Brændselsindkomst.Erhverv</v>
      </c>
    </row>
    <row r="93" spans="5:5" x14ac:dyDescent="0.25">
      <c r="E93" t="str">
        <v>Brændselsindkomst.DagrenErhverv</v>
      </c>
    </row>
    <row r="94" spans="5:5" x14ac:dyDescent="0.25">
      <c r="E94" t="str">
        <v>Brændselsindkomst.HandelKontor</v>
      </c>
    </row>
    <row r="95" spans="5:5" x14ac:dyDescent="0.25">
      <c r="E95" t="str">
        <v>Brændselsindkomst.Privat</v>
      </c>
    </row>
    <row r="96" spans="5:5" x14ac:dyDescent="0.25">
      <c r="E96" t="str">
        <v>Brændselsindkomst.TyskRest</v>
      </c>
    </row>
    <row r="97" spans="5:5" x14ac:dyDescent="0.25">
      <c r="E97" t="str">
        <v>Brændselsindkomst.PolskRest</v>
      </c>
    </row>
    <row r="98" spans="5:5" x14ac:dyDescent="0.25">
      <c r="E98" t="str">
        <v>Brændselsindkomst.PcbTrae</v>
      </c>
    </row>
    <row r="99" spans="5:5" x14ac:dyDescent="0.25">
      <c r="E99" t="str">
        <v>Brændselsindkomst.TraeRekv</v>
      </c>
    </row>
    <row r="100" spans="5:5" x14ac:dyDescent="0.25">
      <c r="E100" t="str">
        <v>Brændselsindkomst.Halm</v>
      </c>
    </row>
    <row r="101" spans="5:5" x14ac:dyDescent="0.25">
      <c r="E101" t="str">
        <v>Brændselsindkomst.Pulver</v>
      </c>
    </row>
    <row r="102" spans="5:5" x14ac:dyDescent="0.25">
      <c r="E102" t="str">
        <v>Brændselsindkomst.FlisAffald</v>
      </c>
    </row>
    <row r="103" spans="5:5" x14ac:dyDescent="0.25">
      <c r="E103" t="str">
        <v>Brændselsindkomst.NyAff1</v>
      </c>
    </row>
    <row r="104" spans="5:5" x14ac:dyDescent="0.25">
      <c r="E104" t="str">
        <v>Brændselsindkomst.NyAff2</v>
      </c>
    </row>
    <row r="105" spans="5:5" x14ac:dyDescent="0.25">
      <c r="E105" t="str">
        <v>Brændselsindkomst.NyAff3</v>
      </c>
    </row>
    <row r="106" spans="5:5" x14ac:dyDescent="0.25">
      <c r="E106" t="str">
        <v>Brændselsindkomst.NyAff4</v>
      </c>
    </row>
    <row r="107" spans="5:5" x14ac:dyDescent="0.25">
      <c r="E107" t="str">
        <v>Brændselsindkomst.NyAff5</v>
      </c>
    </row>
    <row r="108" spans="5:5" x14ac:dyDescent="0.25">
      <c r="E108" t="str">
        <v>Brændselsindkomst.Flis</v>
      </c>
    </row>
    <row r="109" spans="5:5" x14ac:dyDescent="0.25">
      <c r="E109" t="str">
        <v>Brændselsindkomst.NSvarme</v>
      </c>
    </row>
    <row r="110" spans="5:5" x14ac:dyDescent="0.25">
      <c r="E110" t="str">
        <v>Brændselsindkomst.PeakFuel</v>
      </c>
    </row>
  </sheetData>
  <dataValidations count="1">
    <dataValidation type="list" allowBlank="1" showInputMessage="1" showErrorMessage="1" sqref="C2" xr:uid="{8F7B67C0-C570-47CF-A382-F352CB44410F}">
      <formula1>listKategori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Overblik</vt:lpstr>
      <vt:lpstr>Charts</vt:lpstr>
      <vt:lpstr>Lister</vt:lpstr>
      <vt:lpstr>listScenTopics</vt:lpstr>
      <vt:lpstr>listScenTopicsTopLeft</vt:lpstr>
      <vt:lpstr>Nscen</vt:lpstr>
      <vt:lpstr>valgtKategori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2022-01-21T15:24:22Z</dcterms:created>
  <dcterms:modified xsi:type="dcterms:W3CDTF">2022-01-28T09:46:10Z</dcterms:modified>
</cp:coreProperties>
</file>