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"/>
    </mc:Choice>
  </mc:AlternateContent>
  <xr:revisionPtr revIDLastSave="0" documentId="13_ncr:1_{2E5614CD-5328-4E16-9C94-03D4B2C6D3E0}" xr6:coauthVersionLast="47" xr6:coauthVersionMax="47" xr10:uidLastSave="{00000000-0000-0000-0000-000000000000}"/>
  <bookViews>
    <workbookView xWindow="-120" yWindow="-120" windowWidth="29040" windowHeight="15720" firstSheet="2" activeTab="2" xr2:uid="{858EECC8-30FB-4D42-A70B-DA5455FDD71D}"/>
  </bookViews>
  <sheets>
    <sheet name="Gemte scenarie Input" sheetId="10" r:id="rId1"/>
    <sheet name="Scenarier" sheetId="9" r:id="rId2"/>
    <sheet name="Model-1" sheetId="1" r:id="rId3"/>
    <sheet name="Model-1B" sheetId="12" r:id="rId4"/>
    <sheet name="Model-2" sheetId="11" r:id="rId5"/>
    <sheet name="Scenario 7 GWh" sheetId="8" r:id="rId6"/>
    <sheet name="Scenario 28 GWh" sheetId="6" r:id="rId7"/>
    <sheet name="Scenario 35 GWh" sheetId="7" r:id="rId8"/>
    <sheet name="Affald2021" sheetId="2" r:id="rId9"/>
  </sheets>
  <definedNames>
    <definedName name="_xlpm.col" hidden="1" xlm="1">#NAME?</definedName>
    <definedName name="_xlpm.icol" hidden="1" xlm="1">#NAME?</definedName>
    <definedName name="_xlpm.inputName" hidden="1" xlm="1">#NAME?</definedName>
    <definedName name="_xlpm.irow" hidden="1" xlm="1">#NAME?</definedName>
    <definedName name="_xlpm.label" hidden="1" xlm="1">#NAME?</definedName>
    <definedName name="_xlpm.ow" hidden="1" xlm="1">#NAME?</definedName>
    <definedName name="_xlpm.ran" hidden="1" xlm="1">#NAME?</definedName>
    <definedName name="_xlpm.reirow" hidden="1" xlm="1">#NAME?</definedName>
    <definedName name="_xlpm.resirow" hidden="1" xlm="1">#NAME?</definedName>
    <definedName name="_xlpm.resuirow" hidden="1" xlm="1">#NAME?</definedName>
    <definedName name="_xlpm.resulirow" hidden="1" xlm="1">#NAME?</definedName>
    <definedName name="_xlpm.result" hidden="1" xlm="1">#NAME?</definedName>
    <definedName name="_xlpm.resultirow" hidden="1" xlm="1">#NAME?</definedName>
    <definedName name="_xlpm.resultNairow" hidden="1" xlm="1">#NAME?</definedName>
    <definedName name="_xlpm.resultName" hidden="1" xlm="1">#NAME?</definedName>
    <definedName name="_xlpm.resultNameirow" hidden="1" xlm="1">#NAME?</definedName>
    <definedName name="_xlpm.resultNameow" hidden="1" xlm="1">#NAME?</definedName>
    <definedName name="_xlpm.resultNamerow" hidden="1" xlm="1">#NAME?</definedName>
    <definedName name="_xlpm.resultNamew" hidden="1" xlm="1">#NAME?</definedName>
    <definedName name="_xlpm.resultNamirow" hidden="1" xlm="1">#NAME?</definedName>
    <definedName name="_xlpm.resultNirow" hidden="1" xlm="1">#NAME?</definedName>
    <definedName name="_xlpm.rirow" hidden="1" xlm="1">#NAME?</definedName>
    <definedName name="_xlpm.row" hidden="1" xlm="1">#NAME?</definedName>
    <definedName name="_xlpm.w" hidden="1" xlm="1">#NAME?</definedName>
    <definedName name="AFV" localSheetId="3">'Model-1B'!$C$39</definedName>
    <definedName name="AFV" localSheetId="4">'Model-2'!$C$35</definedName>
    <definedName name="AFV">'Model-1'!$C$38</definedName>
    <definedName name="AndelAffald" localSheetId="4">'Model-2'!#REF!</definedName>
    <definedName name="AndelBioaffald" localSheetId="3">'Model-1B'!$E$25</definedName>
    <definedName name="AndelBioaffald" localSheetId="4">'Model-2'!#REF!</definedName>
    <definedName name="AndelBioaffald">'Model-1'!$E$24</definedName>
    <definedName name="AndelFossilFast" localSheetId="3">'Model-1B'!$C$25</definedName>
    <definedName name="AndelFossilFast">'Model-1'!$C$24</definedName>
    <definedName name="AndelFossilFri" localSheetId="3">'Model-1B'!$D$25</definedName>
    <definedName name="AndelFossilFri">'Model-1'!$D$24</definedName>
    <definedName name="ATL" localSheetId="3">'Model-1B'!$C$40</definedName>
    <definedName name="ATL" localSheetId="4">'Model-2'!$C$36</definedName>
    <definedName name="ATL">'Model-1'!$C$39</definedName>
    <definedName name="AvailDaysCooler">'Model-2'!$E$11</definedName>
    <definedName name="bFossilFriOverBiogen">'Model-1B'!$C$8</definedName>
    <definedName name="BioAffaldTonnage">'Model-1'!$C$5</definedName>
    <definedName name="BioTonnage" localSheetId="4">'Model-2'!$J$8</definedName>
    <definedName name="BioTonnage">'Model-1'!$C$7</definedName>
    <definedName name="CO2afgift" localSheetId="3">'Model-1B'!$C$41</definedName>
    <definedName name="CO2afgift" localSheetId="4">'Model-2'!$C$37</definedName>
    <definedName name="CO2afgift">'Model-1'!$C$40</definedName>
    <definedName name="CO2indholdAfgift" localSheetId="3">'Model-1B'!$C$30</definedName>
    <definedName name="CO2indholdAfgift" localSheetId="4">'Model-2'!$C$27</definedName>
    <definedName name="CO2indholdAfgift">'Model-1'!$C$29</definedName>
    <definedName name="CO2indholdKvote" localSheetId="3">'Model-1B'!$C$31</definedName>
    <definedName name="CO2indholdKvote" localSheetId="4">'Model-2'!$C$28</definedName>
    <definedName name="CO2indholdKvote">'Model-1'!$C$30</definedName>
    <definedName name="DBmedRGK" localSheetId="3">'Model-1B'!$K$153</definedName>
    <definedName name="DBmedRGK" localSheetId="4">'Model-2'!$J$117</definedName>
    <definedName name="DBmedRGK">'Model-1'!$K$116</definedName>
    <definedName name="DBudenRGK" localSheetId="3">'Model-1B'!$J$153</definedName>
    <definedName name="DBudenRGK" localSheetId="4">'Model-2'!$L$117</definedName>
    <definedName name="DBudenRGK">'Model-1'!$J$116</definedName>
    <definedName name="DoOptim">'Model-2'!$B$4</definedName>
    <definedName name="Elpris" localSheetId="3">'Model-1B'!$C$36</definedName>
    <definedName name="Elpris">'Model-1'!$C$35</definedName>
    <definedName name="ElprodTarif" localSheetId="3">'Model-1B'!$C$37</definedName>
    <definedName name="ElProdTarif" localSheetId="4">'Model-2'!$C$34</definedName>
    <definedName name="ElprodTarif">'Model-1'!$C$36</definedName>
    <definedName name="ENSkvoteLHV" localSheetId="3">'Model-1B'!$C$32</definedName>
    <definedName name="ENSkvoteLHV" localSheetId="4">'Model-2'!$C$29</definedName>
    <definedName name="ENSkvoteLHV">'Model-1'!$C$31</definedName>
    <definedName name="EtaE" localSheetId="3">'Model-1B'!$D$21</definedName>
    <definedName name="EtaE" localSheetId="4">'Model-2'!$D$19</definedName>
    <definedName name="EtaE">'Model-1'!$D$20</definedName>
    <definedName name="EtaQmaxOvn2" localSheetId="3">'Model-1B'!$C$20</definedName>
    <definedName name="EtaQmaxOvn2" localSheetId="4">'Model-2'!$C$18</definedName>
    <definedName name="EtaQmaxOvn2">'Model-1'!$C$19</definedName>
    <definedName name="EtaQmaxOvn3" localSheetId="3">'Model-1B'!$D$20</definedName>
    <definedName name="EtaQmaxOvn3" localSheetId="4">'Model-2'!$D$18</definedName>
    <definedName name="EtaQmaxOvn3">'Model-1'!$D$19</definedName>
    <definedName name="EtaQNomOvn2" localSheetId="3">'Model-1B'!$C$18</definedName>
    <definedName name="EtaQNomOvn2" localSheetId="4">'Model-2'!$C$16</definedName>
    <definedName name="EtaQNomOvn2">'Model-1'!$C$17</definedName>
    <definedName name="EtaQNomOvn3" localSheetId="3">'Model-1B'!$D$18</definedName>
    <definedName name="EtaQNomOvn3" localSheetId="4">'Model-2'!$D$16</definedName>
    <definedName name="EtaQNomOvn3">'Model-1'!$D$17</definedName>
    <definedName name="EtaRgkOvn2" localSheetId="3">'Model-1B'!$C$19</definedName>
    <definedName name="EtaRgkOvn2" localSheetId="4">'Model-2'!$C$17</definedName>
    <definedName name="EtaRgkOvn2">'Model-1'!$C$18</definedName>
    <definedName name="EtaRgkOvn3" localSheetId="3">'Model-1B'!$D$19</definedName>
    <definedName name="EtaRgkOvn3" localSheetId="4">'Model-2'!$D$17</definedName>
    <definedName name="EtaRgkOvn3">'Model-1'!$D$18</definedName>
    <definedName name="FBiogenFri" localSheetId="3">'Model-1B'!$C$7</definedName>
    <definedName name="FbioMaxÅr">'Model-2'!$E$24</definedName>
    <definedName name="FbioMinÅr">'Model-2'!$E$23</definedName>
    <definedName name="FfastMaxÅr">'Model-2'!$C$24</definedName>
    <definedName name="FfastMinÅr">'Model-2'!$C$23</definedName>
    <definedName name="FFossilFast" localSheetId="3">'Model-1B'!$C$5</definedName>
    <definedName name="FFossilFri">'Model-1B'!$C$6</definedName>
    <definedName name="Ffrak1">'Model-1B'!$J$57</definedName>
    <definedName name="Ffrak2">'Model-1B'!$J$58</definedName>
    <definedName name="Ffrak3">'Model-1B'!$J$59</definedName>
    <definedName name="FfriMaxÅr">'Model-2'!$D$24</definedName>
    <definedName name="FfriMinÅr">'Model-2'!$D$23</definedName>
    <definedName name="Ftotal" localSheetId="3">'Model-1B'!$C$26</definedName>
    <definedName name="Ftotal" localSheetId="4">'Model-2'!#REF!</definedName>
    <definedName name="Ftotal">'Model-1'!$C$25</definedName>
    <definedName name="HBiogenFri" localSheetId="3">'Model-1B'!$E$29</definedName>
    <definedName name="HfossilFast" localSheetId="3">'Model-1B'!$C$29</definedName>
    <definedName name="HfossilFri" localSheetId="3">'Model-1B'!$D$29</definedName>
    <definedName name="Hfrak1">'Model-1B'!$K$57</definedName>
    <definedName name="Hfrak2">'Model-1B'!$K$58</definedName>
    <definedName name="Hfrak3">'Model-1B'!$K$59</definedName>
    <definedName name="Htotal" localSheetId="3">'Model-1B'!$C$27</definedName>
    <definedName name="Htotal" localSheetId="4">'Model-2'!#REF!</definedName>
    <definedName name="Htotal">'Model-1'!$C$26</definedName>
    <definedName name="KapQcool" localSheetId="3">'Model-1B'!$E$14</definedName>
    <definedName name="KapQcool" localSheetId="4">'Model-2'!$E$12</definedName>
    <definedName name="KapQcool">'Model-1'!$E$13</definedName>
    <definedName name="KapQnomOvn2" localSheetId="3">'Model-1B'!$C$14</definedName>
    <definedName name="KapQnomOvn2" localSheetId="4">'Model-2'!$C$12</definedName>
    <definedName name="KapQnomOvn2">'Model-1'!$C$13</definedName>
    <definedName name="KapQnomOvn3" localSheetId="3">'Model-1B'!$D$14</definedName>
    <definedName name="KapQnomOvn3" localSheetId="4">'Model-2'!$D$12</definedName>
    <definedName name="KapQnomOvn3">'Model-1'!$D$13</definedName>
    <definedName name="Kvotepris" localSheetId="3">'Model-1B'!$C$38</definedName>
    <definedName name="Kvotepris">'Model-1'!$C$37</definedName>
    <definedName name="LHVbiogent" localSheetId="4">'Model-2'!$E$26</definedName>
    <definedName name="LHVbiogent">'Model-1'!$E$28</definedName>
    <definedName name="LHVFossilFast" localSheetId="4">'Model-2'!$C$26</definedName>
    <definedName name="LHVfossilFast">'Model-1'!$C$28</definedName>
    <definedName name="LHVfossilFri">'Model-1'!$D$28</definedName>
    <definedName name="ModtageprisBiogent">'Model-2'!$E$25</definedName>
    <definedName name="ModtageprisFastFossil">'Model-2'!$C$25</definedName>
    <definedName name="NSvarme" localSheetId="3">'Model-1B'!$C$10</definedName>
    <definedName name="NSvarme" localSheetId="4">'Model-2'!$J$14</definedName>
    <definedName name="NSvarme">'Model-1'!$C$9</definedName>
    <definedName name="PrisBiogent">'Model-1B'!$E$28</definedName>
    <definedName name="PrisFossilFast">'Model-1B'!$C$28</definedName>
    <definedName name="PrisFossilFri">'Model-1B'!$D$28</definedName>
    <definedName name="Qdemand" localSheetId="3">'Model-1B'!$C$4</definedName>
    <definedName name="Qdemand">'Model-1'!$C$4</definedName>
    <definedName name="ranCtrlParms" localSheetId="3">'Model-1B'!$C$4:$C$10</definedName>
    <definedName name="ranCtrlParms">'Model-1'!$C$4:$C$9</definedName>
    <definedName name="ranInputNames">Scenarier!$C$8:$C$12</definedName>
    <definedName name="ranModelResult" localSheetId="3">'Model-1B'!$Q$49:$Q$87</definedName>
    <definedName name="ranModelResult" localSheetId="4">'Model-2'!$AF$51:$AF$89</definedName>
    <definedName name="ranModelResult">'Model-1'!$Q$49:$Q$87</definedName>
    <definedName name="ranResultNames">Scenarier!$A$53:$A$83</definedName>
    <definedName name="ranScenOutput">Scenarier!$C$95:$Y$133</definedName>
    <definedName name="ranScenOutputRowHeader">Scenarier!$C$95:$C$133</definedName>
    <definedName name="ResultRow">_xlfn.LAMBDA(_xlpm.resultName, MATCH(_xlpm.resultName,ranScenOutputRowHeader,0))</definedName>
    <definedName name="ResultValue">_xlfn.LAMBDA(_xlpm.resultName,_xlpm.icol,_xlfn.LET(_xlpm.irow,ResultRow(_xlpm.resultName),INDEX(ranScenOutput,_xlpm.irow,_xlpm.icol)))</definedName>
    <definedName name="RGKudnyttelse" localSheetId="3">'Model-1B'!$C$9</definedName>
    <definedName name="RGKudnyttelse">'Model-1'!$C$8</definedName>
    <definedName name="solver_adj" localSheetId="2" hidden="1">'Model-1'!$C$8</definedName>
    <definedName name="solver_adj" localSheetId="3" hidden="1">'Model-1B'!$C$9</definedName>
    <definedName name="solver_adj" localSheetId="4" hidden="1">'Model-2'!$J$13</definedName>
    <definedName name="solver_cvg" localSheetId="2" hidden="1">0.0001</definedName>
    <definedName name="solver_cvg" localSheetId="3" hidden="1">0.0001</definedName>
    <definedName name="solver_cvg" localSheetId="4" hidden="1">0.0001</definedName>
    <definedName name="solver_drv" localSheetId="2" hidden="1">1</definedName>
    <definedName name="solver_drv" localSheetId="3" hidden="1">1</definedName>
    <definedName name="solver_drv" localSheetId="4" hidden="1">1</definedName>
    <definedName name="solver_eng" localSheetId="2" hidden="1">1</definedName>
    <definedName name="solver_eng" localSheetId="3" hidden="1">1</definedName>
    <definedName name="solver_eng" localSheetId="4" hidden="1">1</definedName>
    <definedName name="solver_est" localSheetId="2" hidden="1">1</definedName>
    <definedName name="solver_est" localSheetId="3" hidden="1">1</definedName>
    <definedName name="solver_est" localSheetId="4" hidden="1">1</definedName>
    <definedName name="solver_itr" localSheetId="2" hidden="1">2147483647</definedName>
    <definedName name="solver_itr" localSheetId="3" hidden="1">2147483647</definedName>
    <definedName name="solver_itr" localSheetId="4" hidden="1">2147483647</definedName>
    <definedName name="solver_lhs1" localSheetId="2" hidden="1">'Model-1'!$C$8</definedName>
    <definedName name="solver_lhs1" localSheetId="3" hidden="1">'Model-1B'!$C$9</definedName>
    <definedName name="solver_lhs1" localSheetId="4" hidden="1">'Model-2'!$J$13</definedName>
    <definedName name="solver_lhs2" localSheetId="2" hidden="1">'Model-1'!$C$8</definedName>
    <definedName name="solver_lhs2" localSheetId="3" hidden="1">'Model-1B'!$C$9</definedName>
    <definedName name="solver_lhs2" localSheetId="4" hidden="1">'Model-2'!$J$13</definedName>
    <definedName name="solver_mip" localSheetId="2" hidden="1">2147483647</definedName>
    <definedName name="solver_mip" localSheetId="3" hidden="1">2147483647</definedName>
    <definedName name="solver_mip" localSheetId="4" hidden="1">2147483647</definedName>
    <definedName name="solver_mni" localSheetId="2" hidden="1">30</definedName>
    <definedName name="solver_mni" localSheetId="3" hidden="1">30</definedName>
    <definedName name="solver_mni" localSheetId="4" hidden="1">30</definedName>
    <definedName name="solver_mrt" localSheetId="2" hidden="1">0.075</definedName>
    <definedName name="solver_mrt" localSheetId="3" hidden="1">0.075</definedName>
    <definedName name="solver_mrt" localSheetId="4" hidden="1">0.075</definedName>
    <definedName name="solver_msl" localSheetId="2" hidden="1">2</definedName>
    <definedName name="solver_msl" localSheetId="3" hidden="1">2</definedName>
    <definedName name="solver_msl" localSheetId="4" hidden="1">2</definedName>
    <definedName name="solver_neg" localSheetId="2" hidden="1">1</definedName>
    <definedName name="solver_neg" localSheetId="3" hidden="1">1</definedName>
    <definedName name="solver_neg" localSheetId="4" hidden="1">1</definedName>
    <definedName name="solver_nod" localSheetId="2" hidden="1">2147483647</definedName>
    <definedName name="solver_nod" localSheetId="3" hidden="1">2147483647</definedName>
    <definedName name="solver_nod" localSheetId="4" hidden="1">2147483647</definedName>
    <definedName name="solver_num" localSheetId="2" hidden="1">2</definedName>
    <definedName name="solver_num" localSheetId="3" hidden="1">2</definedName>
    <definedName name="solver_num" localSheetId="4" hidden="1">2</definedName>
    <definedName name="solver_nwt" localSheetId="2" hidden="1">1</definedName>
    <definedName name="solver_nwt" localSheetId="3" hidden="1">1</definedName>
    <definedName name="solver_nwt" localSheetId="4" hidden="1">1</definedName>
    <definedName name="solver_opt" localSheetId="2" hidden="1">'Model-1'!$K$116</definedName>
    <definedName name="solver_opt" localSheetId="3" hidden="1">'Model-1B'!$K$153</definedName>
    <definedName name="solver_opt" localSheetId="4" hidden="1">'Model-2'!$J$117</definedName>
    <definedName name="solver_pre" localSheetId="2" hidden="1">0.000001</definedName>
    <definedName name="solver_pre" localSheetId="3" hidden="1">0.000001</definedName>
    <definedName name="solver_pre" localSheetId="4" hidden="1">0.000001</definedName>
    <definedName name="solver_rbv" localSheetId="2" hidden="1">1</definedName>
    <definedName name="solver_rbv" localSheetId="3" hidden="1">1</definedName>
    <definedName name="solver_rbv" localSheetId="4" hidden="1">1</definedName>
    <definedName name="solver_rel1" localSheetId="2" hidden="1">1</definedName>
    <definedName name="solver_rel1" localSheetId="3" hidden="1">1</definedName>
    <definedName name="solver_rel1" localSheetId="4" hidden="1">1</definedName>
    <definedName name="solver_rel2" localSheetId="2" hidden="1">3</definedName>
    <definedName name="solver_rel2" localSheetId="3" hidden="1">3</definedName>
    <definedName name="solver_rel2" localSheetId="4" hidden="1">3</definedName>
    <definedName name="solver_rhs1" localSheetId="2" hidden="1">1</definedName>
    <definedName name="solver_rhs1" localSheetId="3" hidden="1">1</definedName>
    <definedName name="solver_rhs1" localSheetId="4" hidden="1">1</definedName>
    <definedName name="solver_rhs2" localSheetId="2" hidden="1">0</definedName>
    <definedName name="solver_rhs2" localSheetId="3" hidden="1">0</definedName>
    <definedName name="solver_rhs2" localSheetId="4" hidden="1">0</definedName>
    <definedName name="solver_rlx" localSheetId="2" hidden="1">2</definedName>
    <definedName name="solver_rlx" localSheetId="3" hidden="1">2</definedName>
    <definedName name="solver_rlx" localSheetId="4" hidden="1">2</definedName>
    <definedName name="solver_rsd" localSheetId="2" hidden="1">0</definedName>
    <definedName name="solver_rsd" localSheetId="3" hidden="1">0</definedName>
    <definedName name="solver_rsd" localSheetId="4" hidden="1">0</definedName>
    <definedName name="solver_scl" localSheetId="2" hidden="1">1</definedName>
    <definedName name="solver_scl" localSheetId="3" hidden="1">1</definedName>
    <definedName name="solver_scl" localSheetId="4" hidden="1">1</definedName>
    <definedName name="solver_sho" localSheetId="2" hidden="1">2</definedName>
    <definedName name="solver_sho" localSheetId="3" hidden="1">2</definedName>
    <definedName name="solver_sho" localSheetId="4" hidden="1">2</definedName>
    <definedName name="solver_ssz" localSheetId="2" hidden="1">100</definedName>
    <definedName name="solver_ssz" localSheetId="3" hidden="1">100</definedName>
    <definedName name="solver_ssz" localSheetId="4" hidden="1">100</definedName>
    <definedName name="solver_tim" localSheetId="2" hidden="1">2147483647</definedName>
    <definedName name="solver_tim" localSheetId="3" hidden="1">2147483647</definedName>
    <definedName name="solver_tim" localSheetId="4" hidden="1">2147483647</definedName>
    <definedName name="solver_tol" localSheetId="2" hidden="1">0.01</definedName>
    <definedName name="solver_tol" localSheetId="3" hidden="1">0.01</definedName>
    <definedName name="solver_tol" localSheetId="4" hidden="1">0.01</definedName>
    <definedName name="solver_typ" localSheetId="2" hidden="1">1</definedName>
    <definedName name="solver_typ" localSheetId="3" hidden="1">1</definedName>
    <definedName name="solver_typ" localSheetId="4" hidden="1">1</definedName>
    <definedName name="solver_val" localSheetId="2" hidden="1">0</definedName>
    <definedName name="solver_val" localSheetId="3" hidden="1">0</definedName>
    <definedName name="solver_val" localSheetId="4" hidden="1">0</definedName>
    <definedName name="solver_ver" localSheetId="2" hidden="1">3</definedName>
    <definedName name="solver_ver" localSheetId="3" hidden="1">3</definedName>
    <definedName name="solver_ver" localSheetId="4" hidden="1">3</definedName>
    <definedName name="SR_VPO">'Model-2'!$C$33</definedName>
    <definedName name="TabelScenInput">Scenarier!$C$7:$Y$12</definedName>
    <definedName name="Varmesalgspris" localSheetId="3">'Model-1B'!$C$35</definedName>
    <definedName name="Varmesalgspris" localSheetId="4">'Model-2'!$C$32</definedName>
    <definedName name="Varmesalgspris">'Model-1'!$C$34</definedName>
    <definedName name="Z_01B8EE19_BF49_4F3C_9D6B_CD607AE52779_.wvu.Rows" localSheetId="1" hidden="1">Scenarier!$1:$4</definedName>
    <definedName name="Z_01B8EE19_BF49_4F3C_9D6B_CD607AE52779_.wvu.Rows" localSheetId="6" hidden="1">'Scenario 28 GWh'!$4:$4</definedName>
    <definedName name="Z_01B8EE19_BF49_4F3C_9D6B_CD607AE52779_.wvu.Rows" localSheetId="7" hidden="1">'Scenario 35 GWh'!$4:$4</definedName>
    <definedName name="Z_01B8EE19_BF49_4F3C_9D6B_CD607AE52779_.wvu.Rows" localSheetId="5" hidden="1">'Scenario 7 GWh'!$4:$4</definedName>
    <definedName name="Z_2B82E035_636B_4F9F_846A_FEE8C149952C_.wvu.Rows" localSheetId="1" hidden="1">Scenarier!$1:$4</definedName>
    <definedName name="Z_2B82E035_636B_4F9F_846A_FEE8C149952C_.wvu.Rows" localSheetId="6" hidden="1">'Scenario 28 GWh'!$4:$4</definedName>
    <definedName name="Z_2B82E035_636B_4F9F_846A_FEE8C149952C_.wvu.Rows" localSheetId="7" hidden="1">'Scenario 35 GWh'!$4:$4</definedName>
    <definedName name="Z_2B82E035_636B_4F9F_846A_FEE8C149952C_.wvu.Rows" localSheetId="5" hidden="1">'Scenario 7 GWh'!$4:$4</definedName>
    <definedName name="Z_B8935784_587B_4D0A_AED7_A4A9B4EF97F4_.wvu.Cols" localSheetId="2" hidden="1">'Model-1'!$A:$F</definedName>
    <definedName name="Z_B8935784_587B_4D0A_AED7_A4A9B4EF97F4_.wvu.Cols" localSheetId="3" hidden="1">'Model-1B'!$A:$F</definedName>
    <definedName name="Z_B8935784_587B_4D0A_AED7_A4A9B4EF97F4_.wvu.Cols" localSheetId="4" hidden="1">'Model-2'!$H:$M</definedName>
    <definedName name="Z_B8935784_587B_4D0A_AED7_A4A9B4EF97F4_.wvu.Rows" localSheetId="1" hidden="1">Scenarier!$1:$4</definedName>
    <definedName name="Z_B8935784_587B_4D0A_AED7_A4A9B4EF97F4_.wvu.Rows" localSheetId="6" hidden="1">'Scenario 28 GWh'!$4:$4</definedName>
    <definedName name="Z_B8935784_587B_4D0A_AED7_A4A9B4EF97F4_.wvu.Rows" localSheetId="7" hidden="1">'Scenario 35 GWh'!$4:$4</definedName>
    <definedName name="Z_B8935784_587B_4D0A_AED7_A4A9B4EF97F4_.wvu.Rows" localSheetId="5" hidden="1">'Scenario 7 GWh'!$4:$4</definedName>
    <definedName name="Z_D61959C2_356A_4414_A70C_587540F5DA06_.wvu.Cols" localSheetId="3" hidden="1">'Model-1B'!$A:$F</definedName>
    <definedName name="Z_D61959C2_356A_4414_A70C_587540F5DA06_.wvu.Rows" localSheetId="1" hidden="1">Scenarier!$1:$4</definedName>
    <definedName name="Z_D61959C2_356A_4414_A70C_587540F5DA06_.wvu.Rows" localSheetId="6" hidden="1">'Scenario 28 GWh'!$4:$4</definedName>
    <definedName name="Z_D61959C2_356A_4414_A70C_587540F5DA06_.wvu.Rows" localSheetId="7" hidden="1">'Scenario 35 GWh'!$4:$4</definedName>
    <definedName name="Z_D61959C2_356A_4414_A70C_587540F5DA06_.wvu.Rows" localSheetId="5" hidden="1">'Scenario 7 GWh'!$4:$4</definedName>
    <definedName name="Z_EEB625C4_AF57_4951_B4C5_8C71271FF126_.wvu.Rows" localSheetId="1" hidden="1">Scenarier!$1:$4</definedName>
    <definedName name="Z_EEB625C4_AF57_4951_B4C5_8C71271FF126_.wvu.Rows" localSheetId="6" hidden="1">'Scenario 28 GWh'!$4:$4</definedName>
    <definedName name="Z_EEB625C4_AF57_4951_B4C5_8C71271FF126_.wvu.Rows" localSheetId="7" hidden="1">'Scenario 35 GWh'!$4:$4</definedName>
    <definedName name="Z_EEB625C4_AF57_4951_B4C5_8C71271FF126_.wvu.Rows" localSheetId="5" hidden="1">'Scenario 7 GWh'!$4:$4</definedName>
  </definedNames>
  <calcPr calcId="191029"/>
  <customWorkbookViews>
    <customWorkbookView name="Dashboard-Model-1B" guid="{D61959C2-356A-4414-A70C-587540F5DA06}" maximized="1" xWindow="-8" yWindow="-8" windowWidth="1936" windowHeight="1048" activeSheetId="12" showFormulaBar="0"/>
    <customWorkbookView name="MedInput-Model-1B" guid="{01B8EE19-BF49-4F3C-9D6B-CD607AE52779}" maximized="1" xWindow="-8" yWindow="-8" windowWidth="1936" windowHeight="1048" activeSheetId="12"/>
    <customWorkbookView name="All" guid="{2B82E035-636B-4F9F-846A-FEE8C149952C}" maximized="1" xWindow="-8" yWindow="-8" windowWidth="1936" windowHeight="1048" activeSheetId="1"/>
    <customWorkbookView name="Dashboard" guid="{B8935784-587B-4D0A-AED7-A4A9B4EF97F4}" maximized="1" xWindow="-8" yWindow="-8" windowWidth="1936" windowHeight="1048" activeSheetId="1" showFormulaBar="0"/>
    <customWorkbookView name="MedInput" guid="{EEB625C4-AF57-4951-B4C5-8C71271FF126}" maximized="1" xWindow="-8" yWindow="-8" windowWidth="1936" windowHeight="1048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" i="1" l="1"/>
  <c r="K59" i="12"/>
  <c r="K58" i="12"/>
  <c r="J59" i="12"/>
  <c r="J58" i="12"/>
  <c r="K57" i="12"/>
  <c r="J57" i="12"/>
  <c r="J138" i="12"/>
  <c r="P48" i="12" s="1"/>
  <c r="P73" i="12" s="1"/>
  <c r="K119" i="12"/>
  <c r="J119" i="12"/>
  <c r="N71" i="12"/>
  <c r="N70" i="12"/>
  <c r="N69" i="12"/>
  <c r="P68" i="12"/>
  <c r="N68" i="12"/>
  <c r="N67" i="12"/>
  <c r="N66" i="12"/>
  <c r="O63" i="12"/>
  <c r="N63" i="12"/>
  <c r="O62" i="12"/>
  <c r="N62" i="12"/>
  <c r="O61" i="12"/>
  <c r="N61" i="12"/>
  <c r="O60" i="12"/>
  <c r="N60" i="12"/>
  <c r="O59" i="12"/>
  <c r="N59" i="12"/>
  <c r="O58" i="12"/>
  <c r="N58" i="12"/>
  <c r="K62" i="12"/>
  <c r="K138" i="12" s="1"/>
  <c r="Q48" i="12" s="1"/>
  <c r="O56" i="12"/>
  <c r="N56" i="12"/>
  <c r="P55" i="12"/>
  <c r="O55" i="12"/>
  <c r="N55" i="12"/>
  <c r="O54" i="12"/>
  <c r="N54" i="12"/>
  <c r="O53" i="12"/>
  <c r="N53" i="12"/>
  <c r="O51" i="12"/>
  <c r="N51" i="12"/>
  <c r="O50" i="12"/>
  <c r="N50" i="12"/>
  <c r="K50" i="12"/>
  <c r="K51" i="12" s="1"/>
  <c r="J50" i="12"/>
  <c r="J51" i="12" s="1"/>
  <c r="J54" i="12" s="1"/>
  <c r="O49" i="12"/>
  <c r="N49" i="12"/>
  <c r="E28" i="12"/>
  <c r="C26" i="12"/>
  <c r="C27" i="12" s="1"/>
  <c r="D25" i="12"/>
  <c r="C25" i="12"/>
  <c r="D19" i="12"/>
  <c r="C19" i="12"/>
  <c r="AL4" i="12"/>
  <c r="AL3" i="12"/>
  <c r="AL2" i="12"/>
  <c r="H1" i="12"/>
  <c r="K37" i="11"/>
  <c r="L37" i="11"/>
  <c r="M37" i="11"/>
  <c r="N37" i="11"/>
  <c r="O37" i="11"/>
  <c r="P37" i="11"/>
  <c r="Q37" i="11"/>
  <c r="R37" i="11"/>
  <c r="S37" i="11"/>
  <c r="T37" i="11"/>
  <c r="U37" i="11"/>
  <c r="J37" i="11"/>
  <c r="J36" i="11"/>
  <c r="K20" i="11"/>
  <c r="K30" i="11" s="1"/>
  <c r="L20" i="11"/>
  <c r="L30" i="11" s="1"/>
  <c r="M20" i="11"/>
  <c r="M30" i="11" s="1"/>
  <c r="N20" i="11"/>
  <c r="N31" i="11" s="1"/>
  <c r="O20" i="11"/>
  <c r="O31" i="11" s="1"/>
  <c r="O34" i="11" s="1"/>
  <c r="P20" i="11"/>
  <c r="P30" i="11" s="1"/>
  <c r="Q20" i="11"/>
  <c r="Q30" i="11" s="1"/>
  <c r="R20" i="11"/>
  <c r="R30" i="11" s="1"/>
  <c r="S20" i="11"/>
  <c r="S30" i="11" s="1"/>
  <c r="T20" i="11"/>
  <c r="T30" i="11" s="1"/>
  <c r="U20" i="11"/>
  <c r="U30" i="11" s="1"/>
  <c r="J20" i="11"/>
  <c r="J30" i="11" s="1"/>
  <c r="K42" i="11"/>
  <c r="K43" i="11" s="1"/>
  <c r="L42" i="11"/>
  <c r="L43" i="11" s="1"/>
  <c r="L46" i="11" s="1"/>
  <c r="M42" i="11"/>
  <c r="M43" i="11" s="1"/>
  <c r="M46" i="11" s="1"/>
  <c r="N42" i="11"/>
  <c r="N43" i="11" s="1"/>
  <c r="O42" i="11"/>
  <c r="O43" i="11" s="1"/>
  <c r="O46" i="11" s="1"/>
  <c r="P42" i="11"/>
  <c r="P43" i="11" s="1"/>
  <c r="P46" i="11" s="1"/>
  <c r="Q42" i="11"/>
  <c r="Q43" i="11" s="1"/>
  <c r="Q46" i="11" s="1"/>
  <c r="R42" i="11"/>
  <c r="R43" i="11" s="1"/>
  <c r="S42" i="11"/>
  <c r="S43" i="11" s="1"/>
  <c r="T42" i="11"/>
  <c r="T43" i="11" s="1"/>
  <c r="T46" i="11" s="1"/>
  <c r="U42" i="11"/>
  <c r="U43" i="11" s="1"/>
  <c r="U46" i="11" s="1"/>
  <c r="K49" i="11"/>
  <c r="K50" i="11" s="1"/>
  <c r="K53" i="11" s="1"/>
  <c r="L49" i="11"/>
  <c r="L50" i="11" s="1"/>
  <c r="M49" i="11"/>
  <c r="M50" i="11" s="1"/>
  <c r="N49" i="11"/>
  <c r="N50" i="11" s="1"/>
  <c r="N53" i="11" s="1"/>
  <c r="O49" i="11"/>
  <c r="O50" i="11" s="1"/>
  <c r="P49" i="11"/>
  <c r="P50" i="11" s="1"/>
  <c r="Q49" i="11"/>
  <c r="Q50" i="11" s="1"/>
  <c r="R49" i="11"/>
  <c r="R50" i="11" s="1"/>
  <c r="S49" i="11"/>
  <c r="S50" i="11" s="1"/>
  <c r="S53" i="11" s="1"/>
  <c r="T49" i="11"/>
  <c r="T50" i="11" s="1"/>
  <c r="U49" i="11"/>
  <c r="U50" i="11" s="1"/>
  <c r="U53" i="11" s="1"/>
  <c r="K18" i="11"/>
  <c r="L18" i="11"/>
  <c r="M18" i="11"/>
  <c r="N18" i="11"/>
  <c r="O18" i="11"/>
  <c r="P18" i="11"/>
  <c r="Q18" i="11"/>
  <c r="R18" i="11"/>
  <c r="S18" i="11"/>
  <c r="T18" i="11"/>
  <c r="U18" i="11"/>
  <c r="J18" i="11"/>
  <c r="V7" i="11"/>
  <c r="V8" i="11"/>
  <c r="K119" i="11"/>
  <c r="L119" i="11"/>
  <c r="M119" i="11"/>
  <c r="N119" i="11"/>
  <c r="O119" i="11"/>
  <c r="P119" i="11"/>
  <c r="Q119" i="11"/>
  <c r="R119" i="11"/>
  <c r="S119" i="11"/>
  <c r="T119" i="11"/>
  <c r="U119" i="11"/>
  <c r="J119" i="11"/>
  <c r="J126" i="11"/>
  <c r="J125" i="11"/>
  <c r="AL3" i="1"/>
  <c r="E24" i="1"/>
  <c r="D24" i="1"/>
  <c r="C24" i="1"/>
  <c r="C26" i="1"/>
  <c r="C24" i="11"/>
  <c r="K82" i="11"/>
  <c r="L82" i="11"/>
  <c r="M82" i="11"/>
  <c r="N82" i="11"/>
  <c r="O82" i="11"/>
  <c r="P82" i="11"/>
  <c r="Q82" i="11"/>
  <c r="R82" i="11"/>
  <c r="S82" i="11"/>
  <c r="T82" i="11"/>
  <c r="U82" i="11"/>
  <c r="L58" i="12" l="1"/>
  <c r="L59" i="12"/>
  <c r="L57" i="12"/>
  <c r="J63" i="12"/>
  <c r="K52" i="12"/>
  <c r="K53" i="12" s="1"/>
  <c r="L119" i="12"/>
  <c r="J52" i="12"/>
  <c r="J53" i="12" s="1"/>
  <c r="D20" i="12"/>
  <c r="E25" i="12"/>
  <c r="K54" i="12"/>
  <c r="K55" i="12" s="1"/>
  <c r="J55" i="12"/>
  <c r="Q65" i="12"/>
  <c r="Q82" i="12"/>
  <c r="Q73" i="12"/>
  <c r="C20" i="12"/>
  <c r="L51" i="12"/>
  <c r="P82" i="12"/>
  <c r="P65" i="12"/>
  <c r="O36" i="11"/>
  <c r="N36" i="11"/>
  <c r="Q36" i="11"/>
  <c r="U36" i="11"/>
  <c r="M36" i="11"/>
  <c r="T36" i="11"/>
  <c r="L36" i="11"/>
  <c r="P36" i="11"/>
  <c r="S36" i="11"/>
  <c r="K36" i="11"/>
  <c r="R36" i="11"/>
  <c r="L31" i="11"/>
  <c r="L35" i="11" s="1"/>
  <c r="J31" i="11"/>
  <c r="J33" i="11" s="1"/>
  <c r="U31" i="11"/>
  <c r="U33" i="11" s="1"/>
  <c r="T31" i="11"/>
  <c r="T35" i="11" s="1"/>
  <c r="M31" i="11"/>
  <c r="M34" i="11" s="1"/>
  <c r="N34" i="11"/>
  <c r="N33" i="11"/>
  <c r="N35" i="11"/>
  <c r="U54" i="11"/>
  <c r="L47" i="11"/>
  <c r="K54" i="11"/>
  <c r="R31" i="11"/>
  <c r="R33" i="11" s="1"/>
  <c r="O30" i="11"/>
  <c r="O32" i="11" s="1"/>
  <c r="S31" i="11"/>
  <c r="S33" i="11" s="1"/>
  <c r="Q31" i="11"/>
  <c r="N30" i="11"/>
  <c r="N32" i="11" s="1"/>
  <c r="R32" i="11"/>
  <c r="K31" i="11"/>
  <c r="T47" i="11"/>
  <c r="P31" i="11"/>
  <c r="S54" i="11"/>
  <c r="U34" i="11"/>
  <c r="O33" i="11"/>
  <c r="O35" i="11"/>
  <c r="Q47" i="11"/>
  <c r="P47" i="11"/>
  <c r="U47" i="11"/>
  <c r="M47" i="11"/>
  <c r="O53" i="11"/>
  <c r="M53" i="11"/>
  <c r="M54" i="11" s="1"/>
  <c r="P53" i="11"/>
  <c r="P54" i="11" s="1"/>
  <c r="K46" i="11"/>
  <c r="K47" i="11" s="1"/>
  <c r="R46" i="11"/>
  <c r="R47" i="11" s="1"/>
  <c r="Q53" i="11"/>
  <c r="Q54" i="11" s="1"/>
  <c r="S46" i="11"/>
  <c r="S47" i="11" s="1"/>
  <c r="T53" i="11"/>
  <c r="T54" i="11" s="1"/>
  <c r="L53" i="11"/>
  <c r="L54" i="11" s="1"/>
  <c r="N46" i="11"/>
  <c r="R53" i="11"/>
  <c r="R54" i="11" s="1"/>
  <c r="V6" i="11"/>
  <c r="K28" i="11"/>
  <c r="L28" i="11"/>
  <c r="M28" i="11"/>
  <c r="N28" i="11"/>
  <c r="O28" i="11"/>
  <c r="P28" i="11"/>
  <c r="Q28" i="11"/>
  <c r="R28" i="11"/>
  <c r="S28" i="11"/>
  <c r="T28" i="11"/>
  <c r="U28" i="11"/>
  <c r="J28" i="11"/>
  <c r="K55" i="11"/>
  <c r="K92" i="11" s="1"/>
  <c r="L55" i="11"/>
  <c r="L92" i="11" s="1"/>
  <c r="M55" i="11"/>
  <c r="M92" i="11" s="1"/>
  <c r="N55" i="11"/>
  <c r="N92" i="11" s="1"/>
  <c r="O55" i="11"/>
  <c r="O41" i="11" s="1"/>
  <c r="P55" i="11"/>
  <c r="P41" i="11" s="1"/>
  <c r="Q55" i="11"/>
  <c r="Q92" i="11" s="1"/>
  <c r="R55" i="11"/>
  <c r="R102" i="11" s="1"/>
  <c r="S55" i="11"/>
  <c r="S92" i="11" s="1"/>
  <c r="T55" i="11"/>
  <c r="T102" i="11" s="1"/>
  <c r="U55" i="11"/>
  <c r="U92" i="11" s="1"/>
  <c r="J55" i="11"/>
  <c r="J102" i="11" s="1"/>
  <c r="AF50" i="11" s="1"/>
  <c r="J12" i="11"/>
  <c r="J42" i="11"/>
  <c r="J43" i="11" s="1"/>
  <c r="C17" i="11"/>
  <c r="D17" i="11"/>
  <c r="E25" i="11"/>
  <c r="AC73" i="11"/>
  <c r="AC72" i="11"/>
  <c r="AC71" i="11"/>
  <c r="AC70" i="11"/>
  <c r="AC69" i="11"/>
  <c r="AC68" i="11"/>
  <c r="AD65" i="11"/>
  <c r="AC65" i="11"/>
  <c r="AD64" i="11"/>
  <c r="AC64" i="11"/>
  <c r="AD63" i="11"/>
  <c r="AC63" i="11"/>
  <c r="AD62" i="11"/>
  <c r="AC62" i="11"/>
  <c r="AD61" i="11"/>
  <c r="AC61" i="11"/>
  <c r="AD60" i="11"/>
  <c r="AC60" i="11"/>
  <c r="AD58" i="11"/>
  <c r="AC58" i="11"/>
  <c r="AD57" i="11"/>
  <c r="AC57" i="11"/>
  <c r="AD56" i="11"/>
  <c r="AC56" i="11"/>
  <c r="AD55" i="11"/>
  <c r="AC55" i="11"/>
  <c r="AD53" i="11"/>
  <c r="AC53" i="11"/>
  <c r="AD52" i="11"/>
  <c r="AC52" i="11"/>
  <c r="AD51" i="11"/>
  <c r="AC51" i="11"/>
  <c r="AG50" i="11"/>
  <c r="BA4" i="11"/>
  <c r="BA3" i="11"/>
  <c r="BA2" i="11"/>
  <c r="W1" i="11"/>
  <c r="D74" i="9"/>
  <c r="C74" i="9"/>
  <c r="D73" i="9"/>
  <c r="D75" i="9"/>
  <c r="D98" i="9"/>
  <c r="D103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C132" i="9"/>
  <c r="C133" i="9"/>
  <c r="AL2" i="1"/>
  <c r="AL4" i="1"/>
  <c r="C80" i="9"/>
  <c r="C81" i="9"/>
  <c r="C82" i="9"/>
  <c r="C83" i="9"/>
  <c r="C84" i="9"/>
  <c r="C85" i="9"/>
  <c r="C86" i="9"/>
  <c r="C87" i="9"/>
  <c r="C88" i="9"/>
  <c r="C79" i="9"/>
  <c r="C78" i="9"/>
  <c r="D85" i="9"/>
  <c r="J85" i="9" s="1" a="1"/>
  <c r="J85" i="9" s="1"/>
  <c r="D86" i="9"/>
  <c r="E86" i="9" s="1" a="1"/>
  <c r="E86" i="9" s="1"/>
  <c r="D87" i="9"/>
  <c r="I87" i="9" s="1" a="1"/>
  <c r="I87" i="9" s="1"/>
  <c r="D88" i="9"/>
  <c r="K88" i="9" s="1" a="1"/>
  <c r="K88" i="9" s="1"/>
  <c r="D79" i="9"/>
  <c r="D80" i="9"/>
  <c r="D81" i="9"/>
  <c r="G81" i="9" s="1" a="1"/>
  <c r="G81" i="9" s="1"/>
  <c r="D82" i="9"/>
  <c r="I82" i="9" s="1" a="1"/>
  <c r="I82" i="9" s="1"/>
  <c r="D83" i="9"/>
  <c r="L83" i="9" s="1" a="1"/>
  <c r="L83" i="9" s="1"/>
  <c r="D84" i="9"/>
  <c r="G84" i="9" s="1" a="1"/>
  <c r="G84" i="9" s="1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54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E8" i="9"/>
  <c r="F53" i="9"/>
  <c r="F77" i="9" s="1"/>
  <c r="G53" i="9"/>
  <c r="G77" i="9" s="1"/>
  <c r="H53" i="9"/>
  <c r="H77" i="9" s="1"/>
  <c r="I53" i="9"/>
  <c r="I77" i="9" s="1"/>
  <c r="J53" i="9"/>
  <c r="J77" i="9" s="1"/>
  <c r="K53" i="9"/>
  <c r="K77" i="9" s="1"/>
  <c r="L53" i="9"/>
  <c r="L77" i="9" s="1"/>
  <c r="M53" i="9"/>
  <c r="M77" i="9" s="1"/>
  <c r="N53" i="9"/>
  <c r="N77" i="9" s="1"/>
  <c r="O53" i="9"/>
  <c r="O77" i="9" s="1"/>
  <c r="P53" i="9"/>
  <c r="P77" i="9" s="1"/>
  <c r="Q53" i="9"/>
  <c r="Q77" i="9" s="1"/>
  <c r="R53" i="9"/>
  <c r="R77" i="9" s="1"/>
  <c r="S53" i="9"/>
  <c r="S77" i="9" s="1"/>
  <c r="T53" i="9"/>
  <c r="T77" i="9" s="1"/>
  <c r="U53" i="9"/>
  <c r="U77" i="9" s="1"/>
  <c r="V53" i="9"/>
  <c r="V77" i="9" s="1"/>
  <c r="W53" i="9"/>
  <c r="W77" i="9" s="1"/>
  <c r="X53" i="9"/>
  <c r="X77" i="9" s="1"/>
  <c r="Y53" i="9"/>
  <c r="Y77" i="9" s="1"/>
  <c r="E53" i="9"/>
  <c r="C9" i="9"/>
  <c r="D9" i="9"/>
  <c r="E9" i="9"/>
  <c r="C10" i="9"/>
  <c r="D10" i="9"/>
  <c r="E10" i="9"/>
  <c r="C11" i="9"/>
  <c r="D11" i="9"/>
  <c r="C12" i="9"/>
  <c r="D12" i="9"/>
  <c r="E12" i="9"/>
  <c r="D8" i="9"/>
  <c r="C8" i="9"/>
  <c r="F94" i="9"/>
  <c r="G94" i="9"/>
  <c r="H94" i="9"/>
  <c r="I94" i="9"/>
  <c r="J94" i="9"/>
  <c r="K94" i="9"/>
  <c r="L94" i="9"/>
  <c r="M94" i="9"/>
  <c r="N94" i="9"/>
  <c r="O94" i="9"/>
  <c r="P94" i="9"/>
  <c r="Q94" i="9"/>
  <c r="R94" i="9"/>
  <c r="S94" i="9"/>
  <c r="T94" i="9"/>
  <c r="U94" i="9"/>
  <c r="V94" i="9"/>
  <c r="W94" i="9"/>
  <c r="X94" i="9"/>
  <c r="Y94" i="9"/>
  <c r="E94" i="9"/>
  <c r="C94" i="9"/>
  <c r="D94" i="9"/>
  <c r="C111" i="9"/>
  <c r="C119" i="9"/>
  <c r="C120" i="9"/>
  <c r="C121" i="9"/>
  <c r="C122" i="9"/>
  <c r="C123" i="9"/>
  <c r="C124" i="9"/>
  <c r="C125" i="9"/>
  <c r="C126" i="9"/>
  <c r="C128" i="9"/>
  <c r="C129" i="9"/>
  <c r="C130" i="9"/>
  <c r="C131" i="9"/>
  <c r="C25" i="1"/>
  <c r="A39" i="8"/>
  <c r="A38" i="8"/>
  <c r="A37" i="8"/>
  <c r="A36" i="8"/>
  <c r="A35" i="8"/>
  <c r="A34" i="8"/>
  <c r="A33" i="8"/>
  <c r="A32" i="8"/>
  <c r="A31" i="8"/>
  <c r="A24" i="8"/>
  <c r="A23" i="8"/>
  <c r="A16" i="8"/>
  <c r="A11" i="8"/>
  <c r="A39" i="7"/>
  <c r="A38" i="7"/>
  <c r="A37" i="7"/>
  <c r="A36" i="7"/>
  <c r="A35" i="7"/>
  <c r="A34" i="7"/>
  <c r="A33" i="7"/>
  <c r="A32" i="7"/>
  <c r="A31" i="7"/>
  <c r="A24" i="7"/>
  <c r="A23" i="7"/>
  <c r="A16" i="7"/>
  <c r="A11" i="7"/>
  <c r="A39" i="6"/>
  <c r="A38" i="6"/>
  <c r="A37" i="6"/>
  <c r="A36" i="6"/>
  <c r="A35" i="6"/>
  <c r="A34" i="6"/>
  <c r="A33" i="6"/>
  <c r="A32" i="6"/>
  <c r="A31" i="6"/>
  <c r="A24" i="6"/>
  <c r="A23" i="6"/>
  <c r="A16" i="6"/>
  <c r="A11" i="6"/>
  <c r="K63" i="12" l="1"/>
  <c r="J64" i="12"/>
  <c r="J65" i="12"/>
  <c r="J67" i="12"/>
  <c r="L54" i="12"/>
  <c r="L55" i="12"/>
  <c r="L53" i="12"/>
  <c r="L52" i="12"/>
  <c r="J35" i="11"/>
  <c r="O54" i="11"/>
  <c r="J34" i="11"/>
  <c r="N51" i="11"/>
  <c r="N52" i="11" s="1"/>
  <c r="Q39" i="11"/>
  <c r="R39" i="11"/>
  <c r="K39" i="11"/>
  <c r="S39" i="11"/>
  <c r="L39" i="11"/>
  <c r="T39" i="11"/>
  <c r="J39" i="11"/>
  <c r="M39" i="11"/>
  <c r="U39" i="11"/>
  <c r="N39" i="11"/>
  <c r="N56" i="11" s="1"/>
  <c r="O39" i="11"/>
  <c r="P39" i="11"/>
  <c r="L38" i="11"/>
  <c r="T38" i="11"/>
  <c r="M38" i="11"/>
  <c r="U38" i="11"/>
  <c r="N38" i="11"/>
  <c r="O38" i="11"/>
  <c r="Q38" i="11"/>
  <c r="P38" i="11"/>
  <c r="R38" i="11"/>
  <c r="J38" i="11"/>
  <c r="K38" i="11"/>
  <c r="S38" i="11"/>
  <c r="U32" i="11"/>
  <c r="U35" i="11"/>
  <c r="O47" i="11"/>
  <c r="T33" i="11"/>
  <c r="T32" i="11"/>
  <c r="T34" i="11"/>
  <c r="M32" i="11"/>
  <c r="L32" i="11"/>
  <c r="L33" i="11"/>
  <c r="L34" i="11"/>
  <c r="M35" i="11"/>
  <c r="M33" i="11"/>
  <c r="K32" i="11"/>
  <c r="K34" i="11"/>
  <c r="K35" i="11"/>
  <c r="N47" i="11"/>
  <c r="N54" i="11"/>
  <c r="U51" i="11"/>
  <c r="U52" i="11" s="1"/>
  <c r="K33" i="11"/>
  <c r="Q32" i="11"/>
  <c r="Q34" i="11"/>
  <c r="Q35" i="11"/>
  <c r="S32" i="11"/>
  <c r="S34" i="11"/>
  <c r="S35" i="11"/>
  <c r="P32" i="11"/>
  <c r="P34" i="11"/>
  <c r="P35" i="11"/>
  <c r="P33" i="11"/>
  <c r="R44" i="11"/>
  <c r="R45" i="11" s="1"/>
  <c r="J44" i="11"/>
  <c r="R34" i="11"/>
  <c r="R35" i="11"/>
  <c r="Q33" i="11"/>
  <c r="P51" i="11"/>
  <c r="P52" i="11" s="1"/>
  <c r="T51" i="11"/>
  <c r="T52" i="11" s="1"/>
  <c r="Q51" i="11"/>
  <c r="Q52" i="11" s="1"/>
  <c r="O44" i="11"/>
  <c r="O45" i="11" s="1"/>
  <c r="S44" i="11"/>
  <c r="S45" i="11" s="1"/>
  <c r="K44" i="11"/>
  <c r="K45" i="11" s="1"/>
  <c r="P44" i="11"/>
  <c r="P45" i="11" s="1"/>
  <c r="N44" i="11"/>
  <c r="N45" i="11" s="1"/>
  <c r="S51" i="11"/>
  <c r="S52" i="11" s="1"/>
  <c r="R51" i="11"/>
  <c r="R52" i="11" s="1"/>
  <c r="O51" i="11"/>
  <c r="O52" i="11" s="1"/>
  <c r="K51" i="11"/>
  <c r="K52" i="11" s="1"/>
  <c r="L51" i="11"/>
  <c r="L52" i="11" s="1"/>
  <c r="M51" i="11"/>
  <c r="M52" i="11" s="1"/>
  <c r="L44" i="11"/>
  <c r="L45" i="11" s="1"/>
  <c r="M44" i="11"/>
  <c r="M45" i="11" s="1"/>
  <c r="U44" i="11"/>
  <c r="U45" i="11" s="1"/>
  <c r="Q44" i="11"/>
  <c r="Q45" i="11" s="1"/>
  <c r="T44" i="11"/>
  <c r="T45" i="11" s="1"/>
  <c r="D18" i="11"/>
  <c r="J32" i="11"/>
  <c r="U41" i="11"/>
  <c r="T41" i="11"/>
  <c r="K41" i="11"/>
  <c r="Q102" i="11"/>
  <c r="S41" i="11"/>
  <c r="P102" i="11"/>
  <c r="Q41" i="11"/>
  <c r="R92" i="11"/>
  <c r="N41" i="11"/>
  <c r="C18" i="11"/>
  <c r="M41" i="11"/>
  <c r="P92" i="11"/>
  <c r="L41" i="11"/>
  <c r="J49" i="11"/>
  <c r="J50" i="11" s="1"/>
  <c r="J51" i="11" s="1"/>
  <c r="J82" i="11"/>
  <c r="J41" i="11"/>
  <c r="O102" i="11"/>
  <c r="O92" i="11"/>
  <c r="N102" i="11"/>
  <c r="R41" i="11"/>
  <c r="U102" i="11"/>
  <c r="M102" i="11"/>
  <c r="L102" i="11"/>
  <c r="AE50" i="11" s="1"/>
  <c r="AE75" i="11" s="1"/>
  <c r="T92" i="11"/>
  <c r="S102" i="11"/>
  <c r="K102" i="11"/>
  <c r="J92" i="11"/>
  <c r="AF67" i="11"/>
  <c r="AF84" i="11"/>
  <c r="AF75" i="11"/>
  <c r="J46" i="11"/>
  <c r="J47" i="11" s="1"/>
  <c r="X81" i="9" a="1"/>
  <c r="X81" i="9" s="1"/>
  <c r="X87" i="9" a="1"/>
  <c r="X87" i="9" s="1"/>
  <c r="S86" i="9" a="1"/>
  <c r="S86" i="9" s="1"/>
  <c r="X82" i="9" a="1"/>
  <c r="X82" i="9" s="1"/>
  <c r="U84" i="9" a="1"/>
  <c r="U84" i="9" s="1"/>
  <c r="E84" i="9" a="1"/>
  <c r="E84" i="9" s="1"/>
  <c r="R88" i="9" a="1"/>
  <c r="R88" i="9" s="1"/>
  <c r="H81" i="9" a="1"/>
  <c r="H81" i="9" s="1"/>
  <c r="Q88" i="9" a="1"/>
  <c r="Q88" i="9" s="1"/>
  <c r="W87" i="9" a="1"/>
  <c r="W87" i="9" s="1"/>
  <c r="G87" i="9" a="1"/>
  <c r="G87" i="9" s="1"/>
  <c r="V81" i="9" a="1"/>
  <c r="V81" i="9" s="1"/>
  <c r="F81" i="9" a="1"/>
  <c r="F81" i="9" s="1"/>
  <c r="V87" i="9" a="1"/>
  <c r="V87" i="9" s="1"/>
  <c r="F87" i="9" a="1"/>
  <c r="F87" i="9" s="1"/>
  <c r="M84" i="9" a="1"/>
  <c r="M84" i="9" s="1"/>
  <c r="U81" i="9" a="1"/>
  <c r="U81" i="9" s="1"/>
  <c r="E81" i="9" a="1"/>
  <c r="E81" i="9" s="1"/>
  <c r="H87" i="9" a="1"/>
  <c r="H87" i="9" s="1"/>
  <c r="N84" i="9" a="1"/>
  <c r="N84" i="9" s="1"/>
  <c r="Y88" i="9" a="1"/>
  <c r="Y88" i="9" s="1"/>
  <c r="R87" i="9" a="1"/>
  <c r="R87" i="9" s="1"/>
  <c r="T86" i="9" a="1"/>
  <c r="T86" i="9" s="1"/>
  <c r="F84" i="9" a="1"/>
  <c r="F84" i="9" s="1"/>
  <c r="T81" i="9" a="1"/>
  <c r="T81" i="9" s="1"/>
  <c r="P87" i="9" a="1"/>
  <c r="P87" i="9" s="1"/>
  <c r="P81" i="9" a="1"/>
  <c r="P81" i="9" s="1"/>
  <c r="O87" i="9" a="1"/>
  <c r="O87" i="9" s="1"/>
  <c r="L86" i="9" a="1"/>
  <c r="L86" i="9" s="1"/>
  <c r="N81" i="9" a="1"/>
  <c r="N81" i="9" s="1"/>
  <c r="J88" i="9" a="1"/>
  <c r="J88" i="9" s="1"/>
  <c r="N87" i="9" a="1"/>
  <c r="N87" i="9" s="1"/>
  <c r="K86" i="9" a="1"/>
  <c r="K86" i="9" s="1"/>
  <c r="P82" i="9" a="1"/>
  <c r="P82" i="9" s="1"/>
  <c r="M81" i="9" a="1"/>
  <c r="M81" i="9" s="1"/>
  <c r="I88" i="9" a="1"/>
  <c r="I88" i="9" s="1"/>
  <c r="J87" i="9" a="1"/>
  <c r="J87" i="9" s="1"/>
  <c r="V84" i="9" a="1"/>
  <c r="V84" i="9" s="1"/>
  <c r="H82" i="9" a="1"/>
  <c r="H82" i="9" s="1"/>
  <c r="L81" i="9" a="1"/>
  <c r="L81" i="9" s="1"/>
  <c r="K83" i="9" a="1"/>
  <c r="K83" i="9" s="1"/>
  <c r="H85" i="9" a="1"/>
  <c r="H85" i="9" s="1"/>
  <c r="X88" i="9" a="1"/>
  <c r="X88" i="9" s="1"/>
  <c r="P88" i="9" a="1"/>
  <c r="P88" i="9" s="1"/>
  <c r="H88" i="9" a="1"/>
  <c r="H88" i="9" s="1"/>
  <c r="U87" i="9" a="1"/>
  <c r="U87" i="9" s="1"/>
  <c r="M87" i="9" a="1"/>
  <c r="M87" i="9" s="1"/>
  <c r="E87" i="9" a="1"/>
  <c r="E87" i="9" s="1"/>
  <c r="R86" i="9" a="1"/>
  <c r="R86" i="9" s="1"/>
  <c r="J86" i="9" a="1"/>
  <c r="J86" i="9" s="1"/>
  <c r="W85" i="9" a="1"/>
  <c r="W85" i="9" s="1"/>
  <c r="O85" i="9" a="1"/>
  <c r="O85" i="9" s="1"/>
  <c r="G85" i="9" a="1"/>
  <c r="G85" i="9" s="1"/>
  <c r="T84" i="9" a="1"/>
  <c r="T84" i="9" s="1"/>
  <c r="L84" i="9" a="1"/>
  <c r="L84" i="9" s="1"/>
  <c r="Y83" i="9" a="1"/>
  <c r="Y83" i="9" s="1"/>
  <c r="Q83" i="9" a="1"/>
  <c r="Q83" i="9" s="1"/>
  <c r="I83" i="9" a="1"/>
  <c r="I83" i="9" s="1"/>
  <c r="V82" i="9" a="1"/>
  <c r="V82" i="9" s="1"/>
  <c r="N82" i="9" a="1"/>
  <c r="N82" i="9" s="1"/>
  <c r="F82" i="9" a="1"/>
  <c r="F82" i="9" s="1"/>
  <c r="S81" i="9" a="1"/>
  <c r="S81" i="9" s="1"/>
  <c r="K81" i="9" a="1"/>
  <c r="K81" i="9" s="1"/>
  <c r="Y85" i="9" a="1"/>
  <c r="Y85" i="9" s="1"/>
  <c r="R83" i="9" a="1"/>
  <c r="R83" i="9" s="1"/>
  <c r="J83" i="9" a="1"/>
  <c r="J83" i="9" s="1"/>
  <c r="O82" i="9" a="1"/>
  <c r="O82" i="9" s="1"/>
  <c r="G82" i="9" a="1"/>
  <c r="G82" i="9" s="1"/>
  <c r="W88" i="9" a="1"/>
  <c r="W88" i="9" s="1"/>
  <c r="O88" i="9" a="1"/>
  <c r="O88" i="9" s="1"/>
  <c r="G88" i="9" a="1"/>
  <c r="G88" i="9" s="1"/>
  <c r="T87" i="9" a="1"/>
  <c r="T87" i="9" s="1"/>
  <c r="L87" i="9" a="1"/>
  <c r="L87" i="9" s="1"/>
  <c r="Y86" i="9" a="1"/>
  <c r="Y86" i="9" s="1"/>
  <c r="Q86" i="9" a="1"/>
  <c r="Q86" i="9" s="1"/>
  <c r="I86" i="9" a="1"/>
  <c r="I86" i="9" s="1"/>
  <c r="V85" i="9" a="1"/>
  <c r="V85" i="9" s="1"/>
  <c r="N85" i="9" a="1"/>
  <c r="N85" i="9" s="1"/>
  <c r="F85" i="9" a="1"/>
  <c r="F85" i="9" s="1"/>
  <c r="S84" i="9" a="1"/>
  <c r="S84" i="9" s="1"/>
  <c r="K84" i="9" a="1"/>
  <c r="K84" i="9" s="1"/>
  <c r="X83" i="9" a="1"/>
  <c r="X83" i="9" s="1"/>
  <c r="P83" i="9" a="1"/>
  <c r="P83" i="9" s="1"/>
  <c r="H83" i="9" a="1"/>
  <c r="H83" i="9" s="1"/>
  <c r="U82" i="9" a="1"/>
  <c r="U82" i="9" s="1"/>
  <c r="M82" i="9" a="1"/>
  <c r="M82" i="9" s="1"/>
  <c r="E82" i="9" a="1"/>
  <c r="E82" i="9" s="1"/>
  <c r="R81" i="9" a="1"/>
  <c r="R81" i="9" s="1"/>
  <c r="J81" i="9" a="1"/>
  <c r="J81" i="9" s="1"/>
  <c r="I85" i="9" a="1"/>
  <c r="I85" i="9" s="1"/>
  <c r="X85" i="9" a="1"/>
  <c r="X85" i="9" s="1"/>
  <c r="V88" i="9" a="1"/>
  <c r="V88" i="9" s="1"/>
  <c r="N88" i="9" a="1"/>
  <c r="N88" i="9" s="1"/>
  <c r="F88" i="9" a="1"/>
  <c r="F88" i="9" s="1"/>
  <c r="S87" i="9" a="1"/>
  <c r="S87" i="9" s="1"/>
  <c r="K87" i="9" a="1"/>
  <c r="K87" i="9" s="1"/>
  <c r="X86" i="9" a="1"/>
  <c r="X86" i="9" s="1"/>
  <c r="P86" i="9" a="1"/>
  <c r="P86" i="9" s="1"/>
  <c r="H86" i="9" a="1"/>
  <c r="H86" i="9" s="1"/>
  <c r="U85" i="9" a="1"/>
  <c r="U85" i="9" s="1"/>
  <c r="M85" i="9" a="1"/>
  <c r="M85" i="9" s="1"/>
  <c r="E85" i="9" a="1"/>
  <c r="E85" i="9" s="1"/>
  <c r="R84" i="9" a="1"/>
  <c r="R84" i="9" s="1"/>
  <c r="J84" i="9" a="1"/>
  <c r="J84" i="9" s="1"/>
  <c r="W83" i="9" a="1"/>
  <c r="W83" i="9" s="1"/>
  <c r="O83" i="9" a="1"/>
  <c r="O83" i="9" s="1"/>
  <c r="G83" i="9" a="1"/>
  <c r="G83" i="9" s="1"/>
  <c r="T82" i="9" a="1"/>
  <c r="T82" i="9" s="1"/>
  <c r="L82" i="9" a="1"/>
  <c r="L82" i="9" s="1"/>
  <c r="Y81" i="9" a="1"/>
  <c r="Y81" i="9" s="1"/>
  <c r="Q81" i="9" a="1"/>
  <c r="Q81" i="9" s="1"/>
  <c r="I81" i="9" a="1"/>
  <c r="I81" i="9" s="1"/>
  <c r="Q85" i="9" a="1"/>
  <c r="Q85" i="9" s="1"/>
  <c r="S83" i="9" a="1"/>
  <c r="S83" i="9" s="1"/>
  <c r="U88" i="9" a="1"/>
  <c r="U88" i="9" s="1"/>
  <c r="M88" i="9" a="1"/>
  <c r="M88" i="9" s="1"/>
  <c r="E88" i="9" a="1"/>
  <c r="E88" i="9" s="1"/>
  <c r="W86" i="9" a="1"/>
  <c r="W86" i="9" s="1"/>
  <c r="O86" i="9" a="1"/>
  <c r="O86" i="9" s="1"/>
  <c r="G86" i="9" a="1"/>
  <c r="G86" i="9" s="1"/>
  <c r="T85" i="9" a="1"/>
  <c r="T85" i="9" s="1"/>
  <c r="L85" i="9" a="1"/>
  <c r="L85" i="9" s="1"/>
  <c r="Y84" i="9" a="1"/>
  <c r="Y84" i="9" s="1"/>
  <c r="Q84" i="9" a="1"/>
  <c r="Q84" i="9" s="1"/>
  <c r="I84" i="9" a="1"/>
  <c r="I84" i="9" s="1"/>
  <c r="V83" i="9" a="1"/>
  <c r="V83" i="9" s="1"/>
  <c r="N83" i="9" a="1"/>
  <c r="N83" i="9" s="1"/>
  <c r="F83" i="9" a="1"/>
  <c r="F83" i="9" s="1"/>
  <c r="S82" i="9" a="1"/>
  <c r="S82" i="9" s="1"/>
  <c r="K82" i="9" a="1"/>
  <c r="K82" i="9" s="1"/>
  <c r="P85" i="9" a="1"/>
  <c r="P85" i="9" s="1"/>
  <c r="W82" i="9" a="1"/>
  <c r="W82" i="9" s="1"/>
  <c r="T88" i="9" a="1"/>
  <c r="T88" i="9" s="1"/>
  <c r="L88" i="9" a="1"/>
  <c r="L88" i="9" s="1"/>
  <c r="Y87" i="9" a="1"/>
  <c r="Y87" i="9" s="1"/>
  <c r="Q87" i="9" a="1"/>
  <c r="Q87" i="9" s="1"/>
  <c r="V86" i="9" a="1"/>
  <c r="V86" i="9" s="1"/>
  <c r="N86" i="9" a="1"/>
  <c r="N86" i="9" s="1"/>
  <c r="F86" i="9" a="1"/>
  <c r="F86" i="9" s="1"/>
  <c r="S85" i="9" a="1"/>
  <c r="S85" i="9" s="1"/>
  <c r="K85" i="9" a="1"/>
  <c r="K85" i="9" s="1"/>
  <c r="X84" i="9" a="1"/>
  <c r="X84" i="9" s="1"/>
  <c r="P84" i="9" a="1"/>
  <c r="P84" i="9" s="1"/>
  <c r="H84" i="9" a="1"/>
  <c r="H84" i="9" s="1"/>
  <c r="U83" i="9" a="1"/>
  <c r="U83" i="9" s="1"/>
  <c r="M83" i="9" a="1"/>
  <c r="M83" i="9" s="1"/>
  <c r="E83" i="9" a="1"/>
  <c r="E83" i="9" s="1"/>
  <c r="R82" i="9" a="1"/>
  <c r="R82" i="9" s="1"/>
  <c r="J82" i="9" a="1"/>
  <c r="J82" i="9" s="1"/>
  <c r="W81" i="9" a="1"/>
  <c r="W81" i="9" s="1"/>
  <c r="O81" i="9" a="1"/>
  <c r="O81" i="9" s="1"/>
  <c r="S88" i="9" a="1"/>
  <c r="S88" i="9" s="1"/>
  <c r="U86" i="9" a="1"/>
  <c r="U86" i="9" s="1"/>
  <c r="M86" i="9" a="1"/>
  <c r="M86" i="9" s="1"/>
  <c r="R85" i="9" a="1"/>
  <c r="R85" i="9" s="1"/>
  <c r="W84" i="9" a="1"/>
  <c r="W84" i="9" s="1"/>
  <c r="O84" i="9" a="1"/>
  <c r="O84" i="9" s="1"/>
  <c r="T83" i="9" a="1"/>
  <c r="T83" i="9" s="1"/>
  <c r="Y82" i="9" a="1"/>
  <c r="Y82" i="9" s="1"/>
  <c r="Q82" i="9" a="1"/>
  <c r="Q82" i="9" s="1"/>
  <c r="P78" i="9" a="1"/>
  <c r="P78" i="9" s="1"/>
  <c r="E78" i="9" a="1"/>
  <c r="E78" i="9" s="1"/>
  <c r="J78" i="9" a="1"/>
  <c r="J78" i="9" s="1"/>
  <c r="U78" i="9" a="1"/>
  <c r="U78" i="9" s="1"/>
  <c r="O78" i="9" a="1"/>
  <c r="O78" i="9" s="1"/>
  <c r="T78" i="9" a="1"/>
  <c r="T78" i="9" s="1"/>
  <c r="Y78" i="9" a="1"/>
  <c r="Y78" i="9" s="1"/>
  <c r="S78" i="9" a="1"/>
  <c r="S78" i="9" s="1"/>
  <c r="N78" i="9" a="1"/>
  <c r="N78" i="9" s="1"/>
  <c r="I78" i="9" a="1"/>
  <c r="I78" i="9" s="1"/>
  <c r="X78" i="9" a="1"/>
  <c r="X78" i="9" s="1"/>
  <c r="H78" i="9" a="1"/>
  <c r="H78" i="9" s="1"/>
  <c r="W78" i="9" a="1"/>
  <c r="W78" i="9" s="1"/>
  <c r="R78" i="9" a="1"/>
  <c r="R78" i="9" s="1"/>
  <c r="M78" i="9" a="1"/>
  <c r="M78" i="9" s="1"/>
  <c r="G78" i="9" a="1"/>
  <c r="G78" i="9" s="1"/>
  <c r="L78" i="9" a="1"/>
  <c r="L78" i="9" s="1"/>
  <c r="V78" i="9" a="1"/>
  <c r="V78" i="9" s="1"/>
  <c r="Q78" i="9" a="1"/>
  <c r="Q78" i="9" s="1"/>
  <c r="K78" i="9" a="1"/>
  <c r="K78" i="9" s="1"/>
  <c r="F78" i="9" a="1"/>
  <c r="F78" i="9" s="1"/>
  <c r="K67" i="12" l="1"/>
  <c r="K64" i="12"/>
  <c r="J66" i="12"/>
  <c r="P74" i="12"/>
  <c r="J68" i="12"/>
  <c r="K65" i="12"/>
  <c r="L63" i="12"/>
  <c r="U56" i="11"/>
  <c r="U59" i="11" s="1"/>
  <c r="U61" i="11" s="1"/>
  <c r="U62" i="11" s="1"/>
  <c r="T56" i="11"/>
  <c r="L56" i="11"/>
  <c r="P56" i="11"/>
  <c r="S56" i="11"/>
  <c r="O56" i="11"/>
  <c r="K56" i="11"/>
  <c r="N58" i="11"/>
  <c r="N60" i="11" s="1"/>
  <c r="N59" i="11"/>
  <c r="N61" i="11" s="1"/>
  <c r="N62" i="11" s="1"/>
  <c r="N57" i="11"/>
  <c r="N124" i="11" s="1"/>
  <c r="R56" i="11"/>
  <c r="Q56" i="11"/>
  <c r="M56" i="11"/>
  <c r="J53" i="11"/>
  <c r="J54" i="11" s="1"/>
  <c r="J52" i="11"/>
  <c r="J56" i="11" s="1"/>
  <c r="AE84" i="11"/>
  <c r="AE67" i="11"/>
  <c r="J45" i="11"/>
  <c r="O54" i="1"/>
  <c r="D100" i="9" s="1"/>
  <c r="O55" i="1"/>
  <c r="D101" i="9" s="1"/>
  <c r="P55" i="1"/>
  <c r="O56" i="1"/>
  <c r="D102" i="9" s="1"/>
  <c r="O58" i="1"/>
  <c r="D104" i="9" s="1"/>
  <c r="O59" i="1"/>
  <c r="D105" i="9" s="1"/>
  <c r="O60" i="1"/>
  <c r="D106" i="9" s="1"/>
  <c r="O61" i="1"/>
  <c r="D107" i="9" s="1"/>
  <c r="O62" i="1"/>
  <c r="D108" i="9" s="1"/>
  <c r="O63" i="1"/>
  <c r="D109" i="9" s="1"/>
  <c r="O49" i="1"/>
  <c r="D95" i="9" s="1"/>
  <c r="O50" i="1"/>
  <c r="D96" i="9" s="1"/>
  <c r="O51" i="1"/>
  <c r="D97" i="9" s="1"/>
  <c r="N54" i="1"/>
  <c r="N55" i="1"/>
  <c r="N56" i="1"/>
  <c r="N58" i="1"/>
  <c r="N59" i="1"/>
  <c r="N60" i="1"/>
  <c r="N61" i="1"/>
  <c r="N62" i="1"/>
  <c r="N63" i="1"/>
  <c r="N49" i="1"/>
  <c r="N50" i="1"/>
  <c r="N51" i="1"/>
  <c r="O53" i="1"/>
  <c r="D99" i="9" s="1"/>
  <c r="N53" i="1"/>
  <c r="K57" i="1"/>
  <c r="K66" i="12" l="1"/>
  <c r="L66" i="12" s="1"/>
  <c r="Q74" i="12"/>
  <c r="R74" i="12" s="1"/>
  <c r="K68" i="12"/>
  <c r="J69" i="12"/>
  <c r="J70" i="12"/>
  <c r="J72" i="12"/>
  <c r="L65" i="12"/>
  <c r="L67" i="12"/>
  <c r="K78" i="12"/>
  <c r="K79" i="12" s="1"/>
  <c r="L64" i="12"/>
  <c r="N63" i="11"/>
  <c r="U58" i="11"/>
  <c r="U60" i="11" s="1"/>
  <c r="U63" i="11" s="1"/>
  <c r="U57" i="11"/>
  <c r="J58" i="11"/>
  <c r="J57" i="11"/>
  <c r="S57" i="11"/>
  <c r="S124" i="11" s="1"/>
  <c r="S58" i="11"/>
  <c r="S60" i="11" s="1"/>
  <c r="S59" i="11"/>
  <c r="S61" i="11" s="1"/>
  <c r="S62" i="11" s="1"/>
  <c r="P57" i="11"/>
  <c r="P124" i="11" s="1"/>
  <c r="P58" i="11"/>
  <c r="P60" i="11" s="1"/>
  <c r="P59" i="11"/>
  <c r="O58" i="11"/>
  <c r="O60" i="11" s="1"/>
  <c r="O59" i="11"/>
  <c r="O57" i="11"/>
  <c r="R59" i="11"/>
  <c r="R61" i="11" s="1"/>
  <c r="R62" i="11" s="1"/>
  <c r="R58" i="11"/>
  <c r="R60" i="11" s="1"/>
  <c r="R57" i="11"/>
  <c r="R124" i="11" s="1"/>
  <c r="L59" i="11"/>
  <c r="L61" i="11" s="1"/>
  <c r="L62" i="11" s="1"/>
  <c r="L57" i="11"/>
  <c r="L58" i="11"/>
  <c r="L60" i="11" s="1"/>
  <c r="M59" i="11"/>
  <c r="M61" i="11" s="1"/>
  <c r="M62" i="11" s="1"/>
  <c r="M57" i="11"/>
  <c r="M124" i="11" s="1"/>
  <c r="M58" i="11"/>
  <c r="M60" i="11" s="1"/>
  <c r="T58" i="11"/>
  <c r="T60" i="11" s="1"/>
  <c r="T57" i="11"/>
  <c r="T124" i="11" s="1"/>
  <c r="T59" i="11"/>
  <c r="Q57" i="11"/>
  <c r="Q124" i="11" s="1"/>
  <c r="Q58" i="11"/>
  <c r="Q60" i="11" s="1"/>
  <c r="Q59" i="11"/>
  <c r="Q61" i="11" s="1"/>
  <c r="Q62" i="11" s="1"/>
  <c r="Q63" i="11" s="1"/>
  <c r="K57" i="11"/>
  <c r="K124" i="11" s="1"/>
  <c r="K58" i="11"/>
  <c r="K60" i="11" s="1"/>
  <c r="K59" i="11"/>
  <c r="K61" i="11" s="1"/>
  <c r="K62" i="11" s="1"/>
  <c r="N71" i="11"/>
  <c r="J59" i="11"/>
  <c r="J61" i="11" s="1"/>
  <c r="L124" i="11"/>
  <c r="U124" i="11"/>
  <c r="O124" i="11"/>
  <c r="C109" i="9"/>
  <c r="C108" i="9"/>
  <c r="C99" i="9"/>
  <c r="C107" i="9"/>
  <c r="C106" i="9"/>
  <c r="C105" i="9"/>
  <c r="C100" i="9"/>
  <c r="C104" i="9"/>
  <c r="C97" i="9"/>
  <c r="C102" i="9"/>
  <c r="C96" i="9"/>
  <c r="C95" i="9"/>
  <c r="C101" i="9"/>
  <c r="A21" i="8"/>
  <c r="A21" i="7"/>
  <c r="A20" i="8"/>
  <c r="A20" i="7"/>
  <c r="A19" i="8"/>
  <c r="A19" i="7"/>
  <c r="A13" i="8"/>
  <c r="A13" i="7"/>
  <c r="A18" i="8"/>
  <c r="A18" i="7"/>
  <c r="A10" i="8"/>
  <c r="A10" i="7"/>
  <c r="A17" i="8"/>
  <c r="A17" i="7"/>
  <c r="A9" i="8"/>
  <c r="A9" i="7"/>
  <c r="A15" i="8"/>
  <c r="A15" i="7"/>
  <c r="A22" i="8"/>
  <c r="A22" i="7"/>
  <c r="A12" i="8"/>
  <c r="A12" i="7"/>
  <c r="A8" i="7"/>
  <c r="A8" i="8"/>
  <c r="A14" i="8"/>
  <c r="A14" i="7"/>
  <c r="A22" i="6"/>
  <c r="A13" i="6"/>
  <c r="A12" i="6"/>
  <c r="A20" i="6"/>
  <c r="A19" i="6"/>
  <c r="A21" i="6"/>
  <c r="A18" i="6"/>
  <c r="A17" i="6"/>
  <c r="A10" i="6"/>
  <c r="A9" i="6"/>
  <c r="A15" i="6"/>
  <c r="A8" i="6"/>
  <c r="A14" i="6"/>
  <c r="N69" i="1"/>
  <c r="P68" i="1"/>
  <c r="N70" i="1"/>
  <c r="N71" i="1"/>
  <c r="N68" i="1"/>
  <c r="N67" i="1"/>
  <c r="N66" i="1"/>
  <c r="J101" i="1"/>
  <c r="P48" i="1" s="1"/>
  <c r="K101" i="1"/>
  <c r="Q48" i="1" s="1"/>
  <c r="D18" i="1"/>
  <c r="C18" i="1"/>
  <c r="L68" i="12" l="1"/>
  <c r="K69" i="12"/>
  <c r="K72" i="12"/>
  <c r="L72" i="12" s="1"/>
  <c r="K70" i="12"/>
  <c r="K80" i="12"/>
  <c r="J71" i="12"/>
  <c r="J73" i="12"/>
  <c r="Q75" i="12"/>
  <c r="T71" i="11"/>
  <c r="M63" i="11"/>
  <c r="K63" i="11"/>
  <c r="K64" i="11" s="1"/>
  <c r="K123" i="11" s="1"/>
  <c r="R63" i="11"/>
  <c r="R65" i="11" s="1"/>
  <c r="S63" i="11"/>
  <c r="S64" i="11" s="1"/>
  <c r="S123" i="11" s="1"/>
  <c r="P61" i="11"/>
  <c r="P62" i="11" s="1"/>
  <c r="P63" i="11" s="1"/>
  <c r="P64" i="11" s="1"/>
  <c r="P123" i="11" s="1"/>
  <c r="T61" i="11"/>
  <c r="T62" i="11" s="1"/>
  <c r="T63" i="11" s="1"/>
  <c r="O61" i="11"/>
  <c r="O62" i="11" s="1"/>
  <c r="O63" i="11" s="1"/>
  <c r="O64" i="11" s="1"/>
  <c r="O123" i="11" s="1"/>
  <c r="L63" i="11"/>
  <c r="L64" i="11" s="1"/>
  <c r="L123" i="11" s="1"/>
  <c r="R71" i="11"/>
  <c r="M71" i="11"/>
  <c r="R127" i="11"/>
  <c r="U71" i="11"/>
  <c r="J127" i="11"/>
  <c r="S127" i="11"/>
  <c r="J71" i="11"/>
  <c r="L127" i="11"/>
  <c r="J124" i="11"/>
  <c r="U127" i="11"/>
  <c r="K127" i="11"/>
  <c r="M127" i="11"/>
  <c r="N127" i="11"/>
  <c r="S71" i="11"/>
  <c r="K71" i="11"/>
  <c r="L71" i="11"/>
  <c r="O71" i="11"/>
  <c r="P71" i="11"/>
  <c r="Q71" i="11"/>
  <c r="P82" i="1"/>
  <c r="P73" i="1"/>
  <c r="P65" i="1"/>
  <c r="Q82" i="1"/>
  <c r="Q73" i="1"/>
  <c r="Q65" i="1"/>
  <c r="C116" i="9"/>
  <c r="J57" i="9" a="1"/>
  <c r="J57" i="9" s="1"/>
  <c r="U58" i="9" a="1"/>
  <c r="U58" i="9" s="1"/>
  <c r="J58" i="9" a="1"/>
  <c r="J58" i="9" s="1"/>
  <c r="O58" i="9" a="1"/>
  <c r="O58" i="9" s="1"/>
  <c r="V57" i="9" a="1"/>
  <c r="V57" i="9" s="1"/>
  <c r="T57" i="9" a="1"/>
  <c r="T57" i="9" s="1"/>
  <c r="F55" i="9" a="1"/>
  <c r="F55" i="9" s="1"/>
  <c r="O54" i="9" a="1"/>
  <c r="O54" i="9" s="1"/>
  <c r="N59" i="9" a="1"/>
  <c r="N59" i="9" s="1"/>
  <c r="L56" i="9" a="1"/>
  <c r="L56" i="9" s="1"/>
  <c r="Q80" i="9" a="1"/>
  <c r="Q80" i="9" s="1"/>
  <c r="Y59" i="9" a="1"/>
  <c r="Y59" i="9" s="1"/>
  <c r="U54" i="9" a="1"/>
  <c r="U54" i="9" s="1"/>
  <c r="J56" i="9" a="1"/>
  <c r="J56" i="9" s="1"/>
  <c r="V79" i="9" a="1"/>
  <c r="V79" i="9" s="1"/>
  <c r="W59" i="9" a="1"/>
  <c r="W59" i="9" s="1"/>
  <c r="G55" i="9" a="1"/>
  <c r="G55" i="9" s="1"/>
  <c r="U59" i="9" a="1"/>
  <c r="U59" i="9" s="1"/>
  <c r="Q54" i="9" a="1"/>
  <c r="Q54" i="9" s="1"/>
  <c r="F56" i="9" a="1"/>
  <c r="F56" i="9" s="1"/>
  <c r="L80" i="9" a="1"/>
  <c r="L80" i="9" s="1"/>
  <c r="F79" i="9" a="1"/>
  <c r="F79" i="9" s="1"/>
  <c r="X56" i="9" a="1"/>
  <c r="X56" i="9" s="1"/>
  <c r="M56" i="9" a="1"/>
  <c r="M56" i="9" s="1"/>
  <c r="G58" i="9" a="1"/>
  <c r="G58" i="9" s="1"/>
  <c r="M58" i="9" a="1"/>
  <c r="M58" i="9" s="1"/>
  <c r="Y58" i="9" a="1"/>
  <c r="Y58" i="9" s="1"/>
  <c r="Y57" i="9" a="1"/>
  <c r="Y57" i="9" s="1"/>
  <c r="N57" i="9" a="1"/>
  <c r="N57" i="9" s="1"/>
  <c r="R57" i="9" a="1"/>
  <c r="R57" i="9" s="1"/>
  <c r="V56" i="9" a="1"/>
  <c r="V56" i="9" s="1"/>
  <c r="S59" i="9" a="1"/>
  <c r="S59" i="9" s="1"/>
  <c r="H54" i="9" a="1"/>
  <c r="H54" i="9" s="1"/>
  <c r="U79" i="9" a="1"/>
  <c r="U79" i="9" s="1"/>
  <c r="Q55" i="9" a="1"/>
  <c r="Q55" i="9" s="1"/>
  <c r="J80" i="9" a="1"/>
  <c r="J80" i="9" s="1"/>
  <c r="Q59" i="9" a="1"/>
  <c r="Q59" i="9" s="1"/>
  <c r="M54" i="9" a="1"/>
  <c r="M54" i="9" s="1"/>
  <c r="E54" i="9" a="1"/>
  <c r="E54" i="9" s="1"/>
  <c r="W55" i="9" a="1"/>
  <c r="W55" i="9" s="1"/>
  <c r="P79" i="9" a="1"/>
  <c r="P79" i="9" s="1"/>
  <c r="O59" i="9" a="1"/>
  <c r="O59" i="9" s="1"/>
  <c r="S54" i="9" a="1"/>
  <c r="S54" i="9" s="1"/>
  <c r="M59" i="9" a="1"/>
  <c r="M59" i="9" s="1"/>
  <c r="J54" i="9" a="1"/>
  <c r="J54" i="9" s="1"/>
  <c r="S55" i="9" a="1"/>
  <c r="S55" i="9" s="1"/>
  <c r="S79" i="9" a="1"/>
  <c r="S79" i="9" s="1"/>
  <c r="W80" i="9" a="1"/>
  <c r="W80" i="9" s="1"/>
  <c r="I55" i="9" a="1"/>
  <c r="I55" i="9" s="1"/>
  <c r="V58" i="9" a="1"/>
  <c r="V58" i="9" s="1"/>
  <c r="T58" i="9" a="1"/>
  <c r="T58" i="9" s="1"/>
  <c r="Q58" i="9" a="1"/>
  <c r="Q58" i="9" s="1"/>
  <c r="Q57" i="9" a="1"/>
  <c r="Q57" i="9" s="1"/>
  <c r="F57" i="9" a="1"/>
  <c r="F57" i="9" s="1"/>
  <c r="R54" i="9" a="1"/>
  <c r="R54" i="9" s="1"/>
  <c r="O56" i="9" a="1"/>
  <c r="O56" i="9" s="1"/>
  <c r="V59" i="9" a="1"/>
  <c r="V59" i="9" s="1"/>
  <c r="L59" i="9" a="1"/>
  <c r="L59" i="9" s="1"/>
  <c r="X80" i="9" a="1"/>
  <c r="X80" i="9" s="1"/>
  <c r="J55" i="9" a="1"/>
  <c r="J55" i="9" s="1"/>
  <c r="X79" i="9" a="1"/>
  <c r="X79" i="9" s="1"/>
  <c r="J59" i="9" a="1"/>
  <c r="J59" i="9" s="1"/>
  <c r="F54" i="9" a="1"/>
  <c r="F54" i="9" s="1"/>
  <c r="O55" i="9" a="1"/>
  <c r="O55" i="9" s="1"/>
  <c r="H59" i="9" a="1"/>
  <c r="H59" i="9" s="1"/>
  <c r="L54" i="9" a="1"/>
  <c r="L54" i="9" s="1"/>
  <c r="F59" i="9" a="1"/>
  <c r="F59" i="9" s="1"/>
  <c r="S80" i="9" a="1"/>
  <c r="S80" i="9" s="1"/>
  <c r="L55" i="9" a="1"/>
  <c r="L55" i="9" s="1"/>
  <c r="M79" i="9" a="1"/>
  <c r="M79" i="9" s="1"/>
  <c r="M55" i="9" a="1"/>
  <c r="M55" i="9" s="1"/>
  <c r="J79" i="9" a="1"/>
  <c r="J79" i="9" s="1"/>
  <c r="I79" i="9" a="1"/>
  <c r="I79" i="9" s="1"/>
  <c r="R80" i="9" a="1"/>
  <c r="R80" i="9" s="1"/>
  <c r="N58" i="9" a="1"/>
  <c r="N58" i="9" s="1"/>
  <c r="L58" i="9" a="1"/>
  <c r="L58" i="9" s="1"/>
  <c r="I58" i="9" a="1"/>
  <c r="I58" i="9" s="1"/>
  <c r="I57" i="9" a="1"/>
  <c r="I57" i="9" s="1"/>
  <c r="U57" i="9" a="1"/>
  <c r="U57" i="9" s="1"/>
  <c r="N79" i="9" a="1"/>
  <c r="N79" i="9" s="1"/>
  <c r="G80" i="9" a="1"/>
  <c r="G80" i="9" s="1"/>
  <c r="S56" i="9" a="1"/>
  <c r="S56" i="9" s="1"/>
  <c r="K80" i="9" a="1"/>
  <c r="K80" i="9" s="1"/>
  <c r="V54" i="9" a="1"/>
  <c r="V54" i="9" s="1"/>
  <c r="K79" i="9" a="1"/>
  <c r="K79" i="9" s="1"/>
  <c r="Q56" i="9" a="1"/>
  <c r="Q56" i="9" s="1"/>
  <c r="V80" i="9" a="1"/>
  <c r="V80" i="9" s="1"/>
  <c r="H55" i="9" a="1"/>
  <c r="H55" i="9" s="1"/>
  <c r="W56" i="9" a="1"/>
  <c r="W56" i="9" s="1"/>
  <c r="U80" i="9" a="1"/>
  <c r="U80" i="9" s="1"/>
  <c r="H79" i="9" a="1"/>
  <c r="H79" i="9" s="1"/>
  <c r="U56" i="9" a="1"/>
  <c r="U56" i="9" s="1"/>
  <c r="M80" i="9" a="1"/>
  <c r="M80" i="9" s="1"/>
  <c r="X54" i="9" a="1"/>
  <c r="X54" i="9" s="1"/>
  <c r="F58" i="9" a="1"/>
  <c r="F58" i="9" s="1"/>
  <c r="S58" i="9" a="1"/>
  <c r="S58" i="9" s="1"/>
  <c r="P58" i="9" a="1"/>
  <c r="P58" i="9" s="1"/>
  <c r="X57" i="9" a="1"/>
  <c r="X57" i="9" s="1"/>
  <c r="M57" i="9" a="1"/>
  <c r="M57" i="9" s="1"/>
  <c r="Y55" i="9" a="1"/>
  <c r="Y55" i="9" s="1"/>
  <c r="Y79" i="9" a="1"/>
  <c r="Y79" i="9" s="1"/>
  <c r="R59" i="9" a="1"/>
  <c r="R59" i="9" s="1"/>
  <c r="N54" i="9" a="1"/>
  <c r="N54" i="9" s="1"/>
  <c r="K56" i="9" a="1"/>
  <c r="K56" i="9" s="1"/>
  <c r="P80" i="9" a="1"/>
  <c r="P80" i="9" s="1"/>
  <c r="X59" i="9" a="1"/>
  <c r="X59" i="9" s="1"/>
  <c r="T54" i="9" a="1"/>
  <c r="T54" i="9" s="1"/>
  <c r="T80" i="9" a="1"/>
  <c r="T80" i="9" s="1"/>
  <c r="P56" i="9" a="1"/>
  <c r="P56" i="9" s="1"/>
  <c r="N80" i="9" a="1"/>
  <c r="N80" i="9" s="1"/>
  <c r="N56" i="9" a="1"/>
  <c r="N56" i="9" s="1"/>
  <c r="F80" i="9" a="1"/>
  <c r="F80" i="9" s="1"/>
  <c r="P54" i="9" a="1"/>
  <c r="P54" i="9" s="1"/>
  <c r="W58" i="9" a="1"/>
  <c r="W58" i="9" s="1"/>
  <c r="E57" i="9" a="1"/>
  <c r="E57" i="9" s="1"/>
  <c r="R56" i="9" a="1"/>
  <c r="R56" i="9" s="1"/>
  <c r="N55" i="9" a="1"/>
  <c r="N55" i="9" s="1"/>
  <c r="O57" i="9" a="1"/>
  <c r="O57" i="9" s="1"/>
  <c r="K58" i="9" a="1"/>
  <c r="K58" i="9" s="1"/>
  <c r="H58" i="9" a="1"/>
  <c r="H58" i="9" s="1"/>
  <c r="P57" i="9" a="1"/>
  <c r="P57" i="9" s="1"/>
  <c r="L57" i="9" a="1"/>
  <c r="L57" i="9" s="1"/>
  <c r="K54" i="9" a="1"/>
  <c r="K54" i="9" s="1"/>
  <c r="H56" i="9" a="1"/>
  <c r="H56" i="9" s="1"/>
  <c r="E59" i="9" a="1"/>
  <c r="E59" i="9" s="1"/>
  <c r="R55" i="9" a="1"/>
  <c r="R55" i="9" s="1"/>
  <c r="R79" i="9" a="1"/>
  <c r="R79" i="9" s="1"/>
  <c r="K59" i="9" a="1"/>
  <c r="K59" i="9" s="1"/>
  <c r="G54" i="9" a="1"/>
  <c r="G54" i="9" s="1"/>
  <c r="G59" i="9" a="1"/>
  <c r="G59" i="9" s="1"/>
  <c r="X55" i="9" a="1"/>
  <c r="X55" i="9" s="1"/>
  <c r="W79" i="9" a="1"/>
  <c r="W79" i="9" s="1"/>
  <c r="P59" i="9" a="1"/>
  <c r="P59" i="9" s="1"/>
  <c r="E79" i="9" a="1"/>
  <c r="E79" i="9" s="1"/>
  <c r="I56" i="9" a="1"/>
  <c r="I56" i="9" s="1"/>
  <c r="H80" i="9" a="1"/>
  <c r="H80" i="9" s="1"/>
  <c r="G56" i="9" a="1"/>
  <c r="G56" i="9" s="1"/>
  <c r="T79" i="9" a="1"/>
  <c r="T79" i="9" s="1"/>
  <c r="T59" i="9" a="1"/>
  <c r="T59" i="9" s="1"/>
  <c r="I54" i="9" a="1"/>
  <c r="I54" i="9" s="1"/>
  <c r="R58" i="9" a="1"/>
  <c r="R58" i="9" s="1"/>
  <c r="W54" i="9" a="1"/>
  <c r="W54" i="9" s="1"/>
  <c r="I80" i="9" a="1"/>
  <c r="I80" i="9" s="1"/>
  <c r="Y54" i="9" a="1"/>
  <c r="Y54" i="9" s="1"/>
  <c r="G57" i="9" a="1"/>
  <c r="G57" i="9" s="1"/>
  <c r="E58" i="9" a="1"/>
  <c r="E58" i="9" s="1"/>
  <c r="X58" i="9" a="1"/>
  <c r="X58" i="9" s="1"/>
  <c r="H57" i="9" a="1"/>
  <c r="H57" i="9" s="1"/>
  <c r="S57" i="9" a="1"/>
  <c r="S57" i="9" s="1"/>
  <c r="E55" i="9" a="1"/>
  <c r="E55" i="9" s="1"/>
  <c r="U55" i="9" a="1"/>
  <c r="U55" i="9" s="1"/>
  <c r="K55" i="9" a="1"/>
  <c r="K55" i="9" s="1"/>
  <c r="L79" i="9" a="1"/>
  <c r="L79" i="9" s="1"/>
  <c r="Y56" i="9" a="1"/>
  <c r="Y56" i="9" s="1"/>
  <c r="E80" i="9" a="1"/>
  <c r="E80" i="9" s="1"/>
  <c r="P55" i="9" a="1"/>
  <c r="P55" i="9" s="1"/>
  <c r="Q79" i="9" a="1"/>
  <c r="Q79" i="9" s="1"/>
  <c r="I59" i="9" a="1"/>
  <c r="I59" i="9" s="1"/>
  <c r="O80" i="9" a="1"/>
  <c r="O80" i="9" s="1"/>
  <c r="E56" i="9" a="1"/>
  <c r="E56" i="9" s="1"/>
  <c r="V55" i="9" a="1"/>
  <c r="V55" i="9" s="1"/>
  <c r="O79" i="9" a="1"/>
  <c r="O79" i="9" s="1"/>
  <c r="T55" i="9" a="1"/>
  <c r="T55" i="9" s="1"/>
  <c r="G79" i="9" a="1"/>
  <c r="G79" i="9" s="1"/>
  <c r="T56" i="9" a="1"/>
  <c r="T56" i="9" s="1"/>
  <c r="Y80" i="9" a="1"/>
  <c r="Y80" i="9" s="1"/>
  <c r="W57" i="9" a="1"/>
  <c r="W57" i="9" s="1"/>
  <c r="K57" i="9" a="1"/>
  <c r="K57" i="9" s="1"/>
  <c r="C115" i="9"/>
  <c r="C112" i="9"/>
  <c r="W60" i="9" s="1" a="1"/>
  <c r="W60" i="9" s="1"/>
  <c r="C113" i="9"/>
  <c r="C114" i="9"/>
  <c r="C117" i="9"/>
  <c r="A28" i="8"/>
  <c r="A28" i="7"/>
  <c r="A29" i="7"/>
  <c r="A29" i="8"/>
  <c r="A25" i="8"/>
  <c r="A25" i="7"/>
  <c r="A26" i="7"/>
  <c r="A26" i="8"/>
  <c r="A27" i="8"/>
  <c r="A27" i="7"/>
  <c r="A30" i="7"/>
  <c r="A30" i="8"/>
  <c r="A27" i="6"/>
  <c r="A30" i="6"/>
  <c r="A28" i="6"/>
  <c r="A26" i="6"/>
  <c r="A29" i="6"/>
  <c r="A25" i="6"/>
  <c r="K82" i="1"/>
  <c r="J82" i="1"/>
  <c r="D28" i="2"/>
  <c r="N27" i="2"/>
  <c r="M27" i="2"/>
  <c r="M5" i="2"/>
  <c r="N5" i="2"/>
  <c r="M6" i="2"/>
  <c r="N6" i="2"/>
  <c r="M7" i="2"/>
  <c r="N7" i="2"/>
  <c r="M8" i="2"/>
  <c r="N8" i="2"/>
  <c r="N25" i="2" s="1"/>
  <c r="M9" i="2"/>
  <c r="N9" i="2"/>
  <c r="M10" i="2"/>
  <c r="N10" i="2"/>
  <c r="M11" i="2"/>
  <c r="N11" i="2"/>
  <c r="M12" i="2"/>
  <c r="N12" i="2"/>
  <c r="M13" i="2"/>
  <c r="N13" i="2"/>
  <c r="M14" i="2"/>
  <c r="N14" i="2"/>
  <c r="M15" i="2"/>
  <c r="N15" i="2"/>
  <c r="M16" i="2"/>
  <c r="N16" i="2"/>
  <c r="M17" i="2"/>
  <c r="N17" i="2"/>
  <c r="M18" i="2"/>
  <c r="N18" i="2"/>
  <c r="M19" i="2"/>
  <c r="N19" i="2"/>
  <c r="M20" i="2"/>
  <c r="N20" i="2"/>
  <c r="M21" i="2"/>
  <c r="N21" i="2"/>
  <c r="M22" i="2"/>
  <c r="N22" i="2"/>
  <c r="M23" i="2"/>
  <c r="N23" i="2"/>
  <c r="M24" i="2"/>
  <c r="N24" i="2"/>
  <c r="N4" i="2"/>
  <c r="M4" i="2"/>
  <c r="D25" i="2"/>
  <c r="D26" i="2" s="1"/>
  <c r="K71" i="12" l="1"/>
  <c r="L69" i="12"/>
  <c r="L71" i="12"/>
  <c r="K86" i="12"/>
  <c r="K81" i="12"/>
  <c r="K84" i="12"/>
  <c r="K73" i="12"/>
  <c r="K82" i="12"/>
  <c r="L70" i="12"/>
  <c r="J74" i="12"/>
  <c r="J75" i="12"/>
  <c r="J77" i="12"/>
  <c r="Q86" i="12"/>
  <c r="T127" i="11"/>
  <c r="O127" i="11"/>
  <c r="P127" i="11"/>
  <c r="N65" i="11"/>
  <c r="Q64" i="11"/>
  <c r="Q123" i="11" s="1"/>
  <c r="Q127" i="11"/>
  <c r="U66" i="11"/>
  <c r="U69" i="11" s="1"/>
  <c r="U64" i="11"/>
  <c r="U123" i="11" s="1"/>
  <c r="M65" i="11"/>
  <c r="M70" i="11" s="1"/>
  <c r="M64" i="11"/>
  <c r="M123" i="11" s="1"/>
  <c r="T66" i="11"/>
  <c r="T69" i="11" s="1"/>
  <c r="T64" i="11"/>
  <c r="T123" i="11" s="1"/>
  <c r="R68" i="11"/>
  <c r="R64" i="11"/>
  <c r="R123" i="11" s="1"/>
  <c r="R66" i="11"/>
  <c r="R69" i="11" s="1"/>
  <c r="F74" i="9" a="1"/>
  <c r="F74" i="9" s="1"/>
  <c r="G74" i="9" a="1"/>
  <c r="G74" i="9" s="1"/>
  <c r="X74" i="9" a="1"/>
  <c r="X74" i="9" s="1"/>
  <c r="Y74" i="9" a="1"/>
  <c r="Y74" i="9" s="1"/>
  <c r="M74" i="9" a="1"/>
  <c r="M74" i="9" s="1"/>
  <c r="J74" i="9" a="1"/>
  <c r="J74" i="9" s="1"/>
  <c r="O74" i="9" a="1"/>
  <c r="O74" i="9" s="1"/>
  <c r="H74" i="9" a="1"/>
  <c r="H74" i="9" s="1"/>
  <c r="N74" i="9" a="1"/>
  <c r="N74" i="9" s="1"/>
  <c r="K74" i="9" a="1"/>
  <c r="K74" i="9" s="1"/>
  <c r="E74" i="9" a="1"/>
  <c r="E74" i="9" s="1"/>
  <c r="I74" i="9" a="1"/>
  <c r="I74" i="9" s="1"/>
  <c r="A53" i="9" a="1"/>
  <c r="A53" i="9" s="1"/>
  <c r="U74" i="9" a="1"/>
  <c r="U74" i="9" s="1"/>
  <c r="T74" i="9" a="1"/>
  <c r="T74" i="9" s="1"/>
  <c r="W74" i="9" a="1"/>
  <c r="W74" i="9" s="1"/>
  <c r="P74" i="9" a="1"/>
  <c r="P74" i="9" s="1"/>
  <c r="V74" i="9" a="1"/>
  <c r="V74" i="9" s="1"/>
  <c r="S74" i="9" a="1"/>
  <c r="S74" i="9" s="1"/>
  <c r="L74" i="9" a="1"/>
  <c r="L74" i="9" s="1"/>
  <c r="Q74" i="9" a="1"/>
  <c r="Q74" i="9" s="1"/>
  <c r="R74" i="9" a="1"/>
  <c r="R74" i="9" s="1"/>
  <c r="M68" i="11"/>
  <c r="M66" i="11"/>
  <c r="M69" i="11" s="1"/>
  <c r="T65" i="11"/>
  <c r="T68" i="11"/>
  <c r="K65" i="11"/>
  <c r="K68" i="11"/>
  <c r="R67" i="11"/>
  <c r="R70" i="11"/>
  <c r="R87" i="11"/>
  <c r="P68" i="11"/>
  <c r="P65" i="11"/>
  <c r="U65" i="11"/>
  <c r="U68" i="11"/>
  <c r="O66" i="11"/>
  <c r="O69" i="11" s="1"/>
  <c r="O65" i="11"/>
  <c r="O68" i="11"/>
  <c r="L65" i="11"/>
  <c r="L68" i="11"/>
  <c r="P66" i="11"/>
  <c r="P69" i="11" s="1"/>
  <c r="S65" i="11"/>
  <c r="S68" i="11"/>
  <c r="L66" i="11"/>
  <c r="L69" i="11" s="1"/>
  <c r="K66" i="11"/>
  <c r="K69" i="11" s="1"/>
  <c r="S66" i="11"/>
  <c r="S69" i="11" s="1"/>
  <c r="Q75" i="9" a="1"/>
  <c r="Q75" i="9" s="1"/>
  <c r="J75" i="9" a="1"/>
  <c r="J75" i="9" s="1"/>
  <c r="Y75" i="9" a="1"/>
  <c r="Y75" i="9" s="1"/>
  <c r="W75" i="9" a="1"/>
  <c r="W75" i="9" s="1"/>
  <c r="G75" i="9" a="1"/>
  <c r="G75" i="9" s="1"/>
  <c r="U75" i="9" a="1"/>
  <c r="U75" i="9" s="1"/>
  <c r="M75" i="9" a="1"/>
  <c r="M75" i="9" s="1"/>
  <c r="E75" i="9" a="1"/>
  <c r="E75" i="9" s="1"/>
  <c r="N75" i="9" a="1"/>
  <c r="N75" i="9" s="1"/>
  <c r="T75" i="9" a="1"/>
  <c r="T75" i="9" s="1"/>
  <c r="R75" i="9" a="1"/>
  <c r="R75" i="9" s="1"/>
  <c r="H75" i="9" a="1"/>
  <c r="H75" i="9" s="1"/>
  <c r="V75" i="9" a="1"/>
  <c r="V75" i="9" s="1"/>
  <c r="L75" i="9" a="1"/>
  <c r="L75" i="9" s="1"/>
  <c r="P75" i="9" a="1"/>
  <c r="P75" i="9" s="1"/>
  <c r="O75" i="9" a="1"/>
  <c r="O75" i="9" s="1"/>
  <c r="X75" i="9" a="1"/>
  <c r="X75" i="9" s="1"/>
  <c r="S75" i="9" a="1"/>
  <c r="S75" i="9" s="1"/>
  <c r="K75" i="9" a="1"/>
  <c r="K75" i="9" s="1"/>
  <c r="I75" i="9" a="1"/>
  <c r="I75" i="9" s="1"/>
  <c r="F75" i="9" a="1"/>
  <c r="F75" i="9" s="1"/>
  <c r="V63" i="9" a="1"/>
  <c r="V63" i="9" s="1"/>
  <c r="J72" i="9" a="1"/>
  <c r="J72" i="9" s="1"/>
  <c r="L60" i="9" a="1"/>
  <c r="L60" i="9" s="1"/>
  <c r="M60" i="9" a="1"/>
  <c r="M60" i="9" s="1"/>
  <c r="Y63" i="9" a="1"/>
  <c r="Y63" i="9" s="1"/>
  <c r="Q70" i="9" a="1"/>
  <c r="Q70" i="9" s="1"/>
  <c r="N63" i="9" a="1"/>
  <c r="N63" i="9" s="1"/>
  <c r="I67" i="9" a="1"/>
  <c r="I67" i="9" s="1"/>
  <c r="K62" i="9" a="1"/>
  <c r="K62" i="9" s="1"/>
  <c r="W64" i="9" a="1"/>
  <c r="W64" i="9" s="1"/>
  <c r="Q73" i="9" a="1"/>
  <c r="Q73" i="9" s="1"/>
  <c r="N67" i="9" a="1"/>
  <c r="N67" i="9" s="1"/>
  <c r="I70" i="9" a="1"/>
  <c r="I70" i="9" s="1"/>
  <c r="P63" i="9" a="1"/>
  <c r="P63" i="9" s="1"/>
  <c r="N73" i="9" a="1"/>
  <c r="N73" i="9" s="1"/>
  <c r="H61" i="9" a="1"/>
  <c r="H61" i="9" s="1"/>
  <c r="P62" i="9" a="1"/>
  <c r="P62" i="9" s="1"/>
  <c r="L66" i="9" a="1"/>
  <c r="L66" i="9" s="1"/>
  <c r="S71" i="9" a="1"/>
  <c r="S71" i="9" s="1"/>
  <c r="O69" i="9" a="1"/>
  <c r="O69" i="9" s="1"/>
  <c r="X71" i="9" a="1"/>
  <c r="X71" i="9" s="1"/>
  <c r="N61" i="9" a="1"/>
  <c r="N61" i="9" s="1"/>
  <c r="U64" i="9" a="1"/>
  <c r="U64" i="9" s="1"/>
  <c r="T73" i="9" a="1"/>
  <c r="T73" i="9" s="1"/>
  <c r="F70" i="9" a="1"/>
  <c r="F70" i="9" s="1"/>
  <c r="G62" i="9" a="1"/>
  <c r="G62" i="9" s="1"/>
  <c r="O63" i="9" a="1"/>
  <c r="O63" i="9" s="1"/>
  <c r="Y65" i="9" a="1"/>
  <c r="Y65" i="9" s="1"/>
  <c r="K71" i="9" a="1"/>
  <c r="K71" i="9" s="1"/>
  <c r="T68" i="9" a="1"/>
  <c r="T68" i="9" s="1"/>
  <c r="U61" i="9" a="1"/>
  <c r="U61" i="9" s="1"/>
  <c r="Q60" i="9" a="1"/>
  <c r="Q60" i="9" s="1"/>
  <c r="W63" i="9" a="1"/>
  <c r="W63" i="9" s="1"/>
  <c r="R64" i="9" a="1"/>
  <c r="R64" i="9" s="1"/>
  <c r="V72" i="9" a="1"/>
  <c r="V72" i="9" s="1"/>
  <c r="T72" i="9" a="1"/>
  <c r="T72" i="9" s="1"/>
  <c r="X60" i="9" a="1"/>
  <c r="X60" i="9" s="1"/>
  <c r="H64" i="9" a="1"/>
  <c r="H64" i="9" s="1"/>
  <c r="R72" i="9" a="1"/>
  <c r="R72" i="9" s="1"/>
  <c r="M71" i="9" a="1"/>
  <c r="M71" i="9" s="1"/>
  <c r="L61" i="9" a="1"/>
  <c r="L61" i="9" s="1"/>
  <c r="X66" i="9" a="1"/>
  <c r="X66" i="9" s="1"/>
  <c r="N72" i="9" a="1"/>
  <c r="N72" i="9" s="1"/>
  <c r="V70" i="9" a="1"/>
  <c r="V70" i="9" s="1"/>
  <c r="H68" i="9" a="1"/>
  <c r="H68" i="9" s="1"/>
  <c r="U60" i="9" a="1"/>
  <c r="U60" i="9" s="1"/>
  <c r="I62" i="9" a="1"/>
  <c r="I62" i="9" s="1"/>
  <c r="P66" i="9" a="1"/>
  <c r="P66" i="9" s="1"/>
  <c r="F72" i="9" a="1"/>
  <c r="F72" i="9" s="1"/>
  <c r="W69" i="9" a="1"/>
  <c r="W69" i="9" s="1"/>
  <c r="M70" i="9" a="1"/>
  <c r="M70" i="9" s="1"/>
  <c r="E61" i="9" a="1"/>
  <c r="E61" i="9" s="1"/>
  <c r="V64" i="9" a="1"/>
  <c r="V64" i="9" s="1"/>
  <c r="Q69" i="9" a="1"/>
  <c r="Q69" i="9" s="1"/>
  <c r="K68" i="9" a="1"/>
  <c r="K68" i="9" s="1"/>
  <c r="U66" i="9" a="1"/>
  <c r="U66" i="9" s="1"/>
  <c r="S61" i="9" a="1"/>
  <c r="S61" i="9" s="1"/>
  <c r="J66" i="9" a="1"/>
  <c r="J66" i="9" s="1"/>
  <c r="I72" i="9" a="1"/>
  <c r="I72" i="9" s="1"/>
  <c r="E67" i="9" a="1"/>
  <c r="E67" i="9" s="1"/>
  <c r="J64" i="9" a="1"/>
  <c r="J64" i="9" s="1"/>
  <c r="V68" i="9" a="1"/>
  <c r="V68" i="9" s="1"/>
  <c r="S73" i="9" a="1"/>
  <c r="S73" i="9" s="1"/>
  <c r="M62" i="9" a="1"/>
  <c r="M62" i="9" s="1"/>
  <c r="U63" i="9" a="1"/>
  <c r="U63" i="9" s="1"/>
  <c r="U65" i="9" a="1"/>
  <c r="U65" i="9" s="1"/>
  <c r="G71" i="9" a="1"/>
  <c r="G71" i="9" s="1"/>
  <c r="L68" i="9" a="1"/>
  <c r="L68" i="9" s="1"/>
  <c r="T62" i="9" a="1"/>
  <c r="T62" i="9" s="1"/>
  <c r="Q65" i="9" a="1"/>
  <c r="Q65" i="9" s="1"/>
  <c r="X70" i="9" a="1"/>
  <c r="X70" i="9" s="1"/>
  <c r="Y67" i="9" a="1"/>
  <c r="Y67" i="9" s="1"/>
  <c r="R61" i="9" a="1"/>
  <c r="R61" i="9" s="1"/>
  <c r="J61" i="9" a="1"/>
  <c r="J61" i="9" s="1"/>
  <c r="M65" i="9" a="1"/>
  <c r="M65" i="9" s="1"/>
  <c r="P70" i="9" a="1"/>
  <c r="P70" i="9" s="1"/>
  <c r="Q67" i="9" a="1"/>
  <c r="Q67" i="9" s="1"/>
  <c r="E65" i="9" a="1"/>
  <c r="E65" i="9" s="1"/>
  <c r="Y69" i="9" a="1"/>
  <c r="Y69" i="9" s="1"/>
  <c r="R69" i="9" a="1"/>
  <c r="R69" i="9" s="1"/>
  <c r="F65" i="9" a="1"/>
  <c r="F65" i="9" s="1"/>
  <c r="F61" i="9" a="1"/>
  <c r="F61" i="9" s="1"/>
  <c r="S66" i="9" a="1"/>
  <c r="S66" i="9" s="1"/>
  <c r="L67" i="9" a="1"/>
  <c r="L67" i="9" s="1"/>
  <c r="L72" i="9" a="1"/>
  <c r="L72" i="9" s="1"/>
  <c r="I65" i="9" a="1"/>
  <c r="I65" i="9" s="1"/>
  <c r="Q61" i="9" a="1"/>
  <c r="Q61" i="9" s="1"/>
  <c r="R65" i="9" a="1"/>
  <c r="R65" i="9" s="1"/>
  <c r="T70" i="9" a="1"/>
  <c r="T70" i="9" s="1"/>
  <c r="S70" i="9" a="1"/>
  <c r="S70" i="9" s="1"/>
  <c r="W72" i="9" a="1"/>
  <c r="W72" i="9" s="1"/>
  <c r="Y61" i="9" a="1"/>
  <c r="Y61" i="9" s="1"/>
  <c r="K66" i="9" a="1"/>
  <c r="K66" i="9" s="1"/>
  <c r="M68" i="9" a="1"/>
  <c r="M68" i="9" s="1"/>
  <c r="Y71" i="9" a="1"/>
  <c r="Y71" i="9" s="1"/>
  <c r="R68" i="9" a="1"/>
  <c r="R68" i="9" s="1"/>
  <c r="V60" i="9" a="1"/>
  <c r="V60" i="9" s="1"/>
  <c r="F64" i="9" a="1"/>
  <c r="F64" i="9" s="1"/>
  <c r="N68" i="9" a="1"/>
  <c r="N68" i="9" s="1"/>
  <c r="O73" i="9" a="1"/>
  <c r="O73" i="9" s="1"/>
  <c r="Q63" i="9" a="1"/>
  <c r="Q63" i="9" s="1"/>
  <c r="N62" i="9" a="1"/>
  <c r="N62" i="9" s="1"/>
  <c r="Y64" i="9" a="1"/>
  <c r="Y64" i="9" s="1"/>
  <c r="W67" i="9" a="1"/>
  <c r="W67" i="9" s="1"/>
  <c r="K73" i="9" a="1"/>
  <c r="K73" i="9" s="1"/>
  <c r="F63" i="9" a="1"/>
  <c r="F63" i="9" s="1"/>
  <c r="G63" i="9" a="1"/>
  <c r="G63" i="9" s="1"/>
  <c r="E64" i="9" a="1"/>
  <c r="E64" i="9" s="1"/>
  <c r="O67" i="9" a="1"/>
  <c r="O67" i="9" s="1"/>
  <c r="G73" i="9" a="1"/>
  <c r="G73" i="9" s="1"/>
  <c r="T66" i="9" a="1"/>
  <c r="T66" i="9" s="1"/>
  <c r="T60" i="9" a="1"/>
  <c r="T60" i="9" s="1"/>
  <c r="W66" i="9" a="1"/>
  <c r="W66" i="9" s="1"/>
  <c r="W68" i="9" a="1"/>
  <c r="W68" i="9" s="1"/>
  <c r="P72" i="9" a="1"/>
  <c r="P72" i="9" s="1"/>
  <c r="V66" i="9" a="1"/>
  <c r="V66" i="9" s="1"/>
  <c r="K61" i="9" a="1"/>
  <c r="K61" i="9" s="1"/>
  <c r="H65" i="9" a="1"/>
  <c r="H65" i="9" s="1"/>
  <c r="X73" i="9" a="1"/>
  <c r="X73" i="9" s="1"/>
  <c r="J70" i="9" a="1"/>
  <c r="J70" i="9" s="1"/>
  <c r="U73" i="9" a="1"/>
  <c r="U73" i="9" s="1"/>
  <c r="P61" i="9" a="1"/>
  <c r="P61" i="9" s="1"/>
  <c r="H62" i="9" a="1"/>
  <c r="H62" i="9" s="1"/>
  <c r="I66" i="9" a="1"/>
  <c r="I66" i="9" s="1"/>
  <c r="S67" i="9" a="1"/>
  <c r="S67" i="9" s="1"/>
  <c r="Y68" i="9" a="1"/>
  <c r="Y68" i="9" s="1"/>
  <c r="L71" i="9" a="1"/>
  <c r="L71" i="9" s="1"/>
  <c r="X61" i="9" a="1"/>
  <c r="X61" i="9" s="1"/>
  <c r="Q64" i="9" a="1"/>
  <c r="Q64" i="9" s="1"/>
  <c r="P73" i="9" a="1"/>
  <c r="P73" i="9" s="1"/>
  <c r="S69" i="9" a="1"/>
  <c r="S69" i="9" s="1"/>
  <c r="L62" i="9" a="1"/>
  <c r="L62" i="9" s="1"/>
  <c r="G66" i="9" a="1"/>
  <c r="G66" i="9" s="1"/>
  <c r="V67" i="9" a="1"/>
  <c r="V67" i="9" s="1"/>
  <c r="U71" i="9" a="1"/>
  <c r="U71" i="9" s="1"/>
  <c r="K65" i="9" a="1"/>
  <c r="K65" i="9" s="1"/>
  <c r="R62" i="9" a="1"/>
  <c r="R62" i="9" s="1"/>
  <c r="X65" i="9" a="1"/>
  <c r="X65" i="9" s="1"/>
  <c r="J67" i="9" a="1"/>
  <c r="J67" i="9" s="1"/>
  <c r="Q71" i="9" a="1"/>
  <c r="Q71" i="9" s="1"/>
  <c r="T64" i="9" a="1"/>
  <c r="T64" i="9" s="1"/>
  <c r="E62" i="9" a="1"/>
  <c r="E62" i="9" s="1"/>
  <c r="G60" i="9" a="1"/>
  <c r="G60" i="9" s="1"/>
  <c r="T65" i="9" a="1"/>
  <c r="T65" i="9" s="1"/>
  <c r="V69" i="9" a="1"/>
  <c r="V69" i="9" s="1"/>
  <c r="I71" i="9" a="1"/>
  <c r="I71" i="9" s="1"/>
  <c r="P65" i="9" a="1"/>
  <c r="P65" i="9" s="1"/>
  <c r="R60" i="9" a="1"/>
  <c r="R60" i="9" s="1"/>
  <c r="X63" i="9" a="1"/>
  <c r="X63" i="9" s="1"/>
  <c r="L65" i="9" a="1"/>
  <c r="L65" i="9" s="1"/>
  <c r="H67" i="9" a="1"/>
  <c r="H67" i="9" s="1"/>
  <c r="R70" i="9" a="1"/>
  <c r="R70" i="9" s="1"/>
  <c r="H70" i="9" a="1"/>
  <c r="H70" i="9" s="1"/>
  <c r="I61" i="9" a="1"/>
  <c r="I61" i="9" s="1"/>
  <c r="N66" i="9" a="1"/>
  <c r="N66" i="9" s="1"/>
  <c r="M72" i="9" a="1"/>
  <c r="M72" i="9" s="1"/>
  <c r="M67" i="9" a="1"/>
  <c r="M67" i="9" s="1"/>
  <c r="G67" i="9" a="1"/>
  <c r="G67" i="9" s="1"/>
  <c r="H60" i="9" a="1"/>
  <c r="H60" i="9" s="1"/>
  <c r="K64" i="9" a="1"/>
  <c r="K64" i="9" s="1"/>
  <c r="I73" i="9" a="1"/>
  <c r="I73" i="9" s="1"/>
  <c r="E70" i="9" a="1"/>
  <c r="E70" i="9" s="1"/>
  <c r="S68" i="9" a="1"/>
  <c r="S68" i="9" s="1"/>
  <c r="N60" i="9" a="1"/>
  <c r="N60" i="9" s="1"/>
  <c r="V61" i="9" a="1"/>
  <c r="V61" i="9" s="1"/>
  <c r="F66" i="9" a="1"/>
  <c r="F66" i="9" s="1"/>
  <c r="E72" i="9" a="1"/>
  <c r="E72" i="9" s="1"/>
  <c r="N69" i="9" a="1"/>
  <c r="N69" i="9" s="1"/>
  <c r="J62" i="9" a="1"/>
  <c r="J62" i="9" s="1"/>
  <c r="M64" i="9" a="1"/>
  <c r="M64" i="9" s="1"/>
  <c r="L73" i="9" a="1"/>
  <c r="L73" i="9" s="1"/>
  <c r="G69" i="9" a="1"/>
  <c r="G69" i="9" s="1"/>
  <c r="W62" i="9" a="1"/>
  <c r="W62" i="9" s="1"/>
  <c r="T63" i="9" a="1"/>
  <c r="T63" i="9" s="1"/>
  <c r="I64" i="9" a="1"/>
  <c r="I64" i="9" s="1"/>
  <c r="H73" i="9" a="1"/>
  <c r="H73" i="9" s="1"/>
  <c r="X68" i="9" a="1"/>
  <c r="X68" i="9" s="1"/>
  <c r="K63" i="9" a="1"/>
  <c r="K63" i="9" s="1"/>
  <c r="G65" i="9" a="1"/>
  <c r="G65" i="9" s="1"/>
  <c r="Y72" i="9" a="1"/>
  <c r="Y72" i="9" s="1"/>
  <c r="P68" i="9" a="1"/>
  <c r="P68" i="9" s="1"/>
  <c r="R66" i="9" a="1"/>
  <c r="R66" i="9" s="1"/>
  <c r="Q72" i="9" a="1"/>
  <c r="Q72" i="9" s="1"/>
  <c r="U67" i="9" a="1"/>
  <c r="U67" i="9" s="1"/>
  <c r="U72" i="9" a="1"/>
  <c r="U72" i="9" s="1"/>
  <c r="Y62" i="9" a="1"/>
  <c r="Y62" i="9" s="1"/>
  <c r="E63" i="9" a="1"/>
  <c r="E63" i="9" s="1"/>
  <c r="W71" i="9" a="1"/>
  <c r="W71" i="9" s="1"/>
  <c r="W70" i="9" a="1"/>
  <c r="W70" i="9" s="1"/>
  <c r="F73" i="9" a="1"/>
  <c r="F73" i="9" s="1"/>
  <c r="F62" i="9" a="1"/>
  <c r="F62" i="9" s="1"/>
  <c r="J71" i="9" a="1"/>
  <c r="J71" i="9" s="1"/>
  <c r="L63" i="9" a="1"/>
  <c r="L63" i="9" s="1"/>
  <c r="H66" i="9" a="1"/>
  <c r="H66" i="9" s="1"/>
  <c r="O71" i="9" a="1"/>
  <c r="O71" i="9" s="1"/>
  <c r="K69" i="9" a="1"/>
  <c r="K69" i="9" s="1"/>
  <c r="R63" i="9" a="1"/>
  <c r="R63" i="9" s="1"/>
  <c r="P60" i="9" a="1"/>
  <c r="P60" i="9" s="1"/>
  <c r="O64" i="9" a="1"/>
  <c r="O64" i="9" s="1"/>
  <c r="L70" i="9" a="1"/>
  <c r="L70" i="9" s="1"/>
  <c r="O70" i="9" a="1"/>
  <c r="O70" i="9" s="1"/>
  <c r="S72" i="9" a="1"/>
  <c r="S72" i="9" s="1"/>
  <c r="G61" i="9" a="1"/>
  <c r="G61" i="9" s="1"/>
  <c r="O62" i="9" a="1"/>
  <c r="O62" i="9" s="1"/>
  <c r="W65" i="9" a="1"/>
  <c r="W65" i="9" s="1"/>
  <c r="V71" i="9" a="1"/>
  <c r="V71" i="9" s="1"/>
  <c r="T67" i="9" a="1"/>
  <c r="T67" i="9" s="1"/>
  <c r="U62" i="9" a="1"/>
  <c r="U62" i="9" s="1"/>
  <c r="S65" i="9" a="1"/>
  <c r="S65" i="9" s="1"/>
  <c r="R71" i="9" a="1"/>
  <c r="R71" i="9" s="1"/>
  <c r="V73" i="9" a="1"/>
  <c r="V73" i="9" s="1"/>
  <c r="I63" i="9" a="1"/>
  <c r="I63" i="9" s="1"/>
  <c r="O65" i="9" a="1"/>
  <c r="O65" i="9" s="1"/>
  <c r="N71" i="9" a="1"/>
  <c r="N71" i="9" s="1"/>
  <c r="R73" i="9" a="1"/>
  <c r="R73" i="9" s="1"/>
  <c r="S62" i="9" a="1"/>
  <c r="S62" i="9" s="1"/>
  <c r="X64" i="9" a="1"/>
  <c r="X64" i="9" s="1"/>
  <c r="F71" i="9" a="1"/>
  <c r="F71" i="9" s="1"/>
  <c r="J73" i="9" a="1"/>
  <c r="J73" i="9" s="1"/>
  <c r="R67" i="9" a="1"/>
  <c r="R67" i="9" s="1"/>
  <c r="M66" i="9" a="1"/>
  <c r="M66" i="9" s="1"/>
  <c r="F68" i="9" a="1"/>
  <c r="F68" i="9" s="1"/>
  <c r="H69" i="9" a="1"/>
  <c r="H69" i="9" s="1"/>
  <c r="P71" i="9" a="1"/>
  <c r="P71" i="9" s="1"/>
  <c r="N70" i="9" a="1"/>
  <c r="N70" i="9" s="1"/>
  <c r="X62" i="9" a="1"/>
  <c r="X62" i="9" s="1"/>
  <c r="N64" i="9" a="1"/>
  <c r="N64" i="9" s="1"/>
  <c r="I69" i="9" a="1"/>
  <c r="I69" i="9" s="1"/>
  <c r="W73" i="9" a="1"/>
  <c r="W73" i="9" s="1"/>
  <c r="F60" i="9" a="1"/>
  <c r="F60" i="9" s="1"/>
  <c r="E66" i="9" a="1"/>
  <c r="E66" i="9" s="1"/>
  <c r="K67" i="9" a="1"/>
  <c r="K67" i="9" s="1"/>
  <c r="U68" i="9" a="1"/>
  <c r="U68" i="9" s="1"/>
  <c r="H71" i="9" a="1"/>
  <c r="H71" i="9" s="1"/>
  <c r="E60" i="9" a="1"/>
  <c r="E60" i="9" s="1"/>
  <c r="O61" i="9" a="1"/>
  <c r="O61" i="9" s="1"/>
  <c r="G64" i="9" a="1"/>
  <c r="G64" i="9" s="1"/>
  <c r="U69" i="9" a="1"/>
  <c r="U69" i="9" s="1"/>
  <c r="K70" i="9" a="1"/>
  <c r="K70" i="9" s="1"/>
  <c r="O72" i="9" a="1"/>
  <c r="O72" i="9" s="1"/>
  <c r="M63" i="9" a="1"/>
  <c r="M63" i="9" s="1"/>
  <c r="M61" i="9" a="1"/>
  <c r="M61" i="9" s="1"/>
  <c r="L64" i="9" a="1"/>
  <c r="L64" i="9" s="1"/>
  <c r="M69" i="9" a="1"/>
  <c r="M69" i="9" s="1"/>
  <c r="G70" i="9" a="1"/>
  <c r="G70" i="9" s="1"/>
  <c r="K72" i="9" a="1"/>
  <c r="K72" i="9" s="1"/>
  <c r="T61" i="9" a="1"/>
  <c r="T61" i="9" s="1"/>
  <c r="H63" i="9" a="1"/>
  <c r="H63" i="9" s="1"/>
  <c r="Y66" i="9" a="1"/>
  <c r="Y66" i="9" s="1"/>
  <c r="E69" i="9" a="1"/>
  <c r="E69" i="9" s="1"/>
  <c r="X69" i="9" a="1"/>
  <c r="X69" i="9" s="1"/>
  <c r="G72" i="9" a="1"/>
  <c r="G72" i="9" s="1"/>
  <c r="O68" i="9" a="1"/>
  <c r="O68" i="9" s="1"/>
  <c r="O60" i="9" a="1"/>
  <c r="O60" i="9" s="1"/>
  <c r="T69" i="9" a="1"/>
  <c r="T69" i="9" s="1"/>
  <c r="Q66" i="9" a="1"/>
  <c r="Q66" i="9" s="1"/>
  <c r="J68" i="9" a="1"/>
  <c r="J68" i="9" s="1"/>
  <c r="P69" i="9" a="1"/>
  <c r="P69" i="9" s="1"/>
  <c r="T71" i="9" a="1"/>
  <c r="T71" i="9" s="1"/>
  <c r="X72" i="9" a="1"/>
  <c r="X72" i="9" s="1"/>
  <c r="Q62" i="9" a="1"/>
  <c r="Q62" i="9" s="1"/>
  <c r="S64" i="9" a="1"/>
  <c r="S64" i="9" s="1"/>
  <c r="M73" i="9" a="1"/>
  <c r="M73" i="9" s="1"/>
  <c r="F67" i="9" a="1"/>
  <c r="F67" i="9" s="1"/>
  <c r="J69" i="9" a="1"/>
  <c r="J69" i="9" s="1"/>
  <c r="W61" i="9" a="1"/>
  <c r="W61" i="9" s="1"/>
  <c r="E71" i="9" a="1"/>
  <c r="E71" i="9" s="1"/>
  <c r="V62" i="9" a="1"/>
  <c r="V62" i="9" s="1"/>
  <c r="O66" i="9" a="1"/>
  <c r="O66" i="9" s="1"/>
  <c r="L69" i="9" a="1"/>
  <c r="L69" i="9" s="1"/>
  <c r="H72" i="9" a="1"/>
  <c r="H72" i="9" s="1"/>
  <c r="K60" i="9" a="1"/>
  <c r="K60" i="9" s="1"/>
  <c r="J63" i="9" a="1"/>
  <c r="J63" i="9" s="1"/>
  <c r="P64" i="9" a="1"/>
  <c r="P64" i="9" s="1"/>
  <c r="E73" i="9" a="1"/>
  <c r="E73" i="9" s="1"/>
  <c r="G68" i="9" a="1"/>
  <c r="G68" i="9" s="1"/>
  <c r="X67" i="9" a="1"/>
  <c r="X67" i="9" s="1"/>
  <c r="S60" i="9" a="1"/>
  <c r="S60" i="9" s="1"/>
  <c r="V65" i="9" a="1"/>
  <c r="V65" i="9" s="1"/>
  <c r="F69" i="9" a="1"/>
  <c r="F69" i="9" s="1"/>
  <c r="Q68" i="9" a="1"/>
  <c r="Q68" i="9" s="1"/>
  <c r="Y70" i="9" a="1"/>
  <c r="Y70" i="9" s="1"/>
  <c r="J60" i="9" a="1"/>
  <c r="J60" i="9" s="1"/>
  <c r="Y60" i="9" a="1"/>
  <c r="Y60" i="9" s="1"/>
  <c r="N65" i="9" a="1"/>
  <c r="N65" i="9" s="1"/>
  <c r="P67" i="9" a="1"/>
  <c r="P67" i="9" s="1"/>
  <c r="I68" i="9" a="1"/>
  <c r="I68" i="9" s="1"/>
  <c r="U70" i="9" a="1"/>
  <c r="U70" i="9" s="1"/>
  <c r="S63" i="9" a="1"/>
  <c r="S63" i="9" s="1"/>
  <c r="I60" i="9" a="1"/>
  <c r="I60" i="9" s="1"/>
  <c r="J65" i="9" a="1"/>
  <c r="J65" i="9" s="1"/>
  <c r="Y73" i="9" a="1"/>
  <c r="Y73" i="9" s="1"/>
  <c r="E68" i="9" a="1"/>
  <c r="E68" i="9" s="1"/>
  <c r="L82" i="1"/>
  <c r="D29" i="2"/>
  <c r="M25" i="2"/>
  <c r="K83" i="12" l="1"/>
  <c r="K88" i="12"/>
  <c r="K110" i="12" s="1"/>
  <c r="K107" i="12" s="1"/>
  <c r="L73" i="12"/>
  <c r="K74" i="12"/>
  <c r="K75" i="12"/>
  <c r="L75" i="12" s="1"/>
  <c r="Q76" i="12"/>
  <c r="K85" i="12"/>
  <c r="K77" i="12"/>
  <c r="K98" i="12" s="1"/>
  <c r="K99" i="12" s="1"/>
  <c r="K100" i="12" s="1"/>
  <c r="K101" i="12" s="1"/>
  <c r="K109" i="12" s="1"/>
  <c r="J76" i="12"/>
  <c r="J118" i="12"/>
  <c r="J98" i="12"/>
  <c r="J78" i="12"/>
  <c r="N64" i="11"/>
  <c r="N123" i="11" s="1"/>
  <c r="N66" i="11"/>
  <c r="N69" i="11" s="1"/>
  <c r="N68" i="11"/>
  <c r="M67" i="11"/>
  <c r="M80" i="11" s="1"/>
  <c r="M108" i="11" s="1"/>
  <c r="M87" i="11"/>
  <c r="T67" i="11"/>
  <c r="T70" i="11"/>
  <c r="T87" i="11"/>
  <c r="S67" i="11"/>
  <c r="S70" i="11"/>
  <c r="S87" i="11"/>
  <c r="U67" i="11"/>
  <c r="U70" i="11"/>
  <c r="U87" i="11"/>
  <c r="R80" i="11"/>
  <c r="R108" i="11" s="1"/>
  <c r="R72" i="11"/>
  <c r="L67" i="11"/>
  <c r="L70" i="11"/>
  <c r="L87" i="11"/>
  <c r="Q68" i="11"/>
  <c r="Q65" i="11"/>
  <c r="K67" i="11"/>
  <c r="K70" i="11"/>
  <c r="K87" i="11"/>
  <c r="N67" i="11"/>
  <c r="N70" i="11"/>
  <c r="N87" i="11"/>
  <c r="M72" i="11"/>
  <c r="P67" i="11"/>
  <c r="P70" i="11"/>
  <c r="P87" i="11"/>
  <c r="O67" i="11"/>
  <c r="O70" i="11"/>
  <c r="O87" i="11"/>
  <c r="Q66" i="11"/>
  <c r="Q69" i="11" s="1"/>
  <c r="K50" i="1"/>
  <c r="K51" i="1" s="1"/>
  <c r="J50" i="1"/>
  <c r="J51" i="1" s="1"/>
  <c r="E27" i="1"/>
  <c r="D19" i="1"/>
  <c r="C19" i="1"/>
  <c r="K116" i="12" l="1"/>
  <c r="K89" i="12"/>
  <c r="K122" i="12"/>
  <c r="K76" i="12"/>
  <c r="L76" i="12" s="1"/>
  <c r="K118" i="12"/>
  <c r="K113" i="12"/>
  <c r="K115" i="12"/>
  <c r="K106" i="12"/>
  <c r="L77" i="12"/>
  <c r="L74" i="12"/>
  <c r="K87" i="12"/>
  <c r="L98" i="12"/>
  <c r="P75" i="12"/>
  <c r="L78" i="12"/>
  <c r="J79" i="12"/>
  <c r="J80" i="12" s="1"/>
  <c r="Q80" i="12"/>
  <c r="R79" i="11"/>
  <c r="R106" i="11"/>
  <c r="AE70" i="11"/>
  <c r="M79" i="11"/>
  <c r="M106" i="11"/>
  <c r="T72" i="11"/>
  <c r="T80" i="11"/>
  <c r="T108" i="11" s="1"/>
  <c r="U72" i="11"/>
  <c r="U80" i="11"/>
  <c r="U108" i="11" s="1"/>
  <c r="P72" i="11"/>
  <c r="P80" i="11"/>
  <c r="P108" i="11" s="1"/>
  <c r="N72" i="11"/>
  <c r="N80" i="11"/>
  <c r="N108" i="11" s="1"/>
  <c r="L80" i="11"/>
  <c r="L108" i="11" s="1"/>
  <c r="L72" i="11"/>
  <c r="K72" i="11"/>
  <c r="K80" i="11"/>
  <c r="K108" i="11" s="1"/>
  <c r="R73" i="11"/>
  <c r="R85" i="11"/>
  <c r="M73" i="11"/>
  <c r="M85" i="11"/>
  <c r="Q67" i="11"/>
  <c r="Q70" i="11"/>
  <c r="Q87" i="11"/>
  <c r="O80" i="11"/>
  <c r="O108" i="11" s="1"/>
  <c r="O72" i="11"/>
  <c r="S80" i="11"/>
  <c r="S108" i="11" s="1"/>
  <c r="S72" i="11"/>
  <c r="L51" i="1"/>
  <c r="K52" i="1"/>
  <c r="K54" i="1"/>
  <c r="J54" i="1"/>
  <c r="J52" i="1"/>
  <c r="K90" i="12" l="1"/>
  <c r="K91" i="12" s="1"/>
  <c r="K112" i="12"/>
  <c r="J84" i="12"/>
  <c r="J81" i="12"/>
  <c r="J86" i="12"/>
  <c r="Q67" i="12"/>
  <c r="L79" i="12"/>
  <c r="P86" i="12"/>
  <c r="R86" i="12" s="1"/>
  <c r="R75" i="12"/>
  <c r="K149" i="12"/>
  <c r="Q77" i="12"/>
  <c r="M95" i="11"/>
  <c r="M93" i="11"/>
  <c r="M94" i="11"/>
  <c r="R113" i="11"/>
  <c r="R93" i="11"/>
  <c r="R94" i="11"/>
  <c r="R95" i="11"/>
  <c r="M113" i="11"/>
  <c r="S79" i="11"/>
  <c r="S106" i="11"/>
  <c r="P79" i="11"/>
  <c r="P106" i="11"/>
  <c r="O79" i="11"/>
  <c r="O106" i="11"/>
  <c r="K79" i="11"/>
  <c r="K106" i="11"/>
  <c r="U79" i="11"/>
  <c r="U106" i="11"/>
  <c r="T79" i="11"/>
  <c r="T106" i="11"/>
  <c r="L79" i="11"/>
  <c r="L106" i="11"/>
  <c r="N79" i="11"/>
  <c r="N106" i="11"/>
  <c r="T73" i="11"/>
  <c r="T85" i="11"/>
  <c r="O73" i="11"/>
  <c r="O85" i="11"/>
  <c r="N73" i="11"/>
  <c r="N85" i="11"/>
  <c r="M81" i="11"/>
  <c r="M74" i="11"/>
  <c r="M75" i="11" s="1"/>
  <c r="K73" i="11"/>
  <c r="K85" i="11"/>
  <c r="P73" i="11"/>
  <c r="P85" i="11"/>
  <c r="R81" i="11"/>
  <c r="R83" i="11" s="1"/>
  <c r="R104" i="11" s="1"/>
  <c r="R74" i="11"/>
  <c r="R75" i="11" s="1"/>
  <c r="L73" i="11"/>
  <c r="L85" i="11"/>
  <c r="S73" i="11"/>
  <c r="S85" i="11"/>
  <c r="Q80" i="11"/>
  <c r="Q108" i="11" s="1"/>
  <c r="Q72" i="11"/>
  <c r="U73" i="11"/>
  <c r="U85" i="11"/>
  <c r="L52" i="1"/>
  <c r="L54" i="1"/>
  <c r="J58" i="1"/>
  <c r="K55" i="1"/>
  <c r="J55" i="1"/>
  <c r="J53" i="1"/>
  <c r="K53" i="1"/>
  <c r="K58" i="1" s="1"/>
  <c r="K130" i="12" l="1"/>
  <c r="K142" i="12"/>
  <c r="Q56" i="12" s="1"/>
  <c r="K94" i="12"/>
  <c r="K97" i="12" s="1"/>
  <c r="K102" i="12" s="1"/>
  <c r="K103" i="12" s="1"/>
  <c r="K121" i="12"/>
  <c r="K123" i="12" s="1"/>
  <c r="K93" i="12"/>
  <c r="K111" i="12" s="1"/>
  <c r="K108" i="12" s="1"/>
  <c r="K114" i="12" s="1"/>
  <c r="K124" i="12"/>
  <c r="K92" i="12"/>
  <c r="K96" i="12" s="1"/>
  <c r="K95" i="12"/>
  <c r="J88" i="12"/>
  <c r="J82" i="12"/>
  <c r="J85" i="12" s="1"/>
  <c r="L84" i="12"/>
  <c r="L80" i="12"/>
  <c r="K120" i="12"/>
  <c r="Q83" i="12"/>
  <c r="Q63" i="12"/>
  <c r="N95" i="11"/>
  <c r="N93" i="11"/>
  <c r="N94" i="11"/>
  <c r="K93" i="11"/>
  <c r="K94" i="11"/>
  <c r="K95" i="11"/>
  <c r="L93" i="11"/>
  <c r="L95" i="11"/>
  <c r="L94" i="11"/>
  <c r="O113" i="11"/>
  <c r="O94" i="11"/>
  <c r="O95" i="11"/>
  <c r="O93" i="11"/>
  <c r="T95" i="11"/>
  <c r="T93" i="11"/>
  <c r="T94" i="11"/>
  <c r="P113" i="11"/>
  <c r="P94" i="11"/>
  <c r="P95" i="11"/>
  <c r="P93" i="11"/>
  <c r="U113" i="11"/>
  <c r="U95" i="11"/>
  <c r="U93" i="11"/>
  <c r="U94" i="11"/>
  <c r="S113" i="11"/>
  <c r="S93" i="11"/>
  <c r="S94" i="11"/>
  <c r="S95" i="11"/>
  <c r="N113" i="11"/>
  <c r="K113" i="11"/>
  <c r="L113" i="11"/>
  <c r="T113" i="11"/>
  <c r="Q79" i="11"/>
  <c r="Q106" i="11"/>
  <c r="T81" i="11"/>
  <c r="T74" i="11"/>
  <c r="T75" i="11" s="1"/>
  <c r="M83" i="11"/>
  <c r="M104" i="11" s="1"/>
  <c r="M76" i="11"/>
  <c r="M77" i="11" s="1"/>
  <c r="M84" i="11"/>
  <c r="M78" i="11"/>
  <c r="M128" i="11" s="1"/>
  <c r="S81" i="11"/>
  <c r="S74" i="11"/>
  <c r="S75" i="11" s="1"/>
  <c r="U81" i="11"/>
  <c r="U74" i="11"/>
  <c r="U75" i="11" s="1"/>
  <c r="K81" i="11"/>
  <c r="K74" i="11"/>
  <c r="K75" i="11" s="1"/>
  <c r="P81" i="11"/>
  <c r="P74" i="11"/>
  <c r="P75" i="11" s="1"/>
  <c r="N81" i="11"/>
  <c r="N74" i="11"/>
  <c r="N75" i="11" s="1"/>
  <c r="R76" i="11"/>
  <c r="R77" i="11" s="1"/>
  <c r="R84" i="11"/>
  <c r="R78" i="11"/>
  <c r="R128" i="11" s="1"/>
  <c r="Q73" i="11"/>
  <c r="Q85" i="11"/>
  <c r="L81" i="11"/>
  <c r="L74" i="11"/>
  <c r="L75" i="11" s="1"/>
  <c r="O81" i="11"/>
  <c r="O74" i="11"/>
  <c r="O75" i="11" s="1"/>
  <c r="J60" i="11"/>
  <c r="L53" i="1"/>
  <c r="L55" i="1"/>
  <c r="K59" i="1"/>
  <c r="Q74" i="1" s="1"/>
  <c r="L58" i="1"/>
  <c r="K131" i="12" l="1"/>
  <c r="K144" i="12"/>
  <c r="Q58" i="12" s="1"/>
  <c r="K117" i="12"/>
  <c r="L124" i="12"/>
  <c r="Q68" i="12"/>
  <c r="R68" i="12" s="1"/>
  <c r="L88" i="12"/>
  <c r="J110" i="12"/>
  <c r="L110" i="12" s="1"/>
  <c r="L86" i="12"/>
  <c r="L82" i="12"/>
  <c r="J83" i="12"/>
  <c r="J99" i="12" s="1"/>
  <c r="L81" i="12"/>
  <c r="P76" i="12"/>
  <c r="R76" i="12" s="1"/>
  <c r="K140" i="12"/>
  <c r="Q94" i="11"/>
  <c r="Q95" i="11"/>
  <c r="Q93" i="11"/>
  <c r="M86" i="11"/>
  <c r="M89" i="11" s="1"/>
  <c r="M109" i="11"/>
  <c r="R86" i="11"/>
  <c r="R89" i="11" s="1"/>
  <c r="R109" i="11"/>
  <c r="Q113" i="11"/>
  <c r="P83" i="11"/>
  <c r="P104" i="11" s="1"/>
  <c r="S83" i="11"/>
  <c r="S104" i="11" s="1"/>
  <c r="K83" i="11"/>
  <c r="K104" i="11" s="1"/>
  <c r="T76" i="11"/>
  <c r="T77" i="11" s="1"/>
  <c r="T84" i="11"/>
  <c r="T78" i="11"/>
  <c r="T128" i="11" s="1"/>
  <c r="T83" i="11"/>
  <c r="T104" i="11" s="1"/>
  <c r="O83" i="11"/>
  <c r="O104" i="11" s="1"/>
  <c r="N83" i="11"/>
  <c r="N104" i="11" s="1"/>
  <c r="U83" i="11"/>
  <c r="U104" i="11" s="1"/>
  <c r="L83" i="11"/>
  <c r="L104" i="11" s="1"/>
  <c r="N76" i="11"/>
  <c r="N77" i="11" s="1"/>
  <c r="N84" i="11"/>
  <c r="N78" i="11"/>
  <c r="N128" i="11" s="1"/>
  <c r="S76" i="11"/>
  <c r="S77" i="11" s="1"/>
  <c r="S84" i="11"/>
  <c r="S78" i="11"/>
  <c r="S128" i="11" s="1"/>
  <c r="U76" i="11"/>
  <c r="U77" i="11" s="1"/>
  <c r="U84" i="11"/>
  <c r="U78" i="11"/>
  <c r="U128" i="11" s="1"/>
  <c r="Q81" i="11"/>
  <c r="Q74" i="11"/>
  <c r="Q75" i="11" s="1"/>
  <c r="L76" i="11"/>
  <c r="L77" i="11" s="1"/>
  <c r="L84" i="11"/>
  <c r="L78" i="11"/>
  <c r="L128" i="11" s="1"/>
  <c r="P76" i="11"/>
  <c r="P77" i="11" s="1"/>
  <c r="P84" i="11"/>
  <c r="P78" i="11"/>
  <c r="P128" i="11" s="1"/>
  <c r="O78" i="11"/>
  <c r="O128" i="11" s="1"/>
  <c r="O76" i="11"/>
  <c r="O77" i="11" s="1"/>
  <c r="O84" i="11"/>
  <c r="K76" i="11"/>
  <c r="K77" i="11" s="1"/>
  <c r="K84" i="11"/>
  <c r="K78" i="11"/>
  <c r="K128" i="11" s="1"/>
  <c r="AE76" i="11"/>
  <c r="AE77" i="11"/>
  <c r="AE88" i="11" s="1"/>
  <c r="AF76" i="11"/>
  <c r="K60" i="1"/>
  <c r="J59" i="1"/>
  <c r="J71" i="1" s="1"/>
  <c r="K71" i="1" s="1"/>
  <c r="L71" i="1" s="1"/>
  <c r="J60" i="1"/>
  <c r="J62" i="1" s="1"/>
  <c r="P75" i="1" s="1"/>
  <c r="P86" i="1" s="1"/>
  <c r="J107" i="12" l="1"/>
  <c r="J116" i="12"/>
  <c r="L116" i="12" s="1"/>
  <c r="J100" i="12"/>
  <c r="J122" i="12"/>
  <c r="J87" i="12"/>
  <c r="L85" i="12"/>
  <c r="J89" i="12"/>
  <c r="L83" i="12"/>
  <c r="Q54" i="12"/>
  <c r="R90" i="11"/>
  <c r="M90" i="11"/>
  <c r="O86" i="11"/>
  <c r="O90" i="11" s="1"/>
  <c r="O109" i="11"/>
  <c r="S86" i="11"/>
  <c r="S89" i="11" s="1"/>
  <c r="S109" i="11"/>
  <c r="N86" i="11"/>
  <c r="N89" i="11" s="1"/>
  <c r="N109" i="11"/>
  <c r="T86" i="11"/>
  <c r="T89" i="11" s="1"/>
  <c r="T109" i="11"/>
  <c r="L86" i="11"/>
  <c r="L89" i="11" s="1"/>
  <c r="L109" i="11"/>
  <c r="K86" i="11"/>
  <c r="K89" i="11" s="1"/>
  <c r="K109" i="11"/>
  <c r="P86" i="11"/>
  <c r="P89" i="11" s="1"/>
  <c r="P109" i="11"/>
  <c r="U86" i="11"/>
  <c r="U89" i="11" s="1"/>
  <c r="U109" i="11"/>
  <c r="Q83" i="11"/>
  <c r="Q104" i="11" s="1"/>
  <c r="M88" i="11"/>
  <c r="M96" i="11"/>
  <c r="R88" i="11"/>
  <c r="R96" i="11"/>
  <c r="Q78" i="11"/>
  <c r="Q128" i="11" s="1"/>
  <c r="Q76" i="11"/>
  <c r="Q77" i="11" s="1"/>
  <c r="Q84" i="11"/>
  <c r="AG76" i="11"/>
  <c r="J62" i="11"/>
  <c r="J63" i="11" s="1"/>
  <c r="AF77" i="11"/>
  <c r="L59" i="1"/>
  <c r="P74" i="1"/>
  <c r="K62" i="1"/>
  <c r="L60" i="1"/>
  <c r="K61" i="1"/>
  <c r="J61" i="1"/>
  <c r="J63" i="1"/>
  <c r="J113" i="12" l="1"/>
  <c r="L113" i="12" s="1"/>
  <c r="L107" i="12"/>
  <c r="L87" i="12"/>
  <c r="J90" i="12"/>
  <c r="J91" i="12" s="1"/>
  <c r="L89" i="12"/>
  <c r="L99" i="12"/>
  <c r="P80" i="12"/>
  <c r="R80" i="12" s="1"/>
  <c r="J64" i="11"/>
  <c r="J65" i="11"/>
  <c r="O91" i="11"/>
  <c r="O121" i="11" s="1"/>
  <c r="M91" i="11"/>
  <c r="M121" i="11" s="1"/>
  <c r="R91" i="11"/>
  <c r="R121" i="11" s="1"/>
  <c r="M103" i="11"/>
  <c r="O89" i="11"/>
  <c r="O96" i="11" s="1"/>
  <c r="R103" i="11"/>
  <c r="M110" i="11"/>
  <c r="R110" i="11"/>
  <c r="J68" i="11"/>
  <c r="O110" i="11"/>
  <c r="S90" i="11"/>
  <c r="K90" i="11"/>
  <c r="T90" i="11"/>
  <c r="U90" i="11"/>
  <c r="P90" i="11"/>
  <c r="L90" i="11"/>
  <c r="Q86" i="11"/>
  <c r="Q89" i="11" s="1"/>
  <c r="Q109" i="11"/>
  <c r="N90" i="11"/>
  <c r="O103" i="11"/>
  <c r="R98" i="11"/>
  <c r="R97" i="11"/>
  <c r="M98" i="11"/>
  <c r="M97" i="11"/>
  <c r="N88" i="11"/>
  <c r="N96" i="11"/>
  <c r="P88" i="11"/>
  <c r="P96" i="11"/>
  <c r="S88" i="11"/>
  <c r="S96" i="11"/>
  <c r="T88" i="11"/>
  <c r="T96" i="11"/>
  <c r="U88" i="11"/>
  <c r="U96" i="11"/>
  <c r="K88" i="11"/>
  <c r="K96" i="11"/>
  <c r="L88" i="11"/>
  <c r="L96" i="11"/>
  <c r="AG77" i="11"/>
  <c r="AF88" i="11"/>
  <c r="AG88" i="11" s="1"/>
  <c r="L62" i="1"/>
  <c r="Q75" i="1"/>
  <c r="Q86" i="1" s="1"/>
  <c r="R86" i="1" s="1"/>
  <c r="R74" i="1"/>
  <c r="K63" i="1"/>
  <c r="L61" i="1"/>
  <c r="J64" i="1"/>
  <c r="J121" i="12" l="1"/>
  <c r="J95" i="12"/>
  <c r="L95" i="12" s="1"/>
  <c r="J93" i="12"/>
  <c r="L90" i="12"/>
  <c r="J92" i="12"/>
  <c r="J94" i="12"/>
  <c r="P67" i="12"/>
  <c r="R67" i="12" s="1"/>
  <c r="L122" i="12"/>
  <c r="P77" i="12"/>
  <c r="L100" i="12"/>
  <c r="J101" i="12"/>
  <c r="N91" i="11"/>
  <c r="N121" i="11" s="1"/>
  <c r="S91" i="11"/>
  <c r="S121" i="11" s="1"/>
  <c r="J70" i="11"/>
  <c r="L91" i="11"/>
  <c r="L121" i="11" s="1"/>
  <c r="K91" i="11"/>
  <c r="K121" i="11" s="1"/>
  <c r="P91" i="11"/>
  <c r="P121" i="11" s="1"/>
  <c r="U91" i="11"/>
  <c r="U121" i="11" s="1"/>
  <c r="T91" i="11"/>
  <c r="T121" i="11" s="1"/>
  <c r="O88" i="11"/>
  <c r="S103" i="11"/>
  <c r="K103" i="11"/>
  <c r="J66" i="11"/>
  <c r="J69" i="11" s="1"/>
  <c r="J123" i="11"/>
  <c r="Q90" i="11"/>
  <c r="L110" i="11"/>
  <c r="P110" i="11"/>
  <c r="U110" i="11"/>
  <c r="T110" i="11"/>
  <c r="K110" i="11"/>
  <c r="N110" i="11"/>
  <c r="S110" i="11"/>
  <c r="T103" i="11"/>
  <c r="P103" i="11"/>
  <c r="U103" i="11"/>
  <c r="N103" i="11"/>
  <c r="R99" i="11"/>
  <c r="R100" i="11" s="1"/>
  <c r="L103" i="11"/>
  <c r="M99" i="11"/>
  <c r="N97" i="11"/>
  <c r="N98" i="11"/>
  <c r="T98" i="11"/>
  <c r="T97" i="11"/>
  <c r="O98" i="11"/>
  <c r="O97" i="11"/>
  <c r="L98" i="11"/>
  <c r="L97" i="11"/>
  <c r="K98" i="11"/>
  <c r="K97" i="11"/>
  <c r="S98" i="11"/>
  <c r="S97" i="11"/>
  <c r="Q88" i="11"/>
  <c r="Q96" i="11"/>
  <c r="U98" i="11"/>
  <c r="U97" i="11"/>
  <c r="P97" i="11"/>
  <c r="P98" i="11"/>
  <c r="R75" i="1"/>
  <c r="L63" i="1"/>
  <c r="K64" i="1"/>
  <c r="K65" i="1" s="1"/>
  <c r="J66" i="1"/>
  <c r="J69" i="1" s="1"/>
  <c r="J68" i="1"/>
  <c r="J65" i="1"/>
  <c r="J70" i="1" s="1"/>
  <c r="K70" i="1" s="1"/>
  <c r="L70" i="1" s="1"/>
  <c r="J109" i="12" l="1"/>
  <c r="L109" i="12" s="1"/>
  <c r="L91" i="12"/>
  <c r="L93" i="12"/>
  <c r="J111" i="12"/>
  <c r="L111" i="12" s="1"/>
  <c r="L94" i="12"/>
  <c r="J97" i="12"/>
  <c r="J102" i="12" s="1"/>
  <c r="L92" i="12"/>
  <c r="J96" i="12"/>
  <c r="L96" i="12" s="1"/>
  <c r="L101" i="12"/>
  <c r="J120" i="12"/>
  <c r="L118" i="12"/>
  <c r="P83" i="12"/>
  <c r="R83" i="12" s="1"/>
  <c r="R77" i="12"/>
  <c r="Q91" i="11"/>
  <c r="Q121" i="11" s="1"/>
  <c r="S99" i="11"/>
  <c r="S100" i="11" s="1"/>
  <c r="Q110" i="11"/>
  <c r="T99" i="11"/>
  <c r="T100" i="11" s="1"/>
  <c r="J67" i="11"/>
  <c r="J72" i="11" s="1"/>
  <c r="Q103" i="11"/>
  <c r="AF78" i="11"/>
  <c r="J87" i="11"/>
  <c r="AF70" i="11" s="1"/>
  <c r="AG70" i="11" s="1"/>
  <c r="R112" i="11"/>
  <c r="R111" i="11"/>
  <c r="P99" i="11"/>
  <c r="P111" i="11" s="1"/>
  <c r="K99" i="11"/>
  <c r="K100" i="11" s="1"/>
  <c r="N99" i="11"/>
  <c r="N100" i="11" s="1"/>
  <c r="O99" i="11"/>
  <c r="O100" i="11" s="1"/>
  <c r="M100" i="11"/>
  <c r="M112" i="11"/>
  <c r="M111" i="11"/>
  <c r="U99" i="11"/>
  <c r="L99" i="11"/>
  <c r="Q98" i="11"/>
  <c r="Q97" i="11"/>
  <c r="AE78" i="11"/>
  <c r="J67" i="1"/>
  <c r="J80" i="1" s="1"/>
  <c r="P76" i="1"/>
  <c r="K66" i="1"/>
  <c r="K69" i="1" s="1"/>
  <c r="L69" i="1" s="1"/>
  <c r="K68" i="1"/>
  <c r="L68" i="1" s="1"/>
  <c r="L64" i="1"/>
  <c r="J115" i="12" l="1"/>
  <c r="L115" i="12" s="1"/>
  <c r="J106" i="12"/>
  <c r="L106" i="12" s="1"/>
  <c r="J108" i="12"/>
  <c r="J117" i="12"/>
  <c r="L117" i="12" s="1"/>
  <c r="J103" i="12"/>
  <c r="J104" i="12" s="1"/>
  <c r="L97" i="12"/>
  <c r="J140" i="12"/>
  <c r="L120" i="12"/>
  <c r="J73" i="11"/>
  <c r="S111" i="11"/>
  <c r="S112" i="11"/>
  <c r="T112" i="11"/>
  <c r="R116" i="11"/>
  <c r="T111" i="11"/>
  <c r="T105" i="11" s="1"/>
  <c r="T115" i="11" s="1"/>
  <c r="R105" i="11"/>
  <c r="R115" i="11" s="1"/>
  <c r="AG78" i="11"/>
  <c r="N112" i="11"/>
  <c r="N111" i="11"/>
  <c r="N105" i="11" s="1"/>
  <c r="N115" i="11" s="1"/>
  <c r="K112" i="11"/>
  <c r="K111" i="11"/>
  <c r="P100" i="11"/>
  <c r="P112" i="11"/>
  <c r="P116" i="11" s="1"/>
  <c r="O112" i="11"/>
  <c r="O111" i="11"/>
  <c r="Q99" i="11"/>
  <c r="Q100" i="11" s="1"/>
  <c r="U100" i="11"/>
  <c r="U111" i="11"/>
  <c r="U112" i="11"/>
  <c r="M105" i="11"/>
  <c r="M115" i="11" s="1"/>
  <c r="M116" i="11"/>
  <c r="P105" i="11"/>
  <c r="P115" i="11" s="1"/>
  <c r="L100" i="11"/>
  <c r="L111" i="11"/>
  <c r="L112" i="11"/>
  <c r="P80" i="1"/>
  <c r="J79" i="1"/>
  <c r="J93" i="1" s="1"/>
  <c r="J72" i="1"/>
  <c r="J73" i="1" s="1"/>
  <c r="P77" i="1" s="1"/>
  <c r="P83" i="1" s="1"/>
  <c r="K67" i="1"/>
  <c r="K80" i="1" s="1"/>
  <c r="Q76" i="1"/>
  <c r="L65" i="1"/>
  <c r="K87" i="1"/>
  <c r="L87" i="1" s="1"/>
  <c r="L66" i="1"/>
  <c r="J107" i="1"/>
  <c r="P58" i="1" s="1"/>
  <c r="J105" i="1"/>
  <c r="P56" i="1" s="1"/>
  <c r="J149" i="12" l="1"/>
  <c r="L149" i="12" s="1"/>
  <c r="R63" i="12" s="1"/>
  <c r="J112" i="12"/>
  <c r="L112" i="12" s="1"/>
  <c r="J114" i="12"/>
  <c r="L114" i="12" s="1"/>
  <c r="L108" i="12"/>
  <c r="J105" i="12"/>
  <c r="J145" i="12" s="1"/>
  <c r="L102" i="12"/>
  <c r="K105" i="12"/>
  <c r="Q69" i="12" s="1"/>
  <c r="Q85" i="12" s="1"/>
  <c r="L121" i="12"/>
  <c r="L103" i="12"/>
  <c r="P54" i="12"/>
  <c r="L140" i="12"/>
  <c r="R54" i="12" s="1"/>
  <c r="P78" i="12"/>
  <c r="J123" i="12"/>
  <c r="P66" i="12"/>
  <c r="S116" i="11"/>
  <c r="S105" i="11"/>
  <c r="S115" i="11" s="1"/>
  <c r="J81" i="11"/>
  <c r="J85" i="11"/>
  <c r="AF69" i="11" s="1"/>
  <c r="N116" i="11"/>
  <c r="N117" i="11" s="1"/>
  <c r="T116" i="11"/>
  <c r="T117" i="11" s="1"/>
  <c r="R117" i="11"/>
  <c r="K116" i="11"/>
  <c r="K105" i="11"/>
  <c r="K115" i="11" s="1"/>
  <c r="O116" i="11"/>
  <c r="O105" i="11"/>
  <c r="O115" i="11" s="1"/>
  <c r="Q111" i="11"/>
  <c r="Q105" i="11" s="1"/>
  <c r="Q115" i="11" s="1"/>
  <c r="Q112" i="11"/>
  <c r="M117" i="11"/>
  <c r="U116" i="11"/>
  <c r="U105" i="11"/>
  <c r="U115" i="11" s="1"/>
  <c r="L105" i="11"/>
  <c r="L116" i="11"/>
  <c r="P117" i="11"/>
  <c r="AE58" i="11"/>
  <c r="AE82" i="11"/>
  <c r="AF79" i="11"/>
  <c r="J74" i="11"/>
  <c r="J75" i="11" s="1"/>
  <c r="AE69" i="11"/>
  <c r="Q80" i="1"/>
  <c r="K79" i="1"/>
  <c r="K107" i="1"/>
  <c r="Q58" i="1" s="1"/>
  <c r="K105" i="1"/>
  <c r="Q56" i="1" s="1"/>
  <c r="L80" i="1"/>
  <c r="K72" i="1"/>
  <c r="K73" i="1" s="1"/>
  <c r="Q77" i="1" s="1"/>
  <c r="J85" i="1"/>
  <c r="P67" i="1" s="1"/>
  <c r="L67" i="1"/>
  <c r="J74" i="1"/>
  <c r="J75" i="1" s="1"/>
  <c r="J84" i="1" s="1"/>
  <c r="J81" i="1"/>
  <c r="J83" i="1" s="1"/>
  <c r="J103" i="1" s="1"/>
  <c r="P54" i="1" s="1"/>
  <c r="R76" i="1"/>
  <c r="Q68" i="1"/>
  <c r="J112" i="1"/>
  <c r="P63" i="1" s="1"/>
  <c r="J94" i="1"/>
  <c r="P63" i="12" l="1"/>
  <c r="J142" i="12"/>
  <c r="P56" i="12" s="1"/>
  <c r="J130" i="12"/>
  <c r="L130" i="12" s="1"/>
  <c r="J131" i="12"/>
  <c r="L131" i="12" s="1"/>
  <c r="J144" i="12"/>
  <c r="P58" i="12" s="1"/>
  <c r="L142" i="12"/>
  <c r="R56" i="12" s="1"/>
  <c r="L105" i="12"/>
  <c r="P69" i="12"/>
  <c r="P85" i="12" s="1"/>
  <c r="R85" i="12" s="1"/>
  <c r="K104" i="12"/>
  <c r="L104" i="12" s="1"/>
  <c r="Q78" i="12"/>
  <c r="L123" i="12"/>
  <c r="Q66" i="12"/>
  <c r="R66" i="12" s="1"/>
  <c r="P59" i="12"/>
  <c r="K145" i="12"/>
  <c r="J127" i="12"/>
  <c r="J126" i="12"/>
  <c r="P84" i="12"/>
  <c r="P79" i="12"/>
  <c r="K94" i="1"/>
  <c r="K93" i="1"/>
  <c r="S117" i="11"/>
  <c r="J76" i="11"/>
  <c r="J79" i="11" s="1"/>
  <c r="J95" i="11" s="1"/>
  <c r="K117" i="11"/>
  <c r="U117" i="11"/>
  <c r="O117" i="11"/>
  <c r="Q116" i="11"/>
  <c r="Q117" i="11" s="1"/>
  <c r="AE57" i="11"/>
  <c r="L115" i="11"/>
  <c r="L117" i="11" s="1"/>
  <c r="AG58" i="11"/>
  <c r="AF85" i="11"/>
  <c r="AG69" i="11"/>
  <c r="AE79" i="11"/>
  <c r="AG79" i="11" s="1"/>
  <c r="AE65" i="11"/>
  <c r="AE60" i="11"/>
  <c r="J83" i="11"/>
  <c r="J104" i="11" s="1"/>
  <c r="AG60" i="11"/>
  <c r="R68" i="1"/>
  <c r="R80" i="1"/>
  <c r="R77" i="1"/>
  <c r="L94" i="1"/>
  <c r="L79" i="1"/>
  <c r="K112" i="1"/>
  <c r="Q63" i="1" s="1"/>
  <c r="L93" i="1"/>
  <c r="L107" i="1"/>
  <c r="R58" i="1" s="1"/>
  <c r="Q83" i="1"/>
  <c r="K74" i="1"/>
  <c r="L74" i="1" s="1"/>
  <c r="L105" i="1"/>
  <c r="R56" i="1" s="1"/>
  <c r="K85" i="1"/>
  <c r="Q67" i="1" s="1"/>
  <c r="L73" i="1"/>
  <c r="L72" i="1"/>
  <c r="K81" i="1"/>
  <c r="K83" i="1" s="1"/>
  <c r="J76" i="1"/>
  <c r="P66" i="1"/>
  <c r="J86" i="1"/>
  <c r="J89" i="1" s="1"/>
  <c r="J95" i="1" s="1"/>
  <c r="J96" i="1" s="1"/>
  <c r="J98" i="1" s="1"/>
  <c r="J110" i="1" s="1"/>
  <c r="P61" i="1" s="1"/>
  <c r="J78" i="1"/>
  <c r="P69" i="1" s="1"/>
  <c r="P85" i="1" s="1"/>
  <c r="L144" i="12" l="1"/>
  <c r="R58" i="12" s="1"/>
  <c r="R69" i="12"/>
  <c r="K126" i="12"/>
  <c r="L126" i="12" s="1"/>
  <c r="K127" i="12"/>
  <c r="L127" i="12" s="1"/>
  <c r="Q84" i="12"/>
  <c r="R84" i="12" s="1"/>
  <c r="Q79" i="12"/>
  <c r="R79" i="12" s="1"/>
  <c r="R78" i="12"/>
  <c r="Q59" i="12"/>
  <c r="L145" i="12"/>
  <c r="R59" i="12" s="1"/>
  <c r="J132" i="12"/>
  <c r="J128" i="12"/>
  <c r="P70" i="12"/>
  <c r="J146" i="12"/>
  <c r="J139" i="12"/>
  <c r="J94" i="11"/>
  <c r="J122" i="11"/>
  <c r="J93" i="11"/>
  <c r="J80" i="11"/>
  <c r="J113" i="11"/>
  <c r="AF65" i="11" s="1"/>
  <c r="J108" i="1"/>
  <c r="AE56" i="11"/>
  <c r="J84" i="11"/>
  <c r="J78" i="11"/>
  <c r="J128" i="11" s="1"/>
  <c r="AE85" i="11"/>
  <c r="AG85" i="11" s="1"/>
  <c r="AG65" i="11"/>
  <c r="R83" i="1"/>
  <c r="R67" i="1"/>
  <c r="L112" i="1"/>
  <c r="R63" i="1" s="1"/>
  <c r="K75" i="1"/>
  <c r="K84" i="1" s="1"/>
  <c r="L81" i="1"/>
  <c r="L85" i="1"/>
  <c r="J77" i="1"/>
  <c r="P78" i="1"/>
  <c r="K103" i="1"/>
  <c r="L83" i="1"/>
  <c r="J90" i="1"/>
  <c r="J111" i="1"/>
  <c r="P62" i="1" s="1"/>
  <c r="J99" i="1"/>
  <c r="J97" i="1"/>
  <c r="Q70" i="12" l="1"/>
  <c r="R70" i="12" s="1"/>
  <c r="K139" i="12"/>
  <c r="Q53" i="12" s="1"/>
  <c r="K128" i="12"/>
  <c r="Q71" i="12" s="1"/>
  <c r="K146" i="12"/>
  <c r="Q60" i="12" s="1"/>
  <c r="K125" i="12"/>
  <c r="L125" i="12" s="1"/>
  <c r="K132" i="12"/>
  <c r="J134" i="12"/>
  <c r="J133" i="12"/>
  <c r="J151" i="12"/>
  <c r="P53" i="12"/>
  <c r="P60" i="12"/>
  <c r="P71" i="12"/>
  <c r="P70" i="1"/>
  <c r="J91" i="1"/>
  <c r="P71" i="1" s="1"/>
  <c r="J106" i="11"/>
  <c r="AF58" i="11" s="1"/>
  <c r="AF82" i="11"/>
  <c r="AG82" i="11" s="1"/>
  <c r="J108" i="11"/>
  <c r="AF60" i="11" s="1"/>
  <c r="J109" i="11"/>
  <c r="AF56" i="11"/>
  <c r="AG56" i="11"/>
  <c r="AF71" i="11"/>
  <c r="J86" i="11"/>
  <c r="AF68" i="11"/>
  <c r="AE71" i="11"/>
  <c r="AE87" i="11" s="1"/>
  <c r="AF80" i="11"/>
  <c r="J77" i="11"/>
  <c r="K76" i="1"/>
  <c r="Q78" i="1" s="1"/>
  <c r="L75" i="1"/>
  <c r="K78" i="1"/>
  <c r="Q69" i="1" s="1"/>
  <c r="P84" i="1"/>
  <c r="P79" i="1"/>
  <c r="L103" i="1"/>
  <c r="R54" i="1" s="1"/>
  <c r="Q54" i="1"/>
  <c r="K108" i="1"/>
  <c r="Q59" i="1" s="1"/>
  <c r="P59" i="1"/>
  <c r="J102" i="1"/>
  <c r="J109" i="1"/>
  <c r="L84" i="1"/>
  <c r="Q66" i="1"/>
  <c r="K86" i="1"/>
  <c r="L128" i="12" l="1"/>
  <c r="L139" i="12"/>
  <c r="R53" i="12" s="1"/>
  <c r="R71" i="12"/>
  <c r="K134" i="12"/>
  <c r="L134" i="12" s="1"/>
  <c r="K133" i="12"/>
  <c r="L132" i="12"/>
  <c r="L146" i="12"/>
  <c r="R60" i="12" s="1"/>
  <c r="P49" i="12"/>
  <c r="J135" i="12"/>
  <c r="J90" i="11"/>
  <c r="J89" i="11"/>
  <c r="J96" i="11" s="1"/>
  <c r="J97" i="11" s="1"/>
  <c r="AE68" i="11"/>
  <c r="AG68" i="11" s="1"/>
  <c r="AE80" i="11"/>
  <c r="AG80" i="11" s="1"/>
  <c r="AF87" i="11"/>
  <c r="AG87" i="11" s="1"/>
  <c r="AG71" i="11"/>
  <c r="AF86" i="11"/>
  <c r="AF81" i="11"/>
  <c r="R66" i="1"/>
  <c r="Q84" i="1"/>
  <c r="K77" i="1"/>
  <c r="L77" i="1" s="1"/>
  <c r="Q79" i="1"/>
  <c r="R78" i="1"/>
  <c r="L76" i="1"/>
  <c r="L78" i="1"/>
  <c r="R69" i="1"/>
  <c r="Q85" i="1"/>
  <c r="L108" i="1"/>
  <c r="R59" i="1" s="1"/>
  <c r="J115" i="1"/>
  <c r="P50" i="1" s="1"/>
  <c r="P60" i="1"/>
  <c r="P87" i="1" s="1"/>
  <c r="J114" i="1"/>
  <c r="P49" i="1" s="1"/>
  <c r="P53" i="1"/>
  <c r="K89" i="1"/>
  <c r="K95" i="1" s="1"/>
  <c r="L86" i="1"/>
  <c r="K90" i="1"/>
  <c r="K91" i="1" s="1"/>
  <c r="K135" i="12" l="1"/>
  <c r="K136" i="12" s="1"/>
  <c r="L133" i="12"/>
  <c r="J147" i="12"/>
  <c r="J136" i="12"/>
  <c r="J148" i="12"/>
  <c r="J91" i="11"/>
  <c r="J121" i="11" s="1"/>
  <c r="J110" i="11"/>
  <c r="J103" i="11"/>
  <c r="AF72" i="11"/>
  <c r="AE61" i="11"/>
  <c r="J88" i="11"/>
  <c r="AE86" i="11"/>
  <c r="AG86" i="11" s="1"/>
  <c r="AE81" i="11"/>
  <c r="AG81" i="11" s="1"/>
  <c r="R84" i="1"/>
  <c r="R79" i="1"/>
  <c r="R85" i="1"/>
  <c r="J116" i="1"/>
  <c r="L90" i="1"/>
  <c r="Q70" i="1"/>
  <c r="K102" i="1"/>
  <c r="K109" i="1"/>
  <c r="K88" i="1"/>
  <c r="L88" i="1" s="1"/>
  <c r="L89" i="1"/>
  <c r="L135" i="12" l="1"/>
  <c r="K148" i="12"/>
  <c r="Q62" i="12" s="1"/>
  <c r="K147" i="12"/>
  <c r="L147" i="12" s="1"/>
  <c r="R61" i="12" s="1"/>
  <c r="L136" i="12"/>
  <c r="K152" i="12"/>
  <c r="Q50" i="12" s="1"/>
  <c r="P62" i="12"/>
  <c r="P61" i="12"/>
  <c r="J152" i="12"/>
  <c r="AE63" i="11"/>
  <c r="AF61" i="11"/>
  <c r="AG61" i="11"/>
  <c r="AE73" i="11"/>
  <c r="AG55" i="11"/>
  <c r="AE72" i="11"/>
  <c r="AG72" i="11" s="1"/>
  <c r="AF73" i="11"/>
  <c r="AF55" i="11"/>
  <c r="AF62" i="11"/>
  <c r="J98" i="11"/>
  <c r="R70" i="1"/>
  <c r="P51" i="1"/>
  <c r="L109" i="1"/>
  <c r="R60" i="1" s="1"/>
  <c r="Q60" i="1"/>
  <c r="L102" i="1"/>
  <c r="R53" i="1" s="1"/>
  <c r="Q53" i="1"/>
  <c r="L95" i="1"/>
  <c r="K97" i="1"/>
  <c r="L97" i="1" s="1"/>
  <c r="K96" i="1"/>
  <c r="Q71" i="1"/>
  <c r="L91" i="1"/>
  <c r="K141" i="12" l="1"/>
  <c r="Q55" i="12" s="1"/>
  <c r="Q87" i="12" s="1"/>
  <c r="Q61" i="12"/>
  <c r="L148" i="12"/>
  <c r="R62" i="12" s="1"/>
  <c r="P87" i="12"/>
  <c r="P50" i="12"/>
  <c r="L152" i="12"/>
  <c r="R50" i="12" s="1"/>
  <c r="J153" i="12"/>
  <c r="AE64" i="11"/>
  <c r="J99" i="11"/>
  <c r="AE62" i="11"/>
  <c r="AE52" i="11"/>
  <c r="AG73" i="11"/>
  <c r="AG62" i="11"/>
  <c r="AE55" i="11"/>
  <c r="K98" i="1"/>
  <c r="R71" i="1"/>
  <c r="L96" i="1"/>
  <c r="K151" i="12" l="1"/>
  <c r="Q49" i="12" s="1"/>
  <c r="L141" i="12"/>
  <c r="R55" i="12" s="1"/>
  <c r="R87" i="12"/>
  <c r="P51" i="12"/>
  <c r="AE89" i="11"/>
  <c r="J100" i="11"/>
  <c r="J112" i="11"/>
  <c r="J111" i="11"/>
  <c r="AE53" i="11"/>
  <c r="AE51" i="11"/>
  <c r="L98" i="1"/>
  <c r="K99" i="1"/>
  <c r="L99" i="1" s="1"/>
  <c r="K110" i="1"/>
  <c r="Q61" i="1" s="1"/>
  <c r="K111" i="1"/>
  <c r="K153" i="12" l="1"/>
  <c r="Q51" i="12" s="1"/>
  <c r="L151" i="12"/>
  <c r="R49" i="12" s="1"/>
  <c r="AF63" i="11"/>
  <c r="AG63" i="11"/>
  <c r="J105" i="11"/>
  <c r="J116" i="11"/>
  <c r="AF64" i="11"/>
  <c r="AG64" i="11"/>
  <c r="L111" i="1"/>
  <c r="R62" i="1" s="1"/>
  <c r="Q62" i="1"/>
  <c r="L110" i="1"/>
  <c r="R61" i="1" s="1"/>
  <c r="K104" i="1"/>
  <c r="Q55" i="1" s="1"/>
  <c r="K115" i="1"/>
  <c r="L153" i="12" l="1"/>
  <c r="R51" i="12" s="1"/>
  <c r="AG52" i="11"/>
  <c r="AF52" i="11"/>
  <c r="AG57" i="11"/>
  <c r="AF57" i="11"/>
  <c r="J115" i="11"/>
  <c r="AF89" i="11"/>
  <c r="AG89" i="11" s="1"/>
  <c r="Q87" i="1"/>
  <c r="R87" i="1" s="1"/>
  <c r="L115" i="1"/>
  <c r="R50" i="1" s="1"/>
  <c r="Q50" i="1"/>
  <c r="K114" i="1"/>
  <c r="Q49" i="1" s="1"/>
  <c r="L104" i="1"/>
  <c r="R55" i="1" s="1"/>
  <c r="J117" i="11" l="1"/>
  <c r="J120" i="11" s="1"/>
  <c r="AG51" i="11"/>
  <c r="AF51" i="11"/>
  <c r="L114" i="1"/>
  <c r="R49" i="1" s="1"/>
  <c r="K116" i="1"/>
  <c r="Q51" i="1" s="1"/>
  <c r="AF53" i="11" l="1"/>
  <c r="AG53" i="11"/>
  <c r="L116" i="1"/>
  <c r="R5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C9" authorId="0" shapeId="0" xr:uid="{0235EB0A-1924-4905-8FB4-DF37FAAC61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C11" authorId="0" shapeId="0" xr:uid="{7C6AC104-1F23-4C18-B47B-1F181DD4920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B15" authorId="0" shapeId="0" xr:uid="{CB41652B-4D34-48FA-9876-B13894D1C37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B40" authorId="0" shapeId="0" xr:uid="{9E9BA144-F652-4F2B-BCF8-DAB2B8A41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53" authorId="0" shapeId="0" xr:uid="{B03CA1D6-EEFF-4151-934F-F2FD0259E65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78" authorId="0" shapeId="0" xr:uid="{35553203-6717-48AD-B211-314B0EF8A63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8" authorId="0" shapeId="0" xr:uid="{9E6784D6-CFB9-4ADD-B826-0EEF251BF12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F23" authorId="0" shapeId="0" xr:uid="{855CB3BC-8157-4FCA-8936-7A86AB213DE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= Nordic Sugar</t>
        </r>
      </text>
    </comment>
    <comment ref="A29" authorId="0" shapeId="0" xr:uid="{2280859C-2DF6-4A51-A57E-C182B3B1294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Anvendes kun ift. CO2-afgift, da Energistyrelsen har fastsat en administrativ sats for kvote-beregning.</t>
        </r>
      </text>
    </comment>
    <comment ref="A30" authorId="0" shapeId="0" xr:uid="{27A6E152-F1EA-4DA9-9A23-A1C43403FE8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Energistyrelsen har fastsat en administrativ sats for nedre brændværdi på 10,6 GJ/ton ved kvote-beregning.</t>
        </r>
      </text>
    </comment>
    <comment ref="H51" authorId="0" shapeId="0" xr:uid="{99E6E9A7-E7BD-4D43-896C-155B1FA9758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modtryksvarmekapacitet.</t>
        </r>
      </text>
    </comment>
    <comment ref="H52" authorId="0" shapeId="0" xr:uid="{4D7CFC1E-0B74-43AD-9F74-D693C0CFD27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RGK-varmekapacitet</t>
        </r>
      </text>
    </comment>
    <comment ref="H53" authorId="0" shapeId="0" xr:uid="{E8D6452C-48C2-409C-B1FE-5EF855F4305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 af modtryks- og RGK-kapacitet</t>
        </r>
      </text>
    </comment>
    <comment ref="H54" authorId="0" shapeId="0" xr:uid="{B69B3E21-4228-486A-B428-B190A9EE4DD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Tilbageregning fra modtryksvarmekapacitet til indfyret effekt.</t>
        </r>
      </text>
    </comment>
    <comment ref="H55" authorId="0" shapeId="0" xr:uid="{C1760424-EF25-4286-83F8-5D112E5AD22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Omregning fra indfyret effekt til indfyret tonnage.</t>
        </r>
      </text>
    </comment>
    <comment ref="H70" authorId="0" shapeId="0" xr:uid="{D2876E8E-868B-4C35-AE54-6F4911DC146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H71" authorId="0" shapeId="0" xr:uid="{4A972A95-DA8E-4F46-A3AD-84F96433A26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K95" authorId="0" shapeId="0" xr:uid="{13AC1DFB-EE37-454A-B29C-CD773EE4A06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  <comment ref="K98" authorId="0" shapeId="0" xr:uid="{6BB5D98D-49B4-412D-BA71-7CA42652857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8" authorId="0" shapeId="0" xr:uid="{145F3E9F-48F7-4B9C-B0FC-3F11C9EBB4C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(=1) at den frie fossile fraktion skal forbruges før den biogene fraktion.
Hvis =0, så anvendes den biogene før den fossile.</t>
        </r>
      </text>
    </comment>
    <comment ref="A9" authorId="0" shapeId="0" xr:uid="{28DEF063-E2E5-4D6A-91CD-DAFE916F4EC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F24" authorId="0" shapeId="0" xr:uid="{3382A955-A510-4B12-A569-F7BBBFE656F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= Nordic Sugar</t>
        </r>
      </text>
    </comment>
    <comment ref="A30" authorId="0" shapeId="0" xr:uid="{C8DDD044-7962-4CA5-8F2E-F7906000607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Anvendes kun ift. CO2-afgift, da Energistyrelsen har fastsat en administrativ sats for kvote-beregning.</t>
        </r>
      </text>
    </comment>
    <comment ref="A31" authorId="0" shapeId="0" xr:uid="{09C72719-2649-4DBA-BDD5-5DDBC8CEE0A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Energistyrelsen har fastsat en administrativ sats for nedre brændværdi på 10,6 GJ/ton ved kvote-beregning.</t>
        </r>
      </text>
    </comment>
    <comment ref="H51" authorId="0" shapeId="0" xr:uid="{463B0F3D-081A-48A4-9521-58159B721CC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modtryksvarmekapacitet.</t>
        </r>
      </text>
    </comment>
    <comment ref="H52" authorId="0" shapeId="0" xr:uid="{1F39A44F-7173-4DA0-AC65-2A8D41C5D85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RGK-varmekapacitet</t>
        </r>
      </text>
    </comment>
    <comment ref="H53" authorId="0" shapeId="0" xr:uid="{C81C4930-0673-4733-B600-A7D31E47CA3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 af modtryks- og RGK-kapacitet</t>
        </r>
      </text>
    </comment>
    <comment ref="H54" authorId="0" shapeId="0" xr:uid="{720A875F-3842-4650-9823-E171F007633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Tilbageregning fra modtryksvarmekapacitet til indfyret effekt.</t>
        </r>
      </text>
    </comment>
    <comment ref="H55" authorId="0" shapeId="0" xr:uid="{21E037F5-3534-4243-AB4A-E10B71E268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Omregning fra indfyret effekt til indfyret tonnage.baseret på fælles brændværdi</t>
        </r>
      </text>
    </comment>
    <comment ref="H97" authorId="0" shapeId="0" xr:uid="{2E6DF1E6-A0F3-434A-A17D-FF38B56637C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H98" authorId="0" shapeId="0" xr:uid="{8097049C-762C-47B9-A2AD-DF833232568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K132" authorId="0" shapeId="0" xr:uid="{EF5997BB-C690-4227-B183-30E943FAB81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  <comment ref="K135" authorId="0" shapeId="0" xr:uid="{A4B02217-FC6C-43BE-BB7D-F352CB4BED7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H6" authorId="0" shapeId="0" xr:uid="{24D7EB09-E685-46F7-AC91-A3FC2C9BB97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Denne tonnage ligger fast, dvs. mængden skal afbrændes i den pågældende måned.</t>
        </r>
      </text>
    </comment>
    <comment ref="H7" authorId="0" shapeId="0" xr:uid="{BAE2A4F9-51A6-4424-B5D7-29C10901E44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Tonnagen er fri, dvs. tonnagen angiver en øvre grænse for hver måned.</t>
        </r>
      </text>
    </comment>
    <comment ref="H8" authorId="0" shapeId="0" xr:uid="{66843D03-B08F-465B-A301-A0669EB3A65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Tonnagen er fri, dvs. tonnagen angiver en øvre grænse for hver måned.</t>
        </r>
      </text>
    </comment>
    <comment ref="H13" authorId="0" shapeId="0" xr:uid="{92473D5D-7359-495D-963A-5C7217C47F7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F22" authorId="0" shapeId="0" xr:uid="{EF9D517D-E880-41FC-8342-B1708E01EE7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= Nordic Sugar</t>
        </r>
      </text>
    </comment>
    <comment ref="A27" authorId="0" shapeId="0" xr:uid="{237C4E21-54F6-4598-A653-0A5DC891F29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Anvendes kun ift. CO2-afgift, da Energistyrelsen har fastsat en administrativ sats for kvote-beregning.</t>
        </r>
      </text>
    </comment>
    <comment ref="A28" authorId="0" shapeId="0" xr:uid="{97747213-2C9B-48DC-8156-B92B0848285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Energistyrelsen har fastsat en administrativ sats for nedre brændværdi på 10,6 GJ/ton ved kvote-beregning.</t>
        </r>
      </text>
    </comment>
    <comment ref="H43" authorId="0" shapeId="0" xr:uid="{4CB677D0-B670-452C-9232-B4FAF32454D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modtryksvarmekapacitet.</t>
        </r>
      </text>
    </comment>
    <comment ref="H44" authorId="0" shapeId="0" xr:uid="{6AE30B97-927D-44C5-97FD-5857FA3064C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RGK-varmekapacitet</t>
        </r>
      </text>
    </comment>
    <comment ref="H45" authorId="0" shapeId="0" xr:uid="{EB7840DF-0173-4028-89D0-4C665A84C65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 af modtryks- og RGK-kapacitet</t>
        </r>
      </text>
    </comment>
    <comment ref="H46" authorId="0" shapeId="0" xr:uid="{AE7FE634-570B-4803-854E-70BD3B3B46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Tilbageregning fra modtryksvarmekapacitet til indfyret effekt.</t>
        </r>
      </text>
    </comment>
    <comment ref="H47" authorId="0" shapeId="0" xr:uid="{A9519F75-FED9-49AE-B28B-2692C49EFAD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Omregning fra indfyret effekt til indfyret tonnage.</t>
        </r>
      </text>
    </comment>
    <comment ref="H50" authorId="0" shapeId="0" xr:uid="{13319115-2FA1-4CEB-A4F8-A648CB87CA8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modtryksvarmekapacitet.</t>
        </r>
      </text>
    </comment>
    <comment ref="H51" authorId="0" shapeId="0" xr:uid="{A6477C5D-B1EA-4709-A579-69C20567AE6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RGK-varmekapacitet</t>
        </r>
      </text>
    </comment>
    <comment ref="H52" authorId="0" shapeId="0" xr:uid="{1BE7FFA4-2B57-495E-BD4A-7E503969417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 af modtryks- og RGK-kapacitet</t>
        </r>
      </text>
    </comment>
    <comment ref="H53" authorId="0" shapeId="0" xr:uid="{47A11DFF-8F11-420E-A776-7114AFC2859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Tilbageregning fra modtryksvarmekapacitet til indfyret effekt.</t>
        </r>
      </text>
    </comment>
    <comment ref="H54" authorId="0" shapeId="0" xr:uid="{E2CBAC6E-A1B3-4F2B-91AC-47D88BA4229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Omregning fra indfyret effekt til indfyret tonnage.</t>
        </r>
      </text>
    </comment>
    <comment ref="H70" authorId="0" shapeId="0" xr:uid="{0809D7D5-EEB6-47B2-BCEA-3187D84E309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H71" authorId="0" shapeId="0" xr:uid="{6C79A2E9-5C2A-4B12-A307-D92BD02F274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J96" authorId="0" shapeId="0" xr:uid="{35944CB2-93CC-4104-A43C-92622984A4B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  <comment ref="J99" authorId="0" shapeId="0" xr:uid="{C33DC7EB-36C2-497D-9768-C7E4139FA35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  <comment ref="H121" authorId="0" shapeId="0" xr:uid="{064554AD-25CF-4C0B-9093-18D08B29ECA1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Sum af Leveret affaldvarme, NS-varme og SR-varme skal være lig med varmebehovet.
Formuleret som sum(Q) - Qdemand = 0 </t>
        </r>
      </text>
    </comment>
    <comment ref="H122" authorId="0" shapeId="0" xr:uid="{98BFD696-F71C-4B71-A2AF-7DDD30EBE5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Max. årstonnage af biogent affald, formuleret som:
MaxBiogenTonnage - sum(måned, udnyttetAffald * biogenAndel) &gt; 0</t>
        </r>
      </text>
    </comment>
    <comment ref="H123" authorId="0" shapeId="0" xr:uid="{CCBC0C39-9950-4CD2-B51C-6104DFE6CF2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Max. modtryksvarmeproduktion fra Ovn2 formuleret som:
QmodtrykMax - QmodtrykProdueret &gt; 0</t>
        </r>
      </text>
    </comment>
    <comment ref="H124" authorId="0" shapeId="0" xr:uid="{A97E4654-BAF3-4F5A-A586-8F94940FD05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Max. modtryksvarmeproduktion fra Ovn3 formuleret som:
QmodtrykMax - QmodtrykProdueret &gt; 0</t>
        </r>
      </text>
    </comment>
    <comment ref="H125" authorId="0" shapeId="0" xr:uid="{476CEB3A-90F3-4A1D-B7F5-C5C781D8720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Fri fossil-tonnage skal opylde mindste årsmængde, formuleret som:
sum(mo, Ffri(mo)) - MindsteÅrsmængde &gt; 0</t>
        </r>
      </text>
    </comment>
    <comment ref="H126" authorId="0" shapeId="0" xr:uid="{DB074E5D-F04C-440B-81F3-5C2087404FD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Fri fossil-tonnage skal opylde mindste årsmængde, formuleret som:
StørsteÅrsmængde &gt; sum(mo, Ffri(mo)) </t>
        </r>
      </text>
    </comment>
    <comment ref="H127" authorId="0" shapeId="0" xr:uid="{173209EA-FE50-42D3-B8C1-80B908B9211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Forbruget af NS-varme er opadtil begrænset:
Qmax(NS,mo) - Q(NS, mo)  &gt;0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<sst xmlns="http://schemas.openxmlformats.org/spreadsheetml/2006/main" count="1319" uniqueCount="395">
  <si>
    <t>Ovn2</t>
  </si>
  <si>
    <t>Ovn3</t>
  </si>
  <si>
    <t>Varmekapacitet</t>
  </si>
  <si>
    <t>MWq</t>
  </si>
  <si>
    <t>Elkapacitet</t>
  </si>
  <si>
    <t>MWe</t>
  </si>
  <si>
    <t>Egetforbrug</t>
  </si>
  <si>
    <t>Køler</t>
  </si>
  <si>
    <t>RGK-kapacitet</t>
  </si>
  <si>
    <t>Modtryksvarme-virkningsgrad</t>
  </si>
  <si>
    <t>RGK-varme-virkningsgrad</t>
  </si>
  <si>
    <t>El-virkningsgrad</t>
  </si>
  <si>
    <t>Antal rådige døgn</t>
  </si>
  <si>
    <t>MWhe/døgn</t>
  </si>
  <si>
    <t>Anlæg</t>
  </si>
  <si>
    <t>Brændsler</t>
  </si>
  <si>
    <t>ton</t>
  </si>
  <si>
    <t>Bioaffald</t>
  </si>
  <si>
    <t>DV-omk sats</t>
  </si>
  <si>
    <t>kr/MWhf</t>
  </si>
  <si>
    <t>NS</t>
  </si>
  <si>
    <t>Priser</t>
  </si>
  <si>
    <t>Varmesalg</t>
  </si>
  <si>
    <t>kr/MWhq</t>
  </si>
  <si>
    <t>kr/ton</t>
  </si>
  <si>
    <t>Elspotpris</t>
  </si>
  <si>
    <t>kr/MWhe</t>
  </si>
  <si>
    <t>CO2 kvotepris</t>
  </si>
  <si>
    <t>Varmesalgspris</t>
  </si>
  <si>
    <t>Nedre brændværdi</t>
  </si>
  <si>
    <t>GJ/ton</t>
  </si>
  <si>
    <t>Affaldvarme-afgift</t>
  </si>
  <si>
    <t>Tillægsafgift</t>
  </si>
  <si>
    <t>CO2-afgift</t>
  </si>
  <si>
    <t>kgCO2/GJ</t>
  </si>
  <si>
    <t>kr/GJq</t>
  </si>
  <si>
    <t>CO2-indhold ift. CO2-afgift</t>
  </si>
  <si>
    <t>CO2-indhold ift. CO2-kvote</t>
  </si>
  <si>
    <t>kr/tonCO2</t>
  </si>
  <si>
    <t>Modtagepris</t>
  </si>
  <si>
    <t>Elproduktions-tarif</t>
  </si>
  <si>
    <t>MWhq</t>
  </si>
  <si>
    <t>RESULTATER</t>
  </si>
  <si>
    <t>Uden RGK</t>
  </si>
  <si>
    <t>Bortkølet varme</t>
  </si>
  <si>
    <t>Brutto elproduktion</t>
  </si>
  <si>
    <t>Netto elproduktion</t>
  </si>
  <si>
    <t>Enhed</t>
  </si>
  <si>
    <t>MWhe</t>
  </si>
  <si>
    <t>Antal driftstimer</t>
  </si>
  <si>
    <t>Max modtryksvarme</t>
  </si>
  <si>
    <t>Max. indfyret effekt</t>
  </si>
  <si>
    <t>MWhf</t>
  </si>
  <si>
    <t>Max. affaldsmængde</t>
  </si>
  <si>
    <t>Mængdefordeling</t>
  </si>
  <si>
    <t>Max. varmeproduktion Ovn3</t>
  </si>
  <si>
    <t>Rest varmebehov</t>
  </si>
  <si>
    <t>Rest total affaldsmængde</t>
  </si>
  <si>
    <t>Affaldsmængde forbrug</t>
  </si>
  <si>
    <t>Nedre brændværdi affald ialt</t>
  </si>
  <si>
    <t>Affaldsmængde ialt</t>
  </si>
  <si>
    <t>Max. NS-varme</t>
  </si>
  <si>
    <t>Max. varmeproduktion Ovn2</t>
  </si>
  <si>
    <t>Max. RGK-varme</t>
  </si>
  <si>
    <t>Max. varmeproduktion affald</t>
  </si>
  <si>
    <t>Varmeproduktion affald ialt</t>
  </si>
  <si>
    <t>Udækket varmebehov</t>
  </si>
  <si>
    <t>Sum varmevirkningsgrad</t>
  </si>
  <si>
    <t>mo1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</si>
  <si>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</si>
  <si>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</si>
  <si>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</si>
  <si>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</si>
  <si>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</si>
  <si>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</si>
  <si>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</si>
  <si>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</si>
  <si>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</si>
  <si>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</si>
  <si>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</si>
  <si>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</si>
  <si>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</si>
  <si>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</si>
  <si>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</si>
  <si>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</si>
  <si>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</si>
  <si>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</si>
  <si>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</si>
  <si>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</si>
  <si>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</si>
  <si>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FuelConsP</t>
  </si>
  <si>
    <t>LHV</t>
  </si>
  <si>
    <t>FlisK</t>
  </si>
  <si>
    <t>Qm</t>
  </si>
  <si>
    <t>Fp</t>
  </si>
  <si>
    <t>GJ</t>
  </si>
  <si>
    <t>Restvarmekapacitet Ovn2</t>
  </si>
  <si>
    <t>Restvarmekapacitet Ovn3</t>
  </si>
  <si>
    <t>Kølevarme Ovn2</t>
  </si>
  <si>
    <t>Kølevarme Ovn3</t>
  </si>
  <si>
    <t>Affaldsforbrug kølevarme Ovn3</t>
  </si>
  <si>
    <t>Affaldsforbrug kølevarme Ovn2</t>
  </si>
  <si>
    <t>Økonomi</t>
  </si>
  <si>
    <t>Modtagebetaling affald</t>
  </si>
  <si>
    <t>Elsalg</t>
  </si>
  <si>
    <t>RGK-rabat</t>
  </si>
  <si>
    <t>Energiproduktion</t>
  </si>
  <si>
    <t>MWh</t>
  </si>
  <si>
    <t>Varmeproduktion ialt affaldsovne</t>
  </si>
  <si>
    <t>Leveret varme</t>
  </si>
  <si>
    <t>Betaling bioaffald</t>
  </si>
  <si>
    <t>DV-omkostninger</t>
  </si>
  <si>
    <t>Varmeproduktion Ovn2</t>
  </si>
  <si>
    <t>Varmeproduktion Ovn3</t>
  </si>
  <si>
    <t>Heraf RGK-varme</t>
  </si>
  <si>
    <t>Kvote-omkostning</t>
  </si>
  <si>
    <t>Udnyttet affaldsmængde</t>
  </si>
  <si>
    <t>Ikke-udnyttet affaldsmængde</t>
  </si>
  <si>
    <t>Indtægter total</t>
  </si>
  <si>
    <t>Omkostninger total</t>
  </si>
  <si>
    <t>Dækningsbidrag</t>
  </si>
  <si>
    <t>Mellemregninger for afgifter</t>
  </si>
  <si>
    <t>Energiproduktion ATL</t>
  </si>
  <si>
    <t>Forbrugt fossilt affald</t>
  </si>
  <si>
    <t>Forbrugt bioaffald</t>
  </si>
  <si>
    <t>Fossil elproduktion ATL</t>
  </si>
  <si>
    <t>Varmegrundlag ATL</t>
  </si>
  <si>
    <t>RGK-andel af energiproduktion</t>
  </si>
  <si>
    <t>Fossil varmeproduktion ATL,CO2</t>
  </si>
  <si>
    <t>Varmegrundlag CO2</t>
  </si>
  <si>
    <t>RGK-udnyttelse</t>
  </si>
  <si>
    <t>Styringsparametre</t>
  </si>
  <si>
    <t>procent</t>
  </si>
  <si>
    <t>Spidslastvarme</t>
  </si>
  <si>
    <t>FuelConsT</t>
  </si>
  <si>
    <t>Ovnkapaciteter</t>
  </si>
  <si>
    <t>Realiseret energi og mængde</t>
  </si>
  <si>
    <t>Kvote brændværdi jf. ENS</t>
  </si>
  <si>
    <t>tkr</t>
  </si>
  <si>
    <t>RGK ift. nominel</t>
  </si>
  <si>
    <t>Varmemængder</t>
  </si>
  <si>
    <t>RGK</t>
  </si>
  <si>
    <t>MELLEMREGNINGER</t>
  </si>
  <si>
    <t>Affaldsforbrug Ovn3</t>
  </si>
  <si>
    <t>Nordic Sugar varme</t>
  </si>
  <si>
    <t>Affaldsforbrug Ovn2</t>
  </si>
  <si>
    <t>Ikke-udnyttet affald</t>
  </si>
  <si>
    <t>Udnyttet affald</t>
  </si>
  <si>
    <t>Brændselsmængder</t>
  </si>
  <si>
    <t>Kapacitetsudnyttelse</t>
  </si>
  <si>
    <t>SUM</t>
  </si>
  <si>
    <t>RGKudnyttelse</t>
  </si>
  <si>
    <t>$Q$5</t>
  </si>
  <si>
    <t>$Q$6</t>
  </si>
  <si>
    <t>$Q$7</t>
  </si>
  <si>
    <t>$Q$8</t>
  </si>
  <si>
    <t>$Q$9</t>
  </si>
  <si>
    <t>$Q$10</t>
  </si>
  <si>
    <t>$Q$11</t>
  </si>
  <si>
    <t>$Q$12</t>
  </si>
  <si>
    <t>$Q$13</t>
  </si>
  <si>
    <t>$Q$14</t>
  </si>
  <si>
    <t>$Q$15</t>
  </si>
  <si>
    <t>$Q$16</t>
  </si>
  <si>
    <t>$Q$17</t>
  </si>
  <si>
    <t>$Q$18</t>
  </si>
  <si>
    <t>$Q$19</t>
  </si>
  <si>
    <t>$Q$20</t>
  </si>
  <si>
    <t>$Q$21</t>
  </si>
  <si>
    <t>$Q$22</t>
  </si>
  <si>
    <t>$Q$23</t>
  </si>
  <si>
    <t>$Q$24</t>
  </si>
  <si>
    <t>$Q$25</t>
  </si>
  <si>
    <t>$Q$26</t>
  </si>
  <si>
    <t>$Q$27</t>
  </si>
  <si>
    <t>$Q$28</t>
  </si>
  <si>
    <t>$Q$29</t>
  </si>
  <si>
    <t>$Q$30</t>
  </si>
  <si>
    <t>$Q$31</t>
  </si>
  <si>
    <t>$Q$32</t>
  </si>
  <si>
    <t>$Q$33</t>
  </si>
  <si>
    <t>$Q$34</t>
  </si>
  <si>
    <t>$Q$35</t>
  </si>
  <si>
    <t>$Q$36</t>
  </si>
  <si>
    <t>RGK 10 %</t>
  </si>
  <si>
    <t>Created by Mogens Bech Laursen on 16-03-2022</t>
  </si>
  <si>
    <t>RGK 20 %</t>
  </si>
  <si>
    <t>RGK 30 %</t>
  </si>
  <si>
    <t>RGK 40 %</t>
  </si>
  <si>
    <t>RGK 50 %</t>
  </si>
  <si>
    <t>RGK 60 %</t>
  </si>
  <si>
    <t>RGK 70 %</t>
  </si>
  <si>
    <t>RGK 80 %</t>
  </si>
  <si>
    <t>RGK 90 %</t>
  </si>
  <si>
    <t>RGK 100 %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</si>
  <si>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</si>
  <si>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</si>
  <si>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</si>
  <si>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</si>
  <si>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</si>
  <si>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</si>
  <si>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</si>
  <si>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FJV-behov</t>
  </si>
  <si>
    <t>Affaldstonnage Fossil</t>
  </si>
  <si>
    <t>Affaldstonnage Biogen</t>
  </si>
  <si>
    <t>NordicSugar varme</t>
  </si>
  <si>
    <t>Værdi</t>
  </si>
  <si>
    <t>Nominelt</t>
  </si>
  <si>
    <t>sc1</t>
  </si>
  <si>
    <t>sc2</t>
  </si>
  <si>
    <t>sc3</t>
  </si>
  <si>
    <t>sc4</t>
  </si>
  <si>
    <t>sc5</t>
  </si>
  <si>
    <t>sc6</t>
  </si>
  <si>
    <t>sc7</t>
  </si>
  <si>
    <t>sc8</t>
  </si>
  <si>
    <t>sc9</t>
  </si>
  <si>
    <t>sc10</t>
  </si>
  <si>
    <t>sc11</t>
  </si>
  <si>
    <t>sc12</t>
  </si>
  <si>
    <t>sc13</t>
  </si>
  <si>
    <t>sc14</t>
  </si>
  <si>
    <t>sc15</t>
  </si>
  <si>
    <t>sc16</t>
  </si>
  <si>
    <t>sc17</t>
  </si>
  <si>
    <t>sc18</t>
  </si>
  <si>
    <t>sc19</t>
  </si>
  <si>
    <t>sc20</t>
  </si>
  <si>
    <t>Aktiv ?</t>
  </si>
  <si>
    <t xml:space="preserve"> RESULTATOMRÅDE</t>
  </si>
  <si>
    <t>Økonomi:</t>
  </si>
  <si>
    <t>Varmemængder:</t>
  </si>
  <si>
    <t>Brændselsmængder:</t>
  </si>
  <si>
    <t>Kapacitetsudnyttelse:</t>
  </si>
  <si>
    <t>Resultat-typer</t>
  </si>
  <si>
    <t>X-Y chart</t>
  </si>
  <si>
    <t>Titel:</t>
  </si>
  <si>
    <t>Modtagebetaling og RGK-rabat vs. RGK-udnyttelse</t>
  </si>
  <si>
    <t>Skalafaktor</t>
  </si>
  <si>
    <t xml:space="preserve"> INPUTOMRÅDE FOR SCENARIER</t>
  </si>
  <si>
    <t>Vælg resultat-type herunder</t>
  </si>
  <si>
    <t>Økonomiske nøgletal</t>
  </si>
  <si>
    <t>Input</t>
  </si>
  <si>
    <t>VPO affald</t>
  </si>
  <si>
    <t>Variabel varmeproduktionsomkostning</t>
  </si>
  <si>
    <t>Med 100% RGK</t>
  </si>
  <si>
    <t>Med 5% RGK</t>
  </si>
  <si>
    <t>Med 10% RGK</t>
  </si>
  <si>
    <t>Med 15% RGK</t>
  </si>
  <si>
    <t>Med 20% RGK</t>
  </si>
  <si>
    <t>Med 25% RGK</t>
  </si>
  <si>
    <t>Med 30% RGK</t>
  </si>
  <si>
    <t>Med 35% RGK</t>
  </si>
  <si>
    <t>Med 40% RGK</t>
  </si>
  <si>
    <t>Med 45% RGK</t>
  </si>
  <si>
    <t>Med 50% RGK</t>
  </si>
  <si>
    <t>Med 55% RGK</t>
  </si>
  <si>
    <t>Med 60% RGK</t>
  </si>
  <si>
    <t>Med 65% RGK</t>
  </si>
  <si>
    <t>Med 70% RGK</t>
  </si>
  <si>
    <t>Med 75% RGK</t>
  </si>
  <si>
    <t>Med 80% RGK</t>
  </si>
  <si>
    <t>Med 85% RGK</t>
  </si>
  <si>
    <t>Med 90% RGK</t>
  </si>
  <si>
    <t>Med 95% RGK</t>
  </si>
  <si>
    <t>Ovn3 tonnageudnyttelse</t>
  </si>
  <si>
    <t>Ovn2 tonnageudnyttelse</t>
  </si>
  <si>
    <t>Bortkøleanlæg udnyttelse</t>
  </si>
  <si>
    <t>NS-varme udnyttelse</t>
  </si>
  <si>
    <t>Variabel VPO for affaldsanlæg</t>
  </si>
  <si>
    <t>Scenarie-beskrivelse:</t>
  </si>
  <si>
    <t>Varierende RGK-udnyttelse</t>
  </si>
  <si>
    <t>Rådige døgn Ovn2</t>
  </si>
  <si>
    <t>Rådige døgn Ovn3</t>
  </si>
  <si>
    <t>dage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</si>
  <si>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</si>
  <si>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</si>
  <si>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</si>
  <si>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</si>
  <si>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</si>
  <si>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</si>
  <si>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</si>
  <si>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</si>
  <si>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</si>
  <si>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</si>
  <si>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</si>
  <si>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</si>
  <si>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Htotal</t>
  </si>
  <si>
    <t>Biogent</t>
  </si>
  <si>
    <t>DV-omkostnings sats</t>
  </si>
  <si>
    <t>Ftotal</t>
  </si>
  <si>
    <t>Ptotal</t>
  </si>
  <si>
    <t>Antal dage</t>
  </si>
  <si>
    <t>BiogenAndel</t>
  </si>
  <si>
    <t>Affaldstonnage Fossil Fast</t>
  </si>
  <si>
    <t>Affaldstonnage Fossil Fri</t>
  </si>
  <si>
    <t>Brændværdi fri fossil fraktion</t>
  </si>
  <si>
    <t>Modtagepris fri fossil fraktion</t>
  </si>
  <si>
    <t>ton/år</t>
  </si>
  <si>
    <t>Priser og afgifter</t>
  </si>
  <si>
    <t>Fri fossil</t>
  </si>
  <si>
    <t>Fast fossil</t>
  </si>
  <si>
    <t>Mindste årsmængde</t>
  </si>
  <si>
    <t>Største årsmøngde</t>
  </si>
  <si>
    <t xml:space="preserve"> RESTRIKTIONER</t>
  </si>
  <si>
    <t>SR-varmeproduktionspris</t>
  </si>
  <si>
    <t>Fast fossil andel</t>
  </si>
  <si>
    <t>Fri fossil andel</t>
  </si>
  <si>
    <t>Forbrugt fossilt affald fast</t>
  </si>
  <si>
    <t>Forbrugt fossilt affald fri</t>
  </si>
  <si>
    <t>NPV (Objective)</t>
  </si>
  <si>
    <t>tkr/år</t>
  </si>
  <si>
    <t>FriFossil</t>
  </si>
  <si>
    <t>FastFossil</t>
  </si>
  <si>
    <t>Leveret affaldsvarme</t>
  </si>
  <si>
    <t>Med RGK ift.Uden RGK</t>
  </si>
  <si>
    <t>Heraf modtryksvarme</t>
  </si>
  <si>
    <t>EQ_Qdemand</t>
  </si>
  <si>
    <t xml:space="preserve">GE_MaxBiogenTonnage </t>
  </si>
  <si>
    <t>GE_MaxModtryksvarme_Ovn2</t>
  </si>
  <si>
    <t>GE_MaxModtryksvarme_Ovn3</t>
  </si>
  <si>
    <t>Input-parametre</t>
  </si>
  <si>
    <t>Modelstyring</t>
  </si>
  <si>
    <t>Optimering eller Konsekvens</t>
  </si>
  <si>
    <t>NordicSugar varme maksimum</t>
  </si>
  <si>
    <t>GE_NSvarme</t>
  </si>
  <si>
    <t xml:space="preserve">GE_FossilFriMax </t>
  </si>
  <si>
    <t>GE_FossilFriMin</t>
  </si>
  <si>
    <t>Optimeringsvariable</t>
  </si>
  <si>
    <t>NS-varme forbrugt</t>
  </si>
  <si>
    <t>RGK aktiv</t>
  </si>
  <si>
    <t>0/1</t>
  </si>
  <si>
    <t>GE_Cool</t>
  </si>
  <si>
    <t>HERTIL</t>
  </si>
  <si>
    <t>Bortkølet affaldsvarme</t>
  </si>
  <si>
    <t>=MIN(J64;EtaQNomOvn3*J60*J26/3,6;24*EtaQNomOvn3*KapQcool)</t>
  </si>
  <si>
    <t>=MIN(J63;EtaQNomOvn3*J67*J26/3,6;24*$E$11*KapQcool-J65)</t>
  </si>
  <si>
    <t>=J49+J65</t>
  </si>
  <si>
    <t xml:space="preserve">Aktiv måned </t>
  </si>
  <si>
    <t>Affaldsforbrug Fossil Fri Ovn2</t>
  </si>
  <si>
    <t>Affaldsforbrug Fossil Fri Ovn3</t>
  </si>
  <si>
    <t>Affaldsforbrug Biogen Fri Ovn3</t>
  </si>
  <si>
    <t>Affaldsforbrug Biogen Fri Ovn2</t>
  </si>
  <si>
    <t>Affaldsforbrug Fossil Fast Ovn3</t>
  </si>
  <si>
    <t>Affaldsforbrug Fossil Fast Ovn2</t>
  </si>
  <si>
    <t>Ftotal Ovn2</t>
  </si>
  <si>
    <t>Ftotal Ovn3</t>
  </si>
  <si>
    <t>EtaQmaxOvn3</t>
  </si>
  <si>
    <t>EtaQmaxOvn2</t>
  </si>
  <si>
    <t>NordicSugar varme max.</t>
  </si>
  <si>
    <t>Forklaring til mellemregningceller:</t>
  </si>
  <si>
    <t>Her beregnes Ovn2 max. varmeprod. baseret på FossilFast fraktion</t>
  </si>
  <si>
    <t>FossilFri før Biogen</t>
  </si>
  <si>
    <t>Brændselsprioriteter</t>
  </si>
  <si>
    <t>Fraktion1</t>
  </si>
  <si>
    <t>Fraktion2</t>
  </si>
  <si>
    <t>Fraktion3</t>
  </si>
  <si>
    <t>Tonnage</t>
  </si>
  <si>
    <t>Varmeproduktion Ovn3 Fraktion1</t>
  </si>
  <si>
    <t>Rest varmebehov efter Fraktion1</t>
  </si>
  <si>
    <t>Forbrug Fraktion1</t>
  </si>
  <si>
    <t>Rest tonnage Fraktion1</t>
  </si>
  <si>
    <t>Varmeproduktion Ovn3 Fraktion2</t>
  </si>
  <si>
    <t>Forbrug Fraktion2</t>
  </si>
  <si>
    <t>Rest varmebehov efter Fraktion2</t>
  </si>
  <si>
    <t>Rest tonnage Fraktion2</t>
  </si>
  <si>
    <t>Rest varmeprod.kapacitet Fraktion1</t>
  </si>
  <si>
    <t>Rest varmeprod.kapacitet Fraktion2</t>
  </si>
  <si>
    <t>m/RGK</t>
  </si>
  <si>
    <t>Varmeproduktion Ovn3 Fraktion3</t>
  </si>
  <si>
    <t>Forbrug Fraktion3</t>
  </si>
  <si>
    <t>Rest varmebehov efter Fraktion3</t>
  </si>
  <si>
    <t>Rest tonnage Fraktion3</t>
  </si>
  <si>
    <t>Rest varmeprod.kapacitet Fraktion3</t>
  </si>
  <si>
    <t>Affaldsmængde forbrug Fraktion1</t>
  </si>
  <si>
    <t>Varmeproduktion Ovn2 Fraktion1</t>
  </si>
  <si>
    <t>NS-varmeleverance</t>
  </si>
  <si>
    <t>Max. varmeproduktion Ovn2 Fraktion2</t>
  </si>
  <si>
    <t>Affaldsmængde forbrug Fraktion2</t>
  </si>
  <si>
    <t>Affaldsmængde forbrug Fraktion3</t>
  </si>
  <si>
    <t>Max. varmeproduktion Ovn2 Fraktion3</t>
  </si>
  <si>
    <t>Kun FossilFast fraktion bortkøles</t>
  </si>
  <si>
    <t>Udnyttet tonnage Fraktion1</t>
  </si>
  <si>
    <t>Udnyttet tonnage Fraktion2</t>
  </si>
  <si>
    <t>Udnyttet tonnage Fraktion3</t>
  </si>
  <si>
    <t>Ikke-udnyttet tonnage Fraktion1</t>
  </si>
  <si>
    <t>Ikke-udnyttet tonnage Fraktion2</t>
  </si>
  <si>
    <t>Ikke-udnyttet tonnage Fraktion3</t>
  </si>
  <si>
    <t>Udnyttet tonnage FossilFast</t>
  </si>
  <si>
    <t>Udnyttet tonnage FossilFri</t>
  </si>
  <si>
    <t>Udnyttet tonnage BiogenFri</t>
  </si>
  <si>
    <t>Ikke-udnyttet tonnage FossilFast</t>
  </si>
  <si>
    <t>Ikke-udnyttet tonnage fossilFri</t>
  </si>
  <si>
    <t>Ikke-udnyttet tonnage BiogenFri</t>
  </si>
  <si>
    <t>Effekt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</si>
</sst>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#,##0.0"/>
    <numFmt numFmtId="167" formatCode="#,##0,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</patternFill>
    </fill>
    <fill>
      <patternFill patternType="solid">
        <fgColor theme="9"/>
        <bgColor theme="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6" fillId="6" borderId="0" applyNumberFormat="0" applyBorder="0" applyAlignment="0" applyProtection="0"/>
    <xf numFmtId="0" fontId="7" fillId="7" borderId="1" applyNumberFormat="0" applyAlignment="0" applyProtection="0"/>
    <xf numFmtId="0" fontId="19" fillId="14" borderId="0" applyNumberFormat="0" applyBorder="0" applyAlignment="0" applyProtection="0"/>
  </cellStyleXfs>
  <cellXfs count="171">
    <xf numFmtId="0" fontId="0" fillId="0" borderId="0" xfId="0"/>
    <xf numFmtId="10" fontId="0" fillId="0" borderId="0" xfId="0" applyNumberFormat="1"/>
    <xf numFmtId="164" fontId="0" fillId="0" borderId="0" xfId="1" applyNumberFormat="1" applyFont="1"/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indent="1"/>
    </xf>
    <xf numFmtId="0" fontId="0" fillId="4" borderId="0" xfId="0" applyFill="1"/>
    <xf numFmtId="0" fontId="3" fillId="4" borderId="0" xfId="0" applyFont="1" applyFill="1"/>
    <xf numFmtId="2" fontId="0" fillId="0" borderId="0" xfId="0" applyNumberFormat="1"/>
    <xf numFmtId="3" fontId="0" fillId="0" borderId="0" xfId="0" applyNumberFormat="1"/>
    <xf numFmtId="166" fontId="0" fillId="0" borderId="0" xfId="0" applyNumberFormat="1"/>
    <xf numFmtId="0" fontId="0" fillId="0" borderId="0" xfId="0" applyFont="1" applyAlignment="1">
      <alignment horizontal="left" indent="1"/>
    </xf>
    <xf numFmtId="3" fontId="3" fillId="0" borderId="0" xfId="0" applyNumberFormat="1" applyFont="1" applyAlignment="1">
      <alignment horizontal="center"/>
    </xf>
    <xf numFmtId="3" fontId="0" fillId="0" borderId="0" xfId="0" applyNumberFormat="1" applyFont="1"/>
    <xf numFmtId="167" fontId="0" fillId="0" borderId="0" xfId="0" applyNumberFormat="1" applyFont="1"/>
    <xf numFmtId="167" fontId="0" fillId="0" borderId="0" xfId="0" applyNumberFormat="1"/>
    <xf numFmtId="0" fontId="3" fillId="8" borderId="0" xfId="0" applyFont="1" applyFill="1" applyAlignment="1">
      <alignment horizontal="center"/>
    </xf>
    <xf numFmtId="9" fontId="0" fillId="0" borderId="0" xfId="1" applyFont="1"/>
    <xf numFmtId="0" fontId="0" fillId="0" borderId="0" xfId="0" applyFill="1" applyBorder="1" applyAlignment="1"/>
    <xf numFmtId="9" fontId="0" fillId="0" borderId="0" xfId="0" applyNumberFormat="1" applyFill="1" applyBorder="1" applyAlignment="1"/>
    <xf numFmtId="167" fontId="0" fillId="0" borderId="0" xfId="0" applyNumberFormat="1" applyFill="1" applyBorder="1" applyAlignment="1"/>
    <xf numFmtId="3" fontId="0" fillId="0" borderId="0" xfId="0" applyNumberFormat="1" applyFill="1" applyBorder="1" applyAlignment="1"/>
    <xf numFmtId="3" fontId="0" fillId="0" borderId="3" xfId="0" applyNumberFormat="1" applyFill="1" applyBorder="1" applyAlignment="1"/>
    <xf numFmtId="0" fontId="8" fillId="9" borderId="4" xfId="0" applyFont="1" applyFill="1" applyBorder="1" applyAlignment="1">
      <alignment horizontal="left"/>
    </xf>
    <xf numFmtId="0" fontId="8" fillId="9" borderId="2" xfId="0" applyFont="1" applyFill="1" applyBorder="1" applyAlignment="1">
      <alignment horizontal="left"/>
    </xf>
    <xf numFmtId="0" fontId="0" fillId="0" borderId="5" xfId="0" applyFill="1" applyBorder="1" applyAlignment="1"/>
    <xf numFmtId="0" fontId="9" fillId="10" borderId="0" xfId="0" applyFont="1" applyFill="1" applyBorder="1" applyAlignment="1">
      <alignment horizontal="left"/>
    </xf>
    <xf numFmtId="0" fontId="10" fillId="10" borderId="5" xfId="0" applyFont="1" applyFill="1" applyBorder="1" applyAlignment="1">
      <alignment horizontal="left"/>
    </xf>
    <xf numFmtId="0" fontId="9" fillId="10" borderId="3" xfId="0" applyFont="1" applyFill="1" applyBorder="1" applyAlignment="1">
      <alignment horizontal="left"/>
    </xf>
    <xf numFmtId="0" fontId="11" fillId="9" borderId="2" xfId="0" applyFont="1" applyFill="1" applyBorder="1" applyAlignment="1">
      <alignment horizontal="right"/>
    </xf>
    <xf numFmtId="0" fontId="11" fillId="9" borderId="4" xfId="0" applyFont="1" applyFill="1" applyBorder="1" applyAlignment="1">
      <alignment horizontal="right"/>
    </xf>
    <xf numFmtId="9" fontId="0" fillId="11" borderId="0" xfId="0" applyNumberFormat="1" applyFill="1" applyBorder="1" applyAlignment="1"/>
    <xf numFmtId="0" fontId="12" fillId="0" borderId="0" xfId="0" applyFont="1" applyFill="1" applyBorder="1" applyAlignment="1">
      <alignment vertical="top" wrapText="1"/>
    </xf>
    <xf numFmtId="3" fontId="13" fillId="0" borderId="3" xfId="3" applyNumberFormat="1" applyFont="1" applyFill="1" applyBorder="1" applyAlignment="1"/>
    <xf numFmtId="0" fontId="0" fillId="3" borderId="0" xfId="0" applyFill="1"/>
    <xf numFmtId="3" fontId="15" fillId="0" borderId="0" xfId="0" applyNumberFormat="1" applyFont="1"/>
    <xf numFmtId="0" fontId="0" fillId="0" borderId="0" xfId="0" applyFont="1" applyBorder="1" applyAlignment="1">
      <alignment horizontal="center"/>
    </xf>
    <xf numFmtId="0" fontId="0" fillId="5" borderId="0" xfId="0" applyFill="1"/>
    <xf numFmtId="0" fontId="3" fillId="5" borderId="5" xfId="0" applyFont="1" applyFill="1" applyBorder="1"/>
    <xf numFmtId="0" fontId="0" fillId="5" borderId="5" xfId="0" applyFill="1" applyBorder="1"/>
    <xf numFmtId="3" fontId="3" fillId="5" borderId="5" xfId="0" applyNumberFormat="1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0" fillId="0" borderId="0" xfId="0" applyFill="1"/>
    <xf numFmtId="0" fontId="15" fillId="0" borderId="0" xfId="0" applyFont="1"/>
    <xf numFmtId="0" fontId="16" fillId="0" borderId="0" xfId="0" applyFont="1"/>
    <xf numFmtId="0" fontId="13" fillId="0" borderId="0" xfId="0" applyFont="1"/>
    <xf numFmtId="0" fontId="0" fillId="12" borderId="0" xfId="0" applyFill="1"/>
    <xf numFmtId="0" fontId="0" fillId="12" borderId="0" xfId="0" applyFill="1" applyAlignment="1">
      <alignment horizontal="left" indent="1"/>
    </xf>
    <xf numFmtId="3" fontId="0" fillId="12" borderId="0" xfId="0" applyNumberFormat="1" applyFill="1"/>
    <xf numFmtId="0" fontId="3" fillId="12" borderId="0" xfId="0" applyFont="1" applyFill="1"/>
    <xf numFmtId="0" fontId="3" fillId="12" borderId="0" xfId="0" applyFont="1" applyFill="1" applyAlignment="1"/>
    <xf numFmtId="0" fontId="0" fillId="0" borderId="9" xfId="0" applyBorder="1"/>
    <xf numFmtId="0" fontId="0" fillId="0" borderId="0" xfId="0" applyBorder="1" applyAlignment="1">
      <alignment horizontal="left" indent="1"/>
    </xf>
    <xf numFmtId="0" fontId="0" fillId="0" borderId="0" xfId="0" applyBorder="1"/>
    <xf numFmtId="0" fontId="0" fillId="0" borderId="10" xfId="0" applyBorder="1"/>
    <xf numFmtId="0" fontId="0" fillId="0" borderId="9" xfId="0" applyBorder="1" applyAlignment="1">
      <alignment horizontal="left" indent="1"/>
    </xf>
    <xf numFmtId="3" fontId="0" fillId="0" borderId="0" xfId="0" applyNumberFormat="1" applyBorder="1"/>
    <xf numFmtId="9" fontId="0" fillId="0" borderId="0" xfId="0" applyNumberFormat="1" applyBorder="1"/>
    <xf numFmtId="164" fontId="0" fillId="0" borderId="0" xfId="0" applyNumberFormat="1" applyBorder="1"/>
    <xf numFmtId="10" fontId="0" fillId="0" borderId="0" xfId="0" applyNumberFormat="1" applyBorder="1"/>
    <xf numFmtId="2" fontId="0" fillId="0" borderId="0" xfId="0" applyNumberFormat="1" applyBorder="1"/>
    <xf numFmtId="0" fontId="3" fillId="12" borderId="0" xfId="0" applyFont="1" applyFill="1" applyAlignment="1">
      <alignment horizontal="left"/>
    </xf>
    <xf numFmtId="3" fontId="3" fillId="0" borderId="0" xfId="0" applyNumberFormat="1" applyFont="1"/>
    <xf numFmtId="0" fontId="0" fillId="0" borderId="0" xfId="0" applyFont="1" applyFill="1" applyAlignment="1">
      <alignment horizontal="left"/>
    </xf>
    <xf numFmtId="0" fontId="0" fillId="12" borderId="0" xfId="0" applyFont="1" applyFill="1" applyAlignment="1">
      <alignment horizontal="left"/>
    </xf>
    <xf numFmtId="2" fontId="0" fillId="0" borderId="0" xfId="1" applyNumberFormat="1" applyFont="1"/>
    <xf numFmtId="0" fontId="0" fillId="12" borderId="0" xfId="0" applyFill="1" applyAlignment="1">
      <alignment horizontal="left" indent="2"/>
    </xf>
    <xf numFmtId="0" fontId="0" fillId="0" borderId="0" xfId="0" applyAlignment="1">
      <alignment horizontal="left" indent="2"/>
    </xf>
    <xf numFmtId="0" fontId="3" fillId="0" borderId="0" xfId="0" applyFont="1" applyAlignment="1">
      <alignment horizontal="left" indent="2"/>
    </xf>
    <xf numFmtId="0" fontId="0" fillId="0" borderId="0" xfId="0" applyFont="1" applyAlignment="1">
      <alignment horizontal="left" indent="2"/>
    </xf>
    <xf numFmtId="0" fontId="0" fillId="0" borderId="0" xfId="0" applyFont="1" applyAlignment="1">
      <alignment horizontal="left"/>
    </xf>
    <xf numFmtId="0" fontId="18" fillId="13" borderId="0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/>
    </xf>
    <xf numFmtId="0" fontId="20" fillId="15" borderId="11" xfId="0" applyFont="1" applyFill="1" applyBorder="1"/>
    <xf numFmtId="0" fontId="20" fillId="15" borderId="12" xfId="0" applyFont="1" applyFill="1" applyBorder="1" applyAlignment="1">
      <alignment horizontal="left" indent="1"/>
    </xf>
    <xf numFmtId="0" fontId="20" fillId="15" borderId="12" xfId="0" applyFont="1" applyFill="1" applyBorder="1" applyAlignment="1">
      <alignment horizontal="center"/>
    </xf>
    <xf numFmtId="0" fontId="20" fillId="15" borderId="13" xfId="0" applyFont="1" applyFill="1" applyBorder="1" applyAlignment="1">
      <alignment horizontal="center"/>
    </xf>
    <xf numFmtId="0" fontId="0" fillId="0" borderId="11" xfId="0" applyFont="1" applyBorder="1" applyAlignment="1">
      <alignment horizontal="left" indent="1"/>
    </xf>
    <xf numFmtId="0" fontId="3" fillId="0" borderId="12" xfId="0" applyFont="1" applyBorder="1" applyAlignment="1">
      <alignment horizontal="left" indent="1"/>
    </xf>
    <xf numFmtId="0" fontId="0" fillId="0" borderId="12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2" xfId="0" applyFont="1" applyBorder="1" applyAlignment="1">
      <alignment horizontal="left" indent="1"/>
    </xf>
    <xf numFmtId="3" fontId="0" fillId="0" borderId="12" xfId="0" applyNumberFormat="1" applyFont="1" applyBorder="1"/>
    <xf numFmtId="3" fontId="0" fillId="0" borderId="13" xfId="0" applyNumberFormat="1" applyFont="1" applyBorder="1"/>
    <xf numFmtId="9" fontId="0" fillId="0" borderId="12" xfId="0" applyNumberFormat="1" applyFont="1" applyBorder="1"/>
    <xf numFmtId="9" fontId="0" fillId="0" borderId="13" xfId="0" applyNumberFormat="1" applyFont="1" applyBorder="1"/>
    <xf numFmtId="0" fontId="0" fillId="0" borderId="14" xfId="0" applyFont="1" applyBorder="1" applyAlignment="1">
      <alignment horizontal="left" indent="1"/>
    </xf>
    <xf numFmtId="0" fontId="0" fillId="0" borderId="15" xfId="0" applyFont="1" applyBorder="1" applyAlignment="1">
      <alignment horizontal="left" indent="1"/>
    </xf>
    <xf numFmtId="3" fontId="0" fillId="0" borderId="15" xfId="0" applyNumberFormat="1" applyFont="1" applyBorder="1"/>
    <xf numFmtId="3" fontId="0" fillId="0" borderId="16" xfId="0" applyNumberFormat="1" applyFont="1" applyBorder="1"/>
    <xf numFmtId="3" fontId="0" fillId="0" borderId="0" xfId="0" applyNumberFormat="1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3" fillId="12" borderId="6" xfId="0" applyFont="1" applyFill="1" applyBorder="1" applyAlignment="1">
      <alignment horizontal="right" indent="1"/>
    </xf>
    <xf numFmtId="0" fontId="7" fillId="12" borderId="6" xfId="4" applyFill="1" applyBorder="1"/>
    <xf numFmtId="3" fontId="7" fillId="12" borderId="6" xfId="4" applyNumberFormat="1" applyFill="1" applyBorder="1"/>
    <xf numFmtId="3" fontId="7" fillId="12" borderId="6" xfId="4" applyNumberFormat="1" applyFill="1" applyBorder="1" applyAlignment="1">
      <alignment horizontal="right"/>
    </xf>
    <xf numFmtId="0" fontId="0" fillId="12" borderId="4" xfId="0" applyFill="1" applyBorder="1"/>
    <xf numFmtId="0" fontId="17" fillId="12" borderId="0" xfId="0" applyFont="1" applyFill="1"/>
    <xf numFmtId="0" fontId="0" fillId="12" borderId="17" xfId="0" applyFill="1" applyBorder="1"/>
    <xf numFmtId="0" fontId="3" fillId="0" borderId="18" xfId="0" applyFont="1" applyBorder="1"/>
    <xf numFmtId="0" fontId="3" fillId="0" borderId="2" xfId="0" applyFont="1" applyBorder="1" applyAlignment="1">
      <alignment horizontal="left" indent="1"/>
    </xf>
    <xf numFmtId="0" fontId="3" fillId="0" borderId="2" xfId="0" applyFont="1" applyBorder="1" applyAlignment="1">
      <alignment horizontal="center"/>
    </xf>
    <xf numFmtId="0" fontId="3" fillId="0" borderId="19" xfId="0" applyFont="1" applyBorder="1" applyAlignment="1">
      <alignment horizontal="left"/>
    </xf>
    <xf numFmtId="0" fontId="0" fillId="0" borderId="20" xfId="0" applyBorder="1" applyAlignment="1">
      <alignment horizontal="left" indent="1"/>
    </xf>
    <xf numFmtId="0" fontId="0" fillId="0" borderId="21" xfId="0" applyBorder="1"/>
    <xf numFmtId="0" fontId="0" fillId="0" borderId="22" xfId="0" applyBorder="1" applyAlignment="1">
      <alignment horizontal="left" indent="1"/>
    </xf>
    <xf numFmtId="0" fontId="0" fillId="0" borderId="3" xfId="0" applyBorder="1" applyAlignment="1">
      <alignment horizontal="left" indent="1"/>
    </xf>
    <xf numFmtId="3" fontId="0" fillId="0" borderId="3" xfId="0" applyNumberFormat="1" applyBorder="1"/>
    <xf numFmtId="0" fontId="0" fillId="0" borderId="3" xfId="0" applyBorder="1"/>
    <xf numFmtId="0" fontId="0" fillId="0" borderId="23" xfId="0" applyBorder="1"/>
    <xf numFmtId="0" fontId="3" fillId="0" borderId="19" xfId="0" applyFont="1" applyBorder="1" applyAlignment="1">
      <alignment horizontal="center"/>
    </xf>
    <xf numFmtId="164" fontId="2" fillId="2" borderId="0" xfId="2" applyNumberFormat="1" applyBorder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left" indent="1"/>
    </xf>
    <xf numFmtId="0" fontId="0" fillId="0" borderId="19" xfId="0" applyBorder="1"/>
    <xf numFmtId="0" fontId="0" fillId="0" borderId="2" xfId="0" applyBorder="1"/>
    <xf numFmtId="0" fontId="0" fillId="0" borderId="24" xfId="0" applyBorder="1"/>
    <xf numFmtId="0" fontId="0" fillId="0" borderId="0" xfId="0" applyFill="1" applyBorder="1"/>
    <xf numFmtId="0" fontId="3" fillId="8" borderId="0" xfId="0" applyFont="1" applyFill="1" applyAlignment="1"/>
    <xf numFmtId="166" fontId="0" fillId="0" borderId="0" xfId="0" applyNumberFormat="1" applyFont="1" applyAlignment="1"/>
    <xf numFmtId="3" fontId="0" fillId="0" borderId="0" xfId="0" applyNumberFormat="1" applyFont="1" applyAlignment="1"/>
    <xf numFmtId="0" fontId="19" fillId="14" borderId="0" xfId="5"/>
    <xf numFmtId="164" fontId="0" fillId="0" borderId="0" xfId="1" applyNumberFormat="1" applyFont="1" applyAlignment="1"/>
    <xf numFmtId="9" fontId="0" fillId="0" borderId="0" xfId="1" applyFont="1" applyBorder="1"/>
    <xf numFmtId="9" fontId="0" fillId="0" borderId="21" xfId="1" applyFont="1" applyBorder="1"/>
    <xf numFmtId="166" fontId="0" fillId="0" borderId="0" xfId="0" applyNumberFormat="1" applyBorder="1"/>
    <xf numFmtId="166" fontId="0" fillId="0" borderId="0" xfId="0" applyNumberFormat="1" applyFill="1" applyBorder="1"/>
    <xf numFmtId="166" fontId="0" fillId="0" borderId="21" xfId="0" applyNumberFormat="1" applyBorder="1"/>
    <xf numFmtId="0" fontId="3" fillId="0" borderId="2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left"/>
    </xf>
    <xf numFmtId="0" fontId="2" fillId="2" borderId="1" xfId="2"/>
    <xf numFmtId="0" fontId="21" fillId="0" borderId="0" xfId="0" applyFont="1" applyBorder="1"/>
    <xf numFmtId="0" fontId="0" fillId="8" borderId="0" xfId="0" applyFill="1" applyAlignment="1">
      <alignment horizontal="left" indent="1"/>
    </xf>
    <xf numFmtId="0" fontId="3" fillId="8" borderId="0" xfId="0" applyFont="1" applyFill="1"/>
    <xf numFmtId="0" fontId="0" fillId="0" borderId="0" xfId="0" applyFill="1" applyBorder="1" applyAlignment="1">
      <alignment horizontal="left" indent="1"/>
    </xf>
    <xf numFmtId="0" fontId="0" fillId="16" borderId="0" xfId="0" applyFill="1"/>
    <xf numFmtId="164" fontId="2" fillId="2" borderId="1" xfId="2" applyNumberFormat="1"/>
    <xf numFmtId="165" fontId="2" fillId="2" borderId="1" xfId="2" applyNumberFormat="1"/>
    <xf numFmtId="3" fontId="3" fillId="0" borderId="0" xfId="0" applyNumberFormat="1" applyFont="1" applyAlignment="1"/>
    <xf numFmtId="0" fontId="0" fillId="17" borderId="0" xfId="0" applyFill="1"/>
    <xf numFmtId="0" fontId="3" fillId="8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18" fillId="13" borderId="7" xfId="0" applyFont="1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/>
    </xf>
    <xf numFmtId="0" fontId="18" fillId="13" borderId="8" xfId="0" applyFont="1" applyFill="1" applyBorder="1" applyAlignment="1">
      <alignment horizontal="center" vertical="center"/>
    </xf>
    <xf numFmtId="0" fontId="18" fillId="13" borderId="9" xfId="0" applyFont="1" applyFill="1" applyBorder="1" applyAlignment="1">
      <alignment horizontal="center" vertical="center"/>
    </xf>
    <xf numFmtId="0" fontId="18" fillId="13" borderId="0" xfId="0" applyFont="1" applyFill="1" applyBorder="1" applyAlignment="1">
      <alignment horizontal="center" vertical="center"/>
    </xf>
    <xf numFmtId="3" fontId="0" fillId="0" borderId="21" xfId="0" applyNumberFormat="1" applyBorder="1"/>
    <xf numFmtId="0" fontId="0" fillId="0" borderId="20" xfId="0" applyBorder="1"/>
    <xf numFmtId="0" fontId="0" fillId="0" borderId="22" xfId="0" applyBorder="1"/>
    <xf numFmtId="0" fontId="3" fillId="8" borderId="0" xfId="0" applyFont="1" applyFill="1" applyAlignment="1">
      <alignment horizontal="left"/>
    </xf>
    <xf numFmtId="3" fontId="3" fillId="8" borderId="0" xfId="0" applyNumberFormat="1" applyFont="1" applyFill="1" applyAlignment="1">
      <alignment horizontal="center"/>
    </xf>
    <xf numFmtId="0" fontId="0" fillId="13" borderId="0" xfId="0" applyFill="1"/>
    <xf numFmtId="0" fontId="21" fillId="0" borderId="0" xfId="0" applyFont="1" applyFill="1" applyBorder="1" applyAlignment="1">
      <alignment horizontal="left" indent="1"/>
    </xf>
    <xf numFmtId="0" fontId="21" fillId="0" borderId="0" xfId="0" applyFont="1"/>
    <xf numFmtId="0" fontId="0" fillId="18" borderId="0" xfId="0" applyFill="1"/>
    <xf numFmtId="0" fontId="0" fillId="0" borderId="0" xfId="0" quotePrefix="1"/>
    <xf numFmtId="0" fontId="21" fillId="0" borderId="0" xfId="0" applyFont="1" applyAlignment="1">
      <alignment horizontal="left" indent="1"/>
    </xf>
    <xf numFmtId="0" fontId="0" fillId="0" borderId="20" xfId="0" applyFont="1" applyBorder="1" applyAlignment="1">
      <alignment horizontal="left" indent="1"/>
    </xf>
    <xf numFmtId="0" fontId="0" fillId="0" borderId="0" xfId="0" quotePrefix="1" applyFont="1" applyBorder="1" applyAlignment="1">
      <alignment horizontal="center"/>
    </xf>
    <xf numFmtId="0" fontId="0" fillId="0" borderId="21" xfId="0" applyFont="1" applyBorder="1" applyAlignment="1">
      <alignment horizontal="center"/>
    </xf>
    <xf numFmtId="0" fontId="3" fillId="8" borderId="0" xfId="0" applyFont="1" applyFill="1" applyAlignment="1">
      <alignment horizontal="left" indent="1"/>
    </xf>
    <xf numFmtId="3" fontId="2" fillId="2" borderId="1" xfId="2" applyNumberFormat="1"/>
    <xf numFmtId="0" fontId="16" fillId="18" borderId="0" xfId="0" applyFont="1" applyFill="1" applyAlignment="1">
      <alignment horizontal="center"/>
    </xf>
    <xf numFmtId="0" fontId="0" fillId="0" borderId="0" xfId="0" quotePrefix="1" applyBorder="1" applyAlignment="1">
      <alignment horizontal="left" indent="1"/>
    </xf>
    <xf numFmtId="1" fontId="0" fillId="0" borderId="0" xfId="0" applyNumberFormat="1" applyBorder="1" applyAlignment="1">
      <alignment horizontal="center"/>
    </xf>
  </cellXfs>
  <cellStyles count="6">
    <cellStyle name="Bad" xfId="3" builtinId="27"/>
    <cellStyle name="Calculation" xfId="2" builtinId="22"/>
    <cellStyle name="Input" xfId="4" builtinId="20"/>
    <cellStyle name="Neutral" xfId="5" builtinId="28"/>
    <cellStyle name="Normal" xfId="0" builtinId="0"/>
    <cellStyle name="Percent" xfId="1" builtinId="5"/>
  </cellStyles>
  <dxfs count="10"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00FFFF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Scenarier!$K$14</c:f>
          <c:strCache>
            <c:ptCount val="1"/>
            <c:pt idx="0">
              <c:v>Økonomiske nøgletal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56229559223833447"/>
          <c:h val="0.78436604938271604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Scenarier!$C$54</c:f>
              <c:strCache>
                <c:ptCount val="1"/>
                <c:pt idx="0">
                  <c:v>Dækningsbidrag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Scenarier!$E$54:$Y$54</c:f>
              <c:numCache>
                <c:formatCode>#,##0</c:formatCode>
                <c:ptCount val="21"/>
                <c:pt idx="0">
                  <c:v>8081.0686816686157</c:v>
                </c:pt>
                <c:pt idx="1">
                  <c:v>8329.056190743413</c:v>
                </c:pt>
                <c:pt idx="2">
                  <c:v>8301.1435517990449</c:v>
                </c:pt>
                <c:pt idx="3">
                  <c:v>8273.7919741592195</c:v>
                </c:pt>
                <c:pt idx="4">
                  <c:v>8246.984455966227</c:v>
                </c:pt>
                <c:pt idx="5">
                  <c:v>8220.7046754366638</c:v>
                </c:pt>
                <c:pt idx="6">
                  <c:v>8194.9369571943898</c:v>
                </c:pt>
                <c:pt idx="7">
                  <c:v>8169.6662405838888</c:v>
                </c:pt>
                <c:pt idx="8">
                  <c:v>8345.471851640461</c:v>
                </c:pt>
                <c:pt idx="9">
                  <c:v>8321.1522677270732</c:v>
                </c:pt>
                <c:pt idx="10">
                  <c:v>8297.2879018878102</c:v>
                </c:pt>
                <c:pt idx="11">
                  <c:v>8273.8658705922808</c:v>
                </c:pt>
                <c:pt idx="12">
                  <c:v>8250.8737719373821</c:v>
                </c:pt>
                <c:pt idx="13">
                  <c:v>8228.2996633497696</c:v>
                </c:pt>
                <c:pt idx="14">
                  <c:v>8206.1320405156621</c:v>
                </c:pt>
                <c:pt idx="15">
                  <c:v>8184.3598174599611</c:v>
                </c:pt>
                <c:pt idx="16">
                  <c:v>8162.9723077021736</c:v>
                </c:pt>
                <c:pt idx="17">
                  <c:v>8141.9592064218168</c:v>
                </c:pt>
                <c:pt idx="18">
                  <c:v>8121.3105735708205</c:v>
                </c:pt>
                <c:pt idx="19">
                  <c:v>8101.0168178747244</c:v>
                </c:pt>
                <c:pt idx="20">
                  <c:v>8081.0686816686157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F7-42B2-B353-28C953E21D03}"/>
            </c:ext>
          </c:extLst>
        </c:ser>
        <c:ser>
          <c:idx val="1"/>
          <c:order val="1"/>
          <c:tx>
            <c:strRef>
              <c:f>Scenarier!$C$55</c:f>
              <c:strCache>
                <c:ptCount val="1"/>
                <c:pt idx="0">
                  <c:v>Indtægter 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Scenarier!$E$55:$Y$55</c:f>
              <c:numCache>
                <c:formatCode>#,##0</c:formatCode>
                <c:ptCount val="21"/>
                <c:pt idx="0">
                  <c:v>15652.263443326186</c:v>
                </c:pt>
                <c:pt idx="1">
                  <c:v>16181.783291652784</c:v>
                </c:pt>
                <c:pt idx="2">
                  <c:v>16136.225467580172</c:v>
                </c:pt>
                <c:pt idx="3">
                  <c:v>16091.597395019249</c:v>
                </c:pt>
                <c:pt idx="4">
                  <c:v>16047.870899681777</c:v>
                </c:pt>
                <c:pt idx="5">
                  <c:v>16005.018934251055</c:v>
                </c:pt>
                <c:pt idx="6">
                  <c:v>15963.01552259124</c:v>
                </c:pt>
                <c:pt idx="7">
                  <c:v>15921.835707238479</c:v>
                </c:pt>
                <c:pt idx="8">
                  <c:v>16082.049301761796</c:v>
                </c:pt>
                <c:pt idx="9">
                  <c:v>16042.445636921975</c:v>
                </c:pt>
                <c:pt idx="10">
                  <c:v>16003.596327602914</c:v>
                </c:pt>
                <c:pt idx="11">
                  <c:v>15965.480024120061</c:v>
                </c:pt>
                <c:pt idx="12">
                  <c:v>15928.076174907916</c:v>
                </c:pt>
                <c:pt idx="13">
                  <c:v>15891.364989570069</c:v>
                </c:pt>
                <c:pt idx="14">
                  <c:v>15855.327403963192</c:v>
                </c:pt>
                <c:pt idx="15">
                  <c:v>15819.945047185534</c:v>
                </c:pt>
                <c:pt idx="16">
                  <c:v>15785.200210349813</c:v>
                </c:pt>
                <c:pt idx="17">
                  <c:v>15751.075817029016</c:v>
                </c:pt>
                <c:pt idx="18">
                  <c:v>15717.55539527142</c:v>
                </c:pt>
                <c:pt idx="19">
                  <c:v>15684.623051088518</c:v>
                </c:pt>
                <c:pt idx="20">
                  <c:v>15652.263443326186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F7-42B2-B353-28C953E21D03}"/>
            </c:ext>
          </c:extLst>
        </c:ser>
        <c:ser>
          <c:idx val="2"/>
          <c:order val="2"/>
          <c:tx>
            <c:strRef>
              <c:f>Scenarier!$C$56</c:f>
              <c:strCache>
                <c:ptCount val="1"/>
                <c:pt idx="0">
                  <c:v>Omkostninger total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Scenarier!$E$56:$Y$56</c:f>
              <c:numCache>
                <c:formatCode>#,##0</c:formatCode>
                <c:ptCount val="21"/>
                <c:pt idx="0">
                  <c:v>-7571.1947616575708</c:v>
                </c:pt>
                <c:pt idx="1">
                  <c:v>-7852.7271009093702</c:v>
                </c:pt>
                <c:pt idx="2">
                  <c:v>-7835.0819157811293</c:v>
                </c:pt>
                <c:pt idx="3">
                  <c:v>-7817.8054208600297</c:v>
                </c:pt>
                <c:pt idx="4">
                  <c:v>-7800.8864437155489</c:v>
                </c:pt>
                <c:pt idx="5">
                  <c:v>-7784.314258814391</c:v>
                </c:pt>
                <c:pt idx="6">
                  <c:v>-7768.0785653968505</c:v>
                </c:pt>
                <c:pt idx="7">
                  <c:v>-7752.1694666545891</c:v>
                </c:pt>
                <c:pt idx="8">
                  <c:v>-7736.5774501213346</c:v>
                </c:pt>
                <c:pt idx="9">
                  <c:v>-7721.2933691949038</c:v>
                </c:pt>
                <c:pt idx="10">
                  <c:v>-7706.3084257151031</c:v>
                </c:pt>
                <c:pt idx="11">
                  <c:v>-7691.6141535277802</c:v>
                </c:pt>
                <c:pt idx="12">
                  <c:v>-7677.2024029705326</c:v>
                </c:pt>
                <c:pt idx="13">
                  <c:v>-7663.0653262203014</c:v>
                </c:pt>
                <c:pt idx="14">
                  <c:v>-7649.1953634475321</c:v>
                </c:pt>
                <c:pt idx="15">
                  <c:v>-7635.5852297255733</c:v>
                </c:pt>
                <c:pt idx="16">
                  <c:v>-7622.2279026476399</c:v>
                </c:pt>
                <c:pt idx="17">
                  <c:v>-7609.1166106071996</c:v>
                </c:pt>
                <c:pt idx="18">
                  <c:v>-7596.2448217006004</c:v>
                </c:pt>
                <c:pt idx="19">
                  <c:v>-7583.6062332137935</c:v>
                </c:pt>
                <c:pt idx="20">
                  <c:v>-7571.1947616575708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F7-42B2-B353-28C953E21D03}"/>
            </c:ext>
          </c:extLst>
        </c:ser>
        <c:ser>
          <c:idx val="3"/>
          <c:order val="3"/>
          <c:tx>
            <c:strRef>
              <c:f>Scenarier!$C$57</c:f>
              <c:strCache>
                <c:ptCount val="1"/>
                <c:pt idx="0">
                  <c:v>RGK-rabat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Scenarier!$E$57:$Y$57</c:f>
              <c:numCache>
                <c:formatCode>#,##0</c:formatCode>
                <c:ptCount val="21"/>
                <c:pt idx="0">
                  <c:v>200.59380181097563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200.59380181097563</c:v>
                </c:pt>
                <c:pt idx="9">
                  <c:v>200.59380181097563</c:v>
                </c:pt>
                <c:pt idx="10">
                  <c:v>200.59380181097563</c:v>
                </c:pt>
                <c:pt idx="11">
                  <c:v>200.59380181097563</c:v>
                </c:pt>
                <c:pt idx="12">
                  <c:v>200.59380181097563</c:v>
                </c:pt>
                <c:pt idx="13">
                  <c:v>200.59380181097563</c:v>
                </c:pt>
                <c:pt idx="14">
                  <c:v>200.59380181097563</c:v>
                </c:pt>
                <c:pt idx="15">
                  <c:v>200.59380181097563</c:v>
                </c:pt>
                <c:pt idx="16">
                  <c:v>200.59380181097563</c:v>
                </c:pt>
                <c:pt idx="17">
                  <c:v>200.59380181097563</c:v>
                </c:pt>
                <c:pt idx="18">
                  <c:v>200.59380181097563</c:v>
                </c:pt>
                <c:pt idx="19">
                  <c:v>200.59380181097563</c:v>
                </c:pt>
                <c:pt idx="20">
                  <c:v>200.59380181097563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6F7-42B2-B353-28C953E21D03}"/>
            </c:ext>
          </c:extLst>
        </c:ser>
        <c:ser>
          <c:idx val="4"/>
          <c:order val="4"/>
          <c:tx>
            <c:strRef>
              <c:f>Scenarier!$C$58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Scenarier!$E$58:$Y$58</c:f>
              <c:numCache>
                <c:formatCode>#,##0</c:formatCode>
                <c:ptCount val="21"/>
                <c:pt idx="0">
                  <c:v>4040.3371902956987</c:v>
                </c:pt>
                <c:pt idx="1">
                  <c:v>4770.4508404332728</c:v>
                </c:pt>
                <c:pt idx="2">
                  <c:v>4724.8930163606619</c:v>
                </c:pt>
                <c:pt idx="3">
                  <c:v>4680.2649437997379</c:v>
                </c:pt>
                <c:pt idx="4">
                  <c:v>4636.5384484622655</c:v>
                </c:pt>
                <c:pt idx="5">
                  <c:v>4593.6864830315435</c:v>
                </c:pt>
                <c:pt idx="6">
                  <c:v>4551.6830713717272</c:v>
                </c:pt>
                <c:pt idx="7">
                  <c:v>4510.5032560189666</c:v>
                </c:pt>
                <c:pt idx="8">
                  <c:v>4470.1230487313078</c:v>
                </c:pt>
                <c:pt idx="9">
                  <c:v>4430.5193838914875</c:v>
                </c:pt>
                <c:pt idx="10">
                  <c:v>4391.6700745724256</c:v>
                </c:pt>
                <c:pt idx="11">
                  <c:v>4353.5537710895724</c:v>
                </c:pt>
                <c:pt idx="12">
                  <c:v>4316.1499218774279</c:v>
                </c:pt>
                <c:pt idx="13">
                  <c:v>4279.4387365395824</c:v>
                </c:pt>
                <c:pt idx="14">
                  <c:v>4243.4011509327056</c:v>
                </c:pt>
                <c:pt idx="15">
                  <c:v>4208.0187941550466</c:v>
                </c:pt>
                <c:pt idx="16">
                  <c:v>4173.2739573193248</c:v>
                </c:pt>
                <c:pt idx="17">
                  <c:v>4139.1495639985287</c:v>
                </c:pt>
                <c:pt idx="18">
                  <c:v>4105.6291422409313</c:v>
                </c:pt>
                <c:pt idx="19">
                  <c:v>4072.6967980580289</c:v>
                </c:pt>
                <c:pt idx="20">
                  <c:v>4040.3371902956987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6F7-42B2-B353-28C953E21D03}"/>
            </c:ext>
          </c:extLst>
        </c:ser>
        <c:ser>
          <c:idx val="5"/>
          <c:order val="5"/>
          <c:tx>
            <c:strRef>
              <c:f>Scenarier!$C$59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Scenarier!$E$59:$Y$59</c:f>
              <c:numCache>
                <c:formatCode>#,##0</c:formatCode>
                <c:ptCount val="21"/>
                <c:pt idx="0">
                  <c:v>7464</c:v>
                </c:pt>
                <c:pt idx="1">
                  <c:v>7464</c:v>
                </c:pt>
                <c:pt idx="2">
                  <c:v>7464</c:v>
                </c:pt>
                <c:pt idx="3">
                  <c:v>7464</c:v>
                </c:pt>
                <c:pt idx="4">
                  <c:v>7464</c:v>
                </c:pt>
                <c:pt idx="5">
                  <c:v>7464</c:v>
                </c:pt>
                <c:pt idx="6">
                  <c:v>7464</c:v>
                </c:pt>
                <c:pt idx="7">
                  <c:v>7464</c:v>
                </c:pt>
                <c:pt idx="8">
                  <c:v>7464</c:v>
                </c:pt>
                <c:pt idx="9">
                  <c:v>7464</c:v>
                </c:pt>
                <c:pt idx="10">
                  <c:v>7464</c:v>
                </c:pt>
                <c:pt idx="11">
                  <c:v>7464</c:v>
                </c:pt>
                <c:pt idx="12">
                  <c:v>7464</c:v>
                </c:pt>
                <c:pt idx="13">
                  <c:v>7464</c:v>
                </c:pt>
                <c:pt idx="14">
                  <c:v>7464</c:v>
                </c:pt>
                <c:pt idx="15">
                  <c:v>7464</c:v>
                </c:pt>
                <c:pt idx="16">
                  <c:v>7464</c:v>
                </c:pt>
                <c:pt idx="17">
                  <c:v>7464</c:v>
                </c:pt>
                <c:pt idx="18">
                  <c:v>7464</c:v>
                </c:pt>
                <c:pt idx="19">
                  <c:v>7464</c:v>
                </c:pt>
                <c:pt idx="20">
                  <c:v>7464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6F7-42B2-B353-28C953E21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82026623144042"/>
          <c:y val="0.13756265432098763"/>
          <c:w val="0.3235079747672878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sz="10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Scenarier!$D$14</c:f>
          <c:strCache>
            <c:ptCount val="1"/>
            <c:pt idx="0">
              <c:v>Modtagebetaling og RGK-rabat vs. RGK-udnyttelse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1289197530864202E-2"/>
          <c:y val="0.16400868055555556"/>
          <c:w val="0.62724104938271596"/>
          <c:h val="0.72515486111111116"/>
        </c:manualLayout>
      </c:layout>
      <c:scatterChart>
        <c:scatterStyle val="lineMarker"/>
        <c:varyColors val="0"/>
        <c:ser>
          <c:idx val="0"/>
          <c:order val="0"/>
          <c:tx>
            <c:strRef>
              <c:f>Scenarier!$C$79</c:f>
              <c:strCache>
                <c:ptCount val="1"/>
                <c:pt idx="0">
                  <c:v>RGK-rabat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E564-4A1A-BA54-14E76CACE87F}"/>
              </c:ext>
            </c:extLst>
          </c:dPt>
          <c:xVal>
            <c:numRef>
              <c:f>Scenarier!$F$78:$Y$78</c:f>
              <c:numCache>
                <c:formatCode>0%</c:formatCode>
                <c:ptCount val="20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  <c:pt idx="19">
                  <c:v>0</c:v>
                </c:pt>
              </c:numCache>
            </c:numRef>
          </c:xVal>
          <c:yVal>
            <c:numRef>
              <c:f>Scenarier!$F$79:$Y$79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200.59380181097563</c:v>
                </c:pt>
                <c:pt idx="8">
                  <c:v>200.59380181097563</c:v>
                </c:pt>
                <c:pt idx="9">
                  <c:v>200.59380181097563</c:v>
                </c:pt>
                <c:pt idx="10">
                  <c:v>200.59380181097563</c:v>
                </c:pt>
                <c:pt idx="11">
                  <c:v>200.59380181097563</c:v>
                </c:pt>
                <c:pt idx="12">
                  <c:v>200.59380181097563</c:v>
                </c:pt>
                <c:pt idx="13">
                  <c:v>200.59380181097563</c:v>
                </c:pt>
                <c:pt idx="14">
                  <c:v>200.59380181097563</c:v>
                </c:pt>
                <c:pt idx="15">
                  <c:v>200.59380181097563</c:v>
                </c:pt>
                <c:pt idx="16">
                  <c:v>200.59380181097563</c:v>
                </c:pt>
                <c:pt idx="17">
                  <c:v>200.59380181097563</c:v>
                </c:pt>
                <c:pt idx="18">
                  <c:v>200.59380181097563</c:v>
                </c:pt>
                <c:pt idx="19">
                  <c:v>200.59380181097563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64-4A1A-BA54-14E76CACE87F}"/>
            </c:ext>
          </c:extLst>
        </c:ser>
        <c:ser>
          <c:idx val="1"/>
          <c:order val="1"/>
          <c:tx>
            <c:strRef>
              <c:f>Scenarier!$C$80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564-4A1A-BA54-14E76CACE87F}"/>
              </c:ext>
            </c:extLst>
          </c:dPt>
          <c:xVal>
            <c:numRef>
              <c:f>Scenarier!$F$78:$Y$78</c:f>
              <c:numCache>
                <c:formatCode>0%</c:formatCode>
                <c:ptCount val="20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  <c:pt idx="19">
                  <c:v>0</c:v>
                </c:pt>
              </c:numCache>
            </c:numRef>
          </c:xVal>
          <c:yVal>
            <c:numRef>
              <c:f>Scenarier!$F$80:$Y$80</c:f>
              <c:numCache>
                <c:formatCode>#,##0</c:formatCode>
                <c:ptCount val="20"/>
                <c:pt idx="0">
                  <c:v>4770.4508404332728</c:v>
                </c:pt>
                <c:pt idx="1">
                  <c:v>4724.8930163606619</c:v>
                </c:pt>
                <c:pt idx="2">
                  <c:v>4680.2649437997379</c:v>
                </c:pt>
                <c:pt idx="3">
                  <c:v>4636.5384484622655</c:v>
                </c:pt>
                <c:pt idx="4">
                  <c:v>4593.6864830315435</c:v>
                </c:pt>
                <c:pt idx="5">
                  <c:v>4551.6830713717272</c:v>
                </c:pt>
                <c:pt idx="6">
                  <c:v>4510.5032560189666</c:v>
                </c:pt>
                <c:pt idx="7">
                  <c:v>4470.1230487313078</c:v>
                </c:pt>
                <c:pt idx="8">
                  <c:v>4430.5193838914875</c:v>
                </c:pt>
                <c:pt idx="9">
                  <c:v>4391.6700745724256</c:v>
                </c:pt>
                <c:pt idx="10">
                  <c:v>4353.5537710895724</c:v>
                </c:pt>
                <c:pt idx="11">
                  <c:v>4316.1499218774279</c:v>
                </c:pt>
                <c:pt idx="12">
                  <c:v>4279.4387365395824</c:v>
                </c:pt>
                <c:pt idx="13">
                  <c:v>4243.4011509327056</c:v>
                </c:pt>
                <c:pt idx="14">
                  <c:v>4208.0187941550466</c:v>
                </c:pt>
                <c:pt idx="15">
                  <c:v>4173.2739573193248</c:v>
                </c:pt>
                <c:pt idx="16">
                  <c:v>4139.1495639985287</c:v>
                </c:pt>
                <c:pt idx="17">
                  <c:v>4105.6291422409313</c:v>
                </c:pt>
                <c:pt idx="18">
                  <c:v>4072.6967980580289</c:v>
                </c:pt>
                <c:pt idx="19">
                  <c:v>4040.3371902956987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64-4A1A-BA54-14E76CACE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10240"/>
        <c:axId val="670910656"/>
      </c:scatterChart>
      <c:valAx>
        <c:axId val="67091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656"/>
        <c:crosses val="autoZero"/>
        <c:crossBetween val="midCat"/>
      </c:valAx>
      <c:valAx>
        <c:axId val="67091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2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068780864197525"/>
          <c:y val="0.18627098765432099"/>
          <c:w val="0.25491234567901233"/>
          <c:h val="0.146533950617283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Scenarier!$T$14</c:f>
          <c:strCache>
            <c:ptCount val="1"/>
            <c:pt idx="0">
              <c:v>Varmemængder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62697150818340919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Scenarier!$C$59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Scenarier!$E$59:$Y$59</c:f>
              <c:numCache>
                <c:formatCode>#,##0</c:formatCode>
                <c:ptCount val="21"/>
                <c:pt idx="0">
                  <c:v>7464</c:v>
                </c:pt>
                <c:pt idx="1">
                  <c:v>7464</c:v>
                </c:pt>
                <c:pt idx="2">
                  <c:v>7464</c:v>
                </c:pt>
                <c:pt idx="3">
                  <c:v>7464</c:v>
                </c:pt>
                <c:pt idx="4">
                  <c:v>7464</c:v>
                </c:pt>
                <c:pt idx="5">
                  <c:v>7464</c:v>
                </c:pt>
                <c:pt idx="6">
                  <c:v>7464</c:v>
                </c:pt>
                <c:pt idx="7">
                  <c:v>7464</c:v>
                </c:pt>
                <c:pt idx="8">
                  <c:v>7464</c:v>
                </c:pt>
                <c:pt idx="9">
                  <c:v>7464</c:v>
                </c:pt>
                <c:pt idx="10">
                  <c:v>7464</c:v>
                </c:pt>
                <c:pt idx="11">
                  <c:v>7464</c:v>
                </c:pt>
                <c:pt idx="12">
                  <c:v>7464</c:v>
                </c:pt>
                <c:pt idx="13">
                  <c:v>7464</c:v>
                </c:pt>
                <c:pt idx="14">
                  <c:v>7464</c:v>
                </c:pt>
                <c:pt idx="15">
                  <c:v>7464</c:v>
                </c:pt>
                <c:pt idx="16">
                  <c:v>7464</c:v>
                </c:pt>
                <c:pt idx="17">
                  <c:v>7464</c:v>
                </c:pt>
                <c:pt idx="18">
                  <c:v>7464</c:v>
                </c:pt>
                <c:pt idx="19">
                  <c:v>7464</c:v>
                </c:pt>
                <c:pt idx="20">
                  <c:v>7464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8C-4A3E-879F-9C74DD9D4B81}"/>
            </c:ext>
          </c:extLst>
        </c:ser>
        <c:ser>
          <c:idx val="1"/>
          <c:order val="1"/>
          <c:tx>
            <c:strRef>
              <c:f>Scenarier!$C$60</c:f>
              <c:strCache>
                <c:ptCount val="1"/>
                <c:pt idx="0">
                  <c:v>Varmeproduktion Ovn2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Scenarier!$E$60:$Y$60</c:f>
              <c:numCache>
                <c:formatCode>#,##0</c:formatCode>
                <c:ptCount val="21"/>
                <c:pt idx="0">
                  <c:v>3168</c:v>
                </c:pt>
                <c:pt idx="1">
                  <c:v>7055.4000000000015</c:v>
                </c:pt>
                <c:pt idx="2">
                  <c:v>6850.7999999999993</c:v>
                </c:pt>
                <c:pt idx="3">
                  <c:v>6646.2000000000007</c:v>
                </c:pt>
                <c:pt idx="4">
                  <c:v>6441.5999999999985</c:v>
                </c:pt>
                <c:pt idx="5">
                  <c:v>6237</c:v>
                </c:pt>
                <c:pt idx="6">
                  <c:v>6032.4000000000015</c:v>
                </c:pt>
                <c:pt idx="7">
                  <c:v>5827.7999999999993</c:v>
                </c:pt>
                <c:pt idx="8">
                  <c:v>5623.2000000000007</c:v>
                </c:pt>
                <c:pt idx="9">
                  <c:v>5418.5999999999985</c:v>
                </c:pt>
                <c:pt idx="10">
                  <c:v>5214</c:v>
                </c:pt>
                <c:pt idx="11">
                  <c:v>5009.4000000000015</c:v>
                </c:pt>
                <c:pt idx="12">
                  <c:v>4804.7999999999993</c:v>
                </c:pt>
                <c:pt idx="13">
                  <c:v>4600.2000000000007</c:v>
                </c:pt>
                <c:pt idx="14">
                  <c:v>4395.5999999999985</c:v>
                </c:pt>
                <c:pt idx="15">
                  <c:v>4191</c:v>
                </c:pt>
                <c:pt idx="16">
                  <c:v>3986.4000000000015</c:v>
                </c:pt>
                <c:pt idx="17">
                  <c:v>3781.7999999999993</c:v>
                </c:pt>
                <c:pt idx="18">
                  <c:v>3577.2000000000007</c:v>
                </c:pt>
                <c:pt idx="19">
                  <c:v>3372.5999999999985</c:v>
                </c:pt>
                <c:pt idx="20">
                  <c:v>3168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8C-4A3E-879F-9C74DD9D4B81}"/>
            </c:ext>
          </c:extLst>
        </c:ser>
        <c:ser>
          <c:idx val="2"/>
          <c:order val="2"/>
          <c:tx>
            <c:strRef>
              <c:f>Scenarier!$C$61</c:f>
              <c:strCache>
                <c:ptCount val="1"/>
                <c:pt idx="0">
                  <c:v>Varmeproduktion Ovn3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Scenarier!$E$61:$Y$61</c:f>
              <c:numCache>
                <c:formatCode>#,##0</c:formatCode>
                <c:ptCount val="21"/>
                <c:pt idx="0">
                  <c:v>20832</c:v>
                </c:pt>
                <c:pt idx="1">
                  <c:v>16944.599999999999</c:v>
                </c:pt>
                <c:pt idx="2">
                  <c:v>17149.2</c:v>
                </c:pt>
                <c:pt idx="3">
                  <c:v>17353.8</c:v>
                </c:pt>
                <c:pt idx="4">
                  <c:v>17558.400000000001</c:v>
                </c:pt>
                <c:pt idx="5">
                  <c:v>17763</c:v>
                </c:pt>
                <c:pt idx="6">
                  <c:v>17967.599999999999</c:v>
                </c:pt>
                <c:pt idx="7">
                  <c:v>18172.2</c:v>
                </c:pt>
                <c:pt idx="8">
                  <c:v>18376.8</c:v>
                </c:pt>
                <c:pt idx="9">
                  <c:v>18581.400000000001</c:v>
                </c:pt>
                <c:pt idx="10">
                  <c:v>18786</c:v>
                </c:pt>
                <c:pt idx="11">
                  <c:v>18990.599999999999</c:v>
                </c:pt>
                <c:pt idx="12">
                  <c:v>19195.2</c:v>
                </c:pt>
                <c:pt idx="13">
                  <c:v>19399.8</c:v>
                </c:pt>
                <c:pt idx="14">
                  <c:v>19604.400000000001</c:v>
                </c:pt>
                <c:pt idx="15">
                  <c:v>19809</c:v>
                </c:pt>
                <c:pt idx="16">
                  <c:v>20013.599999999999</c:v>
                </c:pt>
                <c:pt idx="17">
                  <c:v>20218.2</c:v>
                </c:pt>
                <c:pt idx="18">
                  <c:v>20422.8</c:v>
                </c:pt>
                <c:pt idx="19">
                  <c:v>20627.400000000001</c:v>
                </c:pt>
                <c:pt idx="20">
                  <c:v>20832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8C-4A3E-879F-9C74DD9D4B81}"/>
            </c:ext>
          </c:extLst>
        </c:ser>
        <c:ser>
          <c:idx val="3"/>
          <c:order val="3"/>
          <c:tx>
            <c:strRef>
              <c:f>Scenarier!$C$62</c:f>
              <c:strCache>
                <c:ptCount val="1"/>
                <c:pt idx="0">
                  <c:v>Bortkølet varme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Scenarier!$E$62:$Y$62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8C-4A3E-879F-9C74DD9D4B81}"/>
            </c:ext>
          </c:extLst>
        </c:ser>
        <c:ser>
          <c:idx val="4"/>
          <c:order val="4"/>
          <c:tx>
            <c:strRef>
              <c:f>Scenarier!$C$63</c:f>
              <c:strCache>
                <c:ptCount val="1"/>
                <c:pt idx="0">
                  <c:v>Leveret varme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Scenarier!$E$63:$Y$63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8C-4A3E-879F-9C74DD9D4B81}"/>
            </c:ext>
          </c:extLst>
        </c:ser>
        <c:ser>
          <c:idx val="5"/>
          <c:order val="5"/>
          <c:tx>
            <c:strRef>
              <c:f>Scenarier!$C$64</c:f>
              <c:strCache>
                <c:ptCount val="1"/>
                <c:pt idx="0">
                  <c:v>Spidslastvarme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Scenarier!$E$64:$Y$64</c:f>
              <c:numCache>
                <c:formatCode>#,##0</c:formatCode>
                <c:ptCount val="21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E8C-4A3E-879F-9C74DD9D4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341593788294447"/>
          <c:y val="0.13756265432098763"/>
          <c:w val="0.25606847900177793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Scenarier!$K$33</c:f>
          <c:strCache>
            <c:ptCount val="1"/>
            <c:pt idx="0">
              <c:v>Brændselsmængder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9192500735841391E-2"/>
          <c:y val="0.1265111111111111"/>
          <c:w val="0.56820286723879943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Scenarier!$C$65</c:f>
              <c:strCache>
                <c:ptCount val="1"/>
                <c:pt idx="0">
                  <c:v>Affaldsforbrug Ovn2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Scenarier!$E$65:$Y$65</c:f>
              <c:numCache>
                <c:formatCode>#,##0</c:formatCode>
                <c:ptCount val="21"/>
                <c:pt idx="0">
                  <c:v>1094.3867347062462</c:v>
                </c:pt>
                <c:pt idx="1">
                  <c:v>2919.670860050182</c:v>
                </c:pt>
                <c:pt idx="2">
                  <c:v>2805.7762998686553</c:v>
                </c:pt>
                <c:pt idx="3">
                  <c:v>2694.2061184663444</c:v>
                </c:pt>
                <c:pt idx="4">
                  <c:v>2584.8898801226651</c:v>
                </c:pt>
                <c:pt idx="5">
                  <c:v>2477.7599665458606</c:v>
                </c:pt>
                <c:pt idx="6">
                  <c:v>2372.751437396319</c:v>
                </c:pt>
                <c:pt idx="7">
                  <c:v>2269.8018990144151</c:v>
                </c:pt>
                <c:pt idx="8">
                  <c:v>2168.8513807952672</c:v>
                </c:pt>
                <c:pt idx="9">
                  <c:v>2069.8422186957168</c:v>
                </c:pt>
                <c:pt idx="10">
                  <c:v>1972.7189453980645</c:v>
                </c:pt>
                <c:pt idx="11">
                  <c:v>1877.4281866909339</c:v>
                </c:pt>
                <c:pt idx="12">
                  <c:v>1783.9185636605707</c:v>
                </c:pt>
                <c:pt idx="13">
                  <c:v>1692.1406003159564</c:v>
                </c:pt>
                <c:pt idx="14">
                  <c:v>1602.0466362987647</c:v>
                </c:pt>
                <c:pt idx="15">
                  <c:v>1513.5907443546141</c:v>
                </c:pt>
                <c:pt idx="16">
                  <c:v>1426.728652265313</c:v>
                </c:pt>
                <c:pt idx="17">
                  <c:v>1341.41766896332</c:v>
                </c:pt>
                <c:pt idx="18">
                  <c:v>1257.6166145693278</c:v>
                </c:pt>
                <c:pt idx="19">
                  <c:v>1175.2857541120711</c:v>
                </c:pt>
                <c:pt idx="20">
                  <c:v>1094.3867347062462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C7-4F8E-9C43-539F0400EE89}"/>
            </c:ext>
          </c:extLst>
        </c:ser>
        <c:ser>
          <c:idx val="1"/>
          <c:order val="1"/>
          <c:tx>
            <c:strRef>
              <c:f>Scenarier!$C$66</c:f>
              <c:strCache>
                <c:ptCount val="1"/>
                <c:pt idx="0">
                  <c:v>Affaldsforbrug 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Scenarier!$E$66:$Y$66</c:f>
              <c:numCache>
                <c:formatCode>#,##0</c:formatCode>
                <c:ptCount val="21"/>
                <c:pt idx="0">
                  <c:v>9006.456241033</c:v>
                </c:pt>
                <c:pt idx="1">
                  <c:v>9006.4562410329982</c:v>
                </c:pt>
                <c:pt idx="2">
                  <c:v>9006.456241033</c:v>
                </c:pt>
                <c:pt idx="3">
                  <c:v>9006.4562410329982</c:v>
                </c:pt>
                <c:pt idx="4">
                  <c:v>9006.456241033</c:v>
                </c:pt>
                <c:pt idx="5">
                  <c:v>9006.456241033</c:v>
                </c:pt>
                <c:pt idx="6">
                  <c:v>9006.456241033</c:v>
                </c:pt>
                <c:pt idx="7">
                  <c:v>9006.456241033</c:v>
                </c:pt>
                <c:pt idx="8">
                  <c:v>9006.456241033</c:v>
                </c:pt>
                <c:pt idx="9">
                  <c:v>9006.456241033</c:v>
                </c:pt>
                <c:pt idx="10">
                  <c:v>9006.456241033</c:v>
                </c:pt>
                <c:pt idx="11">
                  <c:v>9006.4562410329982</c:v>
                </c:pt>
                <c:pt idx="12">
                  <c:v>9006.456241033</c:v>
                </c:pt>
                <c:pt idx="13">
                  <c:v>9006.456241033</c:v>
                </c:pt>
                <c:pt idx="14">
                  <c:v>9006.456241033</c:v>
                </c:pt>
                <c:pt idx="15">
                  <c:v>9006.456241033</c:v>
                </c:pt>
                <c:pt idx="16">
                  <c:v>9006.456241033</c:v>
                </c:pt>
                <c:pt idx="17">
                  <c:v>9006.456241033</c:v>
                </c:pt>
                <c:pt idx="18">
                  <c:v>9006.456241033</c:v>
                </c:pt>
                <c:pt idx="19">
                  <c:v>9006.456241033</c:v>
                </c:pt>
                <c:pt idx="20">
                  <c:v>9006.456241033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7-4F8E-9C43-539F0400EE89}"/>
            </c:ext>
          </c:extLst>
        </c:ser>
        <c:ser>
          <c:idx val="2"/>
          <c:order val="2"/>
          <c:tx>
            <c:strRef>
              <c:f>Scenarier!$C$67</c:f>
              <c:strCache>
                <c:ptCount val="1"/>
                <c:pt idx="0">
                  <c:v>Affaldsforbrug kølevarme Ovn2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Scenarier!$E$67:$Y$67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7-4F8E-9C43-539F0400EE89}"/>
            </c:ext>
          </c:extLst>
        </c:ser>
        <c:ser>
          <c:idx val="3"/>
          <c:order val="3"/>
          <c:tx>
            <c:strRef>
              <c:f>Scenarier!$C$68</c:f>
              <c:strCache>
                <c:ptCount val="1"/>
                <c:pt idx="0">
                  <c:v>Affaldsforbrug kølevarme Ovn3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Scenarier!$E$68:$Y$68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C7-4F8E-9C43-539F0400EE89}"/>
            </c:ext>
          </c:extLst>
        </c:ser>
        <c:ser>
          <c:idx val="4"/>
          <c:order val="4"/>
          <c:tx>
            <c:strRef>
              <c:f>Scenarier!$C$69</c:f>
              <c:strCache>
                <c:ptCount val="1"/>
                <c:pt idx="0">
                  <c:v>Udnyttet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Scenarier!$E$69:$Y$69</c:f>
              <c:numCache>
                <c:formatCode>#,##0</c:formatCode>
                <c:ptCount val="21"/>
                <c:pt idx="0">
                  <c:v>10100.842975739246</c:v>
                </c:pt>
                <c:pt idx="1">
                  <c:v>11926.127101083181</c:v>
                </c:pt>
                <c:pt idx="2">
                  <c:v>11812.232540901656</c:v>
                </c:pt>
                <c:pt idx="3">
                  <c:v>11700.662359499343</c:v>
                </c:pt>
                <c:pt idx="4">
                  <c:v>11591.346121155664</c:v>
                </c:pt>
                <c:pt idx="5">
                  <c:v>11484.21620757886</c:v>
                </c:pt>
                <c:pt idx="6">
                  <c:v>11379.207678429319</c:v>
                </c:pt>
                <c:pt idx="7">
                  <c:v>11276.258140047416</c:v>
                </c:pt>
                <c:pt idx="8">
                  <c:v>11175.307621828268</c:v>
                </c:pt>
                <c:pt idx="9">
                  <c:v>11076.298459728718</c:v>
                </c:pt>
                <c:pt idx="10">
                  <c:v>10979.175186431065</c:v>
                </c:pt>
                <c:pt idx="11">
                  <c:v>10883.884427723931</c:v>
                </c:pt>
                <c:pt idx="12">
                  <c:v>10790.374804693571</c:v>
                </c:pt>
                <c:pt idx="13">
                  <c:v>10698.596841348957</c:v>
                </c:pt>
                <c:pt idx="14">
                  <c:v>10608.502877331764</c:v>
                </c:pt>
                <c:pt idx="15">
                  <c:v>10520.046985387615</c:v>
                </c:pt>
                <c:pt idx="16">
                  <c:v>10433.184893298312</c:v>
                </c:pt>
                <c:pt idx="17">
                  <c:v>10347.87390999632</c:v>
                </c:pt>
                <c:pt idx="18">
                  <c:v>10264.072855602328</c:v>
                </c:pt>
                <c:pt idx="19">
                  <c:v>10181.741995145072</c:v>
                </c:pt>
                <c:pt idx="20">
                  <c:v>10100.842975739246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3C7-4F8E-9C43-539F0400EE89}"/>
            </c:ext>
          </c:extLst>
        </c:ser>
        <c:ser>
          <c:idx val="5"/>
          <c:order val="5"/>
          <c:tx>
            <c:strRef>
              <c:f>Scenarier!$C$70</c:f>
              <c:strCache>
                <c:ptCount val="1"/>
                <c:pt idx="0">
                  <c:v>Ikke-udnyttet affald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Scenarier!$E$70:$Y$70</c:f>
              <c:numCache>
                <c:formatCode>#,##0</c:formatCode>
                <c:ptCount val="21"/>
                <c:pt idx="0">
                  <c:v>1899.1570242607538</c:v>
                </c:pt>
                <c:pt idx="1">
                  <c:v>73.87289891681985</c:v>
                </c:pt>
                <c:pt idx="2">
                  <c:v>187.76745909834472</c:v>
                </c:pt>
                <c:pt idx="3">
                  <c:v>299.33764050065747</c:v>
                </c:pt>
                <c:pt idx="4">
                  <c:v>408.65387884433494</c:v>
                </c:pt>
                <c:pt idx="5">
                  <c:v>515.78379242113942</c:v>
                </c:pt>
                <c:pt idx="6">
                  <c:v>620.792321570681</c:v>
                </c:pt>
                <c:pt idx="7">
                  <c:v>723.74185995258495</c:v>
                </c:pt>
                <c:pt idx="8">
                  <c:v>824.6923781717328</c:v>
                </c:pt>
                <c:pt idx="9">
                  <c:v>923.70154027128319</c:v>
                </c:pt>
                <c:pt idx="10">
                  <c:v>1020.8248135689355</c:v>
                </c:pt>
                <c:pt idx="11">
                  <c:v>1116.115572276068</c:v>
                </c:pt>
                <c:pt idx="12">
                  <c:v>1209.6251953064293</c:v>
                </c:pt>
                <c:pt idx="13">
                  <c:v>1301.4031586510437</c:v>
                </c:pt>
                <c:pt idx="14">
                  <c:v>1391.4971226682353</c:v>
                </c:pt>
                <c:pt idx="15">
                  <c:v>1479.9530146123859</c:v>
                </c:pt>
                <c:pt idx="16">
                  <c:v>1566.815106701687</c:v>
                </c:pt>
                <c:pt idx="17">
                  <c:v>1652.12609000368</c:v>
                </c:pt>
                <c:pt idx="18">
                  <c:v>1735.9271443976722</c:v>
                </c:pt>
                <c:pt idx="19">
                  <c:v>1818.2580048549289</c:v>
                </c:pt>
                <c:pt idx="20">
                  <c:v>1899.1570242607538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3C7-4F8E-9C43-539F0400E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078845214411099"/>
          <c:y val="0.13756265432098763"/>
          <c:w val="0.3192115478558891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Scenarier!$T$33</c:f>
          <c:strCache>
            <c:ptCount val="1"/>
            <c:pt idx="0">
              <c:v>Kapacitetsudnyttelse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62305175570188953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Scenarier!$C$71</c:f>
              <c:strCache>
                <c:ptCount val="1"/>
                <c:pt idx="0">
                  <c:v>Ovn2 tonnageudnyttelse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Scenarier!$E$71:$Y$71</c:f>
              <c:numCache>
                <c:formatCode>#,##0</c:formatCode>
                <c:ptCount val="21"/>
                <c:pt idx="0">
                  <c:v>0.3702664796633941</c:v>
                </c:pt>
                <c:pt idx="1">
                  <c:v>0.98781922043010761</c:v>
                </c:pt>
                <c:pt idx="2">
                  <c:v>0.94928500166278673</c:v>
                </c:pt>
                <c:pt idx="3">
                  <c:v>0.91153719552337065</c:v>
                </c:pt>
                <c:pt idx="4">
                  <c:v>0.87455197132616469</c:v>
                </c:pt>
                <c:pt idx="5">
                  <c:v>0.83830645161290329</c:v>
                </c:pt>
                <c:pt idx="6">
                  <c:v>0.80277866496327055</c:v>
                </c:pt>
                <c:pt idx="7">
                  <c:v>0.76794750158127767</c:v>
                </c:pt>
                <c:pt idx="8">
                  <c:v>0.7337926714688382</c:v>
                </c:pt>
                <c:pt idx="9">
                  <c:v>0.70029466501240667</c:v>
                </c:pt>
                <c:pt idx="10">
                  <c:v>0.66743471582181246</c:v>
                </c:pt>
                <c:pt idx="11">
                  <c:v>0.63519476567255029</c:v>
                </c:pt>
                <c:pt idx="12">
                  <c:v>0.60355743141392815</c:v>
                </c:pt>
                <c:pt idx="13">
                  <c:v>0.57250597371565126</c:v>
                </c:pt>
                <c:pt idx="14">
                  <c:v>0.5420242675347734</c:v>
                </c:pt>
                <c:pt idx="15">
                  <c:v>0.51209677419354838</c:v>
                </c:pt>
                <c:pt idx="16">
                  <c:v>0.48270851496657963</c:v>
                </c:pt>
                <c:pt idx="17">
                  <c:v>0.45384504608294923</c:v>
                </c:pt>
                <c:pt idx="18">
                  <c:v>0.4254924350556667</c:v>
                </c:pt>
                <c:pt idx="19">
                  <c:v>0.39763723825693248</c:v>
                </c:pt>
                <c:pt idx="20">
                  <c:v>0.3702664796633941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4B-483C-9BB7-342CDF6944DE}"/>
            </c:ext>
          </c:extLst>
        </c:ser>
        <c:ser>
          <c:idx val="1"/>
          <c:order val="1"/>
          <c:tx>
            <c:strRef>
              <c:f>Scenarier!$C$72</c:f>
              <c:strCache>
                <c:ptCount val="1"/>
                <c:pt idx="0">
                  <c:v>Ovn3 tonnageudnyttelse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Scenarier!$E$72:$Y$72</c:f>
              <c:numCache>
                <c:formatCode>#,##0</c:formatCode>
                <c:ptCount val="21"/>
                <c:pt idx="0">
                  <c:v>1</c:v>
                </c:pt>
                <c:pt idx="1">
                  <c:v>0.99999999999999978</c:v>
                </c:pt>
                <c:pt idx="2">
                  <c:v>1</c:v>
                </c:pt>
                <c:pt idx="3">
                  <c:v>0.99999999999999978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0.99999999999999978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4B-483C-9BB7-342CDF6944DE}"/>
            </c:ext>
          </c:extLst>
        </c:ser>
        <c:ser>
          <c:idx val="2"/>
          <c:order val="2"/>
          <c:tx>
            <c:strRef>
              <c:f>Scenarier!$C$73</c:f>
              <c:strCache>
                <c:ptCount val="1"/>
                <c:pt idx="0">
                  <c:v>Bortkøleanlæg udnyttelse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Scenarier!$E$73:$Y$73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4B-483C-9BB7-342CDF6944DE}"/>
            </c:ext>
          </c:extLst>
        </c:ser>
        <c:ser>
          <c:idx val="3"/>
          <c:order val="3"/>
          <c:tx>
            <c:strRef>
              <c:f>Scenarier!$C$74</c:f>
              <c:strCache>
                <c:ptCount val="1"/>
                <c:pt idx="0">
                  <c:v>NS-varme udnyttelse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ysClr val="windowText" lastClr="000000"/>
                </a:solidFill>
                <a:prstDash val="sysDash"/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Scenarier!$E$74:$Y$74</c:f>
              <c:numCache>
                <c:formatCode>#,##0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89-4E14-BA2D-4B06EB792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185729600967652"/>
          <c:y val="0.13756265432098763"/>
          <c:w val="0.27647094498905173"/>
          <c:h val="0.29306790123456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Scenarier!$E$33</c:f>
          <c:strCache>
            <c:ptCount val="1"/>
            <c:pt idx="0">
              <c:v>Variabel VPO for affaldsanlæg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84059801842623172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Scenarier!$C$75</c:f>
              <c:strCache>
                <c:ptCount val="1"/>
                <c:pt idx="0">
                  <c:v>VPO affald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E661-4B10-9D4F-6B278E76E958}"/>
              </c:ext>
            </c:extLst>
          </c:dPt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Scenarier!$E$75:$Y$75</c:f>
              <c:numCache>
                <c:formatCode>#,##0</c:formatCode>
                <c:ptCount val="21"/>
                <c:pt idx="0">
                  <c:v>-25.711195069525662</c:v>
                </c:pt>
                <c:pt idx="1">
                  <c:v>-36.044007947642243</c:v>
                </c:pt>
                <c:pt idx="2">
                  <c:v>-34.880981324960246</c:v>
                </c:pt>
                <c:pt idx="3">
                  <c:v>-33.741332256634173</c:v>
                </c:pt>
                <c:pt idx="4">
                  <c:v>-32.624352331926232</c:v>
                </c:pt>
                <c:pt idx="5">
                  <c:v>-31.529361476527761</c:v>
                </c:pt>
                <c:pt idx="6">
                  <c:v>-30.455706549766241</c:v>
                </c:pt>
                <c:pt idx="7">
                  <c:v>-29.402760024328717</c:v>
                </c:pt>
                <c:pt idx="8">
                  <c:v>-36.727993818352502</c:v>
                </c:pt>
                <c:pt idx="9">
                  <c:v>-35.714677821961345</c:v>
                </c:pt>
                <c:pt idx="10">
                  <c:v>-34.720329245325452</c:v>
                </c:pt>
                <c:pt idx="11">
                  <c:v>-33.744411274678271</c:v>
                </c:pt>
                <c:pt idx="12">
                  <c:v>-32.7864071640576</c:v>
                </c:pt>
                <c:pt idx="13">
                  <c:v>-31.845819306240379</c:v>
                </c:pt>
                <c:pt idx="14">
                  <c:v>-30.922168354819217</c:v>
                </c:pt>
                <c:pt idx="15">
                  <c:v>-30.014992394165059</c:v>
                </c:pt>
                <c:pt idx="16">
                  <c:v>-29.12384615425723</c:v>
                </c:pt>
                <c:pt idx="17">
                  <c:v>-28.248300267575697</c:v>
                </c:pt>
                <c:pt idx="18">
                  <c:v>-27.387940565450815</c:v>
                </c:pt>
                <c:pt idx="19">
                  <c:v>-26.542367411446836</c:v>
                </c:pt>
                <c:pt idx="20">
                  <c:v>-25.711195069525662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61-4B10-9D4F-6B278E76E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'Model-1'!$AL$2</c:f>
          <c:strCache>
            <c:ptCount val="1"/>
            <c:pt idx="0">
              <c:v>Økonomiske nøgletal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3387206277309308"/>
          <c:y val="0.11305861111111111"/>
          <c:w val="0.71910013595718381"/>
          <c:h val="0.7967600000000000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'Model-1'!$P$48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'Model-1'!$N$49:$N$63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'Model-1'!$P$49:$P$63</c:f>
              <c:numCache>
                <c:formatCode>#,##0,</c:formatCode>
                <c:ptCount val="15"/>
                <c:pt idx="0">
                  <c:v>16027328.736072451</c:v>
                </c:pt>
                <c:pt idx="1">
                  <c:v>8143171.6554425396</c:v>
                </c:pt>
                <c:pt idx="2">
                  <c:v>7884157.0806299113</c:v>
                </c:pt>
                <c:pt idx="4">
                  <c:v>7404288</c:v>
                </c:pt>
                <c:pt idx="5">
                  <c:v>3947332.4512195126</c:v>
                </c:pt>
                <c:pt idx="6">
                  <c:v>0</c:v>
                </c:pt>
                <c:pt idx="7">
                  <c:v>4675708.2848529397</c:v>
                </c:pt>
                <c:pt idx="9">
                  <c:v>0</c:v>
                </c:pt>
                <c:pt idx="10">
                  <c:v>1049040</c:v>
                </c:pt>
                <c:pt idx="11">
                  <c:v>2211287.04</c:v>
                </c:pt>
                <c:pt idx="12">
                  <c:v>2271283.2000000002</c:v>
                </c:pt>
                <c:pt idx="13">
                  <c:v>471719.80799999996</c:v>
                </c:pt>
                <c:pt idx="14">
                  <c:v>2139841.6074425387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47-4151-9579-4A35B12BE046}"/>
            </c:ext>
          </c:extLst>
        </c:ser>
        <c:ser>
          <c:idx val="1"/>
          <c:order val="1"/>
          <c:tx>
            <c:strRef>
              <c:f>'Model-1'!$Q$48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'Model-1'!$N$49:$N$63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'Model-1'!$Q$49:$Q$63</c:f>
              <c:numCache>
                <c:formatCode>#,##0,</c:formatCode>
                <c:ptCount val="15"/>
                <c:pt idx="0">
                  <c:v>15560102.467270171</c:v>
                </c:pt>
                <c:pt idx="1">
                  <c:v>7557908.8353493344</c:v>
                </c:pt>
                <c:pt idx="2">
                  <c:v>8002193.6319208369</c:v>
                </c:pt>
                <c:pt idx="4">
                  <c:v>7464000</c:v>
                </c:pt>
                <c:pt idx="5">
                  <c:v>3947332.4512195126</c:v>
                </c:pt>
                <c:pt idx="6">
                  <c:v>200593.80181097562</c:v>
                </c:pt>
                <c:pt idx="7">
                  <c:v>3948176.214239683</c:v>
                </c:pt>
                <c:pt idx="9">
                  <c:v>0</c:v>
                </c:pt>
                <c:pt idx="10">
                  <c:v>1099354.221690486</c:v>
                </c:pt>
                <c:pt idx="11">
                  <c:v>2229120</c:v>
                </c:pt>
                <c:pt idx="12">
                  <c:v>2005938.0181097561</c:v>
                </c:pt>
                <c:pt idx="13">
                  <c:v>416610.61762911582</c:v>
                </c:pt>
                <c:pt idx="14">
                  <c:v>1806885.9779199767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47-4151-9579-4A35B12BE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569561876739372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387743055555558"/>
          <c:y val="0.75349611111111114"/>
          <c:w val="0.16902422139559506"/>
          <c:h val="0.13361499999999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'Model-1'!$AL$4</c:f>
          <c:strCache>
            <c:ptCount val="1"/>
            <c:pt idx="0">
              <c:v>Varmemængder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'Model-1'!$P$65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'Model-1'!$N$66:$N$71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affaldsvarme</c:v>
                </c:pt>
                <c:pt idx="5">
                  <c:v>Spidslastvarme</c:v>
                </c:pt>
              </c:strCache>
            </c:strRef>
          </c:cat>
          <c:val>
            <c:numRef>
              <c:f>'Model-1'!$P$66:$P$71</c:f>
              <c:numCache>
                <c:formatCode>#,##0</c:formatCode>
                <c:ptCount val="6"/>
                <c:pt idx="0">
                  <c:v>7068</c:v>
                </c:pt>
                <c:pt idx="1">
                  <c:v>16740</c:v>
                </c:pt>
                <c:pt idx="2">
                  <c:v>0</c:v>
                </c:pt>
                <c:pt idx="3">
                  <c:v>0</c:v>
                </c:pt>
                <c:pt idx="4">
                  <c:v>23808</c:v>
                </c:pt>
                <c:pt idx="5">
                  <c:v>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14-49F1-B745-D6FCA8553D30}"/>
            </c:ext>
          </c:extLst>
        </c:ser>
        <c:ser>
          <c:idx val="1"/>
          <c:order val="1"/>
          <c:tx>
            <c:strRef>
              <c:f>'Model-1'!$Q$65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'Model-1'!$N$66:$N$71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affaldsvarme</c:v>
                </c:pt>
                <c:pt idx="5">
                  <c:v>Spidslastvarme</c:v>
                </c:pt>
              </c:strCache>
            </c:strRef>
          </c:cat>
          <c:val>
            <c:numRef>
              <c:f>'Model-1'!$Q$66:$Q$71</c:f>
              <c:numCache>
                <c:formatCode>#,##0</c:formatCode>
                <c:ptCount val="6"/>
                <c:pt idx="0">
                  <c:v>3168</c:v>
                </c:pt>
                <c:pt idx="1">
                  <c:v>20832</c:v>
                </c:pt>
                <c:pt idx="2">
                  <c:v>5031.4221690485911</c:v>
                </c:pt>
                <c:pt idx="3">
                  <c:v>0</c:v>
                </c:pt>
                <c:pt idx="4">
                  <c:v>24000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14-49F1-B745-D6FCA8553D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0.11670916666666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'Model-1'!$AL$3</c:f>
          <c:strCache>
            <c:ptCount val="1"/>
            <c:pt idx="0">
              <c:v>Økonomi: Med RGK ift. Uden RGK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5886580647107943"/>
          <c:y val="0.11305861111111111"/>
          <c:w val="0.6901163194444444"/>
          <c:h val="0.7897044444444444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,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'Model-1'!$N$49:$N$63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'Model-1'!$R$49:$R$63</c:f>
              <c:numCache>
                <c:formatCode>#,##0,</c:formatCode>
                <c:ptCount val="15"/>
                <c:pt idx="0">
                  <c:v>-467226.26880227961</c:v>
                </c:pt>
                <c:pt idx="1">
                  <c:v>-585262.8200932052</c:v>
                </c:pt>
                <c:pt idx="2">
                  <c:v>118036.55129092559</c:v>
                </c:pt>
                <c:pt idx="4">
                  <c:v>59712</c:v>
                </c:pt>
                <c:pt idx="5">
                  <c:v>0</c:v>
                </c:pt>
                <c:pt idx="6">
                  <c:v>200593.80181097562</c:v>
                </c:pt>
                <c:pt idx="7">
                  <c:v>-727532.07061325666</c:v>
                </c:pt>
                <c:pt idx="9">
                  <c:v>0</c:v>
                </c:pt>
                <c:pt idx="10">
                  <c:v>50314.221690485952</c:v>
                </c:pt>
                <c:pt idx="11">
                  <c:v>17832.959999999963</c:v>
                </c:pt>
                <c:pt idx="12">
                  <c:v>-265345.18189024413</c:v>
                </c:pt>
                <c:pt idx="13">
                  <c:v>-55109.190370884142</c:v>
                </c:pt>
                <c:pt idx="14">
                  <c:v>-332955.62952256203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42-4788-BDF9-D7F6BC1C9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6073802083333337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'Model-1'!$AL$5</c:f>
          <c:strCache>
            <c:ptCount val="1"/>
            <c:pt idx="0">
              <c:v>Brændselsmængder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'Model-1'!$P$65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AA9-479A-A3F1-F00F5D1FE03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'Model-1'!$N$74:$N$80</c:f>
              <c:strCache>
                <c:ptCount val="7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</c:strCache>
            </c:strRef>
          </c:cat>
          <c:val>
            <c:numRef>
              <c:f>'Model-1'!$P$74:$P$80</c:f>
              <c:numCache>
                <c:formatCode>#,##0</c:formatCode>
                <c:ptCount val="7"/>
                <c:pt idx="0">
                  <c:v>8940.7156845291083</c:v>
                </c:pt>
                <c:pt idx="1">
                  <c:v>4000</c:v>
                </c:pt>
                <c:pt idx="2">
                  <c:v>2934.0990071608958</c:v>
                </c:pt>
                <c:pt idx="3">
                  <c:v>0</c:v>
                </c:pt>
                <c:pt idx="4">
                  <c:v>0</c:v>
                </c:pt>
                <c:pt idx="5">
                  <c:v>11874.814691690004</c:v>
                </c:pt>
                <c:pt idx="6">
                  <c:v>125.18530830999589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F6-465E-A0B7-74DF2F1D0226}"/>
            </c:ext>
          </c:extLst>
        </c:ser>
        <c:ser>
          <c:idx val="1"/>
          <c:order val="1"/>
          <c:tx>
            <c:strRef>
              <c:f>'Model-1'!$Q$65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AA9-479A-A3F1-F00F5D1FE03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'Model-1'!$N$74:$N$80</c:f>
              <c:strCache>
                <c:ptCount val="7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</c:strCache>
            </c:strRef>
          </c:cat>
          <c:val>
            <c:numRef>
              <c:f>'Model-1'!$Q$74:$Q$80</c:f>
              <c:numCache>
                <c:formatCode>#,##0</c:formatCode>
                <c:ptCount val="7"/>
                <c:pt idx="0">
                  <c:v>8940.7156845291083</c:v>
                </c:pt>
                <c:pt idx="1">
                  <c:v>4000</c:v>
                </c:pt>
                <c:pt idx="2">
                  <c:v>1086.3985103653247</c:v>
                </c:pt>
                <c:pt idx="3">
                  <c:v>0</c:v>
                </c:pt>
                <c:pt idx="4">
                  <c:v>0</c:v>
                </c:pt>
                <c:pt idx="5">
                  <c:v>10027.114194894433</c:v>
                </c:pt>
                <c:pt idx="6">
                  <c:v>1972.885805105567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F6-465E-A0B7-74DF2F1D0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0.1202369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'Model-1'!$AL$7</c:f>
          <c:strCache>
            <c:ptCount val="1"/>
            <c:pt idx="0">
              <c:v>Kapacitetsudnyttelse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20370370370370369"/>
          <c:w val="0.84786329833770768"/>
          <c:h val="0.5321369203849517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'Model-1'!$P$82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'Model-1'!$N$83:$N$86</c:f>
              <c:strCache>
                <c:ptCount val="4"/>
                <c:pt idx="0">
                  <c:v>Ovn3 tonnageudnyttelse</c:v>
                </c:pt>
                <c:pt idx="1">
                  <c:v>Ovn2 tonnageudnyttelse</c:v>
                </c:pt>
                <c:pt idx="2">
                  <c:v>Bortkøleanlæg udnyttelse</c:v>
                </c:pt>
                <c:pt idx="3">
                  <c:v>NS-varme udnyttelse</c:v>
                </c:pt>
              </c:strCache>
            </c:strRef>
          </c:cat>
          <c:val>
            <c:numRef>
              <c:f>'Model-1'!$P$83:$P$86</c:f>
              <c:numCache>
                <c:formatCode>0.0%</c:formatCode>
                <c:ptCount val="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60-4EBE-89BC-334B484A3527}"/>
            </c:ext>
          </c:extLst>
        </c:ser>
        <c:ser>
          <c:idx val="2"/>
          <c:order val="2"/>
          <c:tx>
            <c:strRef>
              <c:f>'Model-1'!$Q$82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'Model-1'!$N$83:$N$86</c:f>
              <c:strCache>
                <c:ptCount val="4"/>
                <c:pt idx="0">
                  <c:v>Ovn3 tonnageudnyttelse</c:v>
                </c:pt>
                <c:pt idx="1">
                  <c:v>Ovn2 tonnageudnyttelse</c:v>
                </c:pt>
                <c:pt idx="2">
                  <c:v>Bortkøleanlæg udnyttelse</c:v>
                </c:pt>
                <c:pt idx="3">
                  <c:v>NS-varme udnyttelse</c:v>
                </c:pt>
              </c:strCache>
            </c:strRef>
          </c:cat>
          <c:val>
            <c:numRef>
              <c:f>'Model-1'!$Q$83:$Q$86</c:f>
              <c:numCache>
                <c:formatCode>0.0%</c:formatCode>
                <c:ptCount val="4"/>
                <c:pt idx="0">
                  <c:v>1</c:v>
                </c:pt>
                <c:pt idx="1">
                  <c:v>0.3702664796633941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60-4EBE-89BC-334B484A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'Model-1'!$O$82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'Model-1'!$N$83:$N$86</c15:sqref>
                        </c15:formulaRef>
                      </c:ext>
                    </c:extLst>
                    <c:strCache>
                      <c:ptCount val="4"/>
                      <c:pt idx="0">
                        <c:v>Ovn3 tonnageudnyttelse</c:v>
                      </c:pt>
                      <c:pt idx="1">
                        <c:v>Ovn2 tonnageudnyttelse</c:v>
                      </c:pt>
                      <c:pt idx="2">
                        <c:v>Bortkøleanlæg udnyttelse</c:v>
                      </c:pt>
                      <c:pt idx="3">
                        <c:v>NS-varme udnyttelse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'Model-1'!$O$83:$O$86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1D60-4EBE-89BC-334B484A3527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'Model-1'!$AL$6</c:f>
          <c:strCache>
            <c:ptCount val="1"/>
            <c:pt idx="0">
              <c:v>Variabel varmeproduktionsomkostning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14033011446914245"/>
          <c:w val="0.84786329833770768"/>
          <c:h val="0.7046543096214125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'Model-1'!$P$82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'Model-1'!$N$87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'Model-1'!$P$87</c:f>
              <c:numCache>
                <c:formatCode>0.00</c:formatCode>
                <c:ptCount val="1"/>
                <c:pt idx="0">
                  <c:v>-20.155791357103205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47-4827-A078-A7C8C832BBE2}"/>
            </c:ext>
          </c:extLst>
        </c:ser>
        <c:ser>
          <c:idx val="2"/>
          <c:order val="2"/>
          <c:tx>
            <c:strRef>
              <c:f>'Model-1'!$Q$82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'Model-1'!$N$87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'Model-1'!$Q$87</c:f>
              <c:numCache>
                <c:formatCode>0.00</c:formatCode>
                <c:ptCount val="1"/>
                <c:pt idx="0">
                  <c:v>-22.424734663368202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47-4827-A078-A7C8C832B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80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'Model-1'!$O$82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'Model-1'!$N$87</c15:sqref>
                        </c15:formulaRef>
                      </c:ext>
                    </c:extLst>
                    <c:strCache>
                      <c:ptCount val="1"/>
                      <c:pt idx="0">
                        <c:v>VPO affald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'Model-1'!$O$87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5D47-4827-A078-A7C8C832BBE2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6.452365883199942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'Model-1B'!$AL$2</c:f>
          <c:strCache>
            <c:ptCount val="1"/>
            <c:pt idx="0">
              <c:v>Økonomiske nøgletal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3387206277309308"/>
          <c:y val="0.11305861111111111"/>
          <c:w val="0.71910013595718381"/>
          <c:h val="0.7967600000000000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'Model-1B'!$P$48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'Model-1B'!$N$49:$N$63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'Model-1B'!$P$49:$P$63</c:f>
              <c:numCache>
                <c:formatCode>#,##0,</c:formatCode>
                <c:ptCount val="15"/>
                <c:pt idx="0">
                  <c:v>17901254.597560976</c:v>
                </c:pt>
                <c:pt idx="1">
                  <c:v>7985530.0480000004</c:v>
                </c:pt>
                <c:pt idx="2">
                  <c:v>9915724.5495609753</c:v>
                </c:pt>
                <c:pt idx="4">
                  <c:v>7404288</c:v>
                </c:pt>
                <c:pt idx="5">
                  <c:v>3947332.4512195126</c:v>
                </c:pt>
                <c:pt idx="6">
                  <c:v>0</c:v>
                </c:pt>
                <c:pt idx="7">
                  <c:v>6549634.1463414626</c:v>
                </c:pt>
                <c:pt idx="9">
                  <c:v>0</c:v>
                </c:pt>
                <c:pt idx="10">
                  <c:v>1049040</c:v>
                </c:pt>
                <c:pt idx="11">
                  <c:v>2211287.04</c:v>
                </c:pt>
                <c:pt idx="12">
                  <c:v>2271283.2000000002</c:v>
                </c:pt>
                <c:pt idx="13">
                  <c:v>471719.80799999996</c:v>
                </c:pt>
                <c:pt idx="14">
                  <c:v>1982199.9999999998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D8-44CB-BE92-7C12E3BEE328}"/>
            </c:ext>
          </c:extLst>
        </c:ser>
        <c:ser>
          <c:idx val="1"/>
          <c:order val="1"/>
          <c:tx>
            <c:strRef>
              <c:f>'Model-1B'!$Q$48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'Model-1B'!$N$49:$N$63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'Model-1B'!$Q$49:$Q$63</c:f>
              <c:numCache>
                <c:formatCode>#,##0,</c:formatCode>
                <c:ptCount val="15"/>
                <c:pt idx="0">
                  <c:v>16671408.957199184</c:v>
                </c:pt>
                <c:pt idx="1">
                  <c:v>7373110.5652481029</c:v>
                </c:pt>
                <c:pt idx="2">
                  <c:v>9298298.3919510804</c:v>
                </c:pt>
                <c:pt idx="4">
                  <c:v>6795292.7249911651</c:v>
                </c:pt>
                <c:pt idx="5">
                  <c:v>3947332.4512195126</c:v>
                </c:pt>
                <c:pt idx="6">
                  <c:v>200593.80181097562</c:v>
                </c:pt>
                <c:pt idx="7">
                  <c:v>5728189.9791775309</c:v>
                </c:pt>
                <c:pt idx="9">
                  <c:v>0</c:v>
                </c:pt>
                <c:pt idx="10">
                  <c:v>1100979.1304347827</c:v>
                </c:pt>
                <c:pt idx="11">
                  <c:v>2029410.8948462361</c:v>
                </c:pt>
                <c:pt idx="12">
                  <c:v>2005938.0181097561</c:v>
                </c:pt>
                <c:pt idx="13">
                  <c:v>416610.61762911582</c:v>
                </c:pt>
                <c:pt idx="14">
                  <c:v>1820171.9042282121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D8-44CB-BE92-7C12E3BEE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569561876739372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387743055555558"/>
          <c:y val="0.75349611111111114"/>
          <c:w val="0.16902422139559506"/>
          <c:h val="0.13361499999999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'Model-1B'!$AL$4</c:f>
          <c:strCache>
            <c:ptCount val="1"/>
            <c:pt idx="0">
              <c:v>Varmemængder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'Model-1B'!$P$65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'Model-1B'!$N$66:$N$71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affaldsvarme</c:v>
                </c:pt>
                <c:pt idx="5">
                  <c:v>Spidslastvarme</c:v>
                </c:pt>
              </c:strCache>
            </c:strRef>
          </c:cat>
          <c:val>
            <c:numRef>
              <c:f>'Model-1B'!$P$66:$P$71</c:f>
              <c:numCache>
                <c:formatCode>#,##0</c:formatCode>
                <c:ptCount val="6"/>
                <c:pt idx="0">
                  <c:v>7068</c:v>
                </c:pt>
                <c:pt idx="1">
                  <c:v>16740</c:v>
                </c:pt>
                <c:pt idx="2">
                  <c:v>0</c:v>
                </c:pt>
                <c:pt idx="3">
                  <c:v>0</c:v>
                </c:pt>
                <c:pt idx="4">
                  <c:v>23808</c:v>
                </c:pt>
                <c:pt idx="5">
                  <c:v>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E3-4047-9AC4-E62B5F528598}"/>
            </c:ext>
          </c:extLst>
        </c:ser>
        <c:ser>
          <c:idx val="1"/>
          <c:order val="1"/>
          <c:tx>
            <c:strRef>
              <c:f>'Model-1B'!$Q$65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'Model-1B'!$N$66:$N$71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affaldsvarme</c:v>
                </c:pt>
                <c:pt idx="5">
                  <c:v>Spidslastvarme</c:v>
                </c:pt>
              </c:strCache>
            </c:strRef>
          </c:cat>
          <c:val>
            <c:numRef>
              <c:f>'Model-1B'!$Q$66:$Q$71</c:f>
              <c:numCache>
                <c:formatCode>#,##0</c:formatCode>
                <c:ptCount val="6"/>
                <c:pt idx="0">
                  <c:v>3168</c:v>
                </c:pt>
                <c:pt idx="1">
                  <c:v>20832</c:v>
                </c:pt>
                <c:pt idx="2">
                  <c:v>5193.913043478261</c:v>
                </c:pt>
                <c:pt idx="3">
                  <c:v>2150.184164015549</c:v>
                </c:pt>
                <c:pt idx="4">
                  <c:v>21849.815835984453</c:v>
                </c:pt>
                <c:pt idx="5">
                  <c:v>2150.1841640155471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E3-4047-9AC4-E62B5F528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0.11670916666666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'Model-1B'!$AL$3</c:f>
          <c:strCache>
            <c:ptCount val="1"/>
            <c:pt idx="0">
              <c:v>Økonomi: Med RGK ift. Uden RGK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5886580647107943"/>
          <c:y val="0.11305861111111111"/>
          <c:w val="0.6901163194444444"/>
          <c:h val="0.7897044444444444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,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'Model-1B'!$N$49:$N$63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'Model-1B'!$R$49:$R$63</c:f>
              <c:numCache>
                <c:formatCode>#,##0,</c:formatCode>
                <c:ptCount val="15"/>
                <c:pt idx="0">
                  <c:v>-1229845.6403617915</c:v>
                </c:pt>
                <c:pt idx="1">
                  <c:v>-612419.48275189754</c:v>
                </c:pt>
                <c:pt idx="2">
                  <c:v>-617426.15760989487</c:v>
                </c:pt>
                <c:pt idx="4">
                  <c:v>-608995.2750088349</c:v>
                </c:pt>
                <c:pt idx="5">
                  <c:v>0</c:v>
                </c:pt>
                <c:pt idx="6">
                  <c:v>200593.80181097562</c:v>
                </c:pt>
                <c:pt idx="7">
                  <c:v>-821444.16716393176</c:v>
                </c:pt>
                <c:pt idx="9">
                  <c:v>0</c:v>
                </c:pt>
                <c:pt idx="10">
                  <c:v>51939.13043478271</c:v>
                </c:pt>
                <c:pt idx="11">
                  <c:v>-181876.14515376394</c:v>
                </c:pt>
                <c:pt idx="12">
                  <c:v>-265345.18189024413</c:v>
                </c:pt>
                <c:pt idx="13">
                  <c:v>-55109.190370884142</c:v>
                </c:pt>
                <c:pt idx="14">
                  <c:v>-162028.09577178769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65-413D-BD84-2434BBCAC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6073802083333337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'Model-1B'!$AL$5</c:f>
          <c:strCache>
            <c:ptCount val="1"/>
            <c:pt idx="0">
              <c:v>Brændselsmængder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'Model-1B'!$P$65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6D1-45AF-9DB1-93E5E0E7B11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'Model-1B'!$N$74:$N$80</c:f>
              <c:strCache>
                <c:ptCount val="7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</c:strCache>
            </c:strRef>
          </c:cat>
          <c:val>
            <c:numRef>
              <c:f>'Model-1B'!$P$74:$P$80</c:f>
              <c:numCache>
                <c:formatCode>#,##0</c:formatCode>
                <c:ptCount val="7"/>
                <c:pt idx="0">
                  <c:v>9006.456241033</c:v>
                </c:pt>
                <c:pt idx="1">
                  <c:v>4000</c:v>
                </c:pt>
                <c:pt idx="2">
                  <c:v>1993.5437589670003</c:v>
                </c:pt>
                <c:pt idx="3">
                  <c:v>0</c:v>
                </c:pt>
                <c:pt idx="4">
                  <c:v>0</c:v>
                </c:pt>
                <c:pt idx="5">
                  <c:v>11000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D1-45AF-9DB1-93E5E0E7B11D}"/>
            </c:ext>
          </c:extLst>
        </c:ser>
        <c:ser>
          <c:idx val="1"/>
          <c:order val="1"/>
          <c:tx>
            <c:strRef>
              <c:f>'Model-1B'!$Q$65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6D1-45AF-9DB1-93E5E0E7B11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'Model-1B'!$N$74:$N$80</c:f>
              <c:strCache>
                <c:ptCount val="7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</c:strCache>
            </c:strRef>
          </c:cat>
          <c:val>
            <c:numRef>
              <c:f>'Model-1B'!$Q$74:$Q$80</c:f>
              <c:numCache>
                <c:formatCode>#,##0</c:formatCode>
                <c:ptCount val="7"/>
                <c:pt idx="0">
                  <c:v>9006.456241033</c:v>
                </c:pt>
                <c:pt idx="1">
                  <c:v>4000</c:v>
                </c:pt>
                <c:pt idx="2">
                  <c:v>1094.3867347062462</c:v>
                </c:pt>
                <c:pt idx="3">
                  <c:v>0</c:v>
                </c:pt>
                <c:pt idx="4">
                  <c:v>899.15702426075381</c:v>
                </c:pt>
                <c:pt idx="5">
                  <c:v>11000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6D1-45AF-9DB1-93E5E0E7B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0.1202369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'Model-1B'!$AL$7</c:f>
          <c:strCache>
            <c:ptCount val="1"/>
            <c:pt idx="0">
              <c:v>Kapacitetsudnyttelse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20370370370370369"/>
          <c:w val="0.84786329833770768"/>
          <c:h val="0.5321369203849517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'Model-1B'!$P$82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'Model-1B'!$N$83:$N$86</c:f>
              <c:strCache>
                <c:ptCount val="4"/>
                <c:pt idx="0">
                  <c:v>Ovn3 tonnageudnyttelse</c:v>
                </c:pt>
                <c:pt idx="1">
                  <c:v>Ovn2 tonnageudnyttelse</c:v>
                </c:pt>
                <c:pt idx="2">
                  <c:v>Bortkøleanlæg udnyttelse</c:v>
                </c:pt>
                <c:pt idx="3">
                  <c:v>NS-varme udnyttelse</c:v>
                </c:pt>
              </c:strCache>
            </c:strRef>
          </c:cat>
          <c:val>
            <c:numRef>
              <c:f>'Model-1B'!$P$83:$P$86</c:f>
              <c:numCache>
                <c:formatCode>0.0%</c:formatCode>
                <c:ptCount val="4"/>
                <c:pt idx="0">
                  <c:v>1.0307189542483663</c:v>
                </c:pt>
                <c:pt idx="1">
                  <c:v>0.69519975808022849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B3-4D48-A092-582FB906D15D}"/>
            </c:ext>
          </c:extLst>
        </c:ser>
        <c:ser>
          <c:idx val="2"/>
          <c:order val="2"/>
          <c:tx>
            <c:strRef>
              <c:f>'Model-1B'!$Q$82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'Model-1B'!$N$83:$N$86</c:f>
              <c:strCache>
                <c:ptCount val="4"/>
                <c:pt idx="0">
                  <c:v>Ovn3 tonnageudnyttelse</c:v>
                </c:pt>
                <c:pt idx="1">
                  <c:v>Ovn2 tonnageudnyttelse</c:v>
                </c:pt>
                <c:pt idx="2">
                  <c:v>Bortkøleanlæg udnyttelse</c:v>
                </c:pt>
                <c:pt idx="3">
                  <c:v>NS-varme udnyttelse</c:v>
                </c:pt>
              </c:strCache>
            </c:strRef>
          </c:cat>
          <c:val>
            <c:numRef>
              <c:f>'Model-1B'!$Q$83:$Q$86</c:f>
              <c:numCache>
                <c:formatCode>0.0%</c:formatCode>
                <c:ptCount val="4"/>
                <c:pt idx="0">
                  <c:v>1.0307189542483663</c:v>
                </c:pt>
                <c:pt idx="1">
                  <c:v>0.69519975808022838</c:v>
                </c:pt>
                <c:pt idx="2">
                  <c:v>0.19266883190103484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B3-4D48-A092-582FB906D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'Model-1B'!$O$82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'Model-1B'!$N$83:$N$86</c15:sqref>
                        </c15:formulaRef>
                      </c:ext>
                    </c:extLst>
                    <c:strCache>
                      <c:ptCount val="4"/>
                      <c:pt idx="0">
                        <c:v>Ovn3 tonnageudnyttelse</c:v>
                      </c:pt>
                      <c:pt idx="1">
                        <c:v>Ovn2 tonnageudnyttelse</c:v>
                      </c:pt>
                      <c:pt idx="2">
                        <c:v>Bortkøleanlæg udnyttelse</c:v>
                      </c:pt>
                      <c:pt idx="3">
                        <c:v>NS-varme udnyttelse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'Model-1B'!$O$83:$O$86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DDB3-4D48-A092-582FB906D15D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'Model-1B'!$AL$6</c:f>
          <c:strCache>
            <c:ptCount val="1"/>
            <c:pt idx="0">
              <c:v>Variabel varmeproduktionsomkostning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14033011446914245"/>
          <c:w val="0.84786329833770768"/>
          <c:h val="0.7046543096214125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'Model-1B'!$P$82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'Model-1B'!$N$87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'Model-1B'!$P$87</c:f>
              <c:numCache>
                <c:formatCode>0.00</c:formatCode>
                <c:ptCount val="1"/>
                <c:pt idx="0">
                  <c:v>-105.48708625508128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9C-461D-85AA-8FC43293D72D}"/>
            </c:ext>
          </c:extLst>
        </c:ser>
        <c:ser>
          <c:idx val="2"/>
          <c:order val="2"/>
          <c:tx>
            <c:strRef>
              <c:f>'Model-1B'!$Q$82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'Model-1B'!$N$87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'Model-1B'!$Q$87</c:f>
              <c:numCache>
                <c:formatCode>0.00</c:formatCode>
                <c:ptCount val="1"/>
                <c:pt idx="0">
                  <c:v>-114.55500063472925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9C-461D-85AA-8FC43293D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80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'Model-1B'!$O$82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'Model-1B'!$N$87</c15:sqref>
                        </c15:formulaRef>
                      </c:ext>
                    </c:extLst>
                    <c:strCache>
                      <c:ptCount val="1"/>
                      <c:pt idx="0">
                        <c:v>VPO affald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'Model-1B'!$O$87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0A9C-461D-85AA-8FC43293D72D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6.452365883199942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'Model-2'!$BA$2</c:f>
          <c:strCache>
            <c:ptCount val="1"/>
            <c:pt idx="0">
              <c:v>Økonomiske nøgletal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3387206277309308"/>
          <c:y val="0.11305861111111111"/>
          <c:w val="0.71910013595718381"/>
          <c:h val="0.7967600000000000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'Model-2'!$AE$50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'Model-2'!$AC$51:$AC$65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'Model-2'!$AE$51:$AE$65</c:f>
              <c:numCache>
                <c:formatCode>#,##0,</c:formatCode>
                <c:ptCount val="15"/>
                <c:pt idx="0">
                  <c:v>17633572.47287292</c:v>
                </c:pt>
                <c:pt idx="1">
                  <c:v>7585715.596531732</c:v>
                </c:pt>
                <c:pt idx="2">
                  <c:v>10047856.876341188</c:v>
                </c:pt>
                <c:pt idx="4">
                  <c:v>7997392.6730004624</c:v>
                </c:pt>
                <c:pt idx="5">
                  <c:v>3947332.4512195117</c:v>
                </c:pt>
                <c:pt idx="6">
                  <c:v>88847.348652948102</c:v>
                </c:pt>
                <c:pt idx="7">
                  <c:v>5600000</c:v>
                </c:pt>
                <c:pt idx="9">
                  <c:v>0</c:v>
                </c:pt>
                <c:pt idx="10">
                  <c:v>1241098.7605122505</c:v>
                </c:pt>
                <c:pt idx="11">
                  <c:v>2388417.4645282412</c:v>
                </c:pt>
                <c:pt idx="12">
                  <c:v>888473.4865294809</c:v>
                </c:pt>
                <c:pt idx="13">
                  <c:v>184525.88496175961</c:v>
                </c:pt>
                <c:pt idx="14">
                  <c:v>2883200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0D-43ED-955C-B6E56812DFB1}"/>
            </c:ext>
          </c:extLst>
        </c:ser>
        <c:ser>
          <c:idx val="1"/>
          <c:order val="1"/>
          <c:tx>
            <c:strRef>
              <c:f>'Model-2'!$AF$50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'Model-2'!$AC$51:$AC$65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'Model-2'!$AF$51:$AF$65</c:f>
              <c:numCache>
                <c:formatCode>#,##0,</c:formatCode>
                <c:ptCount val="15"/>
                <c:pt idx="0">
                  <c:v>16292695.043325918</c:v>
                </c:pt>
                <c:pt idx="1">
                  <c:v>8022694.7999229478</c:v>
                </c:pt>
                <c:pt idx="2">
                  <c:v>8270000.24340297</c:v>
                </c:pt>
                <c:pt idx="4">
                  <c:v>7499765</c:v>
                </c:pt>
                <c:pt idx="5">
                  <c:v>3947332.4512195126</c:v>
                </c:pt>
                <c:pt idx="6">
                  <c:v>197595.87992407382</c:v>
                </c:pt>
                <c:pt idx="7">
                  <c:v>4648001.7121823318</c:v>
                </c:pt>
                <c:pt idx="9">
                  <c:v>9281.9833062222588</c:v>
                </c:pt>
                <c:pt idx="10">
                  <c:v>1364822.9775574182</c:v>
                </c:pt>
                <c:pt idx="11">
                  <c:v>2239801.2000000002</c:v>
                </c:pt>
                <c:pt idx="12">
                  <c:v>1975958.7992407379</c:v>
                </c:pt>
                <c:pt idx="13">
                  <c:v>410384.27325740416</c:v>
                </c:pt>
                <c:pt idx="14">
                  <c:v>2022445.5665611641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0D-43ED-955C-B6E56812D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569561876739372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387743055555558"/>
          <c:y val="0.75349611111111114"/>
          <c:w val="0.16902422139559506"/>
          <c:h val="0.13361499999999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'Model-2'!$BA$4</c:f>
          <c:strCache>
            <c:ptCount val="1"/>
            <c:pt idx="0">
              <c:v>Varmemængder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'Model-2'!$AE$67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'Model-2'!$AC$68:$AC$73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varme</c:v>
                </c:pt>
                <c:pt idx="5">
                  <c:v>Spidslastvarme</c:v>
                </c:pt>
              </c:strCache>
            </c:strRef>
          </c:cat>
          <c:val>
            <c:numRef>
              <c:f>'Model-2'!$AE$68:$AE$73</c:f>
              <c:numCache>
                <c:formatCode>#,##0</c:formatCode>
                <c:ptCount val="6"/>
                <c:pt idx="0">
                  <c:v>4883.0889807088834</c:v>
                </c:pt>
                <c:pt idx="1">
                  <c:v>20832</c:v>
                </c:pt>
                <c:pt idx="2">
                  <c:v>5300.6091090984</c:v>
                </c:pt>
                <c:pt idx="3">
                  <c:v>0</c:v>
                </c:pt>
                <c:pt idx="4">
                  <c:v>25715.088980708882</c:v>
                </c:pt>
                <c:pt idx="5">
                  <c:v>1639.9110192911176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8F-41FC-9A14-7E1800988E17}"/>
            </c:ext>
          </c:extLst>
        </c:ser>
        <c:ser>
          <c:idx val="1"/>
          <c:order val="1"/>
          <c:tx>
            <c:strRef>
              <c:f>'Model-2'!$AF$67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'Model-2'!$AC$68:$AC$73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varme</c:v>
                </c:pt>
                <c:pt idx="5">
                  <c:v>Spidslastvarme</c:v>
                </c:pt>
              </c:strCache>
            </c:strRef>
          </c:cat>
          <c:val>
            <c:numRef>
              <c:f>'Model-2'!$AF$68:$AF$73</c:f>
              <c:numCache>
                <c:formatCode>#,##0</c:formatCode>
                <c:ptCount val="6"/>
                <c:pt idx="0">
                  <c:v>7638.95652173913</c:v>
                </c:pt>
                <c:pt idx="1">
                  <c:v>20832</c:v>
                </c:pt>
                <c:pt idx="2">
                  <c:v>5049.4716687852942</c:v>
                </c:pt>
                <c:pt idx="3">
                  <c:v>4355.95652173913</c:v>
                </c:pt>
                <c:pt idx="4">
                  <c:v>24115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8F-41FC-9A14-7E1800988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0.11670916666666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'Model-2'!$BA$3</c:f>
          <c:strCache>
            <c:ptCount val="1"/>
            <c:pt idx="0">
              <c:v>Økonomi: RGK ift. Nominel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5886580647107943"/>
          <c:y val="0.11305861111111111"/>
          <c:w val="0.6901163194444444"/>
          <c:h val="0.7897044444444444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,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'Model-2'!$AC$51:$AC$65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'Model-2'!$AG$51:$AG$65</c:f>
              <c:numCache>
                <c:formatCode>#,##0,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42-43AD-B48E-6049F8721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6073802083333337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'Model-2'!$BA$5</c:f>
          <c:strCache>
            <c:ptCount val="1"/>
            <c:pt idx="0">
              <c:v>Brændselsmængder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'Model-2'!$AE$67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'Model-2'!$AC$76:$AC$82</c:f>
              <c:strCache>
                <c:ptCount val="7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</c:strCache>
            </c:strRef>
          </c:cat>
          <c:val>
            <c:numRef>
              <c:f>'Model-2'!$AE$76:$AE$82</c:f>
              <c:numCache>
                <c:formatCode>#,##0</c:formatCode>
                <c:ptCount val="7"/>
                <c:pt idx="0">
                  <c:v>8001.3808303570249</c:v>
                </c:pt>
                <c:pt idx="1">
                  <c:v>0</c:v>
                </c:pt>
                <c:pt idx="2">
                  <c:v>1498.6191696429751</c:v>
                </c:pt>
                <c:pt idx="3">
                  <c:v>0</c:v>
                </c:pt>
                <c:pt idx="4">
                  <c:v>0</c:v>
                </c:pt>
                <c:pt idx="5">
                  <c:v>9500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EE-4CB8-B9B3-D8DE634DEA3D}"/>
            </c:ext>
          </c:extLst>
        </c:ser>
        <c:ser>
          <c:idx val="1"/>
          <c:order val="1"/>
          <c:tx>
            <c:strRef>
              <c:f>'Model-2'!$AF$67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'Model-2'!$AC$76:$AC$82</c:f>
              <c:strCache>
                <c:ptCount val="7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</c:strCache>
            </c:strRef>
          </c:cat>
          <c:val>
            <c:numRef>
              <c:f>'Model-2'!$AF$76:$AF$82</c:f>
              <c:numCache>
                <c:formatCode>#,##0</c:formatCode>
                <c:ptCount val="7"/>
                <c:pt idx="0">
                  <c:v>8450.2099291689374</c:v>
                </c:pt>
                <c:pt idx="1">
                  <c:v>4000</c:v>
                </c:pt>
                <c:pt idx="2">
                  <c:v>1064.0697207492935</c:v>
                </c:pt>
                <c:pt idx="3">
                  <c:v>0</c:v>
                </c:pt>
                <c:pt idx="4">
                  <c:v>1709.0586772802387</c:v>
                </c:pt>
                <c:pt idx="5">
                  <c:v>11223.338327198469</c:v>
                </c:pt>
                <c:pt idx="6">
                  <c:v>2776.6616728015306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EE-4CB8-B9B3-D8DE634DE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0.1202369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'Model-2'!$BA$9</c:f>
          <c:strCache>
            <c:ptCount val="1"/>
            <c:pt idx="0">
              <c:v>Kapacitetsudnyttelse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20370370370370369"/>
          <c:w val="0.84786329833770768"/>
          <c:h val="0.5321369203849517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'Model-2'!$AE$84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'Model-2'!$AC$85:$AC$88</c:f>
              <c:strCache>
                <c:ptCount val="4"/>
                <c:pt idx="0">
                  <c:v>Ovn3 tonnageudnyttelse</c:v>
                </c:pt>
                <c:pt idx="1">
                  <c:v>Ovn2 tonnageudnyttelse</c:v>
                </c:pt>
                <c:pt idx="2">
                  <c:v>Bortkøleanlæg udnyttelse</c:v>
                </c:pt>
                <c:pt idx="3">
                  <c:v>NS-varme udnyttelse</c:v>
                </c:pt>
              </c:strCache>
            </c:strRef>
          </c:cat>
          <c:val>
            <c:numRef>
              <c:f>'Model-2'!$AE$85:$AE$88</c:f>
              <c:numCache>
                <c:formatCode>0.0%</c:formatCode>
                <c:ptCount val="4"/>
                <c:pt idx="0">
                  <c:v>0.94688544987946188</c:v>
                </c:pt>
                <c:pt idx="1">
                  <c:v>0.54040742242870199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60-4E39-B61E-CD1A9A59E8D7}"/>
            </c:ext>
          </c:extLst>
        </c:ser>
        <c:ser>
          <c:idx val="2"/>
          <c:order val="2"/>
          <c:tx>
            <c:strRef>
              <c:f>'Model-2'!$AF$84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'Model-2'!$AC$85:$AC$88</c:f>
              <c:strCache>
                <c:ptCount val="4"/>
                <c:pt idx="0">
                  <c:v>Ovn3 tonnageudnyttelse</c:v>
                </c:pt>
                <c:pt idx="1">
                  <c:v>Ovn2 tonnageudnyttelse</c:v>
                </c:pt>
                <c:pt idx="2">
                  <c:v>Bortkøleanlæg udnyttelse</c:v>
                </c:pt>
                <c:pt idx="3">
                  <c:v>NS-varme udnyttelse</c:v>
                </c:pt>
              </c:strCache>
            </c:strRef>
          </c:cat>
          <c:val>
            <c:numRef>
              <c:f>'Model-2'!$AF$85:$AF$88</c:f>
              <c:numCache>
                <c:formatCode>0.0%</c:formatCode>
                <c:ptCount val="4"/>
                <c:pt idx="0">
                  <c:v>1</c:v>
                </c:pt>
                <c:pt idx="1">
                  <c:v>0.99999999999999989</c:v>
                </c:pt>
                <c:pt idx="2">
                  <c:v>0.39031868474364967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60-4E39-B61E-CD1A9A59E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'Model-2'!$AD$84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'Model-2'!$AC$85:$AC$88</c15:sqref>
                        </c15:formulaRef>
                      </c:ext>
                    </c:extLst>
                    <c:strCache>
                      <c:ptCount val="4"/>
                      <c:pt idx="0">
                        <c:v>Ovn3 tonnageudnyttelse</c:v>
                      </c:pt>
                      <c:pt idx="1">
                        <c:v>Ovn2 tonnageudnyttelse</c:v>
                      </c:pt>
                      <c:pt idx="2">
                        <c:v>Bortkøleanlæg udnyttelse</c:v>
                      </c:pt>
                      <c:pt idx="3">
                        <c:v>NS-varme udnyttelse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'Model-2'!$AD$85:$AD$88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2C60-4E39-B61E-CD1A9A59E8D7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'Model-2'!$BA$6</c:f>
          <c:strCache>
            <c:ptCount val="1"/>
            <c:pt idx="0">
              <c:v>Variabel varmeproduktionsomkostning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14033011446914245"/>
          <c:w val="0.84786329833770768"/>
          <c:h val="0.7046543096214125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'Model-2'!$AE$84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'Model-2'!$AC$89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'Model-2'!$AE$89</c:f>
              <c:numCache>
                <c:formatCode>0.00</c:formatCode>
                <c:ptCount val="1"/>
                <c:pt idx="0">
                  <c:v>-79.737783714416025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81-4D32-BB18-A8FA5E26F26E}"/>
            </c:ext>
          </c:extLst>
        </c:ser>
        <c:ser>
          <c:idx val="2"/>
          <c:order val="2"/>
          <c:tx>
            <c:strRef>
              <c:f>'Model-2'!$AF$84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'Model-2'!$AC$89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'Model-2'!$AF$89</c:f>
              <c:numCache>
                <c:formatCode>0.00</c:formatCode>
                <c:ptCount val="1"/>
                <c:pt idx="0">
                  <c:v>-31.940088882561476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81-4D32-BB18-A8FA5E26F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80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'Model-2'!$AD$84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'Model-2'!$AC$89</c15:sqref>
                        </c15:formulaRef>
                      </c:ext>
                    </c:extLst>
                    <c:strCache>
                      <c:ptCount val="1"/>
                      <c:pt idx="0">
                        <c:v>VPO affald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'Model-2'!$AD$89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5C81-4D32-BB18-A8FA5E26F26E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6.452365883199942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'Scenario 7 GWh'!$A$9</c:f>
              <c:strCache>
                <c:ptCount val="1"/>
                <c:pt idx="0">
                  <c:v>Omkostninger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'Scenario 7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7 GWh'!$E$9:$N$9</c:f>
              <c:numCache>
                <c:formatCode>#,##0,</c:formatCode>
                <c:ptCount val="10"/>
                <c:pt idx="0">
                  <c:v>4123321.3703158302</c:v>
                </c:pt>
                <c:pt idx="1">
                  <c:v>4110275.5213671499</c:v>
                </c:pt>
                <c:pt idx="2">
                  <c:v>4097823.8932815501</c:v>
                </c:pt>
                <c:pt idx="3">
                  <c:v>4085926.79114307</c:v>
                </c:pt>
                <c:pt idx="4">
                  <c:v>4074547.97860272</c:v>
                </c:pt>
                <c:pt idx="5">
                  <c:v>4063654.3092326801</c:v>
                </c:pt>
                <c:pt idx="6">
                  <c:v>4053215.4040488801</c:v>
                </c:pt>
                <c:pt idx="7">
                  <c:v>4043203.3685937799</c:v>
                </c:pt>
                <c:pt idx="8">
                  <c:v>4033592.5440312298</c:v>
                </c:pt>
                <c:pt idx="9">
                  <c:v>4024359.2875764999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3-407E-96F8-7C95247B1AE9}"/>
            </c:ext>
          </c:extLst>
        </c:ser>
        <c:ser>
          <c:idx val="2"/>
          <c:order val="1"/>
          <c:tx>
            <c:strRef>
              <c:f>'Scenario 7 GWh'!$A$10</c:f>
              <c:strCache>
                <c:ptCount val="1"/>
                <c:pt idx="0">
                  <c:v>Dækningsbidrag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'Scenario 7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7 GWh'!$E$10:$N$10</c:f>
              <c:numCache>
                <c:formatCode>#,##0,</c:formatCode>
                <c:ptCount val="10"/>
                <c:pt idx="0">
                  <c:v>3425980.5598761602</c:v>
                </c:pt>
                <c:pt idx="1">
                  <c:v>3361337.75855528</c:v>
                </c:pt>
                <c:pt idx="2">
                  <c:v>3299639.34984115</c:v>
                </c:pt>
                <c:pt idx="3">
                  <c:v>3240688.6435393998</c:v>
                </c:pt>
                <c:pt idx="4">
                  <c:v>3184306.0868191002</c:v>
                </c:pt>
                <c:pt idx="5">
                  <c:v>3130327.4375558798</c:v>
                </c:pt>
                <c:pt idx="6">
                  <c:v>3078602.1664402601</c:v>
                </c:pt>
                <c:pt idx="7">
                  <c:v>3028992.0551100401</c:v>
                </c:pt>
                <c:pt idx="8">
                  <c:v>2981369.9628130901</c:v>
                </c:pt>
                <c:pt idx="9">
                  <c:v>2935618.7384278099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73-407E-96F8-7C95247B1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1000192"/>
        <c:axId val="604163440"/>
      </c:barChart>
      <c:catAx>
        <c:axId val="200100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04163440"/>
        <c:crosses val="autoZero"/>
        <c:auto val="1"/>
        <c:lblAlgn val="ctr"/>
        <c:lblOffset val="100"/>
        <c:noMultiLvlLbl val="0"/>
      </c:catAx>
      <c:valAx>
        <c:axId val="6041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0100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'Scenario 28 GWh'!$A$9</c:f>
              <c:strCache>
                <c:ptCount val="1"/>
                <c:pt idx="0">
                  <c:v>Omkostninger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'Scenario 28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28 GWh'!$E$9:$N$9</c:f>
              <c:numCache>
                <c:formatCode>#,##0,</c:formatCode>
                <c:ptCount val="10"/>
                <c:pt idx="0">
                  <c:v>7866196.3108281298</c:v>
                </c:pt>
                <c:pt idx="1">
                  <c:v>7831849.9144885596</c:v>
                </c:pt>
                <c:pt idx="2">
                  <c:v>7798897.0890948502</c:v>
                </c:pt>
                <c:pt idx="3">
                  <c:v>7767256.6557569401</c:v>
                </c:pt>
                <c:pt idx="4">
                  <c:v>7736853.6206430802</c:v>
                </c:pt>
                <c:pt idx="5">
                  <c:v>7707618.5969369598</c:v>
                </c:pt>
                <c:pt idx="6">
                  <c:v>7679487.2904326404</c:v>
                </c:pt>
                <c:pt idx="7">
                  <c:v>7652400.0407408504</c:v>
                </c:pt>
                <c:pt idx="8">
                  <c:v>7626301.4112166697</c:v>
                </c:pt>
                <c:pt idx="9">
                  <c:v>7601139.8216774501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9-4995-94D5-E3D25067DFCE}"/>
            </c:ext>
          </c:extLst>
        </c:ser>
        <c:ser>
          <c:idx val="2"/>
          <c:order val="1"/>
          <c:tx>
            <c:strRef>
              <c:f>'Scenario 28 GWh'!$A$10</c:f>
              <c:strCache>
                <c:ptCount val="1"/>
                <c:pt idx="0">
                  <c:v>Dækningsbidrag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'Scenario 28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28 GWh'!$E$10:$N$10</c:f>
              <c:numCache>
                <c:formatCode>#,##0,</c:formatCode>
                <c:ptCount val="10"/>
                <c:pt idx="0">
                  <c:v>8324633.6659763698</c:v>
                </c:pt>
                <c:pt idx="1">
                  <c:v>8270244.8982715895</c:v>
                </c:pt>
                <c:pt idx="2">
                  <c:v>8217976.8235435002</c:v>
                </c:pt>
                <c:pt idx="3">
                  <c:v>8369287.0980898896</c:v>
                </c:pt>
                <c:pt idx="4">
                  <c:v>8320899.2150051603</c:v>
                </c:pt>
                <c:pt idx="5">
                  <c:v>8274288.7753986102</c:v>
                </c:pt>
                <c:pt idx="6">
                  <c:v>8229357.9383448502</c:v>
                </c:pt>
                <c:pt idx="7">
                  <c:v>8186015.9145167004</c:v>
                </c:pt>
                <c:pt idx="8">
                  <c:v>8144178.3421499496</c:v>
                </c:pt>
                <c:pt idx="9">
                  <c:v>8103766.7281248998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A9-4995-94D5-E3D25067D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1000192"/>
        <c:axId val="604163440"/>
      </c:barChart>
      <c:catAx>
        <c:axId val="200100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04163440"/>
        <c:crosses val="autoZero"/>
        <c:auto val="1"/>
        <c:lblAlgn val="ctr"/>
        <c:lblOffset val="100"/>
        <c:noMultiLvlLbl val="0"/>
      </c:catAx>
      <c:valAx>
        <c:axId val="6041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0100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'Scenario 35 GWh'!$A$9</c:f>
              <c:strCache>
                <c:ptCount val="1"/>
                <c:pt idx="0">
                  <c:v>Omkostninger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'Scenario 35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35 GWh'!$E$9:$N$9</c:f>
              <c:numCache>
                <c:formatCode>#,##0,</c:formatCode>
                <c:ptCount val="10"/>
                <c:pt idx="0">
                  <c:v>7934106.8600176601</c:v>
                </c:pt>
                <c:pt idx="1">
                  <c:v>8049671.2001874102</c:v>
                </c:pt>
                <c:pt idx="2">
                  <c:v>8165235.5403571697</c:v>
                </c:pt>
                <c:pt idx="3">
                  <c:v>8280799.8805269198</c:v>
                </c:pt>
                <c:pt idx="4">
                  <c:v>8396364.2206966802</c:v>
                </c:pt>
                <c:pt idx="5">
                  <c:v>8511928.5608664397</c:v>
                </c:pt>
                <c:pt idx="6">
                  <c:v>8627492.9010361899</c:v>
                </c:pt>
                <c:pt idx="7">
                  <c:v>8743057.2412059493</c:v>
                </c:pt>
                <c:pt idx="8">
                  <c:v>8858621.5813757107</c:v>
                </c:pt>
                <c:pt idx="9">
                  <c:v>8974185.9215454608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0F-4161-9C5F-96CAE1FF0B02}"/>
            </c:ext>
          </c:extLst>
        </c:ser>
        <c:ser>
          <c:idx val="2"/>
          <c:order val="1"/>
          <c:tx>
            <c:strRef>
              <c:f>'Scenario 35 GWh'!$A$10</c:f>
              <c:strCache>
                <c:ptCount val="1"/>
                <c:pt idx="0">
                  <c:v>Dækningsbidrag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'Scenario 35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35 GWh'!$E$10:$N$10</c:f>
              <c:numCache>
                <c:formatCode>#,##0,</c:formatCode>
                <c:ptCount val="10"/>
                <c:pt idx="0">
                  <c:v>8375903.3934416501</c:v>
                </c:pt>
                <c:pt idx="1">
                  <c:v>8433877.0532719009</c:v>
                </c:pt>
                <c:pt idx="2">
                  <c:v>8491850.7131021395</c:v>
                </c:pt>
                <c:pt idx="3">
                  <c:v>8767933.6147433594</c:v>
                </c:pt>
                <c:pt idx="4">
                  <c:v>8830698.2625735998</c:v>
                </c:pt>
                <c:pt idx="5">
                  <c:v>8893462.9104038496</c:v>
                </c:pt>
                <c:pt idx="6">
                  <c:v>8956227.55823409</c:v>
                </c:pt>
                <c:pt idx="7">
                  <c:v>9018992.2060643304</c:v>
                </c:pt>
                <c:pt idx="8">
                  <c:v>9081756.8538945802</c:v>
                </c:pt>
                <c:pt idx="9">
                  <c:v>9144521.5017248206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0F-4161-9C5F-96CAE1FF0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1000192"/>
        <c:axId val="604163440"/>
      </c:barChart>
      <c:catAx>
        <c:axId val="200100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04163440"/>
        <c:crosses val="autoZero"/>
        <c:auto val="1"/>
        <c:lblAlgn val="ctr"/>
        <c:lblOffset val="100"/>
        <c:noMultiLvlLbl val="0"/>
      </c:catAx>
      <c:valAx>
        <c:axId val="6041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0100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257734</xdr:colOff>
      <xdr:row>4</xdr:row>
      <xdr:rowOff>33617</xdr:rowOff>
    </xdr:from>
    <xdr:to>
      <xdr:col>0</xdr:col>
      <xdr:colOff>1423146</xdr:colOff>
      <xdr:row>5</xdr:row>
      <xdr:rowOff>156882</xdr:rowOff>
    </xdr:to>
    <xdr:sp macro="[0]!CalcScenario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9BE63B5-BB0B-42BB-B63B-E561DE980B45}"/>
            </a:ext>
          </a:extLst>
        </xdr:cNvPr>
        <xdr:cNvSpPr/>
      </xdr:nvSpPr>
      <xdr:spPr>
        <a:xfrm>
          <a:off x="257734" y="795617"/>
          <a:ext cx="1165412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800" b="0"/>
            <a:t>Beregn</a:t>
          </a:r>
        </a:p>
      </xdr:txBody>
    </xdr:sp>
    <xdr:clientData/>
  </xdr:twoCellAnchor>
  <xdr:twoCellAnchor editAs="oneCell">
    <xdr:from>
      <xdr:col>9</xdr:col>
      <xdr:colOff>5598</xdr:colOff>
      <xdr:row>14</xdr:row>
      <xdr:rowOff>21012</xdr:rowOff>
    </xdr:from>
    <xdr:to>
      <xdr:col>17</xdr:col>
      <xdr:colOff>748187</xdr:colOff>
      <xdr:row>31</xdr:row>
      <xdr:rowOff>22512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7BA95A-D40D-44DF-A1D6-3E9E8BFE72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52338</xdr:colOff>
      <xdr:row>14</xdr:row>
      <xdr:rowOff>23530</xdr:rowOff>
    </xdr:from>
    <xdr:to>
      <xdr:col>8</xdr:col>
      <xdr:colOff>559603</xdr:colOff>
      <xdr:row>31</xdr:row>
      <xdr:rowOff>25030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4B42506-7FE5-47C8-B2D5-C55E170D64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18</xdr:col>
      <xdr:colOff>0</xdr:colOff>
      <xdr:row>14</xdr:row>
      <xdr:rowOff>0</xdr:rowOff>
    </xdr:from>
    <xdr:to>
      <xdr:col>27</xdr:col>
      <xdr:colOff>249530</xdr:colOff>
      <xdr:row>31</xdr:row>
      <xdr:rowOff>1500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F656D25-C713-46DE-93FC-5636B02BED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0</xdr:colOff>
      <xdr:row>33</xdr:row>
      <xdr:rowOff>34636</xdr:rowOff>
    </xdr:from>
    <xdr:to>
      <xdr:col>17</xdr:col>
      <xdr:colOff>751758</xdr:colOff>
      <xdr:row>50</xdr:row>
      <xdr:rowOff>36136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0C96A5B-8D07-4369-89FE-0DF0928744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18</xdr:col>
      <xdr:colOff>0</xdr:colOff>
      <xdr:row>33</xdr:row>
      <xdr:rowOff>34636</xdr:rowOff>
    </xdr:from>
    <xdr:to>
      <xdr:col>27</xdr:col>
      <xdr:colOff>249530</xdr:colOff>
      <xdr:row>50</xdr:row>
      <xdr:rowOff>36136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C6DC65D-2668-4D69-AFFF-212F529D2B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44824</xdr:colOff>
      <xdr:row>33</xdr:row>
      <xdr:rowOff>22412</xdr:rowOff>
    </xdr:from>
    <xdr:to>
      <xdr:col>8</xdr:col>
      <xdr:colOff>552090</xdr:colOff>
      <xdr:row>50</xdr:row>
      <xdr:rowOff>23912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D5E14A8-5003-4D6B-8D8D-096FAE72CE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9525</xdr:rowOff>
    </xdr:from>
    <xdr:to>
      <xdr:col>11</xdr:col>
      <xdr:colOff>892725</xdr:colOff>
      <xdr:row>19</xdr:row>
      <xdr:rowOff>146908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29CC451-141C-42FB-9C6D-598CDB10ED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20</xdr:row>
      <xdr:rowOff>38100</xdr:rowOff>
    </xdr:from>
    <xdr:to>
      <xdr:col>11</xdr:col>
      <xdr:colOff>892725</xdr:colOff>
      <xdr:row>38</xdr:row>
      <xdr:rowOff>164276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12EC5D3-8CF7-46F7-AF51-A9935B0337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0</xdr:colOff>
      <xdr:row>1</xdr:row>
      <xdr:rowOff>9525</xdr:rowOff>
    </xdr:from>
    <xdr:to>
      <xdr:col>19</xdr:col>
      <xdr:colOff>6897</xdr:colOff>
      <xdr:row>19</xdr:row>
      <xdr:rowOff>146908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F3D20A-DAAF-45D8-BA9E-4526496A45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952500</xdr:colOff>
      <xdr:row>20</xdr:row>
      <xdr:rowOff>38100</xdr:rowOff>
    </xdr:from>
    <xdr:to>
      <xdr:col>19</xdr:col>
      <xdr:colOff>1455</xdr:colOff>
      <xdr:row>38</xdr:row>
      <xdr:rowOff>164276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FC4AFB3-7E4E-4257-BD31-C94CF7A814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19</xdr:col>
      <xdr:colOff>95249</xdr:colOff>
      <xdr:row>20</xdr:row>
      <xdr:rowOff>44823</xdr:rowOff>
    </xdr:from>
    <xdr:to>
      <xdr:col>23</xdr:col>
      <xdr:colOff>568987</xdr:colOff>
      <xdr:row>38</xdr:row>
      <xdr:rowOff>170999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A55ABC-F952-457E-905D-3CD7D43069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89647</xdr:colOff>
      <xdr:row>1</xdr:row>
      <xdr:rowOff>9525</xdr:rowOff>
    </xdr:from>
    <xdr:to>
      <xdr:col>23</xdr:col>
      <xdr:colOff>563385</xdr:colOff>
      <xdr:row>19</xdr:row>
      <xdr:rowOff>146908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0ED4104-C0DA-4536-A9AD-D45182588E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152400</xdr:colOff>
      <xdr:row>0</xdr:row>
      <xdr:rowOff>85725</xdr:rowOff>
    </xdr:from>
    <xdr:to>
      <xdr:col>7</xdr:col>
      <xdr:colOff>1066800</xdr:colOff>
      <xdr:row>0</xdr:row>
      <xdr:rowOff>342900</xdr:rowOff>
    </xdr:to>
    <xdr:sp macro="[0]!ShowInputView" textlink="">
      <xdr:nvSpPr>
        <xdr:cNvPr id="3" name="Rectangle: Rounded Corners 2" hidden="1">
          <a:extLst>
            <a:ext uri="{FF2B5EF4-FFF2-40B4-BE49-F238E27FC236}">
              <a16:creationId xmlns:a16="http://schemas.microsoft.com/office/drawing/2014/main" id="{17CAFD58-C3C5-4765-80AA-CC95613CE43B}"/>
            </a:ext>
          </a:extLst>
        </xdr:cNvPr>
        <xdr:cNvSpPr/>
      </xdr:nvSpPr>
      <xdr:spPr>
        <a:xfrm>
          <a:off x="342900" y="85725"/>
          <a:ext cx="914400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600">
              <a:solidFill>
                <a:schemeClr val="accent1"/>
              </a:solidFill>
            </a:rPr>
            <a:t>Vis </a:t>
          </a:r>
          <a:r>
            <a:rPr lang="da-DK" sz="1400">
              <a:solidFill>
                <a:schemeClr val="accent1"/>
              </a:solidFill>
            </a:rPr>
            <a:t>Input</a:t>
          </a:r>
          <a:endParaRPr lang="da-DK" sz="1600">
            <a:solidFill>
              <a:schemeClr val="accent1"/>
            </a:solidFill>
          </a:endParaRPr>
        </a:p>
      </xdr:txBody>
    </xdr:sp>
    <xdr:clientData/>
  </xdr:twoCellAnchor>
  <xdr:twoCellAnchor>
    <xdr:from>
      <xdr:col>3</xdr:col>
      <xdr:colOff>596153</xdr:colOff>
      <xdr:row>0</xdr:row>
      <xdr:rowOff>81242</xdr:rowOff>
    </xdr:from>
    <xdr:to>
      <xdr:col>5</xdr:col>
      <xdr:colOff>490818</xdr:colOff>
      <xdr:row>0</xdr:row>
      <xdr:rowOff>338417</xdr:rowOff>
    </xdr:to>
    <xdr:sp macro="[0]!HideInputView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2B675F12-0546-4A50-8037-A1AA9D3E8830}"/>
            </a:ext>
          </a:extLst>
        </xdr:cNvPr>
        <xdr:cNvSpPr/>
      </xdr:nvSpPr>
      <xdr:spPr>
        <a:xfrm>
          <a:off x="3924300" y="81242"/>
          <a:ext cx="1104900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400" b="0">
              <a:solidFill>
                <a:schemeClr val="accent1"/>
              </a:solidFill>
            </a:rPr>
            <a:t>Skjul Input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9525</xdr:rowOff>
    </xdr:from>
    <xdr:to>
      <xdr:col>11</xdr:col>
      <xdr:colOff>836694</xdr:colOff>
      <xdr:row>19</xdr:row>
      <xdr:rowOff>146908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4D9328-2FC2-4585-AAFC-4026D6E4CF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20</xdr:row>
      <xdr:rowOff>38100</xdr:rowOff>
    </xdr:from>
    <xdr:to>
      <xdr:col>11</xdr:col>
      <xdr:colOff>836694</xdr:colOff>
      <xdr:row>38</xdr:row>
      <xdr:rowOff>164276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513EFD-1E19-480B-B29E-EFF80B0294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0</xdr:colOff>
      <xdr:row>1</xdr:row>
      <xdr:rowOff>9525</xdr:rowOff>
    </xdr:from>
    <xdr:to>
      <xdr:col>19</xdr:col>
      <xdr:colOff>6900</xdr:colOff>
      <xdr:row>19</xdr:row>
      <xdr:rowOff>146908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B24F5B6-8D61-4743-B10C-E35495E3D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952500</xdr:colOff>
      <xdr:row>20</xdr:row>
      <xdr:rowOff>38100</xdr:rowOff>
    </xdr:from>
    <xdr:to>
      <xdr:col>18</xdr:col>
      <xdr:colOff>273600</xdr:colOff>
      <xdr:row>38</xdr:row>
      <xdr:rowOff>164276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29F8049-8A30-42FB-8223-1CB82CDAB2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19</xdr:col>
      <xdr:colOff>95249</xdr:colOff>
      <xdr:row>20</xdr:row>
      <xdr:rowOff>44823</xdr:rowOff>
    </xdr:from>
    <xdr:to>
      <xdr:col>23</xdr:col>
      <xdr:colOff>568984</xdr:colOff>
      <xdr:row>38</xdr:row>
      <xdr:rowOff>170999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5BDE503-3707-4F54-9BA9-3389EBEE88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89647</xdr:colOff>
      <xdr:row>1</xdr:row>
      <xdr:rowOff>9525</xdr:rowOff>
    </xdr:from>
    <xdr:to>
      <xdr:col>23</xdr:col>
      <xdr:colOff>563382</xdr:colOff>
      <xdr:row>19</xdr:row>
      <xdr:rowOff>146908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3263DD0-3DD6-4B0C-85F4-E0019FC283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152400</xdr:colOff>
      <xdr:row>0</xdr:row>
      <xdr:rowOff>85725</xdr:rowOff>
    </xdr:from>
    <xdr:to>
      <xdr:col>7</xdr:col>
      <xdr:colOff>1066800</xdr:colOff>
      <xdr:row>0</xdr:row>
      <xdr:rowOff>342900</xdr:rowOff>
    </xdr:to>
    <xdr:sp macro="[0]!ShowInputView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87590ADC-3211-41F4-864F-E686FA665652}"/>
            </a:ext>
          </a:extLst>
        </xdr:cNvPr>
        <xdr:cNvSpPr/>
      </xdr:nvSpPr>
      <xdr:spPr>
        <a:xfrm>
          <a:off x="5553075" y="85725"/>
          <a:ext cx="914400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600">
              <a:solidFill>
                <a:schemeClr val="accent1"/>
              </a:solidFill>
            </a:rPr>
            <a:t>Vis </a:t>
          </a:r>
          <a:r>
            <a:rPr lang="da-DK" sz="1400">
              <a:solidFill>
                <a:schemeClr val="accent1"/>
              </a:solidFill>
            </a:rPr>
            <a:t>Input</a:t>
          </a:r>
          <a:endParaRPr lang="da-DK" sz="1600">
            <a:solidFill>
              <a:schemeClr val="accent1"/>
            </a:solidFill>
          </a:endParaRPr>
        </a:p>
      </xdr:txBody>
    </xdr:sp>
    <xdr:clientData/>
  </xdr:twoCellAnchor>
  <xdr:twoCellAnchor>
    <xdr:from>
      <xdr:col>3</xdr:col>
      <xdr:colOff>596153</xdr:colOff>
      <xdr:row>0</xdr:row>
      <xdr:rowOff>81242</xdr:rowOff>
    </xdr:from>
    <xdr:to>
      <xdr:col>5</xdr:col>
      <xdr:colOff>490818</xdr:colOff>
      <xdr:row>0</xdr:row>
      <xdr:rowOff>338417</xdr:rowOff>
    </xdr:to>
    <xdr:sp macro="[0]!HideInputViewModel1B" textlink="">
      <xdr:nvSpPr>
        <xdr:cNvPr id="9" name="Rectangle: Rounded Corners 8" hidden="1">
          <a:extLst>
            <a:ext uri="{FF2B5EF4-FFF2-40B4-BE49-F238E27FC236}">
              <a16:creationId xmlns:a16="http://schemas.microsoft.com/office/drawing/2014/main" id="{3A891338-60E4-49F3-8DAC-0B1B40E7FDB2}"/>
            </a:ext>
          </a:extLst>
        </xdr:cNvPr>
        <xdr:cNvSpPr/>
      </xdr:nvSpPr>
      <xdr:spPr>
        <a:xfrm>
          <a:off x="3958478" y="81242"/>
          <a:ext cx="1113865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400" b="0">
              <a:solidFill>
                <a:schemeClr val="accent1"/>
              </a:solidFill>
            </a:rPr>
            <a:t>Skjul Input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261937</xdr:colOff>
      <xdr:row>2</xdr:row>
      <xdr:rowOff>80963</xdr:rowOff>
    </xdr:from>
    <xdr:to>
      <xdr:col>48</xdr:col>
      <xdr:colOff>440287</xdr:colOff>
      <xdr:row>20</xdr:row>
      <xdr:rowOff>191132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AB2867-52F8-4D59-9F75-EC3FFA255A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39</xdr:col>
      <xdr:colOff>261937</xdr:colOff>
      <xdr:row>25</xdr:row>
      <xdr:rowOff>109538</xdr:rowOff>
    </xdr:from>
    <xdr:to>
      <xdr:col>48</xdr:col>
      <xdr:colOff>440287</xdr:colOff>
      <xdr:row>44</xdr:row>
      <xdr:rowOff>42813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743D8B-682E-42B4-B51D-8FD0F9D348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48</xdr:col>
      <xdr:colOff>500062</xdr:colOff>
      <xdr:row>2</xdr:row>
      <xdr:rowOff>80963</xdr:rowOff>
    </xdr:from>
    <xdr:to>
      <xdr:col>58</xdr:col>
      <xdr:colOff>78337</xdr:colOff>
      <xdr:row>20</xdr:row>
      <xdr:rowOff>191132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440EBCD-CFA4-4D21-BE3B-3A6BFAE852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48</xdr:col>
      <xdr:colOff>500062</xdr:colOff>
      <xdr:row>25</xdr:row>
      <xdr:rowOff>109538</xdr:rowOff>
    </xdr:from>
    <xdr:to>
      <xdr:col>58</xdr:col>
      <xdr:colOff>59287</xdr:colOff>
      <xdr:row>44</xdr:row>
      <xdr:rowOff>42813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6496411-327D-4432-ABB8-166D87873C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58</xdr:col>
      <xdr:colOff>166686</xdr:colOff>
      <xdr:row>25</xdr:row>
      <xdr:rowOff>116261</xdr:rowOff>
    </xdr:from>
    <xdr:to>
      <xdr:col>66</xdr:col>
      <xdr:colOff>1967</xdr:colOff>
      <xdr:row>44</xdr:row>
      <xdr:rowOff>49536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1F88531-9C18-4F8D-A444-04BD277684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58</xdr:col>
      <xdr:colOff>161084</xdr:colOff>
      <xdr:row>2</xdr:row>
      <xdr:rowOff>80963</xdr:rowOff>
    </xdr:from>
    <xdr:to>
      <xdr:col>66</xdr:col>
      <xdr:colOff>1407</xdr:colOff>
      <xdr:row>20</xdr:row>
      <xdr:rowOff>191132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E75CEFD-7418-489E-8576-1FC7A4B244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152400</xdr:colOff>
      <xdr:row>0</xdr:row>
      <xdr:rowOff>85725</xdr:rowOff>
    </xdr:from>
    <xdr:to>
      <xdr:col>22</xdr:col>
      <xdr:colOff>1066800</xdr:colOff>
      <xdr:row>0</xdr:row>
      <xdr:rowOff>342900</xdr:rowOff>
    </xdr:to>
    <xdr:sp macro="[0]!ShowInputView" textlink="">
      <xdr:nvSpPr>
        <xdr:cNvPr id="8" name="Rectangle: Rounded Corners 7" hidden="1">
          <a:extLst>
            <a:ext uri="{FF2B5EF4-FFF2-40B4-BE49-F238E27FC236}">
              <a16:creationId xmlns:a16="http://schemas.microsoft.com/office/drawing/2014/main" id="{A95A7C53-AEE4-405B-9C6E-A5EC3BC230A6}"/>
            </a:ext>
          </a:extLst>
        </xdr:cNvPr>
        <xdr:cNvSpPr/>
      </xdr:nvSpPr>
      <xdr:spPr>
        <a:xfrm>
          <a:off x="5524500" y="85725"/>
          <a:ext cx="914400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600">
              <a:solidFill>
                <a:schemeClr val="accent1"/>
              </a:solidFill>
            </a:rPr>
            <a:t>Vis </a:t>
          </a:r>
          <a:r>
            <a:rPr lang="da-DK" sz="1400">
              <a:solidFill>
                <a:schemeClr val="accent1"/>
              </a:solidFill>
            </a:rPr>
            <a:t>Input</a:t>
          </a:r>
          <a:endParaRPr lang="da-DK" sz="1600">
            <a:solidFill>
              <a:schemeClr val="accent1"/>
            </a:solidFill>
          </a:endParaRPr>
        </a:p>
      </xdr:txBody>
    </xdr:sp>
    <xdr:clientData/>
  </xdr:twoCellAnchor>
  <xdr:twoCellAnchor>
    <xdr:from>
      <xdr:col>10</xdr:col>
      <xdr:colOff>596153</xdr:colOff>
      <xdr:row>0</xdr:row>
      <xdr:rowOff>81242</xdr:rowOff>
    </xdr:from>
    <xdr:to>
      <xdr:col>12</xdr:col>
      <xdr:colOff>490818</xdr:colOff>
      <xdr:row>0</xdr:row>
      <xdr:rowOff>338417</xdr:rowOff>
    </xdr:to>
    <xdr:sp macro="[0]!HideInputView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D02434A-50EA-4220-ADBC-66893347CE52}"/>
            </a:ext>
          </a:extLst>
        </xdr:cNvPr>
        <xdr:cNvSpPr/>
      </xdr:nvSpPr>
      <xdr:spPr>
        <a:xfrm>
          <a:off x="3929903" y="81242"/>
          <a:ext cx="1113865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400" b="0">
              <a:solidFill>
                <a:schemeClr val="accent1"/>
              </a:solidFill>
            </a:rPr>
            <a:t>Skjul Input</a:t>
          </a:r>
        </a:p>
      </xdr:txBody>
    </xdr:sp>
    <xdr:clientData/>
  </xdr:twoCellAnchor>
  <xdr:twoCellAnchor>
    <xdr:from>
      <xdr:col>28</xdr:col>
      <xdr:colOff>1945823</xdr:colOff>
      <xdr:row>3</xdr:row>
      <xdr:rowOff>54429</xdr:rowOff>
    </xdr:from>
    <xdr:to>
      <xdr:col>40</xdr:col>
      <xdr:colOff>244930</xdr:colOff>
      <xdr:row>22</xdr:row>
      <xdr:rowOff>122465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86F0827-27A5-48D3-BD5C-59792E290E4D}"/>
            </a:ext>
          </a:extLst>
        </xdr:cNvPr>
        <xdr:cNvSpPr txBox="1"/>
      </xdr:nvSpPr>
      <xdr:spPr>
        <a:xfrm rot="21262677">
          <a:off x="24424823" y="884465"/>
          <a:ext cx="9388928" cy="3741964"/>
        </a:xfrm>
        <a:prstGeom prst="rect">
          <a:avLst/>
        </a:prstGeom>
        <a:solidFill>
          <a:srgbClr val="0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a-DK" sz="8800" b="1"/>
            <a:t>IN PROGRESS</a:t>
          </a:r>
        </a:p>
      </xdr:txBody>
    </xdr:sp>
    <xdr:clientData/>
  </xdr:twoCellAnchor>
  <xdr:twoCellAnchor>
    <xdr:from>
      <xdr:col>1</xdr:col>
      <xdr:colOff>156883</xdr:colOff>
      <xdr:row>109</xdr:row>
      <xdr:rowOff>134471</xdr:rowOff>
    </xdr:from>
    <xdr:to>
      <xdr:col>5</xdr:col>
      <xdr:colOff>56029</xdr:colOff>
      <xdr:row>116</xdr:row>
      <xdr:rowOff>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B60C5D09-4F71-4DD0-8D44-2B51DEB29FC6}"/>
            </a:ext>
          </a:extLst>
        </xdr:cNvPr>
        <xdr:cNvSpPr txBox="1"/>
      </xdr:nvSpPr>
      <xdr:spPr>
        <a:xfrm>
          <a:off x="2207559" y="21235147"/>
          <a:ext cx="2745441" cy="1199029"/>
        </a:xfrm>
        <a:prstGeom prst="rect">
          <a:avLst/>
        </a:prstGeom>
        <a:solidFill>
          <a:srgbClr val="0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/>
            <a:t>Objective</a:t>
          </a:r>
          <a:r>
            <a:rPr lang="da-DK" sz="1100" baseline="0"/>
            <a:t> tilføjes følgende:</a:t>
          </a:r>
          <a:endParaRPr lang="da-DK" sz="1100"/>
        </a:p>
        <a:p>
          <a:endParaRPr lang="da-DK" sz="1100"/>
        </a:p>
        <a:p>
          <a:r>
            <a:rPr lang="da-DK" sz="1100"/>
            <a:t>NPV -</a:t>
          </a:r>
          <a:r>
            <a:rPr lang="da-DK" sz="1100" baseline="0"/>
            <a:t> Penalty_UudnyttetAffald</a:t>
          </a:r>
          <a:endParaRPr lang="da-DK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0</xdr:rowOff>
    </xdr:from>
    <xdr:to>
      <xdr:col>25</xdr:col>
      <xdr:colOff>526675</xdr:colOff>
      <xdr:row>21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7CC950-9C2B-48DC-B9AC-47177C8A95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6723</xdr:rowOff>
    </xdr:from>
    <xdr:to>
      <xdr:col>25</xdr:col>
      <xdr:colOff>526676</xdr:colOff>
      <xdr:row>21</xdr:row>
      <xdr:rowOff>82923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A4D9C9-768C-4DAE-8849-6EB3EDF6D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145677</xdr:colOff>
      <xdr:row>0</xdr:row>
      <xdr:rowOff>22412</xdr:rowOff>
    </xdr:from>
    <xdr:to>
      <xdr:col>25</xdr:col>
      <xdr:colOff>560295</xdr:colOff>
      <xdr:row>7</xdr:row>
      <xdr:rowOff>11206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4FCCF80-8E07-44A5-9B7D-AB6F722FDE5A}"/>
            </a:ext>
          </a:extLst>
        </xdr:cNvPr>
        <xdr:cNvSpPr txBox="1"/>
      </xdr:nvSpPr>
      <xdr:spPr>
        <a:xfrm>
          <a:off x="14847795" y="22412"/>
          <a:ext cx="5860676" cy="1165412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400"/>
            <a:t>Maksimal</a:t>
          </a:r>
          <a:r>
            <a:rPr lang="da-DK" sz="1400" baseline="0"/>
            <a:t> DB opnås her, når RGK-graden netop udløser RGK-rabatten. </a:t>
          </a:r>
        </a:p>
        <a:p>
          <a:r>
            <a:rPr lang="da-DK" sz="1400" baseline="0"/>
            <a:t>For større RGK-grad falder modtagebetalingen. </a:t>
          </a:r>
        </a:p>
        <a:p>
          <a:r>
            <a:rPr lang="da-DK" sz="1400" baseline="0"/>
            <a:t>Denne situation opstår, når varmebehovet ikke udnytter ovnkapaciteterne fuldt ud, om vinteren når NordicSugar-varme kommer ind, og om sommeren, når varmebehovet falder.</a:t>
          </a:r>
          <a:endParaRPr lang="da-DK" sz="1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0</xdr:rowOff>
    </xdr:from>
    <xdr:to>
      <xdr:col>25</xdr:col>
      <xdr:colOff>526675</xdr:colOff>
      <xdr:row>21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269395D-72BD-4C7E-A718-632CAABE67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7430D07-40D6-430A-B5EC-3D50F467409A}">
  <we:reference id="wa200003696" version="1.0.0.0" store="en-US" storeType="OMEX"/>
  <we:alternateReferences>
    <we:reference id="wa200003696" version="1.0.0.0" store="WA20000369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printerSettings" Target="../printerSettings/printerSettings3.bin"/><Relationship Id="rId7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3.vml"/><Relationship Id="rId3" Type="http://schemas.openxmlformats.org/officeDocument/2006/relationships/printerSettings" Target="../printerSettings/printerSettings9.bin"/><Relationship Id="rId7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printerSettings" Target="../printerSettings/printerSettings12.bin"/><Relationship Id="rId5" Type="http://schemas.openxmlformats.org/officeDocument/2006/relationships/printerSettings" Target="../printerSettings/printerSettings11.bin"/><Relationship Id="rId4" Type="http://schemas.openxmlformats.org/officeDocument/2006/relationships/printerSettings" Target="../printerSettings/printerSettings10.bin"/><Relationship Id="rId9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4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5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6" Type="http://schemas.openxmlformats.org/officeDocument/2006/relationships/printerSettings" Target="../printerSettings/printerSettings24.bin"/><Relationship Id="rId5" Type="http://schemas.openxmlformats.org/officeDocument/2006/relationships/printerSettings" Target="../printerSettings/printerSettings23.bin"/><Relationship Id="rId4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5041-A897-4B9A-847B-80A5909CEA13}">
  <sheetPr codeName="Sheet7"/>
  <dimension ref="C3:Y10"/>
  <sheetViews>
    <sheetView zoomScale="85" zoomScaleNormal="85" workbookViewId="0">
      <selection activeCell="D3" sqref="D3"/>
    </sheetView>
  </sheetViews>
  <sheetFormatPr defaultRowHeight="15" x14ac:dyDescent="0.25"/>
  <cols>
    <col min="3" max="3" width="24" bestFit="1" customWidth="1"/>
    <col min="4" max="4" width="9.42578125" bestFit="1" customWidth="1"/>
  </cols>
  <sheetData>
    <row r="3" spans="3:25" x14ac:dyDescent="0.25">
      <c r="C3" t="s">
        <v>270</v>
      </c>
      <c r="D3" t="s">
        <v>271</v>
      </c>
    </row>
    <row r="4" spans="3:25" x14ac:dyDescent="0.25">
      <c r="C4" s="76" t="s">
        <v>131</v>
      </c>
      <c r="D4" s="77" t="s">
        <v>47</v>
      </c>
      <c r="E4" s="78" t="s">
        <v>207</v>
      </c>
      <c r="F4" s="78" t="s">
        <v>208</v>
      </c>
      <c r="G4" s="78" t="s">
        <v>209</v>
      </c>
      <c r="H4" s="78" t="s">
        <v>210</v>
      </c>
      <c r="I4" s="78" t="s">
        <v>211</v>
      </c>
      <c r="J4" s="78" t="s">
        <v>212</v>
      </c>
      <c r="K4" s="78" t="s">
        <v>213</v>
      </c>
      <c r="L4" s="78" t="s">
        <v>214</v>
      </c>
      <c r="M4" s="78" t="s">
        <v>215</v>
      </c>
      <c r="N4" s="78" t="s">
        <v>216</v>
      </c>
      <c r="O4" s="78" t="s">
        <v>217</v>
      </c>
      <c r="P4" s="78" t="s">
        <v>218</v>
      </c>
      <c r="Q4" s="78" t="s">
        <v>219</v>
      </c>
      <c r="R4" s="78" t="s">
        <v>220</v>
      </c>
      <c r="S4" s="78" t="s">
        <v>221</v>
      </c>
      <c r="T4" s="78" t="s">
        <v>222</v>
      </c>
      <c r="U4" s="78" t="s">
        <v>223</v>
      </c>
      <c r="V4" s="78" t="s">
        <v>224</v>
      </c>
      <c r="W4" s="78" t="s">
        <v>225</v>
      </c>
      <c r="X4" s="78" t="s">
        <v>226</v>
      </c>
      <c r="Y4" s="79" t="s">
        <v>227</v>
      </c>
    </row>
    <row r="5" spans="3:25" x14ac:dyDescent="0.25">
      <c r="C5" s="80" t="s">
        <v>228</v>
      </c>
      <c r="D5" s="81"/>
      <c r="E5" s="82">
        <v>1</v>
      </c>
      <c r="F5" s="82">
        <v>1</v>
      </c>
      <c r="G5" s="82">
        <v>1</v>
      </c>
      <c r="H5" s="82">
        <v>1</v>
      </c>
      <c r="I5" s="82">
        <v>1</v>
      </c>
      <c r="J5" s="82">
        <v>1</v>
      </c>
      <c r="K5" s="82">
        <v>1</v>
      </c>
      <c r="L5" s="82">
        <v>1</v>
      </c>
      <c r="M5" s="82">
        <v>1</v>
      </c>
      <c r="N5" s="82">
        <v>1</v>
      </c>
      <c r="O5" s="82">
        <v>1</v>
      </c>
      <c r="P5" s="82">
        <v>1</v>
      </c>
      <c r="Q5" s="82">
        <v>1</v>
      </c>
      <c r="R5" s="82">
        <v>1</v>
      </c>
      <c r="S5" s="82">
        <v>1</v>
      </c>
      <c r="T5" s="82">
        <v>1</v>
      </c>
      <c r="U5" s="82">
        <v>1</v>
      </c>
      <c r="V5" s="82">
        <v>1</v>
      </c>
      <c r="W5" s="82">
        <v>1</v>
      </c>
      <c r="X5" s="82">
        <v>1</v>
      </c>
      <c r="Y5" s="83">
        <v>1</v>
      </c>
    </row>
    <row r="6" spans="3:25" x14ac:dyDescent="0.25">
      <c r="C6" s="80" t="s">
        <v>202</v>
      </c>
      <c r="D6" s="84" t="s">
        <v>41</v>
      </c>
      <c r="E6" s="85">
        <v>28000</v>
      </c>
      <c r="F6" s="85">
        <v>28000</v>
      </c>
      <c r="G6" s="85">
        <v>28000</v>
      </c>
      <c r="H6" s="85">
        <v>28000</v>
      </c>
      <c r="I6" s="85">
        <v>28000</v>
      </c>
      <c r="J6" s="85">
        <v>28000</v>
      </c>
      <c r="K6" s="85">
        <v>28000</v>
      </c>
      <c r="L6" s="85">
        <v>28000</v>
      </c>
      <c r="M6" s="85">
        <v>28000</v>
      </c>
      <c r="N6" s="85">
        <v>28000</v>
      </c>
      <c r="O6" s="85">
        <v>28000</v>
      </c>
      <c r="P6" s="85">
        <v>28000</v>
      </c>
      <c r="Q6" s="85">
        <v>28000</v>
      </c>
      <c r="R6" s="85">
        <v>28000</v>
      </c>
      <c r="S6" s="85">
        <v>28000</v>
      </c>
      <c r="T6" s="85">
        <v>28000</v>
      </c>
      <c r="U6" s="85">
        <v>28000</v>
      </c>
      <c r="V6" s="85">
        <v>28000</v>
      </c>
      <c r="W6" s="85">
        <v>28000</v>
      </c>
      <c r="X6" s="85">
        <v>28000</v>
      </c>
      <c r="Y6" s="86">
        <v>28000</v>
      </c>
    </row>
    <row r="7" spans="3:25" x14ac:dyDescent="0.25">
      <c r="C7" s="80" t="s">
        <v>203</v>
      </c>
      <c r="D7" s="84" t="s">
        <v>16</v>
      </c>
      <c r="E7" s="85">
        <v>12000</v>
      </c>
      <c r="F7" s="85">
        <v>12000</v>
      </c>
      <c r="G7" s="85">
        <v>12000</v>
      </c>
      <c r="H7" s="85">
        <v>12000</v>
      </c>
      <c r="I7" s="85">
        <v>12000</v>
      </c>
      <c r="J7" s="85">
        <v>12000</v>
      </c>
      <c r="K7" s="85">
        <v>12000</v>
      </c>
      <c r="L7" s="85">
        <v>12000</v>
      </c>
      <c r="M7" s="85">
        <v>12000</v>
      </c>
      <c r="N7" s="85">
        <v>12000</v>
      </c>
      <c r="O7" s="85">
        <v>12000</v>
      </c>
      <c r="P7" s="85">
        <v>12000</v>
      </c>
      <c r="Q7" s="85">
        <v>12000</v>
      </c>
      <c r="R7" s="85">
        <v>12000</v>
      </c>
      <c r="S7" s="85">
        <v>12000</v>
      </c>
      <c r="T7" s="85">
        <v>12000</v>
      </c>
      <c r="U7" s="85">
        <v>12000</v>
      </c>
      <c r="V7" s="85">
        <v>12000</v>
      </c>
      <c r="W7" s="85">
        <v>12000</v>
      </c>
      <c r="X7" s="85">
        <v>12000</v>
      </c>
      <c r="Y7" s="86">
        <v>12000</v>
      </c>
    </row>
    <row r="8" spans="3:25" x14ac:dyDescent="0.25">
      <c r="C8" s="80" t="s">
        <v>204</v>
      </c>
      <c r="D8" s="84" t="s">
        <v>16</v>
      </c>
      <c r="E8" s="85">
        <v>0</v>
      </c>
      <c r="F8" s="85">
        <v>0</v>
      </c>
      <c r="G8" s="85">
        <v>0</v>
      </c>
      <c r="H8" s="85">
        <v>0</v>
      </c>
      <c r="I8" s="85">
        <v>0</v>
      </c>
      <c r="J8" s="85">
        <v>0</v>
      </c>
      <c r="K8" s="85">
        <v>0</v>
      </c>
      <c r="L8" s="85">
        <v>0</v>
      </c>
      <c r="M8" s="85">
        <v>0</v>
      </c>
      <c r="N8" s="85">
        <v>0</v>
      </c>
      <c r="O8" s="85">
        <v>0</v>
      </c>
      <c r="P8" s="85">
        <v>0</v>
      </c>
      <c r="Q8" s="85">
        <v>0</v>
      </c>
      <c r="R8" s="85">
        <v>0</v>
      </c>
      <c r="S8" s="85">
        <v>0</v>
      </c>
      <c r="T8" s="85">
        <v>0</v>
      </c>
      <c r="U8" s="85">
        <v>0</v>
      </c>
      <c r="V8" s="85">
        <v>0</v>
      </c>
      <c r="W8" s="85">
        <v>0</v>
      </c>
      <c r="X8" s="85">
        <v>0</v>
      </c>
      <c r="Y8" s="86">
        <v>0</v>
      </c>
    </row>
    <row r="9" spans="3:25" x14ac:dyDescent="0.25">
      <c r="C9" s="80" t="s">
        <v>130</v>
      </c>
      <c r="D9" s="84" t="s">
        <v>132</v>
      </c>
      <c r="E9" s="87">
        <v>1</v>
      </c>
      <c r="F9" s="87">
        <v>0.05</v>
      </c>
      <c r="G9" s="87">
        <v>0.1</v>
      </c>
      <c r="H9" s="87">
        <v>0.15</v>
      </c>
      <c r="I9" s="87">
        <v>0.2</v>
      </c>
      <c r="J9" s="87">
        <v>0.25</v>
      </c>
      <c r="K9" s="87">
        <v>0.3</v>
      </c>
      <c r="L9" s="87">
        <v>0.35</v>
      </c>
      <c r="M9" s="87">
        <v>0.4</v>
      </c>
      <c r="N9" s="87">
        <v>0.45</v>
      </c>
      <c r="O9" s="87">
        <v>0.5</v>
      </c>
      <c r="P9" s="87">
        <v>0.55000000000000004</v>
      </c>
      <c r="Q9" s="87">
        <v>0.6</v>
      </c>
      <c r="R9" s="87">
        <v>0.65</v>
      </c>
      <c r="S9" s="87">
        <v>0.7</v>
      </c>
      <c r="T9" s="87">
        <v>0.75</v>
      </c>
      <c r="U9" s="87">
        <v>0.8</v>
      </c>
      <c r="V9" s="87">
        <v>0.85</v>
      </c>
      <c r="W9" s="87">
        <v>0.9</v>
      </c>
      <c r="X9" s="87">
        <v>0.95</v>
      </c>
      <c r="Y9" s="88">
        <v>1</v>
      </c>
    </row>
    <row r="10" spans="3:25" x14ac:dyDescent="0.25">
      <c r="C10" s="89" t="s">
        <v>205</v>
      </c>
      <c r="D10" s="90" t="s">
        <v>41</v>
      </c>
      <c r="E10" s="91">
        <v>4000</v>
      </c>
      <c r="F10" s="91">
        <v>4000</v>
      </c>
      <c r="G10" s="91">
        <v>4000</v>
      </c>
      <c r="H10" s="91">
        <v>4000</v>
      </c>
      <c r="I10" s="91">
        <v>4000</v>
      </c>
      <c r="J10" s="91">
        <v>4000</v>
      </c>
      <c r="K10" s="91">
        <v>4000</v>
      </c>
      <c r="L10" s="91">
        <v>4000</v>
      </c>
      <c r="M10" s="91">
        <v>4000</v>
      </c>
      <c r="N10" s="91">
        <v>4000</v>
      </c>
      <c r="O10" s="91">
        <v>4000</v>
      </c>
      <c r="P10" s="91">
        <v>4000</v>
      </c>
      <c r="Q10" s="91">
        <v>4000</v>
      </c>
      <c r="R10" s="91">
        <v>4000</v>
      </c>
      <c r="S10" s="91">
        <v>4000</v>
      </c>
      <c r="T10" s="91">
        <v>4000</v>
      </c>
      <c r="U10" s="91">
        <v>4000</v>
      </c>
      <c r="V10" s="91">
        <v>4000</v>
      </c>
      <c r="W10" s="91">
        <v>4000</v>
      </c>
      <c r="X10" s="91">
        <v>4000</v>
      </c>
      <c r="Y10" s="92">
        <v>4000</v>
      </c>
    </row>
  </sheetData>
  <customSheetViews>
    <customSheetView guid="{D61959C2-356A-4414-A70C-587540F5DA06}" scale="85">
      <selection activeCell="D3" sqref="D3"/>
      <pageMargins left="0.7" right="0.7" top="0.75" bottom="0.75" header="0.3" footer="0.3"/>
    </customSheetView>
    <customSheetView guid="{01B8EE19-BF49-4F3C-9D6B-CD607AE52779}" scale="85">
      <selection activeCell="D3" sqref="D3"/>
      <pageMargins left="0.7" right="0.7" top="0.75" bottom="0.75" header="0.3" footer="0.3"/>
    </customSheetView>
  </customSheetViews>
  <conditionalFormatting sqref="E5:Y5">
    <cfRule type="cellIs" dxfId="9" priority="1" operator="greater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FA8DB-58B5-4F5D-9E46-7BD8B1B89D7C}">
  <sheetPr codeName="Sheet1"/>
  <dimension ref="A1:AE148"/>
  <sheetViews>
    <sheetView topLeftCell="B5" zoomScale="85" zoomScaleNormal="85" workbookViewId="0">
      <selection activeCell="E109" sqref="E109:Y109"/>
    </sheetView>
  </sheetViews>
  <sheetFormatPr defaultRowHeight="15" outlineLevelRow="1" x14ac:dyDescent="0.25"/>
  <cols>
    <col min="1" max="1" width="23.42578125" customWidth="1"/>
    <col min="2" max="2" width="10.85546875" bestFit="1" customWidth="1"/>
    <col min="3" max="3" width="31.28515625" bestFit="1" customWidth="1"/>
    <col min="4" max="4" width="11.42578125" customWidth="1"/>
    <col min="5" max="5" width="10.85546875" customWidth="1"/>
    <col min="6" max="6" width="14.42578125" bestFit="1" customWidth="1"/>
    <col min="7" max="17" width="10.7109375" customWidth="1"/>
    <col min="18" max="18" width="11.85546875" customWidth="1"/>
    <col min="19" max="25" width="10.7109375" customWidth="1"/>
  </cols>
  <sheetData>
    <row r="1" spans="1:31" hidden="1" outlineLevel="1" x14ac:dyDescent="0.25"/>
    <row r="2" spans="1:31" hidden="1" outlineLevel="1" x14ac:dyDescent="0.25"/>
    <row r="3" spans="1:31" hidden="1" outlineLevel="1" x14ac:dyDescent="0.25"/>
    <row r="4" spans="1:31" hidden="1" outlineLevel="1" x14ac:dyDescent="0.25"/>
    <row r="5" spans="1:31" ht="21" collapsed="1" x14ac:dyDescent="0.35">
      <c r="A5" s="49"/>
      <c r="B5" s="49"/>
      <c r="C5" s="100" t="s">
        <v>239</v>
      </c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</row>
    <row r="6" spans="1:31" x14ac:dyDescent="0.25">
      <c r="A6" s="49"/>
      <c r="B6" s="49"/>
      <c r="C6" s="76" t="s">
        <v>131</v>
      </c>
      <c r="D6" s="77" t="s">
        <v>47</v>
      </c>
      <c r="E6" s="78" t="s">
        <v>207</v>
      </c>
      <c r="F6" s="78" t="s">
        <v>208</v>
      </c>
      <c r="G6" s="78" t="s">
        <v>209</v>
      </c>
      <c r="H6" s="78" t="s">
        <v>210</v>
      </c>
      <c r="I6" s="78" t="s">
        <v>211</v>
      </c>
      <c r="J6" s="78" t="s">
        <v>212</v>
      </c>
      <c r="K6" s="78" t="s">
        <v>213</v>
      </c>
      <c r="L6" s="78" t="s">
        <v>214</v>
      </c>
      <c r="M6" s="78" t="s">
        <v>215</v>
      </c>
      <c r="N6" s="78" t="s">
        <v>216</v>
      </c>
      <c r="O6" s="78" t="s">
        <v>217</v>
      </c>
      <c r="P6" s="78" t="s">
        <v>218</v>
      </c>
      <c r="Q6" s="78" t="s">
        <v>219</v>
      </c>
      <c r="R6" s="78" t="s">
        <v>220</v>
      </c>
      <c r="S6" s="78" t="s">
        <v>221</v>
      </c>
      <c r="T6" s="78" t="s">
        <v>222</v>
      </c>
      <c r="U6" s="78" t="s">
        <v>223</v>
      </c>
      <c r="V6" s="78" t="s">
        <v>224</v>
      </c>
      <c r="W6" s="78" t="s">
        <v>225</v>
      </c>
      <c r="X6" s="78" t="s">
        <v>226</v>
      </c>
      <c r="Y6" s="79" t="s">
        <v>227</v>
      </c>
      <c r="Z6" s="49"/>
      <c r="AA6" s="49"/>
      <c r="AB6" s="49"/>
      <c r="AC6" s="49"/>
      <c r="AD6" s="49"/>
      <c r="AE6" s="49"/>
    </row>
    <row r="7" spans="1:31" x14ac:dyDescent="0.25">
      <c r="A7" s="49"/>
      <c r="B7" s="49"/>
      <c r="C7" s="80" t="s">
        <v>228</v>
      </c>
      <c r="D7" s="81"/>
      <c r="E7" s="82">
        <v>1</v>
      </c>
      <c r="F7" s="82">
        <v>1</v>
      </c>
      <c r="G7" s="82">
        <v>1</v>
      </c>
      <c r="H7" s="82">
        <v>1</v>
      </c>
      <c r="I7" s="82">
        <v>1</v>
      </c>
      <c r="J7" s="82">
        <v>1</v>
      </c>
      <c r="K7" s="82">
        <v>1</v>
      </c>
      <c r="L7" s="82">
        <v>1</v>
      </c>
      <c r="M7" s="82">
        <v>1</v>
      </c>
      <c r="N7" s="82">
        <v>1</v>
      </c>
      <c r="O7" s="82">
        <v>1</v>
      </c>
      <c r="P7" s="82">
        <v>1</v>
      </c>
      <c r="Q7" s="82">
        <v>1</v>
      </c>
      <c r="R7" s="82">
        <v>1</v>
      </c>
      <c r="S7" s="82">
        <v>1</v>
      </c>
      <c r="T7" s="82">
        <v>1</v>
      </c>
      <c r="U7" s="82">
        <v>1</v>
      </c>
      <c r="V7" s="82">
        <v>1</v>
      </c>
      <c r="W7" s="82">
        <v>1</v>
      </c>
      <c r="X7" s="82">
        <v>1</v>
      </c>
      <c r="Y7" s="83">
        <v>1</v>
      </c>
      <c r="Z7" s="49"/>
      <c r="AA7" s="49"/>
      <c r="AB7" s="49"/>
      <c r="AC7" s="49"/>
      <c r="AD7" s="49"/>
      <c r="AE7" s="49"/>
    </row>
    <row r="8" spans="1:31" x14ac:dyDescent="0.25">
      <c r="A8" s="101"/>
      <c r="B8" s="49"/>
      <c r="C8" s="80" t="str">
        <f>'Model-1'!A4</f>
        <v>FJV-behov</v>
      </c>
      <c r="D8" s="84" t="str">
        <f>'Model-1'!B4</f>
        <v>MWhq</v>
      </c>
      <c r="E8" s="85">
        <f>28000</f>
        <v>28000</v>
      </c>
      <c r="F8" s="85">
        <f>28000</f>
        <v>28000</v>
      </c>
      <c r="G8" s="85">
        <f>28000</f>
        <v>28000</v>
      </c>
      <c r="H8" s="85">
        <f>28000</f>
        <v>28000</v>
      </c>
      <c r="I8" s="85">
        <f>28000</f>
        <v>28000</v>
      </c>
      <c r="J8" s="85">
        <f>28000</f>
        <v>28000</v>
      </c>
      <c r="K8" s="85">
        <f>28000</f>
        <v>28000</v>
      </c>
      <c r="L8" s="85">
        <f>28000</f>
        <v>28000</v>
      </c>
      <c r="M8" s="85">
        <f>28000</f>
        <v>28000</v>
      </c>
      <c r="N8" s="85">
        <f>28000</f>
        <v>28000</v>
      </c>
      <c r="O8" s="85">
        <f>28000</f>
        <v>28000</v>
      </c>
      <c r="P8" s="85">
        <f>28000</f>
        <v>28000</v>
      </c>
      <c r="Q8" s="85">
        <f>28000</f>
        <v>28000</v>
      </c>
      <c r="R8" s="85">
        <f>28000</f>
        <v>28000</v>
      </c>
      <c r="S8" s="85">
        <f>28000</f>
        <v>28000</v>
      </c>
      <c r="T8" s="85">
        <f>28000</f>
        <v>28000</v>
      </c>
      <c r="U8" s="85">
        <f>28000</f>
        <v>28000</v>
      </c>
      <c r="V8" s="85">
        <f>28000</f>
        <v>28000</v>
      </c>
      <c r="W8" s="85">
        <f>28000</f>
        <v>28000</v>
      </c>
      <c r="X8" s="85">
        <f>28000</f>
        <v>28000</v>
      </c>
      <c r="Y8" s="86">
        <f>28000</f>
        <v>28000</v>
      </c>
      <c r="Z8" s="49"/>
      <c r="AA8" s="49"/>
      <c r="AB8" s="49"/>
      <c r="AC8" s="49"/>
      <c r="AD8" s="49"/>
      <c r="AE8" s="49"/>
    </row>
    <row r="9" spans="1:31" x14ac:dyDescent="0.25">
      <c r="A9" s="101"/>
      <c r="B9" s="49"/>
      <c r="C9" s="80" t="str">
        <f>'Model-1'!A5</f>
        <v>Affaldstonnage Fossil Fast</v>
      </c>
      <c r="D9" s="84" t="str">
        <f>'Model-1'!B5</f>
        <v>ton</v>
      </c>
      <c r="E9" s="85">
        <f>'Model-1'!C5</f>
        <v>9000</v>
      </c>
      <c r="F9" s="85">
        <v>12000</v>
      </c>
      <c r="G9" s="85">
        <v>12000</v>
      </c>
      <c r="H9" s="85">
        <v>12000</v>
      </c>
      <c r="I9" s="85">
        <v>12000</v>
      </c>
      <c r="J9" s="85">
        <v>12000</v>
      </c>
      <c r="K9" s="85">
        <v>12000</v>
      </c>
      <c r="L9" s="85">
        <v>12000</v>
      </c>
      <c r="M9" s="85">
        <v>12000</v>
      </c>
      <c r="N9" s="85">
        <v>12000</v>
      </c>
      <c r="O9" s="85">
        <v>12000</v>
      </c>
      <c r="P9" s="85">
        <v>12000</v>
      </c>
      <c r="Q9" s="85">
        <v>12000</v>
      </c>
      <c r="R9" s="85">
        <v>12000</v>
      </c>
      <c r="S9" s="85">
        <v>12000</v>
      </c>
      <c r="T9" s="85">
        <v>12000</v>
      </c>
      <c r="U9" s="85">
        <v>12000</v>
      </c>
      <c r="V9" s="85">
        <v>12000</v>
      </c>
      <c r="W9" s="85">
        <v>12000</v>
      </c>
      <c r="X9" s="85">
        <v>12000</v>
      </c>
      <c r="Y9" s="86">
        <v>12000</v>
      </c>
      <c r="Z9" s="49"/>
      <c r="AA9" s="49"/>
      <c r="AB9" s="49"/>
      <c r="AC9" s="49"/>
      <c r="AD9" s="49"/>
      <c r="AE9" s="49"/>
    </row>
    <row r="10" spans="1:31" x14ac:dyDescent="0.25">
      <c r="A10" s="101"/>
      <c r="B10" s="49"/>
      <c r="C10" s="80" t="str">
        <f>'Model-1'!A7</f>
        <v>Affaldstonnage Biogen</v>
      </c>
      <c r="D10" s="84" t="str">
        <f>'Model-1'!B7</f>
        <v>ton</v>
      </c>
      <c r="E10" s="85">
        <f>'Model-1'!C7</f>
        <v>0</v>
      </c>
      <c r="F10" s="85">
        <v>0</v>
      </c>
      <c r="G10" s="85">
        <v>0</v>
      </c>
      <c r="H10" s="85">
        <v>0</v>
      </c>
      <c r="I10" s="85">
        <v>0</v>
      </c>
      <c r="J10" s="85">
        <v>0</v>
      </c>
      <c r="K10" s="85">
        <v>0</v>
      </c>
      <c r="L10" s="85">
        <v>0</v>
      </c>
      <c r="M10" s="85">
        <v>0</v>
      </c>
      <c r="N10" s="85">
        <v>0</v>
      </c>
      <c r="O10" s="85">
        <v>0</v>
      </c>
      <c r="P10" s="85">
        <v>0</v>
      </c>
      <c r="Q10" s="85">
        <v>0</v>
      </c>
      <c r="R10" s="85">
        <v>0</v>
      </c>
      <c r="S10" s="85">
        <v>0</v>
      </c>
      <c r="T10" s="85">
        <v>0</v>
      </c>
      <c r="U10" s="85">
        <v>0</v>
      </c>
      <c r="V10" s="85">
        <v>0</v>
      </c>
      <c r="W10" s="85">
        <v>0</v>
      </c>
      <c r="X10" s="85">
        <v>0</v>
      </c>
      <c r="Y10" s="86">
        <v>0</v>
      </c>
      <c r="Z10" s="49"/>
      <c r="AA10" s="49"/>
      <c r="AB10" s="49"/>
      <c r="AC10" s="49"/>
      <c r="AD10" s="49"/>
      <c r="AE10" s="49"/>
    </row>
    <row r="11" spans="1:31" x14ac:dyDescent="0.25">
      <c r="A11" s="101"/>
      <c r="B11" s="49"/>
      <c r="C11" s="80" t="str">
        <f>'Model-1'!A8</f>
        <v>RGK-udnyttelse</v>
      </c>
      <c r="D11" s="84" t="str">
        <f>'Model-1'!B8</f>
        <v>procent</v>
      </c>
      <c r="E11" s="87">
        <v>1</v>
      </c>
      <c r="F11" s="87">
        <v>0.05</v>
      </c>
      <c r="G11" s="87">
        <v>0.1</v>
      </c>
      <c r="H11" s="87">
        <v>0.15</v>
      </c>
      <c r="I11" s="87">
        <v>0.2</v>
      </c>
      <c r="J11" s="87">
        <v>0.25</v>
      </c>
      <c r="K11" s="87">
        <v>0.3</v>
      </c>
      <c r="L11" s="87">
        <v>0.35</v>
      </c>
      <c r="M11" s="87">
        <v>0.4</v>
      </c>
      <c r="N11" s="87">
        <v>0.45</v>
      </c>
      <c r="O11" s="87">
        <v>0.5</v>
      </c>
      <c r="P11" s="87">
        <v>0.55000000000000004</v>
      </c>
      <c r="Q11" s="87">
        <v>0.6</v>
      </c>
      <c r="R11" s="87">
        <v>0.65</v>
      </c>
      <c r="S11" s="87">
        <v>0.7</v>
      </c>
      <c r="T11" s="87">
        <v>0.75</v>
      </c>
      <c r="U11" s="87">
        <v>0.8</v>
      </c>
      <c r="V11" s="87">
        <v>0.85</v>
      </c>
      <c r="W11" s="87">
        <v>0.9</v>
      </c>
      <c r="X11" s="87">
        <v>0.95</v>
      </c>
      <c r="Y11" s="88">
        <v>1</v>
      </c>
      <c r="Z11" s="49"/>
      <c r="AA11" s="49"/>
      <c r="AB11" s="49"/>
      <c r="AC11" s="49"/>
      <c r="AD11" s="49"/>
      <c r="AE11" s="49"/>
    </row>
    <row r="12" spans="1:31" x14ac:dyDescent="0.25">
      <c r="A12" s="101"/>
      <c r="B12" s="49"/>
      <c r="C12" s="89" t="str">
        <f>'Model-1'!A9</f>
        <v>NordicSugar varme</v>
      </c>
      <c r="D12" s="90" t="str">
        <f>'Model-1'!B9</f>
        <v>MWhq</v>
      </c>
      <c r="E12" s="91">
        <f>'Model-1'!C9</f>
        <v>4000</v>
      </c>
      <c r="F12" s="91">
        <v>4000</v>
      </c>
      <c r="G12" s="91">
        <v>4000</v>
      </c>
      <c r="H12" s="91">
        <v>4000</v>
      </c>
      <c r="I12" s="91">
        <v>4000</v>
      </c>
      <c r="J12" s="91">
        <v>4000</v>
      </c>
      <c r="K12" s="91">
        <v>4000</v>
      </c>
      <c r="L12" s="91">
        <v>4000</v>
      </c>
      <c r="M12" s="91">
        <v>4000</v>
      </c>
      <c r="N12" s="91">
        <v>4000</v>
      </c>
      <c r="O12" s="91">
        <v>4000</v>
      </c>
      <c r="P12" s="91">
        <v>4000</v>
      </c>
      <c r="Q12" s="91">
        <v>4000</v>
      </c>
      <c r="R12" s="91">
        <v>4000</v>
      </c>
      <c r="S12" s="91">
        <v>4000</v>
      </c>
      <c r="T12" s="91">
        <v>4000</v>
      </c>
      <c r="U12" s="91">
        <v>4000</v>
      </c>
      <c r="V12" s="91">
        <v>4000</v>
      </c>
      <c r="W12" s="91">
        <v>4000</v>
      </c>
      <c r="X12" s="91">
        <v>4000</v>
      </c>
      <c r="Y12" s="92">
        <v>4000</v>
      </c>
      <c r="Z12" s="49"/>
      <c r="AA12" s="49"/>
      <c r="AB12" s="49"/>
      <c r="AC12" s="49"/>
      <c r="AD12" s="49"/>
      <c r="AE12" s="49"/>
    </row>
    <row r="13" spans="1:31" x14ac:dyDescent="0.25">
      <c r="A13" s="49"/>
      <c r="B13" s="49"/>
      <c r="C13" s="50"/>
      <c r="D13" s="50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49"/>
      <c r="AA13" s="49"/>
      <c r="AB13" s="49"/>
      <c r="AC13" s="49"/>
      <c r="AD13" s="49"/>
      <c r="AE13" s="49"/>
    </row>
    <row r="14" spans="1:31" x14ac:dyDescent="0.25">
      <c r="A14" s="49"/>
      <c r="B14" s="49"/>
      <c r="C14" s="95" t="s">
        <v>236</v>
      </c>
      <c r="D14" s="96" t="s">
        <v>237</v>
      </c>
      <c r="E14" s="97"/>
      <c r="F14" s="97"/>
      <c r="G14" s="97"/>
      <c r="H14" s="97"/>
      <c r="I14" s="96"/>
      <c r="J14" s="95" t="s">
        <v>236</v>
      </c>
      <c r="K14" s="96" t="s">
        <v>241</v>
      </c>
      <c r="L14" s="97"/>
      <c r="M14" s="97"/>
      <c r="N14" s="97"/>
      <c r="O14" s="97"/>
      <c r="P14" s="97"/>
      <c r="Q14" s="97"/>
      <c r="R14" s="97"/>
      <c r="S14" s="97" t="s">
        <v>236</v>
      </c>
      <c r="T14" s="97" t="s">
        <v>140</v>
      </c>
      <c r="U14" s="97"/>
      <c r="V14" s="97"/>
      <c r="W14" s="97"/>
      <c r="X14" s="97"/>
      <c r="Y14" s="97"/>
      <c r="Z14" s="97"/>
      <c r="AA14" s="97"/>
      <c r="AB14" s="97"/>
      <c r="AC14" s="49"/>
      <c r="AD14" s="49"/>
      <c r="AE14" s="49"/>
    </row>
    <row r="15" spans="1:31" x14ac:dyDescent="0.25">
      <c r="A15" s="41" t="s">
        <v>240</v>
      </c>
      <c r="B15" s="44" t="s">
        <v>238</v>
      </c>
      <c r="C15" s="50"/>
      <c r="D15" s="50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49"/>
      <c r="AA15" s="49"/>
      <c r="AB15" s="49"/>
      <c r="AC15" s="49"/>
      <c r="AD15" s="49"/>
      <c r="AE15" s="49"/>
    </row>
    <row r="16" spans="1:31" x14ac:dyDescent="0.25">
      <c r="A16" t="s">
        <v>120</v>
      </c>
      <c r="B16" s="39">
        <v>1000</v>
      </c>
      <c r="C16" s="50"/>
      <c r="D16" s="50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49"/>
      <c r="AA16" s="49"/>
      <c r="AB16" s="49"/>
      <c r="AC16" s="49"/>
      <c r="AD16" s="49"/>
      <c r="AE16" s="49"/>
    </row>
    <row r="17" spans="1:31" x14ac:dyDescent="0.25">
      <c r="A17" t="s">
        <v>118</v>
      </c>
      <c r="B17" s="39">
        <v>1000</v>
      </c>
      <c r="C17" s="50"/>
      <c r="D17" s="50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49"/>
      <c r="AA17" s="49"/>
      <c r="AB17" s="49"/>
      <c r="AC17" s="49"/>
      <c r="AD17" s="49"/>
      <c r="AE17" s="49"/>
    </row>
    <row r="18" spans="1:31" x14ac:dyDescent="0.25">
      <c r="A18" t="s">
        <v>119</v>
      </c>
      <c r="B18" s="39">
        <v>-1000</v>
      </c>
      <c r="C18" s="50"/>
      <c r="D18" s="50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49"/>
      <c r="AA18" s="49"/>
      <c r="AB18" s="49"/>
      <c r="AC18" s="49"/>
      <c r="AD18" s="49"/>
      <c r="AE18" s="49"/>
    </row>
    <row r="19" spans="1:31" x14ac:dyDescent="0.25">
      <c r="A19" t="s">
        <v>105</v>
      </c>
      <c r="B19" s="39">
        <v>1000</v>
      </c>
      <c r="C19" s="50"/>
      <c r="D19" s="50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49"/>
      <c r="AA19" s="49"/>
      <c r="AB19" s="49"/>
      <c r="AC19" s="49"/>
      <c r="AD19" s="49"/>
      <c r="AE19" s="49"/>
    </row>
    <row r="20" spans="1:31" x14ac:dyDescent="0.25">
      <c r="A20" t="s">
        <v>103</v>
      </c>
      <c r="B20" s="39">
        <v>1000</v>
      </c>
      <c r="C20" s="50"/>
      <c r="D20" s="50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49"/>
      <c r="AA20" s="49"/>
      <c r="AB20" s="49"/>
      <c r="AC20" s="49"/>
      <c r="AD20" s="49"/>
      <c r="AE20" s="49"/>
    </row>
    <row r="21" spans="1:31" x14ac:dyDescent="0.25">
      <c r="A21" t="s">
        <v>22</v>
      </c>
      <c r="B21" s="39">
        <v>1000</v>
      </c>
      <c r="C21" s="50"/>
      <c r="D21" s="50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49"/>
      <c r="AA21" s="49"/>
      <c r="AB21" s="49"/>
      <c r="AC21" s="49"/>
      <c r="AD21" s="49"/>
      <c r="AE21" s="49"/>
    </row>
    <row r="22" spans="1:31" x14ac:dyDescent="0.25">
      <c r="A22" t="s">
        <v>112</v>
      </c>
      <c r="B22" s="39">
        <v>1</v>
      </c>
      <c r="C22" s="50"/>
      <c r="D22" s="50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49"/>
      <c r="AA22" s="49"/>
      <c r="AB22" s="49"/>
      <c r="AC22" s="49"/>
      <c r="AD22" s="49"/>
      <c r="AE22" s="49"/>
    </row>
    <row r="23" spans="1:31" x14ac:dyDescent="0.25">
      <c r="A23" t="s">
        <v>113</v>
      </c>
      <c r="B23" s="39">
        <v>1</v>
      </c>
      <c r="C23" s="50"/>
      <c r="D23" s="50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49"/>
      <c r="AA23" s="49"/>
      <c r="AB23" s="49"/>
      <c r="AC23" s="49"/>
      <c r="AD23" s="49"/>
      <c r="AE23" s="49"/>
    </row>
    <row r="24" spans="1:31" x14ac:dyDescent="0.25">
      <c r="A24" t="s">
        <v>44</v>
      </c>
      <c r="B24" s="39">
        <v>-1</v>
      </c>
      <c r="C24" s="50"/>
      <c r="D24" s="50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49"/>
      <c r="AA24" s="49"/>
      <c r="AB24" s="49"/>
      <c r="AC24" s="49"/>
      <c r="AD24" s="49"/>
      <c r="AE24" s="49"/>
    </row>
    <row r="25" spans="1:31" x14ac:dyDescent="0.25">
      <c r="A25" t="s">
        <v>109</v>
      </c>
      <c r="B25" s="39">
        <v>1</v>
      </c>
      <c r="C25" s="50"/>
      <c r="D25" s="50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49"/>
      <c r="AA25" s="49"/>
      <c r="AB25" s="49"/>
      <c r="AC25" s="49"/>
      <c r="AD25" s="49"/>
      <c r="AE25" s="49"/>
    </row>
    <row r="26" spans="1:31" x14ac:dyDescent="0.25">
      <c r="A26" t="s">
        <v>133</v>
      </c>
      <c r="B26" s="39">
        <v>1</v>
      </c>
      <c r="C26" s="50"/>
      <c r="D26" s="50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49"/>
      <c r="AA26" s="49"/>
      <c r="AB26" s="49"/>
      <c r="AC26" s="49"/>
      <c r="AD26" s="49"/>
      <c r="AE26" s="49"/>
    </row>
    <row r="27" spans="1:31" x14ac:dyDescent="0.25">
      <c r="A27" t="s">
        <v>145</v>
      </c>
      <c r="B27" s="39">
        <v>1</v>
      </c>
      <c r="C27" s="50"/>
      <c r="D27" s="50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49"/>
      <c r="AA27" s="49"/>
      <c r="AB27" s="49"/>
      <c r="AC27" s="49"/>
      <c r="AD27" s="49"/>
      <c r="AE27" s="49"/>
    </row>
    <row r="28" spans="1:31" x14ac:dyDescent="0.25">
      <c r="A28" t="s">
        <v>143</v>
      </c>
      <c r="B28" s="39">
        <v>1</v>
      </c>
      <c r="C28" s="50"/>
      <c r="D28" s="50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49"/>
      <c r="AA28" s="49"/>
      <c r="AB28" s="49"/>
      <c r="AC28" s="49"/>
      <c r="AD28" s="49"/>
      <c r="AE28" s="49"/>
    </row>
    <row r="29" spans="1:31" x14ac:dyDescent="0.25">
      <c r="A29" t="s">
        <v>101</v>
      </c>
      <c r="B29" s="39">
        <v>1</v>
      </c>
      <c r="C29" s="50"/>
      <c r="D29" s="50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49"/>
      <c r="AA29" s="49"/>
      <c r="AB29" s="49"/>
      <c r="AC29" s="49"/>
      <c r="AD29" s="49"/>
      <c r="AE29" s="49"/>
    </row>
    <row r="30" spans="1:31" x14ac:dyDescent="0.25">
      <c r="A30" t="s">
        <v>100</v>
      </c>
      <c r="B30" s="39">
        <v>1</v>
      </c>
      <c r="C30" s="50"/>
      <c r="D30" s="50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49"/>
      <c r="AA30" s="49"/>
      <c r="AB30" s="49"/>
      <c r="AC30" s="49"/>
      <c r="AD30" s="49"/>
      <c r="AE30" s="49"/>
    </row>
    <row r="31" spans="1:31" x14ac:dyDescent="0.25">
      <c r="A31" t="s">
        <v>147</v>
      </c>
      <c r="B31" s="39">
        <v>1</v>
      </c>
      <c r="C31" s="50"/>
      <c r="D31" s="50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49"/>
      <c r="AA31" s="49"/>
      <c r="AB31" s="49"/>
      <c r="AC31" s="49"/>
      <c r="AD31" s="49"/>
      <c r="AE31" s="49"/>
    </row>
    <row r="32" spans="1:31" x14ac:dyDescent="0.25">
      <c r="A32" t="s">
        <v>146</v>
      </c>
      <c r="B32" s="39">
        <v>1</v>
      </c>
      <c r="C32" s="50"/>
      <c r="D32" s="50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49"/>
      <c r="AA32" s="49"/>
      <c r="AB32" s="49"/>
      <c r="AC32" s="49"/>
      <c r="AD32" s="49"/>
      <c r="AE32" s="49"/>
    </row>
    <row r="33" spans="1:31" x14ac:dyDescent="0.25">
      <c r="A33" t="s">
        <v>266</v>
      </c>
      <c r="B33" s="39">
        <v>1</v>
      </c>
      <c r="C33" s="95"/>
      <c r="D33" s="98" t="s">
        <v>236</v>
      </c>
      <c r="E33" s="97" t="s">
        <v>269</v>
      </c>
      <c r="F33" s="97"/>
      <c r="G33" s="97"/>
      <c r="H33" s="97"/>
      <c r="I33" s="97"/>
      <c r="J33" s="97" t="s">
        <v>236</v>
      </c>
      <c r="K33" s="97" t="s">
        <v>148</v>
      </c>
      <c r="L33" s="97"/>
      <c r="M33" s="97"/>
      <c r="N33" s="97"/>
      <c r="O33" s="97"/>
      <c r="P33" s="97"/>
      <c r="Q33" s="97"/>
      <c r="R33" s="97"/>
      <c r="S33" s="97" t="s">
        <v>236</v>
      </c>
      <c r="T33" s="97" t="s">
        <v>149</v>
      </c>
      <c r="U33" s="97"/>
      <c r="V33" s="97"/>
      <c r="W33" s="97"/>
      <c r="X33" s="97"/>
      <c r="Y33" s="97"/>
      <c r="Z33" s="97"/>
      <c r="AA33" s="97"/>
      <c r="AB33" s="97"/>
      <c r="AC33" s="49"/>
      <c r="AD33" s="49"/>
      <c r="AE33" s="49"/>
    </row>
    <row r="34" spans="1:31" x14ac:dyDescent="0.25">
      <c r="A34" t="s">
        <v>265</v>
      </c>
      <c r="B34" s="39">
        <v>1</v>
      </c>
      <c r="C34" s="50"/>
      <c r="D34" s="50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49"/>
      <c r="AA34" s="49"/>
      <c r="AB34" s="49"/>
      <c r="AC34" s="49"/>
      <c r="AD34" s="49"/>
      <c r="AE34" s="49"/>
    </row>
    <row r="35" spans="1:31" x14ac:dyDescent="0.25">
      <c r="A35" t="s">
        <v>267</v>
      </c>
      <c r="B35" s="39">
        <v>1</v>
      </c>
      <c r="C35" s="50"/>
      <c r="D35" s="50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49"/>
      <c r="AA35" s="49"/>
      <c r="AB35" s="49"/>
      <c r="AC35" s="49"/>
      <c r="AD35" s="49"/>
      <c r="AE35" s="49"/>
    </row>
    <row r="36" spans="1:31" x14ac:dyDescent="0.25">
      <c r="A36" t="s">
        <v>268</v>
      </c>
      <c r="B36" s="94">
        <v>1</v>
      </c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</row>
    <row r="37" spans="1:31" x14ac:dyDescent="0.25">
      <c r="A37" t="s">
        <v>243</v>
      </c>
      <c r="B37" s="94">
        <v>1</v>
      </c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</row>
    <row r="38" spans="1:31" x14ac:dyDescent="0.25"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</row>
    <row r="39" spans="1:31" x14ac:dyDescent="0.25">
      <c r="A39" s="41" t="s">
        <v>235</v>
      </c>
      <c r="B39" s="42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</row>
    <row r="40" spans="1:31" x14ac:dyDescent="0.25">
      <c r="A40" s="37" t="s">
        <v>130</v>
      </c>
      <c r="B40" s="4" t="s">
        <v>238</v>
      </c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</row>
    <row r="41" spans="1:31" x14ac:dyDescent="0.25">
      <c r="A41" s="40" t="s">
        <v>105</v>
      </c>
      <c r="B41" s="39">
        <v>1000</v>
      </c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</row>
    <row r="42" spans="1:31" x14ac:dyDescent="0.25">
      <c r="A42" s="40" t="s">
        <v>103</v>
      </c>
      <c r="B42" s="39">
        <v>1000</v>
      </c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</row>
    <row r="43" spans="1:31" x14ac:dyDescent="0.25">
      <c r="A43" s="40"/>
      <c r="B43" s="39">
        <v>0</v>
      </c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</row>
    <row r="44" spans="1:31" x14ac:dyDescent="0.25">
      <c r="A44" s="40"/>
      <c r="B44" s="39">
        <v>0</v>
      </c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</row>
    <row r="45" spans="1:31" x14ac:dyDescent="0.25">
      <c r="A45" s="40"/>
      <c r="B45" s="39">
        <v>0</v>
      </c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</row>
    <row r="46" spans="1:31" x14ac:dyDescent="0.25">
      <c r="A46" s="40"/>
      <c r="B46" s="39">
        <v>0</v>
      </c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</row>
    <row r="47" spans="1:31" x14ac:dyDescent="0.25">
      <c r="A47" s="40"/>
      <c r="B47" s="39">
        <v>0</v>
      </c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</row>
    <row r="48" spans="1:31" x14ac:dyDescent="0.25">
      <c r="A48" s="40"/>
      <c r="B48" s="39">
        <v>0</v>
      </c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</row>
    <row r="49" spans="1:31" x14ac:dyDescent="0.25">
      <c r="A49" s="40"/>
      <c r="B49" s="39">
        <v>0</v>
      </c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</row>
    <row r="50" spans="1:31" x14ac:dyDescent="0.25">
      <c r="A50" s="40"/>
      <c r="B50" s="39">
        <v>0</v>
      </c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</row>
    <row r="51" spans="1:31" x14ac:dyDescent="0.25">
      <c r="C51" s="99"/>
      <c r="D51" s="99"/>
      <c r="E51" s="99"/>
      <c r="F51" s="99"/>
      <c r="G51" s="99"/>
      <c r="H51" s="99"/>
      <c r="I51" s="99"/>
      <c r="J51" s="99"/>
      <c r="K51" s="99"/>
      <c r="L51" s="99"/>
      <c r="M51" s="99"/>
      <c r="N51" s="99"/>
      <c r="O51" s="99"/>
      <c r="P51" s="99"/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  <c r="AB51" s="99"/>
      <c r="AC51" s="49"/>
      <c r="AD51" s="49"/>
      <c r="AE51" s="49"/>
    </row>
    <row r="52" spans="1:31" x14ac:dyDescent="0.25">
      <c r="A52" s="47" t="s">
        <v>234</v>
      </c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</row>
    <row r="53" spans="1:31" x14ac:dyDescent="0.25">
      <c r="A53" s="48" t="str" cm="1">
        <f t="array" ref="A53:A83">_xlfn.LET(_xlpm.ran,C94:C133,_xlfn._xlws.FILTER(_xlpm.ran,(LEN(_xlpm.ran)&gt;0)*(IFERROR(FIND(":",_xlpm.ran)=0,TRUE))))</f>
        <v>Indtægter total</v>
      </c>
      <c r="C53" s="41" t="s">
        <v>240</v>
      </c>
      <c r="D53" s="41" t="s">
        <v>238</v>
      </c>
      <c r="E53" s="44" t="str">
        <f>Scenarier!$E$6</f>
        <v>Nominelt</v>
      </c>
      <c r="F53" s="44" t="str">
        <f>Scenarier!$F$6</f>
        <v>sc1</v>
      </c>
      <c r="G53" s="44" t="str">
        <f>Scenarier!$G$6</f>
        <v>sc2</v>
      </c>
      <c r="H53" s="44" t="str">
        <f>Scenarier!$H$6</f>
        <v>sc3</v>
      </c>
      <c r="I53" s="44" t="str">
        <f>Scenarier!$I$6</f>
        <v>sc4</v>
      </c>
      <c r="J53" s="44" t="str">
        <f>Scenarier!$J$6</f>
        <v>sc5</v>
      </c>
      <c r="K53" s="44" t="str">
        <f>Scenarier!$K$6</f>
        <v>sc6</v>
      </c>
      <c r="L53" s="44" t="str">
        <f>Scenarier!$L$6</f>
        <v>sc7</v>
      </c>
      <c r="M53" s="44" t="str">
        <f>Scenarier!$M$6</f>
        <v>sc8</v>
      </c>
      <c r="N53" s="44" t="str">
        <f>Scenarier!$N$6</f>
        <v>sc9</v>
      </c>
      <c r="O53" s="44" t="str">
        <f>Scenarier!$O$6</f>
        <v>sc10</v>
      </c>
      <c r="P53" s="44" t="str">
        <f>Scenarier!$P$6</f>
        <v>sc11</v>
      </c>
      <c r="Q53" s="44" t="str">
        <f>Scenarier!$Q$6</f>
        <v>sc12</v>
      </c>
      <c r="R53" s="44" t="str">
        <f>Scenarier!$R$6</f>
        <v>sc13</v>
      </c>
      <c r="S53" s="44" t="str">
        <f>Scenarier!$S$6</f>
        <v>sc14</v>
      </c>
      <c r="T53" s="44" t="str">
        <f>Scenarier!$T$6</f>
        <v>sc15</v>
      </c>
      <c r="U53" s="44" t="str">
        <f>Scenarier!$U$6</f>
        <v>sc16</v>
      </c>
      <c r="V53" s="44" t="str">
        <f>Scenarier!$V$6</f>
        <v>sc17</v>
      </c>
      <c r="W53" s="44" t="str">
        <f>Scenarier!$W$6</f>
        <v>sc18</v>
      </c>
      <c r="X53" s="44" t="str">
        <f>Scenarier!$X$6</f>
        <v>sc19</v>
      </c>
      <c r="Y53" s="44" t="str">
        <f>Scenarier!$Y$6</f>
        <v>sc20</v>
      </c>
    </row>
    <row r="54" spans="1:31" x14ac:dyDescent="0.25">
      <c r="A54" t="str">
        <v>Omkostninger total</v>
      </c>
      <c r="B54" s="46"/>
      <c r="C54" t="str">
        <f t="shared" ref="C54:C74" si="0">IF(ISBLANK(A16),"",A16)</f>
        <v>Dækningsbidrag</v>
      </c>
      <c r="D54" s="39">
        <f t="shared" ref="D54:D74" si="1">B16</f>
        <v>1000</v>
      </c>
      <c r="E54" s="12" cm="1">
        <f t="array" ref="E54">IFERROR(IF($D54 &lt;&gt;0,ResultValue($C54,COLUMN(F54)-COLUMN($C54))/$D54,""),"")</f>
        <v>8081.0686816686157</v>
      </c>
      <c r="F54" s="12" cm="1">
        <f t="array" ref="F54">IFERROR(IF($D54 &lt;&gt;0,ResultValue($C54,COLUMN(G54)-COLUMN($C54))/$D54,""),"")</f>
        <v>8329.056190743413</v>
      </c>
      <c r="G54" s="12" cm="1">
        <f t="array" ref="G54">IFERROR(IF($D54 &lt;&gt;0,ResultValue($C54,COLUMN(H54)-COLUMN($C54))/$D54,""),"")</f>
        <v>8301.1435517990449</v>
      </c>
      <c r="H54" s="12" cm="1">
        <f t="array" ref="H54">IFERROR(IF($D54 &lt;&gt;0,ResultValue($C54,COLUMN(I54)-COLUMN($C54))/$D54,""),"")</f>
        <v>8273.7919741592195</v>
      </c>
      <c r="I54" s="12" cm="1">
        <f t="array" ref="I54">IFERROR(IF($D54 &lt;&gt;0,ResultValue($C54,COLUMN(J54)-COLUMN($C54))/$D54,""),"")</f>
        <v>8246.984455966227</v>
      </c>
      <c r="J54" s="12" cm="1">
        <f t="array" ref="J54">IFERROR(IF($D54 &lt;&gt;0,ResultValue($C54,COLUMN(K54)-COLUMN($C54))/$D54,""),"")</f>
        <v>8220.7046754366638</v>
      </c>
      <c r="K54" s="12" cm="1">
        <f t="array" ref="K54">IFERROR(IF($D54 &lt;&gt;0,ResultValue($C54,COLUMN(L54)-COLUMN($C54))/$D54,""),"")</f>
        <v>8194.9369571943898</v>
      </c>
      <c r="L54" s="12" cm="1">
        <f t="array" ref="L54">IFERROR(IF($D54 &lt;&gt;0,ResultValue($C54,COLUMN(M54)-COLUMN($C54))/$D54,""),"")</f>
        <v>8169.6662405838888</v>
      </c>
      <c r="M54" s="12" cm="1">
        <f t="array" ref="M54">IFERROR(IF($D54 &lt;&gt;0,ResultValue($C54,COLUMN(N54)-COLUMN($C54))/$D54,""),"")</f>
        <v>8345.471851640461</v>
      </c>
      <c r="N54" s="12" cm="1">
        <f t="array" ref="N54">IFERROR(IF($D54 &lt;&gt;0,ResultValue($C54,COLUMN(O54)-COLUMN($C54))/$D54,""),"")</f>
        <v>8321.1522677270732</v>
      </c>
      <c r="O54" s="12" cm="1">
        <f t="array" ref="O54">IFERROR(IF($D54 &lt;&gt;0,ResultValue($C54,COLUMN(P54)-COLUMN($C54))/$D54,""),"")</f>
        <v>8297.2879018878102</v>
      </c>
      <c r="P54" s="12" cm="1">
        <f t="array" ref="P54">IFERROR(IF($D54 &lt;&gt;0,ResultValue($C54,COLUMN(Q54)-COLUMN($C54))/$D54,""),"")</f>
        <v>8273.8658705922808</v>
      </c>
      <c r="Q54" s="12" cm="1">
        <f t="array" ref="Q54">IFERROR(IF($D54 &lt;&gt;0,ResultValue($C54,COLUMN(R54)-COLUMN($C54))/$D54,""),"")</f>
        <v>8250.8737719373821</v>
      </c>
      <c r="R54" s="12" cm="1">
        <f t="array" ref="R54">IFERROR(IF($D54 &lt;&gt;0,ResultValue($C54,COLUMN(S54)-COLUMN($C54))/$D54,""),"")</f>
        <v>8228.2996633497696</v>
      </c>
      <c r="S54" s="12" cm="1">
        <f t="array" ref="S54">IFERROR(IF($D54 &lt;&gt;0,ResultValue($C54,COLUMN(T54)-COLUMN($C54))/$D54,""),"")</f>
        <v>8206.1320405156621</v>
      </c>
      <c r="T54" s="12" cm="1">
        <f t="array" ref="T54">IFERROR(IF($D54 &lt;&gt;0,ResultValue($C54,COLUMN(U54)-COLUMN($C54))/$D54,""),"")</f>
        <v>8184.3598174599611</v>
      </c>
      <c r="U54" s="12" cm="1">
        <f t="array" ref="U54">IFERROR(IF($D54 &lt;&gt;0,ResultValue($C54,COLUMN(V54)-COLUMN($C54))/$D54,""),"")</f>
        <v>8162.9723077021736</v>
      </c>
      <c r="V54" s="12" cm="1">
        <f t="array" ref="V54">IFERROR(IF($D54 &lt;&gt;0,ResultValue($C54,COLUMN(W54)-COLUMN($C54))/$D54,""),"")</f>
        <v>8141.9592064218168</v>
      </c>
      <c r="W54" s="12" cm="1">
        <f t="array" ref="W54">IFERROR(IF($D54 &lt;&gt;0,ResultValue($C54,COLUMN(X54)-COLUMN($C54))/$D54,""),"")</f>
        <v>8121.3105735708205</v>
      </c>
      <c r="X54" s="12" cm="1">
        <f t="array" ref="X54">IFERROR(IF($D54 &lt;&gt;0,ResultValue($C54,COLUMN(Y54)-COLUMN($C54))/$D54,""),"")</f>
        <v>8101.0168178747244</v>
      </c>
      <c r="Y54" s="12" cm="1">
        <f t="array" ref="Y54">IFERROR(IF($D54 &lt;&gt;0,ResultValue($C54,COLUMN(Z54)-COLUMN($C54))/$D54,""),"")</f>
        <v>8081.0686816686157</v>
      </c>
    </row>
    <row r="55" spans="1:31" x14ac:dyDescent="0.25">
      <c r="A55" t="str">
        <v>Dækningsbidrag</v>
      </c>
      <c r="B55" s="46"/>
      <c r="C55" t="str">
        <f t="shared" si="0"/>
        <v>Indtægter total</v>
      </c>
      <c r="D55" s="39">
        <f t="shared" si="1"/>
        <v>1000</v>
      </c>
      <c r="E55" s="12" cm="1">
        <f t="array" ref="E55">IFERROR(IF($D55 &lt;&gt;0,ResultValue($C55,COLUMN(F55)-COLUMN($C55))/$D55,""),"")</f>
        <v>15652.263443326186</v>
      </c>
      <c r="F55" s="12" cm="1">
        <f t="array" ref="F55">IFERROR(IF($D55 &lt;&gt;0,ResultValue($C55,COLUMN(G55)-COLUMN($C55))/$D55,""),"")</f>
        <v>16181.783291652784</v>
      </c>
      <c r="G55" s="12" cm="1">
        <f t="array" ref="G55">IFERROR(IF($D55 &lt;&gt;0,ResultValue($C55,COLUMN(H55)-COLUMN($C55))/$D55,""),"")</f>
        <v>16136.225467580172</v>
      </c>
      <c r="H55" s="12" cm="1">
        <f t="array" ref="H55">IFERROR(IF($D55 &lt;&gt;0,ResultValue($C55,COLUMN(I55)-COLUMN($C55))/$D55,""),"")</f>
        <v>16091.597395019249</v>
      </c>
      <c r="I55" s="12" cm="1">
        <f t="array" ref="I55">IFERROR(IF($D55 &lt;&gt;0,ResultValue($C55,COLUMN(J55)-COLUMN($C55))/$D55,""),"")</f>
        <v>16047.870899681777</v>
      </c>
      <c r="J55" s="12" cm="1">
        <f t="array" ref="J55">IFERROR(IF($D55 &lt;&gt;0,ResultValue($C55,COLUMN(K55)-COLUMN($C55))/$D55,""),"")</f>
        <v>16005.018934251055</v>
      </c>
      <c r="K55" s="12" cm="1">
        <f t="array" ref="K55">IFERROR(IF($D55 &lt;&gt;0,ResultValue($C55,COLUMN(L55)-COLUMN($C55))/$D55,""),"")</f>
        <v>15963.01552259124</v>
      </c>
      <c r="L55" s="12" cm="1">
        <f t="array" ref="L55">IFERROR(IF($D55 &lt;&gt;0,ResultValue($C55,COLUMN(M55)-COLUMN($C55))/$D55,""),"")</f>
        <v>15921.835707238479</v>
      </c>
      <c r="M55" s="12" cm="1">
        <f t="array" ref="M55">IFERROR(IF($D55 &lt;&gt;0,ResultValue($C55,COLUMN(N55)-COLUMN($C55))/$D55,""),"")</f>
        <v>16082.049301761796</v>
      </c>
      <c r="N55" s="12" cm="1">
        <f t="array" ref="N55">IFERROR(IF($D55 &lt;&gt;0,ResultValue($C55,COLUMN(O55)-COLUMN($C55))/$D55,""),"")</f>
        <v>16042.445636921975</v>
      </c>
      <c r="O55" s="12" cm="1">
        <f t="array" ref="O55">IFERROR(IF($D55 &lt;&gt;0,ResultValue($C55,COLUMN(P55)-COLUMN($C55))/$D55,""),"")</f>
        <v>16003.596327602914</v>
      </c>
      <c r="P55" s="12" cm="1">
        <f t="array" ref="P55">IFERROR(IF($D55 &lt;&gt;0,ResultValue($C55,COLUMN(Q55)-COLUMN($C55))/$D55,""),"")</f>
        <v>15965.480024120061</v>
      </c>
      <c r="Q55" s="12" cm="1">
        <f t="array" ref="Q55">IFERROR(IF($D55 &lt;&gt;0,ResultValue($C55,COLUMN(R55)-COLUMN($C55))/$D55,""),"")</f>
        <v>15928.076174907916</v>
      </c>
      <c r="R55" s="12" cm="1">
        <f t="array" ref="R55">IFERROR(IF($D55 &lt;&gt;0,ResultValue($C55,COLUMN(S55)-COLUMN($C55))/$D55,""),"")</f>
        <v>15891.364989570069</v>
      </c>
      <c r="S55" s="12" cm="1">
        <f t="array" ref="S55">IFERROR(IF($D55 &lt;&gt;0,ResultValue($C55,COLUMN(T55)-COLUMN($C55))/$D55,""),"")</f>
        <v>15855.327403963192</v>
      </c>
      <c r="T55" s="12" cm="1">
        <f t="array" ref="T55">IFERROR(IF($D55 &lt;&gt;0,ResultValue($C55,COLUMN(U55)-COLUMN($C55))/$D55,""),"")</f>
        <v>15819.945047185534</v>
      </c>
      <c r="U55" s="12" cm="1">
        <f t="array" ref="U55">IFERROR(IF($D55 &lt;&gt;0,ResultValue($C55,COLUMN(V55)-COLUMN($C55))/$D55,""),"")</f>
        <v>15785.200210349813</v>
      </c>
      <c r="V55" s="12" cm="1">
        <f t="array" ref="V55">IFERROR(IF($D55 &lt;&gt;0,ResultValue($C55,COLUMN(W55)-COLUMN($C55))/$D55,""),"")</f>
        <v>15751.075817029016</v>
      </c>
      <c r="W55" s="12" cm="1">
        <f t="array" ref="W55">IFERROR(IF($D55 &lt;&gt;0,ResultValue($C55,COLUMN(X55)-COLUMN($C55))/$D55,""),"")</f>
        <v>15717.55539527142</v>
      </c>
      <c r="X55" s="12" cm="1">
        <f t="array" ref="X55">IFERROR(IF($D55 &lt;&gt;0,ResultValue($C55,COLUMN(Y55)-COLUMN($C55))/$D55,""),"")</f>
        <v>15684.623051088518</v>
      </c>
      <c r="Y55" s="12" cm="1">
        <f t="array" ref="Y55">IFERROR(IF($D55 &lt;&gt;0,ResultValue($C55,COLUMN(Z55)-COLUMN($C55))/$D55,""),"")</f>
        <v>15652.263443326186</v>
      </c>
    </row>
    <row r="56" spans="1:31" x14ac:dyDescent="0.25">
      <c r="A56" t="str">
        <v>Varmesalg</v>
      </c>
      <c r="B56" s="46"/>
      <c r="C56" t="str">
        <f t="shared" si="0"/>
        <v>Omkostninger total</v>
      </c>
      <c r="D56" s="39">
        <f t="shared" si="1"/>
        <v>-1000</v>
      </c>
      <c r="E56" s="12" cm="1">
        <f t="array" ref="E56">IFERROR(IF($D56 &lt;&gt;0,ResultValue($C56,COLUMN(F56)-COLUMN($C56))/$D56,""),"")</f>
        <v>-7571.1947616575708</v>
      </c>
      <c r="F56" s="12" cm="1">
        <f t="array" ref="F56">IFERROR(IF($D56 &lt;&gt;0,ResultValue($C56,COLUMN(G56)-COLUMN($C56))/$D56,""),"")</f>
        <v>-7852.7271009093702</v>
      </c>
      <c r="G56" s="12" cm="1">
        <f t="array" ref="G56">IFERROR(IF($D56 &lt;&gt;0,ResultValue($C56,COLUMN(H56)-COLUMN($C56))/$D56,""),"")</f>
        <v>-7835.0819157811293</v>
      </c>
      <c r="H56" s="12" cm="1">
        <f t="array" ref="H56">IFERROR(IF($D56 &lt;&gt;0,ResultValue($C56,COLUMN(I56)-COLUMN($C56))/$D56,""),"")</f>
        <v>-7817.8054208600297</v>
      </c>
      <c r="I56" s="12" cm="1">
        <f t="array" ref="I56">IFERROR(IF($D56 &lt;&gt;0,ResultValue($C56,COLUMN(J56)-COLUMN($C56))/$D56,""),"")</f>
        <v>-7800.8864437155489</v>
      </c>
      <c r="J56" s="12" cm="1">
        <f t="array" ref="J56">IFERROR(IF($D56 &lt;&gt;0,ResultValue($C56,COLUMN(K56)-COLUMN($C56))/$D56,""),"")</f>
        <v>-7784.314258814391</v>
      </c>
      <c r="K56" s="12" cm="1">
        <f t="array" ref="K56">IFERROR(IF($D56 &lt;&gt;0,ResultValue($C56,COLUMN(L56)-COLUMN($C56))/$D56,""),"")</f>
        <v>-7768.0785653968505</v>
      </c>
      <c r="L56" s="12" cm="1">
        <f t="array" ref="L56">IFERROR(IF($D56 &lt;&gt;0,ResultValue($C56,COLUMN(M56)-COLUMN($C56))/$D56,""),"")</f>
        <v>-7752.1694666545891</v>
      </c>
      <c r="M56" s="12" cm="1">
        <f t="array" ref="M56">IFERROR(IF($D56 &lt;&gt;0,ResultValue($C56,COLUMN(N56)-COLUMN($C56))/$D56,""),"")</f>
        <v>-7736.5774501213346</v>
      </c>
      <c r="N56" s="12" cm="1">
        <f t="array" ref="N56">IFERROR(IF($D56 &lt;&gt;0,ResultValue($C56,COLUMN(O56)-COLUMN($C56))/$D56,""),"")</f>
        <v>-7721.2933691949038</v>
      </c>
      <c r="O56" s="12" cm="1">
        <f t="array" ref="O56">IFERROR(IF($D56 &lt;&gt;0,ResultValue($C56,COLUMN(P56)-COLUMN($C56))/$D56,""),"")</f>
        <v>-7706.3084257151031</v>
      </c>
      <c r="P56" s="12" cm="1">
        <f t="array" ref="P56">IFERROR(IF($D56 &lt;&gt;0,ResultValue($C56,COLUMN(Q56)-COLUMN($C56))/$D56,""),"")</f>
        <v>-7691.6141535277802</v>
      </c>
      <c r="Q56" s="12" cm="1">
        <f t="array" ref="Q56">IFERROR(IF($D56 &lt;&gt;0,ResultValue($C56,COLUMN(R56)-COLUMN($C56))/$D56,""),"")</f>
        <v>-7677.2024029705326</v>
      </c>
      <c r="R56" s="12" cm="1">
        <f t="array" ref="R56">IFERROR(IF($D56 &lt;&gt;0,ResultValue($C56,COLUMN(S56)-COLUMN($C56))/$D56,""),"")</f>
        <v>-7663.0653262203014</v>
      </c>
      <c r="S56" s="12" cm="1">
        <f t="array" ref="S56">IFERROR(IF($D56 &lt;&gt;0,ResultValue($C56,COLUMN(T56)-COLUMN($C56))/$D56,""),"")</f>
        <v>-7649.1953634475321</v>
      </c>
      <c r="T56" s="12" cm="1">
        <f t="array" ref="T56">IFERROR(IF($D56 &lt;&gt;0,ResultValue($C56,COLUMN(U56)-COLUMN($C56))/$D56,""),"")</f>
        <v>-7635.5852297255733</v>
      </c>
      <c r="U56" s="12" cm="1">
        <f t="array" ref="U56">IFERROR(IF($D56 &lt;&gt;0,ResultValue($C56,COLUMN(V56)-COLUMN($C56))/$D56,""),"")</f>
        <v>-7622.2279026476399</v>
      </c>
      <c r="V56" s="12" cm="1">
        <f t="array" ref="V56">IFERROR(IF($D56 &lt;&gt;0,ResultValue($C56,COLUMN(W56)-COLUMN($C56))/$D56,""),"")</f>
        <v>-7609.1166106071996</v>
      </c>
      <c r="W56" s="12" cm="1">
        <f t="array" ref="W56">IFERROR(IF($D56 &lt;&gt;0,ResultValue($C56,COLUMN(X56)-COLUMN($C56))/$D56,""),"")</f>
        <v>-7596.2448217006004</v>
      </c>
      <c r="X56" s="12" cm="1">
        <f t="array" ref="X56">IFERROR(IF($D56 &lt;&gt;0,ResultValue($C56,COLUMN(Y56)-COLUMN($C56))/$D56,""),"")</f>
        <v>-7583.6062332137935</v>
      </c>
      <c r="Y56" s="12" cm="1">
        <f t="array" ref="Y56">IFERROR(IF($D56 &lt;&gt;0,ResultValue($C56,COLUMN(Z56)-COLUMN($C56))/$D56,""),"")</f>
        <v>-7571.1947616575708</v>
      </c>
    </row>
    <row r="57" spans="1:31" x14ac:dyDescent="0.25">
      <c r="A57" t="str">
        <v>Elsalg</v>
      </c>
      <c r="B57" s="46"/>
      <c r="C57" t="str">
        <f t="shared" si="0"/>
        <v>RGK-rabat</v>
      </c>
      <c r="D57" s="39">
        <f t="shared" si="1"/>
        <v>1000</v>
      </c>
      <c r="E57" s="12" cm="1">
        <f t="array" ref="E57">IFERROR(IF($D57 &lt;&gt;0,ResultValue($C57,COLUMN(F57)-COLUMN($C57))/$D57,""),"")</f>
        <v>200.59380181097563</v>
      </c>
      <c r="F57" s="12" cm="1">
        <f t="array" ref="F57">IFERROR(IF($D57 &lt;&gt;0,ResultValue($C57,COLUMN(G57)-COLUMN($C57))/$D57,""),"")</f>
        <v>0</v>
      </c>
      <c r="G57" s="12" cm="1">
        <f t="array" ref="G57">IFERROR(IF($D57 &lt;&gt;0,ResultValue($C57,COLUMN(H57)-COLUMN($C57))/$D57,""),"")</f>
        <v>0</v>
      </c>
      <c r="H57" s="12" cm="1">
        <f t="array" ref="H57">IFERROR(IF($D57 &lt;&gt;0,ResultValue($C57,COLUMN(I57)-COLUMN($C57))/$D57,""),"")</f>
        <v>0</v>
      </c>
      <c r="I57" s="12" cm="1">
        <f t="array" ref="I57">IFERROR(IF($D57 &lt;&gt;0,ResultValue($C57,COLUMN(J57)-COLUMN($C57))/$D57,""),"")</f>
        <v>0</v>
      </c>
      <c r="J57" s="12" cm="1">
        <f t="array" ref="J57">IFERROR(IF($D57 &lt;&gt;0,ResultValue($C57,COLUMN(K57)-COLUMN($C57))/$D57,""),"")</f>
        <v>0</v>
      </c>
      <c r="K57" s="12" cm="1">
        <f t="array" ref="K57">IFERROR(IF($D57 &lt;&gt;0,ResultValue($C57,COLUMN(L57)-COLUMN($C57))/$D57,""),"")</f>
        <v>0</v>
      </c>
      <c r="L57" s="12" cm="1">
        <f t="array" ref="L57">IFERROR(IF($D57 &lt;&gt;0,ResultValue($C57,COLUMN(M57)-COLUMN($C57))/$D57,""),"")</f>
        <v>0</v>
      </c>
      <c r="M57" s="12" cm="1">
        <f t="array" ref="M57">IFERROR(IF($D57 &lt;&gt;0,ResultValue($C57,COLUMN(N57)-COLUMN($C57))/$D57,""),"")</f>
        <v>200.59380181097563</v>
      </c>
      <c r="N57" s="12" cm="1">
        <f t="array" ref="N57">IFERROR(IF($D57 &lt;&gt;0,ResultValue($C57,COLUMN(O57)-COLUMN($C57))/$D57,""),"")</f>
        <v>200.59380181097563</v>
      </c>
      <c r="O57" s="12" cm="1">
        <f t="array" ref="O57">IFERROR(IF($D57 &lt;&gt;0,ResultValue($C57,COLUMN(P57)-COLUMN($C57))/$D57,""),"")</f>
        <v>200.59380181097563</v>
      </c>
      <c r="P57" s="12" cm="1">
        <f t="array" ref="P57">IFERROR(IF($D57 &lt;&gt;0,ResultValue($C57,COLUMN(Q57)-COLUMN($C57))/$D57,""),"")</f>
        <v>200.59380181097563</v>
      </c>
      <c r="Q57" s="12" cm="1">
        <f t="array" ref="Q57">IFERROR(IF($D57 &lt;&gt;0,ResultValue($C57,COLUMN(R57)-COLUMN($C57))/$D57,""),"")</f>
        <v>200.59380181097563</v>
      </c>
      <c r="R57" s="12" cm="1">
        <f t="array" ref="R57">IFERROR(IF($D57 &lt;&gt;0,ResultValue($C57,COLUMN(S57)-COLUMN($C57))/$D57,""),"")</f>
        <v>200.59380181097563</v>
      </c>
      <c r="S57" s="12" cm="1">
        <f t="array" ref="S57">IFERROR(IF($D57 &lt;&gt;0,ResultValue($C57,COLUMN(T57)-COLUMN($C57))/$D57,""),"")</f>
        <v>200.59380181097563</v>
      </c>
      <c r="T57" s="12" cm="1">
        <f t="array" ref="T57">IFERROR(IF($D57 &lt;&gt;0,ResultValue($C57,COLUMN(U57)-COLUMN($C57))/$D57,""),"")</f>
        <v>200.59380181097563</v>
      </c>
      <c r="U57" s="12" cm="1">
        <f t="array" ref="U57">IFERROR(IF($D57 &lt;&gt;0,ResultValue($C57,COLUMN(V57)-COLUMN($C57))/$D57,""),"")</f>
        <v>200.59380181097563</v>
      </c>
      <c r="V57" s="12" cm="1">
        <f t="array" ref="V57">IFERROR(IF($D57 &lt;&gt;0,ResultValue($C57,COLUMN(W57)-COLUMN($C57))/$D57,""),"")</f>
        <v>200.59380181097563</v>
      </c>
      <c r="W57" s="12" cm="1">
        <f t="array" ref="W57">IFERROR(IF($D57 &lt;&gt;0,ResultValue($C57,COLUMN(X57)-COLUMN($C57))/$D57,""),"")</f>
        <v>200.59380181097563</v>
      </c>
      <c r="X57" s="12" cm="1">
        <f t="array" ref="X57">IFERROR(IF($D57 &lt;&gt;0,ResultValue($C57,COLUMN(Y57)-COLUMN($C57))/$D57,""),"")</f>
        <v>200.59380181097563</v>
      </c>
      <c r="Y57" s="12" cm="1">
        <f t="array" ref="Y57">IFERROR(IF($D57 &lt;&gt;0,ResultValue($C57,COLUMN(Z57)-COLUMN($C57))/$D57,""),"")</f>
        <v>200.59380181097563</v>
      </c>
    </row>
    <row r="58" spans="1:31" x14ac:dyDescent="0.25">
      <c r="A58" t="str">
        <v>RGK-rabat</v>
      </c>
      <c r="B58" s="46"/>
      <c r="C58" t="str">
        <f t="shared" si="0"/>
        <v>Modtagebetaling affald</v>
      </c>
      <c r="D58" s="39">
        <f t="shared" si="1"/>
        <v>1000</v>
      </c>
      <c r="E58" s="12" cm="1">
        <f t="array" ref="E58">IFERROR(IF($D58 &lt;&gt;0,ResultValue($C58,COLUMN(F58)-COLUMN($C58))/$D58,""),"")</f>
        <v>4040.3371902956987</v>
      </c>
      <c r="F58" s="12" cm="1">
        <f t="array" ref="F58">IFERROR(IF($D58 &lt;&gt;0,ResultValue($C58,COLUMN(G58)-COLUMN($C58))/$D58,""),"")</f>
        <v>4770.4508404332728</v>
      </c>
      <c r="G58" s="12" cm="1">
        <f t="array" ref="G58">IFERROR(IF($D58 &lt;&gt;0,ResultValue($C58,COLUMN(H58)-COLUMN($C58))/$D58,""),"")</f>
        <v>4724.8930163606619</v>
      </c>
      <c r="H58" s="12" cm="1">
        <f t="array" ref="H58">IFERROR(IF($D58 &lt;&gt;0,ResultValue($C58,COLUMN(I58)-COLUMN($C58))/$D58,""),"")</f>
        <v>4680.2649437997379</v>
      </c>
      <c r="I58" s="12" cm="1">
        <f t="array" ref="I58">IFERROR(IF($D58 &lt;&gt;0,ResultValue($C58,COLUMN(J58)-COLUMN($C58))/$D58,""),"")</f>
        <v>4636.5384484622655</v>
      </c>
      <c r="J58" s="12" cm="1">
        <f t="array" ref="J58">IFERROR(IF($D58 &lt;&gt;0,ResultValue($C58,COLUMN(K58)-COLUMN($C58))/$D58,""),"")</f>
        <v>4593.6864830315435</v>
      </c>
      <c r="K58" s="12" cm="1">
        <f t="array" ref="K58">IFERROR(IF($D58 &lt;&gt;0,ResultValue($C58,COLUMN(L58)-COLUMN($C58))/$D58,""),"")</f>
        <v>4551.6830713717272</v>
      </c>
      <c r="L58" s="12" cm="1">
        <f t="array" ref="L58">IFERROR(IF($D58 &lt;&gt;0,ResultValue($C58,COLUMN(M58)-COLUMN($C58))/$D58,""),"")</f>
        <v>4510.5032560189666</v>
      </c>
      <c r="M58" s="12" cm="1">
        <f t="array" ref="M58">IFERROR(IF($D58 &lt;&gt;0,ResultValue($C58,COLUMN(N58)-COLUMN($C58))/$D58,""),"")</f>
        <v>4470.1230487313078</v>
      </c>
      <c r="N58" s="12" cm="1">
        <f t="array" ref="N58">IFERROR(IF($D58 &lt;&gt;0,ResultValue($C58,COLUMN(O58)-COLUMN($C58))/$D58,""),"")</f>
        <v>4430.5193838914875</v>
      </c>
      <c r="O58" s="12" cm="1">
        <f t="array" ref="O58">IFERROR(IF($D58 &lt;&gt;0,ResultValue($C58,COLUMN(P58)-COLUMN($C58))/$D58,""),"")</f>
        <v>4391.6700745724256</v>
      </c>
      <c r="P58" s="12" cm="1">
        <f t="array" ref="P58">IFERROR(IF($D58 &lt;&gt;0,ResultValue($C58,COLUMN(Q58)-COLUMN($C58))/$D58,""),"")</f>
        <v>4353.5537710895724</v>
      </c>
      <c r="Q58" s="12" cm="1">
        <f t="array" ref="Q58">IFERROR(IF($D58 &lt;&gt;0,ResultValue($C58,COLUMN(R58)-COLUMN($C58))/$D58,""),"")</f>
        <v>4316.1499218774279</v>
      </c>
      <c r="R58" s="12" cm="1">
        <f t="array" ref="R58">IFERROR(IF($D58 &lt;&gt;0,ResultValue($C58,COLUMN(S58)-COLUMN($C58))/$D58,""),"")</f>
        <v>4279.4387365395824</v>
      </c>
      <c r="S58" s="12" cm="1">
        <f t="array" ref="S58">IFERROR(IF($D58 &lt;&gt;0,ResultValue($C58,COLUMN(T58)-COLUMN($C58))/$D58,""),"")</f>
        <v>4243.4011509327056</v>
      </c>
      <c r="T58" s="12" cm="1">
        <f t="array" ref="T58">IFERROR(IF($D58 &lt;&gt;0,ResultValue($C58,COLUMN(U58)-COLUMN($C58))/$D58,""),"")</f>
        <v>4208.0187941550466</v>
      </c>
      <c r="U58" s="12" cm="1">
        <f t="array" ref="U58">IFERROR(IF($D58 &lt;&gt;0,ResultValue($C58,COLUMN(V58)-COLUMN($C58))/$D58,""),"")</f>
        <v>4173.2739573193248</v>
      </c>
      <c r="V58" s="12" cm="1">
        <f t="array" ref="V58">IFERROR(IF($D58 &lt;&gt;0,ResultValue($C58,COLUMN(W58)-COLUMN($C58))/$D58,""),"")</f>
        <v>4139.1495639985287</v>
      </c>
      <c r="W58" s="12" cm="1">
        <f t="array" ref="W58">IFERROR(IF($D58 &lt;&gt;0,ResultValue($C58,COLUMN(X58)-COLUMN($C58))/$D58,""),"")</f>
        <v>4105.6291422409313</v>
      </c>
      <c r="X58" s="12" cm="1">
        <f t="array" ref="X58">IFERROR(IF($D58 &lt;&gt;0,ResultValue($C58,COLUMN(Y58)-COLUMN($C58))/$D58,""),"")</f>
        <v>4072.6967980580289</v>
      </c>
      <c r="Y58" s="12" cm="1">
        <f t="array" ref="Y58">IFERROR(IF($D58 &lt;&gt;0,ResultValue($C58,COLUMN(Z58)-COLUMN($C58))/$D58,""),"")</f>
        <v>4040.3371902956987</v>
      </c>
    </row>
    <row r="59" spans="1:31" x14ac:dyDescent="0.25">
      <c r="A59" t="str">
        <v>Modtagebetaling affald</v>
      </c>
      <c r="B59" s="46"/>
      <c r="C59" t="str">
        <f t="shared" si="0"/>
        <v>Varmesalg</v>
      </c>
      <c r="D59" s="39">
        <f t="shared" si="1"/>
        <v>1000</v>
      </c>
      <c r="E59" s="12" cm="1">
        <f t="array" ref="E59">IFERROR(IF($D59 &lt;&gt;0,ResultValue($C59,COLUMN(F59)-COLUMN($C59))/$D59,""),"")</f>
        <v>7464</v>
      </c>
      <c r="F59" s="12" cm="1">
        <f t="array" ref="F59">IFERROR(IF($D59 &lt;&gt;0,ResultValue($C59,COLUMN(G59)-COLUMN($C59))/$D59,""),"")</f>
        <v>7464</v>
      </c>
      <c r="G59" s="12" cm="1">
        <f t="array" ref="G59">IFERROR(IF($D59 &lt;&gt;0,ResultValue($C59,COLUMN(H59)-COLUMN($C59))/$D59,""),"")</f>
        <v>7464</v>
      </c>
      <c r="H59" s="12" cm="1">
        <f t="array" ref="H59">IFERROR(IF($D59 &lt;&gt;0,ResultValue($C59,COLUMN(I59)-COLUMN($C59))/$D59,""),"")</f>
        <v>7464</v>
      </c>
      <c r="I59" s="12" cm="1">
        <f t="array" ref="I59">IFERROR(IF($D59 &lt;&gt;0,ResultValue($C59,COLUMN(J59)-COLUMN($C59))/$D59,""),"")</f>
        <v>7464</v>
      </c>
      <c r="J59" s="12" cm="1">
        <f t="array" ref="J59">IFERROR(IF($D59 &lt;&gt;0,ResultValue($C59,COLUMN(K59)-COLUMN($C59))/$D59,""),"")</f>
        <v>7464</v>
      </c>
      <c r="K59" s="12" cm="1">
        <f t="array" ref="K59">IFERROR(IF($D59 &lt;&gt;0,ResultValue($C59,COLUMN(L59)-COLUMN($C59))/$D59,""),"")</f>
        <v>7464</v>
      </c>
      <c r="L59" s="12" cm="1">
        <f t="array" ref="L59">IFERROR(IF($D59 &lt;&gt;0,ResultValue($C59,COLUMN(M59)-COLUMN($C59))/$D59,""),"")</f>
        <v>7464</v>
      </c>
      <c r="M59" s="12" cm="1">
        <f t="array" ref="M59">IFERROR(IF($D59 &lt;&gt;0,ResultValue($C59,COLUMN(N59)-COLUMN($C59))/$D59,""),"")</f>
        <v>7464</v>
      </c>
      <c r="N59" s="12" cm="1">
        <f t="array" ref="N59">IFERROR(IF($D59 &lt;&gt;0,ResultValue($C59,COLUMN(O59)-COLUMN($C59))/$D59,""),"")</f>
        <v>7464</v>
      </c>
      <c r="O59" s="12" cm="1">
        <f t="array" ref="O59">IFERROR(IF($D59 &lt;&gt;0,ResultValue($C59,COLUMN(P59)-COLUMN($C59))/$D59,""),"")</f>
        <v>7464</v>
      </c>
      <c r="P59" s="12" cm="1">
        <f t="array" ref="P59">IFERROR(IF($D59 &lt;&gt;0,ResultValue($C59,COLUMN(Q59)-COLUMN($C59))/$D59,""),"")</f>
        <v>7464</v>
      </c>
      <c r="Q59" s="12" cm="1">
        <f t="array" ref="Q59">IFERROR(IF($D59 &lt;&gt;0,ResultValue($C59,COLUMN(R59)-COLUMN($C59))/$D59,""),"")</f>
        <v>7464</v>
      </c>
      <c r="R59" s="12" cm="1">
        <f t="array" ref="R59">IFERROR(IF($D59 &lt;&gt;0,ResultValue($C59,COLUMN(S59)-COLUMN($C59))/$D59,""),"")</f>
        <v>7464</v>
      </c>
      <c r="S59" s="12" cm="1">
        <f t="array" ref="S59">IFERROR(IF($D59 &lt;&gt;0,ResultValue($C59,COLUMN(T59)-COLUMN($C59))/$D59,""),"")</f>
        <v>7464</v>
      </c>
      <c r="T59" s="12" cm="1">
        <f t="array" ref="T59">IFERROR(IF($D59 &lt;&gt;0,ResultValue($C59,COLUMN(U59)-COLUMN($C59))/$D59,""),"")</f>
        <v>7464</v>
      </c>
      <c r="U59" s="12" cm="1">
        <f t="array" ref="U59">IFERROR(IF($D59 &lt;&gt;0,ResultValue($C59,COLUMN(V59)-COLUMN($C59))/$D59,""),"")</f>
        <v>7464</v>
      </c>
      <c r="V59" s="12" cm="1">
        <f t="array" ref="V59">IFERROR(IF($D59 &lt;&gt;0,ResultValue($C59,COLUMN(W59)-COLUMN($C59))/$D59,""),"")</f>
        <v>7464</v>
      </c>
      <c r="W59" s="12" cm="1">
        <f t="array" ref="W59">IFERROR(IF($D59 &lt;&gt;0,ResultValue($C59,COLUMN(X59)-COLUMN($C59))/$D59,""),"")</f>
        <v>7464</v>
      </c>
      <c r="X59" s="12" cm="1">
        <f t="array" ref="X59">IFERROR(IF($D59 &lt;&gt;0,ResultValue($C59,COLUMN(Y59)-COLUMN($C59))/$D59,""),"")</f>
        <v>7464</v>
      </c>
      <c r="Y59" s="12" cm="1">
        <f t="array" ref="Y59">IFERROR(IF($D59 &lt;&gt;0,ResultValue($C59,COLUMN(Z59)-COLUMN($C59))/$D59,""),"")</f>
        <v>7464</v>
      </c>
    </row>
    <row r="60" spans="1:31" x14ac:dyDescent="0.25">
      <c r="A60" t="str">
        <v>Betaling bioaffald</v>
      </c>
      <c r="B60" s="46"/>
      <c r="C60" t="str">
        <f t="shared" si="0"/>
        <v>Varmeproduktion Ovn2</v>
      </c>
      <c r="D60" s="39">
        <f t="shared" si="1"/>
        <v>1</v>
      </c>
      <c r="E60" s="12" cm="1">
        <f t="array" ref="E60">IFERROR(IF($D60 &lt;&gt;0,ResultValue($C60,COLUMN(F60)-COLUMN($C60))/$D60,""),"")</f>
        <v>3168</v>
      </c>
      <c r="F60" s="12" cm="1">
        <f t="array" ref="F60">IFERROR(IF($D60 &lt;&gt;0,ResultValue($C60,COLUMN(G60)-COLUMN($C60))/$D60,""),"")</f>
        <v>7055.4000000000015</v>
      </c>
      <c r="G60" s="12" cm="1">
        <f t="array" ref="G60">IFERROR(IF($D60 &lt;&gt;0,ResultValue($C60,COLUMN(H60)-COLUMN($C60))/$D60,""),"")</f>
        <v>6850.7999999999993</v>
      </c>
      <c r="H60" s="12" cm="1">
        <f t="array" ref="H60">IFERROR(IF($D60 &lt;&gt;0,ResultValue($C60,COLUMN(I60)-COLUMN($C60))/$D60,""),"")</f>
        <v>6646.2000000000007</v>
      </c>
      <c r="I60" s="12" cm="1">
        <f t="array" ref="I60">IFERROR(IF($D60 &lt;&gt;0,ResultValue($C60,COLUMN(J60)-COLUMN($C60))/$D60,""),"")</f>
        <v>6441.5999999999985</v>
      </c>
      <c r="J60" s="12" cm="1">
        <f t="array" ref="J60">IFERROR(IF($D60 &lt;&gt;0,ResultValue($C60,COLUMN(K60)-COLUMN($C60))/$D60,""),"")</f>
        <v>6237</v>
      </c>
      <c r="K60" s="12" cm="1">
        <f t="array" ref="K60">IFERROR(IF($D60 &lt;&gt;0,ResultValue($C60,COLUMN(L60)-COLUMN($C60))/$D60,""),"")</f>
        <v>6032.4000000000015</v>
      </c>
      <c r="L60" s="12" cm="1">
        <f t="array" ref="L60">IFERROR(IF($D60 &lt;&gt;0,ResultValue($C60,COLUMN(M60)-COLUMN($C60))/$D60,""),"")</f>
        <v>5827.7999999999993</v>
      </c>
      <c r="M60" s="12" cm="1">
        <f t="array" ref="M60">IFERROR(IF($D60 &lt;&gt;0,ResultValue($C60,COLUMN(N60)-COLUMN($C60))/$D60,""),"")</f>
        <v>5623.2000000000007</v>
      </c>
      <c r="N60" s="12" cm="1">
        <f t="array" ref="N60">IFERROR(IF($D60 &lt;&gt;0,ResultValue($C60,COLUMN(O60)-COLUMN($C60))/$D60,""),"")</f>
        <v>5418.5999999999985</v>
      </c>
      <c r="O60" s="12" cm="1">
        <f t="array" ref="O60">IFERROR(IF($D60 &lt;&gt;0,ResultValue($C60,COLUMN(P60)-COLUMN($C60))/$D60,""),"")</f>
        <v>5214</v>
      </c>
      <c r="P60" s="12" cm="1">
        <f t="array" ref="P60">IFERROR(IF($D60 &lt;&gt;0,ResultValue($C60,COLUMN(Q60)-COLUMN($C60))/$D60,""),"")</f>
        <v>5009.4000000000015</v>
      </c>
      <c r="Q60" s="12" cm="1">
        <f t="array" ref="Q60">IFERROR(IF($D60 &lt;&gt;0,ResultValue($C60,COLUMN(R60)-COLUMN($C60))/$D60,""),"")</f>
        <v>4804.7999999999993</v>
      </c>
      <c r="R60" s="12" cm="1">
        <f t="array" ref="R60">IFERROR(IF($D60 &lt;&gt;0,ResultValue($C60,COLUMN(S60)-COLUMN($C60))/$D60,""),"")</f>
        <v>4600.2000000000007</v>
      </c>
      <c r="S60" s="12" cm="1">
        <f t="array" ref="S60">IFERROR(IF($D60 &lt;&gt;0,ResultValue($C60,COLUMN(T60)-COLUMN($C60))/$D60,""),"")</f>
        <v>4395.5999999999985</v>
      </c>
      <c r="T60" s="12" cm="1">
        <f t="array" ref="T60">IFERROR(IF($D60 &lt;&gt;0,ResultValue($C60,COLUMN(U60)-COLUMN($C60))/$D60,""),"")</f>
        <v>4191</v>
      </c>
      <c r="U60" s="12" cm="1">
        <f t="array" ref="U60">IFERROR(IF($D60 &lt;&gt;0,ResultValue($C60,COLUMN(V60)-COLUMN($C60))/$D60,""),"")</f>
        <v>3986.4000000000015</v>
      </c>
      <c r="V60" s="12" cm="1">
        <f t="array" ref="V60">IFERROR(IF($D60 &lt;&gt;0,ResultValue($C60,COLUMN(W60)-COLUMN($C60))/$D60,""),"")</f>
        <v>3781.7999999999993</v>
      </c>
      <c r="W60" s="12" cm="1">
        <f t="array" ref="W60">IFERROR(IF($D60 &lt;&gt;0,ResultValue($C60,COLUMN(X60)-COLUMN($C60))/$D60,""),"")</f>
        <v>3577.2000000000007</v>
      </c>
      <c r="X60" s="12" cm="1">
        <f t="array" ref="X60">IFERROR(IF($D60 &lt;&gt;0,ResultValue($C60,COLUMN(Y60)-COLUMN($C60))/$D60,""),"")</f>
        <v>3372.5999999999985</v>
      </c>
      <c r="Y60" s="12" cm="1">
        <f t="array" ref="Y60">IFERROR(IF($D60 &lt;&gt;0,ResultValue($C60,COLUMN(Z60)-COLUMN($C60))/$D60,""),"")</f>
        <v>3168</v>
      </c>
    </row>
    <row r="61" spans="1:31" x14ac:dyDescent="0.25">
      <c r="A61" t="str">
        <v>DV-omkostninger</v>
      </c>
      <c r="B61" s="46"/>
      <c r="C61" t="str">
        <f t="shared" si="0"/>
        <v>Varmeproduktion Ovn3</v>
      </c>
      <c r="D61" s="39">
        <f t="shared" si="1"/>
        <v>1</v>
      </c>
      <c r="E61" s="12" cm="1">
        <f t="array" ref="E61">IFERROR(IF($D61 &lt;&gt;0,ResultValue($C61,COLUMN(F61)-COLUMN($C61))/$D61,""),"")</f>
        <v>20832</v>
      </c>
      <c r="F61" s="12" cm="1">
        <f t="array" ref="F61">IFERROR(IF($D61 &lt;&gt;0,ResultValue($C61,COLUMN(G61)-COLUMN($C61))/$D61,""),"")</f>
        <v>16944.599999999999</v>
      </c>
      <c r="G61" s="12" cm="1">
        <f t="array" ref="G61">IFERROR(IF($D61 &lt;&gt;0,ResultValue($C61,COLUMN(H61)-COLUMN($C61))/$D61,""),"")</f>
        <v>17149.2</v>
      </c>
      <c r="H61" s="12" cm="1">
        <f t="array" ref="H61">IFERROR(IF($D61 &lt;&gt;0,ResultValue($C61,COLUMN(I61)-COLUMN($C61))/$D61,""),"")</f>
        <v>17353.8</v>
      </c>
      <c r="I61" s="12" cm="1">
        <f t="array" ref="I61">IFERROR(IF($D61 &lt;&gt;0,ResultValue($C61,COLUMN(J61)-COLUMN($C61))/$D61,""),"")</f>
        <v>17558.400000000001</v>
      </c>
      <c r="J61" s="12" cm="1">
        <f t="array" ref="J61">IFERROR(IF($D61 &lt;&gt;0,ResultValue($C61,COLUMN(K61)-COLUMN($C61))/$D61,""),"")</f>
        <v>17763</v>
      </c>
      <c r="K61" s="12" cm="1">
        <f t="array" ref="K61">IFERROR(IF($D61 &lt;&gt;0,ResultValue($C61,COLUMN(L61)-COLUMN($C61))/$D61,""),"")</f>
        <v>17967.599999999999</v>
      </c>
      <c r="L61" s="12" cm="1">
        <f t="array" ref="L61">IFERROR(IF($D61 &lt;&gt;0,ResultValue($C61,COLUMN(M61)-COLUMN($C61))/$D61,""),"")</f>
        <v>18172.2</v>
      </c>
      <c r="M61" s="12" cm="1">
        <f t="array" ref="M61">IFERROR(IF($D61 &lt;&gt;0,ResultValue($C61,COLUMN(N61)-COLUMN($C61))/$D61,""),"")</f>
        <v>18376.8</v>
      </c>
      <c r="N61" s="12" cm="1">
        <f t="array" ref="N61">IFERROR(IF($D61 &lt;&gt;0,ResultValue($C61,COLUMN(O61)-COLUMN($C61))/$D61,""),"")</f>
        <v>18581.400000000001</v>
      </c>
      <c r="O61" s="12" cm="1">
        <f t="array" ref="O61">IFERROR(IF($D61 &lt;&gt;0,ResultValue($C61,COLUMN(P61)-COLUMN($C61))/$D61,""),"")</f>
        <v>18786</v>
      </c>
      <c r="P61" s="12" cm="1">
        <f t="array" ref="P61">IFERROR(IF($D61 &lt;&gt;0,ResultValue($C61,COLUMN(Q61)-COLUMN($C61))/$D61,""),"")</f>
        <v>18990.599999999999</v>
      </c>
      <c r="Q61" s="12" cm="1">
        <f t="array" ref="Q61">IFERROR(IF($D61 &lt;&gt;0,ResultValue($C61,COLUMN(R61)-COLUMN($C61))/$D61,""),"")</f>
        <v>19195.2</v>
      </c>
      <c r="R61" s="12" cm="1">
        <f t="array" ref="R61">IFERROR(IF($D61 &lt;&gt;0,ResultValue($C61,COLUMN(S61)-COLUMN($C61))/$D61,""),"")</f>
        <v>19399.8</v>
      </c>
      <c r="S61" s="12" cm="1">
        <f t="array" ref="S61">IFERROR(IF($D61 &lt;&gt;0,ResultValue($C61,COLUMN(T61)-COLUMN($C61))/$D61,""),"")</f>
        <v>19604.400000000001</v>
      </c>
      <c r="T61" s="12" cm="1">
        <f t="array" ref="T61">IFERROR(IF($D61 &lt;&gt;0,ResultValue($C61,COLUMN(U61)-COLUMN($C61))/$D61,""),"")</f>
        <v>19809</v>
      </c>
      <c r="U61" s="12" cm="1">
        <f t="array" ref="U61">IFERROR(IF($D61 &lt;&gt;0,ResultValue($C61,COLUMN(V61)-COLUMN($C61))/$D61,""),"")</f>
        <v>20013.599999999999</v>
      </c>
      <c r="V61" s="12" cm="1">
        <f t="array" ref="V61">IFERROR(IF($D61 &lt;&gt;0,ResultValue($C61,COLUMN(W61)-COLUMN($C61))/$D61,""),"")</f>
        <v>20218.2</v>
      </c>
      <c r="W61" s="12" cm="1">
        <f t="array" ref="W61">IFERROR(IF($D61 &lt;&gt;0,ResultValue($C61,COLUMN(X61)-COLUMN($C61))/$D61,""),"")</f>
        <v>20422.8</v>
      </c>
      <c r="X61" s="12" cm="1">
        <f t="array" ref="X61">IFERROR(IF($D61 &lt;&gt;0,ResultValue($C61,COLUMN(Y61)-COLUMN($C61))/$D61,""),"")</f>
        <v>20627.400000000001</v>
      </c>
      <c r="Y61" s="12" cm="1">
        <f t="array" ref="Y61">IFERROR(IF($D61 &lt;&gt;0,ResultValue($C61,COLUMN(Z61)-COLUMN($C61))/$D61,""),"")</f>
        <v>20832</v>
      </c>
    </row>
    <row r="62" spans="1:31" x14ac:dyDescent="0.25">
      <c r="A62" t="str">
        <v>Affaldvarme-afgift</v>
      </c>
      <c r="B62" s="46"/>
      <c r="C62" t="str">
        <f t="shared" si="0"/>
        <v>Bortkølet varme</v>
      </c>
      <c r="D62" s="39">
        <f t="shared" si="1"/>
        <v>-1</v>
      </c>
      <c r="E62" s="12" cm="1">
        <f t="array" ref="E62">IFERROR(IF($D62 &lt;&gt;0,ResultValue($C62,COLUMN(F62)-COLUMN($C62))/$D62,""),"")</f>
        <v>0</v>
      </c>
      <c r="F62" s="12" cm="1">
        <f t="array" ref="F62">IFERROR(IF($D62 &lt;&gt;0,ResultValue($C62,COLUMN(G62)-COLUMN($C62))/$D62,""),"")</f>
        <v>0</v>
      </c>
      <c r="G62" s="12" cm="1">
        <f t="array" ref="G62">IFERROR(IF($D62 &lt;&gt;0,ResultValue($C62,COLUMN(H62)-COLUMN($C62))/$D62,""),"")</f>
        <v>0</v>
      </c>
      <c r="H62" s="12" cm="1">
        <f t="array" ref="H62">IFERROR(IF($D62 &lt;&gt;0,ResultValue($C62,COLUMN(I62)-COLUMN($C62))/$D62,""),"")</f>
        <v>0</v>
      </c>
      <c r="I62" s="12" cm="1">
        <f t="array" ref="I62">IFERROR(IF($D62 &lt;&gt;0,ResultValue($C62,COLUMN(J62)-COLUMN($C62))/$D62,""),"")</f>
        <v>0</v>
      </c>
      <c r="J62" s="12" cm="1">
        <f t="array" ref="J62">IFERROR(IF($D62 &lt;&gt;0,ResultValue($C62,COLUMN(K62)-COLUMN($C62))/$D62,""),"")</f>
        <v>0</v>
      </c>
      <c r="K62" s="12" cm="1">
        <f t="array" ref="K62">IFERROR(IF($D62 &lt;&gt;0,ResultValue($C62,COLUMN(L62)-COLUMN($C62))/$D62,""),"")</f>
        <v>0</v>
      </c>
      <c r="L62" s="12" cm="1">
        <f t="array" ref="L62">IFERROR(IF($D62 &lt;&gt;0,ResultValue($C62,COLUMN(M62)-COLUMN($C62))/$D62,""),"")</f>
        <v>0</v>
      </c>
      <c r="M62" s="12" cm="1">
        <f t="array" ref="M62">IFERROR(IF($D62 &lt;&gt;0,ResultValue($C62,COLUMN(N62)-COLUMN($C62))/$D62,""),"")</f>
        <v>0</v>
      </c>
      <c r="N62" s="12" cm="1">
        <f t="array" ref="N62">IFERROR(IF($D62 &lt;&gt;0,ResultValue($C62,COLUMN(O62)-COLUMN($C62))/$D62,""),"")</f>
        <v>0</v>
      </c>
      <c r="O62" s="12" cm="1">
        <f t="array" ref="O62">IFERROR(IF($D62 &lt;&gt;0,ResultValue($C62,COLUMN(P62)-COLUMN($C62))/$D62,""),"")</f>
        <v>0</v>
      </c>
      <c r="P62" s="12" cm="1">
        <f t="array" ref="P62">IFERROR(IF($D62 &lt;&gt;0,ResultValue($C62,COLUMN(Q62)-COLUMN($C62))/$D62,""),"")</f>
        <v>0</v>
      </c>
      <c r="Q62" s="12" cm="1">
        <f t="array" ref="Q62">IFERROR(IF($D62 &lt;&gt;0,ResultValue($C62,COLUMN(R62)-COLUMN($C62))/$D62,""),"")</f>
        <v>0</v>
      </c>
      <c r="R62" s="12" cm="1">
        <f t="array" ref="R62">IFERROR(IF($D62 &lt;&gt;0,ResultValue($C62,COLUMN(S62)-COLUMN($C62))/$D62,""),"")</f>
        <v>0</v>
      </c>
      <c r="S62" s="12" cm="1">
        <f t="array" ref="S62">IFERROR(IF($D62 &lt;&gt;0,ResultValue($C62,COLUMN(T62)-COLUMN($C62))/$D62,""),"")</f>
        <v>0</v>
      </c>
      <c r="T62" s="12" cm="1">
        <f t="array" ref="T62">IFERROR(IF($D62 &lt;&gt;0,ResultValue($C62,COLUMN(U62)-COLUMN($C62))/$D62,""),"")</f>
        <v>0</v>
      </c>
      <c r="U62" s="12" cm="1">
        <f t="array" ref="U62">IFERROR(IF($D62 &lt;&gt;0,ResultValue($C62,COLUMN(V62)-COLUMN($C62))/$D62,""),"")</f>
        <v>0</v>
      </c>
      <c r="V62" s="12" cm="1">
        <f t="array" ref="V62">IFERROR(IF($D62 &lt;&gt;0,ResultValue($C62,COLUMN(W62)-COLUMN($C62))/$D62,""),"")</f>
        <v>0</v>
      </c>
      <c r="W62" s="12" cm="1">
        <f t="array" ref="W62">IFERROR(IF($D62 &lt;&gt;0,ResultValue($C62,COLUMN(X62)-COLUMN($C62))/$D62,""),"")</f>
        <v>0</v>
      </c>
      <c r="X62" s="12" cm="1">
        <f t="array" ref="X62">IFERROR(IF($D62 &lt;&gt;0,ResultValue($C62,COLUMN(Y62)-COLUMN($C62))/$D62,""),"")</f>
        <v>0</v>
      </c>
      <c r="Y62" s="12" cm="1">
        <f t="array" ref="Y62">IFERROR(IF($D62 &lt;&gt;0,ResultValue($C62,COLUMN(Z62)-COLUMN($C62))/$D62,""),"")</f>
        <v>0</v>
      </c>
    </row>
    <row r="63" spans="1:31" x14ac:dyDescent="0.25">
      <c r="A63" t="str">
        <v>Tillægsafgift</v>
      </c>
      <c r="B63" s="46"/>
      <c r="C63" t="str">
        <f t="shared" si="0"/>
        <v>Leveret varme</v>
      </c>
      <c r="D63" s="39">
        <f t="shared" si="1"/>
        <v>1</v>
      </c>
      <c r="E63" s="12" t="str" cm="1">
        <f t="array" ref="E63">IFERROR(IF($D63 &lt;&gt;0,ResultValue($C63,COLUMN(F63)-COLUMN($C63))/$D63,""),"")</f>
        <v/>
      </c>
      <c r="F63" s="12" t="str" cm="1">
        <f t="array" ref="F63">IFERROR(IF($D63 &lt;&gt;0,ResultValue($C63,COLUMN(G63)-COLUMN($C63))/$D63,""),"")</f>
        <v/>
      </c>
      <c r="G63" s="12" t="str" cm="1">
        <f t="array" ref="G63">IFERROR(IF($D63 &lt;&gt;0,ResultValue($C63,COLUMN(H63)-COLUMN($C63))/$D63,""),"")</f>
        <v/>
      </c>
      <c r="H63" s="12" t="str" cm="1">
        <f t="array" ref="H63">IFERROR(IF($D63 &lt;&gt;0,ResultValue($C63,COLUMN(I63)-COLUMN($C63))/$D63,""),"")</f>
        <v/>
      </c>
      <c r="I63" s="12" t="str" cm="1">
        <f t="array" ref="I63">IFERROR(IF($D63 &lt;&gt;0,ResultValue($C63,COLUMN(J63)-COLUMN($C63))/$D63,""),"")</f>
        <v/>
      </c>
      <c r="J63" s="12" t="str" cm="1">
        <f t="array" ref="J63">IFERROR(IF($D63 &lt;&gt;0,ResultValue($C63,COLUMN(K63)-COLUMN($C63))/$D63,""),"")</f>
        <v/>
      </c>
      <c r="K63" s="12" t="str" cm="1">
        <f t="array" ref="K63">IFERROR(IF($D63 &lt;&gt;0,ResultValue($C63,COLUMN(L63)-COLUMN($C63))/$D63,""),"")</f>
        <v/>
      </c>
      <c r="L63" s="12" t="str" cm="1">
        <f t="array" ref="L63">IFERROR(IF($D63 &lt;&gt;0,ResultValue($C63,COLUMN(M63)-COLUMN($C63))/$D63,""),"")</f>
        <v/>
      </c>
      <c r="M63" s="12" t="str" cm="1">
        <f t="array" ref="M63">IFERROR(IF($D63 &lt;&gt;0,ResultValue($C63,COLUMN(N63)-COLUMN($C63))/$D63,""),"")</f>
        <v/>
      </c>
      <c r="N63" s="12" t="str" cm="1">
        <f t="array" ref="N63">IFERROR(IF($D63 &lt;&gt;0,ResultValue($C63,COLUMN(O63)-COLUMN($C63))/$D63,""),"")</f>
        <v/>
      </c>
      <c r="O63" s="12" t="str" cm="1">
        <f t="array" ref="O63">IFERROR(IF($D63 &lt;&gt;0,ResultValue($C63,COLUMN(P63)-COLUMN($C63))/$D63,""),"")</f>
        <v/>
      </c>
      <c r="P63" s="12" t="str" cm="1">
        <f t="array" ref="P63">IFERROR(IF($D63 &lt;&gt;0,ResultValue($C63,COLUMN(Q63)-COLUMN($C63))/$D63,""),"")</f>
        <v/>
      </c>
      <c r="Q63" s="12" t="str" cm="1">
        <f t="array" ref="Q63">IFERROR(IF($D63 &lt;&gt;0,ResultValue($C63,COLUMN(R63)-COLUMN($C63))/$D63,""),"")</f>
        <v/>
      </c>
      <c r="R63" s="12" t="str" cm="1">
        <f t="array" ref="R63">IFERROR(IF($D63 &lt;&gt;0,ResultValue($C63,COLUMN(S63)-COLUMN($C63))/$D63,""),"")</f>
        <v/>
      </c>
      <c r="S63" s="12" t="str" cm="1">
        <f t="array" ref="S63">IFERROR(IF($D63 &lt;&gt;0,ResultValue($C63,COLUMN(T63)-COLUMN($C63))/$D63,""),"")</f>
        <v/>
      </c>
      <c r="T63" s="12" t="str" cm="1">
        <f t="array" ref="T63">IFERROR(IF($D63 &lt;&gt;0,ResultValue($C63,COLUMN(U63)-COLUMN($C63))/$D63,""),"")</f>
        <v/>
      </c>
      <c r="U63" s="12" t="str" cm="1">
        <f t="array" ref="U63">IFERROR(IF($D63 &lt;&gt;0,ResultValue($C63,COLUMN(V63)-COLUMN($C63))/$D63,""),"")</f>
        <v/>
      </c>
      <c r="V63" s="12" t="str" cm="1">
        <f t="array" ref="V63">IFERROR(IF($D63 &lt;&gt;0,ResultValue($C63,COLUMN(W63)-COLUMN($C63))/$D63,""),"")</f>
        <v/>
      </c>
      <c r="W63" s="12" t="str" cm="1">
        <f t="array" ref="W63">IFERROR(IF($D63 &lt;&gt;0,ResultValue($C63,COLUMN(X63)-COLUMN($C63))/$D63,""),"")</f>
        <v/>
      </c>
      <c r="X63" s="12" t="str" cm="1">
        <f t="array" ref="X63">IFERROR(IF($D63 &lt;&gt;0,ResultValue($C63,COLUMN(Y63)-COLUMN($C63))/$D63,""),"")</f>
        <v/>
      </c>
      <c r="Y63" s="12" t="str" cm="1">
        <f t="array" ref="Y63">IFERROR(IF($D63 &lt;&gt;0,ResultValue($C63,COLUMN(Z63)-COLUMN($C63))/$D63,""),"")</f>
        <v/>
      </c>
    </row>
    <row r="64" spans="1:31" x14ac:dyDescent="0.25">
      <c r="A64" t="str">
        <v>CO2-afgift</v>
      </c>
      <c r="B64" s="46"/>
      <c r="C64" t="str">
        <f t="shared" si="0"/>
        <v>Spidslastvarme</v>
      </c>
      <c r="D64" s="39">
        <f t="shared" si="1"/>
        <v>1</v>
      </c>
      <c r="E64" s="12" cm="1">
        <f t="array" ref="E64">IFERROR(IF($D64 &lt;&gt;0,ResultValue($C64,COLUMN(F64)-COLUMN($C64))/$D64,""),"")</f>
        <v>4000</v>
      </c>
      <c r="F64" s="12" cm="1">
        <f t="array" ref="F64">IFERROR(IF($D64 &lt;&gt;0,ResultValue($C64,COLUMN(G64)-COLUMN($C64))/$D64,""),"")</f>
        <v>4000</v>
      </c>
      <c r="G64" s="12" cm="1">
        <f t="array" ref="G64">IFERROR(IF($D64 &lt;&gt;0,ResultValue($C64,COLUMN(H64)-COLUMN($C64))/$D64,""),"")</f>
        <v>4000</v>
      </c>
      <c r="H64" s="12" cm="1">
        <f t="array" ref="H64">IFERROR(IF($D64 &lt;&gt;0,ResultValue($C64,COLUMN(I64)-COLUMN($C64))/$D64,""),"")</f>
        <v>4000</v>
      </c>
      <c r="I64" s="12" cm="1">
        <f t="array" ref="I64">IFERROR(IF($D64 &lt;&gt;0,ResultValue($C64,COLUMN(J64)-COLUMN($C64))/$D64,""),"")</f>
        <v>4000</v>
      </c>
      <c r="J64" s="12" cm="1">
        <f t="array" ref="J64">IFERROR(IF($D64 &lt;&gt;0,ResultValue($C64,COLUMN(K64)-COLUMN($C64))/$D64,""),"")</f>
        <v>4000</v>
      </c>
      <c r="K64" s="12" cm="1">
        <f t="array" ref="K64">IFERROR(IF($D64 &lt;&gt;0,ResultValue($C64,COLUMN(L64)-COLUMN($C64))/$D64,""),"")</f>
        <v>4000</v>
      </c>
      <c r="L64" s="12" cm="1">
        <f t="array" ref="L64">IFERROR(IF($D64 &lt;&gt;0,ResultValue($C64,COLUMN(M64)-COLUMN($C64))/$D64,""),"")</f>
        <v>4000</v>
      </c>
      <c r="M64" s="12" cm="1">
        <f t="array" ref="M64">IFERROR(IF($D64 &lt;&gt;0,ResultValue($C64,COLUMN(N64)-COLUMN($C64))/$D64,""),"")</f>
        <v>4000</v>
      </c>
      <c r="N64" s="12" cm="1">
        <f t="array" ref="N64">IFERROR(IF($D64 &lt;&gt;0,ResultValue($C64,COLUMN(O64)-COLUMN($C64))/$D64,""),"")</f>
        <v>4000</v>
      </c>
      <c r="O64" s="12" cm="1">
        <f t="array" ref="O64">IFERROR(IF($D64 &lt;&gt;0,ResultValue($C64,COLUMN(P64)-COLUMN($C64))/$D64,""),"")</f>
        <v>4000</v>
      </c>
      <c r="P64" s="12" cm="1">
        <f t="array" ref="P64">IFERROR(IF($D64 &lt;&gt;0,ResultValue($C64,COLUMN(Q64)-COLUMN($C64))/$D64,""),"")</f>
        <v>4000</v>
      </c>
      <c r="Q64" s="12" cm="1">
        <f t="array" ref="Q64">IFERROR(IF($D64 &lt;&gt;0,ResultValue($C64,COLUMN(R64)-COLUMN($C64))/$D64,""),"")</f>
        <v>4000</v>
      </c>
      <c r="R64" s="12" cm="1">
        <f t="array" ref="R64">IFERROR(IF($D64 &lt;&gt;0,ResultValue($C64,COLUMN(S64)-COLUMN($C64))/$D64,""),"")</f>
        <v>4000</v>
      </c>
      <c r="S64" s="12" cm="1">
        <f t="array" ref="S64">IFERROR(IF($D64 &lt;&gt;0,ResultValue($C64,COLUMN(T64)-COLUMN($C64))/$D64,""),"")</f>
        <v>4000</v>
      </c>
      <c r="T64" s="12" cm="1">
        <f t="array" ref="T64">IFERROR(IF($D64 &lt;&gt;0,ResultValue($C64,COLUMN(U64)-COLUMN($C64))/$D64,""),"")</f>
        <v>4000</v>
      </c>
      <c r="U64" s="12" cm="1">
        <f t="array" ref="U64">IFERROR(IF($D64 &lt;&gt;0,ResultValue($C64,COLUMN(V64)-COLUMN($C64))/$D64,""),"")</f>
        <v>4000</v>
      </c>
      <c r="V64" s="12" cm="1">
        <f t="array" ref="V64">IFERROR(IF($D64 &lt;&gt;0,ResultValue($C64,COLUMN(W64)-COLUMN($C64))/$D64,""),"")</f>
        <v>4000</v>
      </c>
      <c r="W64" s="12" cm="1">
        <f t="array" ref="W64">IFERROR(IF($D64 &lt;&gt;0,ResultValue($C64,COLUMN(X64)-COLUMN($C64))/$D64,""),"")</f>
        <v>4000</v>
      </c>
      <c r="X64" s="12" cm="1">
        <f t="array" ref="X64">IFERROR(IF($D64 &lt;&gt;0,ResultValue($C64,COLUMN(Y64)-COLUMN($C64))/$D64,""),"")</f>
        <v>4000</v>
      </c>
      <c r="Y64" s="12" cm="1">
        <f t="array" ref="Y64">IFERROR(IF($D64 &lt;&gt;0,ResultValue($C64,COLUMN(Z64)-COLUMN($C64))/$D64,""),"")</f>
        <v>4000</v>
      </c>
    </row>
    <row r="65" spans="1:25" x14ac:dyDescent="0.25">
      <c r="A65" t="str">
        <v>Kvote-omkostning</v>
      </c>
      <c r="B65" s="46"/>
      <c r="C65" t="str">
        <f t="shared" si="0"/>
        <v>Affaldsforbrug Ovn2</v>
      </c>
      <c r="D65" s="39">
        <f t="shared" si="1"/>
        <v>1</v>
      </c>
      <c r="E65" s="12" cm="1">
        <f t="array" ref="E65">IFERROR(IF($D65 &lt;&gt;0,ResultValue($C65,COLUMN(F65)-COLUMN($C65))/$D65,""),"")</f>
        <v>1094.3867347062462</v>
      </c>
      <c r="F65" s="12" cm="1">
        <f t="array" ref="F65">IFERROR(IF($D65 &lt;&gt;0,ResultValue($C65,COLUMN(G65)-COLUMN($C65))/$D65,""),"")</f>
        <v>2919.670860050182</v>
      </c>
      <c r="G65" s="12" cm="1">
        <f t="array" ref="G65">IFERROR(IF($D65 &lt;&gt;0,ResultValue($C65,COLUMN(H65)-COLUMN($C65))/$D65,""),"")</f>
        <v>2805.7762998686553</v>
      </c>
      <c r="H65" s="12" cm="1">
        <f t="array" ref="H65">IFERROR(IF($D65 &lt;&gt;0,ResultValue($C65,COLUMN(I65)-COLUMN($C65))/$D65,""),"")</f>
        <v>2694.2061184663444</v>
      </c>
      <c r="I65" s="12" cm="1">
        <f t="array" ref="I65">IFERROR(IF($D65 &lt;&gt;0,ResultValue($C65,COLUMN(J65)-COLUMN($C65))/$D65,""),"")</f>
        <v>2584.8898801226651</v>
      </c>
      <c r="J65" s="12" cm="1">
        <f t="array" ref="J65">IFERROR(IF($D65 &lt;&gt;0,ResultValue($C65,COLUMN(K65)-COLUMN($C65))/$D65,""),"")</f>
        <v>2477.7599665458606</v>
      </c>
      <c r="K65" s="12" cm="1">
        <f t="array" ref="K65">IFERROR(IF($D65 &lt;&gt;0,ResultValue($C65,COLUMN(L65)-COLUMN($C65))/$D65,""),"")</f>
        <v>2372.751437396319</v>
      </c>
      <c r="L65" s="12" cm="1">
        <f t="array" ref="L65">IFERROR(IF($D65 &lt;&gt;0,ResultValue($C65,COLUMN(M65)-COLUMN($C65))/$D65,""),"")</f>
        <v>2269.8018990144151</v>
      </c>
      <c r="M65" s="12" cm="1">
        <f t="array" ref="M65">IFERROR(IF($D65 &lt;&gt;0,ResultValue($C65,COLUMN(N65)-COLUMN($C65))/$D65,""),"")</f>
        <v>2168.8513807952672</v>
      </c>
      <c r="N65" s="12" cm="1">
        <f t="array" ref="N65">IFERROR(IF($D65 &lt;&gt;0,ResultValue($C65,COLUMN(O65)-COLUMN($C65))/$D65,""),"")</f>
        <v>2069.8422186957168</v>
      </c>
      <c r="O65" s="12" cm="1">
        <f t="array" ref="O65">IFERROR(IF($D65 &lt;&gt;0,ResultValue($C65,COLUMN(P65)-COLUMN($C65))/$D65,""),"")</f>
        <v>1972.7189453980645</v>
      </c>
      <c r="P65" s="12" cm="1">
        <f t="array" ref="P65">IFERROR(IF($D65 &lt;&gt;0,ResultValue($C65,COLUMN(Q65)-COLUMN($C65))/$D65,""),"")</f>
        <v>1877.4281866909339</v>
      </c>
      <c r="Q65" s="12" cm="1">
        <f t="array" ref="Q65">IFERROR(IF($D65 &lt;&gt;0,ResultValue($C65,COLUMN(R65)-COLUMN($C65))/$D65,""),"")</f>
        <v>1783.9185636605707</v>
      </c>
      <c r="R65" s="12" cm="1">
        <f t="array" ref="R65">IFERROR(IF($D65 &lt;&gt;0,ResultValue($C65,COLUMN(S65)-COLUMN($C65))/$D65,""),"")</f>
        <v>1692.1406003159564</v>
      </c>
      <c r="S65" s="12" cm="1">
        <f t="array" ref="S65">IFERROR(IF($D65 &lt;&gt;0,ResultValue($C65,COLUMN(T65)-COLUMN($C65))/$D65,""),"")</f>
        <v>1602.0466362987647</v>
      </c>
      <c r="T65" s="12" cm="1">
        <f t="array" ref="T65">IFERROR(IF($D65 &lt;&gt;0,ResultValue($C65,COLUMN(U65)-COLUMN($C65))/$D65,""),"")</f>
        <v>1513.5907443546141</v>
      </c>
      <c r="U65" s="12" cm="1">
        <f t="array" ref="U65">IFERROR(IF($D65 &lt;&gt;0,ResultValue($C65,COLUMN(V65)-COLUMN($C65))/$D65,""),"")</f>
        <v>1426.728652265313</v>
      </c>
      <c r="V65" s="12" cm="1">
        <f t="array" ref="V65">IFERROR(IF($D65 &lt;&gt;0,ResultValue($C65,COLUMN(W65)-COLUMN($C65))/$D65,""),"")</f>
        <v>1341.41766896332</v>
      </c>
      <c r="W65" s="12" cm="1">
        <f t="array" ref="W65">IFERROR(IF($D65 &lt;&gt;0,ResultValue($C65,COLUMN(X65)-COLUMN($C65))/$D65,""),"")</f>
        <v>1257.6166145693278</v>
      </c>
      <c r="X65" s="12" cm="1">
        <f t="array" ref="X65">IFERROR(IF($D65 &lt;&gt;0,ResultValue($C65,COLUMN(Y65)-COLUMN($C65))/$D65,""),"")</f>
        <v>1175.2857541120711</v>
      </c>
      <c r="Y65" s="12" cm="1">
        <f t="array" ref="Y65">IFERROR(IF($D65 &lt;&gt;0,ResultValue($C65,COLUMN(Z65)-COLUMN($C65))/$D65,""),"")</f>
        <v>1094.3867347062462</v>
      </c>
    </row>
    <row r="66" spans="1:25" x14ac:dyDescent="0.25">
      <c r="A66" t="str">
        <v>Varmeproduktion Ovn2</v>
      </c>
      <c r="B66" s="46"/>
      <c r="C66" t="str">
        <f t="shared" si="0"/>
        <v>Affaldsforbrug Ovn3</v>
      </c>
      <c r="D66" s="39">
        <f t="shared" si="1"/>
        <v>1</v>
      </c>
      <c r="E66" s="12" cm="1">
        <f t="array" ref="E66">IFERROR(IF($D66 &lt;&gt;0,ResultValue($C66,COLUMN(F66)-COLUMN($C66))/$D66,""),"")</f>
        <v>9006.456241033</v>
      </c>
      <c r="F66" s="12" cm="1">
        <f t="array" ref="F66">IFERROR(IF($D66 &lt;&gt;0,ResultValue($C66,COLUMN(G66)-COLUMN($C66))/$D66,""),"")</f>
        <v>9006.4562410329982</v>
      </c>
      <c r="G66" s="12" cm="1">
        <f t="array" ref="G66">IFERROR(IF($D66 &lt;&gt;0,ResultValue($C66,COLUMN(H66)-COLUMN($C66))/$D66,""),"")</f>
        <v>9006.456241033</v>
      </c>
      <c r="H66" s="12" cm="1">
        <f t="array" ref="H66">IFERROR(IF($D66 &lt;&gt;0,ResultValue($C66,COLUMN(I66)-COLUMN($C66))/$D66,""),"")</f>
        <v>9006.4562410329982</v>
      </c>
      <c r="I66" s="12" cm="1">
        <f t="array" ref="I66">IFERROR(IF($D66 &lt;&gt;0,ResultValue($C66,COLUMN(J66)-COLUMN($C66))/$D66,""),"")</f>
        <v>9006.456241033</v>
      </c>
      <c r="J66" s="12" cm="1">
        <f t="array" ref="J66">IFERROR(IF($D66 &lt;&gt;0,ResultValue($C66,COLUMN(K66)-COLUMN($C66))/$D66,""),"")</f>
        <v>9006.456241033</v>
      </c>
      <c r="K66" s="12" cm="1">
        <f t="array" ref="K66">IFERROR(IF($D66 &lt;&gt;0,ResultValue($C66,COLUMN(L66)-COLUMN($C66))/$D66,""),"")</f>
        <v>9006.456241033</v>
      </c>
      <c r="L66" s="12" cm="1">
        <f t="array" ref="L66">IFERROR(IF($D66 &lt;&gt;0,ResultValue($C66,COLUMN(M66)-COLUMN($C66))/$D66,""),"")</f>
        <v>9006.456241033</v>
      </c>
      <c r="M66" s="12" cm="1">
        <f t="array" ref="M66">IFERROR(IF($D66 &lt;&gt;0,ResultValue($C66,COLUMN(N66)-COLUMN($C66))/$D66,""),"")</f>
        <v>9006.456241033</v>
      </c>
      <c r="N66" s="12" cm="1">
        <f t="array" ref="N66">IFERROR(IF($D66 &lt;&gt;0,ResultValue($C66,COLUMN(O66)-COLUMN($C66))/$D66,""),"")</f>
        <v>9006.456241033</v>
      </c>
      <c r="O66" s="12" cm="1">
        <f t="array" ref="O66">IFERROR(IF($D66 &lt;&gt;0,ResultValue($C66,COLUMN(P66)-COLUMN($C66))/$D66,""),"")</f>
        <v>9006.456241033</v>
      </c>
      <c r="P66" s="12" cm="1">
        <f t="array" ref="P66">IFERROR(IF($D66 &lt;&gt;0,ResultValue($C66,COLUMN(Q66)-COLUMN($C66))/$D66,""),"")</f>
        <v>9006.4562410329982</v>
      </c>
      <c r="Q66" s="12" cm="1">
        <f t="array" ref="Q66">IFERROR(IF($D66 &lt;&gt;0,ResultValue($C66,COLUMN(R66)-COLUMN($C66))/$D66,""),"")</f>
        <v>9006.456241033</v>
      </c>
      <c r="R66" s="12" cm="1">
        <f t="array" ref="R66">IFERROR(IF($D66 &lt;&gt;0,ResultValue($C66,COLUMN(S66)-COLUMN($C66))/$D66,""),"")</f>
        <v>9006.456241033</v>
      </c>
      <c r="S66" s="12" cm="1">
        <f t="array" ref="S66">IFERROR(IF($D66 &lt;&gt;0,ResultValue($C66,COLUMN(T66)-COLUMN($C66))/$D66,""),"")</f>
        <v>9006.456241033</v>
      </c>
      <c r="T66" s="12" cm="1">
        <f t="array" ref="T66">IFERROR(IF($D66 &lt;&gt;0,ResultValue($C66,COLUMN(U66)-COLUMN($C66))/$D66,""),"")</f>
        <v>9006.456241033</v>
      </c>
      <c r="U66" s="12" cm="1">
        <f t="array" ref="U66">IFERROR(IF($D66 &lt;&gt;0,ResultValue($C66,COLUMN(V66)-COLUMN($C66))/$D66,""),"")</f>
        <v>9006.456241033</v>
      </c>
      <c r="V66" s="12" cm="1">
        <f t="array" ref="V66">IFERROR(IF($D66 &lt;&gt;0,ResultValue($C66,COLUMN(W66)-COLUMN($C66))/$D66,""),"")</f>
        <v>9006.456241033</v>
      </c>
      <c r="W66" s="12" cm="1">
        <f t="array" ref="W66">IFERROR(IF($D66 &lt;&gt;0,ResultValue($C66,COLUMN(X66)-COLUMN($C66))/$D66,""),"")</f>
        <v>9006.456241033</v>
      </c>
      <c r="X66" s="12" cm="1">
        <f t="array" ref="X66">IFERROR(IF($D66 &lt;&gt;0,ResultValue($C66,COLUMN(Y66)-COLUMN($C66))/$D66,""),"")</f>
        <v>9006.456241033</v>
      </c>
      <c r="Y66" s="12" cm="1">
        <f t="array" ref="Y66">IFERROR(IF($D66 &lt;&gt;0,ResultValue($C66,COLUMN(Z66)-COLUMN($C66))/$D66,""),"")</f>
        <v>9006.456241033</v>
      </c>
    </row>
    <row r="67" spans="1:25" x14ac:dyDescent="0.25">
      <c r="A67" t="str">
        <v>Varmeproduktion Ovn3</v>
      </c>
      <c r="B67" s="46"/>
      <c r="C67" t="str">
        <f t="shared" si="0"/>
        <v>Affaldsforbrug kølevarme Ovn2</v>
      </c>
      <c r="D67" s="39">
        <f t="shared" si="1"/>
        <v>1</v>
      </c>
      <c r="E67" s="12" cm="1">
        <f t="array" ref="E67">IFERROR(IF($D67 &lt;&gt;0,ResultValue($C67,COLUMN(F67)-COLUMN($C67))/$D67,""),"")</f>
        <v>0</v>
      </c>
      <c r="F67" s="12" cm="1">
        <f t="array" ref="F67">IFERROR(IF($D67 &lt;&gt;0,ResultValue($C67,COLUMN(G67)-COLUMN($C67))/$D67,""),"")</f>
        <v>0</v>
      </c>
      <c r="G67" s="12" cm="1">
        <f t="array" ref="G67">IFERROR(IF($D67 &lt;&gt;0,ResultValue($C67,COLUMN(H67)-COLUMN($C67))/$D67,""),"")</f>
        <v>0</v>
      </c>
      <c r="H67" s="12" cm="1">
        <f t="array" ref="H67">IFERROR(IF($D67 &lt;&gt;0,ResultValue($C67,COLUMN(I67)-COLUMN($C67))/$D67,""),"")</f>
        <v>0</v>
      </c>
      <c r="I67" s="12" cm="1">
        <f t="array" ref="I67">IFERROR(IF($D67 &lt;&gt;0,ResultValue($C67,COLUMN(J67)-COLUMN($C67))/$D67,""),"")</f>
        <v>0</v>
      </c>
      <c r="J67" s="12" cm="1">
        <f t="array" ref="J67">IFERROR(IF($D67 &lt;&gt;0,ResultValue($C67,COLUMN(K67)-COLUMN($C67))/$D67,""),"")</f>
        <v>0</v>
      </c>
      <c r="K67" s="12" cm="1">
        <f t="array" ref="K67">IFERROR(IF($D67 &lt;&gt;0,ResultValue($C67,COLUMN(L67)-COLUMN($C67))/$D67,""),"")</f>
        <v>0</v>
      </c>
      <c r="L67" s="12" cm="1">
        <f t="array" ref="L67">IFERROR(IF($D67 &lt;&gt;0,ResultValue($C67,COLUMN(M67)-COLUMN($C67))/$D67,""),"")</f>
        <v>0</v>
      </c>
      <c r="M67" s="12" cm="1">
        <f t="array" ref="M67">IFERROR(IF($D67 &lt;&gt;0,ResultValue($C67,COLUMN(N67)-COLUMN($C67))/$D67,""),"")</f>
        <v>0</v>
      </c>
      <c r="N67" s="12" cm="1">
        <f t="array" ref="N67">IFERROR(IF($D67 &lt;&gt;0,ResultValue($C67,COLUMN(O67)-COLUMN($C67))/$D67,""),"")</f>
        <v>0</v>
      </c>
      <c r="O67" s="12" cm="1">
        <f t="array" ref="O67">IFERROR(IF($D67 &lt;&gt;0,ResultValue($C67,COLUMN(P67)-COLUMN($C67))/$D67,""),"")</f>
        <v>0</v>
      </c>
      <c r="P67" s="12" cm="1">
        <f t="array" ref="P67">IFERROR(IF($D67 &lt;&gt;0,ResultValue($C67,COLUMN(Q67)-COLUMN($C67))/$D67,""),"")</f>
        <v>0</v>
      </c>
      <c r="Q67" s="12" cm="1">
        <f t="array" ref="Q67">IFERROR(IF($D67 &lt;&gt;0,ResultValue($C67,COLUMN(R67)-COLUMN($C67))/$D67,""),"")</f>
        <v>0</v>
      </c>
      <c r="R67" s="12" cm="1">
        <f t="array" ref="R67">IFERROR(IF($D67 &lt;&gt;0,ResultValue($C67,COLUMN(S67)-COLUMN($C67))/$D67,""),"")</f>
        <v>0</v>
      </c>
      <c r="S67" s="12" cm="1">
        <f t="array" ref="S67">IFERROR(IF($D67 &lt;&gt;0,ResultValue($C67,COLUMN(T67)-COLUMN($C67))/$D67,""),"")</f>
        <v>0</v>
      </c>
      <c r="T67" s="12" cm="1">
        <f t="array" ref="T67">IFERROR(IF($D67 &lt;&gt;0,ResultValue($C67,COLUMN(U67)-COLUMN($C67))/$D67,""),"")</f>
        <v>0</v>
      </c>
      <c r="U67" s="12" cm="1">
        <f t="array" ref="U67">IFERROR(IF($D67 &lt;&gt;0,ResultValue($C67,COLUMN(V67)-COLUMN($C67))/$D67,""),"")</f>
        <v>0</v>
      </c>
      <c r="V67" s="12" cm="1">
        <f t="array" ref="V67">IFERROR(IF($D67 &lt;&gt;0,ResultValue($C67,COLUMN(W67)-COLUMN($C67))/$D67,""),"")</f>
        <v>0</v>
      </c>
      <c r="W67" s="12" cm="1">
        <f t="array" ref="W67">IFERROR(IF($D67 &lt;&gt;0,ResultValue($C67,COLUMN(X67)-COLUMN($C67))/$D67,""),"")</f>
        <v>0</v>
      </c>
      <c r="X67" s="12" cm="1">
        <f t="array" ref="X67">IFERROR(IF($D67 &lt;&gt;0,ResultValue($C67,COLUMN(Y67)-COLUMN($C67))/$D67,""),"")</f>
        <v>0</v>
      </c>
      <c r="Y67" s="12" cm="1">
        <f t="array" ref="Y67">IFERROR(IF($D67 &lt;&gt;0,ResultValue($C67,COLUMN(Z67)-COLUMN($C67))/$D67,""),"")</f>
        <v>0</v>
      </c>
    </row>
    <row r="68" spans="1:25" x14ac:dyDescent="0.25">
      <c r="A68" t="str">
        <v>Heraf RGK-varme</v>
      </c>
      <c r="B68" s="46"/>
      <c r="C68" t="str">
        <f t="shared" si="0"/>
        <v>Affaldsforbrug kølevarme Ovn3</v>
      </c>
      <c r="D68" s="39">
        <f t="shared" si="1"/>
        <v>1</v>
      </c>
      <c r="E68" s="12" cm="1">
        <f t="array" ref="E68">IFERROR(IF($D68 &lt;&gt;0,ResultValue($C68,COLUMN(F68)-COLUMN($C68))/$D68,""),"")</f>
        <v>0</v>
      </c>
      <c r="F68" s="12" cm="1">
        <f t="array" ref="F68">IFERROR(IF($D68 &lt;&gt;0,ResultValue($C68,COLUMN(G68)-COLUMN($C68))/$D68,""),"")</f>
        <v>0</v>
      </c>
      <c r="G68" s="12" cm="1">
        <f t="array" ref="G68">IFERROR(IF($D68 &lt;&gt;0,ResultValue($C68,COLUMN(H68)-COLUMN($C68))/$D68,""),"")</f>
        <v>0</v>
      </c>
      <c r="H68" s="12" cm="1">
        <f t="array" ref="H68">IFERROR(IF($D68 &lt;&gt;0,ResultValue($C68,COLUMN(I68)-COLUMN($C68))/$D68,""),"")</f>
        <v>0</v>
      </c>
      <c r="I68" s="12" cm="1">
        <f t="array" ref="I68">IFERROR(IF($D68 &lt;&gt;0,ResultValue($C68,COLUMN(J68)-COLUMN($C68))/$D68,""),"")</f>
        <v>0</v>
      </c>
      <c r="J68" s="12" cm="1">
        <f t="array" ref="J68">IFERROR(IF($D68 &lt;&gt;0,ResultValue($C68,COLUMN(K68)-COLUMN($C68))/$D68,""),"")</f>
        <v>0</v>
      </c>
      <c r="K68" s="12" cm="1">
        <f t="array" ref="K68">IFERROR(IF($D68 &lt;&gt;0,ResultValue($C68,COLUMN(L68)-COLUMN($C68))/$D68,""),"")</f>
        <v>0</v>
      </c>
      <c r="L68" s="12" cm="1">
        <f t="array" ref="L68">IFERROR(IF($D68 &lt;&gt;0,ResultValue($C68,COLUMN(M68)-COLUMN($C68))/$D68,""),"")</f>
        <v>0</v>
      </c>
      <c r="M68" s="12" cm="1">
        <f t="array" ref="M68">IFERROR(IF($D68 &lt;&gt;0,ResultValue($C68,COLUMN(N68)-COLUMN($C68))/$D68,""),"")</f>
        <v>0</v>
      </c>
      <c r="N68" s="12" cm="1">
        <f t="array" ref="N68">IFERROR(IF($D68 &lt;&gt;0,ResultValue($C68,COLUMN(O68)-COLUMN($C68))/$D68,""),"")</f>
        <v>0</v>
      </c>
      <c r="O68" s="12" cm="1">
        <f t="array" ref="O68">IFERROR(IF($D68 &lt;&gt;0,ResultValue($C68,COLUMN(P68)-COLUMN($C68))/$D68,""),"")</f>
        <v>0</v>
      </c>
      <c r="P68" s="12" cm="1">
        <f t="array" ref="P68">IFERROR(IF($D68 &lt;&gt;0,ResultValue($C68,COLUMN(Q68)-COLUMN($C68))/$D68,""),"")</f>
        <v>0</v>
      </c>
      <c r="Q68" s="12" cm="1">
        <f t="array" ref="Q68">IFERROR(IF($D68 &lt;&gt;0,ResultValue($C68,COLUMN(R68)-COLUMN($C68))/$D68,""),"")</f>
        <v>0</v>
      </c>
      <c r="R68" s="12" cm="1">
        <f t="array" ref="R68">IFERROR(IF($D68 &lt;&gt;0,ResultValue($C68,COLUMN(S68)-COLUMN($C68))/$D68,""),"")</f>
        <v>0</v>
      </c>
      <c r="S68" s="12" cm="1">
        <f t="array" ref="S68">IFERROR(IF($D68 &lt;&gt;0,ResultValue($C68,COLUMN(T68)-COLUMN($C68))/$D68,""),"")</f>
        <v>0</v>
      </c>
      <c r="T68" s="12" cm="1">
        <f t="array" ref="T68">IFERROR(IF($D68 &lt;&gt;0,ResultValue($C68,COLUMN(U68)-COLUMN($C68))/$D68,""),"")</f>
        <v>0</v>
      </c>
      <c r="U68" s="12" cm="1">
        <f t="array" ref="U68">IFERROR(IF($D68 &lt;&gt;0,ResultValue($C68,COLUMN(V68)-COLUMN($C68))/$D68,""),"")</f>
        <v>0</v>
      </c>
      <c r="V68" s="12" cm="1">
        <f t="array" ref="V68">IFERROR(IF($D68 &lt;&gt;0,ResultValue($C68,COLUMN(W68)-COLUMN($C68))/$D68,""),"")</f>
        <v>0</v>
      </c>
      <c r="W68" s="12" cm="1">
        <f t="array" ref="W68">IFERROR(IF($D68 &lt;&gt;0,ResultValue($C68,COLUMN(X68)-COLUMN($C68))/$D68,""),"")</f>
        <v>0</v>
      </c>
      <c r="X68" s="12" cm="1">
        <f t="array" ref="X68">IFERROR(IF($D68 &lt;&gt;0,ResultValue($C68,COLUMN(Y68)-COLUMN($C68))/$D68,""),"")</f>
        <v>0</v>
      </c>
      <c r="Y68" s="12" cm="1">
        <f t="array" ref="Y68">IFERROR(IF($D68 &lt;&gt;0,ResultValue($C68,COLUMN(Z68)-COLUMN($C68))/$D68,""),"")</f>
        <v>0</v>
      </c>
    </row>
    <row r="69" spans="1:25" x14ac:dyDescent="0.25">
      <c r="A69" t="str">
        <v>Bortkølet varme</v>
      </c>
      <c r="B69" s="46"/>
      <c r="C69" t="str">
        <f t="shared" si="0"/>
        <v>Udnyttet affald</v>
      </c>
      <c r="D69" s="39">
        <f t="shared" si="1"/>
        <v>1</v>
      </c>
      <c r="E69" s="12" cm="1">
        <f t="array" ref="E69">IFERROR(IF($D69 &lt;&gt;0,ResultValue($C69,COLUMN(F69)-COLUMN($C69))/$D69,""),"")</f>
        <v>10100.842975739246</v>
      </c>
      <c r="F69" s="12" cm="1">
        <f t="array" ref="F69">IFERROR(IF($D69 &lt;&gt;0,ResultValue($C69,COLUMN(G69)-COLUMN($C69))/$D69,""),"")</f>
        <v>11926.127101083181</v>
      </c>
      <c r="G69" s="12" cm="1">
        <f t="array" ref="G69">IFERROR(IF($D69 &lt;&gt;0,ResultValue($C69,COLUMN(H69)-COLUMN($C69))/$D69,""),"")</f>
        <v>11812.232540901656</v>
      </c>
      <c r="H69" s="12" cm="1">
        <f t="array" ref="H69">IFERROR(IF($D69 &lt;&gt;0,ResultValue($C69,COLUMN(I69)-COLUMN($C69))/$D69,""),"")</f>
        <v>11700.662359499343</v>
      </c>
      <c r="I69" s="12" cm="1">
        <f t="array" ref="I69">IFERROR(IF($D69 &lt;&gt;0,ResultValue($C69,COLUMN(J69)-COLUMN($C69))/$D69,""),"")</f>
        <v>11591.346121155664</v>
      </c>
      <c r="J69" s="12" cm="1">
        <f t="array" ref="J69">IFERROR(IF($D69 &lt;&gt;0,ResultValue($C69,COLUMN(K69)-COLUMN($C69))/$D69,""),"")</f>
        <v>11484.21620757886</v>
      </c>
      <c r="K69" s="12" cm="1">
        <f t="array" ref="K69">IFERROR(IF($D69 &lt;&gt;0,ResultValue($C69,COLUMN(L69)-COLUMN($C69))/$D69,""),"")</f>
        <v>11379.207678429319</v>
      </c>
      <c r="L69" s="12" cm="1">
        <f t="array" ref="L69">IFERROR(IF($D69 &lt;&gt;0,ResultValue($C69,COLUMN(M69)-COLUMN($C69))/$D69,""),"")</f>
        <v>11276.258140047416</v>
      </c>
      <c r="M69" s="12" cm="1">
        <f t="array" ref="M69">IFERROR(IF($D69 &lt;&gt;0,ResultValue($C69,COLUMN(N69)-COLUMN($C69))/$D69,""),"")</f>
        <v>11175.307621828268</v>
      </c>
      <c r="N69" s="12" cm="1">
        <f t="array" ref="N69">IFERROR(IF($D69 &lt;&gt;0,ResultValue($C69,COLUMN(O69)-COLUMN($C69))/$D69,""),"")</f>
        <v>11076.298459728718</v>
      </c>
      <c r="O69" s="12" cm="1">
        <f t="array" ref="O69">IFERROR(IF($D69 &lt;&gt;0,ResultValue($C69,COLUMN(P69)-COLUMN($C69))/$D69,""),"")</f>
        <v>10979.175186431065</v>
      </c>
      <c r="P69" s="12" cm="1">
        <f t="array" ref="P69">IFERROR(IF($D69 &lt;&gt;0,ResultValue($C69,COLUMN(Q69)-COLUMN($C69))/$D69,""),"")</f>
        <v>10883.884427723931</v>
      </c>
      <c r="Q69" s="12" cm="1">
        <f t="array" ref="Q69">IFERROR(IF($D69 &lt;&gt;0,ResultValue($C69,COLUMN(R69)-COLUMN($C69))/$D69,""),"")</f>
        <v>10790.374804693571</v>
      </c>
      <c r="R69" s="12" cm="1">
        <f t="array" ref="R69">IFERROR(IF($D69 &lt;&gt;0,ResultValue($C69,COLUMN(S69)-COLUMN($C69))/$D69,""),"")</f>
        <v>10698.596841348957</v>
      </c>
      <c r="S69" s="12" cm="1">
        <f t="array" ref="S69">IFERROR(IF($D69 &lt;&gt;0,ResultValue($C69,COLUMN(T69)-COLUMN($C69))/$D69,""),"")</f>
        <v>10608.502877331764</v>
      </c>
      <c r="T69" s="12" cm="1">
        <f t="array" ref="T69">IFERROR(IF($D69 &lt;&gt;0,ResultValue($C69,COLUMN(U69)-COLUMN($C69))/$D69,""),"")</f>
        <v>10520.046985387615</v>
      </c>
      <c r="U69" s="12" cm="1">
        <f t="array" ref="U69">IFERROR(IF($D69 &lt;&gt;0,ResultValue($C69,COLUMN(V69)-COLUMN($C69))/$D69,""),"")</f>
        <v>10433.184893298312</v>
      </c>
      <c r="V69" s="12" cm="1">
        <f t="array" ref="V69">IFERROR(IF($D69 &lt;&gt;0,ResultValue($C69,COLUMN(W69)-COLUMN($C69))/$D69,""),"")</f>
        <v>10347.87390999632</v>
      </c>
      <c r="W69" s="12" cm="1">
        <f t="array" ref="W69">IFERROR(IF($D69 &lt;&gt;0,ResultValue($C69,COLUMN(X69)-COLUMN($C69))/$D69,""),"")</f>
        <v>10264.072855602328</v>
      </c>
      <c r="X69" s="12" cm="1">
        <f t="array" ref="X69">IFERROR(IF($D69 &lt;&gt;0,ResultValue($C69,COLUMN(Y69)-COLUMN($C69))/$D69,""),"")</f>
        <v>10181.741995145072</v>
      </c>
      <c r="Y69" s="12" cm="1">
        <f t="array" ref="Y69">IFERROR(IF($D69 &lt;&gt;0,ResultValue($C69,COLUMN(Z69)-COLUMN($C69))/$D69,""),"")</f>
        <v>10100.842975739246</v>
      </c>
    </row>
    <row r="70" spans="1:25" x14ac:dyDescent="0.25">
      <c r="A70" t="str">
        <v>Leveret affaldsvarme</v>
      </c>
      <c r="B70" s="46"/>
      <c r="C70" t="str">
        <f t="shared" si="0"/>
        <v>Ikke-udnyttet affald</v>
      </c>
      <c r="D70" s="39">
        <f t="shared" si="1"/>
        <v>1</v>
      </c>
      <c r="E70" s="12" cm="1">
        <f t="array" ref="E70">IFERROR(IF($D70 &lt;&gt;0,ResultValue($C70,COLUMN(F70)-COLUMN($C70))/$D70,""),"")</f>
        <v>1899.1570242607538</v>
      </c>
      <c r="F70" s="12" cm="1">
        <f t="array" ref="F70">IFERROR(IF($D70 &lt;&gt;0,ResultValue($C70,COLUMN(G70)-COLUMN($C70))/$D70,""),"")</f>
        <v>73.87289891681985</v>
      </c>
      <c r="G70" s="12" cm="1">
        <f t="array" ref="G70">IFERROR(IF($D70 &lt;&gt;0,ResultValue($C70,COLUMN(H70)-COLUMN($C70))/$D70,""),"")</f>
        <v>187.76745909834472</v>
      </c>
      <c r="H70" s="12" cm="1">
        <f t="array" ref="H70">IFERROR(IF($D70 &lt;&gt;0,ResultValue($C70,COLUMN(I70)-COLUMN($C70))/$D70,""),"")</f>
        <v>299.33764050065747</v>
      </c>
      <c r="I70" s="12" cm="1">
        <f t="array" ref="I70">IFERROR(IF($D70 &lt;&gt;0,ResultValue($C70,COLUMN(J70)-COLUMN($C70))/$D70,""),"")</f>
        <v>408.65387884433494</v>
      </c>
      <c r="J70" s="12" cm="1">
        <f t="array" ref="J70">IFERROR(IF($D70 &lt;&gt;0,ResultValue($C70,COLUMN(K70)-COLUMN($C70))/$D70,""),"")</f>
        <v>515.78379242113942</v>
      </c>
      <c r="K70" s="12" cm="1">
        <f t="array" ref="K70">IFERROR(IF($D70 &lt;&gt;0,ResultValue($C70,COLUMN(L70)-COLUMN($C70))/$D70,""),"")</f>
        <v>620.792321570681</v>
      </c>
      <c r="L70" s="12" cm="1">
        <f t="array" ref="L70">IFERROR(IF($D70 &lt;&gt;0,ResultValue($C70,COLUMN(M70)-COLUMN($C70))/$D70,""),"")</f>
        <v>723.74185995258495</v>
      </c>
      <c r="M70" s="12" cm="1">
        <f t="array" ref="M70">IFERROR(IF($D70 &lt;&gt;0,ResultValue($C70,COLUMN(N70)-COLUMN($C70))/$D70,""),"")</f>
        <v>824.6923781717328</v>
      </c>
      <c r="N70" s="12" cm="1">
        <f t="array" ref="N70">IFERROR(IF($D70 &lt;&gt;0,ResultValue($C70,COLUMN(O70)-COLUMN($C70))/$D70,""),"")</f>
        <v>923.70154027128319</v>
      </c>
      <c r="O70" s="12" cm="1">
        <f t="array" ref="O70">IFERROR(IF($D70 &lt;&gt;0,ResultValue($C70,COLUMN(P70)-COLUMN($C70))/$D70,""),"")</f>
        <v>1020.8248135689355</v>
      </c>
      <c r="P70" s="12" cm="1">
        <f t="array" ref="P70">IFERROR(IF($D70 &lt;&gt;0,ResultValue($C70,COLUMN(Q70)-COLUMN($C70))/$D70,""),"")</f>
        <v>1116.115572276068</v>
      </c>
      <c r="Q70" s="12" cm="1">
        <f t="array" ref="Q70">IFERROR(IF($D70 &lt;&gt;0,ResultValue($C70,COLUMN(R70)-COLUMN($C70))/$D70,""),"")</f>
        <v>1209.6251953064293</v>
      </c>
      <c r="R70" s="12" cm="1">
        <f t="array" ref="R70">IFERROR(IF($D70 &lt;&gt;0,ResultValue($C70,COLUMN(S70)-COLUMN($C70))/$D70,""),"")</f>
        <v>1301.4031586510437</v>
      </c>
      <c r="S70" s="12" cm="1">
        <f t="array" ref="S70">IFERROR(IF($D70 &lt;&gt;0,ResultValue($C70,COLUMN(T70)-COLUMN($C70))/$D70,""),"")</f>
        <v>1391.4971226682353</v>
      </c>
      <c r="T70" s="12" cm="1">
        <f t="array" ref="T70">IFERROR(IF($D70 &lt;&gt;0,ResultValue($C70,COLUMN(U70)-COLUMN($C70))/$D70,""),"")</f>
        <v>1479.9530146123859</v>
      </c>
      <c r="U70" s="12" cm="1">
        <f t="array" ref="U70">IFERROR(IF($D70 &lt;&gt;0,ResultValue($C70,COLUMN(V70)-COLUMN($C70))/$D70,""),"")</f>
        <v>1566.815106701687</v>
      </c>
      <c r="V70" s="12" cm="1">
        <f t="array" ref="V70">IFERROR(IF($D70 &lt;&gt;0,ResultValue($C70,COLUMN(W70)-COLUMN($C70))/$D70,""),"")</f>
        <v>1652.12609000368</v>
      </c>
      <c r="W70" s="12" cm="1">
        <f t="array" ref="W70">IFERROR(IF($D70 &lt;&gt;0,ResultValue($C70,COLUMN(X70)-COLUMN($C70))/$D70,""),"")</f>
        <v>1735.9271443976722</v>
      </c>
      <c r="X70" s="12" cm="1">
        <f t="array" ref="X70">IFERROR(IF($D70 &lt;&gt;0,ResultValue($C70,COLUMN(Y70)-COLUMN($C70))/$D70,""),"")</f>
        <v>1818.2580048549289</v>
      </c>
      <c r="Y70" s="12" cm="1">
        <f t="array" ref="Y70">IFERROR(IF($D70 &lt;&gt;0,ResultValue($C70,COLUMN(Z70)-COLUMN($C70))/$D70,""),"")</f>
        <v>1899.1570242607538</v>
      </c>
    </row>
    <row r="71" spans="1:25" x14ac:dyDescent="0.25">
      <c r="A71" t="str">
        <v>Spidslastvarme</v>
      </c>
      <c r="B71" s="46"/>
      <c r="C71" t="str">
        <f t="shared" si="0"/>
        <v>Ovn2 tonnageudnyttelse</v>
      </c>
      <c r="D71" s="39">
        <f t="shared" si="1"/>
        <v>1</v>
      </c>
      <c r="E71" s="12" cm="1">
        <f t="array" ref="E71">IFERROR(IF($D71 &lt;&gt;0,ResultValue($C71,COLUMN(F71)-COLUMN($C71))/$D71,""),"")</f>
        <v>0.3702664796633941</v>
      </c>
      <c r="F71" s="12" cm="1">
        <f t="array" ref="F71">IFERROR(IF($D71 &lt;&gt;0,ResultValue($C71,COLUMN(G71)-COLUMN($C71))/$D71,""),"")</f>
        <v>0.98781922043010761</v>
      </c>
      <c r="G71" s="12" cm="1">
        <f t="array" ref="G71">IFERROR(IF($D71 &lt;&gt;0,ResultValue($C71,COLUMN(H71)-COLUMN($C71))/$D71,""),"")</f>
        <v>0.94928500166278673</v>
      </c>
      <c r="H71" s="12" cm="1">
        <f t="array" ref="H71">IFERROR(IF($D71 &lt;&gt;0,ResultValue($C71,COLUMN(I71)-COLUMN($C71))/$D71,""),"")</f>
        <v>0.91153719552337065</v>
      </c>
      <c r="I71" s="12" cm="1">
        <f t="array" ref="I71">IFERROR(IF($D71 &lt;&gt;0,ResultValue($C71,COLUMN(J71)-COLUMN($C71))/$D71,""),"")</f>
        <v>0.87455197132616469</v>
      </c>
      <c r="J71" s="12" cm="1">
        <f t="array" ref="J71">IFERROR(IF($D71 &lt;&gt;0,ResultValue($C71,COLUMN(K71)-COLUMN($C71))/$D71,""),"")</f>
        <v>0.83830645161290329</v>
      </c>
      <c r="K71" s="12" cm="1">
        <f t="array" ref="K71">IFERROR(IF($D71 &lt;&gt;0,ResultValue($C71,COLUMN(L71)-COLUMN($C71))/$D71,""),"")</f>
        <v>0.80277866496327055</v>
      </c>
      <c r="L71" s="12" cm="1">
        <f t="array" ref="L71">IFERROR(IF($D71 &lt;&gt;0,ResultValue($C71,COLUMN(M71)-COLUMN($C71))/$D71,""),"")</f>
        <v>0.76794750158127767</v>
      </c>
      <c r="M71" s="12" cm="1">
        <f t="array" ref="M71">IFERROR(IF($D71 &lt;&gt;0,ResultValue($C71,COLUMN(N71)-COLUMN($C71))/$D71,""),"")</f>
        <v>0.7337926714688382</v>
      </c>
      <c r="N71" s="12" cm="1">
        <f t="array" ref="N71">IFERROR(IF($D71 &lt;&gt;0,ResultValue($C71,COLUMN(O71)-COLUMN($C71))/$D71,""),"")</f>
        <v>0.70029466501240667</v>
      </c>
      <c r="O71" s="12" cm="1">
        <f t="array" ref="O71">IFERROR(IF($D71 &lt;&gt;0,ResultValue($C71,COLUMN(P71)-COLUMN($C71))/$D71,""),"")</f>
        <v>0.66743471582181246</v>
      </c>
      <c r="P71" s="12" cm="1">
        <f t="array" ref="P71">IFERROR(IF($D71 &lt;&gt;0,ResultValue($C71,COLUMN(Q71)-COLUMN($C71))/$D71,""),"")</f>
        <v>0.63519476567255029</v>
      </c>
      <c r="Q71" s="12" cm="1">
        <f t="array" ref="Q71">IFERROR(IF($D71 &lt;&gt;0,ResultValue($C71,COLUMN(R71)-COLUMN($C71))/$D71,""),"")</f>
        <v>0.60355743141392815</v>
      </c>
      <c r="R71" s="12" cm="1">
        <f t="array" ref="R71">IFERROR(IF($D71 &lt;&gt;0,ResultValue($C71,COLUMN(S71)-COLUMN($C71))/$D71,""),"")</f>
        <v>0.57250597371565126</v>
      </c>
      <c r="S71" s="12" cm="1">
        <f t="array" ref="S71">IFERROR(IF($D71 &lt;&gt;0,ResultValue($C71,COLUMN(T71)-COLUMN($C71))/$D71,""),"")</f>
        <v>0.5420242675347734</v>
      </c>
      <c r="T71" s="12" cm="1">
        <f t="array" ref="T71">IFERROR(IF($D71 &lt;&gt;0,ResultValue($C71,COLUMN(U71)-COLUMN($C71))/$D71,""),"")</f>
        <v>0.51209677419354838</v>
      </c>
      <c r="U71" s="12" cm="1">
        <f t="array" ref="U71">IFERROR(IF($D71 &lt;&gt;0,ResultValue($C71,COLUMN(V71)-COLUMN($C71))/$D71,""),"")</f>
        <v>0.48270851496657963</v>
      </c>
      <c r="V71" s="12" cm="1">
        <f t="array" ref="V71">IFERROR(IF($D71 &lt;&gt;0,ResultValue($C71,COLUMN(W71)-COLUMN($C71))/$D71,""),"")</f>
        <v>0.45384504608294923</v>
      </c>
      <c r="W71" s="12" cm="1">
        <f t="array" ref="W71">IFERROR(IF($D71 &lt;&gt;0,ResultValue($C71,COLUMN(X71)-COLUMN($C71))/$D71,""),"")</f>
        <v>0.4254924350556667</v>
      </c>
      <c r="X71" s="12" cm="1">
        <f t="array" ref="X71">IFERROR(IF($D71 &lt;&gt;0,ResultValue($C71,COLUMN(Y71)-COLUMN($C71))/$D71,""),"")</f>
        <v>0.39763723825693248</v>
      </c>
      <c r="Y71" s="12" cm="1">
        <f t="array" ref="Y71">IFERROR(IF($D71 &lt;&gt;0,ResultValue($C71,COLUMN(Z71)-COLUMN($C71))/$D71,""),"")</f>
        <v>0.3702664796633941</v>
      </c>
    </row>
    <row r="72" spans="1:25" x14ac:dyDescent="0.25">
      <c r="A72" t="str">
        <v>Affaldsforbrug Ovn3</v>
      </c>
      <c r="B72" s="46"/>
      <c r="C72" t="str">
        <f t="shared" si="0"/>
        <v>Ovn3 tonnageudnyttelse</v>
      </c>
      <c r="D72" s="39">
        <f t="shared" si="1"/>
        <v>1</v>
      </c>
      <c r="E72" s="12" cm="1">
        <f t="array" ref="E72">IFERROR(IF($D72 &lt;&gt;0,ResultValue($C72,COLUMN(F72)-COLUMN($C72))/$D72,""),"")</f>
        <v>1</v>
      </c>
      <c r="F72" s="12" cm="1">
        <f t="array" ref="F72">IFERROR(IF($D72 &lt;&gt;0,ResultValue($C72,COLUMN(G72)-COLUMN($C72))/$D72,""),"")</f>
        <v>0.99999999999999978</v>
      </c>
      <c r="G72" s="12" cm="1">
        <f t="array" ref="G72">IFERROR(IF($D72 &lt;&gt;0,ResultValue($C72,COLUMN(H72)-COLUMN($C72))/$D72,""),"")</f>
        <v>1</v>
      </c>
      <c r="H72" s="12" cm="1">
        <f t="array" ref="H72">IFERROR(IF($D72 &lt;&gt;0,ResultValue($C72,COLUMN(I72)-COLUMN($C72))/$D72,""),"")</f>
        <v>0.99999999999999978</v>
      </c>
      <c r="I72" s="12" cm="1">
        <f t="array" ref="I72">IFERROR(IF($D72 &lt;&gt;0,ResultValue($C72,COLUMN(J72)-COLUMN($C72))/$D72,""),"")</f>
        <v>1</v>
      </c>
      <c r="J72" s="12" cm="1">
        <f t="array" ref="J72">IFERROR(IF($D72 &lt;&gt;0,ResultValue($C72,COLUMN(K72)-COLUMN($C72))/$D72,""),"")</f>
        <v>1</v>
      </c>
      <c r="K72" s="12" cm="1">
        <f t="array" ref="K72">IFERROR(IF($D72 &lt;&gt;0,ResultValue($C72,COLUMN(L72)-COLUMN($C72))/$D72,""),"")</f>
        <v>1</v>
      </c>
      <c r="L72" s="12" cm="1">
        <f t="array" ref="L72">IFERROR(IF($D72 &lt;&gt;0,ResultValue($C72,COLUMN(M72)-COLUMN($C72))/$D72,""),"")</f>
        <v>1</v>
      </c>
      <c r="M72" s="12" cm="1">
        <f t="array" ref="M72">IFERROR(IF($D72 &lt;&gt;0,ResultValue($C72,COLUMN(N72)-COLUMN($C72))/$D72,""),"")</f>
        <v>1</v>
      </c>
      <c r="N72" s="12" cm="1">
        <f t="array" ref="N72">IFERROR(IF($D72 &lt;&gt;0,ResultValue($C72,COLUMN(O72)-COLUMN($C72))/$D72,""),"")</f>
        <v>1</v>
      </c>
      <c r="O72" s="12" cm="1">
        <f t="array" ref="O72">IFERROR(IF($D72 &lt;&gt;0,ResultValue($C72,COLUMN(P72)-COLUMN($C72))/$D72,""),"")</f>
        <v>1</v>
      </c>
      <c r="P72" s="12" cm="1">
        <f t="array" ref="P72">IFERROR(IF($D72 &lt;&gt;0,ResultValue($C72,COLUMN(Q72)-COLUMN($C72))/$D72,""),"")</f>
        <v>0.99999999999999978</v>
      </c>
      <c r="Q72" s="12" cm="1">
        <f t="array" ref="Q72">IFERROR(IF($D72 &lt;&gt;0,ResultValue($C72,COLUMN(R72)-COLUMN($C72))/$D72,""),"")</f>
        <v>1</v>
      </c>
      <c r="R72" s="12" cm="1">
        <f t="array" ref="R72">IFERROR(IF($D72 &lt;&gt;0,ResultValue($C72,COLUMN(S72)-COLUMN($C72))/$D72,""),"")</f>
        <v>1</v>
      </c>
      <c r="S72" s="12" cm="1">
        <f t="array" ref="S72">IFERROR(IF($D72 &lt;&gt;0,ResultValue($C72,COLUMN(T72)-COLUMN($C72))/$D72,""),"")</f>
        <v>1</v>
      </c>
      <c r="T72" s="12" cm="1">
        <f t="array" ref="T72">IFERROR(IF($D72 &lt;&gt;0,ResultValue($C72,COLUMN(U72)-COLUMN($C72))/$D72,""),"")</f>
        <v>1</v>
      </c>
      <c r="U72" s="12" cm="1">
        <f t="array" ref="U72">IFERROR(IF($D72 &lt;&gt;0,ResultValue($C72,COLUMN(V72)-COLUMN($C72))/$D72,""),"")</f>
        <v>1</v>
      </c>
      <c r="V72" s="12" cm="1">
        <f t="array" ref="V72">IFERROR(IF($D72 &lt;&gt;0,ResultValue($C72,COLUMN(W72)-COLUMN($C72))/$D72,""),"")</f>
        <v>1</v>
      </c>
      <c r="W72" s="12" cm="1">
        <f t="array" ref="W72">IFERROR(IF($D72 &lt;&gt;0,ResultValue($C72,COLUMN(X72)-COLUMN($C72))/$D72,""),"")</f>
        <v>1</v>
      </c>
      <c r="X72" s="12" cm="1">
        <f t="array" ref="X72">IFERROR(IF($D72 &lt;&gt;0,ResultValue($C72,COLUMN(Y72)-COLUMN($C72))/$D72,""),"")</f>
        <v>1</v>
      </c>
      <c r="Y72" s="12" cm="1">
        <f t="array" ref="Y72">IFERROR(IF($D72 &lt;&gt;0,ResultValue($C72,COLUMN(Z72)-COLUMN($C72))/$D72,""),"")</f>
        <v>1</v>
      </c>
    </row>
    <row r="73" spans="1:25" x14ac:dyDescent="0.25">
      <c r="A73" t="str">
        <v>Nordic Sugar varme</v>
      </c>
      <c r="B73" s="46"/>
      <c r="C73" t="str">
        <f t="shared" si="0"/>
        <v>Bortkøleanlæg udnyttelse</v>
      </c>
      <c r="D73" s="39">
        <f t="shared" si="1"/>
        <v>1</v>
      </c>
      <c r="E73" s="12" cm="1">
        <f t="array" ref="E73">IFERROR(IF($D73 &lt;&gt;0,ResultValue($C73,COLUMN(F73)-COLUMN($C73))/$D73,""),"")</f>
        <v>0</v>
      </c>
      <c r="F73" s="12" cm="1">
        <f t="array" ref="F73">IFERROR(IF($D73 &lt;&gt;0,ResultValue($C73,COLUMN(G73)-COLUMN($C73))/$D73,""),"")</f>
        <v>0</v>
      </c>
      <c r="G73" s="12" cm="1">
        <f t="array" ref="G73">IFERROR(IF($D73 &lt;&gt;0,ResultValue($C73,COLUMN(H73)-COLUMN($C73))/$D73,""),"")</f>
        <v>0</v>
      </c>
      <c r="H73" s="12" cm="1">
        <f t="array" ref="H73">IFERROR(IF($D73 &lt;&gt;0,ResultValue($C73,COLUMN(I73)-COLUMN($C73))/$D73,""),"")</f>
        <v>0</v>
      </c>
      <c r="I73" s="12" cm="1">
        <f t="array" ref="I73">IFERROR(IF($D73 &lt;&gt;0,ResultValue($C73,COLUMN(J73)-COLUMN($C73))/$D73,""),"")</f>
        <v>0</v>
      </c>
      <c r="J73" s="12" cm="1">
        <f t="array" ref="J73">IFERROR(IF($D73 &lt;&gt;0,ResultValue($C73,COLUMN(K73)-COLUMN($C73))/$D73,""),"")</f>
        <v>0</v>
      </c>
      <c r="K73" s="12" cm="1">
        <f t="array" ref="K73">IFERROR(IF($D73 &lt;&gt;0,ResultValue($C73,COLUMN(L73)-COLUMN($C73))/$D73,""),"")</f>
        <v>0</v>
      </c>
      <c r="L73" s="12" cm="1">
        <f t="array" ref="L73">IFERROR(IF($D73 &lt;&gt;0,ResultValue($C73,COLUMN(M73)-COLUMN($C73))/$D73,""),"")</f>
        <v>0</v>
      </c>
      <c r="M73" s="12" cm="1">
        <f t="array" ref="M73">IFERROR(IF($D73 &lt;&gt;0,ResultValue($C73,COLUMN(N73)-COLUMN($C73))/$D73,""),"")</f>
        <v>0</v>
      </c>
      <c r="N73" s="12" cm="1">
        <f t="array" ref="N73">IFERROR(IF($D73 &lt;&gt;0,ResultValue($C73,COLUMN(O73)-COLUMN($C73))/$D73,""),"")</f>
        <v>0</v>
      </c>
      <c r="O73" s="12" cm="1">
        <f t="array" ref="O73">IFERROR(IF($D73 &lt;&gt;0,ResultValue($C73,COLUMN(P73)-COLUMN($C73))/$D73,""),"")</f>
        <v>0</v>
      </c>
      <c r="P73" s="12" cm="1">
        <f t="array" ref="P73">IFERROR(IF($D73 &lt;&gt;0,ResultValue($C73,COLUMN(Q73)-COLUMN($C73))/$D73,""),"")</f>
        <v>0</v>
      </c>
      <c r="Q73" s="12" cm="1">
        <f t="array" ref="Q73">IFERROR(IF($D73 &lt;&gt;0,ResultValue($C73,COLUMN(R73)-COLUMN($C73))/$D73,""),"")</f>
        <v>0</v>
      </c>
      <c r="R73" s="12" cm="1">
        <f t="array" ref="R73">IFERROR(IF($D73 &lt;&gt;0,ResultValue($C73,COLUMN(S73)-COLUMN($C73))/$D73,""),"")</f>
        <v>0</v>
      </c>
      <c r="S73" s="12" cm="1">
        <f t="array" ref="S73">IFERROR(IF($D73 &lt;&gt;0,ResultValue($C73,COLUMN(T73)-COLUMN($C73))/$D73,""),"")</f>
        <v>0</v>
      </c>
      <c r="T73" s="12" cm="1">
        <f t="array" ref="T73">IFERROR(IF($D73 &lt;&gt;0,ResultValue($C73,COLUMN(U73)-COLUMN($C73))/$D73,""),"")</f>
        <v>0</v>
      </c>
      <c r="U73" s="12" cm="1">
        <f t="array" ref="U73">IFERROR(IF($D73 &lt;&gt;0,ResultValue($C73,COLUMN(V73)-COLUMN($C73))/$D73,""),"")</f>
        <v>0</v>
      </c>
      <c r="V73" s="12" cm="1">
        <f t="array" ref="V73">IFERROR(IF($D73 &lt;&gt;0,ResultValue($C73,COLUMN(W73)-COLUMN($C73))/$D73,""),"")</f>
        <v>0</v>
      </c>
      <c r="W73" s="12" cm="1">
        <f t="array" ref="W73">IFERROR(IF($D73 &lt;&gt;0,ResultValue($C73,COLUMN(X73)-COLUMN($C73))/$D73,""),"")</f>
        <v>0</v>
      </c>
      <c r="X73" s="12" cm="1">
        <f t="array" ref="X73">IFERROR(IF($D73 &lt;&gt;0,ResultValue($C73,COLUMN(Y73)-COLUMN($C73))/$D73,""),"")</f>
        <v>0</v>
      </c>
      <c r="Y73" s="12" cm="1">
        <f t="array" ref="Y73">IFERROR(IF($D73 &lt;&gt;0,ResultValue($C73,COLUMN(Z73)-COLUMN($C73))/$D73,""),"")</f>
        <v>0</v>
      </c>
    </row>
    <row r="74" spans="1:25" x14ac:dyDescent="0.25">
      <c r="A74" t="str">
        <v>Affaldsforbrug Ovn2</v>
      </c>
      <c r="B74" s="46"/>
      <c r="C74" t="str">
        <f t="shared" si="0"/>
        <v>NS-varme udnyttelse</v>
      </c>
      <c r="D74" s="39">
        <f t="shared" si="1"/>
        <v>1</v>
      </c>
      <c r="E74" s="12" cm="1">
        <f t="array" ref="E74">IFERROR(IF($D74 &lt;&gt;0,ResultValue($C74,COLUMN(F74)-COLUMN($C74))/$D74,""),"")</f>
        <v>1</v>
      </c>
      <c r="F74" s="12" cm="1">
        <f t="array" ref="F74">IFERROR(IF($D74 &lt;&gt;0,ResultValue($C74,COLUMN(G74)-COLUMN($C74))/$D74,""),"")</f>
        <v>1</v>
      </c>
      <c r="G74" s="12" cm="1">
        <f t="array" ref="G74">IFERROR(IF($D74 &lt;&gt;0,ResultValue($C74,COLUMN(H74)-COLUMN($C74))/$D74,""),"")</f>
        <v>1</v>
      </c>
      <c r="H74" s="12" cm="1">
        <f t="array" ref="H74">IFERROR(IF($D74 &lt;&gt;0,ResultValue($C74,COLUMN(I74)-COLUMN($C74))/$D74,""),"")</f>
        <v>1</v>
      </c>
      <c r="I74" s="12" cm="1">
        <f t="array" ref="I74">IFERROR(IF($D74 &lt;&gt;0,ResultValue($C74,COLUMN(J74)-COLUMN($C74))/$D74,""),"")</f>
        <v>1</v>
      </c>
      <c r="J74" s="12" cm="1">
        <f t="array" ref="J74">IFERROR(IF($D74 &lt;&gt;0,ResultValue($C74,COLUMN(K74)-COLUMN($C74))/$D74,""),"")</f>
        <v>1</v>
      </c>
      <c r="K74" s="12" cm="1">
        <f t="array" ref="K74">IFERROR(IF($D74 &lt;&gt;0,ResultValue($C74,COLUMN(L74)-COLUMN($C74))/$D74,""),"")</f>
        <v>1</v>
      </c>
      <c r="L74" s="12" cm="1">
        <f t="array" ref="L74">IFERROR(IF($D74 &lt;&gt;0,ResultValue($C74,COLUMN(M74)-COLUMN($C74))/$D74,""),"")</f>
        <v>1</v>
      </c>
      <c r="M74" s="12" cm="1">
        <f t="array" ref="M74">IFERROR(IF($D74 &lt;&gt;0,ResultValue($C74,COLUMN(N74)-COLUMN($C74))/$D74,""),"")</f>
        <v>1</v>
      </c>
      <c r="N74" s="12" cm="1">
        <f t="array" ref="N74">IFERROR(IF($D74 &lt;&gt;0,ResultValue($C74,COLUMN(O74)-COLUMN($C74))/$D74,""),"")</f>
        <v>1</v>
      </c>
      <c r="O74" s="12" cm="1">
        <f t="array" ref="O74">IFERROR(IF($D74 &lt;&gt;0,ResultValue($C74,COLUMN(P74)-COLUMN($C74))/$D74,""),"")</f>
        <v>1</v>
      </c>
      <c r="P74" s="12" cm="1">
        <f t="array" ref="P74">IFERROR(IF($D74 &lt;&gt;0,ResultValue($C74,COLUMN(Q74)-COLUMN($C74))/$D74,""),"")</f>
        <v>1</v>
      </c>
      <c r="Q74" s="12" cm="1">
        <f t="array" ref="Q74">IFERROR(IF($D74 &lt;&gt;0,ResultValue($C74,COLUMN(R74)-COLUMN($C74))/$D74,""),"")</f>
        <v>1</v>
      </c>
      <c r="R74" s="12" cm="1">
        <f t="array" ref="R74">IFERROR(IF($D74 &lt;&gt;0,ResultValue($C74,COLUMN(S74)-COLUMN($C74))/$D74,""),"")</f>
        <v>1</v>
      </c>
      <c r="S74" s="12" cm="1">
        <f t="array" ref="S74">IFERROR(IF($D74 &lt;&gt;0,ResultValue($C74,COLUMN(T74)-COLUMN($C74))/$D74,""),"")</f>
        <v>1</v>
      </c>
      <c r="T74" s="12" cm="1">
        <f t="array" ref="T74">IFERROR(IF($D74 &lt;&gt;0,ResultValue($C74,COLUMN(U74)-COLUMN($C74))/$D74,""),"")</f>
        <v>1</v>
      </c>
      <c r="U74" s="12" cm="1">
        <f t="array" ref="U74">IFERROR(IF($D74 &lt;&gt;0,ResultValue($C74,COLUMN(V74)-COLUMN($C74))/$D74,""),"")</f>
        <v>1</v>
      </c>
      <c r="V74" s="12" cm="1">
        <f t="array" ref="V74">IFERROR(IF($D74 &lt;&gt;0,ResultValue($C74,COLUMN(W74)-COLUMN($C74))/$D74,""),"")</f>
        <v>1</v>
      </c>
      <c r="W74" s="12" cm="1">
        <f t="array" ref="W74">IFERROR(IF($D74 &lt;&gt;0,ResultValue($C74,COLUMN(X74)-COLUMN($C74))/$D74,""),"")</f>
        <v>1</v>
      </c>
      <c r="X74" s="12" cm="1">
        <f t="array" ref="X74">IFERROR(IF($D74 &lt;&gt;0,ResultValue($C74,COLUMN(Y74)-COLUMN($C74))/$D74,""),"")</f>
        <v>1</v>
      </c>
      <c r="Y74" s="12" cm="1">
        <f t="array" ref="Y74">IFERROR(IF($D74 &lt;&gt;0,ResultValue($C74,COLUMN(Z74)-COLUMN($C74))/$D74,""),"")</f>
        <v>1</v>
      </c>
    </row>
    <row r="75" spans="1:25" x14ac:dyDescent="0.25">
      <c r="A75" t="str">
        <v>Affaldsforbrug kølevarme Ovn3</v>
      </c>
      <c r="B75" s="46"/>
      <c r="C75" t="s">
        <v>243</v>
      </c>
      <c r="D75" s="39">
        <f>B36</f>
        <v>1</v>
      </c>
      <c r="E75" s="12" cm="1">
        <f t="array" ref="E75">IFERROR(IF($D75 &lt;&gt;0,ResultValue($C75,COLUMN(F75)-COLUMN($C75))/$D75,""),"")</f>
        <v>-25.711195069525662</v>
      </c>
      <c r="F75" s="12" cm="1">
        <f t="array" ref="F75">IFERROR(IF($D75 &lt;&gt;0,ResultValue($C75,COLUMN(G75)-COLUMN($C75))/$D75,""),"")</f>
        <v>-36.044007947642243</v>
      </c>
      <c r="G75" s="12" cm="1">
        <f t="array" ref="G75">IFERROR(IF($D75 &lt;&gt;0,ResultValue($C75,COLUMN(H75)-COLUMN($C75))/$D75,""),"")</f>
        <v>-34.880981324960246</v>
      </c>
      <c r="H75" s="12" cm="1">
        <f t="array" ref="H75">IFERROR(IF($D75 &lt;&gt;0,ResultValue($C75,COLUMN(I75)-COLUMN($C75))/$D75,""),"")</f>
        <v>-33.741332256634173</v>
      </c>
      <c r="I75" s="12" cm="1">
        <f t="array" ref="I75">IFERROR(IF($D75 &lt;&gt;0,ResultValue($C75,COLUMN(J75)-COLUMN($C75))/$D75,""),"")</f>
        <v>-32.624352331926232</v>
      </c>
      <c r="J75" s="12" cm="1">
        <f t="array" ref="J75">IFERROR(IF($D75 &lt;&gt;0,ResultValue($C75,COLUMN(K75)-COLUMN($C75))/$D75,""),"")</f>
        <v>-31.529361476527761</v>
      </c>
      <c r="K75" s="12" cm="1">
        <f t="array" ref="K75">IFERROR(IF($D75 &lt;&gt;0,ResultValue($C75,COLUMN(L75)-COLUMN($C75))/$D75,""),"")</f>
        <v>-30.455706549766241</v>
      </c>
      <c r="L75" s="12" cm="1">
        <f t="array" ref="L75">IFERROR(IF($D75 &lt;&gt;0,ResultValue($C75,COLUMN(M75)-COLUMN($C75))/$D75,""),"")</f>
        <v>-29.402760024328717</v>
      </c>
      <c r="M75" s="12" cm="1">
        <f t="array" ref="M75">IFERROR(IF($D75 &lt;&gt;0,ResultValue($C75,COLUMN(N75)-COLUMN($C75))/$D75,""),"")</f>
        <v>-36.727993818352502</v>
      </c>
      <c r="N75" s="12" cm="1">
        <f t="array" ref="N75">IFERROR(IF($D75 &lt;&gt;0,ResultValue($C75,COLUMN(O75)-COLUMN($C75))/$D75,""),"")</f>
        <v>-35.714677821961345</v>
      </c>
      <c r="O75" s="12" cm="1">
        <f t="array" ref="O75">IFERROR(IF($D75 &lt;&gt;0,ResultValue($C75,COLUMN(P75)-COLUMN($C75))/$D75,""),"")</f>
        <v>-34.720329245325452</v>
      </c>
      <c r="P75" s="12" cm="1">
        <f t="array" ref="P75">IFERROR(IF($D75 &lt;&gt;0,ResultValue($C75,COLUMN(Q75)-COLUMN($C75))/$D75,""),"")</f>
        <v>-33.744411274678271</v>
      </c>
      <c r="Q75" s="12" cm="1">
        <f t="array" ref="Q75">IFERROR(IF($D75 &lt;&gt;0,ResultValue($C75,COLUMN(R75)-COLUMN($C75))/$D75,""),"")</f>
        <v>-32.7864071640576</v>
      </c>
      <c r="R75" s="12" cm="1">
        <f t="array" ref="R75">IFERROR(IF($D75 &lt;&gt;0,ResultValue($C75,COLUMN(S75)-COLUMN($C75))/$D75,""),"")</f>
        <v>-31.845819306240379</v>
      </c>
      <c r="S75" s="12" cm="1">
        <f t="array" ref="S75">IFERROR(IF($D75 &lt;&gt;0,ResultValue($C75,COLUMN(T75)-COLUMN($C75))/$D75,""),"")</f>
        <v>-30.922168354819217</v>
      </c>
      <c r="T75" s="12" cm="1">
        <f t="array" ref="T75">IFERROR(IF($D75 &lt;&gt;0,ResultValue($C75,COLUMN(U75)-COLUMN($C75))/$D75,""),"")</f>
        <v>-30.014992394165059</v>
      </c>
      <c r="U75" s="12" cm="1">
        <f t="array" ref="U75">IFERROR(IF($D75 &lt;&gt;0,ResultValue($C75,COLUMN(V75)-COLUMN($C75))/$D75,""),"")</f>
        <v>-29.12384615425723</v>
      </c>
      <c r="V75" s="12" cm="1">
        <f t="array" ref="V75">IFERROR(IF($D75 &lt;&gt;0,ResultValue($C75,COLUMN(W75)-COLUMN($C75))/$D75,""),"")</f>
        <v>-28.248300267575697</v>
      </c>
      <c r="W75" s="12" cm="1">
        <f t="array" ref="W75">IFERROR(IF($D75 &lt;&gt;0,ResultValue($C75,COLUMN(X75)-COLUMN($C75))/$D75,""),"")</f>
        <v>-27.387940565450815</v>
      </c>
      <c r="X75" s="12" cm="1">
        <f t="array" ref="X75">IFERROR(IF($D75 &lt;&gt;0,ResultValue($C75,COLUMN(Y75)-COLUMN($C75))/$D75,""),"")</f>
        <v>-26.542367411446836</v>
      </c>
      <c r="Y75" s="12" cm="1">
        <f t="array" ref="Y75">IFERROR(IF($D75 &lt;&gt;0,ResultValue($C75,COLUMN(Z75)-COLUMN($C75))/$D75,""),"")</f>
        <v>-25.711195069525662</v>
      </c>
    </row>
    <row r="76" spans="1:25" x14ac:dyDescent="0.25">
      <c r="A76" t="str">
        <v>Affaldsforbrug kølevarme Ovn2</v>
      </c>
      <c r="B76" s="46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</row>
    <row r="77" spans="1:25" x14ac:dyDescent="0.25">
      <c r="A77" t="str">
        <v>Udnyttet affald</v>
      </c>
      <c r="B77" s="46"/>
      <c r="C77" s="41" t="s">
        <v>235</v>
      </c>
      <c r="D77" s="42"/>
      <c r="E77" s="41" t="s">
        <v>207</v>
      </c>
      <c r="F77" s="43" t="str">
        <f>F53</f>
        <v>sc1</v>
      </c>
      <c r="G77" s="43" t="str">
        <f t="shared" ref="G77:Y77" si="2">G53</f>
        <v>sc2</v>
      </c>
      <c r="H77" s="43" t="str">
        <f t="shared" si="2"/>
        <v>sc3</v>
      </c>
      <c r="I77" s="43" t="str">
        <f t="shared" si="2"/>
        <v>sc4</v>
      </c>
      <c r="J77" s="43" t="str">
        <f t="shared" si="2"/>
        <v>sc5</v>
      </c>
      <c r="K77" s="43" t="str">
        <f t="shared" si="2"/>
        <v>sc6</v>
      </c>
      <c r="L77" s="43" t="str">
        <f t="shared" si="2"/>
        <v>sc7</v>
      </c>
      <c r="M77" s="43" t="str">
        <f t="shared" si="2"/>
        <v>sc8</v>
      </c>
      <c r="N77" s="43" t="str">
        <f t="shared" si="2"/>
        <v>sc9</v>
      </c>
      <c r="O77" s="43" t="str">
        <f t="shared" si="2"/>
        <v>sc10</v>
      </c>
      <c r="P77" s="43" t="str">
        <f t="shared" si="2"/>
        <v>sc11</v>
      </c>
      <c r="Q77" s="43" t="str">
        <f t="shared" si="2"/>
        <v>sc12</v>
      </c>
      <c r="R77" s="43" t="str">
        <f t="shared" si="2"/>
        <v>sc13</v>
      </c>
      <c r="S77" s="43" t="str">
        <f t="shared" si="2"/>
        <v>sc14</v>
      </c>
      <c r="T77" s="43" t="str">
        <f t="shared" si="2"/>
        <v>sc15</v>
      </c>
      <c r="U77" s="43" t="str">
        <f t="shared" si="2"/>
        <v>sc16</v>
      </c>
      <c r="V77" s="43" t="str">
        <f t="shared" si="2"/>
        <v>sc17</v>
      </c>
      <c r="W77" s="43" t="str">
        <f t="shared" si="2"/>
        <v>sc18</v>
      </c>
      <c r="X77" s="43" t="str">
        <f t="shared" si="2"/>
        <v>sc19</v>
      </c>
      <c r="Y77" s="43" t="str">
        <f t="shared" si="2"/>
        <v>sc20</v>
      </c>
    </row>
    <row r="78" spans="1:25" x14ac:dyDescent="0.25">
      <c r="A78" t="str">
        <v>Ikke-udnyttet affald</v>
      </c>
      <c r="B78" s="46"/>
      <c r="C78" s="37" t="str">
        <f>IF(ISBLANK(A40),"X-værdi mangler",A40)</f>
        <v>RGK-udnyttelse</v>
      </c>
      <c r="D78" s="3" t="s">
        <v>238</v>
      </c>
      <c r="E78" s="20" cm="1">
        <f t="array" ref="E78">_xlfn.LET(_xlpm.inputName,$C78,_xlpm.icol,COLUMN(E54)-1,_xlpm.irow,MATCH(_xlpm.inputName,ranInputNames,0),INDEX(Scenarier!$C$7:$Y$12,_xlpm.irow+1,_xlpm.icol))</f>
        <v>0.05</v>
      </c>
      <c r="F78" s="20" cm="1">
        <f t="array" ref="F78">_xlfn.LET(_xlpm.inputName,$C78,_xlpm.icol,COLUMN(F54)-1,_xlpm.irow,MATCH(_xlpm.inputName,ranInputNames,0),INDEX(Scenarier!$C$7:$Y$12,_xlpm.irow+1,_xlpm.icol))</f>
        <v>0.1</v>
      </c>
      <c r="G78" s="20" cm="1">
        <f t="array" ref="G78">_xlfn.LET(_xlpm.inputName,$C78,_xlpm.icol,COLUMN(G54)-1,_xlpm.irow,MATCH(_xlpm.inputName,ranInputNames,0),INDEX(Scenarier!$C$7:$Y$12,_xlpm.irow+1,_xlpm.icol))</f>
        <v>0.15</v>
      </c>
      <c r="H78" s="20" cm="1">
        <f t="array" ref="H78">_xlfn.LET(_xlpm.inputName,$C78,_xlpm.icol,COLUMN(H54)-1,_xlpm.irow,MATCH(_xlpm.inputName,ranInputNames,0),INDEX(Scenarier!$C$7:$Y$12,_xlpm.irow+1,_xlpm.icol))</f>
        <v>0.2</v>
      </c>
      <c r="I78" s="20" cm="1">
        <f t="array" ref="I78">_xlfn.LET(_xlpm.inputName,$C78,_xlpm.icol,COLUMN(I54)-1,_xlpm.irow,MATCH(_xlpm.inputName,ranInputNames,0),INDEX(Scenarier!$C$7:$Y$12,_xlpm.irow+1,_xlpm.icol))</f>
        <v>0.25</v>
      </c>
      <c r="J78" s="20" cm="1">
        <f t="array" ref="J78">_xlfn.LET(_xlpm.inputName,$C78,_xlpm.icol,COLUMN(J54)-1,_xlpm.irow,MATCH(_xlpm.inputName,ranInputNames,0),INDEX(Scenarier!$C$7:$Y$12,_xlpm.irow+1,_xlpm.icol))</f>
        <v>0.3</v>
      </c>
      <c r="K78" s="20" cm="1">
        <f t="array" ref="K78">_xlfn.LET(_xlpm.inputName,$C78,_xlpm.icol,COLUMN(K54)-1,_xlpm.irow,MATCH(_xlpm.inputName,ranInputNames,0),INDEX(Scenarier!$C$7:$Y$12,_xlpm.irow+1,_xlpm.icol))</f>
        <v>0.35</v>
      </c>
      <c r="L78" s="20" cm="1">
        <f t="array" ref="L78">_xlfn.LET(_xlpm.inputName,$C78,_xlpm.icol,COLUMN(L54)-1,_xlpm.irow,MATCH(_xlpm.inputName,ranInputNames,0),INDEX(Scenarier!$C$7:$Y$12,_xlpm.irow+1,_xlpm.icol))</f>
        <v>0.4</v>
      </c>
      <c r="M78" s="20" cm="1">
        <f t="array" ref="M78">_xlfn.LET(_xlpm.inputName,$C78,_xlpm.icol,COLUMN(M54)-1,_xlpm.irow,MATCH(_xlpm.inputName,ranInputNames,0),INDEX(Scenarier!$C$7:$Y$12,_xlpm.irow+1,_xlpm.icol))</f>
        <v>0.45</v>
      </c>
      <c r="N78" s="20" cm="1">
        <f t="array" ref="N78">_xlfn.LET(_xlpm.inputName,$C78,_xlpm.icol,COLUMN(N54)-1,_xlpm.irow,MATCH(_xlpm.inputName,ranInputNames,0),INDEX(Scenarier!$C$7:$Y$12,_xlpm.irow+1,_xlpm.icol))</f>
        <v>0.5</v>
      </c>
      <c r="O78" s="20" cm="1">
        <f t="array" ref="O78">_xlfn.LET(_xlpm.inputName,$C78,_xlpm.icol,COLUMN(O54)-1,_xlpm.irow,MATCH(_xlpm.inputName,ranInputNames,0),INDEX(Scenarier!$C$7:$Y$12,_xlpm.irow+1,_xlpm.icol))</f>
        <v>0.55000000000000004</v>
      </c>
      <c r="P78" s="20" cm="1">
        <f t="array" ref="P78">_xlfn.LET(_xlpm.inputName,$C78,_xlpm.icol,COLUMN(P54)-1,_xlpm.irow,MATCH(_xlpm.inputName,ranInputNames,0),INDEX(Scenarier!$C$7:$Y$12,_xlpm.irow+1,_xlpm.icol))</f>
        <v>0.6</v>
      </c>
      <c r="Q78" s="20" cm="1">
        <f t="array" ref="Q78">_xlfn.LET(_xlpm.inputName,$C78,_xlpm.icol,COLUMN(Q54)-1,_xlpm.irow,MATCH(_xlpm.inputName,ranInputNames,0),INDEX(Scenarier!$C$7:$Y$12,_xlpm.irow+1,_xlpm.icol))</f>
        <v>0.65</v>
      </c>
      <c r="R78" s="20" cm="1">
        <f t="array" ref="R78">_xlfn.LET(_xlpm.inputName,$C78,_xlpm.icol,COLUMN(R54)-1,_xlpm.irow,MATCH(_xlpm.inputName,ranInputNames,0),INDEX(Scenarier!$C$7:$Y$12,_xlpm.irow+1,_xlpm.icol))</f>
        <v>0.7</v>
      </c>
      <c r="S78" s="20" cm="1">
        <f t="array" ref="S78">_xlfn.LET(_xlpm.inputName,$C78,_xlpm.icol,COLUMN(S54)-1,_xlpm.irow,MATCH(_xlpm.inputName,ranInputNames,0),INDEX(Scenarier!$C$7:$Y$12,_xlpm.irow+1,_xlpm.icol))</f>
        <v>0.75</v>
      </c>
      <c r="T78" s="20" cm="1">
        <f t="array" ref="T78">_xlfn.LET(_xlpm.inputName,$C78,_xlpm.icol,COLUMN(T54)-1,_xlpm.irow,MATCH(_xlpm.inputName,ranInputNames,0),INDEX(Scenarier!$C$7:$Y$12,_xlpm.irow+1,_xlpm.icol))</f>
        <v>0.8</v>
      </c>
      <c r="U78" s="20" cm="1">
        <f t="array" ref="U78">_xlfn.LET(_xlpm.inputName,$C78,_xlpm.icol,COLUMN(U54)-1,_xlpm.irow,MATCH(_xlpm.inputName,ranInputNames,0),INDEX(Scenarier!$C$7:$Y$12,_xlpm.irow+1,_xlpm.icol))</f>
        <v>0.85</v>
      </c>
      <c r="V78" s="20" cm="1">
        <f t="array" ref="V78">_xlfn.LET(_xlpm.inputName,$C78,_xlpm.icol,COLUMN(V54)-1,_xlpm.irow,MATCH(_xlpm.inputName,ranInputNames,0),INDEX(Scenarier!$C$7:$Y$12,_xlpm.irow+1,_xlpm.icol))</f>
        <v>0.9</v>
      </c>
      <c r="W78" s="20" cm="1">
        <f t="array" ref="W78">_xlfn.LET(_xlpm.inputName,$C78,_xlpm.icol,COLUMN(W54)-1,_xlpm.irow,MATCH(_xlpm.inputName,ranInputNames,0),INDEX(Scenarier!$C$7:$Y$12,_xlpm.irow+1,_xlpm.icol))</f>
        <v>0.95</v>
      </c>
      <c r="X78" s="20" cm="1">
        <f t="array" ref="X78">_xlfn.LET(_xlpm.inputName,$C78,_xlpm.icol,COLUMN(X54)-1,_xlpm.irow,MATCH(_xlpm.inputName,ranInputNames,0),INDEX(Scenarier!$C$7:$Y$12,_xlpm.irow+1,_xlpm.icol))</f>
        <v>1</v>
      </c>
      <c r="Y78" s="20" t="e" cm="1">
        <f t="array" ref="Y78">_xlfn.LET(_xlpm.inputName,$C78,_xlpm.icol,COLUMN(Y54)-1,_xlpm.irow,MATCH(_xlpm.inputName,ranInputNames,0),INDEX(Scenarier!$C$7:$Y$12,_xlpm.irow+1,_xlpm.icol))</f>
        <v>#REF!</v>
      </c>
    </row>
    <row r="79" spans="1:25" x14ac:dyDescent="0.25">
      <c r="A79" t="str">
        <v>Ovn3 tonnageudnyttelse</v>
      </c>
      <c r="B79" s="46"/>
      <c r="C79" s="40" t="str">
        <f t="shared" ref="C79:C88" si="3">IF(ISBLANK(A41),"",A41)</f>
        <v>RGK-rabat</v>
      </c>
      <c r="D79" s="39">
        <f t="shared" ref="D79:D88" si="4">B41</f>
        <v>1000</v>
      </c>
      <c r="E79" s="12" cm="1">
        <f t="array" ref="E79">IF($D79 &lt;&gt;0,ResultValue($C79,COLUMN(F79)-COLUMN($C79))/$D79,"")</f>
        <v>200.59380181097563</v>
      </c>
      <c r="F79" s="12" cm="1">
        <f t="array" ref="F79">IF($D79 &lt;&gt;0,ResultValue($C79,COLUMN(G79)-COLUMN($C79))/$D79,"")</f>
        <v>0</v>
      </c>
      <c r="G79" s="12" cm="1">
        <f t="array" ref="G79">IF($D79 &lt;&gt;0,ResultValue($C79,COLUMN(H79)-COLUMN($C79))/$D79,"")</f>
        <v>0</v>
      </c>
      <c r="H79" s="12" cm="1">
        <f t="array" ref="H79">IF($D79 &lt;&gt;0,ResultValue($C79,COLUMN(I79)-COLUMN($C79))/$D79,"")</f>
        <v>0</v>
      </c>
      <c r="I79" s="12" cm="1">
        <f t="array" ref="I79">IF($D79 &lt;&gt;0,ResultValue($C79,COLUMN(J79)-COLUMN($C79))/$D79,"")</f>
        <v>0</v>
      </c>
      <c r="J79" s="12" cm="1">
        <f t="array" ref="J79">IF($D79 &lt;&gt;0,ResultValue($C79,COLUMN(K79)-COLUMN($C79))/$D79,"")</f>
        <v>0</v>
      </c>
      <c r="K79" s="12" cm="1">
        <f t="array" ref="K79">IF($D79 &lt;&gt;0,ResultValue($C79,COLUMN(L79)-COLUMN($C79))/$D79,"")</f>
        <v>0</v>
      </c>
      <c r="L79" s="12" cm="1">
        <f t="array" ref="L79">IF($D79 &lt;&gt;0,ResultValue($C79,COLUMN(M79)-COLUMN($C79))/$D79,"")</f>
        <v>0</v>
      </c>
      <c r="M79" s="12" cm="1">
        <f t="array" ref="M79">IF($D79 &lt;&gt;0,ResultValue($C79,COLUMN(N79)-COLUMN($C79))/$D79,"")</f>
        <v>200.59380181097563</v>
      </c>
      <c r="N79" s="12" cm="1">
        <f t="array" ref="N79">IF($D79 &lt;&gt;0,ResultValue($C79,COLUMN(O79)-COLUMN($C79))/$D79,"")</f>
        <v>200.59380181097563</v>
      </c>
      <c r="O79" s="12" cm="1">
        <f t="array" ref="O79">IF($D79 &lt;&gt;0,ResultValue($C79,COLUMN(P79)-COLUMN($C79))/$D79,"")</f>
        <v>200.59380181097563</v>
      </c>
      <c r="P79" s="12" cm="1">
        <f t="array" ref="P79">IF($D79 &lt;&gt;0,ResultValue($C79,COLUMN(Q79)-COLUMN($C79))/$D79,"")</f>
        <v>200.59380181097563</v>
      </c>
      <c r="Q79" s="12" cm="1">
        <f t="array" ref="Q79">IF($D79 &lt;&gt;0,ResultValue($C79,COLUMN(R79)-COLUMN($C79))/$D79,"")</f>
        <v>200.59380181097563</v>
      </c>
      <c r="R79" s="12" cm="1">
        <f t="array" ref="R79">IF($D79 &lt;&gt;0,ResultValue($C79,COLUMN(S79)-COLUMN($C79))/$D79,"")</f>
        <v>200.59380181097563</v>
      </c>
      <c r="S79" s="12" cm="1">
        <f t="array" ref="S79">IF($D79 &lt;&gt;0,ResultValue($C79,COLUMN(T79)-COLUMN($C79))/$D79,"")</f>
        <v>200.59380181097563</v>
      </c>
      <c r="T79" s="12" cm="1">
        <f t="array" ref="T79">IF($D79 &lt;&gt;0,ResultValue($C79,COLUMN(U79)-COLUMN($C79))/$D79,"")</f>
        <v>200.59380181097563</v>
      </c>
      <c r="U79" s="12" cm="1">
        <f t="array" ref="U79">IF($D79 &lt;&gt;0,ResultValue($C79,COLUMN(V79)-COLUMN($C79))/$D79,"")</f>
        <v>200.59380181097563</v>
      </c>
      <c r="V79" s="12" cm="1">
        <f t="array" ref="V79">IF($D79 &lt;&gt;0,ResultValue($C79,COLUMN(W79)-COLUMN($C79))/$D79,"")</f>
        <v>200.59380181097563</v>
      </c>
      <c r="W79" s="12" cm="1">
        <f t="array" ref="W79">IF($D79 &lt;&gt;0,ResultValue($C79,COLUMN(X79)-COLUMN($C79))/$D79,"")</f>
        <v>200.59380181097563</v>
      </c>
      <c r="X79" s="12" cm="1">
        <f t="array" ref="X79">IF($D79 &lt;&gt;0,ResultValue($C79,COLUMN(Y79)-COLUMN($C79))/$D79,"")</f>
        <v>200.59380181097563</v>
      </c>
      <c r="Y79" s="12" cm="1">
        <f t="array" ref="Y79">IF($D79 &lt;&gt;0,ResultValue($C79,COLUMN(Z80)-COLUMN($C79))/$D79,"")</f>
        <v>200.59380181097563</v>
      </c>
    </row>
    <row r="80" spans="1:25" x14ac:dyDescent="0.25">
      <c r="A80" t="str">
        <v>Ovn2 tonnageudnyttelse</v>
      </c>
      <c r="B80" s="46"/>
      <c r="C80" s="40" t="str">
        <f t="shared" si="3"/>
        <v>Modtagebetaling affald</v>
      </c>
      <c r="D80" s="39">
        <f t="shared" si="4"/>
        <v>1000</v>
      </c>
      <c r="E80" s="12" cm="1">
        <f t="array" ref="E80">IF($D80 &lt;&gt;0,ResultValue($C80,COLUMN(F80)-COLUMN($C80))/$D80,"")</f>
        <v>4040.3371902956987</v>
      </c>
      <c r="F80" s="12" cm="1">
        <f t="array" ref="F80">IF($D80 &lt;&gt;0,ResultValue($C80,COLUMN(G80)-COLUMN($C80))/$D80,"")</f>
        <v>4770.4508404332728</v>
      </c>
      <c r="G80" s="12" cm="1">
        <f t="array" ref="G80">IF($D80 &lt;&gt;0,ResultValue($C80,COLUMN(H80)-COLUMN($C80))/$D80,"")</f>
        <v>4724.8930163606619</v>
      </c>
      <c r="H80" s="12" cm="1">
        <f t="array" ref="H80">IF($D80 &lt;&gt;0,ResultValue($C80,COLUMN(I80)-COLUMN($C80))/$D80,"")</f>
        <v>4680.2649437997379</v>
      </c>
      <c r="I80" s="12" cm="1">
        <f t="array" ref="I80">IF($D80 &lt;&gt;0,ResultValue($C80,COLUMN(J80)-COLUMN($C80))/$D80,"")</f>
        <v>4636.5384484622655</v>
      </c>
      <c r="J80" s="12" cm="1">
        <f t="array" ref="J80">IF($D80 &lt;&gt;0,ResultValue($C80,COLUMN(K80)-COLUMN($C80))/$D80,"")</f>
        <v>4593.6864830315435</v>
      </c>
      <c r="K80" s="12" cm="1">
        <f t="array" ref="K80">IF($D80 &lt;&gt;0,ResultValue($C80,COLUMN(L80)-COLUMN($C80))/$D80,"")</f>
        <v>4551.6830713717272</v>
      </c>
      <c r="L80" s="12" cm="1">
        <f t="array" ref="L80">IF($D80 &lt;&gt;0,ResultValue($C80,COLUMN(M80)-COLUMN($C80))/$D80,"")</f>
        <v>4510.5032560189666</v>
      </c>
      <c r="M80" s="12" cm="1">
        <f t="array" ref="M80">IF($D80 &lt;&gt;0,ResultValue($C80,COLUMN(N80)-COLUMN($C80))/$D80,"")</f>
        <v>4470.1230487313078</v>
      </c>
      <c r="N80" s="12" cm="1">
        <f t="array" ref="N80">IF($D80 &lt;&gt;0,ResultValue($C80,COLUMN(O80)-COLUMN($C80))/$D80,"")</f>
        <v>4430.5193838914875</v>
      </c>
      <c r="O80" s="12" cm="1">
        <f t="array" ref="O80">IF($D80 &lt;&gt;0,ResultValue($C80,COLUMN(P80)-COLUMN($C80))/$D80,"")</f>
        <v>4391.6700745724256</v>
      </c>
      <c r="P80" s="12" cm="1">
        <f t="array" ref="P80">IF($D80 &lt;&gt;0,ResultValue($C80,COLUMN(Q80)-COLUMN($C80))/$D80,"")</f>
        <v>4353.5537710895724</v>
      </c>
      <c r="Q80" s="12" cm="1">
        <f t="array" ref="Q80">IF($D80 &lt;&gt;0,ResultValue($C80,COLUMN(R80)-COLUMN($C80))/$D80,"")</f>
        <v>4316.1499218774279</v>
      </c>
      <c r="R80" s="12" cm="1">
        <f t="array" ref="R80">IF($D80 &lt;&gt;0,ResultValue($C80,COLUMN(S80)-COLUMN($C80))/$D80,"")</f>
        <v>4279.4387365395824</v>
      </c>
      <c r="S80" s="12" cm="1">
        <f t="array" ref="S80">IF($D80 &lt;&gt;0,ResultValue($C80,COLUMN(T80)-COLUMN($C80))/$D80,"")</f>
        <v>4243.4011509327056</v>
      </c>
      <c r="T80" s="12" cm="1">
        <f t="array" ref="T80">IF($D80 &lt;&gt;0,ResultValue($C80,COLUMN(U80)-COLUMN($C80))/$D80,"")</f>
        <v>4208.0187941550466</v>
      </c>
      <c r="U80" s="12" cm="1">
        <f t="array" ref="U80">IF($D80 &lt;&gt;0,ResultValue($C80,COLUMN(V80)-COLUMN($C80))/$D80,"")</f>
        <v>4173.2739573193248</v>
      </c>
      <c r="V80" s="12" cm="1">
        <f t="array" ref="V80">IF($D80 &lt;&gt;0,ResultValue($C80,COLUMN(W80)-COLUMN($C80))/$D80,"")</f>
        <v>4139.1495639985287</v>
      </c>
      <c r="W80" s="12" cm="1">
        <f t="array" ref="W80">IF($D80 &lt;&gt;0,ResultValue($C80,COLUMN(X80)-COLUMN($C80))/$D80,"")</f>
        <v>4105.6291422409313</v>
      </c>
      <c r="X80" s="12" cm="1">
        <f t="array" ref="X80">IF($D80 &lt;&gt;0,ResultValue($C80,COLUMN(Y80)-COLUMN($C80))/$D80,"")</f>
        <v>4072.6967980580289</v>
      </c>
      <c r="Y80" s="12" cm="1">
        <f t="array" ref="Y80">IF($D80 &lt;&gt;0,ResultValue($C80,COLUMN(Z81)-COLUMN($C80))/$D80,"")</f>
        <v>4040.3371902956987</v>
      </c>
    </row>
    <row r="81" spans="1:25" x14ac:dyDescent="0.25">
      <c r="A81" t="str">
        <v>Bortkøleanlæg udnyttelse</v>
      </c>
      <c r="B81" s="46"/>
      <c r="C81" s="40" t="str">
        <f t="shared" si="3"/>
        <v/>
      </c>
      <c r="D81" s="39">
        <f t="shared" si="4"/>
        <v>0</v>
      </c>
      <c r="E81" s="12" t="str" cm="1">
        <f t="array" ref="E81">IF($D81 &lt;&gt;0,ResultValue($C81,COLUMN(F81)-COLUMN($C81))/$D81,"")</f>
        <v/>
      </c>
      <c r="F81" s="12" t="str" cm="1">
        <f t="array" ref="F81">IF($D81 &lt;&gt;0,ResultValue($C81,COLUMN(G81)-COLUMN($C81))/$D81,"")</f>
        <v/>
      </c>
      <c r="G81" s="12" t="str" cm="1">
        <f t="array" ref="G81">IF($D81 &lt;&gt;0,ResultValue($C81,COLUMN(H81)-COLUMN($C81))/$D81,"")</f>
        <v/>
      </c>
      <c r="H81" s="12" t="str" cm="1">
        <f t="array" ref="H81">IF($D81 &lt;&gt;0,ResultValue($C81,COLUMN(I81)-COLUMN($C81))/$D81,"")</f>
        <v/>
      </c>
      <c r="I81" s="12" t="str" cm="1">
        <f t="array" ref="I81">IF($D81 &lt;&gt;0,ResultValue($C81,COLUMN(J81)-COLUMN($C81))/$D81,"")</f>
        <v/>
      </c>
      <c r="J81" s="12" t="str" cm="1">
        <f t="array" ref="J81">IF($D81 &lt;&gt;0,ResultValue($C81,COLUMN(K81)-COLUMN($C81))/$D81,"")</f>
        <v/>
      </c>
      <c r="K81" s="12" t="str" cm="1">
        <f t="array" ref="K81">IF($D81 &lt;&gt;0,ResultValue($C81,COLUMN(L81)-COLUMN($C81))/$D81,"")</f>
        <v/>
      </c>
      <c r="L81" s="12" t="str" cm="1">
        <f t="array" ref="L81">IF($D81 &lt;&gt;0,ResultValue($C81,COLUMN(M81)-COLUMN($C81))/$D81,"")</f>
        <v/>
      </c>
      <c r="M81" s="12" t="str" cm="1">
        <f t="array" ref="M81">IF($D81 &lt;&gt;0,ResultValue($C81,COLUMN(N81)-COLUMN($C81))/$D81,"")</f>
        <v/>
      </c>
      <c r="N81" s="12" t="str" cm="1">
        <f t="array" ref="N81">IF($D81 &lt;&gt;0,ResultValue($C81,COLUMN(O81)-COLUMN($C81))/$D81,"")</f>
        <v/>
      </c>
      <c r="O81" s="12" t="str" cm="1">
        <f t="array" ref="O81">IF($D81 &lt;&gt;0,ResultValue($C81,COLUMN(P81)-COLUMN($C81))/$D81,"")</f>
        <v/>
      </c>
      <c r="P81" s="12" t="str" cm="1">
        <f t="array" ref="P81">IF($D81 &lt;&gt;0,ResultValue($C81,COLUMN(Q81)-COLUMN($C81))/$D81,"")</f>
        <v/>
      </c>
      <c r="Q81" s="12" t="str" cm="1">
        <f t="array" ref="Q81">IF($D81 &lt;&gt;0,ResultValue($C81,COLUMN(R81)-COLUMN($C81))/$D81,"")</f>
        <v/>
      </c>
      <c r="R81" s="12" t="str" cm="1">
        <f t="array" ref="R81">IF($D81 &lt;&gt;0,ResultValue($C81,COLUMN(S81)-COLUMN($C81))/$D81,"")</f>
        <v/>
      </c>
      <c r="S81" s="12" t="str" cm="1">
        <f t="array" ref="S81">IF($D81 &lt;&gt;0,ResultValue($C81,COLUMN(T81)-COLUMN($C81))/$D81,"")</f>
        <v/>
      </c>
      <c r="T81" s="12" t="str" cm="1">
        <f t="array" ref="T81">IF($D81 &lt;&gt;0,ResultValue($C81,COLUMN(U81)-COLUMN($C81))/$D81,"")</f>
        <v/>
      </c>
      <c r="U81" s="12" t="str" cm="1">
        <f t="array" ref="U81">IF($D81 &lt;&gt;0,ResultValue($C81,COLUMN(V81)-COLUMN($C81))/$D81,"")</f>
        <v/>
      </c>
      <c r="V81" s="12" t="str" cm="1">
        <f t="array" ref="V81">IF($D81 &lt;&gt;0,ResultValue($C81,COLUMN(W81)-COLUMN($C81))/$D81,"")</f>
        <v/>
      </c>
      <c r="W81" s="12" t="str" cm="1">
        <f t="array" ref="W81">IF($D81 &lt;&gt;0,ResultValue($C81,COLUMN(X81)-COLUMN($C81))/$D81,"")</f>
        <v/>
      </c>
      <c r="X81" s="12" t="str" cm="1">
        <f t="array" ref="X81">IF($D81 &lt;&gt;0,ResultValue($C81,COLUMN(Y81)-COLUMN($C81))/$D81,"")</f>
        <v/>
      </c>
      <c r="Y81" s="12" t="str" cm="1">
        <f t="array" ref="Y81">IF($D81 &lt;&gt;0,ResultValue($C81,COLUMN(Z82)-COLUMN($C81))/$D81,"")</f>
        <v/>
      </c>
    </row>
    <row r="82" spans="1:25" x14ac:dyDescent="0.25">
      <c r="A82" s="48" t="str">
        <v>NS-varme udnyttelse</v>
      </c>
      <c r="B82" s="46"/>
      <c r="C82" s="40" t="str">
        <f t="shared" si="3"/>
        <v/>
      </c>
      <c r="D82" s="39">
        <f t="shared" si="4"/>
        <v>0</v>
      </c>
      <c r="E82" s="12" t="str" cm="1">
        <f t="array" ref="E82">IF($D82 &lt;&gt;0,ResultValue($C82,COLUMN(F82)-COLUMN($C82))/$D82,"")</f>
        <v/>
      </c>
      <c r="F82" s="12" t="str" cm="1">
        <f t="array" ref="F82">IF($D82 &lt;&gt;0,ResultValue($C82,COLUMN(G82)-COLUMN($C82))/$D82,"")</f>
        <v/>
      </c>
      <c r="G82" s="12" t="str" cm="1">
        <f t="array" ref="G82">IF($D82 &lt;&gt;0,ResultValue($C82,COLUMN(H82)-COLUMN($C82))/$D82,"")</f>
        <v/>
      </c>
      <c r="H82" s="12" t="str" cm="1">
        <f t="array" ref="H82">IF($D82 &lt;&gt;0,ResultValue($C82,COLUMN(I82)-COLUMN($C82))/$D82,"")</f>
        <v/>
      </c>
      <c r="I82" s="12" t="str" cm="1">
        <f t="array" ref="I82">IF($D82 &lt;&gt;0,ResultValue($C82,COLUMN(J82)-COLUMN($C82))/$D82,"")</f>
        <v/>
      </c>
      <c r="J82" s="12" t="str" cm="1">
        <f t="array" ref="J82">IF($D82 &lt;&gt;0,ResultValue($C82,COLUMN(K82)-COLUMN($C82))/$D82,"")</f>
        <v/>
      </c>
      <c r="K82" s="12" t="str" cm="1">
        <f t="array" ref="K82">IF($D82 &lt;&gt;0,ResultValue($C82,COLUMN(L82)-COLUMN($C82))/$D82,"")</f>
        <v/>
      </c>
      <c r="L82" s="12" t="str" cm="1">
        <f t="array" ref="L82">IF($D82 &lt;&gt;0,ResultValue($C82,COLUMN(M82)-COLUMN($C82))/$D82,"")</f>
        <v/>
      </c>
      <c r="M82" s="12" t="str" cm="1">
        <f t="array" ref="M82">IF($D82 &lt;&gt;0,ResultValue($C82,COLUMN(N82)-COLUMN($C82))/$D82,"")</f>
        <v/>
      </c>
      <c r="N82" s="12" t="str" cm="1">
        <f t="array" ref="N82">IF($D82 &lt;&gt;0,ResultValue($C82,COLUMN(O82)-COLUMN($C82))/$D82,"")</f>
        <v/>
      </c>
      <c r="O82" s="12" t="str" cm="1">
        <f t="array" ref="O82">IF($D82 &lt;&gt;0,ResultValue($C82,COLUMN(P82)-COLUMN($C82))/$D82,"")</f>
        <v/>
      </c>
      <c r="P82" s="12" t="str" cm="1">
        <f t="array" ref="P82">IF($D82 &lt;&gt;0,ResultValue($C82,COLUMN(Q82)-COLUMN($C82))/$D82,"")</f>
        <v/>
      </c>
      <c r="Q82" s="12" t="str" cm="1">
        <f t="array" ref="Q82">IF($D82 &lt;&gt;0,ResultValue($C82,COLUMN(R82)-COLUMN($C82))/$D82,"")</f>
        <v/>
      </c>
      <c r="R82" s="12" t="str" cm="1">
        <f t="array" ref="R82">IF($D82 &lt;&gt;0,ResultValue($C82,COLUMN(S82)-COLUMN($C82))/$D82,"")</f>
        <v/>
      </c>
      <c r="S82" s="12" t="str" cm="1">
        <f t="array" ref="S82">IF($D82 &lt;&gt;0,ResultValue($C82,COLUMN(T82)-COLUMN($C82))/$D82,"")</f>
        <v/>
      </c>
      <c r="T82" s="12" t="str" cm="1">
        <f t="array" ref="T82">IF($D82 &lt;&gt;0,ResultValue($C82,COLUMN(U82)-COLUMN($C82))/$D82,"")</f>
        <v/>
      </c>
      <c r="U82" s="12" t="str" cm="1">
        <f t="array" ref="U82">IF($D82 &lt;&gt;0,ResultValue($C82,COLUMN(V82)-COLUMN($C82))/$D82,"")</f>
        <v/>
      </c>
      <c r="V82" s="12" t="str" cm="1">
        <f t="array" ref="V82">IF($D82 &lt;&gt;0,ResultValue($C82,COLUMN(W82)-COLUMN($C82))/$D82,"")</f>
        <v/>
      </c>
      <c r="W82" s="12" t="str" cm="1">
        <f t="array" ref="W82">IF($D82 &lt;&gt;0,ResultValue($C82,COLUMN(X82)-COLUMN($C82))/$D82,"")</f>
        <v/>
      </c>
      <c r="X82" s="12" t="str" cm="1">
        <f t="array" ref="X82">IF($D82 &lt;&gt;0,ResultValue($C82,COLUMN(Y82)-COLUMN($C82))/$D82,"")</f>
        <v/>
      </c>
      <c r="Y82" s="12" t="str" cm="1">
        <f t="array" ref="Y82">IF($D82 &lt;&gt;0,ResultValue($C82,COLUMN(Z83)-COLUMN($C82))/$D82,"")</f>
        <v/>
      </c>
    </row>
    <row r="83" spans="1:25" x14ac:dyDescent="0.25">
      <c r="A83" s="48" t="str">
        <v>VPO affald</v>
      </c>
      <c r="B83" s="46"/>
      <c r="C83" s="40" t="str">
        <f t="shared" si="3"/>
        <v/>
      </c>
      <c r="D83" s="39">
        <f t="shared" si="4"/>
        <v>0</v>
      </c>
      <c r="E83" s="12" t="str" cm="1">
        <f t="array" ref="E83">IF($D83 &lt;&gt;0,ResultValue($C83,COLUMN(F83)-COLUMN($C83))/$D83,"")</f>
        <v/>
      </c>
      <c r="F83" s="12" t="str" cm="1">
        <f t="array" ref="F83">IF($D83 &lt;&gt;0,ResultValue($C83,COLUMN(G83)-COLUMN($C83))/$D83,"")</f>
        <v/>
      </c>
      <c r="G83" s="12" t="str" cm="1">
        <f t="array" ref="G83">IF($D83 &lt;&gt;0,ResultValue($C83,COLUMN(H83)-COLUMN($C83))/$D83,"")</f>
        <v/>
      </c>
      <c r="H83" s="12" t="str" cm="1">
        <f t="array" ref="H83">IF($D83 &lt;&gt;0,ResultValue($C83,COLUMN(I83)-COLUMN($C83))/$D83,"")</f>
        <v/>
      </c>
      <c r="I83" s="12" t="str" cm="1">
        <f t="array" ref="I83">IF($D83 &lt;&gt;0,ResultValue($C83,COLUMN(J83)-COLUMN($C83))/$D83,"")</f>
        <v/>
      </c>
      <c r="J83" s="12" t="str" cm="1">
        <f t="array" ref="J83">IF($D83 &lt;&gt;0,ResultValue($C83,COLUMN(K83)-COLUMN($C83))/$D83,"")</f>
        <v/>
      </c>
      <c r="K83" s="12" t="str" cm="1">
        <f t="array" ref="K83">IF($D83 &lt;&gt;0,ResultValue($C83,COLUMN(L83)-COLUMN($C83))/$D83,"")</f>
        <v/>
      </c>
      <c r="L83" s="12" t="str" cm="1">
        <f t="array" ref="L83">IF($D83 &lt;&gt;0,ResultValue($C83,COLUMN(M83)-COLUMN($C83))/$D83,"")</f>
        <v/>
      </c>
      <c r="M83" s="12" t="str" cm="1">
        <f t="array" ref="M83">IF($D83 &lt;&gt;0,ResultValue($C83,COLUMN(N83)-COLUMN($C83))/$D83,"")</f>
        <v/>
      </c>
      <c r="N83" s="12" t="str" cm="1">
        <f t="array" ref="N83">IF($D83 &lt;&gt;0,ResultValue($C83,COLUMN(O83)-COLUMN($C83))/$D83,"")</f>
        <v/>
      </c>
      <c r="O83" s="12" t="str" cm="1">
        <f t="array" ref="O83">IF($D83 &lt;&gt;0,ResultValue($C83,COLUMN(P83)-COLUMN($C83))/$D83,"")</f>
        <v/>
      </c>
      <c r="P83" s="12" t="str" cm="1">
        <f t="array" ref="P83">IF($D83 &lt;&gt;0,ResultValue($C83,COLUMN(Q83)-COLUMN($C83))/$D83,"")</f>
        <v/>
      </c>
      <c r="Q83" s="12" t="str" cm="1">
        <f t="array" ref="Q83">IF($D83 &lt;&gt;0,ResultValue($C83,COLUMN(R83)-COLUMN($C83))/$D83,"")</f>
        <v/>
      </c>
      <c r="R83" s="12" t="str" cm="1">
        <f t="array" ref="R83">IF($D83 &lt;&gt;0,ResultValue($C83,COLUMN(S83)-COLUMN($C83))/$D83,"")</f>
        <v/>
      </c>
      <c r="S83" s="12" t="str" cm="1">
        <f t="array" ref="S83">IF($D83 &lt;&gt;0,ResultValue($C83,COLUMN(T83)-COLUMN($C83))/$D83,"")</f>
        <v/>
      </c>
      <c r="T83" s="12" t="str" cm="1">
        <f t="array" ref="T83">IF($D83 &lt;&gt;0,ResultValue($C83,COLUMN(U83)-COLUMN($C83))/$D83,"")</f>
        <v/>
      </c>
      <c r="U83" s="12" t="str" cm="1">
        <f t="array" ref="U83">IF($D83 &lt;&gt;0,ResultValue($C83,COLUMN(V83)-COLUMN($C83))/$D83,"")</f>
        <v/>
      </c>
      <c r="V83" s="12" t="str" cm="1">
        <f t="array" ref="V83">IF($D83 &lt;&gt;0,ResultValue($C83,COLUMN(W83)-COLUMN($C83))/$D83,"")</f>
        <v/>
      </c>
      <c r="W83" s="12" t="str" cm="1">
        <f t="array" ref="W83">IF($D83 &lt;&gt;0,ResultValue($C83,COLUMN(X83)-COLUMN($C83))/$D83,"")</f>
        <v/>
      </c>
      <c r="X83" s="12" t="str" cm="1">
        <f t="array" ref="X83">IF($D83 &lt;&gt;0,ResultValue($C83,COLUMN(Y83)-COLUMN($C83))/$D83,"")</f>
        <v/>
      </c>
      <c r="Y83" s="12" t="str" cm="1">
        <f t="array" ref="Y83">IF($D83 &lt;&gt;0,ResultValue($C83,COLUMN(Z84)-COLUMN($C83))/$D83,"")</f>
        <v/>
      </c>
    </row>
    <row r="84" spans="1:25" x14ac:dyDescent="0.25">
      <c r="A84" s="46"/>
      <c r="B84" s="46"/>
      <c r="C84" s="40" t="str">
        <f t="shared" si="3"/>
        <v/>
      </c>
      <c r="D84" s="39">
        <f t="shared" si="4"/>
        <v>0</v>
      </c>
      <c r="E84" s="12" t="str" cm="1">
        <f t="array" ref="E84">IF($D84 &lt;&gt;0,ResultValue($C84,COLUMN(F84)-COLUMN($C84))/$D84,"")</f>
        <v/>
      </c>
      <c r="F84" s="12" t="str" cm="1">
        <f t="array" ref="F84">IF($D84 &lt;&gt;0,ResultValue($C84,COLUMN(G84)-COLUMN($C84))/$D84,"")</f>
        <v/>
      </c>
      <c r="G84" s="12" t="str" cm="1">
        <f t="array" ref="G84">IF($D84 &lt;&gt;0,ResultValue($C84,COLUMN(H84)-COLUMN($C84))/$D84,"")</f>
        <v/>
      </c>
      <c r="H84" s="12" t="str" cm="1">
        <f t="array" ref="H84">IF($D84 &lt;&gt;0,ResultValue($C84,COLUMN(I84)-COLUMN($C84))/$D84,"")</f>
        <v/>
      </c>
      <c r="I84" s="12" t="str" cm="1">
        <f t="array" ref="I84">IF($D84 &lt;&gt;0,ResultValue($C84,COLUMN(J84)-COLUMN($C84))/$D84,"")</f>
        <v/>
      </c>
      <c r="J84" s="12" t="str" cm="1">
        <f t="array" ref="J84">IF($D84 &lt;&gt;0,ResultValue($C84,COLUMN(K84)-COLUMN($C84))/$D84,"")</f>
        <v/>
      </c>
      <c r="K84" s="12" t="str" cm="1">
        <f t="array" ref="K84">IF($D84 &lt;&gt;0,ResultValue($C84,COLUMN(L84)-COLUMN($C84))/$D84,"")</f>
        <v/>
      </c>
      <c r="L84" s="12" t="str" cm="1">
        <f t="array" ref="L84">IF($D84 &lt;&gt;0,ResultValue($C84,COLUMN(M84)-COLUMN($C84))/$D84,"")</f>
        <v/>
      </c>
      <c r="M84" s="12" t="str" cm="1">
        <f t="array" ref="M84">IF($D84 &lt;&gt;0,ResultValue($C84,COLUMN(N84)-COLUMN($C84))/$D84,"")</f>
        <v/>
      </c>
      <c r="N84" s="12" t="str" cm="1">
        <f t="array" ref="N84">IF($D84 &lt;&gt;0,ResultValue($C84,COLUMN(O84)-COLUMN($C84))/$D84,"")</f>
        <v/>
      </c>
      <c r="O84" s="12" t="str" cm="1">
        <f t="array" ref="O84">IF($D84 &lt;&gt;0,ResultValue($C84,COLUMN(P84)-COLUMN($C84))/$D84,"")</f>
        <v/>
      </c>
      <c r="P84" s="12" t="str" cm="1">
        <f t="array" ref="P84">IF($D84 &lt;&gt;0,ResultValue($C84,COLUMN(Q84)-COLUMN($C84))/$D84,"")</f>
        <v/>
      </c>
      <c r="Q84" s="12" t="str" cm="1">
        <f t="array" ref="Q84">IF($D84 &lt;&gt;0,ResultValue($C84,COLUMN(R84)-COLUMN($C84))/$D84,"")</f>
        <v/>
      </c>
      <c r="R84" s="12" t="str" cm="1">
        <f t="array" ref="R84">IF($D84 &lt;&gt;0,ResultValue($C84,COLUMN(S84)-COLUMN($C84))/$D84,"")</f>
        <v/>
      </c>
      <c r="S84" s="12" t="str" cm="1">
        <f t="array" ref="S84">IF($D84 &lt;&gt;0,ResultValue($C84,COLUMN(T84)-COLUMN($C84))/$D84,"")</f>
        <v/>
      </c>
      <c r="T84" s="12" t="str" cm="1">
        <f t="array" ref="T84">IF($D84 &lt;&gt;0,ResultValue($C84,COLUMN(U84)-COLUMN($C84))/$D84,"")</f>
        <v/>
      </c>
      <c r="U84" s="12" t="str" cm="1">
        <f t="array" ref="U84">IF($D84 &lt;&gt;0,ResultValue($C84,COLUMN(V84)-COLUMN($C84))/$D84,"")</f>
        <v/>
      </c>
      <c r="V84" s="12" t="str" cm="1">
        <f t="array" ref="V84">IF($D84 &lt;&gt;0,ResultValue($C84,COLUMN(W84)-COLUMN($C84))/$D84,"")</f>
        <v/>
      </c>
      <c r="W84" s="12" t="str" cm="1">
        <f t="array" ref="W84">IF($D84 &lt;&gt;0,ResultValue($C84,COLUMN(X84)-COLUMN($C84))/$D84,"")</f>
        <v/>
      </c>
      <c r="X84" s="12" t="str" cm="1">
        <f t="array" ref="X84">IF($D84 &lt;&gt;0,ResultValue($C84,COLUMN(Y84)-COLUMN($C84))/$D84,"")</f>
        <v/>
      </c>
      <c r="Y84" s="12" t="str" cm="1">
        <f t="array" ref="Y84">IF($D84 &lt;&gt;0,ResultValue($C84,COLUMN(Z85)-COLUMN($C84))/$D84,"")</f>
        <v/>
      </c>
    </row>
    <row r="85" spans="1:25" x14ac:dyDescent="0.25">
      <c r="A85" s="46"/>
      <c r="B85" s="46"/>
      <c r="C85" s="40" t="str">
        <f t="shared" si="3"/>
        <v/>
      </c>
      <c r="D85" s="39">
        <f t="shared" si="4"/>
        <v>0</v>
      </c>
      <c r="E85" s="12" t="str" cm="1">
        <f t="array" ref="E85">IF($D85 &lt;&gt;0,ResultValue($C85,COLUMN(F85)-COLUMN($C85))/$D85,"")</f>
        <v/>
      </c>
      <c r="F85" s="12" t="str" cm="1">
        <f t="array" ref="F85">IF($D85 &lt;&gt;0,ResultValue($C85,COLUMN(G85)-COLUMN($C85))/$D85,"")</f>
        <v/>
      </c>
      <c r="G85" s="12" t="str" cm="1">
        <f t="array" ref="G85">IF($D85 &lt;&gt;0,ResultValue($C85,COLUMN(H85)-COLUMN($C85))/$D85,"")</f>
        <v/>
      </c>
      <c r="H85" s="12" t="str" cm="1">
        <f t="array" ref="H85">IF($D85 &lt;&gt;0,ResultValue($C85,COLUMN(I85)-COLUMN($C85))/$D85,"")</f>
        <v/>
      </c>
      <c r="I85" s="12" t="str" cm="1">
        <f t="array" ref="I85">IF($D85 &lt;&gt;0,ResultValue($C85,COLUMN(J85)-COLUMN($C85))/$D85,"")</f>
        <v/>
      </c>
      <c r="J85" s="12" t="str" cm="1">
        <f t="array" ref="J85">IF($D85 &lt;&gt;0,ResultValue($C85,COLUMN(K85)-COLUMN($C85))/$D85,"")</f>
        <v/>
      </c>
      <c r="K85" s="12" t="str" cm="1">
        <f t="array" ref="K85">IF($D85 &lt;&gt;0,ResultValue($C85,COLUMN(L85)-COLUMN($C85))/$D85,"")</f>
        <v/>
      </c>
      <c r="L85" s="12" t="str" cm="1">
        <f t="array" ref="L85">IF($D85 &lt;&gt;0,ResultValue($C85,COLUMN(M85)-COLUMN($C85))/$D85,"")</f>
        <v/>
      </c>
      <c r="M85" s="12" t="str" cm="1">
        <f t="array" ref="M85">IF($D85 &lt;&gt;0,ResultValue($C85,COLUMN(N85)-COLUMN($C85))/$D85,"")</f>
        <v/>
      </c>
      <c r="N85" s="12" t="str" cm="1">
        <f t="array" ref="N85">IF($D85 &lt;&gt;0,ResultValue($C85,COLUMN(O85)-COLUMN($C85))/$D85,"")</f>
        <v/>
      </c>
      <c r="O85" s="12" t="str" cm="1">
        <f t="array" ref="O85">IF($D85 &lt;&gt;0,ResultValue($C85,COLUMN(P85)-COLUMN($C85))/$D85,"")</f>
        <v/>
      </c>
      <c r="P85" s="12" t="str" cm="1">
        <f t="array" ref="P85">IF($D85 &lt;&gt;0,ResultValue($C85,COLUMN(Q85)-COLUMN($C85))/$D85,"")</f>
        <v/>
      </c>
      <c r="Q85" s="12" t="str" cm="1">
        <f t="array" ref="Q85">IF($D85 &lt;&gt;0,ResultValue($C85,COLUMN(R85)-COLUMN($C85))/$D85,"")</f>
        <v/>
      </c>
      <c r="R85" s="12" t="str" cm="1">
        <f t="array" ref="R85">IF($D85 &lt;&gt;0,ResultValue($C85,COLUMN(S85)-COLUMN($C85))/$D85,"")</f>
        <v/>
      </c>
      <c r="S85" s="12" t="str" cm="1">
        <f t="array" ref="S85">IF($D85 &lt;&gt;0,ResultValue($C85,COLUMN(T85)-COLUMN($C85))/$D85,"")</f>
        <v/>
      </c>
      <c r="T85" s="12" t="str" cm="1">
        <f t="array" ref="T85">IF($D85 &lt;&gt;0,ResultValue($C85,COLUMN(U85)-COLUMN($C85))/$D85,"")</f>
        <v/>
      </c>
      <c r="U85" s="12" t="str" cm="1">
        <f t="array" ref="U85">IF($D85 &lt;&gt;0,ResultValue($C85,COLUMN(V85)-COLUMN($C85))/$D85,"")</f>
        <v/>
      </c>
      <c r="V85" s="12" t="str" cm="1">
        <f t="array" ref="V85">IF($D85 &lt;&gt;0,ResultValue($C85,COLUMN(W85)-COLUMN($C85))/$D85,"")</f>
        <v/>
      </c>
      <c r="W85" s="12" t="str" cm="1">
        <f t="array" ref="W85">IF($D85 &lt;&gt;0,ResultValue($C85,COLUMN(X85)-COLUMN($C85))/$D85,"")</f>
        <v/>
      </c>
      <c r="X85" s="12" t="str" cm="1">
        <f t="array" ref="X85">IF($D85 &lt;&gt;0,ResultValue($C85,COLUMN(Y85)-COLUMN($C85))/$D85,"")</f>
        <v/>
      </c>
      <c r="Y85" s="12" t="str" cm="1">
        <f t="array" ref="Y85">IF($D85 &lt;&gt;0,ResultValue($C85,COLUMN(Z86)-COLUMN($C85))/$D85,"")</f>
        <v/>
      </c>
    </row>
    <row r="86" spans="1:25" x14ac:dyDescent="0.25">
      <c r="A86" s="46"/>
      <c r="B86" s="46"/>
      <c r="C86" s="40" t="str">
        <f t="shared" si="3"/>
        <v/>
      </c>
      <c r="D86" s="39">
        <f t="shared" si="4"/>
        <v>0</v>
      </c>
      <c r="E86" s="12" t="str" cm="1">
        <f t="array" ref="E86">IF($D86 &lt;&gt;0,ResultValue($C86,COLUMN(F86)-COLUMN($C86))/$D86,"")</f>
        <v/>
      </c>
      <c r="F86" s="12" t="str" cm="1">
        <f t="array" ref="F86">IF($D86 &lt;&gt;0,ResultValue($C86,COLUMN(G86)-COLUMN($C86))/$D86,"")</f>
        <v/>
      </c>
      <c r="G86" s="12" t="str" cm="1">
        <f t="array" ref="G86">IF($D86 &lt;&gt;0,ResultValue($C86,COLUMN(H86)-COLUMN($C86))/$D86,"")</f>
        <v/>
      </c>
      <c r="H86" s="12" t="str" cm="1">
        <f t="array" ref="H86">IF($D86 &lt;&gt;0,ResultValue($C86,COLUMN(I86)-COLUMN($C86))/$D86,"")</f>
        <v/>
      </c>
      <c r="I86" s="12" t="str" cm="1">
        <f t="array" ref="I86">IF($D86 &lt;&gt;0,ResultValue($C86,COLUMN(J86)-COLUMN($C86))/$D86,"")</f>
        <v/>
      </c>
      <c r="J86" s="12" t="str" cm="1">
        <f t="array" ref="J86">IF($D86 &lt;&gt;0,ResultValue($C86,COLUMN(K86)-COLUMN($C86))/$D86,"")</f>
        <v/>
      </c>
      <c r="K86" s="12" t="str" cm="1">
        <f t="array" ref="K86">IF($D86 &lt;&gt;0,ResultValue($C86,COLUMN(L86)-COLUMN($C86))/$D86,"")</f>
        <v/>
      </c>
      <c r="L86" s="12" t="str" cm="1">
        <f t="array" ref="L86">IF($D86 &lt;&gt;0,ResultValue($C86,COLUMN(M86)-COLUMN($C86))/$D86,"")</f>
        <v/>
      </c>
      <c r="M86" s="12" t="str" cm="1">
        <f t="array" ref="M86">IF($D86 &lt;&gt;0,ResultValue($C86,COLUMN(N86)-COLUMN($C86))/$D86,"")</f>
        <v/>
      </c>
      <c r="N86" s="12" t="str" cm="1">
        <f t="array" ref="N86">IF($D86 &lt;&gt;0,ResultValue($C86,COLUMN(O86)-COLUMN($C86))/$D86,"")</f>
        <v/>
      </c>
      <c r="O86" s="12" t="str" cm="1">
        <f t="array" ref="O86">IF($D86 &lt;&gt;0,ResultValue($C86,COLUMN(P86)-COLUMN($C86))/$D86,"")</f>
        <v/>
      </c>
      <c r="P86" s="12" t="str" cm="1">
        <f t="array" ref="P86">IF($D86 &lt;&gt;0,ResultValue($C86,COLUMN(Q86)-COLUMN($C86))/$D86,"")</f>
        <v/>
      </c>
      <c r="Q86" s="12" t="str" cm="1">
        <f t="array" ref="Q86">IF($D86 &lt;&gt;0,ResultValue($C86,COLUMN(R86)-COLUMN($C86))/$D86,"")</f>
        <v/>
      </c>
      <c r="R86" s="12" t="str" cm="1">
        <f t="array" ref="R86">IF($D86 &lt;&gt;0,ResultValue($C86,COLUMN(S86)-COLUMN($C86))/$D86,"")</f>
        <v/>
      </c>
      <c r="S86" s="12" t="str" cm="1">
        <f t="array" ref="S86">IF($D86 &lt;&gt;0,ResultValue($C86,COLUMN(T86)-COLUMN($C86))/$D86,"")</f>
        <v/>
      </c>
      <c r="T86" s="12" t="str" cm="1">
        <f t="array" ref="T86">IF($D86 &lt;&gt;0,ResultValue($C86,COLUMN(U86)-COLUMN($C86))/$D86,"")</f>
        <v/>
      </c>
      <c r="U86" s="12" t="str" cm="1">
        <f t="array" ref="U86">IF($D86 &lt;&gt;0,ResultValue($C86,COLUMN(V86)-COLUMN($C86))/$D86,"")</f>
        <v/>
      </c>
      <c r="V86" s="12" t="str" cm="1">
        <f t="array" ref="V86">IF($D86 &lt;&gt;0,ResultValue($C86,COLUMN(W86)-COLUMN($C86))/$D86,"")</f>
        <v/>
      </c>
      <c r="W86" s="12" t="str" cm="1">
        <f t="array" ref="W86">IF($D86 &lt;&gt;0,ResultValue($C86,COLUMN(X86)-COLUMN($C86))/$D86,"")</f>
        <v/>
      </c>
      <c r="X86" s="12" t="str" cm="1">
        <f t="array" ref="X86">IF($D86 &lt;&gt;0,ResultValue($C86,COLUMN(Y86)-COLUMN($C86))/$D86,"")</f>
        <v/>
      </c>
      <c r="Y86" s="12" t="str" cm="1">
        <f t="array" ref="Y86">IF($D86 &lt;&gt;0,ResultValue($C86,COLUMN(Z87)-COLUMN($C86))/$D86,"")</f>
        <v/>
      </c>
    </row>
    <row r="87" spans="1:25" x14ac:dyDescent="0.25">
      <c r="A87" s="46"/>
      <c r="B87" s="46"/>
      <c r="C87" s="40" t="str">
        <f t="shared" si="3"/>
        <v/>
      </c>
      <c r="D87" s="39">
        <f t="shared" si="4"/>
        <v>0</v>
      </c>
      <c r="E87" s="12" t="str" cm="1">
        <f t="array" ref="E87">IF($D87 &lt;&gt;0,ResultValue($C87,COLUMN(F87)-COLUMN($C87))/$D87,"")</f>
        <v/>
      </c>
      <c r="F87" s="12" t="str" cm="1">
        <f t="array" ref="F87">IF($D87 &lt;&gt;0,ResultValue($C87,COLUMN(G87)-COLUMN($C87))/$D87,"")</f>
        <v/>
      </c>
      <c r="G87" s="12" t="str" cm="1">
        <f t="array" ref="G87">IF($D87 &lt;&gt;0,ResultValue($C87,COLUMN(H87)-COLUMN($C87))/$D87,"")</f>
        <v/>
      </c>
      <c r="H87" s="12" t="str" cm="1">
        <f t="array" ref="H87">IF($D87 &lt;&gt;0,ResultValue($C87,COLUMN(I87)-COLUMN($C87))/$D87,"")</f>
        <v/>
      </c>
      <c r="I87" s="12" t="str" cm="1">
        <f t="array" ref="I87">IF($D87 &lt;&gt;0,ResultValue($C87,COLUMN(J87)-COLUMN($C87))/$D87,"")</f>
        <v/>
      </c>
      <c r="J87" s="12" t="str" cm="1">
        <f t="array" ref="J87">IF($D87 &lt;&gt;0,ResultValue($C87,COLUMN(K87)-COLUMN($C87))/$D87,"")</f>
        <v/>
      </c>
      <c r="K87" s="12" t="str" cm="1">
        <f t="array" ref="K87">IF($D87 &lt;&gt;0,ResultValue($C87,COLUMN(L87)-COLUMN($C87))/$D87,"")</f>
        <v/>
      </c>
      <c r="L87" s="12" t="str" cm="1">
        <f t="array" ref="L87">IF($D87 &lt;&gt;0,ResultValue($C87,COLUMN(M87)-COLUMN($C87))/$D87,"")</f>
        <v/>
      </c>
      <c r="M87" s="12" t="str" cm="1">
        <f t="array" ref="M87">IF($D87 &lt;&gt;0,ResultValue($C87,COLUMN(N87)-COLUMN($C87))/$D87,"")</f>
        <v/>
      </c>
      <c r="N87" s="12" t="str" cm="1">
        <f t="array" ref="N87">IF($D87 &lt;&gt;0,ResultValue($C87,COLUMN(O87)-COLUMN($C87))/$D87,"")</f>
        <v/>
      </c>
      <c r="O87" s="12" t="str" cm="1">
        <f t="array" ref="O87">IF($D87 &lt;&gt;0,ResultValue($C87,COLUMN(P87)-COLUMN($C87))/$D87,"")</f>
        <v/>
      </c>
      <c r="P87" s="12" t="str" cm="1">
        <f t="array" ref="P87">IF($D87 &lt;&gt;0,ResultValue($C87,COLUMN(Q87)-COLUMN($C87))/$D87,"")</f>
        <v/>
      </c>
      <c r="Q87" s="12" t="str" cm="1">
        <f t="array" ref="Q87">IF($D87 &lt;&gt;0,ResultValue($C87,COLUMN(R87)-COLUMN($C87))/$D87,"")</f>
        <v/>
      </c>
      <c r="R87" s="12" t="str" cm="1">
        <f t="array" ref="R87">IF($D87 &lt;&gt;0,ResultValue($C87,COLUMN(S87)-COLUMN($C87))/$D87,"")</f>
        <v/>
      </c>
      <c r="S87" s="12" t="str" cm="1">
        <f t="array" ref="S87">IF($D87 &lt;&gt;0,ResultValue($C87,COLUMN(T87)-COLUMN($C87))/$D87,"")</f>
        <v/>
      </c>
      <c r="T87" s="12" t="str" cm="1">
        <f t="array" ref="T87">IF($D87 &lt;&gt;0,ResultValue($C87,COLUMN(U87)-COLUMN($C87))/$D87,"")</f>
        <v/>
      </c>
      <c r="U87" s="12" t="str" cm="1">
        <f t="array" ref="U87">IF($D87 &lt;&gt;0,ResultValue($C87,COLUMN(V87)-COLUMN($C87))/$D87,"")</f>
        <v/>
      </c>
      <c r="V87" s="12" t="str" cm="1">
        <f t="array" ref="V87">IF($D87 &lt;&gt;0,ResultValue($C87,COLUMN(W87)-COLUMN($C87))/$D87,"")</f>
        <v/>
      </c>
      <c r="W87" s="12" t="str" cm="1">
        <f t="array" ref="W87">IF($D87 &lt;&gt;0,ResultValue($C87,COLUMN(X87)-COLUMN($C87))/$D87,"")</f>
        <v/>
      </c>
      <c r="X87" s="12" t="str" cm="1">
        <f t="array" ref="X87">IF($D87 &lt;&gt;0,ResultValue($C87,COLUMN(Y87)-COLUMN($C87))/$D87,"")</f>
        <v/>
      </c>
      <c r="Y87" s="12" t="str" cm="1">
        <f t="array" ref="Y87">IF($D87 &lt;&gt;0,ResultValue($C87,COLUMN(Z88)-COLUMN($C87))/$D87,"")</f>
        <v/>
      </c>
    </row>
    <row r="88" spans="1:25" x14ac:dyDescent="0.25">
      <c r="A88" s="46"/>
      <c r="B88" s="46"/>
      <c r="C88" s="40" t="str">
        <f t="shared" si="3"/>
        <v/>
      </c>
      <c r="D88" s="39">
        <f t="shared" si="4"/>
        <v>0</v>
      </c>
      <c r="E88" s="12" t="str" cm="1">
        <f t="array" ref="E88">IF($D88 &lt;&gt;0,ResultValue($C88,COLUMN(F88)-COLUMN($C88))/$D88,"")</f>
        <v/>
      </c>
      <c r="F88" s="12" t="str" cm="1">
        <f t="array" ref="F88">IF($D88 &lt;&gt;0,ResultValue($C88,COLUMN(G88)-COLUMN($C88))/$D88,"")</f>
        <v/>
      </c>
      <c r="G88" s="12" t="str" cm="1">
        <f t="array" ref="G88">IF($D88 &lt;&gt;0,ResultValue($C88,COLUMN(H88)-COLUMN($C88))/$D88,"")</f>
        <v/>
      </c>
      <c r="H88" s="12" t="str" cm="1">
        <f t="array" ref="H88">IF($D88 &lt;&gt;0,ResultValue($C88,COLUMN(I88)-COLUMN($C88))/$D88,"")</f>
        <v/>
      </c>
      <c r="I88" s="12" t="str" cm="1">
        <f t="array" ref="I88">IF($D88 &lt;&gt;0,ResultValue($C88,COLUMN(J88)-COLUMN($C88))/$D88,"")</f>
        <v/>
      </c>
      <c r="J88" s="12" t="str" cm="1">
        <f t="array" ref="J88">IF($D88 &lt;&gt;0,ResultValue($C88,COLUMN(K88)-COLUMN($C88))/$D88,"")</f>
        <v/>
      </c>
      <c r="K88" s="12" t="str" cm="1">
        <f t="array" ref="K88">IF($D88 &lt;&gt;0,ResultValue($C88,COLUMN(L88)-COLUMN($C88))/$D88,"")</f>
        <v/>
      </c>
      <c r="L88" s="12" t="str" cm="1">
        <f t="array" ref="L88">IF($D88 &lt;&gt;0,ResultValue($C88,COLUMN(M88)-COLUMN($C88))/$D88,"")</f>
        <v/>
      </c>
      <c r="M88" s="12" t="str" cm="1">
        <f t="array" ref="M88">IF($D88 &lt;&gt;0,ResultValue($C88,COLUMN(N88)-COLUMN($C88))/$D88,"")</f>
        <v/>
      </c>
      <c r="N88" s="12" t="str" cm="1">
        <f t="array" ref="N88">IF($D88 &lt;&gt;0,ResultValue($C88,COLUMN(O88)-COLUMN($C88))/$D88,"")</f>
        <v/>
      </c>
      <c r="O88" s="12" t="str" cm="1">
        <f t="array" ref="O88">IF($D88 &lt;&gt;0,ResultValue($C88,COLUMN(P88)-COLUMN($C88))/$D88,"")</f>
        <v/>
      </c>
      <c r="P88" s="12" t="str" cm="1">
        <f t="array" ref="P88">IF($D88 &lt;&gt;0,ResultValue($C88,COLUMN(Q88)-COLUMN($C88))/$D88,"")</f>
        <v/>
      </c>
      <c r="Q88" s="12" t="str" cm="1">
        <f t="array" ref="Q88">IF($D88 &lt;&gt;0,ResultValue($C88,COLUMN(R88)-COLUMN($C88))/$D88,"")</f>
        <v/>
      </c>
      <c r="R88" s="12" t="str" cm="1">
        <f t="array" ref="R88">IF($D88 &lt;&gt;0,ResultValue($C88,COLUMN(S88)-COLUMN($C88))/$D88,"")</f>
        <v/>
      </c>
      <c r="S88" s="12" t="str" cm="1">
        <f t="array" ref="S88">IF($D88 &lt;&gt;0,ResultValue($C88,COLUMN(T88)-COLUMN($C88))/$D88,"")</f>
        <v/>
      </c>
      <c r="T88" s="12" t="str" cm="1">
        <f t="array" ref="T88">IF($D88 &lt;&gt;0,ResultValue($C88,COLUMN(U88)-COLUMN($C88))/$D88,"")</f>
        <v/>
      </c>
      <c r="U88" s="12" t="str" cm="1">
        <f t="array" ref="U88">IF($D88 &lt;&gt;0,ResultValue($C88,COLUMN(V88)-COLUMN($C88))/$D88,"")</f>
        <v/>
      </c>
      <c r="V88" s="12" t="str" cm="1">
        <f t="array" ref="V88">IF($D88 &lt;&gt;0,ResultValue($C88,COLUMN(W88)-COLUMN($C88))/$D88,"")</f>
        <v/>
      </c>
      <c r="W88" s="12" t="str" cm="1">
        <f t="array" ref="W88">IF($D88 &lt;&gt;0,ResultValue($C88,COLUMN(X88)-COLUMN($C88))/$D88,"")</f>
        <v/>
      </c>
      <c r="X88" s="12" t="str" cm="1">
        <f t="array" ref="X88">IF($D88 &lt;&gt;0,ResultValue($C88,COLUMN(Y88)-COLUMN($C88))/$D88,"")</f>
        <v/>
      </c>
      <c r="Y88" s="12" t="str" cm="1">
        <f t="array" ref="Y88">IF($D88 &lt;&gt;0,ResultValue($C88,COLUMN(Z89)-COLUMN($C88))/$D88,"")</f>
        <v/>
      </c>
    </row>
    <row r="89" spans="1:25" x14ac:dyDescent="0.25">
      <c r="A89" s="46"/>
      <c r="B89" s="46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</row>
    <row r="90" spans="1:25" x14ac:dyDescent="0.25">
      <c r="A90" s="46"/>
      <c r="B90" s="46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</row>
    <row r="91" spans="1:25" x14ac:dyDescent="0.25">
      <c r="A91" s="46"/>
      <c r="B91" s="46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</row>
    <row r="92" spans="1:25" x14ac:dyDescent="0.25">
      <c r="A92" s="46"/>
      <c r="B92" s="46"/>
    </row>
    <row r="93" spans="1:25" x14ac:dyDescent="0.25">
      <c r="C93" s="10" t="s">
        <v>229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C94" s="3" t="str">
        <f>'Model-1'!N48</f>
        <v>Økonomi:</v>
      </c>
      <c r="D94" s="8" t="str">
        <f>'Model-1'!O48</f>
        <v>Enhed</v>
      </c>
      <c r="E94" s="15" t="str">
        <f t="shared" ref="E94:Y94" si="5">E6</f>
        <v>Nominelt</v>
      </c>
      <c r="F94" s="15" t="str">
        <f t="shared" si="5"/>
        <v>sc1</v>
      </c>
      <c r="G94" s="15" t="str">
        <f t="shared" si="5"/>
        <v>sc2</v>
      </c>
      <c r="H94" s="15" t="str">
        <f t="shared" si="5"/>
        <v>sc3</v>
      </c>
      <c r="I94" s="15" t="str">
        <f t="shared" si="5"/>
        <v>sc4</v>
      </c>
      <c r="J94" s="15" t="str">
        <f t="shared" si="5"/>
        <v>sc5</v>
      </c>
      <c r="K94" s="15" t="str">
        <f t="shared" si="5"/>
        <v>sc6</v>
      </c>
      <c r="L94" s="15" t="str">
        <f t="shared" si="5"/>
        <v>sc7</v>
      </c>
      <c r="M94" s="15" t="str">
        <f t="shared" si="5"/>
        <v>sc8</v>
      </c>
      <c r="N94" s="15" t="str">
        <f t="shared" si="5"/>
        <v>sc9</v>
      </c>
      <c r="O94" s="15" t="str">
        <f t="shared" si="5"/>
        <v>sc10</v>
      </c>
      <c r="P94" s="15" t="str">
        <f t="shared" si="5"/>
        <v>sc11</v>
      </c>
      <c r="Q94" s="15" t="str">
        <f t="shared" si="5"/>
        <v>sc12</v>
      </c>
      <c r="R94" s="15" t="str">
        <f t="shared" si="5"/>
        <v>sc13</v>
      </c>
      <c r="S94" s="15" t="str">
        <f t="shared" si="5"/>
        <v>sc14</v>
      </c>
      <c r="T94" s="15" t="str">
        <f t="shared" si="5"/>
        <v>sc15</v>
      </c>
      <c r="U94" s="15" t="str">
        <f t="shared" si="5"/>
        <v>sc16</v>
      </c>
      <c r="V94" s="15" t="str">
        <f t="shared" si="5"/>
        <v>sc17</v>
      </c>
      <c r="W94" s="15" t="str">
        <f t="shared" si="5"/>
        <v>sc18</v>
      </c>
      <c r="X94" s="15" t="str">
        <f t="shared" si="5"/>
        <v>sc19</v>
      </c>
      <c r="Y94" s="15" t="str">
        <f t="shared" si="5"/>
        <v>sc20</v>
      </c>
    </row>
    <row r="95" spans="1:25" x14ac:dyDescent="0.25">
      <c r="C95" s="14" t="str">
        <f>'Model-1'!N49</f>
        <v>Indtægter total</v>
      </c>
      <c r="D95" s="14" t="str">
        <f>_xlfn.LET(_xlpm.label,'Model-1'!O49,IF(ISBLANK(_xlpm.label),"",_xlpm.label))</f>
        <v>tkr</v>
      </c>
      <c r="E95" s="18">
        <v>15652263.443326186</v>
      </c>
      <c r="F95" s="18">
        <v>16181783.291652784</v>
      </c>
      <c r="G95" s="18">
        <v>16136225.467580173</v>
      </c>
      <c r="H95" s="18">
        <v>16091597.39501925</v>
      </c>
      <c r="I95" s="18">
        <v>16047870.899681777</v>
      </c>
      <c r="J95" s="18">
        <v>16005018.934251055</v>
      </c>
      <c r="K95" s="18">
        <v>15963015.522591241</v>
      </c>
      <c r="L95" s="18">
        <v>15921835.707238479</v>
      </c>
      <c r="M95" s="18">
        <v>16082049.301761795</v>
      </c>
      <c r="N95" s="18">
        <v>16042445.636921976</v>
      </c>
      <c r="O95" s="18">
        <v>16003596.327602914</v>
      </c>
      <c r="P95" s="18">
        <v>15965480.024120061</v>
      </c>
      <c r="Q95" s="18">
        <v>15928076.174907915</v>
      </c>
      <c r="R95" s="18">
        <v>15891364.98957007</v>
      </c>
      <c r="S95" s="18">
        <v>15855327.403963193</v>
      </c>
      <c r="T95" s="18">
        <v>15819945.047185535</v>
      </c>
      <c r="U95" s="18">
        <v>15785200.210349813</v>
      </c>
      <c r="V95" s="18">
        <v>15751075.817029016</v>
      </c>
      <c r="W95" s="18">
        <v>15717555.39527142</v>
      </c>
      <c r="X95" s="18">
        <v>15684623.051088518</v>
      </c>
      <c r="Y95" s="18">
        <v>15652263.443326186</v>
      </c>
    </row>
    <row r="96" spans="1:25" x14ac:dyDescent="0.25">
      <c r="C96" s="14" t="str">
        <f>'Model-1'!N50</f>
        <v>Omkostninger total</v>
      </c>
      <c r="D96" s="14" t="str">
        <f>_xlfn.LET(_xlpm.label,'Model-1'!O50,IF(ISBLANK(_xlpm.label),"",_xlpm.label))</f>
        <v>tkr</v>
      </c>
      <c r="E96" s="18">
        <v>7571194.7616575705</v>
      </c>
      <c r="F96" s="18">
        <v>7852727.10090937</v>
      </c>
      <c r="G96" s="18">
        <v>7835081.9157811292</v>
      </c>
      <c r="H96" s="18">
        <v>7817805.4208600298</v>
      </c>
      <c r="I96" s="18">
        <v>7800886.4437155491</v>
      </c>
      <c r="J96" s="18">
        <v>7784314.2588143907</v>
      </c>
      <c r="K96" s="18">
        <v>7768078.5653968509</v>
      </c>
      <c r="L96" s="18">
        <v>7752169.4666545894</v>
      </c>
      <c r="M96" s="18">
        <v>7736577.4501213348</v>
      </c>
      <c r="N96" s="18">
        <v>7721293.3691949034</v>
      </c>
      <c r="O96" s="18">
        <v>7706308.4257151028</v>
      </c>
      <c r="P96" s="18">
        <v>7691614.1535277804</v>
      </c>
      <c r="Q96" s="18">
        <v>7677202.4029705329</v>
      </c>
      <c r="R96" s="18">
        <v>7663065.326220301</v>
      </c>
      <c r="S96" s="18">
        <v>7649195.3634475321</v>
      </c>
      <c r="T96" s="18">
        <v>7635585.2297255732</v>
      </c>
      <c r="U96" s="18">
        <v>7622227.9026476396</v>
      </c>
      <c r="V96" s="18">
        <v>7609116.6106071994</v>
      </c>
      <c r="W96" s="18">
        <v>7596244.8217006</v>
      </c>
      <c r="X96" s="18">
        <v>7583606.2332137935</v>
      </c>
      <c r="Y96" s="18">
        <v>7571194.7616575705</v>
      </c>
    </row>
    <row r="97" spans="3:26" x14ac:dyDescent="0.25">
      <c r="C97" s="14" t="str">
        <f>'Model-1'!N51</f>
        <v>Dækningsbidrag</v>
      </c>
      <c r="D97" s="14" t="str">
        <f>_xlfn.LET(_xlpm.label,'Model-1'!O51,IF(ISBLANK(_xlpm.label),"",_xlpm.label))</f>
        <v>tkr</v>
      </c>
      <c r="E97" s="18">
        <v>8081068.6816686159</v>
      </c>
      <c r="F97" s="18">
        <v>8329056.1907434138</v>
      </c>
      <c r="G97" s="18">
        <v>8301143.551799044</v>
      </c>
      <c r="H97" s="18">
        <v>8273791.9741592202</v>
      </c>
      <c r="I97" s="18">
        <v>8246984.4559662277</v>
      </c>
      <c r="J97" s="18">
        <v>8220704.6754366644</v>
      </c>
      <c r="K97" s="18">
        <v>8194936.9571943898</v>
      </c>
      <c r="L97" s="18">
        <v>8169666.2405838892</v>
      </c>
      <c r="M97" s="18">
        <v>8345471.8516404601</v>
      </c>
      <c r="N97" s="18">
        <v>8321152.2677270724</v>
      </c>
      <c r="O97" s="18">
        <v>8297287.9018878108</v>
      </c>
      <c r="P97" s="18">
        <v>8273865.8705922803</v>
      </c>
      <c r="Q97" s="18">
        <v>8250873.7719373824</v>
      </c>
      <c r="R97" s="18">
        <v>8228299.6633497691</v>
      </c>
      <c r="S97" s="18">
        <v>8206132.0405156612</v>
      </c>
      <c r="T97" s="18">
        <v>8184359.8174599614</v>
      </c>
      <c r="U97" s="18">
        <v>8162972.3077021735</v>
      </c>
      <c r="V97" s="18">
        <v>8141959.2064218167</v>
      </c>
      <c r="W97" s="18">
        <v>8121310.5735708205</v>
      </c>
      <c r="X97" s="18">
        <v>8101016.817874724</v>
      </c>
      <c r="Y97" s="18">
        <v>8081068.6816686159</v>
      </c>
    </row>
    <row r="98" spans="3:26" x14ac:dyDescent="0.25">
      <c r="C98" s="3"/>
      <c r="D98" s="14" t="str">
        <f>_xlfn.LET(_xlpm.label,'Model-1'!O52,IF(ISBLANK(_xlpm.label),"",_xlpm.label))</f>
        <v/>
      </c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</row>
    <row r="99" spans="3:26" x14ac:dyDescent="0.25">
      <c r="C99" s="14" t="str">
        <f>'Model-1'!N53</f>
        <v>Varmesalg</v>
      </c>
      <c r="D99" s="14" t="str">
        <f>_xlfn.LET(_xlpm.label,'Model-1'!O53,IF(ISBLANK(_xlpm.label),"",_xlpm.label))</f>
        <v>tkr</v>
      </c>
      <c r="E99" s="17">
        <v>7464000</v>
      </c>
      <c r="F99" s="17">
        <v>7464000</v>
      </c>
      <c r="G99" s="17">
        <v>7464000</v>
      </c>
      <c r="H99" s="17">
        <v>7464000</v>
      </c>
      <c r="I99" s="17">
        <v>7464000</v>
      </c>
      <c r="J99" s="17">
        <v>7464000</v>
      </c>
      <c r="K99" s="17">
        <v>7464000</v>
      </c>
      <c r="L99" s="17">
        <v>7464000</v>
      </c>
      <c r="M99" s="17">
        <v>7464000</v>
      </c>
      <c r="N99" s="17">
        <v>7464000</v>
      </c>
      <c r="O99" s="17">
        <v>7464000</v>
      </c>
      <c r="P99" s="17">
        <v>7464000</v>
      </c>
      <c r="Q99" s="17">
        <v>7464000</v>
      </c>
      <c r="R99" s="17">
        <v>7464000</v>
      </c>
      <c r="S99" s="17">
        <v>7464000</v>
      </c>
      <c r="T99" s="17">
        <v>7464000</v>
      </c>
      <c r="U99" s="17">
        <v>7464000</v>
      </c>
      <c r="V99" s="17">
        <v>7464000</v>
      </c>
      <c r="W99" s="17">
        <v>7464000</v>
      </c>
      <c r="X99" s="17">
        <v>7464000</v>
      </c>
      <c r="Y99" s="17">
        <v>7464000</v>
      </c>
    </row>
    <row r="100" spans="3:26" x14ac:dyDescent="0.25">
      <c r="C100" s="14" t="str">
        <f>'Model-1'!N54</f>
        <v>Elsalg</v>
      </c>
      <c r="D100" s="14" t="str">
        <f>_xlfn.LET(_xlpm.label,'Model-1'!O54,IF(ISBLANK(_xlpm.label),"",_xlpm.label))</f>
        <v>tkr</v>
      </c>
      <c r="E100" s="17">
        <v>3947332.4512195126</v>
      </c>
      <c r="F100" s="17">
        <v>3947332.4512195117</v>
      </c>
      <c r="G100" s="17">
        <v>3947332.4512195126</v>
      </c>
      <c r="H100" s="17">
        <v>3947332.4512195117</v>
      </c>
      <c r="I100" s="17">
        <v>3947332.4512195126</v>
      </c>
      <c r="J100" s="17">
        <v>3947332.4512195126</v>
      </c>
      <c r="K100" s="17">
        <v>3947332.4512195126</v>
      </c>
      <c r="L100" s="17">
        <v>3947332.4512195126</v>
      </c>
      <c r="M100" s="17">
        <v>3947332.4512195126</v>
      </c>
      <c r="N100" s="17">
        <v>3947332.4512195126</v>
      </c>
      <c r="O100" s="17">
        <v>3947332.4512195126</v>
      </c>
      <c r="P100" s="17">
        <v>3947332.4512195117</v>
      </c>
      <c r="Q100" s="17">
        <v>3947332.4512195126</v>
      </c>
      <c r="R100" s="17">
        <v>3947332.4512195126</v>
      </c>
      <c r="S100" s="17">
        <v>3947332.4512195126</v>
      </c>
      <c r="T100" s="17">
        <v>3947332.4512195126</v>
      </c>
      <c r="U100" s="17">
        <v>3947332.4512195126</v>
      </c>
      <c r="V100" s="17">
        <v>3947332.4512195126</v>
      </c>
      <c r="W100" s="17">
        <v>3947332.4512195126</v>
      </c>
      <c r="X100" s="17">
        <v>3947332.4512195126</v>
      </c>
      <c r="Y100" s="17">
        <v>3947332.4512195126</v>
      </c>
    </row>
    <row r="101" spans="3:26" x14ac:dyDescent="0.25">
      <c r="C101" s="14" t="str">
        <f>'Model-1'!N55</f>
        <v>RGK-rabat</v>
      </c>
      <c r="D101" s="14" t="str">
        <f>_xlfn.LET(_xlpm.label,'Model-1'!O55,IF(ISBLANK(_xlpm.label),"",_xlpm.label))</f>
        <v>tkr</v>
      </c>
      <c r="E101" s="17">
        <v>200593.80181097562</v>
      </c>
      <c r="F101" s="17">
        <v>0</v>
      </c>
      <c r="G101" s="17">
        <v>0</v>
      </c>
      <c r="H101" s="17">
        <v>0</v>
      </c>
      <c r="I101" s="17">
        <v>0</v>
      </c>
      <c r="J101" s="17">
        <v>0</v>
      </c>
      <c r="K101" s="17">
        <v>0</v>
      </c>
      <c r="L101" s="17">
        <v>0</v>
      </c>
      <c r="M101" s="17">
        <v>200593.80181097562</v>
      </c>
      <c r="N101" s="17">
        <v>200593.80181097562</v>
      </c>
      <c r="O101" s="17">
        <v>200593.80181097562</v>
      </c>
      <c r="P101" s="17">
        <v>200593.80181097562</v>
      </c>
      <c r="Q101" s="17">
        <v>200593.80181097562</v>
      </c>
      <c r="R101" s="17">
        <v>200593.80181097562</v>
      </c>
      <c r="S101" s="17">
        <v>200593.80181097562</v>
      </c>
      <c r="T101" s="17">
        <v>200593.80181097562</v>
      </c>
      <c r="U101" s="17">
        <v>200593.80181097562</v>
      </c>
      <c r="V101" s="17">
        <v>200593.80181097562</v>
      </c>
      <c r="W101" s="17">
        <v>200593.80181097562</v>
      </c>
      <c r="X101" s="17">
        <v>200593.80181097562</v>
      </c>
      <c r="Y101" s="17">
        <v>200593.80181097562</v>
      </c>
    </row>
    <row r="102" spans="3:26" x14ac:dyDescent="0.25">
      <c r="C102" s="14" t="str">
        <f>'Model-1'!N56</f>
        <v>Modtagebetaling affald</v>
      </c>
      <c r="D102" s="14" t="str">
        <f>_xlfn.LET(_xlpm.label,'Model-1'!O56,IF(ISBLANK(_xlpm.label),"",_xlpm.label))</f>
        <v>tkr</v>
      </c>
      <c r="E102" s="17">
        <v>4040337.1902956986</v>
      </c>
      <c r="F102" s="17">
        <v>4770450.8404332725</v>
      </c>
      <c r="G102" s="17">
        <v>4724893.0163606619</v>
      </c>
      <c r="H102" s="17">
        <v>4680264.9437997378</v>
      </c>
      <c r="I102" s="17">
        <v>4636538.4484622655</v>
      </c>
      <c r="J102" s="17">
        <v>4593686.4830315439</v>
      </c>
      <c r="K102" s="17">
        <v>4551683.0713717276</v>
      </c>
      <c r="L102" s="17">
        <v>4510503.2560189664</v>
      </c>
      <c r="M102" s="17">
        <v>4470123.0487313075</v>
      </c>
      <c r="N102" s="17">
        <v>4430519.3838914875</v>
      </c>
      <c r="O102" s="17">
        <v>4391670.0745724253</v>
      </c>
      <c r="P102" s="17">
        <v>4353553.7710895725</v>
      </c>
      <c r="Q102" s="17">
        <v>4316149.921877428</v>
      </c>
      <c r="R102" s="17">
        <v>4279438.7365395827</v>
      </c>
      <c r="S102" s="17">
        <v>4243401.150932706</v>
      </c>
      <c r="T102" s="17">
        <v>4208018.7941550463</v>
      </c>
      <c r="U102" s="17">
        <v>4173273.9573193248</v>
      </c>
      <c r="V102" s="17">
        <v>4139149.5639985283</v>
      </c>
      <c r="W102" s="17">
        <v>4105629.1422409313</v>
      </c>
      <c r="X102" s="17">
        <v>4072696.7980580288</v>
      </c>
      <c r="Y102" s="17">
        <v>4040337.1902956986</v>
      </c>
    </row>
    <row r="103" spans="3:26" x14ac:dyDescent="0.25">
      <c r="C103" s="14"/>
      <c r="D103" s="14" t="str">
        <f>_xlfn.LET(_xlpm.label,'Model-1'!O57,IF(ISBLANK(_xlpm.label),"",_xlpm.label))</f>
        <v/>
      </c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</row>
    <row r="104" spans="3:26" x14ac:dyDescent="0.25">
      <c r="C104" s="14" t="str">
        <f>'Model-1'!N58</f>
        <v>Betaling bioaffald</v>
      </c>
      <c r="D104" s="14" t="str">
        <f>_xlfn.LET(_xlpm.label,'Model-1'!O58,IF(ISBLANK(_xlpm.label),"",_xlpm.label))</f>
        <v>tkr</v>
      </c>
      <c r="E104" s="18">
        <v>0</v>
      </c>
      <c r="F104" s="18">
        <v>0</v>
      </c>
      <c r="G104" s="18">
        <v>0</v>
      </c>
      <c r="H104" s="18">
        <v>0</v>
      </c>
      <c r="I104" s="18">
        <v>0</v>
      </c>
      <c r="J104" s="18">
        <v>0</v>
      </c>
      <c r="K104" s="18">
        <v>0</v>
      </c>
      <c r="L104" s="18">
        <v>0</v>
      </c>
      <c r="M104" s="18">
        <v>0</v>
      </c>
      <c r="N104" s="18">
        <v>0</v>
      </c>
      <c r="O104" s="18">
        <v>0</v>
      </c>
      <c r="P104" s="18">
        <v>0</v>
      </c>
      <c r="Q104" s="18">
        <v>0</v>
      </c>
      <c r="R104" s="18">
        <v>0</v>
      </c>
      <c r="S104" s="18">
        <v>0</v>
      </c>
      <c r="T104" s="18">
        <v>0</v>
      </c>
      <c r="U104" s="18">
        <v>0</v>
      </c>
      <c r="V104" s="18">
        <v>0</v>
      </c>
      <c r="W104" s="18">
        <v>0</v>
      </c>
      <c r="X104" s="18">
        <v>0</v>
      </c>
      <c r="Y104" s="18">
        <v>0</v>
      </c>
    </row>
    <row r="105" spans="3:26" x14ac:dyDescent="0.25">
      <c r="C105" s="14" t="str">
        <f>'Model-1'!N59</f>
        <v>DV-omkostninger</v>
      </c>
      <c r="D105" s="14" t="str">
        <f>_xlfn.LET(_xlpm.label,'Model-1'!O59,IF(ISBLANK(_xlpm.label),"",_xlpm.label))</f>
        <v>tkr</v>
      </c>
      <c r="E105" s="17">
        <v>1099354.221690486</v>
      </c>
      <c r="F105" s="17">
        <v>1051970.3615553097</v>
      </c>
      <c r="G105" s="17">
        <v>1054848.9761717804</v>
      </c>
      <c r="H105" s="17">
        <v>1057677.4279393763</v>
      </c>
      <c r="I105" s="17">
        <v>1060457.236944427</v>
      </c>
      <c r="J105" s="17">
        <v>1063189.8624698089</v>
      </c>
      <c r="K105" s="17">
        <v>1065876.7060050168</v>
      </c>
      <c r="L105" s="17">
        <v>1068519.1140791739</v>
      </c>
      <c r="M105" s="17">
        <v>1071118.3809290098</v>
      </c>
      <c r="N105" s="17">
        <v>1073675.7510129178</v>
      </c>
      <c r="O105" s="17">
        <v>1076192.4213813539</v>
      </c>
      <c r="P105" s="17">
        <v>1078669.5439130571</v>
      </c>
      <c r="Q105" s="17">
        <v>1081108.22742588</v>
      </c>
      <c r="R105" s="17">
        <v>1083509.5396703472</v>
      </c>
      <c r="S105" s="17">
        <v>1085874.5092134776</v>
      </c>
      <c r="T105" s="17">
        <v>1088204.127219853</v>
      </c>
      <c r="U105" s="17">
        <v>1090499.3491364126</v>
      </c>
      <c r="V105" s="17">
        <v>1092761.0962869911</v>
      </c>
      <c r="W105" s="17">
        <v>1094990.2573821894</v>
      </c>
      <c r="X105" s="17">
        <v>1097187.6899497809</v>
      </c>
      <c r="Y105" s="17">
        <v>1099354.221690486</v>
      </c>
    </row>
    <row r="106" spans="3:26" x14ac:dyDescent="0.25">
      <c r="C106" s="14" t="str">
        <f>'Model-1'!N60</f>
        <v>Affaldvarme-afgift</v>
      </c>
      <c r="D106" s="14" t="str">
        <f>_xlfn.LET(_xlpm.label,'Model-1'!O60,IF(ISBLANK(_xlpm.label),"",_xlpm.label))</f>
        <v>tkr</v>
      </c>
      <c r="E106" s="17">
        <v>2229120</v>
      </c>
      <c r="F106" s="17">
        <v>2229120</v>
      </c>
      <c r="G106" s="17">
        <v>2229120</v>
      </c>
      <c r="H106" s="17">
        <v>2229120</v>
      </c>
      <c r="I106" s="17">
        <v>2229120</v>
      </c>
      <c r="J106" s="17">
        <v>2229120</v>
      </c>
      <c r="K106" s="17">
        <v>2229120</v>
      </c>
      <c r="L106" s="17">
        <v>2229120</v>
      </c>
      <c r="M106" s="17">
        <v>2229120</v>
      </c>
      <c r="N106" s="17">
        <v>2229120</v>
      </c>
      <c r="O106" s="17">
        <v>2229120</v>
      </c>
      <c r="P106" s="17">
        <v>2229120</v>
      </c>
      <c r="Q106" s="17">
        <v>2229120</v>
      </c>
      <c r="R106" s="17">
        <v>2229120</v>
      </c>
      <c r="S106" s="17">
        <v>2229120</v>
      </c>
      <c r="T106" s="17">
        <v>2229120</v>
      </c>
      <c r="U106" s="17">
        <v>2229120</v>
      </c>
      <c r="V106" s="17">
        <v>2229120</v>
      </c>
      <c r="W106" s="17">
        <v>2229120</v>
      </c>
      <c r="X106" s="17">
        <v>2229120</v>
      </c>
      <c r="Y106" s="17">
        <v>2229120</v>
      </c>
    </row>
    <row r="107" spans="3:26" x14ac:dyDescent="0.25">
      <c r="C107" s="14" t="str">
        <f>'Model-1'!N61</f>
        <v>Tillægsafgift</v>
      </c>
      <c r="D107" s="14" t="str">
        <f>_xlfn.LET(_xlpm.label,'Model-1'!O61,IF(ISBLANK(_xlpm.label),"",_xlpm.label))</f>
        <v>tkr</v>
      </c>
      <c r="E107" s="18">
        <v>2005938.0181097561</v>
      </c>
      <c r="F107" s="18">
        <v>2005938.0181097561</v>
      </c>
      <c r="G107" s="18">
        <v>2005938.0181097561</v>
      </c>
      <c r="H107" s="18">
        <v>2005938.0181097561</v>
      </c>
      <c r="I107" s="18">
        <v>2005938.0181097561</v>
      </c>
      <c r="J107" s="18">
        <v>2005938.0181097561</v>
      </c>
      <c r="K107" s="18">
        <v>2005938.0181097561</v>
      </c>
      <c r="L107" s="18">
        <v>2005938.0181097561</v>
      </c>
      <c r="M107" s="18">
        <v>2005938.0181097561</v>
      </c>
      <c r="N107" s="18">
        <v>2005938.0181097561</v>
      </c>
      <c r="O107" s="18">
        <v>2005938.0181097561</v>
      </c>
      <c r="P107" s="18">
        <v>2005938.0181097561</v>
      </c>
      <c r="Q107" s="18">
        <v>2005938.0181097561</v>
      </c>
      <c r="R107" s="18">
        <v>2005938.0181097561</v>
      </c>
      <c r="S107" s="18">
        <v>2005938.0181097561</v>
      </c>
      <c r="T107" s="18">
        <v>2005938.0181097561</v>
      </c>
      <c r="U107" s="18">
        <v>2005938.0181097561</v>
      </c>
      <c r="V107" s="18">
        <v>2005938.0181097561</v>
      </c>
      <c r="W107" s="18">
        <v>2005938.0181097561</v>
      </c>
      <c r="X107" s="18">
        <v>2005938.0181097561</v>
      </c>
      <c r="Y107" s="18">
        <v>2005938.0181097561</v>
      </c>
    </row>
    <row r="108" spans="3:26" x14ac:dyDescent="0.25">
      <c r="C108" s="14" t="str">
        <f>'Model-1'!N62</f>
        <v>CO2-afgift</v>
      </c>
      <c r="D108" s="14" t="str">
        <f>_xlfn.LET(_xlpm.label,'Model-1'!O62,IF(ISBLANK(_xlpm.label),"",_xlpm.label))</f>
        <v>tkr</v>
      </c>
      <c r="E108" s="18">
        <v>416610.61762911582</v>
      </c>
      <c r="F108" s="18">
        <v>416610.61762911582</v>
      </c>
      <c r="G108" s="18">
        <v>416610.61762911582</v>
      </c>
      <c r="H108" s="18">
        <v>416610.61762911582</v>
      </c>
      <c r="I108" s="18">
        <v>416610.61762911582</v>
      </c>
      <c r="J108" s="18">
        <v>416610.61762911582</v>
      </c>
      <c r="K108" s="18">
        <v>416610.61762911582</v>
      </c>
      <c r="L108" s="18">
        <v>416610.61762911582</v>
      </c>
      <c r="M108" s="18">
        <v>416610.61762911582</v>
      </c>
      <c r="N108" s="18">
        <v>416610.61762911582</v>
      </c>
      <c r="O108" s="18">
        <v>416610.61762911582</v>
      </c>
      <c r="P108" s="18">
        <v>416610.61762911582</v>
      </c>
      <c r="Q108" s="18">
        <v>416610.61762911582</v>
      </c>
      <c r="R108" s="18">
        <v>416610.61762911582</v>
      </c>
      <c r="S108" s="18">
        <v>416610.61762911582</v>
      </c>
      <c r="T108" s="18">
        <v>416610.61762911582</v>
      </c>
      <c r="U108" s="18">
        <v>416610.61762911582</v>
      </c>
      <c r="V108" s="18">
        <v>416610.61762911582</v>
      </c>
      <c r="W108" s="18">
        <v>416610.61762911582</v>
      </c>
      <c r="X108" s="18">
        <v>416610.61762911582</v>
      </c>
      <c r="Y108" s="18">
        <v>416610.61762911582</v>
      </c>
    </row>
    <row r="109" spans="3:26" x14ac:dyDescent="0.25">
      <c r="C109" s="14" t="str">
        <f>'Model-1'!N63</f>
        <v>Kvote-omkostning</v>
      </c>
      <c r="D109" s="14" t="str">
        <f>_xlfn.LET(_xlpm.label,'Model-1'!O63,IF(ISBLANK(_xlpm.label),"",_xlpm.label))</f>
        <v>tkr</v>
      </c>
      <c r="E109" s="18">
        <v>1820171.9042282121</v>
      </c>
      <c r="F109" s="18">
        <v>2149088.103615189</v>
      </c>
      <c r="G109" s="18">
        <v>2128564.3038704782</v>
      </c>
      <c r="H109" s="18">
        <v>2108459.3571817814</v>
      </c>
      <c r="I109" s="18">
        <v>2088760.5710322505</v>
      </c>
      <c r="J109" s="18">
        <v>2069455.7606057106</v>
      </c>
      <c r="K109" s="18">
        <v>2050533.2236529631</v>
      </c>
      <c r="L109" s="18">
        <v>2031981.7168365442</v>
      </c>
      <c r="M109" s="18">
        <v>2013790.4334534537</v>
      </c>
      <c r="N109" s="18">
        <v>1995948.9824431147</v>
      </c>
      <c r="O109" s="18">
        <v>1978447.3685948777</v>
      </c>
      <c r="P109" s="18">
        <v>1961275.9738758523</v>
      </c>
      <c r="Q109" s="18">
        <v>1944425.5398057813</v>
      </c>
      <c r="R109" s="18">
        <v>1927887.150811082</v>
      </c>
      <c r="S109" s="18">
        <v>1911652.2184951839</v>
      </c>
      <c r="T109" s="18">
        <v>1895712.466766848</v>
      </c>
      <c r="U109" s="18">
        <v>1880059.9177723557</v>
      </c>
      <c r="V109" s="18">
        <v>1864686.8785813369</v>
      </c>
      <c r="W109" s="18">
        <v>1849585.9285795393</v>
      </c>
      <c r="X109" s="18">
        <v>1834749.907525142</v>
      </c>
      <c r="Y109" s="18">
        <v>1820171.9042282121</v>
      </c>
    </row>
    <row r="110" spans="3:26" x14ac:dyDescent="0.25">
      <c r="C110" s="14"/>
      <c r="D110" s="14" t="str">
        <f>_xlfn.LET(_xlpm.label,'Model-1'!O64,IF(ISBLANK(_xlpm.label),"",_xlpm.label))</f>
        <v/>
      </c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</row>
    <row r="111" spans="3:26" x14ac:dyDescent="0.25">
      <c r="C111" s="7" t="str">
        <f>'Model-1'!N65</f>
        <v>Varmemængder:</v>
      </c>
      <c r="D111" s="14" t="str">
        <f>_xlfn.LET(_xlpm.label,'Model-1'!O65,IF(ISBLANK(_xlpm.label),"",_xlpm.label))</f>
        <v/>
      </c>
      <c r="E111" s="93" t="s">
        <v>245</v>
      </c>
      <c r="F111" s="93" t="s">
        <v>246</v>
      </c>
      <c r="G111" s="93" t="s">
        <v>247</v>
      </c>
      <c r="H111" s="93" t="s">
        <v>248</v>
      </c>
      <c r="I111" s="93" t="s">
        <v>249</v>
      </c>
      <c r="J111" s="93" t="s">
        <v>250</v>
      </c>
      <c r="K111" s="93" t="s">
        <v>251</v>
      </c>
      <c r="L111" s="93" t="s">
        <v>252</v>
      </c>
      <c r="M111" s="93" t="s">
        <v>253</v>
      </c>
      <c r="N111" s="93" t="s">
        <v>254</v>
      </c>
      <c r="O111" s="93" t="s">
        <v>255</v>
      </c>
      <c r="P111" s="93" t="s">
        <v>256</v>
      </c>
      <c r="Q111" s="93" t="s">
        <v>257</v>
      </c>
      <c r="R111" s="93" t="s">
        <v>258</v>
      </c>
      <c r="S111" s="93" t="s">
        <v>259</v>
      </c>
      <c r="T111" s="93" t="s">
        <v>260</v>
      </c>
      <c r="U111" s="93" t="s">
        <v>261</v>
      </c>
      <c r="V111" s="93" t="s">
        <v>262</v>
      </c>
      <c r="W111" s="93" t="s">
        <v>263</v>
      </c>
      <c r="X111" s="93" t="s">
        <v>264</v>
      </c>
      <c r="Y111" s="93" t="s">
        <v>245</v>
      </c>
    </row>
    <row r="112" spans="3:26" x14ac:dyDescent="0.25">
      <c r="C112" s="5" t="str">
        <f>'Model-1'!N66</f>
        <v>Varmeproduktion Ovn2</v>
      </c>
      <c r="D112" s="14" t="str">
        <f>_xlfn.LET(_xlpm.label,'Model-1'!O66,IF(ISBLANK(_xlpm.label),"",_xlpm.label))</f>
        <v>MWhq</v>
      </c>
      <c r="E112" s="12">
        <v>3168</v>
      </c>
      <c r="F112" s="12">
        <v>7055.4000000000015</v>
      </c>
      <c r="G112" s="12">
        <v>6850.7999999999993</v>
      </c>
      <c r="H112" s="12">
        <v>6646.2000000000007</v>
      </c>
      <c r="I112" s="12">
        <v>6441.5999999999985</v>
      </c>
      <c r="J112" s="12">
        <v>6237</v>
      </c>
      <c r="K112" s="12">
        <v>6032.4000000000015</v>
      </c>
      <c r="L112" s="12">
        <v>5827.7999999999993</v>
      </c>
      <c r="M112" s="12">
        <v>5623.2000000000007</v>
      </c>
      <c r="N112" s="12">
        <v>5418.5999999999985</v>
      </c>
      <c r="O112" s="12">
        <v>5214</v>
      </c>
      <c r="P112" s="12">
        <v>5009.4000000000015</v>
      </c>
      <c r="Q112" s="12">
        <v>4804.7999999999993</v>
      </c>
      <c r="R112" s="12">
        <v>4600.2000000000007</v>
      </c>
      <c r="S112" s="12">
        <v>4395.5999999999985</v>
      </c>
      <c r="T112" s="12">
        <v>4191</v>
      </c>
      <c r="U112" s="12">
        <v>3986.4000000000015</v>
      </c>
      <c r="V112" s="12">
        <v>3781.7999999999993</v>
      </c>
      <c r="W112" s="12">
        <v>3577.2000000000007</v>
      </c>
      <c r="X112" s="12">
        <v>3372.5999999999985</v>
      </c>
      <c r="Y112" s="12">
        <v>3168</v>
      </c>
      <c r="Z112" s="18"/>
    </row>
    <row r="113" spans="3:26" x14ac:dyDescent="0.25">
      <c r="C113" s="5" t="str">
        <f>'Model-1'!N67</f>
        <v>Varmeproduktion Ovn3</v>
      </c>
      <c r="D113" s="14" t="str">
        <f>_xlfn.LET(_xlpm.label,'Model-1'!O67,IF(ISBLANK(_xlpm.label),"",_xlpm.label))</f>
        <v>MWhq</v>
      </c>
      <c r="E113" s="12">
        <v>20832</v>
      </c>
      <c r="F113" s="12">
        <v>16944.599999999999</v>
      </c>
      <c r="G113" s="12">
        <v>17149.2</v>
      </c>
      <c r="H113" s="12">
        <v>17353.8</v>
      </c>
      <c r="I113" s="12">
        <v>17558.400000000001</v>
      </c>
      <c r="J113" s="12">
        <v>17763</v>
      </c>
      <c r="K113" s="12">
        <v>17967.599999999999</v>
      </c>
      <c r="L113" s="12">
        <v>18172.2</v>
      </c>
      <c r="M113" s="12">
        <v>18376.8</v>
      </c>
      <c r="N113" s="12">
        <v>18581.400000000001</v>
      </c>
      <c r="O113" s="12">
        <v>18786</v>
      </c>
      <c r="P113" s="12">
        <v>18990.599999999999</v>
      </c>
      <c r="Q113" s="12">
        <v>19195.2</v>
      </c>
      <c r="R113" s="12">
        <v>19399.8</v>
      </c>
      <c r="S113" s="12">
        <v>19604.400000000001</v>
      </c>
      <c r="T113" s="12">
        <v>19809</v>
      </c>
      <c r="U113" s="12">
        <v>20013.599999999999</v>
      </c>
      <c r="V113" s="12">
        <v>20218.2</v>
      </c>
      <c r="W113" s="12">
        <v>20422.8</v>
      </c>
      <c r="X113" s="12">
        <v>20627.400000000001</v>
      </c>
      <c r="Y113" s="12">
        <v>20832</v>
      </c>
      <c r="Z113" s="18"/>
    </row>
    <row r="114" spans="3:26" x14ac:dyDescent="0.25">
      <c r="C114" s="5" t="str">
        <f>'Model-1'!N68</f>
        <v>Heraf RGK-varme</v>
      </c>
      <c r="D114" s="14" t="str">
        <f>_xlfn.LET(_xlpm.label,'Model-1'!O68,IF(ISBLANK(_xlpm.label),"",_xlpm.label))</f>
        <v>MWhq</v>
      </c>
      <c r="E114" s="12">
        <v>5031.4221690485911</v>
      </c>
      <c r="F114" s="12">
        <v>293.03615553098348</v>
      </c>
      <c r="G114" s="12">
        <v>580.89761717804538</v>
      </c>
      <c r="H114" s="12">
        <v>863.74279393763243</v>
      </c>
      <c r="I114" s="12">
        <v>1141.7236944426982</v>
      </c>
      <c r="J114" s="12">
        <v>1414.9862469808784</v>
      </c>
      <c r="K114" s="12">
        <v>1683.6706005016847</v>
      </c>
      <c r="L114" s="12">
        <v>1947.9114079173924</v>
      </c>
      <c r="M114" s="12">
        <v>2207.8380929009663</v>
      </c>
      <c r="N114" s="12">
        <v>2463.5751012917935</v>
      </c>
      <c r="O114" s="12">
        <v>2715.242138135382</v>
      </c>
      <c r="P114" s="12">
        <v>2962.95439130571</v>
      </c>
      <c r="Q114" s="12">
        <v>3206.8227425880104</v>
      </c>
      <c r="R114" s="12">
        <v>3446.9539670347258</v>
      </c>
      <c r="S114" s="12">
        <v>3683.4509213477545</v>
      </c>
      <c r="T114" s="12">
        <v>3916.4127219852894</v>
      </c>
      <c r="U114" s="12">
        <v>4145.9349136412611</v>
      </c>
      <c r="V114" s="12">
        <v>4372.1096286991033</v>
      </c>
      <c r="W114" s="12">
        <v>4595.0257382189448</v>
      </c>
      <c r="X114" s="12">
        <v>4814.7689949781015</v>
      </c>
      <c r="Y114" s="12">
        <v>5031.4221690485911</v>
      </c>
      <c r="Z114" s="18"/>
    </row>
    <row r="115" spans="3:26" x14ac:dyDescent="0.25">
      <c r="C115" s="5" t="str">
        <f>'Model-1'!N69</f>
        <v>Bortkølet varme</v>
      </c>
      <c r="D115" s="14" t="str">
        <f>_xlfn.LET(_xlpm.label,'Model-1'!O69,IF(ISBLANK(_xlpm.label),"",_xlpm.label))</f>
        <v>MWhq</v>
      </c>
      <c r="E115" s="12">
        <v>0</v>
      </c>
      <c r="F115" s="12">
        <v>0</v>
      </c>
      <c r="G115" s="12">
        <v>0</v>
      </c>
      <c r="H115" s="12">
        <v>0</v>
      </c>
      <c r="I115" s="12">
        <v>0</v>
      </c>
      <c r="J115" s="12">
        <v>0</v>
      </c>
      <c r="K115" s="12">
        <v>0</v>
      </c>
      <c r="L115" s="12">
        <v>0</v>
      </c>
      <c r="M115" s="12">
        <v>0</v>
      </c>
      <c r="N115" s="12">
        <v>0</v>
      </c>
      <c r="O115" s="12">
        <v>0</v>
      </c>
      <c r="P115" s="12">
        <v>0</v>
      </c>
      <c r="Q115" s="12">
        <v>0</v>
      </c>
      <c r="R115" s="12">
        <v>0</v>
      </c>
      <c r="S115" s="12">
        <v>0</v>
      </c>
      <c r="T115" s="12">
        <v>0</v>
      </c>
      <c r="U115" s="12">
        <v>0</v>
      </c>
      <c r="V115" s="12">
        <v>0</v>
      </c>
      <c r="W115" s="12">
        <v>0</v>
      </c>
      <c r="X115" s="12">
        <v>0</v>
      </c>
      <c r="Y115" s="12">
        <v>0</v>
      </c>
      <c r="Z115" s="15"/>
    </row>
    <row r="116" spans="3:26" x14ac:dyDescent="0.25">
      <c r="C116" s="5" t="str">
        <f>'Model-1'!N70</f>
        <v>Leveret affaldsvarme</v>
      </c>
      <c r="D116" s="14" t="str">
        <f>_xlfn.LET(_xlpm.label,'Model-1'!O70,IF(ISBLANK(_xlpm.label),"",_xlpm.label))</f>
        <v>MWhq</v>
      </c>
      <c r="E116" s="12">
        <v>24000</v>
      </c>
      <c r="F116" s="12">
        <v>24000</v>
      </c>
      <c r="G116" s="12">
        <v>24000</v>
      </c>
      <c r="H116" s="12">
        <v>24000</v>
      </c>
      <c r="I116" s="12">
        <v>24000</v>
      </c>
      <c r="J116" s="12">
        <v>24000</v>
      </c>
      <c r="K116" s="12">
        <v>24000</v>
      </c>
      <c r="L116" s="12">
        <v>24000</v>
      </c>
      <c r="M116" s="12">
        <v>24000</v>
      </c>
      <c r="N116" s="12">
        <v>24000</v>
      </c>
      <c r="O116" s="12">
        <v>24000</v>
      </c>
      <c r="P116" s="12">
        <v>24000</v>
      </c>
      <c r="Q116" s="12">
        <v>24000</v>
      </c>
      <c r="R116" s="12">
        <v>24000</v>
      </c>
      <c r="S116" s="12">
        <v>24000</v>
      </c>
      <c r="T116" s="12">
        <v>24000</v>
      </c>
      <c r="U116" s="12">
        <v>24000</v>
      </c>
      <c r="V116" s="12">
        <v>24000</v>
      </c>
      <c r="W116" s="12">
        <v>24000</v>
      </c>
      <c r="X116" s="12">
        <v>24000</v>
      </c>
      <c r="Y116" s="12">
        <v>24000</v>
      </c>
      <c r="Z116" s="17"/>
    </row>
    <row r="117" spans="3:26" x14ac:dyDescent="0.25">
      <c r="C117" s="5" t="str">
        <f>'Model-1'!N71</f>
        <v>Spidslastvarme</v>
      </c>
      <c r="D117" s="14" t="str">
        <f>_xlfn.LET(_xlpm.label,'Model-1'!O71,IF(ISBLANK(_xlpm.label),"",_xlpm.label))</f>
        <v>MWhq</v>
      </c>
      <c r="E117" s="12">
        <v>4000</v>
      </c>
      <c r="F117" s="12">
        <v>4000</v>
      </c>
      <c r="G117" s="12">
        <v>4000</v>
      </c>
      <c r="H117" s="12">
        <v>4000</v>
      </c>
      <c r="I117" s="12">
        <v>4000</v>
      </c>
      <c r="J117" s="12">
        <v>4000</v>
      </c>
      <c r="K117" s="12">
        <v>4000</v>
      </c>
      <c r="L117" s="12">
        <v>4000</v>
      </c>
      <c r="M117" s="12">
        <v>4000</v>
      </c>
      <c r="N117" s="12">
        <v>4000</v>
      </c>
      <c r="O117" s="12">
        <v>4000</v>
      </c>
      <c r="P117" s="12">
        <v>4000</v>
      </c>
      <c r="Q117" s="12">
        <v>4000</v>
      </c>
      <c r="R117" s="12">
        <v>4000</v>
      </c>
      <c r="S117" s="12">
        <v>4000</v>
      </c>
      <c r="T117" s="12">
        <v>4000</v>
      </c>
      <c r="U117" s="12">
        <v>4000</v>
      </c>
      <c r="V117" s="12">
        <v>4000</v>
      </c>
      <c r="W117" s="12">
        <v>4000</v>
      </c>
      <c r="X117" s="12">
        <v>4000</v>
      </c>
      <c r="Y117" s="12">
        <v>4000</v>
      </c>
      <c r="Z117" s="17"/>
    </row>
    <row r="118" spans="3:26" x14ac:dyDescent="0.25">
      <c r="C118" s="5"/>
      <c r="D118" s="14" t="str">
        <f>_xlfn.LET(_xlpm.label,'Model-1'!O72,IF(ISBLANK(_xlpm.label),"",_xlpm.label))</f>
        <v/>
      </c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7"/>
    </row>
    <row r="119" spans="3:26" x14ac:dyDescent="0.25">
      <c r="C119" s="7" t="str">
        <f>'Model-1'!N73</f>
        <v>Brændselsmængder:</v>
      </c>
      <c r="D119" s="14" t="str">
        <f>_xlfn.LET(_xlpm.label,'Model-1'!O73,IF(ISBLANK(_xlpm.label),"",_xlpm.label))</f>
        <v/>
      </c>
      <c r="E119" s="12" t="s">
        <v>245</v>
      </c>
      <c r="F119" s="12" t="s">
        <v>246</v>
      </c>
      <c r="G119" s="12" t="s">
        <v>247</v>
      </c>
      <c r="H119" s="12" t="s">
        <v>248</v>
      </c>
      <c r="I119" s="12" t="s">
        <v>249</v>
      </c>
      <c r="J119" s="12" t="s">
        <v>250</v>
      </c>
      <c r="K119" s="12" t="s">
        <v>251</v>
      </c>
      <c r="L119" s="12" t="s">
        <v>252</v>
      </c>
      <c r="M119" s="12" t="s">
        <v>253</v>
      </c>
      <c r="N119" s="12" t="s">
        <v>254</v>
      </c>
      <c r="O119" s="12" t="s">
        <v>255</v>
      </c>
      <c r="P119" s="12" t="s">
        <v>256</v>
      </c>
      <c r="Q119" s="12" t="s">
        <v>257</v>
      </c>
      <c r="R119" s="12" t="s">
        <v>258</v>
      </c>
      <c r="S119" s="12" t="s">
        <v>259</v>
      </c>
      <c r="T119" s="12" t="s">
        <v>260</v>
      </c>
      <c r="U119" s="12" t="s">
        <v>261</v>
      </c>
      <c r="V119" s="12" t="s">
        <v>262</v>
      </c>
      <c r="W119" s="12" t="s">
        <v>263</v>
      </c>
      <c r="X119" s="12" t="s">
        <v>264</v>
      </c>
      <c r="Y119" s="12" t="s">
        <v>245</v>
      </c>
      <c r="Z119" s="17"/>
    </row>
    <row r="120" spans="3:26" x14ac:dyDescent="0.25">
      <c r="C120" s="5" t="str">
        <f>'Model-1'!N74</f>
        <v>Affaldsforbrug Ovn3</v>
      </c>
      <c r="D120" s="14" t="str">
        <f>_xlfn.LET(_xlpm.label,'Model-1'!O74,IF(ISBLANK(_xlpm.label),"",_xlpm.label))</f>
        <v>ton</v>
      </c>
      <c r="E120" s="12">
        <v>9006.456241033</v>
      </c>
      <c r="F120" s="12">
        <v>9006.4562410329982</v>
      </c>
      <c r="G120" s="12">
        <v>9006.456241033</v>
      </c>
      <c r="H120" s="12">
        <v>9006.4562410329982</v>
      </c>
      <c r="I120" s="12">
        <v>9006.456241033</v>
      </c>
      <c r="J120" s="12">
        <v>9006.456241033</v>
      </c>
      <c r="K120" s="12">
        <v>9006.456241033</v>
      </c>
      <c r="L120" s="12">
        <v>9006.456241033</v>
      </c>
      <c r="M120" s="12">
        <v>9006.456241033</v>
      </c>
      <c r="N120" s="12">
        <v>9006.456241033</v>
      </c>
      <c r="O120" s="12">
        <v>9006.456241033</v>
      </c>
      <c r="P120" s="12">
        <v>9006.4562410329982</v>
      </c>
      <c r="Q120" s="12">
        <v>9006.456241033</v>
      </c>
      <c r="R120" s="12">
        <v>9006.456241033</v>
      </c>
      <c r="S120" s="12">
        <v>9006.456241033</v>
      </c>
      <c r="T120" s="12">
        <v>9006.456241033</v>
      </c>
      <c r="U120" s="12">
        <v>9006.456241033</v>
      </c>
      <c r="V120" s="12">
        <v>9006.456241033</v>
      </c>
      <c r="W120" s="12">
        <v>9006.456241033</v>
      </c>
      <c r="X120" s="12">
        <v>9006.456241033</v>
      </c>
      <c r="Y120" s="12">
        <v>9006.456241033</v>
      </c>
      <c r="Z120" s="18"/>
    </row>
    <row r="121" spans="3:26" x14ac:dyDescent="0.25">
      <c r="C121" s="5" t="str">
        <f>'Model-1'!N75</f>
        <v>Nordic Sugar varme</v>
      </c>
      <c r="D121" s="14" t="str">
        <f>_xlfn.LET(_xlpm.label,'Model-1'!O75,IF(ISBLANK(_xlpm.label),"",_xlpm.label))</f>
        <v>MWhq</v>
      </c>
      <c r="E121" s="12">
        <v>4000</v>
      </c>
      <c r="F121" s="12">
        <v>4000</v>
      </c>
      <c r="G121" s="12">
        <v>4000</v>
      </c>
      <c r="H121" s="12">
        <v>4000</v>
      </c>
      <c r="I121" s="12">
        <v>4000</v>
      </c>
      <c r="J121" s="12">
        <v>4000</v>
      </c>
      <c r="K121" s="12">
        <v>4000</v>
      </c>
      <c r="L121" s="12">
        <v>4000</v>
      </c>
      <c r="M121" s="12">
        <v>4000</v>
      </c>
      <c r="N121" s="12">
        <v>4000</v>
      </c>
      <c r="O121" s="12">
        <v>4000</v>
      </c>
      <c r="P121" s="12">
        <v>4000</v>
      </c>
      <c r="Q121" s="12">
        <v>4000</v>
      </c>
      <c r="R121" s="12">
        <v>4000</v>
      </c>
      <c r="S121" s="12">
        <v>4000</v>
      </c>
      <c r="T121" s="12">
        <v>4000</v>
      </c>
      <c r="U121" s="12">
        <v>4000</v>
      </c>
      <c r="V121" s="12">
        <v>4000</v>
      </c>
      <c r="W121" s="12">
        <v>4000</v>
      </c>
      <c r="X121" s="12">
        <v>4000</v>
      </c>
      <c r="Y121" s="12">
        <v>4000</v>
      </c>
      <c r="Z121" s="18"/>
    </row>
    <row r="122" spans="3:26" x14ac:dyDescent="0.25">
      <c r="C122" s="5" t="str">
        <f>'Model-1'!N76</f>
        <v>Affaldsforbrug Ovn2</v>
      </c>
      <c r="D122" s="14" t="str">
        <f>_xlfn.LET(_xlpm.label,'Model-1'!O76,IF(ISBLANK(_xlpm.label),"",_xlpm.label))</f>
        <v>ton</v>
      </c>
      <c r="E122" s="12">
        <v>1094.3867347062462</v>
      </c>
      <c r="F122" s="12">
        <v>2919.670860050182</v>
      </c>
      <c r="G122" s="12">
        <v>2805.7762998686553</v>
      </c>
      <c r="H122" s="12">
        <v>2694.2061184663444</v>
      </c>
      <c r="I122" s="12">
        <v>2584.8898801226651</v>
      </c>
      <c r="J122" s="12">
        <v>2477.7599665458606</v>
      </c>
      <c r="K122" s="12">
        <v>2372.751437396319</v>
      </c>
      <c r="L122" s="12">
        <v>2269.8018990144151</v>
      </c>
      <c r="M122" s="12">
        <v>2168.8513807952672</v>
      </c>
      <c r="N122" s="12">
        <v>2069.8422186957168</v>
      </c>
      <c r="O122" s="12">
        <v>1972.7189453980645</v>
      </c>
      <c r="P122" s="12">
        <v>1877.4281866909339</v>
      </c>
      <c r="Q122" s="12">
        <v>1783.9185636605707</v>
      </c>
      <c r="R122" s="12">
        <v>1692.1406003159564</v>
      </c>
      <c r="S122" s="12">
        <v>1602.0466362987647</v>
      </c>
      <c r="T122" s="12">
        <v>1513.5907443546141</v>
      </c>
      <c r="U122" s="12">
        <v>1426.728652265313</v>
      </c>
      <c r="V122" s="12">
        <v>1341.41766896332</v>
      </c>
      <c r="W122" s="12">
        <v>1257.6166145693278</v>
      </c>
      <c r="X122" s="12">
        <v>1175.2857541120711</v>
      </c>
      <c r="Y122" s="12">
        <v>1094.3867347062462</v>
      </c>
      <c r="Z122" s="17"/>
    </row>
    <row r="123" spans="3:26" x14ac:dyDescent="0.25">
      <c r="C123" s="5" t="str">
        <f>'Model-1'!N77</f>
        <v>Affaldsforbrug kølevarme Ovn3</v>
      </c>
      <c r="D123" s="14" t="str">
        <f>_xlfn.LET(_xlpm.label,'Model-1'!O77,IF(ISBLANK(_xlpm.label),"",_xlpm.label))</f>
        <v>ton</v>
      </c>
      <c r="E123" s="12">
        <v>0</v>
      </c>
      <c r="F123" s="12">
        <v>0</v>
      </c>
      <c r="G123" s="12">
        <v>0</v>
      </c>
      <c r="H123" s="12">
        <v>0</v>
      </c>
      <c r="I123" s="12">
        <v>0</v>
      </c>
      <c r="J123" s="12">
        <v>0</v>
      </c>
      <c r="K123" s="12">
        <v>0</v>
      </c>
      <c r="L123" s="12">
        <v>0</v>
      </c>
      <c r="M123" s="12">
        <v>0</v>
      </c>
      <c r="N123" s="12">
        <v>0</v>
      </c>
      <c r="O123" s="12">
        <v>0</v>
      </c>
      <c r="P123" s="12">
        <v>0</v>
      </c>
      <c r="Q123" s="12">
        <v>0</v>
      </c>
      <c r="R123" s="12">
        <v>0</v>
      </c>
      <c r="S123" s="12">
        <v>0</v>
      </c>
      <c r="T123" s="12">
        <v>0</v>
      </c>
      <c r="U123" s="12">
        <v>0</v>
      </c>
      <c r="V123" s="12">
        <v>0</v>
      </c>
      <c r="W123" s="12">
        <v>0</v>
      </c>
      <c r="X123" s="12">
        <v>0</v>
      </c>
      <c r="Y123" s="12">
        <v>0</v>
      </c>
      <c r="Z123" s="17"/>
    </row>
    <row r="124" spans="3:26" x14ac:dyDescent="0.25">
      <c r="C124" s="5" t="str">
        <f>'Model-1'!N78</f>
        <v>Affaldsforbrug kølevarme Ovn2</v>
      </c>
      <c r="D124" s="14" t="str">
        <f>_xlfn.LET(_xlpm.label,'Model-1'!O78,IF(ISBLANK(_xlpm.label),"",_xlpm.label))</f>
        <v>ton</v>
      </c>
      <c r="E124" s="12">
        <v>0</v>
      </c>
      <c r="F124" s="12">
        <v>0</v>
      </c>
      <c r="G124" s="12">
        <v>0</v>
      </c>
      <c r="H124" s="12">
        <v>0</v>
      </c>
      <c r="I124" s="12">
        <v>0</v>
      </c>
      <c r="J124" s="12">
        <v>0</v>
      </c>
      <c r="K124" s="12">
        <v>0</v>
      </c>
      <c r="L124" s="12">
        <v>0</v>
      </c>
      <c r="M124" s="12">
        <v>0</v>
      </c>
      <c r="N124" s="12">
        <v>0</v>
      </c>
      <c r="O124" s="12">
        <v>0</v>
      </c>
      <c r="P124" s="12">
        <v>0</v>
      </c>
      <c r="Q124" s="12">
        <v>0</v>
      </c>
      <c r="R124" s="12">
        <v>0</v>
      </c>
      <c r="S124" s="12">
        <v>0</v>
      </c>
      <c r="T124" s="12">
        <v>0</v>
      </c>
      <c r="U124" s="12">
        <v>0</v>
      </c>
      <c r="V124" s="12">
        <v>0</v>
      </c>
      <c r="W124" s="12">
        <v>0</v>
      </c>
      <c r="X124" s="12">
        <v>0</v>
      </c>
      <c r="Y124" s="12">
        <v>0</v>
      </c>
      <c r="Z124" s="18"/>
    </row>
    <row r="125" spans="3:26" x14ac:dyDescent="0.25">
      <c r="C125" s="5" t="str">
        <f>'Model-1'!N79</f>
        <v>Udnyttet affald</v>
      </c>
      <c r="D125" s="14" t="str">
        <f>_xlfn.LET(_xlpm.label,'Model-1'!O79,IF(ISBLANK(_xlpm.label),"",_xlpm.label))</f>
        <v>ton</v>
      </c>
      <c r="E125" s="12">
        <v>10100.842975739246</v>
      </c>
      <c r="F125" s="12">
        <v>11926.127101083181</v>
      </c>
      <c r="G125" s="12">
        <v>11812.232540901656</v>
      </c>
      <c r="H125" s="12">
        <v>11700.662359499343</v>
      </c>
      <c r="I125" s="12">
        <v>11591.346121155664</v>
      </c>
      <c r="J125" s="12">
        <v>11484.21620757886</v>
      </c>
      <c r="K125" s="12">
        <v>11379.207678429319</v>
      </c>
      <c r="L125" s="12">
        <v>11276.258140047416</v>
      </c>
      <c r="M125" s="12">
        <v>11175.307621828268</v>
      </c>
      <c r="N125" s="12">
        <v>11076.298459728718</v>
      </c>
      <c r="O125" s="12">
        <v>10979.175186431065</v>
      </c>
      <c r="P125" s="12">
        <v>10883.884427723931</v>
      </c>
      <c r="Q125" s="12">
        <v>10790.374804693571</v>
      </c>
      <c r="R125" s="12">
        <v>10698.596841348957</v>
      </c>
      <c r="S125" s="12">
        <v>10608.502877331764</v>
      </c>
      <c r="T125" s="12">
        <v>10520.046985387615</v>
      </c>
      <c r="U125" s="12">
        <v>10433.184893298312</v>
      </c>
      <c r="V125" s="12">
        <v>10347.87390999632</v>
      </c>
      <c r="W125" s="12">
        <v>10264.072855602328</v>
      </c>
      <c r="X125" s="12">
        <v>10181.741995145072</v>
      </c>
      <c r="Y125" s="12">
        <v>10100.842975739246</v>
      </c>
      <c r="Z125" s="18"/>
    </row>
    <row r="126" spans="3:26" x14ac:dyDescent="0.25">
      <c r="C126" s="5" t="str">
        <f>'Model-1'!N80</f>
        <v>Ikke-udnyttet affald</v>
      </c>
      <c r="D126" s="14" t="str">
        <f>_xlfn.LET(_xlpm.label,'Model-1'!O80,IF(ISBLANK(_xlpm.label),"",_xlpm.label))</f>
        <v>ton</v>
      </c>
      <c r="E126" s="16">
        <v>1899.1570242607538</v>
      </c>
      <c r="F126" s="16">
        <v>73.87289891681985</v>
      </c>
      <c r="G126" s="16">
        <v>187.76745909834472</v>
      </c>
      <c r="H126" s="16">
        <v>299.33764050065747</v>
      </c>
      <c r="I126" s="16">
        <v>408.65387884433494</v>
      </c>
      <c r="J126" s="16">
        <v>515.78379242113942</v>
      </c>
      <c r="K126" s="16">
        <v>620.792321570681</v>
      </c>
      <c r="L126" s="16">
        <v>723.74185995258495</v>
      </c>
      <c r="M126" s="16">
        <v>824.6923781717328</v>
      </c>
      <c r="N126" s="16">
        <v>923.70154027128319</v>
      </c>
      <c r="O126" s="16">
        <v>1020.8248135689355</v>
      </c>
      <c r="P126" s="16">
        <v>1116.115572276068</v>
      </c>
      <c r="Q126" s="16">
        <v>1209.6251953064293</v>
      </c>
      <c r="R126" s="16">
        <v>1301.4031586510437</v>
      </c>
      <c r="S126" s="16">
        <v>1391.4971226682353</v>
      </c>
      <c r="T126" s="16">
        <v>1479.9530146123859</v>
      </c>
      <c r="U126" s="16">
        <v>1566.815106701687</v>
      </c>
      <c r="V126" s="16">
        <v>1652.12609000368</v>
      </c>
      <c r="W126" s="16">
        <v>1735.9271443976722</v>
      </c>
      <c r="X126" s="16">
        <v>1818.2580048549289</v>
      </c>
      <c r="Y126" s="16">
        <v>1899.1570242607538</v>
      </c>
      <c r="Z126" s="18"/>
    </row>
    <row r="127" spans="3:26" x14ac:dyDescent="0.25">
      <c r="D127" s="14" t="str">
        <f>_xlfn.LET(_xlpm.label,'Model-1'!O81,IF(ISBLANK(_xlpm.label),"",_xlpm.label))</f>
        <v/>
      </c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8"/>
    </row>
    <row r="128" spans="3:26" x14ac:dyDescent="0.25">
      <c r="C128" s="7" t="str">
        <f>'Model-1'!N82</f>
        <v>Kapacitetsudnyttelse:</v>
      </c>
      <c r="D128" s="14" t="str">
        <f>_xlfn.LET(_xlpm.label,'Model-1'!O82,IF(ISBLANK(_xlpm.label),"",_xlpm.label))</f>
        <v/>
      </c>
      <c r="E128" s="12" t="s">
        <v>245</v>
      </c>
      <c r="F128" s="12" t="s">
        <v>246</v>
      </c>
      <c r="G128" s="12" t="s">
        <v>247</v>
      </c>
      <c r="H128" s="12" t="s">
        <v>248</v>
      </c>
      <c r="I128" s="12" t="s">
        <v>249</v>
      </c>
      <c r="J128" s="12" t="s">
        <v>250</v>
      </c>
      <c r="K128" s="12" t="s">
        <v>251</v>
      </c>
      <c r="L128" s="12" t="s">
        <v>252</v>
      </c>
      <c r="M128" s="12" t="s">
        <v>253</v>
      </c>
      <c r="N128" s="12" t="s">
        <v>254</v>
      </c>
      <c r="O128" s="12" t="s">
        <v>255</v>
      </c>
      <c r="P128" s="12" t="s">
        <v>256</v>
      </c>
      <c r="Q128" s="12" t="s">
        <v>257</v>
      </c>
      <c r="R128" s="12" t="s">
        <v>258</v>
      </c>
      <c r="S128" s="12" t="s">
        <v>259</v>
      </c>
      <c r="T128" s="12" t="s">
        <v>260</v>
      </c>
      <c r="U128" s="12" t="s">
        <v>261</v>
      </c>
      <c r="V128" s="12" t="s">
        <v>262</v>
      </c>
      <c r="W128" s="12" t="s">
        <v>263</v>
      </c>
      <c r="X128" s="12" t="s">
        <v>264</v>
      </c>
      <c r="Y128" s="12" t="s">
        <v>245</v>
      </c>
      <c r="Z128" s="15"/>
    </row>
    <row r="129" spans="1:26" x14ac:dyDescent="0.25">
      <c r="C129" s="5" t="str">
        <f>'Model-1'!N83</f>
        <v>Ovn3 tonnageudnyttelse</v>
      </c>
      <c r="D129" s="14" t="str">
        <f>_xlfn.LET(_xlpm.label,'Model-1'!O83,IF(ISBLANK(_xlpm.label),"",_xlpm.label))</f>
        <v/>
      </c>
      <c r="E129" s="2">
        <v>1</v>
      </c>
      <c r="F129" s="2">
        <v>0.99999999999999978</v>
      </c>
      <c r="G129" s="2">
        <v>1</v>
      </c>
      <c r="H129" s="2">
        <v>0.99999999999999978</v>
      </c>
      <c r="I129" s="2">
        <v>1</v>
      </c>
      <c r="J129" s="2">
        <v>1</v>
      </c>
      <c r="K129" s="2">
        <v>1</v>
      </c>
      <c r="L129" s="2">
        <v>1</v>
      </c>
      <c r="M129" s="2">
        <v>1</v>
      </c>
      <c r="N129" s="2">
        <v>1</v>
      </c>
      <c r="O129" s="2">
        <v>1</v>
      </c>
      <c r="P129" s="2">
        <v>0.99999999999999978</v>
      </c>
      <c r="Q129" s="2">
        <v>1</v>
      </c>
      <c r="R129" s="2">
        <v>1</v>
      </c>
      <c r="S129" s="2">
        <v>1</v>
      </c>
      <c r="T129" s="2">
        <v>1</v>
      </c>
      <c r="U129" s="2">
        <v>1</v>
      </c>
      <c r="V129" s="2">
        <v>1</v>
      </c>
      <c r="W129" s="2">
        <v>1</v>
      </c>
      <c r="X129" s="2">
        <v>1</v>
      </c>
      <c r="Y129" s="2">
        <v>1</v>
      </c>
      <c r="Z129" s="12"/>
    </row>
    <row r="130" spans="1:26" x14ac:dyDescent="0.25">
      <c r="C130" s="5" t="str">
        <f>'Model-1'!N84</f>
        <v>Ovn2 tonnageudnyttelse</v>
      </c>
      <c r="D130" s="14" t="str">
        <f>_xlfn.LET(_xlpm.label,'Model-1'!O84,IF(ISBLANK(_xlpm.label),"",_xlpm.label))</f>
        <v/>
      </c>
      <c r="E130" s="2">
        <v>0.3702664796633941</v>
      </c>
      <c r="F130" s="2">
        <v>0.98781922043010761</v>
      </c>
      <c r="G130" s="2">
        <v>0.94928500166278673</v>
      </c>
      <c r="H130" s="2">
        <v>0.91153719552337065</v>
      </c>
      <c r="I130" s="2">
        <v>0.87455197132616469</v>
      </c>
      <c r="J130" s="2">
        <v>0.83830645161290329</v>
      </c>
      <c r="K130" s="2">
        <v>0.80277866496327055</v>
      </c>
      <c r="L130" s="2">
        <v>0.76794750158127767</v>
      </c>
      <c r="M130" s="2">
        <v>0.7337926714688382</v>
      </c>
      <c r="N130" s="2">
        <v>0.70029466501240667</v>
      </c>
      <c r="O130" s="2">
        <v>0.66743471582181246</v>
      </c>
      <c r="P130" s="2">
        <v>0.63519476567255029</v>
      </c>
      <c r="Q130" s="2">
        <v>0.60355743141392815</v>
      </c>
      <c r="R130" s="2">
        <v>0.57250597371565126</v>
      </c>
      <c r="S130" s="2">
        <v>0.5420242675347734</v>
      </c>
      <c r="T130" s="2">
        <v>0.51209677419354838</v>
      </c>
      <c r="U130" s="2">
        <v>0.48270851496657963</v>
      </c>
      <c r="V130" s="2">
        <v>0.45384504608294923</v>
      </c>
      <c r="W130" s="2">
        <v>0.4254924350556667</v>
      </c>
      <c r="X130" s="2">
        <v>0.39763723825693248</v>
      </c>
      <c r="Y130" s="2">
        <v>0.3702664796633941</v>
      </c>
      <c r="Z130" s="12"/>
    </row>
    <row r="131" spans="1:26" x14ac:dyDescent="0.25">
      <c r="C131" s="5" t="str">
        <f>'Model-1'!N85</f>
        <v>Bortkøleanlæg udnyttelse</v>
      </c>
      <c r="D131" s="14" t="str">
        <f>_xlfn.LET(_xlpm.label,'Model-1'!O85,IF(ISBLANK(_xlpm.label),"",_xlpm.label))</f>
        <v/>
      </c>
      <c r="E131" s="2">
        <v>0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12"/>
    </row>
    <row r="132" spans="1:26" x14ac:dyDescent="0.25">
      <c r="A132" s="38"/>
      <c r="C132" s="5" t="str">
        <f>'Model-1'!N86</f>
        <v>NS-varme udnyttelse</v>
      </c>
      <c r="D132" s="14" t="str">
        <f>_xlfn.LET(_xlpm.label,'Model-1'!O86,IF(ISBLANK(_xlpm.label),"",_xlpm.label))</f>
        <v/>
      </c>
      <c r="E132" s="2">
        <v>1</v>
      </c>
      <c r="F132" s="2">
        <v>1</v>
      </c>
      <c r="G132" s="2">
        <v>1</v>
      </c>
      <c r="H132" s="2">
        <v>1</v>
      </c>
      <c r="I132" s="2">
        <v>1</v>
      </c>
      <c r="J132" s="2">
        <v>1</v>
      </c>
      <c r="K132" s="2">
        <v>1</v>
      </c>
      <c r="L132" s="2">
        <v>1</v>
      </c>
      <c r="M132" s="2">
        <v>1</v>
      </c>
      <c r="N132" s="2">
        <v>1</v>
      </c>
      <c r="O132" s="2">
        <v>1</v>
      </c>
      <c r="P132" s="2">
        <v>1</v>
      </c>
      <c r="Q132" s="2">
        <v>1</v>
      </c>
      <c r="R132" s="2">
        <v>1</v>
      </c>
      <c r="S132" s="2">
        <v>1</v>
      </c>
      <c r="T132" s="2">
        <v>1</v>
      </c>
      <c r="U132" s="2">
        <v>1</v>
      </c>
      <c r="V132" s="2">
        <v>1</v>
      </c>
      <c r="W132" s="2">
        <v>1</v>
      </c>
      <c r="X132" s="2">
        <v>1</v>
      </c>
      <c r="Y132" s="2">
        <v>1</v>
      </c>
      <c r="Z132" s="12"/>
    </row>
    <row r="133" spans="1:26" x14ac:dyDescent="0.25">
      <c r="A133" s="38"/>
      <c r="C133" s="5" t="str">
        <f>'Model-1'!N87</f>
        <v>VPO affald</v>
      </c>
      <c r="D133" s="14" t="str">
        <f>_xlfn.LET(_xlpm.label,'Model-1'!O87,IF(ISBLANK(_xlpm.label),"",_xlpm.label))</f>
        <v>kr/MWhq</v>
      </c>
      <c r="E133" s="11">
        <v>-25.711195069525662</v>
      </c>
      <c r="F133" s="11">
        <v>-36.044007947642243</v>
      </c>
      <c r="G133" s="11">
        <v>-34.880981324960246</v>
      </c>
      <c r="H133" s="11">
        <v>-33.741332256634173</v>
      </c>
      <c r="I133" s="11">
        <v>-32.624352331926232</v>
      </c>
      <c r="J133" s="11">
        <v>-31.529361476527761</v>
      </c>
      <c r="K133" s="11">
        <v>-30.455706549766241</v>
      </c>
      <c r="L133" s="11">
        <v>-29.402760024328717</v>
      </c>
      <c r="M133" s="11">
        <v>-36.727993818352502</v>
      </c>
      <c r="N133" s="11">
        <v>-35.714677821961345</v>
      </c>
      <c r="O133" s="11">
        <v>-34.720329245325452</v>
      </c>
      <c r="P133" s="11">
        <v>-33.744411274678271</v>
      </c>
      <c r="Q133" s="11">
        <v>-32.7864071640576</v>
      </c>
      <c r="R133" s="11">
        <v>-31.845819306240379</v>
      </c>
      <c r="S133" s="11">
        <v>-30.922168354819217</v>
      </c>
      <c r="T133" s="11">
        <v>-30.014992394165059</v>
      </c>
      <c r="U133" s="11">
        <v>-29.12384615425723</v>
      </c>
      <c r="V133" s="11">
        <v>-28.248300267575697</v>
      </c>
      <c r="W133" s="11">
        <v>-27.387940565450815</v>
      </c>
      <c r="X133" s="11">
        <v>-26.542367411446836</v>
      </c>
      <c r="Y133" s="11">
        <v>-25.711195069525662</v>
      </c>
      <c r="Z133" s="12"/>
    </row>
    <row r="134" spans="1:26" x14ac:dyDescent="0.25">
      <c r="Z134" s="12"/>
    </row>
    <row r="135" spans="1:26" x14ac:dyDescent="0.25">
      <c r="Z135" s="18"/>
    </row>
    <row r="136" spans="1:26" x14ac:dyDescent="0.25">
      <c r="Z136" s="12"/>
    </row>
    <row r="137" spans="1:26" x14ac:dyDescent="0.25">
      <c r="Z137" s="12"/>
    </row>
    <row r="138" spans="1:26" x14ac:dyDescent="0.25">
      <c r="Z138" s="12"/>
    </row>
    <row r="139" spans="1:26" x14ac:dyDescent="0.25">
      <c r="Z139" s="12"/>
    </row>
    <row r="140" spans="1:26" x14ac:dyDescent="0.25">
      <c r="Z140" s="12"/>
    </row>
    <row r="141" spans="1:26" x14ac:dyDescent="0.25">
      <c r="A141" s="38"/>
      <c r="Z141" s="12"/>
    </row>
    <row r="142" spans="1:26" x14ac:dyDescent="0.25">
      <c r="A142" s="38"/>
      <c r="B142" s="38"/>
      <c r="Z142" s="12"/>
    </row>
    <row r="143" spans="1:26" x14ac:dyDescent="0.25">
      <c r="Z143" s="16"/>
    </row>
    <row r="144" spans="1:26" x14ac:dyDescent="0.25">
      <c r="Z144" s="12"/>
    </row>
    <row r="145" spans="26:26" x14ac:dyDescent="0.25">
      <c r="Z145" s="12"/>
    </row>
    <row r="146" spans="26:26" x14ac:dyDescent="0.25">
      <c r="Z146" s="2"/>
    </row>
    <row r="147" spans="26:26" x14ac:dyDescent="0.25">
      <c r="Z147" s="2"/>
    </row>
    <row r="148" spans="26:26" x14ac:dyDescent="0.25">
      <c r="Z148" s="2"/>
    </row>
  </sheetData>
  <customSheetViews>
    <customSheetView guid="{D61959C2-356A-4414-A70C-587540F5DA06}" scale="85" hiddenRows="1" topLeftCell="B5">
      <selection activeCell="E109" sqref="E109:Y109"/>
      <pageMargins left="0.7" right="0.7" top="0.75" bottom="0.75" header="0.3" footer="0.3"/>
      <pageSetup paperSize="9" orientation="portrait" r:id="rId1"/>
    </customSheetView>
    <customSheetView guid="{01B8EE19-BF49-4F3C-9D6B-CD607AE52779}" scale="85" hiddenRows="1" topLeftCell="B5">
      <selection activeCell="E109" sqref="E109:Y109"/>
      <pageMargins left="0.7" right="0.7" top="0.75" bottom="0.75" header="0.3" footer="0.3"/>
      <pageSetup paperSize="9" orientation="portrait" r:id="rId2"/>
    </customSheetView>
    <customSheetView guid="{2B82E035-636B-4F9F-846A-FEE8C149952C}" scale="85" hiddenRows="1" topLeftCell="B5">
      <selection activeCell="E109" sqref="E109:Y109"/>
      <pageMargins left="0.7" right="0.7" top="0.75" bottom="0.75" header="0.3" footer="0.3"/>
      <pageSetup paperSize="9" orientation="portrait" r:id="rId3"/>
    </customSheetView>
    <customSheetView guid="{B8935784-587B-4D0A-AED7-A4A9B4EF97F4}" scale="85" hiddenRows="1" topLeftCell="B5">
      <selection activeCell="E109" sqref="E109:Y109"/>
      <pageMargins left="0.7" right="0.7" top="0.75" bottom="0.75" header="0.3" footer="0.3"/>
      <pageSetup paperSize="9" orientation="portrait" r:id="rId4"/>
    </customSheetView>
    <customSheetView guid="{EEB625C4-AF57-4951-B4C5-8C71271FF126}" scale="85" hiddenRows="1" topLeftCell="B5">
      <selection activeCell="E109" sqref="E109:Y109"/>
      <pageMargins left="0.7" right="0.7" top="0.75" bottom="0.75" header="0.3" footer="0.3"/>
      <pageSetup paperSize="9" orientation="portrait" r:id="rId5"/>
    </customSheetView>
  </customSheetViews>
  <phoneticPr fontId="14" type="noConversion"/>
  <conditionalFormatting sqref="E7:Y7">
    <cfRule type="cellIs" dxfId="8" priority="5" operator="greaterThan">
      <formula>0</formula>
    </cfRule>
  </conditionalFormatting>
  <conditionalFormatting sqref="D79:D88 D54:D75">
    <cfRule type="cellIs" dxfId="7" priority="4" operator="notEqual">
      <formula>0</formula>
    </cfRule>
  </conditionalFormatting>
  <conditionalFormatting sqref="B16:B37">
    <cfRule type="cellIs" dxfId="6" priority="2" operator="notEqual">
      <formula>0</formula>
    </cfRule>
  </conditionalFormatting>
  <conditionalFormatting sqref="B41:B50">
    <cfRule type="cellIs" dxfId="5" priority="1" operator="notEqual">
      <formula>0</formula>
    </cfRule>
  </conditionalFormatting>
  <dataValidations count="2">
    <dataValidation type="list" allowBlank="1" showInputMessage="1" showErrorMessage="1" sqref="A41:A50 C79:C89 A16:A36 C54:C75" xr:uid="{1E94A7E2-205B-4EB1-8F0B-15D4AD919DF3}">
      <formula1>ranResultNames</formula1>
    </dataValidation>
    <dataValidation type="list" allowBlank="1" showInputMessage="1" showErrorMessage="1" sqref="C78 A40" xr:uid="{FBD01BC9-266F-4D8F-923C-A8B4F04F245A}">
      <formula1>ranInputNames</formula1>
    </dataValidation>
  </dataValidations>
  <pageMargins left="0.7" right="0.7" top="0.75" bottom="0.75" header="0.3" footer="0.3"/>
  <pageSetup paperSize="9" orientation="portrait" r:id="rId6"/>
  <drawing r:id="rId7"/>
  <legacyDrawing r:id="rId8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B09946C-3155-4A34-9BC8-B9BC0E24C3D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Scenarier!E79:Y79</xm:f>
              <xm:sqref>A93</xm:sqref>
            </x14:sparkline>
            <x14:sparkline>
              <xm:f>Scenarier!E80:Y80</xm:f>
              <xm:sqref>A94</xm:sqref>
            </x14:sparkline>
            <x14:sparkline>
              <xm:f>Scenarier!E81:Y81</xm:f>
              <xm:sqref>A95</xm:sqref>
            </x14:sparkline>
            <x14:sparkline>
              <xm:f>Scenarier!E82:Y82</xm:f>
              <xm:sqref>A96</xm:sqref>
            </x14:sparkline>
            <x14:sparkline>
              <xm:f>Scenarier!E83:Y83</xm:f>
              <xm:sqref>A97</xm:sqref>
            </x14:sparkline>
            <x14:sparkline>
              <xm:f>Scenarier!E84:Y84</xm:f>
              <xm:sqref>A98</xm:sqref>
            </x14:sparkline>
            <x14:sparkline>
              <xm:f>Scenarier!E85:Y85</xm:f>
              <xm:sqref>A99</xm:sqref>
            </x14:sparkline>
            <x14:sparkline>
              <xm:f>Scenarier!E86:Y86</xm:f>
              <xm:sqref>A100</xm:sqref>
            </x14:sparkline>
            <x14:sparkline>
              <xm:f>Scenarier!E87:Y87</xm:f>
              <xm:sqref>A101</xm:sqref>
            </x14:sparkline>
            <x14:sparkline>
              <xm:f>Scenarier!E88:Y88</xm:f>
              <xm:sqref>A102</xm:sqref>
            </x14:sparkline>
            <x14:sparkline>
              <xm:f>Scenarier!E89:Y89</xm:f>
              <xm:sqref>A103</xm:sqref>
            </x14:sparkline>
            <x14:sparkline>
              <xm:f>Scenarier!E90:Y90</xm:f>
              <xm:sqref>A104</xm:sqref>
            </x14:sparkline>
            <x14:sparkline>
              <xm:f>Scenarier!E91:Y91</xm:f>
              <xm:sqref>A105</xm:sqref>
            </x14:sparkline>
            <x14:sparkline>
              <xm:f>Scenarier!E92:Y92</xm:f>
              <xm:sqref>A106</xm:sqref>
            </x14:sparkline>
            <x14:sparkline>
              <xm:f>Scenarier!E93:Y93</xm:f>
              <xm:sqref>A107</xm:sqref>
            </x14:sparkline>
            <x14:sparkline>
              <xm:f>Scenarier!E94:Y94</xm:f>
              <xm:sqref>A108</xm:sqref>
            </x14:sparkline>
            <x14:sparkline>
              <xm:f>Scenarier!E95:Y95</xm:f>
              <xm:sqref>A109</xm:sqref>
            </x14:sparkline>
            <x14:sparkline>
              <xm:f>Scenarier!E96:Y96</xm:f>
              <xm:sqref>A110</xm:sqref>
            </x14:sparkline>
            <x14:sparkline>
              <xm:f>Scenarier!E97:Y97</xm:f>
              <xm:sqref>A111</xm:sqref>
            </x14:sparkline>
            <x14:sparkline>
              <xm:f>Scenarier!E98:Y98</xm:f>
              <xm:sqref>A112</xm:sqref>
            </x14:sparkline>
            <x14:sparkline>
              <xm:f>Scenarier!E99:Y99</xm:f>
              <xm:sqref>A113</xm:sqref>
            </x14:sparkline>
            <x14:sparkline>
              <xm:f>Scenarier!E100:Y100</xm:f>
              <xm:sqref>A114</xm:sqref>
            </x14:sparkline>
            <x14:sparkline>
              <xm:f>Scenarier!E101:Y101</xm:f>
              <xm:sqref>A115</xm:sqref>
            </x14:sparkline>
            <x14:sparkline>
              <xm:f>Scenarier!E102:Y102</xm:f>
              <xm:sqref>A116</xm:sqref>
            </x14:sparkline>
            <x14:sparkline>
              <xm:f>Scenarier!E103:Y103</xm:f>
              <xm:sqref>A117</xm:sqref>
            </x14:sparkline>
            <x14:sparkline>
              <xm:f>Scenarier!E104:Y104</xm:f>
              <xm:sqref>A118</xm:sqref>
            </x14:sparkline>
            <x14:sparkline>
              <xm:f>Scenarier!E105:Y105</xm:f>
              <xm:sqref>A119</xm:sqref>
            </x14:sparkline>
            <x14:sparkline>
              <xm:f>Scenarier!E106:Y106</xm:f>
              <xm:sqref>A120</xm:sqref>
            </x14:sparkline>
            <x14:sparkline>
              <xm:f>Scenarier!E107:Y107</xm:f>
              <xm:sqref>A121</xm:sqref>
            </x14:sparkline>
            <x14:sparkline>
              <xm:f>Scenarier!E108:Y108</xm:f>
              <xm:sqref>A122</xm:sqref>
            </x14:sparkline>
            <x14:sparkline>
              <xm:f>Scenarier!E109:Y109</xm:f>
              <xm:sqref>A123</xm:sqref>
            </x14:sparkline>
            <x14:sparkline>
              <xm:f>Scenarier!E110:Y110</xm:f>
              <xm:sqref>A124</xm:sqref>
            </x14:sparkline>
            <x14:sparkline>
              <xm:f>Scenarier!E111:Y111</xm:f>
              <xm:sqref>A125</xm:sqref>
            </x14:sparkline>
            <x14:sparkline>
              <xm:f>Scenarier!E112:Y112</xm:f>
              <xm:sqref>A126</xm:sqref>
            </x14:sparkline>
            <x14:sparkline>
              <xm:f>Scenarier!E113:Y113</xm:f>
              <xm:sqref>A127</xm:sqref>
            </x14:sparkline>
            <x14:sparkline>
              <xm:f>Scenarier!E114:Y114</xm:f>
              <xm:sqref>A128</xm:sqref>
            </x14:sparkline>
            <x14:sparkline>
              <xm:f>Scenarier!E115:Y115</xm:f>
              <xm:sqref>A129</xm:sqref>
            </x14:sparkline>
            <x14:sparkline>
              <xm:f>Scenarier!E116:Y116</xm:f>
              <xm:sqref>A130</xm:sqref>
            </x14:sparkline>
            <x14:sparkline>
              <xm:f>Scenarier!E117:Y117</xm:f>
              <xm:sqref>A131</xm:sqref>
            </x14:sparkline>
          </x14:sparklines>
        </x14:sparklineGroup>
        <x14:sparklineGroup displayEmptyCellsAs="gap" xr2:uid="{AD7BC6D0-95CF-4981-A1F0-1D2D7ECBE1BD}">
          <x14:colorSeries rgb="FF00B05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Scenarier!E8:Y8</xm:f>
              <xm:sqref>A8</xm:sqref>
            </x14:sparkline>
            <x14:sparkline>
              <xm:f>Scenarier!E9:Y9</xm:f>
              <xm:sqref>A9</xm:sqref>
            </x14:sparkline>
            <x14:sparkline>
              <xm:f>Scenarier!E10:Y10</xm:f>
              <xm:sqref>A10</xm:sqref>
            </x14:sparkline>
            <x14:sparkline>
              <xm:f>Scenarier!E11:Y11</xm:f>
              <xm:sqref>A11</xm:sqref>
            </x14:sparkline>
            <x14:sparkline>
              <xm:f>Scenarier!E12:Y12</xm:f>
              <xm:sqref>A12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54189-028E-4B88-AC75-E88799B17CAC}">
  <sheetPr codeName="Sheet2"/>
  <dimension ref="A1:AL120"/>
  <sheetViews>
    <sheetView tabSelected="1" zoomScale="85" zoomScaleNormal="100" workbookViewId="0">
      <selection activeCell="C4" sqref="C4"/>
    </sheetView>
  </sheetViews>
  <sheetFormatPr defaultRowHeight="15" x14ac:dyDescent="0.25"/>
  <cols>
    <col min="1" max="1" width="28.5703125" customWidth="1"/>
    <col min="2" max="2" width="12.28515625" style="5" customWidth="1"/>
    <col min="3" max="3" width="9.5703125" customWidth="1"/>
    <col min="4" max="5" width="9.140625" customWidth="1"/>
    <col min="6" max="6" width="9.42578125" customWidth="1"/>
    <col min="7" max="7" width="2.85546875" style="45" customWidth="1"/>
    <col min="8" max="8" width="34.28515625" customWidth="1"/>
    <col min="9" max="9" width="11" style="5" customWidth="1"/>
    <col min="10" max="10" width="13.28515625" style="12" customWidth="1"/>
    <col min="11" max="11" width="14.42578125" style="12" customWidth="1"/>
    <col min="12" max="12" width="14.42578125" customWidth="1"/>
    <col min="13" max="13" width="2.85546875" style="45" customWidth="1"/>
    <col min="14" max="14" width="30.7109375" bestFit="1" customWidth="1"/>
    <col min="15" max="15" width="8.42578125" style="70" bestFit="1" customWidth="1"/>
    <col min="16" max="16" width="10" style="12" bestFit="1" customWidth="1"/>
    <col min="17" max="17" width="14.42578125" style="12" bestFit="1" customWidth="1"/>
    <col min="18" max="18" width="15.7109375" bestFit="1" customWidth="1"/>
    <col min="19" max="19" width="4.140625" customWidth="1"/>
    <col min="20" max="20" width="29.7109375" style="5" customWidth="1"/>
    <col min="21" max="22" width="13" customWidth="1"/>
    <col min="24" max="24" width="8.5703125" customWidth="1"/>
  </cols>
  <sheetData>
    <row r="1" spans="1:38" ht="33.75" customHeight="1" x14ac:dyDescent="0.25">
      <c r="A1" s="147" t="s">
        <v>242</v>
      </c>
      <c r="B1" s="148"/>
      <c r="C1" s="148"/>
      <c r="D1" s="148"/>
      <c r="E1" s="148"/>
      <c r="F1" s="149"/>
      <c r="G1" s="49"/>
      <c r="H1" s="150" t="str">
        <f>"Resultat for "&amp;C5&amp;" ton fast fossilt affald, "&amp;C6&amp;" ton frit fossilt affald, " &amp;BioTonnage&amp;" ton bioaffald, Varmebehov "&amp;TEXT(Qdemand,"#.##0")&amp;" MWh, NS-varme "&amp;TEXT(NSvarme,"#.##0")&amp;" MWh, RGK-grad "&amp;TEXT(RGKudnyttelse,"0 %")</f>
        <v>Resultat for 9000 ton fast fossilt affald, 3000 ton frit fossilt affald, 0 ton bioaffald, Varmebehov 28.000 MWh, NS-varme 4.000 MWh, RGK-grad 100 %</v>
      </c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</row>
    <row r="2" spans="1:38" ht="15.75" thickBot="1" x14ac:dyDescent="0.3">
      <c r="A2" s="54"/>
      <c r="B2" s="55"/>
      <c r="C2" s="56"/>
      <c r="D2" s="56"/>
      <c r="E2" s="56"/>
      <c r="F2" s="57"/>
      <c r="G2" s="49"/>
      <c r="H2" s="49"/>
      <c r="I2" s="50"/>
      <c r="J2" s="51"/>
      <c r="K2" s="51"/>
      <c r="L2" s="49"/>
      <c r="M2" s="49"/>
      <c r="N2" s="49"/>
      <c r="O2" s="69"/>
      <c r="P2" s="51"/>
      <c r="Q2" s="51"/>
      <c r="R2" s="49"/>
      <c r="S2" s="49"/>
      <c r="T2" s="53"/>
      <c r="U2" s="49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49"/>
      <c r="AK2" s="49"/>
      <c r="AL2" s="66" t="str">
        <f>"Økonomiske nøgletal "</f>
        <v xml:space="preserve">Økonomiske nøgletal </v>
      </c>
    </row>
    <row r="3" spans="1:38" x14ac:dyDescent="0.25">
      <c r="A3" s="102" t="s">
        <v>131</v>
      </c>
      <c r="B3" s="103" t="s">
        <v>47</v>
      </c>
      <c r="C3" s="104" t="s">
        <v>206</v>
      </c>
      <c r="D3" s="104"/>
      <c r="E3" s="104"/>
      <c r="F3" s="105"/>
      <c r="G3" s="49"/>
      <c r="H3" s="49"/>
      <c r="I3" s="50"/>
      <c r="J3" s="51"/>
      <c r="K3" s="51"/>
      <c r="L3" s="49"/>
      <c r="M3" s="49"/>
      <c r="N3" s="49"/>
      <c r="O3" s="69"/>
      <c r="P3" s="51"/>
      <c r="Q3" s="51"/>
      <c r="R3" s="49"/>
      <c r="S3" s="49"/>
      <c r="T3" s="50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67" t="str">
        <f>"Økonomi: Med RGK ift. Uden RGK"</f>
        <v>Økonomi: Med RGK ift. Uden RGK</v>
      </c>
    </row>
    <row r="4" spans="1:38" x14ac:dyDescent="0.25">
      <c r="A4" s="106" t="s">
        <v>202</v>
      </c>
      <c r="B4" s="55" t="s">
        <v>41</v>
      </c>
      <c r="C4" s="59">
        <v>28000</v>
      </c>
      <c r="D4" s="56"/>
      <c r="E4" s="56"/>
      <c r="F4" s="107"/>
      <c r="G4" s="49"/>
      <c r="H4" s="49"/>
      <c r="I4" s="50"/>
      <c r="J4" s="51"/>
      <c r="K4" s="51"/>
      <c r="L4" s="49"/>
      <c r="M4" s="49"/>
      <c r="N4" s="49"/>
      <c r="O4" s="69"/>
      <c r="P4" s="51"/>
      <c r="Q4" s="51"/>
      <c r="R4" s="49"/>
      <c r="S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67" t="str">
        <f>"Varmemængder"</f>
        <v>Varmemængder</v>
      </c>
    </row>
    <row r="5" spans="1:38" x14ac:dyDescent="0.25">
      <c r="A5" s="106" t="s">
        <v>294</v>
      </c>
      <c r="B5" s="55" t="s">
        <v>16</v>
      </c>
      <c r="C5" s="59">
        <v>9000</v>
      </c>
      <c r="D5" s="56"/>
      <c r="E5" s="56"/>
      <c r="F5" s="107"/>
      <c r="G5" s="49"/>
      <c r="H5" s="49"/>
      <c r="I5" s="50"/>
      <c r="J5" s="51"/>
      <c r="K5" s="51"/>
      <c r="L5" s="49"/>
      <c r="M5" s="49"/>
      <c r="N5" s="49"/>
      <c r="O5" s="69"/>
      <c r="P5" s="51"/>
      <c r="Q5" s="51"/>
      <c r="R5" s="49"/>
      <c r="S5" s="49"/>
      <c r="T5" s="50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67" t="s">
        <v>148</v>
      </c>
    </row>
    <row r="6" spans="1:38" x14ac:dyDescent="0.25">
      <c r="A6" s="106" t="s">
        <v>295</v>
      </c>
      <c r="B6" s="55" t="s">
        <v>16</v>
      </c>
      <c r="C6" s="59">
        <v>3000</v>
      </c>
      <c r="D6" s="56"/>
      <c r="E6" s="56"/>
      <c r="F6" s="107"/>
      <c r="G6" s="49"/>
      <c r="H6" s="49"/>
      <c r="I6" s="50"/>
      <c r="J6" s="51"/>
      <c r="K6" s="51"/>
      <c r="L6" s="49"/>
      <c r="M6" s="49"/>
      <c r="N6" s="49"/>
      <c r="O6" s="69"/>
      <c r="P6" s="51"/>
      <c r="Q6" s="51"/>
      <c r="R6" s="49"/>
      <c r="S6" s="49"/>
      <c r="T6" s="50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49"/>
      <c r="AK6" s="49"/>
      <c r="AL6" t="s">
        <v>244</v>
      </c>
    </row>
    <row r="7" spans="1:38" x14ac:dyDescent="0.25">
      <c r="A7" s="106" t="s">
        <v>204</v>
      </c>
      <c r="B7" s="55" t="s">
        <v>16</v>
      </c>
      <c r="C7" s="59">
        <v>0</v>
      </c>
      <c r="D7" s="56"/>
      <c r="E7" s="56"/>
      <c r="F7" s="107"/>
      <c r="G7" s="49"/>
      <c r="H7" s="49"/>
      <c r="I7" s="50"/>
      <c r="J7" s="51"/>
      <c r="K7" s="51"/>
      <c r="L7" s="49"/>
      <c r="M7" s="49"/>
      <c r="N7" s="49"/>
      <c r="O7" s="69"/>
      <c r="P7" s="51"/>
      <c r="Q7" s="51"/>
      <c r="R7" s="49"/>
      <c r="S7" s="49"/>
      <c r="T7" s="50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 t="s">
        <v>149</v>
      </c>
    </row>
    <row r="8" spans="1:38" x14ac:dyDescent="0.25">
      <c r="A8" s="106" t="s">
        <v>130</v>
      </c>
      <c r="B8" s="55" t="s">
        <v>132</v>
      </c>
      <c r="C8" s="60">
        <v>1</v>
      </c>
      <c r="D8" s="56"/>
      <c r="E8" s="56"/>
      <c r="F8" s="107"/>
      <c r="G8" s="49"/>
      <c r="H8" s="49"/>
      <c r="I8" s="50"/>
      <c r="J8" s="51"/>
      <c r="K8" s="51"/>
      <c r="L8" s="49"/>
      <c r="M8" s="49"/>
      <c r="N8" s="49"/>
      <c r="O8" s="69"/>
      <c r="P8" s="51"/>
      <c r="Q8" s="51"/>
      <c r="R8" s="49"/>
      <c r="S8" s="49"/>
      <c r="T8" s="50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49"/>
      <c r="AI8" s="49"/>
      <c r="AJ8" s="49"/>
      <c r="AK8" s="49"/>
    </row>
    <row r="9" spans="1:38" ht="15.75" thickBot="1" x14ac:dyDescent="0.3">
      <c r="A9" s="108" t="s">
        <v>205</v>
      </c>
      <c r="B9" s="109" t="s">
        <v>41</v>
      </c>
      <c r="C9" s="110">
        <v>4000</v>
      </c>
      <c r="D9" s="111"/>
      <c r="E9" s="111"/>
      <c r="F9" s="112"/>
      <c r="G9" s="49"/>
      <c r="H9" s="49"/>
      <c r="I9" s="50"/>
      <c r="J9" s="51"/>
      <c r="K9" s="51"/>
      <c r="L9" s="49"/>
      <c r="M9" s="49"/>
      <c r="N9" s="49"/>
      <c r="O9" s="69"/>
      <c r="P9" s="51"/>
      <c r="Q9" s="51"/>
      <c r="R9" s="49"/>
      <c r="S9" s="49"/>
      <c r="T9" s="50"/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  <c r="AI9" s="49"/>
      <c r="AJ9" s="49"/>
      <c r="AK9" s="49"/>
    </row>
    <row r="10" spans="1:38" ht="15.75" thickBot="1" x14ac:dyDescent="0.3">
      <c r="A10" s="58"/>
      <c r="B10" s="55"/>
      <c r="C10" s="56"/>
      <c r="D10" s="56"/>
      <c r="E10" s="56"/>
      <c r="F10" s="57"/>
      <c r="G10" s="49"/>
      <c r="H10" s="49"/>
      <c r="I10" s="50"/>
      <c r="J10" s="51"/>
      <c r="K10" s="51"/>
      <c r="L10" s="49"/>
      <c r="M10" s="49"/>
      <c r="N10" s="49"/>
      <c r="O10" s="69"/>
      <c r="P10" s="51"/>
      <c r="Q10" s="51"/>
      <c r="R10" s="49"/>
      <c r="S10" s="49"/>
      <c r="T10" s="50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</row>
    <row r="11" spans="1:38" x14ac:dyDescent="0.25">
      <c r="A11" s="102" t="s">
        <v>14</v>
      </c>
      <c r="B11" s="103"/>
      <c r="C11" s="104" t="s">
        <v>0</v>
      </c>
      <c r="D11" s="104" t="s">
        <v>1</v>
      </c>
      <c r="E11" s="104" t="s">
        <v>7</v>
      </c>
      <c r="F11" s="113" t="s">
        <v>141</v>
      </c>
      <c r="G11" s="49"/>
      <c r="H11" s="49"/>
      <c r="I11" s="50"/>
      <c r="J11" s="51"/>
      <c r="K11" s="51"/>
      <c r="L11" s="49"/>
      <c r="M11" s="49"/>
      <c r="N11" s="49"/>
      <c r="O11" s="69"/>
      <c r="P11" s="51"/>
      <c r="Q11" s="51"/>
      <c r="R11" s="49"/>
      <c r="S11" s="49"/>
      <c r="T11" s="50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</row>
    <row r="12" spans="1:38" x14ac:dyDescent="0.25">
      <c r="A12" s="106" t="s">
        <v>12</v>
      </c>
      <c r="B12" s="55"/>
      <c r="C12" s="56">
        <v>31</v>
      </c>
      <c r="D12" s="56">
        <v>31</v>
      </c>
      <c r="E12" s="56">
        <v>31</v>
      </c>
      <c r="F12" s="107"/>
      <c r="G12" s="49"/>
      <c r="H12" s="49"/>
      <c r="I12" s="50"/>
      <c r="J12" s="51"/>
      <c r="K12" s="51"/>
      <c r="L12" s="49"/>
      <c r="M12" s="49"/>
      <c r="N12" s="49"/>
      <c r="O12" s="69"/>
      <c r="P12" s="51"/>
      <c r="Q12" s="51"/>
      <c r="R12" s="49"/>
      <c r="S12" s="49"/>
      <c r="T12" s="50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49"/>
      <c r="AK12" s="49"/>
    </row>
    <row r="13" spans="1:38" x14ac:dyDescent="0.25">
      <c r="A13" s="106" t="s">
        <v>2</v>
      </c>
      <c r="B13" s="55" t="s">
        <v>3</v>
      </c>
      <c r="C13" s="56">
        <v>9.5</v>
      </c>
      <c r="D13" s="56">
        <v>22.5</v>
      </c>
      <c r="E13" s="56">
        <v>15</v>
      </c>
      <c r="F13" s="107"/>
      <c r="G13" s="49"/>
      <c r="H13" s="49"/>
      <c r="I13" s="50"/>
      <c r="J13" s="51"/>
      <c r="K13" s="51"/>
      <c r="L13" s="49"/>
      <c r="M13" s="49"/>
      <c r="N13" s="49"/>
      <c r="O13" s="69"/>
      <c r="P13" s="51"/>
      <c r="Q13" s="51"/>
      <c r="R13" s="49"/>
      <c r="S13" s="49"/>
      <c r="T13" s="50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</row>
    <row r="14" spans="1:38" x14ac:dyDescent="0.25">
      <c r="A14" s="106" t="s">
        <v>8</v>
      </c>
      <c r="B14" s="55" t="s">
        <v>3</v>
      </c>
      <c r="C14" s="56">
        <v>2</v>
      </c>
      <c r="D14" s="56">
        <v>5.5</v>
      </c>
      <c r="E14" s="56"/>
      <c r="F14" s="107"/>
      <c r="G14" s="49"/>
      <c r="H14" s="49"/>
      <c r="I14" s="50"/>
      <c r="J14" s="51"/>
      <c r="K14" s="51"/>
      <c r="L14" s="49"/>
      <c r="M14" s="49"/>
      <c r="N14" s="49"/>
      <c r="O14" s="69"/>
      <c r="P14" s="51"/>
      <c r="Q14" s="51"/>
      <c r="R14" s="49"/>
      <c r="S14" s="49"/>
      <c r="T14" s="50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</row>
    <row r="15" spans="1:38" x14ac:dyDescent="0.25">
      <c r="A15" s="106" t="s">
        <v>4</v>
      </c>
      <c r="B15" s="55" t="s">
        <v>5</v>
      </c>
      <c r="C15" s="56"/>
      <c r="D15" s="56">
        <v>8</v>
      </c>
      <c r="E15" s="56"/>
      <c r="F15" s="107"/>
      <c r="G15" s="49"/>
      <c r="H15" s="49"/>
      <c r="I15" s="50"/>
      <c r="J15" s="51"/>
      <c r="K15" s="51"/>
      <c r="L15" s="49"/>
      <c r="M15" s="49"/>
      <c r="N15" s="49"/>
      <c r="O15" s="69"/>
      <c r="P15" s="51"/>
      <c r="Q15" s="51"/>
      <c r="R15" s="49"/>
      <c r="S15" s="49"/>
      <c r="T15" s="50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49"/>
      <c r="AK15" s="49"/>
    </row>
    <row r="16" spans="1:38" x14ac:dyDescent="0.25">
      <c r="A16" s="106" t="s">
        <v>6</v>
      </c>
      <c r="B16" s="55" t="s">
        <v>13</v>
      </c>
      <c r="C16" s="56"/>
      <c r="D16" s="56">
        <v>25</v>
      </c>
      <c r="E16" s="56"/>
      <c r="F16" s="107"/>
      <c r="G16" s="49"/>
      <c r="H16" s="49"/>
      <c r="I16" s="50"/>
      <c r="J16" s="51"/>
      <c r="K16" s="51"/>
      <c r="L16" s="49"/>
      <c r="M16" s="49"/>
      <c r="N16" s="49"/>
      <c r="O16" s="69"/>
      <c r="P16" s="51"/>
      <c r="Q16" s="51"/>
      <c r="R16" s="49"/>
      <c r="S16" s="49"/>
      <c r="T16" s="50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  <c r="AK16" s="49"/>
    </row>
    <row r="17" spans="1:37" x14ac:dyDescent="0.25">
      <c r="A17" s="106" t="s">
        <v>9</v>
      </c>
      <c r="B17" s="55"/>
      <c r="C17" s="61">
        <v>0.84399999999999997</v>
      </c>
      <c r="D17" s="61">
        <v>0.65600000000000003</v>
      </c>
      <c r="E17" s="56"/>
      <c r="F17" s="107"/>
      <c r="G17" s="49"/>
      <c r="H17" s="49"/>
      <c r="I17" s="50"/>
      <c r="J17" s="51"/>
      <c r="K17" s="51"/>
      <c r="L17" s="49"/>
      <c r="M17" s="49"/>
      <c r="N17" s="49"/>
      <c r="O17" s="69"/>
      <c r="P17" s="51"/>
      <c r="Q17" s="51"/>
      <c r="R17" s="49"/>
      <c r="S17" s="49"/>
      <c r="T17" s="50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49"/>
      <c r="AK17" s="49"/>
    </row>
    <row r="18" spans="1:37" x14ac:dyDescent="0.25">
      <c r="A18" s="106" t="s">
        <v>10</v>
      </c>
      <c r="B18" s="55"/>
      <c r="C18" s="141">
        <f>$C$8*C14/C13*C17</f>
        <v>0.17768421052631578</v>
      </c>
      <c r="D18" s="141">
        <f>$C$8*D14/D13*D17</f>
        <v>0.16035555555555556</v>
      </c>
      <c r="E18" s="56"/>
      <c r="F18" s="107"/>
      <c r="G18" s="49"/>
      <c r="H18" s="49"/>
      <c r="I18" s="50"/>
      <c r="J18" s="51"/>
      <c r="K18" s="51"/>
      <c r="L18" s="49"/>
      <c r="M18" s="49"/>
      <c r="N18" s="49"/>
      <c r="O18" s="69"/>
      <c r="P18" s="51"/>
      <c r="Q18" s="51"/>
      <c r="R18" s="49"/>
      <c r="S18" s="49"/>
      <c r="T18" s="50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</row>
    <row r="19" spans="1:37" x14ac:dyDescent="0.25">
      <c r="A19" s="106" t="s">
        <v>67</v>
      </c>
      <c r="B19" s="55"/>
      <c r="C19" s="141">
        <f>SUM(C17:C18)</f>
        <v>1.0216842105263158</v>
      </c>
      <c r="D19" s="141">
        <f>SUM(D17:D18)</f>
        <v>0.81635555555555561</v>
      </c>
      <c r="E19" s="56"/>
      <c r="F19" s="107"/>
      <c r="G19" s="49"/>
      <c r="H19" s="49"/>
      <c r="I19" s="50"/>
      <c r="J19" s="51"/>
      <c r="K19" s="51"/>
      <c r="L19" s="49"/>
      <c r="M19" s="49"/>
      <c r="N19" s="49"/>
      <c r="O19" s="69"/>
      <c r="P19" s="51"/>
      <c r="Q19" s="51"/>
      <c r="R19" s="49"/>
      <c r="S19" s="49"/>
      <c r="T19" s="50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</row>
    <row r="20" spans="1:37" x14ac:dyDescent="0.25">
      <c r="A20" s="106" t="s">
        <v>11</v>
      </c>
      <c r="B20" s="55"/>
      <c r="C20" s="56"/>
      <c r="D20" s="62">
        <v>0.22470000000000001</v>
      </c>
      <c r="E20" s="56"/>
      <c r="F20" s="107"/>
      <c r="G20" s="49"/>
      <c r="H20" s="49"/>
      <c r="I20" s="50"/>
      <c r="J20" s="51"/>
      <c r="K20" s="51"/>
      <c r="L20" s="49"/>
      <c r="M20" s="49"/>
      <c r="N20" s="49"/>
      <c r="O20" s="69"/>
      <c r="P20" s="51"/>
      <c r="Q20" s="51"/>
      <c r="R20" s="49"/>
      <c r="S20" s="49"/>
      <c r="T20" s="50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</row>
    <row r="21" spans="1:37" ht="15.75" thickBot="1" x14ac:dyDescent="0.3">
      <c r="A21" s="108" t="s">
        <v>18</v>
      </c>
      <c r="B21" s="109" t="s">
        <v>19</v>
      </c>
      <c r="C21" s="111">
        <v>30</v>
      </c>
      <c r="D21" s="111">
        <v>50</v>
      </c>
      <c r="E21" s="111">
        <v>10</v>
      </c>
      <c r="F21" s="112">
        <v>10</v>
      </c>
      <c r="G21" s="49"/>
      <c r="H21" s="49"/>
      <c r="I21" s="50"/>
      <c r="J21" s="51"/>
      <c r="K21" s="51"/>
      <c r="L21" s="49"/>
      <c r="M21" s="49"/>
      <c r="N21" s="49"/>
      <c r="O21" s="69"/>
      <c r="P21" s="51"/>
      <c r="Q21" s="51"/>
      <c r="R21" s="49"/>
      <c r="S21" s="49"/>
      <c r="T21" s="50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</row>
    <row r="22" spans="1:37" ht="15.75" thickBot="1" x14ac:dyDescent="0.3">
      <c r="A22" s="58"/>
      <c r="B22" s="55"/>
      <c r="C22" s="56"/>
      <c r="D22" s="56"/>
      <c r="E22" s="56"/>
      <c r="F22" s="57"/>
      <c r="G22" s="49"/>
      <c r="H22" s="49"/>
      <c r="I22" s="50"/>
      <c r="J22" s="51"/>
      <c r="K22" s="51"/>
      <c r="L22" s="49"/>
      <c r="M22" s="49"/>
      <c r="N22" s="49"/>
      <c r="O22" s="69"/>
      <c r="P22" s="51"/>
      <c r="Q22" s="51"/>
      <c r="R22" s="49"/>
      <c r="S22" s="49"/>
      <c r="T22" s="50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</row>
    <row r="23" spans="1:37" x14ac:dyDescent="0.25">
      <c r="A23" s="115" t="s">
        <v>15</v>
      </c>
      <c r="B23" s="116"/>
      <c r="C23" s="104" t="s">
        <v>313</v>
      </c>
      <c r="D23" s="104" t="s">
        <v>312</v>
      </c>
      <c r="E23" s="104" t="s">
        <v>17</v>
      </c>
      <c r="F23" s="113" t="s">
        <v>20</v>
      </c>
      <c r="G23" s="49"/>
      <c r="H23" s="49"/>
      <c r="I23" s="50"/>
      <c r="J23" s="51"/>
      <c r="K23" s="51"/>
      <c r="L23" s="49"/>
      <c r="M23" s="49"/>
      <c r="N23" s="49"/>
      <c r="O23" s="69"/>
      <c r="P23" s="51"/>
      <c r="Q23" s="51"/>
      <c r="R23" s="49"/>
      <c r="S23" s="49"/>
      <c r="T23" s="50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</row>
    <row r="24" spans="1:37" x14ac:dyDescent="0.25">
      <c r="A24" s="106" t="s">
        <v>54</v>
      </c>
      <c r="B24" s="55"/>
      <c r="C24" s="141">
        <f>C5/SUM($C$5:$C$7)</f>
        <v>0.75</v>
      </c>
      <c r="D24" s="141">
        <f>C6/SUM($C$5:$C$7)</f>
        <v>0.25</v>
      </c>
      <c r="E24" s="141">
        <f>1-SUM(C24:D24)</f>
        <v>0</v>
      </c>
      <c r="F24" s="107"/>
      <c r="G24" s="49"/>
      <c r="H24" s="49"/>
      <c r="I24" s="50"/>
      <c r="J24" s="51"/>
      <c r="K24" s="51"/>
      <c r="L24" s="49"/>
      <c r="M24" s="49"/>
      <c r="N24" s="49"/>
      <c r="O24" s="69"/>
      <c r="P24" s="51"/>
      <c r="Q24" s="51"/>
      <c r="R24" s="49"/>
      <c r="S24" s="49"/>
      <c r="T24" s="50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</row>
    <row r="25" spans="1:37" x14ac:dyDescent="0.25">
      <c r="A25" s="106" t="s">
        <v>60</v>
      </c>
      <c r="B25" s="55" t="s">
        <v>16</v>
      </c>
      <c r="C25" s="135">
        <f>SUM(C5:C7)</f>
        <v>12000</v>
      </c>
      <c r="E25" s="56"/>
      <c r="F25" s="107"/>
      <c r="G25" s="49"/>
      <c r="H25" s="49"/>
      <c r="I25" s="50"/>
      <c r="J25" s="51"/>
      <c r="K25" s="51"/>
      <c r="L25" s="49"/>
      <c r="M25" s="49"/>
      <c r="N25" s="49"/>
      <c r="O25" s="69"/>
      <c r="P25" s="51"/>
      <c r="Q25" s="51"/>
      <c r="R25" s="49"/>
      <c r="S25" s="49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49"/>
      <c r="AK25" s="49"/>
    </row>
    <row r="26" spans="1:37" x14ac:dyDescent="0.25">
      <c r="A26" s="106" t="s">
        <v>59</v>
      </c>
      <c r="B26" s="55" t="s">
        <v>30</v>
      </c>
      <c r="C26" s="142">
        <f>(C5*LHVfossilFast+C6*LHVfossilFri+C7*LHVbiogent)/Ftotal</f>
        <v>10.275</v>
      </c>
      <c r="E26" s="63"/>
      <c r="F26" s="107"/>
      <c r="G26" s="49"/>
      <c r="H26" s="49"/>
      <c r="I26" s="50"/>
      <c r="J26" s="51"/>
      <c r="K26" s="51"/>
      <c r="L26" s="49"/>
      <c r="M26" s="49"/>
      <c r="N26" s="49"/>
      <c r="O26" s="69"/>
      <c r="P26" s="51"/>
      <c r="Q26" s="51"/>
      <c r="R26" s="49"/>
      <c r="S26" s="49"/>
      <c r="T26" s="50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</row>
    <row r="27" spans="1:37" x14ac:dyDescent="0.25">
      <c r="A27" s="106" t="s">
        <v>39</v>
      </c>
      <c r="B27" s="55" t="s">
        <v>24</v>
      </c>
      <c r="C27" s="56">
        <v>525</v>
      </c>
      <c r="D27">
        <v>400</v>
      </c>
      <c r="E27" s="56">
        <f>-6.5*3.6</f>
        <v>-23.400000000000002</v>
      </c>
      <c r="F27" s="107">
        <v>0</v>
      </c>
      <c r="G27" s="49"/>
      <c r="H27" s="49"/>
      <c r="I27" s="50"/>
      <c r="J27" s="51"/>
      <c r="K27" s="51"/>
      <c r="L27" s="49"/>
      <c r="M27" s="49"/>
      <c r="N27" s="49"/>
      <c r="O27" s="69"/>
      <c r="P27" s="51"/>
      <c r="Q27" s="51"/>
      <c r="R27" s="49"/>
      <c r="S27" s="49"/>
      <c r="T27" s="50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</row>
    <row r="28" spans="1:37" x14ac:dyDescent="0.25">
      <c r="A28" s="106" t="s">
        <v>29</v>
      </c>
      <c r="B28" s="55" t="s">
        <v>30</v>
      </c>
      <c r="C28" s="56">
        <v>10.199999999999999</v>
      </c>
      <c r="D28">
        <v>10.5</v>
      </c>
      <c r="E28" s="56">
        <v>14</v>
      </c>
      <c r="F28" s="107">
        <v>3.6</v>
      </c>
      <c r="G28" s="49"/>
      <c r="H28" s="49"/>
      <c r="I28" s="50"/>
      <c r="J28" s="51"/>
      <c r="K28" s="51"/>
      <c r="L28" s="49"/>
      <c r="M28" s="49"/>
      <c r="N28" s="49"/>
      <c r="O28" s="69"/>
      <c r="P28" s="51"/>
      <c r="Q28" s="51"/>
      <c r="R28" s="49"/>
      <c r="S28" s="49"/>
      <c r="T28" s="50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</row>
    <row r="29" spans="1:37" x14ac:dyDescent="0.25">
      <c r="A29" s="106" t="s">
        <v>36</v>
      </c>
      <c r="B29" s="55" t="s">
        <v>34</v>
      </c>
      <c r="C29" s="56">
        <v>37</v>
      </c>
      <c r="D29" s="56">
        <v>37</v>
      </c>
      <c r="E29" s="56">
        <v>0</v>
      </c>
      <c r="F29" s="107">
        <v>0</v>
      </c>
      <c r="G29" s="49"/>
      <c r="H29" s="49"/>
      <c r="I29" s="50"/>
      <c r="J29" s="51"/>
      <c r="K29" s="51"/>
      <c r="L29" s="49"/>
      <c r="M29" s="49"/>
      <c r="N29" s="49"/>
      <c r="O29" s="69"/>
      <c r="P29" s="51"/>
      <c r="Q29" s="51"/>
      <c r="R29" s="49"/>
      <c r="S29" s="49"/>
      <c r="T29" s="50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</row>
    <row r="30" spans="1:37" x14ac:dyDescent="0.25">
      <c r="A30" s="106" t="s">
        <v>37</v>
      </c>
      <c r="B30" s="55" t="s">
        <v>34</v>
      </c>
      <c r="C30" s="56">
        <v>42.5</v>
      </c>
      <c r="D30" s="56">
        <v>42.5</v>
      </c>
      <c r="E30" s="56">
        <v>0</v>
      </c>
      <c r="F30" s="107">
        <v>0</v>
      </c>
      <c r="G30" s="49"/>
      <c r="H30" s="49"/>
      <c r="I30" s="50"/>
      <c r="J30" s="51"/>
      <c r="K30" s="51"/>
      <c r="L30" s="49"/>
      <c r="M30" s="49"/>
      <c r="N30" s="49"/>
      <c r="O30" s="69"/>
      <c r="P30" s="51"/>
      <c r="Q30" s="51"/>
      <c r="R30" s="49"/>
      <c r="S30" s="49"/>
      <c r="T30" s="50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</row>
    <row r="31" spans="1:37" ht="15.75" thickBot="1" x14ac:dyDescent="0.3">
      <c r="A31" s="108" t="s">
        <v>137</v>
      </c>
      <c r="B31" s="109" t="s">
        <v>30</v>
      </c>
      <c r="C31" s="111">
        <v>10.6</v>
      </c>
      <c r="D31" s="111">
        <v>10.6</v>
      </c>
      <c r="E31" s="111">
        <v>0</v>
      </c>
      <c r="F31" s="112">
        <v>0</v>
      </c>
      <c r="G31" s="49"/>
      <c r="H31" s="49"/>
      <c r="I31" s="50"/>
      <c r="J31" s="51"/>
      <c r="K31" s="51"/>
      <c r="L31" s="49"/>
      <c r="M31" s="49"/>
      <c r="N31" s="49"/>
      <c r="O31" s="69"/>
      <c r="P31" s="51"/>
      <c r="Q31" s="51"/>
      <c r="R31" s="49"/>
      <c r="S31" s="49"/>
      <c r="T31" s="50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</row>
    <row r="32" spans="1:37" ht="15.75" thickBot="1" x14ac:dyDescent="0.3">
      <c r="G32" s="49"/>
      <c r="H32" s="49"/>
      <c r="I32" s="50"/>
      <c r="J32" s="51"/>
      <c r="K32" s="51"/>
      <c r="L32" s="49"/>
      <c r="M32" s="49"/>
      <c r="N32" s="49"/>
      <c r="O32" s="69"/>
      <c r="P32" s="51"/>
      <c r="Q32" s="51"/>
      <c r="R32" s="49"/>
      <c r="S32" s="49"/>
      <c r="T32" s="50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</row>
    <row r="33" spans="1:37" x14ac:dyDescent="0.25">
      <c r="A33" s="115" t="s">
        <v>21</v>
      </c>
      <c r="B33" s="116"/>
      <c r="C33" s="118"/>
      <c r="D33" s="118"/>
      <c r="E33" s="118"/>
      <c r="F33" s="117"/>
      <c r="G33" s="49"/>
      <c r="H33" s="49"/>
      <c r="I33" s="50"/>
      <c r="J33" s="51"/>
      <c r="K33" s="51"/>
      <c r="L33" s="49"/>
      <c r="M33" s="49"/>
      <c r="N33" s="49"/>
      <c r="O33" s="69"/>
      <c r="P33" s="51"/>
      <c r="Q33" s="51"/>
      <c r="R33" s="49"/>
      <c r="S33" s="49"/>
      <c r="T33" s="50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</row>
    <row r="34" spans="1:37" x14ac:dyDescent="0.25">
      <c r="A34" s="106" t="s">
        <v>28</v>
      </c>
      <c r="B34" s="55" t="s">
        <v>23</v>
      </c>
      <c r="C34" s="56">
        <v>311</v>
      </c>
      <c r="D34" s="56"/>
      <c r="E34" s="56"/>
      <c r="F34" s="107"/>
      <c r="G34" s="49"/>
      <c r="H34" s="49"/>
      <c r="I34" s="50"/>
      <c r="J34" s="51"/>
      <c r="K34" s="51"/>
      <c r="L34" s="49"/>
      <c r="M34" s="49"/>
      <c r="N34" s="49"/>
      <c r="O34" s="69"/>
      <c r="P34" s="51"/>
      <c r="Q34" s="51"/>
      <c r="R34" s="49"/>
      <c r="S34" s="49"/>
      <c r="T34" s="50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</row>
    <row r="35" spans="1:37" x14ac:dyDescent="0.25">
      <c r="A35" s="106" t="s">
        <v>25</v>
      </c>
      <c r="B35" s="55" t="s">
        <v>26</v>
      </c>
      <c r="C35" s="56">
        <v>800</v>
      </c>
      <c r="D35" s="56"/>
      <c r="E35" s="56"/>
      <c r="F35" s="107"/>
      <c r="G35" s="49"/>
      <c r="H35" s="49"/>
      <c r="I35" s="50"/>
      <c r="J35" s="51"/>
      <c r="K35" s="51"/>
      <c r="L35" s="49"/>
      <c r="M35" s="49"/>
      <c r="N35" s="49"/>
      <c r="O35" s="69"/>
      <c r="P35" s="51"/>
      <c r="Q35" s="51"/>
      <c r="R35" s="49"/>
      <c r="S35" s="49"/>
      <c r="T35" s="50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</row>
    <row r="36" spans="1:37" x14ac:dyDescent="0.25">
      <c r="A36" s="106" t="s">
        <v>40</v>
      </c>
      <c r="B36" s="55" t="s">
        <v>26</v>
      </c>
      <c r="C36" s="56">
        <v>4</v>
      </c>
      <c r="D36" s="56"/>
      <c r="E36" s="56"/>
      <c r="F36" s="107"/>
      <c r="G36" s="49"/>
      <c r="H36" s="49"/>
      <c r="I36" s="50"/>
      <c r="J36" s="51"/>
      <c r="K36" s="51"/>
      <c r="L36" s="49"/>
      <c r="M36" s="49"/>
      <c r="N36" s="49"/>
      <c r="O36" s="69"/>
      <c r="P36" s="51"/>
      <c r="Q36" s="51"/>
      <c r="R36" s="49"/>
      <c r="S36" s="49"/>
      <c r="T36" s="50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</row>
    <row r="37" spans="1:37" x14ac:dyDescent="0.25">
      <c r="A37" s="106" t="s">
        <v>27</v>
      </c>
      <c r="B37" s="55" t="s">
        <v>38</v>
      </c>
      <c r="C37" s="56">
        <v>400</v>
      </c>
      <c r="D37" s="56"/>
      <c r="E37" s="56"/>
      <c r="F37" s="107"/>
      <c r="G37" s="49"/>
      <c r="H37" s="49"/>
      <c r="I37" s="50"/>
      <c r="J37" s="51"/>
      <c r="K37" s="51"/>
      <c r="L37" s="49"/>
      <c r="M37" s="49"/>
      <c r="N37" s="49"/>
      <c r="O37" s="69"/>
      <c r="P37" s="51"/>
      <c r="Q37" s="51"/>
      <c r="R37" s="49"/>
      <c r="S37" s="49"/>
      <c r="T37" s="50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</row>
    <row r="38" spans="1:37" x14ac:dyDescent="0.25">
      <c r="A38" s="106" t="s">
        <v>31</v>
      </c>
      <c r="B38" s="55" t="s">
        <v>35</v>
      </c>
      <c r="C38" s="56">
        <v>25.8</v>
      </c>
      <c r="D38" s="56"/>
      <c r="E38" s="56"/>
      <c r="F38" s="107"/>
      <c r="G38" s="49"/>
      <c r="H38" s="49"/>
      <c r="I38" s="50"/>
      <c r="J38" s="51"/>
      <c r="K38" s="51"/>
      <c r="L38" s="49"/>
      <c r="M38" s="49"/>
      <c r="N38" s="49"/>
      <c r="O38" s="69"/>
      <c r="P38" s="51"/>
      <c r="Q38" s="51"/>
      <c r="R38" s="49"/>
      <c r="S38" s="49"/>
      <c r="T38" s="50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</row>
    <row r="39" spans="1:37" x14ac:dyDescent="0.25">
      <c r="A39" s="106" t="s">
        <v>32</v>
      </c>
      <c r="B39" s="55" t="s">
        <v>35</v>
      </c>
      <c r="C39" s="56">
        <v>31.8</v>
      </c>
      <c r="D39" s="56"/>
      <c r="E39" s="56"/>
      <c r="F39" s="107"/>
      <c r="G39" s="49"/>
      <c r="H39" s="49"/>
      <c r="I39" s="50"/>
      <c r="J39" s="51"/>
      <c r="K39" s="51"/>
      <c r="L39" s="49"/>
      <c r="M39" s="49"/>
      <c r="N39" s="49"/>
      <c r="O39" s="69"/>
      <c r="P39" s="51"/>
      <c r="Q39" s="51"/>
      <c r="R39" s="49"/>
      <c r="S39" s="49"/>
      <c r="T39" s="50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</row>
    <row r="40" spans="1:37" ht="15.75" thickBot="1" x14ac:dyDescent="0.3">
      <c r="A40" s="108" t="s">
        <v>33</v>
      </c>
      <c r="B40" s="109" t="s">
        <v>38</v>
      </c>
      <c r="C40" s="111">
        <v>178.5</v>
      </c>
      <c r="D40" s="111"/>
      <c r="E40" s="111"/>
      <c r="F40" s="112"/>
      <c r="G40" s="49"/>
      <c r="H40" s="49"/>
      <c r="I40" s="50"/>
      <c r="J40" s="51"/>
      <c r="K40" s="51"/>
      <c r="L40" s="49"/>
      <c r="M40" s="49"/>
      <c r="N40" s="49"/>
      <c r="O40" s="69"/>
      <c r="P40" s="51"/>
      <c r="Q40" s="51"/>
      <c r="R40" s="49"/>
      <c r="S40" s="49"/>
      <c r="T40" s="50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</row>
    <row r="41" spans="1:37" x14ac:dyDescent="0.25">
      <c r="A41" s="64"/>
      <c r="B41" s="50"/>
      <c r="C41" s="49"/>
      <c r="D41" s="49"/>
      <c r="E41" s="49"/>
      <c r="F41" s="49"/>
      <c r="G41" s="49"/>
      <c r="H41" s="49"/>
      <c r="I41" s="50"/>
      <c r="J41" s="51"/>
      <c r="K41" s="51"/>
      <c r="L41" s="49"/>
      <c r="M41" s="49"/>
      <c r="N41" s="49"/>
      <c r="O41" s="69"/>
      <c r="P41" s="51"/>
      <c r="Q41" s="51"/>
      <c r="R41" s="49"/>
      <c r="S41" s="49"/>
      <c r="T41" s="50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</row>
    <row r="42" spans="1:37" x14ac:dyDescent="0.25">
      <c r="A42" s="50"/>
      <c r="B42" s="50"/>
      <c r="C42" s="49"/>
      <c r="D42" s="49"/>
      <c r="E42" s="49"/>
      <c r="F42" s="49"/>
      <c r="G42" s="49"/>
      <c r="H42" s="49"/>
      <c r="I42" s="50"/>
      <c r="J42" s="51"/>
      <c r="K42" s="51"/>
      <c r="L42" s="49"/>
      <c r="M42" s="49"/>
      <c r="N42" s="49"/>
      <c r="O42" s="69"/>
      <c r="P42" s="51"/>
      <c r="Q42" s="51"/>
      <c r="R42" s="49"/>
      <c r="S42" s="49"/>
      <c r="T42" s="50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</row>
    <row r="43" spans="1:37" x14ac:dyDescent="0.25">
      <c r="A43" s="50"/>
      <c r="B43" s="50"/>
      <c r="C43" s="49"/>
      <c r="D43" s="49"/>
      <c r="E43" s="49"/>
      <c r="F43" s="49"/>
      <c r="G43" s="49"/>
      <c r="H43" s="49"/>
      <c r="I43" s="50"/>
      <c r="J43" s="51"/>
      <c r="K43" s="51"/>
      <c r="L43" s="49"/>
      <c r="M43" s="49"/>
      <c r="N43" s="49"/>
      <c r="O43" s="69"/>
      <c r="P43" s="51"/>
      <c r="Q43" s="51"/>
      <c r="R43" s="49"/>
      <c r="S43" s="49"/>
      <c r="T43" s="50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49"/>
      <c r="AK43" s="49"/>
    </row>
    <row r="44" spans="1:37" x14ac:dyDescent="0.25">
      <c r="A44" s="49"/>
      <c r="B44" s="50"/>
      <c r="C44" s="49"/>
      <c r="D44" s="49"/>
      <c r="E44" s="49"/>
      <c r="F44" s="49"/>
      <c r="G44" s="49"/>
      <c r="H44" s="49"/>
      <c r="I44" s="50"/>
      <c r="J44" s="51"/>
      <c r="K44" s="51"/>
      <c r="L44" s="49"/>
      <c r="M44" s="49"/>
      <c r="N44" s="49"/>
      <c r="O44" s="69"/>
      <c r="P44" s="51"/>
      <c r="Q44" s="51"/>
      <c r="R44" s="49"/>
      <c r="S44" s="49"/>
      <c r="T44" s="50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</row>
    <row r="45" spans="1:37" x14ac:dyDescent="0.25">
      <c r="G45" s="49"/>
      <c r="H45" s="49"/>
      <c r="I45" s="50"/>
      <c r="J45" s="51"/>
      <c r="K45" s="51"/>
      <c r="L45" s="49"/>
      <c r="M45" s="49"/>
      <c r="N45" s="49"/>
      <c r="O45" s="69"/>
      <c r="P45" s="51"/>
      <c r="Q45" s="51"/>
      <c r="R45" s="49"/>
      <c r="S45" s="49"/>
      <c r="T45" s="50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</row>
    <row r="46" spans="1:37" x14ac:dyDescent="0.25">
      <c r="H46" s="145" t="s">
        <v>142</v>
      </c>
      <c r="I46" s="145"/>
      <c r="J46" s="145"/>
      <c r="K46" s="145"/>
      <c r="L46" s="145"/>
      <c r="N46" s="146" t="s">
        <v>42</v>
      </c>
      <c r="O46" s="146"/>
      <c r="P46" s="146"/>
      <c r="Q46" s="146"/>
      <c r="R46" s="146"/>
      <c r="T46" s="50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</row>
    <row r="47" spans="1:37" x14ac:dyDescent="0.25">
      <c r="T47" s="50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</row>
    <row r="48" spans="1:37" x14ac:dyDescent="0.25">
      <c r="I48" s="8" t="s">
        <v>47</v>
      </c>
      <c r="J48" s="15"/>
      <c r="K48" s="15"/>
      <c r="L48" s="3"/>
      <c r="N48" s="3" t="s">
        <v>230</v>
      </c>
      <c r="O48" s="7" t="s">
        <v>47</v>
      </c>
      <c r="P48" s="15" t="str">
        <f>J101</f>
        <v>Uden RGK</v>
      </c>
      <c r="Q48" s="15" t="str">
        <f t="shared" ref="Q48" si="0">K101</f>
        <v>Med 100% RGK</v>
      </c>
      <c r="R48" s="143" t="s">
        <v>315</v>
      </c>
      <c r="T48" s="50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</row>
    <row r="49" spans="8:37" x14ac:dyDescent="0.25">
      <c r="H49" s="3" t="s">
        <v>135</v>
      </c>
      <c r="I49" s="8"/>
      <c r="J49" s="15" t="s">
        <v>0</v>
      </c>
      <c r="K49" s="15" t="s">
        <v>1</v>
      </c>
      <c r="L49" s="4" t="s">
        <v>150</v>
      </c>
      <c r="N49" s="14" t="str">
        <f t="shared" ref="N49:R51" si="1">H114</f>
        <v>Indtægter total</v>
      </c>
      <c r="O49" s="73" t="str">
        <f t="shared" si="1"/>
        <v>tkr</v>
      </c>
      <c r="P49" s="18">
        <f t="shared" si="1"/>
        <v>16027328.736072451</v>
      </c>
      <c r="Q49" s="18">
        <f t="shared" si="1"/>
        <v>15560102.467270171</v>
      </c>
      <c r="R49" s="18">
        <f t="shared" si="1"/>
        <v>-467226.26880227961</v>
      </c>
      <c r="T49" s="50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</row>
    <row r="50" spans="8:37" x14ac:dyDescent="0.25">
      <c r="H50" s="6" t="s">
        <v>49</v>
      </c>
      <c r="I50" s="8"/>
      <c r="J50" s="12">
        <f>24*C$12</f>
        <v>744</v>
      </c>
      <c r="K50" s="12">
        <f>24*D$12</f>
        <v>744</v>
      </c>
      <c r="N50" s="14" t="str">
        <f t="shared" si="1"/>
        <v>Omkostninger total</v>
      </c>
      <c r="O50" s="73" t="str">
        <f t="shared" si="1"/>
        <v>tkr</v>
      </c>
      <c r="P50" s="18">
        <f t="shared" si="1"/>
        <v>8143171.6554425396</v>
      </c>
      <c r="Q50" s="18">
        <f t="shared" si="1"/>
        <v>7557908.8353493344</v>
      </c>
      <c r="R50" s="18">
        <f t="shared" si="1"/>
        <v>-585262.8200932052</v>
      </c>
      <c r="T50" s="50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</row>
    <row r="51" spans="8:37" x14ac:dyDescent="0.25">
      <c r="H51" s="6" t="s">
        <v>50</v>
      </c>
      <c r="I51" s="5" t="s">
        <v>41</v>
      </c>
      <c r="J51" s="16">
        <f>J50*C13</f>
        <v>7068</v>
      </c>
      <c r="K51" s="16">
        <f>K50*D13</f>
        <v>16740</v>
      </c>
      <c r="L51" s="16">
        <f>SUM(J51:K51)</f>
        <v>23808</v>
      </c>
      <c r="N51" s="14" t="str">
        <f t="shared" si="1"/>
        <v>Dækningsbidrag</v>
      </c>
      <c r="O51" s="73" t="str">
        <f t="shared" si="1"/>
        <v>tkr</v>
      </c>
      <c r="P51" s="18">
        <f t="shared" si="1"/>
        <v>7884157.0806299113</v>
      </c>
      <c r="Q51" s="18">
        <f t="shared" si="1"/>
        <v>8002193.6319208369</v>
      </c>
      <c r="R51" s="18">
        <f t="shared" si="1"/>
        <v>118036.55129092559</v>
      </c>
      <c r="T51" s="50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</row>
    <row r="52" spans="8:37" x14ac:dyDescent="0.25">
      <c r="H52" s="6" t="s">
        <v>63</v>
      </c>
      <c r="I52" s="14" t="s">
        <v>41</v>
      </c>
      <c r="J52" s="16">
        <f>EtaRgkOvn2/EtaQNomOvn2*J51</f>
        <v>1488</v>
      </c>
      <c r="K52" s="16">
        <f>EtaRgkOvn3/EtaQNomOvn3*K51</f>
        <v>4092</v>
      </c>
      <c r="L52" s="16">
        <f t="shared" ref="L52:L55" si="2">SUM(J52:K52)</f>
        <v>5580</v>
      </c>
      <c r="N52" s="3"/>
      <c r="O52" s="7"/>
      <c r="P52" s="15"/>
      <c r="Q52" s="15"/>
      <c r="R52" s="15"/>
      <c r="T52" s="50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49"/>
      <c r="AK52" s="49"/>
    </row>
    <row r="53" spans="8:37" x14ac:dyDescent="0.25">
      <c r="H53" s="6" t="s">
        <v>64</v>
      </c>
      <c r="I53" s="14" t="s">
        <v>41</v>
      </c>
      <c r="J53" s="16">
        <f>SUM(J51:J52)</f>
        <v>8556</v>
      </c>
      <c r="K53" s="16">
        <f>SUM(K51:K52)</f>
        <v>20832</v>
      </c>
      <c r="L53" s="16">
        <f t="shared" si="2"/>
        <v>29388</v>
      </c>
      <c r="N53" s="14" t="str">
        <f>H102</f>
        <v>Varmesalg</v>
      </c>
      <c r="O53" s="73" t="str">
        <f t="shared" ref="O53:R56" si="3">I102</f>
        <v>tkr</v>
      </c>
      <c r="P53" s="17">
        <f t="shared" si="3"/>
        <v>7404288</v>
      </c>
      <c r="Q53" s="17">
        <f t="shared" si="3"/>
        <v>7464000</v>
      </c>
      <c r="R53" s="18">
        <f t="shared" si="3"/>
        <v>59712</v>
      </c>
      <c r="T53" s="50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</row>
    <row r="54" spans="8:37" x14ac:dyDescent="0.25">
      <c r="H54" s="6" t="s">
        <v>51</v>
      </c>
      <c r="I54" s="5" t="s">
        <v>52</v>
      </c>
      <c r="J54" s="12">
        <f>J51/EtaQNomOvn2</f>
        <v>8374.4075829383892</v>
      </c>
      <c r="K54" s="12">
        <f>K51/EtaQNomOvn3</f>
        <v>25518.292682926829</v>
      </c>
      <c r="L54" s="16">
        <f t="shared" si="2"/>
        <v>33892.70026586522</v>
      </c>
      <c r="N54" s="14" t="str">
        <f>H103</f>
        <v>Elsalg</v>
      </c>
      <c r="O54" s="73" t="str">
        <f t="shared" si="3"/>
        <v>tkr</v>
      </c>
      <c r="P54" s="17">
        <f t="shared" si="3"/>
        <v>3947332.4512195126</v>
      </c>
      <c r="Q54" s="17">
        <f t="shared" si="3"/>
        <v>3947332.4512195126</v>
      </c>
      <c r="R54" s="18">
        <f t="shared" si="3"/>
        <v>0</v>
      </c>
      <c r="T54" s="50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</row>
    <row r="55" spans="8:37" x14ac:dyDescent="0.25">
      <c r="H55" s="6" t="s">
        <v>53</v>
      </c>
      <c r="I55" s="14" t="s">
        <v>16</v>
      </c>
      <c r="J55" s="16">
        <f>J54*3.6/Htotal</f>
        <v>2934.0990071608958</v>
      </c>
      <c r="K55" s="16">
        <f>K54/(Htotal/3.6)</f>
        <v>8940.7156845291083</v>
      </c>
      <c r="L55" s="16">
        <f t="shared" si="2"/>
        <v>11874.814691690004</v>
      </c>
      <c r="N55" s="14" t="str">
        <f>H104</f>
        <v>RGK-rabat</v>
      </c>
      <c r="O55" s="73" t="str">
        <f t="shared" si="3"/>
        <v>tkr</v>
      </c>
      <c r="P55" s="17">
        <f t="shared" si="3"/>
        <v>0</v>
      </c>
      <c r="Q55" s="17">
        <f t="shared" si="3"/>
        <v>200593.80181097562</v>
      </c>
      <c r="R55" s="18">
        <f t="shared" si="3"/>
        <v>200593.80181097562</v>
      </c>
      <c r="T55" s="50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</row>
    <row r="56" spans="8:37" x14ac:dyDescent="0.25">
      <c r="H56" s="5"/>
      <c r="J56" s="16"/>
      <c r="K56" s="16"/>
      <c r="N56" s="14" t="str">
        <f>H105</f>
        <v>Modtagebetaling affald</v>
      </c>
      <c r="O56" s="73" t="str">
        <f t="shared" si="3"/>
        <v>tkr</v>
      </c>
      <c r="P56" s="17">
        <f t="shared" si="3"/>
        <v>4675708.2848529397</v>
      </c>
      <c r="Q56" s="17">
        <f t="shared" si="3"/>
        <v>3948176.214239683</v>
      </c>
      <c r="R56" s="18">
        <f t="shared" si="3"/>
        <v>-727532.07061325666</v>
      </c>
      <c r="T56" s="50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</row>
    <row r="57" spans="8:37" x14ac:dyDescent="0.25">
      <c r="H57" s="7" t="s">
        <v>136</v>
      </c>
      <c r="J57" s="15" t="s">
        <v>43</v>
      </c>
      <c r="K57" s="15" t="str">
        <f>"Med "&amp;TEXT(RGKudnyttelse,"0%")&amp;" RGK"</f>
        <v>Med 100% RGK</v>
      </c>
      <c r="L57" s="3" t="s">
        <v>139</v>
      </c>
      <c r="N57" s="14"/>
      <c r="O57" s="73"/>
      <c r="P57" s="18"/>
      <c r="Q57" s="18"/>
      <c r="R57" s="18"/>
      <c r="T57" s="50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</row>
    <row r="58" spans="8:37" x14ac:dyDescent="0.25">
      <c r="H58" s="6" t="s">
        <v>55</v>
      </c>
      <c r="I58" s="5" t="s">
        <v>41</v>
      </c>
      <c r="J58" s="16">
        <f>MIN(Qdemand,K51,EtaQNomOvn3*Ftotal*Htotal/3.6)</f>
        <v>16740</v>
      </c>
      <c r="K58" s="16">
        <f>MIN(Qdemand,K53,EtaQmaxOvn3*Ftotal*Htotal/3.6)</f>
        <v>20832</v>
      </c>
      <c r="L58" s="12">
        <f>K58-J58</f>
        <v>4092</v>
      </c>
      <c r="N58" s="14" t="str">
        <f t="shared" ref="N58:N63" si="4">H107</f>
        <v>Betaling bioaffald</v>
      </c>
      <c r="O58" s="73" t="str">
        <f t="shared" ref="O58:O63" si="5">I107</f>
        <v>tkr</v>
      </c>
      <c r="P58" s="18">
        <f t="shared" ref="P58:P63" si="6">J107</f>
        <v>0</v>
      </c>
      <c r="Q58" s="18">
        <f t="shared" ref="Q58:Q63" si="7">K107</f>
        <v>0</v>
      </c>
      <c r="R58" s="18">
        <f t="shared" ref="R58:R63" si="8">L107</f>
        <v>0</v>
      </c>
      <c r="T58" s="50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</row>
    <row r="59" spans="8:37" x14ac:dyDescent="0.25">
      <c r="H59" s="5" t="s">
        <v>58</v>
      </c>
      <c r="I59" s="5" t="s">
        <v>16</v>
      </c>
      <c r="J59" s="12">
        <f>$J$58/EtaQNomOvn3/(Htotal/3.6)</f>
        <v>8940.7156845291083</v>
      </c>
      <c r="K59" s="12">
        <f>$K$58/EtaQmaxOvn3/(Htotal/3.6)</f>
        <v>8940.7156845291083</v>
      </c>
      <c r="L59" s="12">
        <f t="shared" ref="L59:L99" si="9">K59-J59</f>
        <v>0</v>
      </c>
      <c r="N59" s="14" t="str">
        <f t="shared" si="4"/>
        <v>DV-omkostninger</v>
      </c>
      <c r="O59" s="73" t="str">
        <f t="shared" si="5"/>
        <v>tkr</v>
      </c>
      <c r="P59" s="17">
        <f t="shared" si="6"/>
        <v>1049040</v>
      </c>
      <c r="Q59" s="17">
        <f t="shared" si="7"/>
        <v>1099354.221690486</v>
      </c>
      <c r="R59" s="18">
        <f t="shared" si="8"/>
        <v>50314.221690485952</v>
      </c>
      <c r="T59" s="50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</row>
    <row r="60" spans="8:37" x14ac:dyDescent="0.25">
      <c r="H60" s="5" t="s">
        <v>56</v>
      </c>
      <c r="I60" s="5" t="s">
        <v>41</v>
      </c>
      <c r="J60" s="16">
        <f>Qdemand-J58</f>
        <v>11260</v>
      </c>
      <c r="K60" s="16">
        <f>Qdemand-K58</f>
        <v>7168</v>
      </c>
      <c r="L60" s="12">
        <f t="shared" si="9"/>
        <v>-4092</v>
      </c>
      <c r="N60" s="14" t="str">
        <f t="shared" si="4"/>
        <v>Affaldvarme-afgift</v>
      </c>
      <c r="O60" s="73" t="str">
        <f t="shared" si="5"/>
        <v>tkr</v>
      </c>
      <c r="P60" s="17">
        <f t="shared" si="6"/>
        <v>2211287.04</v>
      </c>
      <c r="Q60" s="17">
        <f t="shared" si="7"/>
        <v>2229120</v>
      </c>
      <c r="R60" s="18">
        <f t="shared" si="8"/>
        <v>17832.959999999963</v>
      </c>
      <c r="T60" s="50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</row>
    <row r="61" spans="8:37" x14ac:dyDescent="0.25">
      <c r="H61" s="5" t="s">
        <v>57</v>
      </c>
      <c r="I61" s="5" t="s">
        <v>16</v>
      </c>
      <c r="J61" s="16">
        <f>Ftotal-J59</f>
        <v>3059.2843154708917</v>
      </c>
      <c r="K61" s="16">
        <f>Ftotal-K59</f>
        <v>3059.2843154708917</v>
      </c>
      <c r="L61" s="12">
        <f t="shared" si="9"/>
        <v>0</v>
      </c>
      <c r="N61" s="14" t="str">
        <f t="shared" si="4"/>
        <v>Tillægsafgift</v>
      </c>
      <c r="O61" s="73" t="str">
        <f t="shared" si="5"/>
        <v>tkr</v>
      </c>
      <c r="P61" s="18">
        <f t="shared" si="6"/>
        <v>2271283.2000000002</v>
      </c>
      <c r="Q61" s="18">
        <f t="shared" si="7"/>
        <v>2005938.0181097561</v>
      </c>
      <c r="R61" s="18">
        <f t="shared" si="8"/>
        <v>-265345.18189024413</v>
      </c>
      <c r="T61" s="50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</row>
    <row r="62" spans="8:37" x14ac:dyDescent="0.25">
      <c r="H62" s="6" t="s">
        <v>61</v>
      </c>
      <c r="I62" s="5" t="s">
        <v>41</v>
      </c>
      <c r="J62" s="16">
        <f>MIN(J60,NSvarme)</f>
        <v>4000</v>
      </c>
      <c r="K62" s="16">
        <f>MIN(K60,NSvarme)</f>
        <v>4000</v>
      </c>
      <c r="L62" s="12">
        <f t="shared" si="9"/>
        <v>0</v>
      </c>
      <c r="N62" s="14" t="str">
        <f t="shared" si="4"/>
        <v>CO2-afgift</v>
      </c>
      <c r="O62" s="73" t="str">
        <f t="shared" si="5"/>
        <v>tkr</v>
      </c>
      <c r="P62" s="18">
        <f t="shared" si="6"/>
        <v>471719.80799999996</v>
      </c>
      <c r="Q62" s="18">
        <f t="shared" si="7"/>
        <v>416610.61762911582</v>
      </c>
      <c r="R62" s="18">
        <f t="shared" si="8"/>
        <v>-55109.190370884142</v>
      </c>
      <c r="T62" s="50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</row>
    <row r="63" spans="8:37" x14ac:dyDescent="0.25">
      <c r="H63" s="5" t="s">
        <v>56</v>
      </c>
      <c r="I63" s="5" t="s">
        <v>41</v>
      </c>
      <c r="J63" s="16">
        <f>J60-J62</f>
        <v>7260</v>
      </c>
      <c r="K63" s="16">
        <f>K60-K62</f>
        <v>3168</v>
      </c>
      <c r="L63" s="12">
        <f t="shared" si="9"/>
        <v>-4092</v>
      </c>
      <c r="N63" s="14" t="str">
        <f t="shared" si="4"/>
        <v>Kvote-omkostning</v>
      </c>
      <c r="O63" s="73" t="str">
        <f t="shared" si="5"/>
        <v>tkr</v>
      </c>
      <c r="P63" s="18">
        <f t="shared" si="6"/>
        <v>2139841.6074425387</v>
      </c>
      <c r="Q63" s="18">
        <f t="shared" si="7"/>
        <v>1806885.9779199767</v>
      </c>
      <c r="R63" s="18">
        <f t="shared" si="8"/>
        <v>-332955.62952256203</v>
      </c>
      <c r="T63" s="50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49"/>
      <c r="AG63" s="49"/>
      <c r="AH63" s="49"/>
      <c r="AI63" s="49"/>
      <c r="AJ63" s="49"/>
      <c r="AK63" s="49"/>
    </row>
    <row r="64" spans="8:37" x14ac:dyDescent="0.25">
      <c r="H64" s="6" t="s">
        <v>62</v>
      </c>
      <c r="I64" s="5" t="s">
        <v>41</v>
      </c>
      <c r="J64" s="16">
        <f>MIN($J$63,J51,EtaQNomOvn2*(J61*Htotal)/3.6)</f>
        <v>7068</v>
      </c>
      <c r="K64" s="16">
        <f>MIN($K$63,J53,EtaQmaxOvn2*(K61*Htotal)/3.6)</f>
        <v>3168</v>
      </c>
      <c r="L64" s="12">
        <f t="shared" si="9"/>
        <v>-3900</v>
      </c>
      <c r="N64" s="14"/>
      <c r="O64" s="73"/>
      <c r="P64" s="18"/>
      <c r="Q64" s="18"/>
      <c r="R64" s="18"/>
      <c r="T64" s="50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</row>
    <row r="65" spans="8:37" x14ac:dyDescent="0.25">
      <c r="H65" s="5" t="s">
        <v>58</v>
      </c>
      <c r="I65" s="5" t="s">
        <v>16</v>
      </c>
      <c r="J65" s="16">
        <f>$J$64/EtaQNomOvn2/(Htotal/3.6)</f>
        <v>2934.0990071608958</v>
      </c>
      <c r="K65" s="16">
        <f>$K$64/EtaQmaxOvn2/(Htotal/3.6)</f>
        <v>1086.3985103653247</v>
      </c>
      <c r="L65" s="12">
        <f t="shared" si="9"/>
        <v>-1847.7004967955711</v>
      </c>
      <c r="N65" s="7" t="s">
        <v>231</v>
      </c>
      <c r="O65" s="6"/>
      <c r="P65" s="15" t="str">
        <f>P48</f>
        <v>Uden RGK</v>
      </c>
      <c r="Q65" s="15" t="str">
        <f>Q48</f>
        <v>Med 100% RGK</v>
      </c>
      <c r="R65" s="12"/>
      <c r="T65" s="50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</row>
    <row r="66" spans="8:37" x14ac:dyDescent="0.25">
      <c r="H66" s="5" t="s">
        <v>56</v>
      </c>
      <c r="I66" s="5" t="s">
        <v>41</v>
      </c>
      <c r="J66" s="16">
        <f>J63-J64</f>
        <v>192</v>
      </c>
      <c r="K66" s="16">
        <f>K63-K64</f>
        <v>0</v>
      </c>
      <c r="L66" s="12">
        <f t="shared" si="9"/>
        <v>-192</v>
      </c>
      <c r="N66" s="5" t="str">
        <f>H84</f>
        <v>Varmeproduktion Ovn2</v>
      </c>
      <c r="O66" s="6" t="s">
        <v>41</v>
      </c>
      <c r="P66" s="12">
        <f>J84</f>
        <v>7068</v>
      </c>
      <c r="Q66" s="12">
        <f>K84</f>
        <v>3168</v>
      </c>
      <c r="R66" s="12">
        <f>Q66-P66</f>
        <v>-3900</v>
      </c>
      <c r="T66" s="50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</row>
    <row r="67" spans="8:37" x14ac:dyDescent="0.25">
      <c r="H67" s="5" t="s">
        <v>57</v>
      </c>
      <c r="I67" s="5" t="s">
        <v>16</v>
      </c>
      <c r="J67" s="16">
        <f>J61-J65</f>
        <v>125.18530830999589</v>
      </c>
      <c r="K67" s="16">
        <f>K61-K65</f>
        <v>1972.885805105567</v>
      </c>
      <c r="L67" s="12">
        <f t="shared" si="9"/>
        <v>1847.7004967955711</v>
      </c>
      <c r="N67" s="5" t="str">
        <f>H85</f>
        <v>Varmeproduktion Ovn3</v>
      </c>
      <c r="O67" s="6" t="s">
        <v>41</v>
      </c>
      <c r="P67" s="12">
        <f>J85</f>
        <v>16740</v>
      </c>
      <c r="Q67" s="12">
        <f>K85</f>
        <v>20832</v>
      </c>
      <c r="R67" s="12">
        <f t="shared" ref="R67:R71" si="10">Q67-P67</f>
        <v>4092</v>
      </c>
      <c r="T67" s="50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</row>
    <row r="68" spans="8:37" x14ac:dyDescent="0.25">
      <c r="H68" s="6" t="s">
        <v>65</v>
      </c>
      <c r="I68" s="5" t="s">
        <v>41</v>
      </c>
      <c r="J68" s="16">
        <f>J58+J64</f>
        <v>23808</v>
      </c>
      <c r="K68" s="16">
        <f>K58+K64</f>
        <v>24000</v>
      </c>
      <c r="L68" s="12">
        <f t="shared" si="9"/>
        <v>192</v>
      </c>
      <c r="N68" s="5" t="str">
        <f>H87</f>
        <v>Heraf RGK-varme</v>
      </c>
      <c r="O68" s="6" t="s">
        <v>41</v>
      </c>
      <c r="P68" s="12">
        <f>J87</f>
        <v>0</v>
      </c>
      <c r="Q68" s="12">
        <f>K87</f>
        <v>5031.4221690485911</v>
      </c>
      <c r="R68" s="12">
        <f t="shared" si="10"/>
        <v>5031.4221690485911</v>
      </c>
      <c r="T68" s="50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</row>
    <row r="69" spans="8:37" x14ac:dyDescent="0.25">
      <c r="H69" s="6" t="s">
        <v>66</v>
      </c>
      <c r="I69" s="5" t="s">
        <v>41</v>
      </c>
      <c r="J69" s="16">
        <f>J66</f>
        <v>192</v>
      </c>
      <c r="K69" s="16">
        <f>K66</f>
        <v>0</v>
      </c>
      <c r="L69" s="12">
        <f t="shared" si="9"/>
        <v>-192</v>
      </c>
      <c r="N69" s="5" t="str">
        <f>H78</f>
        <v>Bortkølet varme</v>
      </c>
      <c r="O69" s="6" t="s">
        <v>41</v>
      </c>
      <c r="P69" s="12">
        <f>J78</f>
        <v>0</v>
      </c>
      <c r="Q69" s="12">
        <f>K78</f>
        <v>0</v>
      </c>
      <c r="R69" s="12">
        <f t="shared" si="10"/>
        <v>0</v>
      </c>
      <c r="T69" s="50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</row>
    <row r="70" spans="8:37" x14ac:dyDescent="0.25">
      <c r="H70" s="5" t="s">
        <v>96</v>
      </c>
      <c r="I70" s="5" t="s">
        <v>41</v>
      </c>
      <c r="J70" s="12">
        <f>$J$51-EtaQNomOvn2*J65*Htotal/3.6</f>
        <v>0</v>
      </c>
      <c r="K70" s="12">
        <f>J70</f>
        <v>0</v>
      </c>
      <c r="L70" s="12">
        <f t="shared" si="9"/>
        <v>0</v>
      </c>
      <c r="N70" s="5" t="str">
        <f>H90</f>
        <v>Leveret affaldsvarme</v>
      </c>
      <c r="O70" s="6" t="s">
        <v>41</v>
      </c>
      <c r="P70" s="12">
        <f>J90</f>
        <v>23808</v>
      </c>
      <c r="Q70" s="12">
        <f>K90</f>
        <v>24000</v>
      </c>
      <c r="R70" s="12">
        <f t="shared" si="10"/>
        <v>192</v>
      </c>
      <c r="T70" s="50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</row>
    <row r="71" spans="8:37" x14ac:dyDescent="0.25">
      <c r="H71" s="5" t="s">
        <v>97</v>
      </c>
      <c r="I71" s="5" t="s">
        <v>41</v>
      </c>
      <c r="J71" s="12">
        <f>$K$51-EtaQNomOvn3*J59*Htotal/3.6</f>
        <v>0</v>
      </c>
      <c r="K71" s="12">
        <f>J71</f>
        <v>0</v>
      </c>
      <c r="L71" s="12">
        <f t="shared" si="9"/>
        <v>0</v>
      </c>
      <c r="N71" s="5" t="str">
        <f>H91</f>
        <v>Spidslastvarme</v>
      </c>
      <c r="O71" s="6" t="s">
        <v>41</v>
      </c>
      <c r="P71" s="12">
        <f>J91</f>
        <v>192</v>
      </c>
      <c r="Q71" s="12">
        <f>K91</f>
        <v>0</v>
      </c>
      <c r="R71" s="12">
        <f t="shared" si="10"/>
        <v>-192</v>
      </c>
      <c r="T71" s="50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</row>
    <row r="72" spans="8:37" x14ac:dyDescent="0.25">
      <c r="H72" s="5" t="s">
        <v>99</v>
      </c>
      <c r="I72" s="5" t="s">
        <v>41</v>
      </c>
      <c r="J72" s="12">
        <f>MIN(J71,EtaQNomOvn3*J67*Htotal/3.6,24*E12*KapQcool)</f>
        <v>0</v>
      </c>
      <c r="K72" s="12">
        <f>MIN(K71,EtaQNomOvn3*K67*Htotal/3.6,24*E12*KapQcool)</f>
        <v>0</v>
      </c>
      <c r="L72" s="12">
        <f t="shared" si="9"/>
        <v>0</v>
      </c>
      <c r="N72" s="5"/>
      <c r="O72" s="6"/>
      <c r="P72" s="18"/>
      <c r="Q72" s="18"/>
      <c r="R72" s="12"/>
      <c r="T72" s="50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</row>
    <row r="73" spans="8:37" x14ac:dyDescent="0.25">
      <c r="H73" s="5" t="s">
        <v>100</v>
      </c>
      <c r="I73" s="5" t="s">
        <v>16</v>
      </c>
      <c r="J73" s="12">
        <f>J72/EtaQNomOvn3/(Htotal/3.6)</f>
        <v>0</v>
      </c>
      <c r="K73" s="12">
        <f>K72/EtaQNomOvn3/(Htotal/3.6)</f>
        <v>0</v>
      </c>
      <c r="L73" s="12">
        <f t="shared" si="9"/>
        <v>0</v>
      </c>
      <c r="N73" s="7" t="s">
        <v>232</v>
      </c>
      <c r="O73" s="6"/>
      <c r="P73" s="65" t="str">
        <f>P48</f>
        <v>Uden RGK</v>
      </c>
      <c r="Q73" s="65" t="str">
        <f>Q48</f>
        <v>Med 100% RGK</v>
      </c>
      <c r="R73" s="12"/>
      <c r="T73" s="50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</row>
    <row r="74" spans="8:37" x14ac:dyDescent="0.25">
      <c r="H74" s="5" t="s">
        <v>57</v>
      </c>
      <c r="I74" s="5" t="s">
        <v>16</v>
      </c>
      <c r="J74" s="12">
        <f>J67-J73</f>
        <v>125.18530830999589</v>
      </c>
      <c r="K74" s="12">
        <f>K67-K73</f>
        <v>1972.885805105567</v>
      </c>
      <c r="L74" s="12">
        <f t="shared" si="9"/>
        <v>1847.7004967955711</v>
      </c>
      <c r="N74" s="5" t="s">
        <v>143</v>
      </c>
      <c r="O74" s="6" t="s">
        <v>16</v>
      </c>
      <c r="P74" s="12">
        <f>J59</f>
        <v>8940.7156845291083</v>
      </c>
      <c r="Q74" s="12">
        <f>K59</f>
        <v>8940.7156845291083</v>
      </c>
      <c r="R74" s="12">
        <f>Q74-P74</f>
        <v>0</v>
      </c>
      <c r="T74" s="50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</row>
    <row r="75" spans="8:37" x14ac:dyDescent="0.25">
      <c r="H75" s="5" t="s">
        <v>98</v>
      </c>
      <c r="I75" s="5" t="s">
        <v>41</v>
      </c>
      <c r="J75" s="12">
        <f>MIN(J70,EtaQNomOvn3*J74*Htotal/3.6,24*E12*KapQcool-J72)</f>
        <v>0</v>
      </c>
      <c r="K75" s="12">
        <f>MIN(K70,EtaQNomOvn3*K74*Htotal/3.6,24*E12*KapQcool-K72)</f>
        <v>0</v>
      </c>
      <c r="L75" s="12">
        <f t="shared" si="9"/>
        <v>0</v>
      </c>
      <c r="N75" s="5" t="s">
        <v>144</v>
      </c>
      <c r="O75" s="6" t="s">
        <v>41</v>
      </c>
      <c r="P75" s="12">
        <f>J62</f>
        <v>4000</v>
      </c>
      <c r="Q75" s="12">
        <f>K62</f>
        <v>4000</v>
      </c>
      <c r="R75" s="12">
        <f t="shared" ref="R75:R80" si="11">Q75-P75</f>
        <v>0</v>
      </c>
      <c r="T75" s="50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</row>
    <row r="76" spans="8:37" x14ac:dyDescent="0.25">
      <c r="H76" s="5" t="s">
        <v>101</v>
      </c>
      <c r="I76" s="5" t="s">
        <v>16</v>
      </c>
      <c r="J76" s="12">
        <f>J75/EtaQNomOvn2/(Htotal/3.6)</f>
        <v>0</v>
      </c>
      <c r="K76" s="12">
        <f>K75/EtaQNomOvn2/(Htotal/3.6)</f>
        <v>0</v>
      </c>
      <c r="L76" s="12">
        <f t="shared" si="9"/>
        <v>0</v>
      </c>
      <c r="N76" s="5" t="s">
        <v>145</v>
      </c>
      <c r="O76" s="6" t="s">
        <v>16</v>
      </c>
      <c r="P76" s="12">
        <f>J65</f>
        <v>2934.0990071608958</v>
      </c>
      <c r="Q76" s="12">
        <f>K65</f>
        <v>1086.3985103653247</v>
      </c>
      <c r="R76" s="12">
        <f t="shared" si="11"/>
        <v>-1847.7004967955711</v>
      </c>
      <c r="T76" s="50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</row>
    <row r="77" spans="8:37" x14ac:dyDescent="0.25">
      <c r="H77" s="5" t="s">
        <v>57</v>
      </c>
      <c r="I77" s="5" t="s">
        <v>16</v>
      </c>
      <c r="J77" s="12">
        <f>J74-J76</f>
        <v>125.18530830999589</v>
      </c>
      <c r="K77" s="12">
        <f>K74-K76</f>
        <v>1972.885805105567</v>
      </c>
      <c r="L77" s="12">
        <f t="shared" si="9"/>
        <v>1847.7004967955711</v>
      </c>
      <c r="N77" s="5" t="s">
        <v>100</v>
      </c>
      <c r="O77" s="6" t="s">
        <v>16</v>
      </c>
      <c r="P77" s="12">
        <f>J73</f>
        <v>0</v>
      </c>
      <c r="Q77" s="12">
        <f>K73</f>
        <v>0</v>
      </c>
      <c r="R77" s="12">
        <f t="shared" si="11"/>
        <v>0</v>
      </c>
      <c r="T77" s="50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</row>
    <row r="78" spans="8:37" x14ac:dyDescent="0.25">
      <c r="H78" s="5" t="s">
        <v>44</v>
      </c>
      <c r="I78" s="5" t="s">
        <v>41</v>
      </c>
      <c r="J78" s="12">
        <f>J72+J75</f>
        <v>0</v>
      </c>
      <c r="K78" s="12">
        <f>K72+K75</f>
        <v>0</v>
      </c>
      <c r="L78" s="12">
        <f t="shared" si="9"/>
        <v>0</v>
      </c>
      <c r="N78" s="5" t="s">
        <v>101</v>
      </c>
      <c r="O78" s="6" t="s">
        <v>16</v>
      </c>
      <c r="P78" s="12">
        <f>J76</f>
        <v>0</v>
      </c>
      <c r="Q78" s="12">
        <f>K76</f>
        <v>0</v>
      </c>
      <c r="R78" s="12">
        <f t="shared" si="11"/>
        <v>0</v>
      </c>
      <c r="T78" s="50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</row>
    <row r="79" spans="8:37" x14ac:dyDescent="0.25">
      <c r="H79" s="5" t="s">
        <v>116</v>
      </c>
      <c r="I79" s="5" t="s">
        <v>16</v>
      </c>
      <c r="J79" s="12">
        <f>Ftotal-J80</f>
        <v>11874.814691690004</v>
      </c>
      <c r="K79" s="12">
        <f>Ftotal-K80</f>
        <v>10027.114194894433</v>
      </c>
      <c r="L79" s="12">
        <f t="shared" si="9"/>
        <v>-1847.7004967955709</v>
      </c>
      <c r="N79" s="5" t="s">
        <v>147</v>
      </c>
      <c r="O79" s="6" t="s">
        <v>16</v>
      </c>
      <c r="P79" s="12">
        <f>P74+SUM(P76:P78)</f>
        <v>11874.814691690004</v>
      </c>
      <c r="Q79" s="12">
        <f>Q74+SUM(Q76:Q78)</f>
        <v>10027.114194894433</v>
      </c>
      <c r="R79" s="12">
        <f t="shared" si="11"/>
        <v>-1847.7004967955709</v>
      </c>
      <c r="T79" s="50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</row>
    <row r="80" spans="8:37" x14ac:dyDescent="0.25">
      <c r="H80" s="5" t="s">
        <v>117</v>
      </c>
      <c r="I80" s="5" t="s">
        <v>16</v>
      </c>
      <c r="J80" s="16">
        <f>J67</f>
        <v>125.18530830999589</v>
      </c>
      <c r="K80" s="16">
        <f>K67</f>
        <v>1972.885805105567</v>
      </c>
      <c r="L80" s="12">
        <f t="shared" si="9"/>
        <v>1847.7004967955711</v>
      </c>
      <c r="N80" s="5" t="s">
        <v>146</v>
      </c>
      <c r="O80" s="6" t="s">
        <v>16</v>
      </c>
      <c r="P80" s="16">
        <f>J80</f>
        <v>125.18530830999589</v>
      </c>
      <c r="Q80" s="16">
        <f>K80</f>
        <v>1972.885805105567</v>
      </c>
      <c r="R80" s="12">
        <f t="shared" si="11"/>
        <v>1847.7004967955711</v>
      </c>
      <c r="T80" s="50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</row>
    <row r="81" spans="8:37" x14ac:dyDescent="0.25">
      <c r="H81" t="s">
        <v>45</v>
      </c>
      <c r="I81" s="5" t="s">
        <v>48</v>
      </c>
      <c r="J81" s="12">
        <f>EtaE*(J59+J73)*Htotal/3.6</f>
        <v>5733.9603658536589</v>
      </c>
      <c r="K81" s="12">
        <f>EtaE*(K59+K73)*Htotal/3.6</f>
        <v>5733.9603658536589</v>
      </c>
      <c r="L81" s="12">
        <f t="shared" si="9"/>
        <v>0</v>
      </c>
      <c r="O81" s="6"/>
      <c r="R81" s="12"/>
      <c r="T81" s="50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</row>
    <row r="82" spans="8:37" x14ac:dyDescent="0.25">
      <c r="H82" t="s">
        <v>6</v>
      </c>
      <c r="I82" s="5" t="s">
        <v>48</v>
      </c>
      <c r="J82" s="12">
        <f>$D$12*$D$16</f>
        <v>775</v>
      </c>
      <c r="K82" s="12">
        <f>$D$12*$D$16</f>
        <v>775</v>
      </c>
      <c r="L82" s="12">
        <f t="shared" si="9"/>
        <v>0</v>
      </c>
      <c r="N82" s="7" t="s">
        <v>233</v>
      </c>
      <c r="O82" s="6"/>
      <c r="P82" s="65" t="str">
        <f>P48</f>
        <v>Uden RGK</v>
      </c>
      <c r="Q82" s="65" t="str">
        <f>Q48</f>
        <v>Med 100% RGK</v>
      </c>
      <c r="R82" s="12"/>
      <c r="T82" s="50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</row>
    <row r="83" spans="8:37" x14ac:dyDescent="0.25">
      <c r="H83" t="s">
        <v>46</v>
      </c>
      <c r="I83" s="5" t="s">
        <v>48</v>
      </c>
      <c r="J83" s="12">
        <f>J81-J82</f>
        <v>4958.9603658536589</v>
      </c>
      <c r="K83" s="12">
        <f>K81-K82</f>
        <v>4958.9603658536589</v>
      </c>
      <c r="L83" s="12">
        <f t="shared" si="9"/>
        <v>0</v>
      </c>
      <c r="N83" s="5" t="s">
        <v>265</v>
      </c>
      <c r="O83" s="6"/>
      <c r="P83" s="2">
        <f>(P74+P77)/$K$55</f>
        <v>1</v>
      </c>
      <c r="Q83" s="2">
        <f>(Q74+Q77)/$K$55</f>
        <v>1</v>
      </c>
      <c r="R83" s="2">
        <f>Q83-P83</f>
        <v>0</v>
      </c>
      <c r="T83" s="50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</row>
    <row r="84" spans="8:37" x14ac:dyDescent="0.25">
      <c r="H84" t="s">
        <v>112</v>
      </c>
      <c r="I84" s="5" t="s">
        <v>41</v>
      </c>
      <c r="J84" s="12">
        <f>J64+J75</f>
        <v>7068</v>
      </c>
      <c r="K84" s="12">
        <f>K64+K75</f>
        <v>3168</v>
      </c>
      <c r="L84" s="12">
        <f t="shared" si="9"/>
        <v>-3900</v>
      </c>
      <c r="N84" s="5" t="s">
        <v>266</v>
      </c>
      <c r="O84" s="6"/>
      <c r="P84" s="2">
        <f>(P76+P78)/$J$55</f>
        <v>1</v>
      </c>
      <c r="Q84" s="2">
        <f>(Q76+Q78)/$J$55</f>
        <v>0.3702664796633941</v>
      </c>
      <c r="R84" s="2">
        <f t="shared" ref="R84:R87" si="12">Q84-P84</f>
        <v>-0.6297335203366059</v>
      </c>
      <c r="T84" s="50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</row>
    <row r="85" spans="8:37" x14ac:dyDescent="0.25">
      <c r="H85" t="s">
        <v>113</v>
      </c>
      <c r="I85" s="5" t="s">
        <v>41</v>
      </c>
      <c r="J85" s="12">
        <f>J58+J72</f>
        <v>16740</v>
      </c>
      <c r="K85" s="12">
        <f>K58+K72</f>
        <v>20832</v>
      </c>
      <c r="L85" s="12">
        <f t="shared" si="9"/>
        <v>4092</v>
      </c>
      <c r="N85" s="5" t="s">
        <v>267</v>
      </c>
      <c r="O85" s="6"/>
      <c r="P85" s="2">
        <f>P69/(24*$E$12*KapQcool)</f>
        <v>0</v>
      </c>
      <c r="Q85" s="2">
        <f>Q69/(24*$E$12*KapQcool)</f>
        <v>0</v>
      </c>
      <c r="R85" s="2">
        <f t="shared" si="12"/>
        <v>0</v>
      </c>
      <c r="T85" s="50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</row>
    <row r="86" spans="8:37" x14ac:dyDescent="0.25">
      <c r="H86" t="s">
        <v>108</v>
      </c>
      <c r="I86" s="5" t="s">
        <v>41</v>
      </c>
      <c r="J86" s="12">
        <f>SUM(J84:J85)</f>
        <v>23808</v>
      </c>
      <c r="K86" s="12">
        <f>SUM(K84:K85)</f>
        <v>24000</v>
      </c>
      <c r="L86" s="12">
        <f t="shared" si="9"/>
        <v>192</v>
      </c>
      <c r="N86" s="5" t="s">
        <v>268</v>
      </c>
      <c r="O86" s="6"/>
      <c r="P86" s="2">
        <f>P75/NSvarme</f>
        <v>1</v>
      </c>
      <c r="Q86" s="2">
        <f>Q75/NSvarme</f>
        <v>1</v>
      </c>
      <c r="R86" s="2">
        <f t="shared" si="12"/>
        <v>0</v>
      </c>
      <c r="T86" s="50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</row>
    <row r="87" spans="8:37" x14ac:dyDescent="0.25">
      <c r="H87" s="5" t="s">
        <v>114</v>
      </c>
      <c r="I87" s="5" t="s">
        <v>41</v>
      </c>
      <c r="J87" s="12">
        <v>0</v>
      </c>
      <c r="K87" s="12">
        <f>(EtaRgkOvn2*K59+EtaRgkOvn3*K65)*Htotal/3.6</f>
        <v>5031.4221690485911</v>
      </c>
      <c r="L87" s="12">
        <f t="shared" si="9"/>
        <v>5031.4221690485911</v>
      </c>
      <c r="N87" s="5" t="s">
        <v>243</v>
      </c>
      <c r="O87" s="6" t="s">
        <v>23</v>
      </c>
      <c r="P87" s="11">
        <f>(SUM(P58:P63)-SUM(P54:P56))/P70</f>
        <v>-20.155791357103205</v>
      </c>
      <c r="Q87" s="11">
        <f>(SUM(Q58:Q63)-SUM(Q54:Q56))/Q70</f>
        <v>-22.424734663368202</v>
      </c>
      <c r="R87" s="68">
        <f t="shared" si="12"/>
        <v>-2.2689433062649975</v>
      </c>
      <c r="T87" s="50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</row>
    <row r="88" spans="8:37" x14ac:dyDescent="0.25">
      <c r="H88" s="5" t="s">
        <v>127</v>
      </c>
      <c r="J88" s="12">
        <v>0</v>
      </c>
      <c r="K88" s="2">
        <f>K87/K89</f>
        <v>0.16921466589518472</v>
      </c>
      <c r="L88" s="12">
        <f t="shared" si="9"/>
        <v>0.16921466589518472</v>
      </c>
      <c r="N88" s="6"/>
      <c r="Q88" s="2"/>
      <c r="R88" s="12"/>
      <c r="T88" s="50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</row>
    <row r="89" spans="8:37" x14ac:dyDescent="0.25">
      <c r="H89" t="s">
        <v>106</v>
      </c>
      <c r="I89" s="5" t="s">
        <v>107</v>
      </c>
      <c r="J89" s="12">
        <f>J86+J81</f>
        <v>29541.960365853658</v>
      </c>
      <c r="K89" s="12">
        <f>K86+K81</f>
        <v>29733.960365853658</v>
      </c>
      <c r="L89" s="12">
        <f t="shared" si="9"/>
        <v>192</v>
      </c>
      <c r="R89" s="12"/>
      <c r="T89" s="50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</row>
    <row r="90" spans="8:37" x14ac:dyDescent="0.25">
      <c r="H90" t="s">
        <v>314</v>
      </c>
      <c r="I90" s="5" t="s">
        <v>41</v>
      </c>
      <c r="J90" s="12">
        <f>J86-J78</f>
        <v>23808</v>
      </c>
      <c r="K90" s="12">
        <f>K86-K78</f>
        <v>24000</v>
      </c>
      <c r="L90" s="12">
        <f t="shared" si="9"/>
        <v>192</v>
      </c>
      <c r="R90" s="12"/>
      <c r="T90" s="50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</row>
    <row r="91" spans="8:37" x14ac:dyDescent="0.25">
      <c r="H91" t="s">
        <v>133</v>
      </c>
      <c r="I91" s="5" t="s">
        <v>41</v>
      </c>
      <c r="J91" s="12">
        <f>Qdemand-J90-J62</f>
        <v>192</v>
      </c>
      <c r="K91" s="12">
        <f>Qdemand-K90-K62</f>
        <v>0</v>
      </c>
      <c r="L91" s="12">
        <f t="shared" si="9"/>
        <v>-192</v>
      </c>
      <c r="R91" s="12"/>
      <c r="T91" s="50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</row>
    <row r="92" spans="8:37" x14ac:dyDescent="0.25">
      <c r="H92" s="3" t="s">
        <v>121</v>
      </c>
      <c r="L92" s="12"/>
      <c r="N92" s="3"/>
      <c r="R92" s="12"/>
      <c r="T92" s="50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</row>
    <row r="93" spans="8:37" x14ac:dyDescent="0.25">
      <c r="H93" t="s">
        <v>123</v>
      </c>
      <c r="I93" s="5" t="s">
        <v>52</v>
      </c>
      <c r="J93" s="12">
        <f>J$79*(AndelFossilFast*LHVfossilFast+AndelFossilFri*LHVfossilFri)/3.6</f>
        <v>33892.700265865213</v>
      </c>
      <c r="K93" s="12">
        <f>K$79*(AndelFossilFast*LHVfossilFast+AndelFossilFri*LHVfossilFri)/3.6</f>
        <v>28619.055097927856</v>
      </c>
      <c r="L93" s="12">
        <f t="shared" si="9"/>
        <v>-5273.6451679373567</v>
      </c>
      <c r="R93" s="12"/>
      <c r="T93" s="50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</row>
    <row r="94" spans="8:37" x14ac:dyDescent="0.25">
      <c r="H94" t="s">
        <v>124</v>
      </c>
      <c r="I94" s="5" t="s">
        <v>52</v>
      </c>
      <c r="J94" s="12">
        <f>J$79*AndelBioaffald*LHVbiogent/3.6</f>
        <v>0</v>
      </c>
      <c r="K94" s="12">
        <f>K$79*AndelBioaffald*LHVbiogent/3.6</f>
        <v>0</v>
      </c>
      <c r="L94" s="12">
        <f t="shared" si="9"/>
        <v>0</v>
      </c>
      <c r="R94" s="12"/>
      <c r="T94" s="50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  <c r="AK94" s="49"/>
    </row>
    <row r="95" spans="8:37" x14ac:dyDescent="0.25">
      <c r="H95" t="s">
        <v>122</v>
      </c>
      <c r="I95" s="5" t="s">
        <v>107</v>
      </c>
      <c r="J95" s="12">
        <f>J89/0.85 - J94</f>
        <v>34755.247489239599</v>
      </c>
      <c r="K95" s="12">
        <f>IF(RGKudnyttelse&gt;0,K89/0.95 - K94,J95)</f>
        <v>31298.905648267009</v>
      </c>
      <c r="L95" s="12">
        <f t="shared" si="9"/>
        <v>-3456.3418409725891</v>
      </c>
      <c r="R95" s="12"/>
      <c r="T95" s="50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</row>
    <row r="96" spans="8:37" x14ac:dyDescent="0.25">
      <c r="H96" t="s">
        <v>128</v>
      </c>
      <c r="I96" s="5" t="s">
        <v>41</v>
      </c>
      <c r="J96" s="12">
        <f>J86*J95/(J95+J94)</f>
        <v>23808</v>
      </c>
      <c r="K96" s="12">
        <f>K86*K95/(K95+K94)</f>
        <v>24000</v>
      </c>
      <c r="L96" s="12">
        <f t="shared" si="9"/>
        <v>192</v>
      </c>
      <c r="R96" s="12"/>
      <c r="T96" s="50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49"/>
    </row>
    <row r="97" spans="8:37" x14ac:dyDescent="0.25">
      <c r="H97" t="s">
        <v>125</v>
      </c>
      <c r="I97" s="5" t="s">
        <v>48</v>
      </c>
      <c r="J97" s="12">
        <f>J81*J95/(J95+J94)</f>
        <v>5733.9603658536589</v>
      </c>
      <c r="K97" s="12">
        <f>K81*K95/(K95+K94)</f>
        <v>5733.9603658536589</v>
      </c>
      <c r="L97" s="12">
        <f t="shared" si="9"/>
        <v>0</v>
      </c>
      <c r="R97" s="12"/>
      <c r="T97" s="50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</row>
    <row r="98" spans="8:37" x14ac:dyDescent="0.25">
      <c r="H98" t="s">
        <v>126</v>
      </c>
      <c r="I98" s="5" t="s">
        <v>41</v>
      </c>
      <c r="J98" s="12">
        <f>J96/1.2</f>
        <v>19840</v>
      </c>
      <c r="K98" s="12">
        <f>IF(RGKudnyttelse&gt;0,(K96-0.1*(K96+K97))/1.2,J98)</f>
        <v>17522.169969512193</v>
      </c>
      <c r="L98" s="12">
        <f t="shared" si="9"/>
        <v>-2317.8300304878067</v>
      </c>
      <c r="R98" s="12"/>
      <c r="T98" s="50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  <c r="AK98" s="49"/>
    </row>
    <row r="99" spans="8:37" x14ac:dyDescent="0.25">
      <c r="H99" t="s">
        <v>129</v>
      </c>
      <c r="I99" s="5" t="s">
        <v>41</v>
      </c>
      <c r="J99" s="12">
        <f>J98</f>
        <v>19840</v>
      </c>
      <c r="K99" s="12">
        <f>K98</f>
        <v>17522.169969512193</v>
      </c>
      <c r="L99" s="12">
        <f t="shared" si="9"/>
        <v>-2317.8300304878067</v>
      </c>
      <c r="R99" s="12"/>
      <c r="T99" s="50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49"/>
      <c r="AK99" s="49"/>
    </row>
    <row r="100" spans="8:37" x14ac:dyDescent="0.25">
      <c r="T100" s="50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</row>
    <row r="101" spans="8:37" x14ac:dyDescent="0.25">
      <c r="H101" s="3" t="s">
        <v>102</v>
      </c>
      <c r="I101" s="8"/>
      <c r="J101" s="15" t="str">
        <f>J57</f>
        <v>Uden RGK</v>
      </c>
      <c r="K101" s="15" t="str">
        <f>K57</f>
        <v>Med 100% RGK</v>
      </c>
      <c r="L101" s="3" t="s">
        <v>139</v>
      </c>
      <c r="N101" s="3"/>
      <c r="O101" s="71"/>
      <c r="P101" s="15"/>
      <c r="Q101" s="15"/>
      <c r="R101" s="3"/>
      <c r="T101" s="50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  <c r="AK101" s="49"/>
    </row>
    <row r="102" spans="8:37" x14ac:dyDescent="0.25">
      <c r="H102" s="14" t="s">
        <v>22</v>
      </c>
      <c r="I102" s="14" t="s">
        <v>138</v>
      </c>
      <c r="J102" s="17">
        <f>Varmesalgspris*J90</f>
        <v>7404288</v>
      </c>
      <c r="K102" s="17">
        <f>Varmesalgspris*K90</f>
        <v>7464000</v>
      </c>
      <c r="L102" s="18">
        <f>K102-J102</f>
        <v>59712</v>
      </c>
      <c r="N102" s="14"/>
      <c r="O102" s="72"/>
      <c r="P102" s="17"/>
      <c r="Q102" s="17"/>
      <c r="R102" s="18"/>
      <c r="T102" s="50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</row>
    <row r="103" spans="8:37" x14ac:dyDescent="0.25">
      <c r="H103" s="14" t="s">
        <v>104</v>
      </c>
      <c r="I103" s="14" t="s">
        <v>138</v>
      </c>
      <c r="J103" s="17">
        <f>(Elpris-ElprodTarif)*J83</f>
        <v>3947332.4512195126</v>
      </c>
      <c r="K103" s="17">
        <f>(Elpris-ElprodTarif)*K83</f>
        <v>3947332.4512195126</v>
      </c>
      <c r="L103" s="18">
        <f t="shared" ref="L103:L116" si="13">K103-J103</f>
        <v>0</v>
      </c>
      <c r="N103" s="14"/>
      <c r="O103" s="72"/>
      <c r="P103" s="17"/>
      <c r="Q103" s="17"/>
      <c r="R103" s="18"/>
      <c r="T103" s="50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</row>
    <row r="104" spans="8:37" x14ac:dyDescent="0.25">
      <c r="H104" s="14" t="s">
        <v>105</v>
      </c>
      <c r="I104" s="14" t="s">
        <v>138</v>
      </c>
      <c r="J104" s="17">
        <v>0</v>
      </c>
      <c r="K104" s="17">
        <f>IF(K87&lt;7%*K89,0,10%)*K110</f>
        <v>200593.80181097562</v>
      </c>
      <c r="L104" s="18">
        <f t="shared" si="13"/>
        <v>200593.80181097562</v>
      </c>
      <c r="N104" s="14"/>
      <c r="O104" s="72"/>
      <c r="P104" s="17"/>
      <c r="Q104" s="17"/>
      <c r="R104" s="18"/>
      <c r="T104" s="50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  <c r="AK104" s="49"/>
    </row>
    <row r="105" spans="8:37" x14ac:dyDescent="0.25">
      <c r="H105" s="14" t="s">
        <v>103</v>
      </c>
      <c r="I105" s="14" t="s">
        <v>138</v>
      </c>
      <c r="J105" s="17">
        <f>$C$27*($C$5-J80*$C$24)</f>
        <v>4675708.2848529397</v>
      </c>
      <c r="K105" s="17">
        <f>$C$27*($C$5-K80*$C$24)</f>
        <v>3948176.214239683</v>
      </c>
      <c r="L105" s="18">
        <f t="shared" si="13"/>
        <v>-727532.07061325666</v>
      </c>
      <c r="N105" s="14"/>
      <c r="O105" s="72"/>
      <c r="P105" s="17"/>
      <c r="Q105" s="17"/>
      <c r="R105" s="18"/>
      <c r="T105" s="50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  <c r="AJ105" s="49"/>
      <c r="AK105" s="49"/>
    </row>
    <row r="106" spans="8:37" x14ac:dyDescent="0.25">
      <c r="I106" s="14"/>
      <c r="J106" s="18"/>
      <c r="K106" s="18"/>
      <c r="L106" s="18"/>
      <c r="O106" s="72"/>
      <c r="P106" s="18"/>
      <c r="Q106" s="18"/>
      <c r="R106" s="18"/>
      <c r="T106" s="50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  <c r="AI106" s="49"/>
      <c r="AJ106" s="49"/>
      <c r="AK106" s="49"/>
    </row>
    <row r="107" spans="8:37" x14ac:dyDescent="0.25">
      <c r="H107" s="14" t="s">
        <v>110</v>
      </c>
      <c r="I107" s="14" t="s">
        <v>138</v>
      </c>
      <c r="J107" s="18">
        <f>$E$27*($C$7-J80*AndelBioaffald)</f>
        <v>0</v>
      </c>
      <c r="K107" s="18">
        <f>$E$27*($C$7-K80*AndelBioaffald)</f>
        <v>0</v>
      </c>
      <c r="L107" s="18">
        <f t="shared" si="13"/>
        <v>0</v>
      </c>
      <c r="N107" s="14"/>
      <c r="O107" s="72"/>
      <c r="P107" s="18"/>
      <c r="Q107" s="18"/>
      <c r="R107" s="18"/>
      <c r="T107" s="50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  <c r="AK107" s="49"/>
    </row>
    <row r="108" spans="8:37" x14ac:dyDescent="0.25">
      <c r="H108" s="14" t="s">
        <v>111</v>
      </c>
      <c r="I108" s="14" t="s">
        <v>138</v>
      </c>
      <c r="J108" s="17">
        <f>$C$21*J84+$D$21*J85+$E$21*J78</f>
        <v>1049040</v>
      </c>
      <c r="K108" s="17">
        <f>J108+$F$21*$K$87</f>
        <v>1099354.221690486</v>
      </c>
      <c r="L108" s="18">
        <f t="shared" si="13"/>
        <v>50314.221690485952</v>
      </c>
      <c r="N108" s="14"/>
      <c r="O108" s="72"/>
      <c r="P108" s="17"/>
      <c r="Q108" s="17"/>
      <c r="R108" s="18"/>
      <c r="T108" s="50"/>
      <c r="U108" s="49"/>
      <c r="V108" s="49"/>
      <c r="W108" s="49"/>
      <c r="X108" s="49"/>
      <c r="Y108" s="49"/>
      <c r="Z108" s="49"/>
      <c r="AA108" s="49"/>
      <c r="AB108" s="49"/>
      <c r="AC108" s="49"/>
      <c r="AD108" s="49"/>
      <c r="AE108" s="49"/>
      <c r="AF108" s="49"/>
      <c r="AG108" s="49"/>
      <c r="AH108" s="49"/>
      <c r="AI108" s="49"/>
      <c r="AJ108" s="49"/>
      <c r="AK108" s="49"/>
    </row>
    <row r="109" spans="8:37" x14ac:dyDescent="0.25">
      <c r="H109" s="14" t="s">
        <v>31</v>
      </c>
      <c r="I109" s="14" t="s">
        <v>138</v>
      </c>
      <c r="J109" s="17">
        <f>AFV*3.6*J90</f>
        <v>2211287.04</v>
      </c>
      <c r="K109" s="17">
        <f>AFV*3.6*K90</f>
        <v>2229120</v>
      </c>
      <c r="L109" s="18">
        <f t="shared" si="13"/>
        <v>17832.959999999963</v>
      </c>
      <c r="N109" s="14"/>
      <c r="O109" s="72"/>
      <c r="P109" s="17"/>
      <c r="Q109" s="17"/>
      <c r="R109" s="18"/>
      <c r="T109" s="50"/>
      <c r="U109" s="49"/>
      <c r="V109" s="49"/>
      <c r="W109" s="49"/>
      <c r="X109" s="49"/>
      <c r="Y109" s="49"/>
      <c r="Z109" s="49"/>
      <c r="AA109" s="49"/>
      <c r="AB109" s="49"/>
      <c r="AC109" s="49"/>
      <c r="AD109" s="49"/>
      <c r="AE109" s="49"/>
      <c r="AF109" s="49"/>
      <c r="AG109" s="49"/>
      <c r="AH109" s="49"/>
      <c r="AI109" s="49"/>
      <c r="AJ109" s="49"/>
      <c r="AK109" s="49"/>
    </row>
    <row r="110" spans="8:37" x14ac:dyDescent="0.25">
      <c r="H110" s="14" t="s">
        <v>32</v>
      </c>
      <c r="I110" s="14" t="s">
        <v>138</v>
      </c>
      <c r="J110" s="18">
        <f>ATL*3.6*J98</f>
        <v>2271283.2000000002</v>
      </c>
      <c r="K110" s="18">
        <f>ATL*3.6*K98</f>
        <v>2005938.0181097561</v>
      </c>
      <c r="L110" s="18">
        <f t="shared" si="13"/>
        <v>-265345.18189024413</v>
      </c>
      <c r="N110" s="14"/>
      <c r="O110" s="72"/>
      <c r="P110" s="18"/>
      <c r="Q110" s="18"/>
      <c r="R110" s="18"/>
      <c r="T110" s="50"/>
      <c r="U110" s="49"/>
      <c r="V110" s="49"/>
      <c r="W110" s="49"/>
      <c r="X110" s="49"/>
      <c r="Y110" s="49"/>
      <c r="Z110" s="49"/>
      <c r="AA110" s="49"/>
      <c r="AB110" s="49"/>
      <c r="AC110" s="49"/>
      <c r="AD110" s="49"/>
      <c r="AE110" s="49"/>
      <c r="AF110" s="49"/>
      <c r="AG110" s="49"/>
      <c r="AH110" s="49"/>
      <c r="AI110" s="49"/>
      <c r="AJ110" s="49"/>
      <c r="AK110" s="49"/>
    </row>
    <row r="111" spans="8:37" x14ac:dyDescent="0.25">
      <c r="H111" s="14" t="s">
        <v>33</v>
      </c>
      <c r="I111" s="14" t="s">
        <v>138</v>
      </c>
      <c r="J111" s="18">
        <f>CO2afgift*$C$29 /1000 *3.6*J98</f>
        <v>471719.80799999996</v>
      </c>
      <c r="K111" s="18">
        <f>CO2afgift*$C$29 /1000 *3.6*K98</f>
        <v>416610.61762911582</v>
      </c>
      <c r="L111" s="18">
        <f t="shared" si="13"/>
        <v>-55109.190370884142</v>
      </c>
      <c r="N111" s="14"/>
      <c r="O111" s="72"/>
      <c r="P111" s="18"/>
      <c r="Q111" s="18"/>
      <c r="R111" s="18"/>
      <c r="T111" s="50"/>
      <c r="U111" s="49"/>
      <c r="V111" s="49"/>
      <c r="W111" s="49"/>
      <c r="X111" s="49"/>
      <c r="Y111" s="49"/>
      <c r="Z111" s="49"/>
      <c r="AA111" s="49"/>
      <c r="AB111" s="49"/>
      <c r="AC111" s="49"/>
      <c r="AD111" s="49"/>
      <c r="AE111" s="49"/>
      <c r="AF111" s="49"/>
      <c r="AG111" s="49"/>
      <c r="AH111" s="49"/>
      <c r="AI111" s="49"/>
      <c r="AJ111" s="49"/>
      <c r="AK111" s="49"/>
    </row>
    <row r="112" spans="8:37" x14ac:dyDescent="0.25">
      <c r="H112" s="14" t="s">
        <v>115</v>
      </c>
      <c r="I112" s="14" t="s">
        <v>138</v>
      </c>
      <c r="J112" s="18">
        <f>Kvotepris*$C$30/1000*C31*J79</f>
        <v>2139841.6074425387</v>
      </c>
      <c r="K112" s="18">
        <f>Kvotepris*$C$30/1000*10.6*K79</f>
        <v>1806885.9779199767</v>
      </c>
      <c r="L112" s="18">
        <f t="shared" si="13"/>
        <v>-332955.62952256203</v>
      </c>
      <c r="N112" s="14"/>
      <c r="O112" s="72"/>
      <c r="P112" s="18"/>
      <c r="Q112" s="18"/>
      <c r="R112" s="18"/>
      <c r="T112" s="50"/>
      <c r="U112" s="49"/>
      <c r="V112" s="49"/>
      <c r="W112" s="49"/>
      <c r="X112" s="49"/>
      <c r="Y112" s="49"/>
      <c r="Z112" s="49"/>
      <c r="AA112" s="49"/>
      <c r="AB112" s="49"/>
      <c r="AC112" s="49"/>
      <c r="AD112" s="49"/>
      <c r="AE112" s="49"/>
      <c r="AF112" s="49"/>
      <c r="AG112" s="49"/>
      <c r="AH112" s="49"/>
      <c r="AI112" s="49"/>
      <c r="AJ112" s="49"/>
      <c r="AK112" s="49"/>
    </row>
    <row r="113" spans="8:37" x14ac:dyDescent="0.25">
      <c r="I113" s="14"/>
      <c r="J113" s="18"/>
      <c r="K113" s="18"/>
      <c r="L113" s="18"/>
      <c r="O113" s="72"/>
      <c r="P113" s="18"/>
      <c r="Q113" s="18"/>
      <c r="R113" s="18"/>
      <c r="T113" s="50"/>
      <c r="U113" s="49"/>
      <c r="V113" s="49"/>
      <c r="W113" s="49"/>
      <c r="X113" s="49"/>
      <c r="Y113" s="49"/>
      <c r="Z113" s="49"/>
      <c r="AA113" s="49"/>
      <c r="AB113" s="49"/>
      <c r="AC113" s="49"/>
      <c r="AD113" s="49"/>
      <c r="AE113" s="49"/>
      <c r="AF113" s="49"/>
      <c r="AG113" s="49"/>
      <c r="AH113" s="49"/>
      <c r="AI113" s="49"/>
      <c r="AJ113" s="49"/>
      <c r="AK113" s="49"/>
    </row>
    <row r="114" spans="8:37" x14ac:dyDescent="0.25">
      <c r="H114" s="14" t="s">
        <v>118</v>
      </c>
      <c r="I114" s="14" t="s">
        <v>138</v>
      </c>
      <c r="J114" s="18">
        <f>SUM(J102:J105)</f>
        <v>16027328.736072451</v>
      </c>
      <c r="K114" s="18">
        <f>SUM(K102:K105)</f>
        <v>15560102.467270171</v>
      </c>
      <c r="L114" s="18">
        <f t="shared" si="13"/>
        <v>-467226.26880227961</v>
      </c>
      <c r="N114" s="14"/>
      <c r="O114" s="72"/>
      <c r="P114" s="18"/>
      <c r="Q114" s="18"/>
      <c r="R114" s="18"/>
      <c r="T114" s="50"/>
      <c r="U114" s="49"/>
      <c r="V114" s="49"/>
      <c r="W114" s="49"/>
      <c r="X114" s="49"/>
      <c r="Y114" s="49"/>
      <c r="Z114" s="49"/>
      <c r="AA114" s="49"/>
      <c r="AB114" s="49"/>
      <c r="AC114" s="49"/>
      <c r="AD114" s="49"/>
      <c r="AE114" s="49"/>
      <c r="AF114" s="49"/>
      <c r="AG114" s="49"/>
      <c r="AH114" s="49"/>
      <c r="AI114" s="49"/>
      <c r="AJ114" s="49"/>
      <c r="AK114" s="49"/>
    </row>
    <row r="115" spans="8:37" x14ac:dyDescent="0.25">
      <c r="H115" s="14" t="s">
        <v>119</v>
      </c>
      <c r="I115" s="14" t="s">
        <v>138</v>
      </c>
      <c r="J115" s="18">
        <f>SUM(J107:J112)</f>
        <v>8143171.6554425396</v>
      </c>
      <c r="K115" s="18">
        <f>SUM(K107:K112)</f>
        <v>7557908.8353493344</v>
      </c>
      <c r="L115" s="18">
        <f t="shared" si="13"/>
        <v>-585262.8200932052</v>
      </c>
      <c r="N115" s="14"/>
      <c r="O115" s="72"/>
      <c r="P115" s="18"/>
      <c r="Q115" s="18"/>
      <c r="R115" s="18"/>
      <c r="T115" s="50"/>
      <c r="U115" s="49"/>
      <c r="V115" s="49"/>
      <c r="W115" s="49"/>
      <c r="X115" s="49"/>
      <c r="Y115" s="49"/>
      <c r="Z115" s="49"/>
      <c r="AA115" s="49"/>
      <c r="AB115" s="49"/>
      <c r="AC115" s="49"/>
      <c r="AD115" s="49"/>
      <c r="AE115" s="49"/>
      <c r="AF115" s="49"/>
      <c r="AG115" s="49"/>
      <c r="AH115" s="49"/>
      <c r="AI115" s="49"/>
      <c r="AJ115" s="49"/>
      <c r="AK115" s="49"/>
    </row>
    <row r="116" spans="8:37" x14ac:dyDescent="0.25">
      <c r="H116" s="14" t="s">
        <v>120</v>
      </c>
      <c r="I116" s="14" t="s">
        <v>138</v>
      </c>
      <c r="J116" s="18">
        <f>J114-J115</f>
        <v>7884157.0806299113</v>
      </c>
      <c r="K116" s="18">
        <f>K114-K115</f>
        <v>8002193.6319208369</v>
      </c>
      <c r="L116" s="18">
        <f t="shared" si="13"/>
        <v>118036.55129092559</v>
      </c>
      <c r="N116" s="14"/>
      <c r="O116" s="72"/>
      <c r="P116" s="18"/>
      <c r="Q116" s="18"/>
      <c r="R116" s="18"/>
      <c r="T116" s="50"/>
      <c r="U116" s="49"/>
      <c r="V116" s="49"/>
      <c r="W116" s="49"/>
      <c r="X116" s="49"/>
      <c r="Y116" s="49"/>
      <c r="Z116" s="49"/>
      <c r="AA116" s="49"/>
      <c r="AB116" s="49"/>
      <c r="AC116" s="49"/>
      <c r="AD116" s="49"/>
      <c r="AE116" s="49"/>
      <c r="AF116" s="49"/>
      <c r="AG116" s="49"/>
      <c r="AH116" s="49"/>
      <c r="AI116" s="49"/>
      <c r="AJ116" s="49"/>
      <c r="AK116" s="49"/>
    </row>
    <row r="117" spans="8:37" x14ac:dyDescent="0.25">
      <c r="T117" s="50"/>
      <c r="U117" s="49"/>
      <c r="V117" s="49"/>
      <c r="W117" s="49"/>
      <c r="X117" s="49"/>
      <c r="Y117" s="49"/>
      <c r="Z117" s="49"/>
      <c r="AA117" s="49"/>
      <c r="AB117" s="49"/>
      <c r="AC117" s="49"/>
      <c r="AD117" s="49"/>
      <c r="AE117" s="49"/>
      <c r="AF117" s="49"/>
      <c r="AG117" s="49"/>
      <c r="AH117" s="49"/>
      <c r="AI117" s="49"/>
      <c r="AJ117" s="49"/>
      <c r="AK117" s="49"/>
    </row>
    <row r="118" spans="8:37" x14ac:dyDescent="0.25">
      <c r="T118" s="50"/>
      <c r="U118" s="49"/>
      <c r="V118" s="49"/>
      <c r="W118" s="49"/>
      <c r="X118" s="49"/>
      <c r="Y118" s="49"/>
      <c r="Z118" s="49"/>
      <c r="AA118" s="49"/>
      <c r="AB118" s="49"/>
      <c r="AC118" s="49"/>
      <c r="AD118" s="49"/>
      <c r="AE118" s="49"/>
      <c r="AF118" s="49"/>
      <c r="AG118" s="49"/>
      <c r="AH118" s="49"/>
      <c r="AI118" s="49"/>
      <c r="AJ118" s="49"/>
      <c r="AK118" s="49"/>
    </row>
    <row r="119" spans="8:37" x14ac:dyDescent="0.25">
      <c r="T119" s="50"/>
      <c r="U119" s="49"/>
      <c r="V119" s="49"/>
      <c r="W119" s="49"/>
      <c r="X119" s="49"/>
      <c r="Y119" s="49"/>
      <c r="Z119" s="49"/>
      <c r="AA119" s="49"/>
      <c r="AB119" s="49"/>
      <c r="AC119" s="49"/>
      <c r="AD119" s="49"/>
      <c r="AE119" s="49"/>
      <c r="AF119" s="49"/>
      <c r="AG119" s="49"/>
      <c r="AH119" s="49"/>
      <c r="AI119" s="49"/>
      <c r="AJ119" s="49"/>
      <c r="AK119" s="49"/>
    </row>
    <row r="120" spans="8:37" x14ac:dyDescent="0.25">
      <c r="T120" s="50"/>
      <c r="U120" s="49"/>
      <c r="V120" s="49"/>
      <c r="W120" s="49"/>
      <c r="X120" s="49"/>
      <c r="Y120" s="49"/>
      <c r="Z120" s="49"/>
      <c r="AA120" s="49"/>
      <c r="AB120" s="49"/>
      <c r="AC120" s="49"/>
      <c r="AD120" s="49"/>
      <c r="AE120" s="49"/>
      <c r="AF120" s="49"/>
      <c r="AG120" s="49"/>
      <c r="AH120" s="49"/>
      <c r="AI120" s="49"/>
      <c r="AJ120" s="49"/>
      <c r="AK120" s="49"/>
    </row>
  </sheetData>
  <scenarios current="9" show="9" sqref="Q5:Q36">
    <scenario name="RGK 10 %" locked="1" count="1" user="Mogens Bech Laursen" comment="Created by Mogens Bech Laursen on 16-03-2022">
      <inputCells r="C8" val="0,1" numFmtId="9"/>
    </scenario>
    <scenario name="RGK 20 %" locked="1" count="1" user="Mogens Bech Laursen" comment="Created by Mogens Bech Laursen on 16-03-2022">
      <inputCells r="C8" val="0,2" numFmtId="9"/>
    </scenario>
    <scenario name="RGK 30 %" locked="1" count="1" user="Mogens Bech Laursen" comment="Created by Mogens Bech Laursen on 16-03-2022">
      <inputCells r="C8" val="0,3" numFmtId="9"/>
    </scenario>
    <scenario name="RGK 40 %" locked="1" count="1" user="Mogens Bech Laursen" comment="Created by Mogens Bech Laursen on 16-03-2022">
      <inputCells r="C8" val="0,4" numFmtId="9"/>
    </scenario>
    <scenario name="RGK 50 %" locked="1" count="1" user="Mogens Bech Laursen" comment="Created by Mogens Bech Laursen on 16-03-2022">
      <inputCells r="C8" val="0,5" numFmtId="9"/>
    </scenario>
    <scenario name="RGK 60 %" locked="1" count="1" user="Mogens Bech Laursen" comment="Created by Mogens Bech Laursen on 16-03-2022">
      <inputCells r="C8" val="0,6" numFmtId="9"/>
    </scenario>
    <scenario name="RGK 70 %" locked="1" count="1" user="Mogens Bech Laursen" comment="Created by Mogens Bech Laursen on 16-03-2022">
      <inputCells r="C8" val="0,7" numFmtId="9"/>
    </scenario>
    <scenario name="RGK 80 %" locked="1" count="1" user="Mogens Bech Laursen" comment="Created by Mogens Bech Laursen on 16-03-2022">
      <inputCells r="C8" val="0,8" numFmtId="9"/>
    </scenario>
    <scenario name="RGK 90 %" locked="1" count="1" user="Mogens Bech Laursen" comment="Created by Mogens Bech Laursen on 16-03-2022">
      <inputCells r="C8" val="0,9" numFmtId="9"/>
    </scenario>
    <scenario name="RGK 100 %" locked="1" count="1" user="Mogens Bech Laursen" comment="Created by Mogens Bech Laursen on 16-03-2022">
      <inputCells r="C8" val="1" numFmtId="9"/>
    </scenario>
  </scenarios>
  <customSheetViews>
    <customSheetView guid="{D61959C2-356A-4414-A70C-587540F5DA06}" scale="70">
      <selection sqref="A1:F1"/>
      <pageMargins left="0.7" right="0.7" top="0.75" bottom="0.75" header="0.3" footer="0.3"/>
      <pageSetup paperSize="9" orientation="portrait" r:id="rId1"/>
    </customSheetView>
    <customSheetView guid="{01B8EE19-BF49-4F3C-9D6B-CD607AE52779}" scale="70">
      <selection sqref="A1:F1"/>
      <pageMargins left="0.7" right="0.7" top="0.75" bottom="0.75" header="0.3" footer="0.3"/>
      <pageSetup paperSize="9" orientation="portrait" r:id="rId2"/>
    </customSheetView>
    <customSheetView guid="{2B82E035-636B-4F9F-846A-FEE8C149952C}" scale="70">
      <selection sqref="A1:F1"/>
      <pageMargins left="0.7" right="0.7" top="0.75" bottom="0.75" header="0.3" footer="0.3"/>
      <pageSetup paperSize="9" orientation="portrait" r:id="rId3"/>
    </customSheetView>
    <customSheetView guid="{B8935784-587B-4D0A-AED7-A4A9B4EF97F4}" showRowCol="0" hiddenColumns="1" topLeftCell="G1">
      <selection activeCell="AJ8" sqref="AJ8"/>
      <pageMargins left="0.7" right="0.7" top="0.75" bottom="0.75" header="0.3" footer="0.3"/>
      <pageSetup paperSize="9" orientation="portrait" r:id="rId4"/>
    </customSheetView>
    <customSheetView guid="{EEB625C4-AF57-4951-B4C5-8C71271FF126}" scale="85">
      <selection sqref="A1:F1"/>
      <pageMargins left="0.7" right="0.7" top="0.75" bottom="0.75" header="0.3" footer="0.3"/>
      <pageSetup paperSize="9" orientation="portrait" r:id="rId5"/>
    </customSheetView>
  </customSheetViews>
  <mergeCells count="4">
    <mergeCell ref="H46:L46"/>
    <mergeCell ref="N46:R46"/>
    <mergeCell ref="A1:F1"/>
    <mergeCell ref="H1:X1"/>
  </mergeCells>
  <conditionalFormatting sqref="J58:K116">
    <cfRule type="cellIs" dxfId="4" priority="1" operator="lessThan">
      <formula>0</formula>
    </cfRule>
  </conditionalFormatting>
  <pageMargins left="0.7" right="0.7" top="0.75" bottom="0.75" header="0.3" footer="0.3"/>
  <pageSetup paperSize="9" orientation="portrait" r:id="rId6"/>
  <drawing r:id="rId7"/>
  <legacyDrawing r:id="rId8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D7C0A-F3D7-40A9-824D-ADCE5BD79E60}">
  <sheetPr codeName="Sheet9"/>
  <dimension ref="A1:AL153"/>
  <sheetViews>
    <sheetView showRowColHeaders="0" topLeftCell="G1" zoomScaleNormal="100" workbookViewId="0">
      <selection activeCell="A2" sqref="A1:F1048576"/>
    </sheetView>
  </sheetViews>
  <sheetFormatPr defaultRowHeight="15" x14ac:dyDescent="0.25"/>
  <cols>
    <col min="1" max="1" width="28.5703125" hidden="1" customWidth="1"/>
    <col min="2" max="2" width="12.28515625" style="5" hidden="1" customWidth="1"/>
    <col min="3" max="3" width="9.5703125" hidden="1" customWidth="1"/>
    <col min="4" max="5" width="9.140625" hidden="1" customWidth="1"/>
    <col min="6" max="6" width="9.42578125" hidden="1" customWidth="1"/>
    <col min="7" max="7" width="2.85546875" style="45" customWidth="1"/>
    <col min="8" max="8" width="35.140625" customWidth="1"/>
    <col min="9" max="9" width="11" style="5" customWidth="1"/>
    <col min="10" max="10" width="13.28515625" style="12" customWidth="1"/>
    <col min="11" max="11" width="14.42578125" style="12" customWidth="1"/>
    <col min="12" max="12" width="14.42578125" customWidth="1"/>
    <col min="13" max="13" width="2.85546875" style="45" customWidth="1"/>
    <col min="14" max="14" width="30.7109375" bestFit="1" customWidth="1"/>
    <col min="15" max="15" width="8.42578125" style="70" bestFit="1" customWidth="1"/>
    <col min="16" max="16" width="10" style="12" bestFit="1" customWidth="1"/>
    <col min="17" max="17" width="14.42578125" style="12" bestFit="1" customWidth="1"/>
    <col min="18" max="18" width="15.7109375" bestFit="1" customWidth="1"/>
    <col min="19" max="19" width="4.140625" customWidth="1"/>
    <col min="20" max="20" width="29.7109375" style="5" customWidth="1"/>
    <col min="21" max="22" width="13" customWidth="1"/>
    <col min="24" max="24" width="8.5703125" customWidth="1"/>
  </cols>
  <sheetData>
    <row r="1" spans="1:38" ht="33.75" customHeight="1" x14ac:dyDescent="0.25">
      <c r="A1" s="147" t="s">
        <v>242</v>
      </c>
      <c r="B1" s="148"/>
      <c r="C1" s="148"/>
      <c r="D1" s="148"/>
      <c r="E1" s="148"/>
      <c r="F1" s="149"/>
      <c r="G1" s="49"/>
      <c r="H1" s="150" t="str">
        <f>"Resultat for "&amp;C5&amp;" ton affald, "&amp;C7&amp;" ton bioaffald, Varmebehov "&amp;TEXT(Qdemand,"#.##0")&amp;" MWh, NS-varme "&amp;TEXT(NSvarme,"#.##0")&amp;" MWh, RGK-grad "&amp;TEXT(RGKudnyttelse,"0 %")</f>
        <v>Resultat for 11000 ton affald, 1000 ton bioaffald, Varmebehov 28.000 MWh, NS-varme 4.000 MWh, RGK-grad 100 %</v>
      </c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</row>
    <row r="2" spans="1:38" ht="15.75" thickBot="1" x14ac:dyDescent="0.3">
      <c r="A2" s="54"/>
      <c r="B2" s="55"/>
      <c r="C2" s="56"/>
      <c r="D2" s="56"/>
      <c r="E2" s="56"/>
      <c r="F2" s="57"/>
      <c r="G2" s="49"/>
      <c r="H2" s="49"/>
      <c r="I2" s="50"/>
      <c r="J2" s="51"/>
      <c r="K2" s="51"/>
      <c r="L2" s="49"/>
      <c r="M2" s="49"/>
      <c r="N2" s="49"/>
      <c r="O2" s="69"/>
      <c r="P2" s="51"/>
      <c r="Q2" s="51"/>
      <c r="R2" s="49"/>
      <c r="S2" s="49"/>
      <c r="T2" s="53"/>
      <c r="U2" s="49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49"/>
      <c r="AK2" s="49"/>
      <c r="AL2" s="66" t="str">
        <f>"Økonomiske nøgletal "</f>
        <v xml:space="preserve">Økonomiske nøgletal </v>
      </c>
    </row>
    <row r="3" spans="1:38" x14ac:dyDescent="0.25">
      <c r="A3" s="102" t="s">
        <v>131</v>
      </c>
      <c r="B3" s="103" t="s">
        <v>47</v>
      </c>
      <c r="C3" s="104" t="s">
        <v>206</v>
      </c>
      <c r="D3" s="104"/>
      <c r="E3" s="104"/>
      <c r="F3" s="105"/>
      <c r="G3" s="49"/>
      <c r="H3" s="49"/>
      <c r="I3" s="50"/>
      <c r="J3" s="51"/>
      <c r="K3" s="51"/>
      <c r="L3" s="49"/>
      <c r="M3" s="49"/>
      <c r="N3" s="49"/>
      <c r="O3" s="69"/>
      <c r="P3" s="51"/>
      <c r="Q3" s="51"/>
      <c r="R3" s="49"/>
      <c r="S3" s="49"/>
      <c r="T3" s="50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67" t="str">
        <f>"Økonomi: Med RGK ift. Uden RGK"</f>
        <v>Økonomi: Med RGK ift. Uden RGK</v>
      </c>
    </row>
    <row r="4" spans="1:38" x14ac:dyDescent="0.25">
      <c r="A4" s="106" t="s">
        <v>202</v>
      </c>
      <c r="B4" s="55" t="s">
        <v>41</v>
      </c>
      <c r="C4" s="59">
        <v>28000</v>
      </c>
      <c r="D4" s="56"/>
      <c r="E4" s="56"/>
      <c r="F4" s="107"/>
      <c r="G4" s="49"/>
      <c r="H4" s="49"/>
      <c r="I4" s="50"/>
      <c r="J4" s="51"/>
      <c r="K4" s="51"/>
      <c r="L4" s="49"/>
      <c r="M4" s="49"/>
      <c r="N4" s="49"/>
      <c r="O4" s="69"/>
      <c r="P4" s="51"/>
      <c r="Q4" s="51"/>
      <c r="R4" s="49"/>
      <c r="S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67" t="str">
        <f>"Varmemængder"</f>
        <v>Varmemængder</v>
      </c>
    </row>
    <row r="5" spans="1:38" x14ac:dyDescent="0.25">
      <c r="A5" s="106" t="s">
        <v>294</v>
      </c>
      <c r="B5" s="55" t="s">
        <v>16</v>
      </c>
      <c r="C5" s="59">
        <v>11000</v>
      </c>
      <c r="D5" s="56"/>
      <c r="E5" s="56"/>
      <c r="F5" s="107"/>
      <c r="G5" s="49"/>
      <c r="H5" s="49"/>
      <c r="I5" s="50"/>
      <c r="J5" s="51"/>
      <c r="K5" s="51"/>
      <c r="L5" s="49"/>
      <c r="M5" s="49"/>
      <c r="N5" s="49"/>
      <c r="O5" s="69"/>
      <c r="P5" s="51"/>
      <c r="Q5" s="51"/>
      <c r="R5" s="49"/>
      <c r="S5" s="49"/>
      <c r="T5" s="50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67" t="s">
        <v>148</v>
      </c>
    </row>
    <row r="6" spans="1:38" x14ac:dyDescent="0.25">
      <c r="A6" s="106" t="s">
        <v>295</v>
      </c>
      <c r="B6" s="55" t="s">
        <v>16</v>
      </c>
      <c r="C6" s="59">
        <v>3000</v>
      </c>
      <c r="D6" s="56"/>
      <c r="E6" s="56"/>
      <c r="F6" s="107"/>
      <c r="G6" s="49"/>
      <c r="H6" s="49"/>
      <c r="I6" s="50"/>
      <c r="J6" s="51"/>
      <c r="K6" s="51"/>
      <c r="L6" s="49"/>
      <c r="M6" s="49"/>
      <c r="N6" s="49"/>
      <c r="O6" s="69"/>
      <c r="P6" s="51"/>
      <c r="Q6" s="51"/>
      <c r="R6" s="49"/>
      <c r="S6" s="49"/>
      <c r="T6" s="50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49"/>
      <c r="AK6" s="49"/>
      <c r="AL6" t="s">
        <v>244</v>
      </c>
    </row>
    <row r="7" spans="1:38" x14ac:dyDescent="0.25">
      <c r="A7" s="106" t="s">
        <v>204</v>
      </c>
      <c r="B7" s="55" t="s">
        <v>16</v>
      </c>
      <c r="C7" s="59">
        <v>1000</v>
      </c>
      <c r="D7" s="56"/>
      <c r="E7" s="56"/>
      <c r="F7" s="107"/>
      <c r="G7" s="49"/>
      <c r="H7" s="49"/>
      <c r="I7" s="50"/>
      <c r="J7" s="51"/>
      <c r="K7" s="51"/>
      <c r="L7" s="49"/>
      <c r="M7" s="49"/>
      <c r="N7" s="49"/>
      <c r="O7" s="69"/>
      <c r="P7" s="51"/>
      <c r="Q7" s="51"/>
      <c r="R7" s="49"/>
      <c r="S7" s="49"/>
      <c r="T7" s="50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 t="s">
        <v>149</v>
      </c>
    </row>
    <row r="8" spans="1:38" x14ac:dyDescent="0.25">
      <c r="A8" s="106" t="s">
        <v>352</v>
      </c>
      <c r="B8" s="169" t="s">
        <v>331</v>
      </c>
      <c r="C8" s="170">
        <v>1</v>
      </c>
      <c r="D8" s="56"/>
      <c r="E8" s="56"/>
      <c r="F8" s="107"/>
      <c r="G8" s="49"/>
      <c r="H8" s="49"/>
      <c r="I8" s="50"/>
      <c r="J8" s="51"/>
      <c r="K8" s="51"/>
      <c r="L8" s="49"/>
      <c r="M8" s="49"/>
      <c r="N8" s="49"/>
      <c r="O8" s="69"/>
      <c r="P8" s="51"/>
      <c r="Q8" s="51"/>
      <c r="R8" s="49"/>
      <c r="S8" s="49"/>
      <c r="T8" s="50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49"/>
      <c r="AI8" s="49"/>
      <c r="AJ8" s="49"/>
      <c r="AK8" s="49"/>
    </row>
    <row r="9" spans="1:38" x14ac:dyDescent="0.25">
      <c r="A9" s="106" t="s">
        <v>130</v>
      </c>
      <c r="B9" s="55" t="s">
        <v>132</v>
      </c>
      <c r="C9" s="60">
        <v>1</v>
      </c>
      <c r="D9" s="56"/>
      <c r="E9" s="56"/>
      <c r="F9" s="107"/>
      <c r="G9" s="49"/>
      <c r="H9" s="49"/>
      <c r="I9" s="50"/>
      <c r="J9" s="51"/>
      <c r="K9" s="51"/>
      <c r="L9" s="49"/>
      <c r="M9" s="49"/>
      <c r="N9" s="49"/>
      <c r="O9" s="69"/>
      <c r="P9" s="51"/>
      <c r="Q9" s="51"/>
      <c r="R9" s="49"/>
      <c r="S9" s="49"/>
      <c r="T9" s="50"/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  <c r="AI9" s="49"/>
      <c r="AJ9" s="49"/>
      <c r="AK9" s="49"/>
    </row>
    <row r="10" spans="1:38" ht="15.75" thickBot="1" x14ac:dyDescent="0.3">
      <c r="A10" s="108" t="s">
        <v>349</v>
      </c>
      <c r="B10" s="109" t="s">
        <v>41</v>
      </c>
      <c r="C10" s="110">
        <v>4000</v>
      </c>
      <c r="D10" s="111"/>
      <c r="E10" s="111"/>
      <c r="F10" s="112"/>
      <c r="G10" s="49"/>
      <c r="H10" s="49"/>
      <c r="I10" s="50"/>
      <c r="J10" s="51"/>
      <c r="K10" s="51"/>
      <c r="L10" s="49"/>
      <c r="M10" s="49"/>
      <c r="N10" s="49"/>
      <c r="O10" s="69"/>
      <c r="P10" s="51"/>
      <c r="Q10" s="51"/>
      <c r="R10" s="49"/>
      <c r="S10" s="49"/>
      <c r="T10" s="50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</row>
    <row r="11" spans="1:38" ht="15.75" thickBot="1" x14ac:dyDescent="0.3">
      <c r="A11" s="58"/>
      <c r="B11" s="55"/>
      <c r="C11" s="56"/>
      <c r="D11" s="56"/>
      <c r="E11" s="56"/>
      <c r="F11" s="57"/>
      <c r="G11" s="49"/>
      <c r="H11" s="49"/>
      <c r="I11" s="50"/>
      <c r="J11" s="51"/>
      <c r="K11" s="51"/>
      <c r="L11" s="49"/>
      <c r="M11" s="49"/>
      <c r="N11" s="49"/>
      <c r="O11" s="69"/>
      <c r="P11" s="51"/>
      <c r="Q11" s="51"/>
      <c r="R11" s="49"/>
      <c r="S11" s="49"/>
      <c r="T11" s="50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</row>
    <row r="12" spans="1:38" x14ac:dyDescent="0.25">
      <c r="A12" s="102" t="s">
        <v>14</v>
      </c>
      <c r="B12" s="103"/>
      <c r="C12" s="104" t="s">
        <v>0</v>
      </c>
      <c r="D12" s="104" t="s">
        <v>1</v>
      </c>
      <c r="E12" s="104" t="s">
        <v>7</v>
      </c>
      <c r="F12" s="113" t="s">
        <v>141</v>
      </c>
      <c r="G12" s="49"/>
      <c r="H12" s="49"/>
      <c r="I12" s="50"/>
      <c r="J12" s="51"/>
      <c r="K12" s="51"/>
      <c r="L12" s="49"/>
      <c r="M12" s="49"/>
      <c r="N12" s="49"/>
      <c r="O12" s="69"/>
      <c r="P12" s="51"/>
      <c r="Q12" s="51"/>
      <c r="R12" s="49"/>
      <c r="S12" s="49"/>
      <c r="T12" s="50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49"/>
      <c r="AK12" s="49"/>
    </row>
    <row r="13" spans="1:38" x14ac:dyDescent="0.25">
      <c r="A13" s="106" t="s">
        <v>12</v>
      </c>
      <c r="B13" s="55"/>
      <c r="C13" s="56">
        <v>31</v>
      </c>
      <c r="D13" s="56">
        <v>31</v>
      </c>
      <c r="E13" s="56">
        <v>31</v>
      </c>
      <c r="F13" s="107"/>
      <c r="G13" s="49"/>
      <c r="H13" s="49"/>
      <c r="I13" s="50"/>
      <c r="J13" s="51"/>
      <c r="K13" s="51"/>
      <c r="L13" s="49"/>
      <c r="M13" s="49"/>
      <c r="N13" s="49"/>
      <c r="O13" s="69"/>
      <c r="P13" s="51"/>
      <c r="Q13" s="51"/>
      <c r="R13" s="49"/>
      <c r="S13" s="49"/>
      <c r="T13" s="50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</row>
    <row r="14" spans="1:38" x14ac:dyDescent="0.25">
      <c r="A14" s="106" t="s">
        <v>2</v>
      </c>
      <c r="B14" s="55" t="s">
        <v>3</v>
      </c>
      <c r="C14" s="56">
        <v>9.5</v>
      </c>
      <c r="D14" s="56">
        <v>22.5</v>
      </c>
      <c r="E14" s="56">
        <v>15</v>
      </c>
      <c r="F14" s="107"/>
      <c r="G14" s="49"/>
      <c r="H14" s="49"/>
      <c r="I14" s="50"/>
      <c r="J14" s="51"/>
      <c r="K14" s="51"/>
      <c r="L14" s="49"/>
      <c r="M14" s="49"/>
      <c r="N14" s="49"/>
      <c r="O14" s="69"/>
      <c r="P14" s="51"/>
      <c r="Q14" s="51"/>
      <c r="R14" s="49"/>
      <c r="S14" s="49"/>
      <c r="T14" s="50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</row>
    <row r="15" spans="1:38" x14ac:dyDescent="0.25">
      <c r="A15" s="106" t="s">
        <v>8</v>
      </c>
      <c r="B15" s="55" t="s">
        <v>3</v>
      </c>
      <c r="C15" s="56">
        <v>2</v>
      </c>
      <c r="D15" s="56">
        <v>5.5</v>
      </c>
      <c r="E15" s="56"/>
      <c r="F15" s="107"/>
      <c r="G15" s="49"/>
      <c r="H15" s="49"/>
      <c r="I15" s="50"/>
      <c r="J15" s="51"/>
      <c r="K15" s="51"/>
      <c r="L15" s="49"/>
      <c r="M15" s="49"/>
      <c r="N15" s="49"/>
      <c r="O15" s="69"/>
      <c r="P15" s="51"/>
      <c r="Q15" s="51"/>
      <c r="R15" s="49"/>
      <c r="S15" s="49"/>
      <c r="T15" s="50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49"/>
      <c r="AK15" s="49"/>
    </row>
    <row r="16" spans="1:38" x14ac:dyDescent="0.25">
      <c r="A16" s="106" t="s">
        <v>4</v>
      </c>
      <c r="B16" s="55" t="s">
        <v>5</v>
      </c>
      <c r="C16" s="56"/>
      <c r="D16" s="56">
        <v>8</v>
      </c>
      <c r="E16" s="56"/>
      <c r="F16" s="107"/>
      <c r="G16" s="49"/>
      <c r="H16" s="49"/>
      <c r="I16" s="50"/>
      <c r="J16" s="51"/>
      <c r="K16" s="51"/>
      <c r="L16" s="49"/>
      <c r="M16" s="49"/>
      <c r="N16" s="49"/>
      <c r="O16" s="69"/>
      <c r="P16" s="51"/>
      <c r="Q16" s="51"/>
      <c r="R16" s="49"/>
      <c r="S16" s="49"/>
      <c r="T16" s="50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  <c r="AK16" s="49"/>
    </row>
    <row r="17" spans="1:37" x14ac:dyDescent="0.25">
      <c r="A17" s="106" t="s">
        <v>6</v>
      </c>
      <c r="B17" s="55" t="s">
        <v>13</v>
      </c>
      <c r="C17" s="56"/>
      <c r="D17" s="56">
        <v>25</v>
      </c>
      <c r="E17" s="56"/>
      <c r="F17" s="107"/>
      <c r="G17" s="49"/>
      <c r="H17" s="49"/>
      <c r="I17" s="50"/>
      <c r="J17" s="51"/>
      <c r="K17" s="51"/>
      <c r="L17" s="49"/>
      <c r="M17" s="49"/>
      <c r="N17" s="49"/>
      <c r="O17" s="69"/>
      <c r="P17" s="51"/>
      <c r="Q17" s="51"/>
      <c r="R17" s="49"/>
      <c r="S17" s="49"/>
      <c r="T17" s="50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49"/>
      <c r="AK17" s="49"/>
    </row>
    <row r="18" spans="1:37" x14ac:dyDescent="0.25">
      <c r="A18" s="106" t="s">
        <v>9</v>
      </c>
      <c r="B18" s="55"/>
      <c r="C18" s="61">
        <v>0.84399999999999997</v>
      </c>
      <c r="D18" s="61">
        <v>0.65600000000000003</v>
      </c>
      <c r="E18" s="56"/>
      <c r="F18" s="107"/>
      <c r="G18" s="49"/>
      <c r="H18" s="49"/>
      <c r="I18" s="50"/>
      <c r="J18" s="51"/>
      <c r="K18" s="51"/>
      <c r="L18" s="49"/>
      <c r="M18" s="49"/>
      <c r="N18" s="49"/>
      <c r="O18" s="69"/>
      <c r="P18" s="51"/>
      <c r="Q18" s="51"/>
      <c r="R18" s="49"/>
      <c r="S18" s="49"/>
      <c r="T18" s="50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</row>
    <row r="19" spans="1:37" x14ac:dyDescent="0.25">
      <c r="A19" s="106" t="s">
        <v>10</v>
      </c>
      <c r="B19" s="55"/>
      <c r="C19" s="141">
        <f>$C$9*C15/C14*C18</f>
        <v>0.17768421052631578</v>
      </c>
      <c r="D19" s="141">
        <f>$C$9*D15/D14*D18</f>
        <v>0.16035555555555556</v>
      </c>
      <c r="E19" s="56"/>
      <c r="F19" s="107"/>
      <c r="G19" s="49"/>
      <c r="H19" s="49"/>
      <c r="I19" s="50"/>
      <c r="J19" s="51"/>
      <c r="K19" s="51"/>
      <c r="L19" s="49"/>
      <c r="M19" s="49"/>
      <c r="N19" s="49"/>
      <c r="O19" s="69"/>
      <c r="P19" s="51"/>
      <c r="Q19" s="51"/>
      <c r="R19" s="49"/>
      <c r="S19" s="49"/>
      <c r="T19" s="50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</row>
    <row r="20" spans="1:37" x14ac:dyDescent="0.25">
      <c r="A20" s="106" t="s">
        <v>67</v>
      </c>
      <c r="B20" s="55"/>
      <c r="C20" s="141">
        <f>SUM(C18:C19)</f>
        <v>1.0216842105263158</v>
      </c>
      <c r="D20" s="141">
        <f>SUM(D18:D19)</f>
        <v>0.81635555555555561</v>
      </c>
      <c r="E20" s="56"/>
      <c r="F20" s="107"/>
      <c r="G20" s="49"/>
      <c r="H20" s="49"/>
      <c r="I20" s="50"/>
      <c r="J20" s="51"/>
      <c r="K20" s="51"/>
      <c r="L20" s="49"/>
      <c r="M20" s="49"/>
      <c r="N20" s="49"/>
      <c r="O20" s="69"/>
      <c r="P20" s="51"/>
      <c r="Q20" s="51"/>
      <c r="R20" s="49"/>
      <c r="S20" s="49"/>
      <c r="T20" s="50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</row>
    <row r="21" spans="1:37" x14ac:dyDescent="0.25">
      <c r="A21" s="106" t="s">
        <v>11</v>
      </c>
      <c r="B21" s="55"/>
      <c r="C21" s="56"/>
      <c r="D21" s="62">
        <v>0.22470000000000001</v>
      </c>
      <c r="E21" s="56"/>
      <c r="F21" s="107"/>
      <c r="G21" s="49"/>
      <c r="H21" s="49"/>
      <c r="I21" s="50"/>
      <c r="J21" s="51"/>
      <c r="K21" s="51"/>
      <c r="L21" s="49"/>
      <c r="M21" s="49"/>
      <c r="N21" s="49"/>
      <c r="O21" s="69"/>
      <c r="P21" s="51"/>
      <c r="Q21" s="51"/>
      <c r="R21" s="49"/>
      <c r="S21" s="49"/>
      <c r="T21" s="50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</row>
    <row r="22" spans="1:37" ht="15.75" thickBot="1" x14ac:dyDescent="0.3">
      <c r="A22" s="108" t="s">
        <v>18</v>
      </c>
      <c r="B22" s="109" t="s">
        <v>19</v>
      </c>
      <c r="C22" s="111">
        <v>30</v>
      </c>
      <c r="D22" s="111">
        <v>50</v>
      </c>
      <c r="E22" s="111">
        <v>10</v>
      </c>
      <c r="F22" s="112">
        <v>10</v>
      </c>
      <c r="G22" s="49"/>
      <c r="H22" s="49"/>
      <c r="I22" s="50"/>
      <c r="J22" s="51"/>
      <c r="K22" s="51"/>
      <c r="L22" s="49"/>
      <c r="M22" s="49"/>
      <c r="N22" s="49"/>
      <c r="O22" s="69"/>
      <c r="P22" s="51"/>
      <c r="Q22" s="51"/>
      <c r="R22" s="49"/>
      <c r="S22" s="49"/>
      <c r="T22" s="50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</row>
    <row r="23" spans="1:37" ht="15.75" thickBot="1" x14ac:dyDescent="0.3">
      <c r="A23" s="58"/>
      <c r="B23" s="55"/>
      <c r="C23" s="56"/>
      <c r="D23" s="56"/>
      <c r="E23" s="56"/>
      <c r="F23" s="57"/>
      <c r="G23" s="49"/>
      <c r="H23" s="49"/>
      <c r="I23" s="50"/>
      <c r="J23" s="51"/>
      <c r="K23" s="51"/>
      <c r="L23" s="49"/>
      <c r="M23" s="49"/>
      <c r="N23" s="49"/>
      <c r="O23" s="69"/>
      <c r="P23" s="51"/>
      <c r="Q23" s="51"/>
      <c r="R23" s="49"/>
      <c r="S23" s="49"/>
      <c r="T23" s="50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</row>
    <row r="24" spans="1:37" x14ac:dyDescent="0.25">
      <c r="A24" s="115" t="s">
        <v>15</v>
      </c>
      <c r="B24" s="116"/>
      <c r="C24" s="104" t="s">
        <v>313</v>
      </c>
      <c r="D24" s="104" t="s">
        <v>312</v>
      </c>
      <c r="E24" s="104" t="s">
        <v>17</v>
      </c>
      <c r="F24" s="113" t="s">
        <v>20</v>
      </c>
      <c r="G24" s="49"/>
      <c r="H24" s="49"/>
      <c r="I24" s="50"/>
      <c r="J24" s="51"/>
      <c r="K24" s="51"/>
      <c r="L24" s="49"/>
      <c r="M24" s="49"/>
      <c r="N24" s="49"/>
      <c r="O24" s="69"/>
      <c r="P24" s="51"/>
      <c r="Q24" s="51"/>
      <c r="R24" s="49"/>
      <c r="S24" s="49"/>
      <c r="T24" s="50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</row>
    <row r="25" spans="1:37" x14ac:dyDescent="0.25">
      <c r="A25" s="106" t="s">
        <v>54</v>
      </c>
      <c r="B25" s="55"/>
      <c r="C25" s="141">
        <f>C5/SUM($C$5:$C$7)</f>
        <v>0.73333333333333328</v>
      </c>
      <c r="D25" s="141">
        <f>C6/SUM($C$5:$C$7)</f>
        <v>0.2</v>
      </c>
      <c r="E25" s="141">
        <f>1-SUM(C25:D25)</f>
        <v>6.6666666666666652E-2</v>
      </c>
      <c r="F25" s="107"/>
      <c r="G25" s="49"/>
      <c r="H25" s="49"/>
      <c r="I25" s="50"/>
      <c r="J25" s="51"/>
      <c r="K25" s="51"/>
      <c r="L25" s="49"/>
      <c r="M25" s="49"/>
      <c r="N25" s="49"/>
      <c r="O25" s="69"/>
      <c r="P25" s="51"/>
      <c r="Q25" s="51"/>
      <c r="R25" s="49"/>
      <c r="S25" s="49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49"/>
      <c r="AK25" s="49"/>
    </row>
    <row r="26" spans="1:37" x14ac:dyDescent="0.25">
      <c r="A26" s="106" t="s">
        <v>60</v>
      </c>
      <c r="B26" s="55" t="s">
        <v>16</v>
      </c>
      <c r="C26" s="135">
        <f>SUM(C5:C7)</f>
        <v>15000</v>
      </c>
      <c r="E26" s="56"/>
      <c r="F26" s="107"/>
      <c r="G26" s="49"/>
      <c r="H26" s="49"/>
      <c r="I26" s="50"/>
      <c r="J26" s="51"/>
      <c r="K26" s="51"/>
      <c r="L26" s="49"/>
      <c r="M26" s="49"/>
      <c r="N26" s="49"/>
      <c r="O26" s="69"/>
      <c r="P26" s="51"/>
      <c r="Q26" s="51"/>
      <c r="R26" s="49"/>
      <c r="S26" s="49"/>
      <c r="T26" s="50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</row>
    <row r="27" spans="1:37" x14ac:dyDescent="0.25">
      <c r="A27" s="106" t="s">
        <v>59</v>
      </c>
      <c r="B27" s="55" t="s">
        <v>30</v>
      </c>
      <c r="C27" s="142">
        <f>(C5*HfossilFast+C6*HfossilFri+C7*HBiogenFri)/Ftotal</f>
        <v>10.513333333333334</v>
      </c>
      <c r="E27" s="63"/>
      <c r="F27" s="107"/>
      <c r="G27" s="49"/>
      <c r="H27" s="49"/>
      <c r="I27" s="50"/>
      <c r="J27" s="51"/>
      <c r="K27" s="51"/>
      <c r="L27" s="49"/>
      <c r="M27" s="49"/>
      <c r="N27" s="49"/>
      <c r="O27" s="69"/>
      <c r="P27" s="51"/>
      <c r="Q27" s="51"/>
      <c r="R27" s="49"/>
      <c r="S27" s="49"/>
      <c r="T27" s="50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</row>
    <row r="28" spans="1:37" x14ac:dyDescent="0.25">
      <c r="A28" s="106" t="s">
        <v>39</v>
      </c>
      <c r="B28" s="55" t="s">
        <v>24</v>
      </c>
      <c r="C28" s="56">
        <v>525</v>
      </c>
      <c r="D28">
        <v>400</v>
      </c>
      <c r="E28" s="56">
        <f>-6.5*3.6</f>
        <v>-23.400000000000002</v>
      </c>
      <c r="F28" s="107">
        <v>0</v>
      </c>
      <c r="G28" s="49"/>
      <c r="H28" s="49"/>
      <c r="I28" s="50"/>
      <c r="J28" s="51"/>
      <c r="K28" s="51"/>
      <c r="L28" s="49"/>
      <c r="M28" s="49"/>
      <c r="N28" s="49"/>
      <c r="O28" s="69"/>
      <c r="P28" s="51"/>
      <c r="Q28" s="51"/>
      <c r="R28" s="49"/>
      <c r="S28" s="49"/>
      <c r="T28" s="50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</row>
    <row r="29" spans="1:37" x14ac:dyDescent="0.25">
      <c r="A29" s="106" t="s">
        <v>29</v>
      </c>
      <c r="B29" s="55" t="s">
        <v>30</v>
      </c>
      <c r="C29" s="56">
        <v>10.199999999999999</v>
      </c>
      <c r="D29">
        <v>10.5</v>
      </c>
      <c r="E29" s="56">
        <v>14</v>
      </c>
      <c r="F29" s="107">
        <v>3.6</v>
      </c>
      <c r="G29" s="49"/>
      <c r="H29" s="49"/>
      <c r="I29" s="50"/>
      <c r="J29" s="51"/>
      <c r="K29" s="51"/>
      <c r="L29" s="49"/>
      <c r="M29" s="49"/>
      <c r="N29" s="49"/>
      <c r="O29" s="69"/>
      <c r="P29" s="51"/>
      <c r="Q29" s="51"/>
      <c r="R29" s="49"/>
      <c r="S29" s="49"/>
      <c r="T29" s="50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</row>
    <row r="30" spans="1:37" x14ac:dyDescent="0.25">
      <c r="A30" s="106" t="s">
        <v>36</v>
      </c>
      <c r="B30" s="55" t="s">
        <v>34</v>
      </c>
      <c r="C30" s="56">
        <v>37</v>
      </c>
      <c r="D30" s="56">
        <v>37</v>
      </c>
      <c r="E30" s="56">
        <v>0</v>
      </c>
      <c r="F30" s="107">
        <v>0</v>
      </c>
      <c r="G30" s="49"/>
      <c r="H30" s="49"/>
      <c r="I30" s="50"/>
      <c r="J30" s="51"/>
      <c r="K30" s="51"/>
      <c r="L30" s="49"/>
      <c r="M30" s="49"/>
      <c r="N30" s="49"/>
      <c r="O30" s="69"/>
      <c r="P30" s="51"/>
      <c r="Q30" s="51"/>
      <c r="R30" s="49"/>
      <c r="S30" s="49"/>
      <c r="T30" s="50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</row>
    <row r="31" spans="1:37" x14ac:dyDescent="0.25">
      <c r="A31" s="106" t="s">
        <v>37</v>
      </c>
      <c r="B31" s="55" t="s">
        <v>34</v>
      </c>
      <c r="C31" s="56">
        <v>42.5</v>
      </c>
      <c r="D31" s="56">
        <v>42.5</v>
      </c>
      <c r="E31" s="56">
        <v>0</v>
      </c>
      <c r="F31" s="107">
        <v>0</v>
      </c>
      <c r="G31" s="49"/>
      <c r="H31" s="49"/>
      <c r="I31" s="50"/>
      <c r="J31" s="51"/>
      <c r="K31" s="51"/>
      <c r="L31" s="49"/>
      <c r="M31" s="49"/>
      <c r="N31" s="49"/>
      <c r="O31" s="69"/>
      <c r="P31" s="51"/>
      <c r="Q31" s="51"/>
      <c r="R31" s="49"/>
      <c r="S31" s="49"/>
      <c r="T31" s="50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</row>
    <row r="32" spans="1:37" ht="15.75" thickBot="1" x14ac:dyDescent="0.3">
      <c r="A32" s="108" t="s">
        <v>137</v>
      </c>
      <c r="B32" s="109" t="s">
        <v>30</v>
      </c>
      <c r="C32" s="111">
        <v>10.6</v>
      </c>
      <c r="D32" s="111">
        <v>10.6</v>
      </c>
      <c r="E32" s="111">
        <v>0</v>
      </c>
      <c r="F32" s="112">
        <v>0</v>
      </c>
      <c r="G32" s="49"/>
      <c r="H32" s="49"/>
      <c r="I32" s="50"/>
      <c r="J32" s="51"/>
      <c r="K32" s="51"/>
      <c r="L32" s="49"/>
      <c r="M32" s="49"/>
      <c r="N32" s="49"/>
      <c r="O32" s="69"/>
      <c r="P32" s="51"/>
      <c r="Q32" s="51"/>
      <c r="R32" s="49"/>
      <c r="S32" s="49"/>
      <c r="T32" s="50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</row>
    <row r="33" spans="1:37" ht="15.75" thickBot="1" x14ac:dyDescent="0.3">
      <c r="G33" s="49"/>
      <c r="H33" s="49"/>
      <c r="I33" s="50"/>
      <c r="J33" s="51"/>
      <c r="K33" s="51"/>
      <c r="L33" s="49"/>
      <c r="M33" s="49"/>
      <c r="N33" s="49"/>
      <c r="O33" s="69"/>
      <c r="P33" s="51"/>
      <c r="Q33" s="51"/>
      <c r="R33" s="49"/>
      <c r="S33" s="49"/>
      <c r="T33" s="50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</row>
    <row r="34" spans="1:37" x14ac:dyDescent="0.25">
      <c r="A34" s="115" t="s">
        <v>21</v>
      </c>
      <c r="B34" s="116"/>
      <c r="C34" s="118"/>
      <c r="D34" s="118"/>
      <c r="E34" s="118"/>
      <c r="F34" s="117"/>
      <c r="G34" s="49"/>
      <c r="H34" s="49"/>
      <c r="I34" s="50"/>
      <c r="J34" s="51"/>
      <c r="K34" s="51"/>
      <c r="L34" s="49"/>
      <c r="M34" s="49"/>
      <c r="N34" s="49"/>
      <c r="O34" s="69"/>
      <c r="P34" s="51"/>
      <c r="Q34" s="51"/>
      <c r="R34" s="49"/>
      <c r="S34" s="49"/>
      <c r="T34" s="50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</row>
    <row r="35" spans="1:37" x14ac:dyDescent="0.25">
      <c r="A35" s="106" t="s">
        <v>28</v>
      </c>
      <c r="B35" s="55" t="s">
        <v>23</v>
      </c>
      <c r="C35" s="56">
        <v>311</v>
      </c>
      <c r="D35" s="56"/>
      <c r="E35" s="56"/>
      <c r="F35" s="107"/>
      <c r="G35" s="49"/>
      <c r="H35" s="49"/>
      <c r="I35" s="50"/>
      <c r="J35" s="51"/>
      <c r="K35" s="51"/>
      <c r="L35" s="49"/>
      <c r="M35" s="49"/>
      <c r="N35" s="49"/>
      <c r="O35" s="69"/>
      <c r="P35" s="51"/>
      <c r="Q35" s="51"/>
      <c r="R35" s="49"/>
      <c r="S35" s="49"/>
      <c r="T35" s="50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</row>
    <row r="36" spans="1:37" x14ac:dyDescent="0.25">
      <c r="A36" s="106" t="s">
        <v>25</v>
      </c>
      <c r="B36" s="55" t="s">
        <v>26</v>
      </c>
      <c r="C36" s="56">
        <v>800</v>
      </c>
      <c r="D36" s="56"/>
      <c r="E36" s="56"/>
      <c r="F36" s="107"/>
      <c r="G36" s="49"/>
      <c r="H36" s="49"/>
      <c r="I36" s="50"/>
      <c r="J36" s="51"/>
      <c r="K36" s="51"/>
      <c r="L36" s="49"/>
      <c r="M36" s="49"/>
      <c r="N36" s="49"/>
      <c r="O36" s="69"/>
      <c r="P36" s="51"/>
      <c r="Q36" s="51"/>
      <c r="R36" s="49"/>
      <c r="S36" s="49"/>
      <c r="T36" s="50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</row>
    <row r="37" spans="1:37" x14ac:dyDescent="0.25">
      <c r="A37" s="106" t="s">
        <v>40</v>
      </c>
      <c r="B37" s="55" t="s">
        <v>26</v>
      </c>
      <c r="C37" s="56">
        <v>4</v>
      </c>
      <c r="D37" s="56"/>
      <c r="E37" s="56"/>
      <c r="F37" s="107"/>
      <c r="G37" s="49"/>
      <c r="H37" s="49"/>
      <c r="I37" s="50"/>
      <c r="J37" s="51"/>
      <c r="K37" s="51"/>
      <c r="L37" s="49"/>
      <c r="M37" s="49"/>
      <c r="N37" s="49"/>
      <c r="O37" s="69"/>
      <c r="P37" s="51"/>
      <c r="Q37" s="51"/>
      <c r="R37" s="49"/>
      <c r="S37" s="49"/>
      <c r="T37" s="50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</row>
    <row r="38" spans="1:37" x14ac:dyDescent="0.25">
      <c r="A38" s="106" t="s">
        <v>27</v>
      </c>
      <c r="B38" s="55" t="s">
        <v>38</v>
      </c>
      <c r="C38" s="56">
        <v>400</v>
      </c>
      <c r="D38" s="56"/>
      <c r="E38" s="56"/>
      <c r="F38" s="107"/>
      <c r="G38" s="49"/>
      <c r="H38" s="49"/>
      <c r="I38" s="50"/>
      <c r="J38" s="51"/>
      <c r="K38" s="51"/>
      <c r="L38" s="49"/>
      <c r="M38" s="49"/>
      <c r="N38" s="49"/>
      <c r="O38" s="69"/>
      <c r="P38" s="51"/>
      <c r="Q38" s="51"/>
      <c r="R38" s="49"/>
      <c r="S38" s="49"/>
      <c r="T38" s="50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</row>
    <row r="39" spans="1:37" x14ac:dyDescent="0.25">
      <c r="A39" s="106" t="s">
        <v>31</v>
      </c>
      <c r="B39" s="55" t="s">
        <v>35</v>
      </c>
      <c r="C39" s="56">
        <v>25.8</v>
      </c>
      <c r="D39" s="56"/>
      <c r="E39" s="56"/>
      <c r="F39" s="107"/>
      <c r="G39" s="49"/>
      <c r="H39" s="49"/>
      <c r="I39" s="50"/>
      <c r="J39" s="51"/>
      <c r="K39" s="51"/>
      <c r="L39" s="49"/>
      <c r="M39" s="49"/>
      <c r="N39" s="49"/>
      <c r="O39" s="69"/>
      <c r="P39" s="51"/>
      <c r="Q39" s="51"/>
      <c r="R39" s="49"/>
      <c r="S39" s="49"/>
      <c r="T39" s="50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</row>
    <row r="40" spans="1:37" x14ac:dyDescent="0.25">
      <c r="A40" s="106" t="s">
        <v>32</v>
      </c>
      <c r="B40" s="55" t="s">
        <v>35</v>
      </c>
      <c r="C40" s="56">
        <v>31.8</v>
      </c>
      <c r="D40" s="56"/>
      <c r="E40" s="56"/>
      <c r="F40" s="107"/>
      <c r="G40" s="49"/>
      <c r="H40" s="49"/>
      <c r="I40" s="50"/>
      <c r="J40" s="51"/>
      <c r="K40" s="51"/>
      <c r="L40" s="49"/>
      <c r="M40" s="49"/>
      <c r="N40" s="49"/>
      <c r="O40" s="69"/>
      <c r="P40" s="51"/>
      <c r="Q40" s="51"/>
      <c r="R40" s="49"/>
      <c r="S40" s="49"/>
      <c r="T40" s="50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</row>
    <row r="41" spans="1:37" ht="15.75" thickBot="1" x14ac:dyDescent="0.3">
      <c r="A41" s="108" t="s">
        <v>33</v>
      </c>
      <c r="B41" s="109" t="s">
        <v>38</v>
      </c>
      <c r="C41" s="111">
        <v>178.5</v>
      </c>
      <c r="D41" s="111"/>
      <c r="E41" s="111"/>
      <c r="F41" s="112"/>
      <c r="G41" s="49"/>
      <c r="H41" s="49"/>
      <c r="I41" s="50"/>
      <c r="J41" s="51"/>
      <c r="K41" s="51"/>
      <c r="L41" s="49"/>
      <c r="M41" s="49"/>
      <c r="N41" s="49"/>
      <c r="O41" s="69"/>
      <c r="P41" s="51"/>
      <c r="Q41" s="51"/>
      <c r="R41" s="49"/>
      <c r="S41" s="49"/>
      <c r="T41" s="50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</row>
    <row r="42" spans="1:37" x14ac:dyDescent="0.25">
      <c r="A42" s="64"/>
      <c r="B42" s="50"/>
      <c r="C42" s="49"/>
      <c r="D42" s="49"/>
      <c r="E42" s="49"/>
      <c r="F42" s="49"/>
      <c r="G42" s="49"/>
      <c r="H42" s="49"/>
      <c r="I42" s="50"/>
      <c r="J42" s="51"/>
      <c r="K42" s="51"/>
      <c r="L42" s="49"/>
      <c r="M42" s="49"/>
      <c r="N42" s="49"/>
      <c r="O42" s="69"/>
      <c r="P42" s="51"/>
      <c r="Q42" s="51"/>
      <c r="R42" s="49"/>
      <c r="S42" s="49"/>
      <c r="T42" s="50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</row>
    <row r="43" spans="1:37" x14ac:dyDescent="0.25">
      <c r="A43" s="50"/>
      <c r="B43" s="50"/>
      <c r="C43" s="49"/>
      <c r="D43" s="49"/>
      <c r="E43" s="49"/>
      <c r="F43" s="49"/>
      <c r="G43" s="49"/>
      <c r="H43" s="49"/>
      <c r="I43" s="50"/>
      <c r="J43" s="51"/>
      <c r="K43" s="51"/>
      <c r="L43" s="49"/>
      <c r="M43" s="49"/>
      <c r="N43" s="49"/>
      <c r="O43" s="69"/>
      <c r="P43" s="51"/>
      <c r="Q43" s="51"/>
      <c r="R43" s="49"/>
      <c r="S43" s="49"/>
      <c r="T43" s="50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49"/>
      <c r="AK43" s="49"/>
    </row>
    <row r="44" spans="1:37" x14ac:dyDescent="0.25">
      <c r="A44" s="50"/>
      <c r="B44" s="50"/>
      <c r="C44" s="49"/>
      <c r="D44" s="49"/>
      <c r="E44" s="49"/>
      <c r="F44" s="49"/>
      <c r="G44" s="49"/>
      <c r="H44" s="49"/>
      <c r="I44" s="50"/>
      <c r="J44" s="51"/>
      <c r="K44" s="51"/>
      <c r="L44" s="49"/>
      <c r="M44" s="49"/>
      <c r="N44" s="49"/>
      <c r="O44" s="69"/>
      <c r="P44" s="51"/>
      <c r="Q44" s="51"/>
      <c r="R44" s="49"/>
      <c r="S44" s="49"/>
      <c r="T44" s="50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</row>
    <row r="45" spans="1:37" x14ac:dyDescent="0.25">
      <c r="A45" s="49"/>
      <c r="B45" s="50"/>
      <c r="C45" s="49"/>
      <c r="D45" s="49"/>
      <c r="E45" s="49"/>
      <c r="F45" s="49"/>
      <c r="G45" s="49"/>
      <c r="H45" s="49"/>
      <c r="I45" s="50"/>
      <c r="J45" s="51"/>
      <c r="K45" s="51"/>
      <c r="L45" s="49"/>
      <c r="M45" s="49"/>
      <c r="N45" s="49"/>
      <c r="O45" s="69"/>
      <c r="P45" s="51"/>
      <c r="Q45" s="51"/>
      <c r="R45" s="49"/>
      <c r="S45" s="49"/>
      <c r="T45" s="50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</row>
    <row r="46" spans="1:37" x14ac:dyDescent="0.25">
      <c r="H46" s="145" t="s">
        <v>142</v>
      </c>
      <c r="I46" s="145"/>
      <c r="J46" s="145"/>
      <c r="K46" s="145"/>
      <c r="L46" s="145"/>
      <c r="N46" s="146" t="s">
        <v>42</v>
      </c>
      <c r="O46" s="146"/>
      <c r="P46" s="146"/>
      <c r="Q46" s="146"/>
      <c r="R46" s="146"/>
      <c r="T46" s="50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</row>
    <row r="47" spans="1:37" x14ac:dyDescent="0.25">
      <c r="T47" s="50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</row>
    <row r="48" spans="1:37" x14ac:dyDescent="0.25">
      <c r="I48" s="8" t="s">
        <v>47</v>
      </c>
      <c r="J48" s="15"/>
      <c r="K48" s="15"/>
      <c r="L48" s="3"/>
      <c r="N48" s="3" t="s">
        <v>230</v>
      </c>
      <c r="O48" s="7" t="s">
        <v>47</v>
      </c>
      <c r="P48" s="15" t="str">
        <f>J138</f>
        <v>Uden RGK</v>
      </c>
      <c r="Q48" s="15" t="str">
        <f>K138</f>
        <v>Med 100% RGK</v>
      </c>
      <c r="R48" s="143" t="s">
        <v>315</v>
      </c>
      <c r="T48" s="50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</row>
    <row r="49" spans="1:37" x14ac:dyDescent="0.25">
      <c r="H49" s="3" t="s">
        <v>135</v>
      </c>
      <c r="I49" s="8"/>
      <c r="J49" s="15" t="s">
        <v>0</v>
      </c>
      <c r="K49" s="15" t="s">
        <v>1</v>
      </c>
      <c r="L49" s="4" t="s">
        <v>150</v>
      </c>
      <c r="N49" s="14" t="str">
        <f>H151</f>
        <v>Indtægter total</v>
      </c>
      <c r="O49" s="73" t="str">
        <f>I151</f>
        <v>tkr</v>
      </c>
      <c r="P49" s="18">
        <f>J151</f>
        <v>17901254.597560976</v>
      </c>
      <c r="Q49" s="18">
        <f>K151</f>
        <v>16671408.957199184</v>
      </c>
      <c r="R49" s="18">
        <f>L151</f>
        <v>-1229845.6403617915</v>
      </c>
      <c r="T49" s="50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</row>
    <row r="50" spans="1:37" x14ac:dyDescent="0.25">
      <c r="H50" s="6" t="s">
        <v>49</v>
      </c>
      <c r="I50" s="8"/>
      <c r="J50" s="12">
        <f>24*C$13</f>
        <v>744</v>
      </c>
      <c r="K50" s="12">
        <f>24*D$13</f>
        <v>744</v>
      </c>
      <c r="N50" s="14" t="str">
        <f>H152</f>
        <v>Omkostninger total</v>
      </c>
      <c r="O50" s="73" t="str">
        <f>I152</f>
        <v>tkr</v>
      </c>
      <c r="P50" s="18">
        <f>J152</f>
        <v>7985530.0480000004</v>
      </c>
      <c r="Q50" s="18">
        <f>K152</f>
        <v>7373110.5652481029</v>
      </c>
      <c r="R50" s="18">
        <f>L152</f>
        <v>-612419.48275189754</v>
      </c>
      <c r="T50" s="50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</row>
    <row r="51" spans="1:37" x14ac:dyDescent="0.25">
      <c r="H51" s="6" t="s">
        <v>50</v>
      </c>
      <c r="I51" s="5" t="s">
        <v>41</v>
      </c>
      <c r="J51" s="16">
        <f>J50*C14</f>
        <v>7068</v>
      </c>
      <c r="K51" s="16">
        <f>K50*D14</f>
        <v>16740</v>
      </c>
      <c r="L51" s="16">
        <f>SUM(J51:K51)</f>
        <v>23808</v>
      </c>
      <c r="N51" s="14" t="str">
        <f>H153</f>
        <v>Dækningsbidrag</v>
      </c>
      <c r="O51" s="73" t="str">
        <f>I153</f>
        <v>tkr</v>
      </c>
      <c r="P51" s="18">
        <f>J153</f>
        <v>9915724.5495609753</v>
      </c>
      <c r="Q51" s="18">
        <f>K153</f>
        <v>9298298.3919510804</v>
      </c>
      <c r="R51" s="18">
        <f>L153</f>
        <v>-617426.15760989487</v>
      </c>
      <c r="T51" s="50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</row>
    <row r="52" spans="1:37" x14ac:dyDescent="0.25">
      <c r="H52" s="6" t="s">
        <v>63</v>
      </c>
      <c r="I52" s="14" t="s">
        <v>41</v>
      </c>
      <c r="J52" s="16">
        <f>EtaRgkOvn2*(J51/EtaQNomOvn2)</f>
        <v>1488</v>
      </c>
      <c r="K52" s="16">
        <f>EtaRgkOvn3*(K51/EtaQNomOvn3)</f>
        <v>4092</v>
      </c>
      <c r="L52" s="16">
        <f t="shared" ref="L52:L55" si="0">SUM(J52:K52)</f>
        <v>5580</v>
      </c>
      <c r="N52" s="3"/>
      <c r="O52" s="7"/>
      <c r="P52" s="15"/>
      <c r="Q52" s="15"/>
      <c r="R52" s="15"/>
      <c r="T52" s="50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49"/>
      <c r="AK52" s="49"/>
    </row>
    <row r="53" spans="1:37" x14ac:dyDescent="0.25">
      <c r="H53" s="6" t="s">
        <v>64</v>
      </c>
      <c r="I53" s="14" t="s">
        <v>41</v>
      </c>
      <c r="J53" s="16">
        <f>SUM(J51:J52)</f>
        <v>8556</v>
      </c>
      <c r="K53" s="16">
        <f>SUM(K51:K52)</f>
        <v>20832</v>
      </c>
      <c r="L53" s="16">
        <f t="shared" si="0"/>
        <v>29388</v>
      </c>
      <c r="N53" s="14" t="str">
        <f>H139</f>
        <v>Varmesalg</v>
      </c>
      <c r="O53" s="73" t="str">
        <f>I139</f>
        <v>tkr</v>
      </c>
      <c r="P53" s="17">
        <f>J139</f>
        <v>7404288</v>
      </c>
      <c r="Q53" s="17">
        <f>K139</f>
        <v>6795292.7249911651</v>
      </c>
      <c r="R53" s="18">
        <f>L139</f>
        <v>-608995.2750088349</v>
      </c>
      <c r="T53" s="50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</row>
    <row r="54" spans="1:37" x14ac:dyDescent="0.25">
      <c r="H54" s="6" t="s">
        <v>51</v>
      </c>
      <c r="I54" s="5" t="s">
        <v>52</v>
      </c>
      <c r="J54" s="12">
        <f>J51/EtaQNomOvn2</f>
        <v>8374.4075829383892</v>
      </c>
      <c r="K54" s="12">
        <f>K51/EtaQNomOvn3</f>
        <v>25518.292682926829</v>
      </c>
      <c r="L54" s="16">
        <f t="shared" si="0"/>
        <v>33892.70026586522</v>
      </c>
      <c r="N54" s="14" t="str">
        <f>H140</f>
        <v>Elsalg</v>
      </c>
      <c r="O54" s="73" t="str">
        <f>I140</f>
        <v>tkr</v>
      </c>
      <c r="P54" s="17">
        <f>J140</f>
        <v>3947332.4512195126</v>
      </c>
      <c r="Q54" s="17">
        <f>K140</f>
        <v>3947332.4512195126</v>
      </c>
      <c r="R54" s="18">
        <f>L140</f>
        <v>0</v>
      </c>
      <c r="T54" s="50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</row>
    <row r="55" spans="1:37" x14ac:dyDescent="0.25">
      <c r="H55" s="6" t="s">
        <v>53</v>
      </c>
      <c r="I55" s="14" t="s">
        <v>16</v>
      </c>
      <c r="J55" s="16">
        <f>J54*3.6/Htotal</f>
        <v>2867.5840803974193</v>
      </c>
      <c r="K55" s="16">
        <f>K54/(Htotal/3.6)</f>
        <v>8738.0330049337263</v>
      </c>
      <c r="L55" s="16">
        <f t="shared" si="0"/>
        <v>11605.617085331145</v>
      </c>
      <c r="N55" s="14" t="str">
        <f>H141</f>
        <v>RGK-rabat</v>
      </c>
      <c r="O55" s="73" t="str">
        <f>I141</f>
        <v>tkr</v>
      </c>
      <c r="P55" s="17">
        <f>J141</f>
        <v>0</v>
      </c>
      <c r="Q55" s="17">
        <f>K141</f>
        <v>200593.80181097562</v>
      </c>
      <c r="R55" s="18">
        <f>L141</f>
        <v>200593.80181097562</v>
      </c>
      <c r="T55" s="50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</row>
    <row r="56" spans="1:37" x14ac:dyDescent="0.25">
      <c r="H56" s="7" t="s">
        <v>353</v>
      </c>
      <c r="I56" s="14"/>
      <c r="J56" s="93" t="s">
        <v>357</v>
      </c>
      <c r="K56" s="93" t="s">
        <v>91</v>
      </c>
      <c r="L56" s="93" t="s">
        <v>394</v>
      </c>
      <c r="N56" s="14" t="str">
        <f>H142</f>
        <v>Modtagebetaling affald</v>
      </c>
      <c r="O56" s="73" t="str">
        <f>I142</f>
        <v>tkr</v>
      </c>
      <c r="P56" s="17">
        <f>J142</f>
        <v>6549634.1463414626</v>
      </c>
      <c r="Q56" s="17">
        <f>K142</f>
        <v>5728189.9791775309</v>
      </c>
      <c r="R56" s="18">
        <f>L142</f>
        <v>-821444.16716393176</v>
      </c>
      <c r="T56" s="50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</row>
    <row r="57" spans="1:37" x14ac:dyDescent="0.25">
      <c r="H57" s="5" t="s">
        <v>354</v>
      </c>
      <c r="I57" s="14"/>
      <c r="J57" s="16">
        <f>FFossilFast</f>
        <v>11000</v>
      </c>
      <c r="K57" s="16">
        <f>HfossilFast</f>
        <v>10.199999999999999</v>
      </c>
      <c r="L57" s="16">
        <f>Ffrak1*Hfrak1</f>
        <v>112199.99999999999</v>
      </c>
      <c r="N57" s="14"/>
      <c r="O57" s="73"/>
      <c r="P57" s="18"/>
      <c r="Q57" s="18"/>
      <c r="R57" s="18"/>
      <c r="T57" s="50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</row>
    <row r="58" spans="1:37" x14ac:dyDescent="0.25">
      <c r="A58" s="3" t="s">
        <v>350</v>
      </c>
      <c r="H58" s="5" t="s">
        <v>355</v>
      </c>
      <c r="I58" s="14"/>
      <c r="J58" s="16">
        <f>IF(bFossilFriOverBiogen,FFossilFri,FBiogenFri)</f>
        <v>3000</v>
      </c>
      <c r="K58" s="16">
        <f>IF(bFossilFriOverBiogen,HfossilFri,HBiogenFri)</f>
        <v>10.5</v>
      </c>
      <c r="L58" s="16">
        <f>Ffrak1*Hfrak1</f>
        <v>112199.99999999999</v>
      </c>
      <c r="N58" s="14" t="str">
        <f>H144</f>
        <v>Betaling bioaffald</v>
      </c>
      <c r="O58" s="73" t="str">
        <f>I144</f>
        <v>tkr</v>
      </c>
      <c r="P58" s="18">
        <f>J144</f>
        <v>0</v>
      </c>
      <c r="Q58" s="18">
        <f>K144</f>
        <v>0</v>
      </c>
      <c r="R58" s="18">
        <f>L144</f>
        <v>0</v>
      </c>
      <c r="T58" s="50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</row>
    <row r="59" spans="1:37" x14ac:dyDescent="0.25">
      <c r="A59" t="s">
        <v>351</v>
      </c>
      <c r="H59" s="5" t="s">
        <v>356</v>
      </c>
      <c r="I59" s="14"/>
      <c r="J59" s="16">
        <f>IF(bFossilFriOverBiogen,FBiogenFri,FFossilFri)</f>
        <v>1000</v>
      </c>
      <c r="K59" s="16">
        <f>IF(bFossilFriOverBiogen,HBiogenFri,HfossilFri)</f>
        <v>14</v>
      </c>
      <c r="L59" s="16">
        <f>Ffrak1*Hfrak1</f>
        <v>112199.99999999999</v>
      </c>
      <c r="N59" s="14" t="str">
        <f>H145</f>
        <v>DV-omkostninger</v>
      </c>
      <c r="O59" s="73" t="str">
        <f>I145</f>
        <v>tkr</v>
      </c>
      <c r="P59" s="17">
        <f>J145</f>
        <v>1049040</v>
      </c>
      <c r="Q59" s="17">
        <f>K145</f>
        <v>1100979.1304347827</v>
      </c>
      <c r="R59" s="18">
        <f>L145</f>
        <v>51939.13043478271</v>
      </c>
      <c r="T59" s="50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</row>
    <row r="60" spans="1:37" x14ac:dyDescent="0.25">
      <c r="H60" s="6"/>
      <c r="I60" s="14"/>
      <c r="J60" s="16"/>
      <c r="K60" s="16"/>
      <c r="L60" s="16"/>
      <c r="N60" s="14" t="str">
        <f>H146</f>
        <v>Affaldvarme-afgift</v>
      </c>
      <c r="O60" s="73" t="str">
        <f>I146</f>
        <v>tkr</v>
      </c>
      <c r="P60" s="17">
        <f>J146</f>
        <v>2211287.04</v>
      </c>
      <c r="Q60" s="17">
        <f>K146</f>
        <v>2029410.8948462361</v>
      </c>
      <c r="R60" s="18">
        <f>L146</f>
        <v>-181876.14515376394</v>
      </c>
      <c r="T60" s="50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</row>
    <row r="61" spans="1:37" x14ac:dyDescent="0.25">
      <c r="H61" s="5"/>
      <c r="J61" s="16"/>
      <c r="K61" s="16"/>
      <c r="N61" s="14" t="str">
        <f>H147</f>
        <v>Tillægsafgift</v>
      </c>
      <c r="O61" s="73" t="str">
        <f>I147</f>
        <v>tkr</v>
      </c>
      <c r="P61" s="18">
        <f>J147</f>
        <v>2271283.2000000002</v>
      </c>
      <c r="Q61" s="18">
        <f>K147</f>
        <v>2005938.0181097561</v>
      </c>
      <c r="R61" s="18">
        <f>L147</f>
        <v>-265345.18189024413</v>
      </c>
      <c r="T61" s="50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</row>
    <row r="62" spans="1:37" x14ac:dyDescent="0.25">
      <c r="H62" s="7" t="s">
        <v>136</v>
      </c>
      <c r="J62" s="15" t="s">
        <v>43</v>
      </c>
      <c r="K62" s="15" t="str">
        <f>"Med "&amp;TEXT(RGKudnyttelse,"0%")&amp;" RGK"</f>
        <v>Med 100% RGK</v>
      </c>
      <c r="L62" s="3" t="s">
        <v>139</v>
      </c>
      <c r="N62" s="14" t="str">
        <f>H148</f>
        <v>CO2-afgift</v>
      </c>
      <c r="O62" s="73" t="str">
        <f>I148</f>
        <v>tkr</v>
      </c>
      <c r="P62" s="18">
        <f>J148</f>
        <v>471719.80799999996</v>
      </c>
      <c r="Q62" s="18">
        <f>K148</f>
        <v>416610.61762911582</v>
      </c>
      <c r="R62" s="18">
        <f>L148</f>
        <v>-55109.190370884142</v>
      </c>
      <c r="T62" s="50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</row>
    <row r="63" spans="1:37" x14ac:dyDescent="0.25">
      <c r="H63" s="7" t="s">
        <v>358</v>
      </c>
      <c r="I63" s="5" t="s">
        <v>41</v>
      </c>
      <c r="J63" s="16">
        <f>MIN(Qdemand,K51,EtaQNomOvn3*Ffrak1*Hfrak1/3.6)</f>
        <v>16740</v>
      </c>
      <c r="K63" s="16">
        <f>MIN(Qdemand,K53,EtaQmaxOvn3*Ffrak1*Hfrak1/3.6)</f>
        <v>20832</v>
      </c>
      <c r="L63" s="12">
        <f>K63-J63</f>
        <v>4092</v>
      </c>
      <c r="N63" s="14" t="str">
        <f>H149</f>
        <v>Kvote-omkostning</v>
      </c>
      <c r="O63" s="73" t="str">
        <f>I149</f>
        <v>tkr</v>
      </c>
      <c r="P63" s="18">
        <f>J149</f>
        <v>1982199.9999999998</v>
      </c>
      <c r="Q63" s="18">
        <f>K149</f>
        <v>1820171.9042282121</v>
      </c>
      <c r="R63" s="18">
        <f>L149</f>
        <v>-162028.09577178769</v>
      </c>
      <c r="T63" s="50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49"/>
      <c r="AG63" s="49"/>
      <c r="AH63" s="49"/>
      <c r="AI63" s="49"/>
      <c r="AJ63" s="49"/>
      <c r="AK63" s="49"/>
    </row>
    <row r="64" spans="1:37" x14ac:dyDescent="0.25">
      <c r="H64" s="5" t="s">
        <v>360</v>
      </c>
      <c r="I64" s="5" t="s">
        <v>16</v>
      </c>
      <c r="J64" s="12">
        <f>$J$63/EtaQNomOvn3/(Hfrak1/3.6)</f>
        <v>9006.456241033</v>
      </c>
      <c r="K64" s="12">
        <f>$K$63/EtaQmaxOvn3/(Hfrak1/3.6)</f>
        <v>9006.456241033</v>
      </c>
      <c r="L64" s="12">
        <f t="shared" ref="L64:L136" si="1">K64-J64</f>
        <v>0</v>
      </c>
      <c r="N64" s="14"/>
      <c r="O64" s="73"/>
      <c r="P64" s="18"/>
      <c r="Q64" s="18"/>
      <c r="R64" s="18"/>
      <c r="T64" s="50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</row>
    <row r="65" spans="8:37" x14ac:dyDescent="0.25">
      <c r="H65" s="5" t="s">
        <v>359</v>
      </c>
      <c r="I65" s="5" t="s">
        <v>41</v>
      </c>
      <c r="J65" s="16">
        <f>Qdemand-J63</f>
        <v>11260</v>
      </c>
      <c r="K65" s="16">
        <f>Qdemand-K63</f>
        <v>7168</v>
      </c>
      <c r="L65" s="12">
        <f t="shared" si="1"/>
        <v>-4092</v>
      </c>
      <c r="N65" s="7" t="s">
        <v>231</v>
      </c>
      <c r="O65" s="6"/>
      <c r="P65" s="15" t="str">
        <f>P48</f>
        <v>Uden RGK</v>
      </c>
      <c r="Q65" s="15" t="str">
        <f>Q48</f>
        <v>Med 100% RGK</v>
      </c>
      <c r="R65" s="12"/>
      <c r="T65" s="50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</row>
    <row r="66" spans="8:37" x14ac:dyDescent="0.25">
      <c r="H66" s="5" t="s">
        <v>361</v>
      </c>
      <c r="I66" s="5" t="s">
        <v>16</v>
      </c>
      <c r="J66" s="16">
        <f>Ffrak1-J64</f>
        <v>1993.543758967</v>
      </c>
      <c r="K66" s="16">
        <f>Ffrak1-K64</f>
        <v>1993.543758967</v>
      </c>
      <c r="L66" s="12">
        <f t="shared" si="1"/>
        <v>0</v>
      </c>
      <c r="N66" s="5" t="str">
        <f>H121</f>
        <v>Varmeproduktion Ovn2</v>
      </c>
      <c r="O66" s="6" t="s">
        <v>41</v>
      </c>
      <c r="P66" s="12">
        <f>J121</f>
        <v>7068</v>
      </c>
      <c r="Q66" s="12">
        <f>K121</f>
        <v>3168</v>
      </c>
      <c r="R66" s="12">
        <f>Q66-P66</f>
        <v>-3900</v>
      </c>
      <c r="T66" s="50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</row>
    <row r="67" spans="8:37" x14ac:dyDescent="0.25">
      <c r="H67" s="5" t="s">
        <v>366</v>
      </c>
      <c r="I67" s="5" t="s">
        <v>16</v>
      </c>
      <c r="J67" s="16">
        <f>$K$51-J63</f>
        <v>0</v>
      </c>
      <c r="K67" s="16">
        <f>K53-K63</f>
        <v>0</v>
      </c>
      <c r="L67" s="12">
        <f t="shared" ref="L67" si="2">K67-J67</f>
        <v>0</v>
      </c>
      <c r="N67" s="5" t="str">
        <f>H122</f>
        <v>Varmeproduktion Ovn3</v>
      </c>
      <c r="O67" s="6" t="s">
        <v>41</v>
      </c>
      <c r="P67" s="12">
        <f>J122</f>
        <v>16740</v>
      </c>
      <c r="Q67" s="12">
        <f>K122</f>
        <v>20832</v>
      </c>
      <c r="R67" s="12">
        <f t="shared" ref="R67:R71" si="3">Q67-P67</f>
        <v>4092</v>
      </c>
      <c r="T67" s="50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</row>
    <row r="68" spans="8:37" x14ac:dyDescent="0.25">
      <c r="H68" s="7" t="s">
        <v>362</v>
      </c>
      <c r="I68" s="5" t="s">
        <v>41</v>
      </c>
      <c r="J68" s="16">
        <f>MIN(J65,J67,EtaQNomOvn3*Ffrak2*Hfrak2/3.6)</f>
        <v>0</v>
      </c>
      <c r="K68" s="16">
        <f>MIN(K65,K67,EtaQmaxOvn3*Ffrak2*Hfrak2/3.6)</f>
        <v>0</v>
      </c>
      <c r="L68" s="12">
        <f>K68-J68</f>
        <v>0</v>
      </c>
      <c r="N68" s="5" t="str">
        <f>H124</f>
        <v>Heraf RGK-varme</v>
      </c>
      <c r="O68" s="6" t="s">
        <v>41</v>
      </c>
      <c r="P68" s="12">
        <f>J124</f>
        <v>0</v>
      </c>
      <c r="Q68" s="12">
        <f>K124</f>
        <v>5193.913043478261</v>
      </c>
      <c r="R68" s="12">
        <f t="shared" si="3"/>
        <v>5193.913043478261</v>
      </c>
      <c r="T68" s="50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</row>
    <row r="69" spans="8:37" x14ac:dyDescent="0.25">
      <c r="H69" s="5" t="s">
        <v>363</v>
      </c>
      <c r="I69" s="5" t="s">
        <v>16</v>
      </c>
      <c r="J69" s="12">
        <f>J68/EtaQNomOvn3/(Hfrak2/3.6)</f>
        <v>0</v>
      </c>
      <c r="K69" s="12">
        <f>K68/EtaQmaxOvn3/(Hfrak2/3.6)</f>
        <v>0</v>
      </c>
      <c r="L69" s="12">
        <f t="shared" ref="L69:L72" si="4">K69-J69</f>
        <v>0</v>
      </c>
      <c r="N69" s="5" t="str">
        <f>H105</f>
        <v>Bortkølet varme</v>
      </c>
      <c r="O69" s="6" t="s">
        <v>41</v>
      </c>
      <c r="P69" s="12">
        <f>J105</f>
        <v>0</v>
      </c>
      <c r="Q69" s="12">
        <f>K105</f>
        <v>2150.184164015549</v>
      </c>
      <c r="R69" s="12">
        <f t="shared" si="3"/>
        <v>2150.184164015549</v>
      </c>
      <c r="T69" s="50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</row>
    <row r="70" spans="8:37" x14ac:dyDescent="0.25">
      <c r="H70" s="5" t="s">
        <v>364</v>
      </c>
      <c r="I70" s="5" t="s">
        <v>41</v>
      </c>
      <c r="J70" s="16">
        <f>J65-J68</f>
        <v>11260</v>
      </c>
      <c r="K70" s="16">
        <f>K65-K68</f>
        <v>7168</v>
      </c>
      <c r="L70" s="12">
        <f t="shared" si="4"/>
        <v>-4092</v>
      </c>
      <c r="N70" s="5" t="str">
        <f>H127</f>
        <v>Leveret affaldsvarme</v>
      </c>
      <c r="O70" s="6" t="s">
        <v>41</v>
      </c>
      <c r="P70" s="12">
        <f>J127</f>
        <v>23808</v>
      </c>
      <c r="Q70" s="12">
        <f>K127</f>
        <v>21849.815835984453</v>
      </c>
      <c r="R70" s="12">
        <f t="shared" si="3"/>
        <v>-1958.1841640155471</v>
      </c>
      <c r="T70" s="50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</row>
    <row r="71" spans="8:37" x14ac:dyDescent="0.25">
      <c r="H71" s="5" t="s">
        <v>365</v>
      </c>
      <c r="I71" s="5" t="s">
        <v>16</v>
      </c>
      <c r="J71" s="16">
        <f>Ffrak2-J69</f>
        <v>3000</v>
      </c>
      <c r="K71" s="16">
        <f>Ffrak2-K69</f>
        <v>3000</v>
      </c>
      <c r="L71" s="12">
        <f t="shared" si="4"/>
        <v>0</v>
      </c>
      <c r="N71" s="5" t="str">
        <f>H128</f>
        <v>Spidslastvarme</v>
      </c>
      <c r="O71" s="6" t="s">
        <v>41</v>
      </c>
      <c r="P71" s="12">
        <f>J128</f>
        <v>192</v>
      </c>
      <c r="Q71" s="12">
        <f>K128</f>
        <v>2150.1841640155471</v>
      </c>
      <c r="R71" s="12">
        <f t="shared" si="3"/>
        <v>1958.1841640155471</v>
      </c>
      <c r="T71" s="50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</row>
    <row r="72" spans="8:37" x14ac:dyDescent="0.25">
      <c r="H72" s="5" t="s">
        <v>367</v>
      </c>
      <c r="I72" s="5" t="s">
        <v>16</v>
      </c>
      <c r="J72" s="16">
        <f>J67-J68</f>
        <v>0</v>
      </c>
      <c r="K72" s="16">
        <f>K67-K68</f>
        <v>0</v>
      </c>
      <c r="L72" s="12">
        <f t="shared" si="4"/>
        <v>0</v>
      </c>
      <c r="N72" s="5"/>
      <c r="O72" s="6"/>
      <c r="P72" s="18"/>
      <c r="Q72" s="18"/>
      <c r="R72" s="12"/>
      <c r="T72" s="50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</row>
    <row r="73" spans="8:37" x14ac:dyDescent="0.25">
      <c r="H73" s="7" t="s">
        <v>369</v>
      </c>
      <c r="I73" s="5" t="s">
        <v>41</v>
      </c>
      <c r="J73" s="16">
        <f>MIN(J70,J72,EtaQNomOvn3*Ffrak3*Hfrak3/3.6)</f>
        <v>0</v>
      </c>
      <c r="K73" s="16">
        <f>MIN(K70,K72,EtaQmaxOvn3*Ffrak3*Hfrak3/3.6)</f>
        <v>0</v>
      </c>
      <c r="L73" s="12">
        <f>K73-J73</f>
        <v>0</v>
      </c>
      <c r="N73" s="7" t="s">
        <v>232</v>
      </c>
      <c r="O73" s="6"/>
      <c r="P73" s="65" t="str">
        <f>P48</f>
        <v>Uden RGK</v>
      </c>
      <c r="Q73" s="65" t="str">
        <f>Q48</f>
        <v>Med 100% RGK</v>
      </c>
      <c r="R73" s="12"/>
      <c r="T73" s="50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</row>
    <row r="74" spans="8:37" x14ac:dyDescent="0.25">
      <c r="H74" s="5" t="s">
        <v>370</v>
      </c>
      <c r="I74" s="5" t="s">
        <v>16</v>
      </c>
      <c r="J74" s="12">
        <f>J73/EtaQNomOvn3/(Hfrak3/3.6)</f>
        <v>0</v>
      </c>
      <c r="K74" s="12">
        <f>K73/EtaQmaxOvn3/(Hfrak3/3.6)</f>
        <v>0</v>
      </c>
      <c r="L74" s="12">
        <f t="shared" ref="L74:L77" si="5">K74-J74</f>
        <v>0</v>
      </c>
      <c r="N74" s="5" t="s">
        <v>143</v>
      </c>
      <c r="O74" s="6" t="s">
        <v>16</v>
      </c>
      <c r="P74" s="12">
        <f>J64</f>
        <v>9006.456241033</v>
      </c>
      <c r="Q74" s="12">
        <f>K64</f>
        <v>9006.456241033</v>
      </c>
      <c r="R74" s="12">
        <f>Q74-P74</f>
        <v>0</v>
      </c>
      <c r="T74" s="50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</row>
    <row r="75" spans="8:37" x14ac:dyDescent="0.25">
      <c r="H75" s="5" t="s">
        <v>371</v>
      </c>
      <c r="I75" s="5" t="s">
        <v>41</v>
      </c>
      <c r="J75" s="16">
        <f>J70-J73</f>
        <v>11260</v>
      </c>
      <c r="K75" s="16">
        <f>K70-K73</f>
        <v>7168</v>
      </c>
      <c r="L75" s="12">
        <f t="shared" si="5"/>
        <v>-4092</v>
      </c>
      <c r="N75" s="5" t="s">
        <v>144</v>
      </c>
      <c r="O75" s="6" t="s">
        <v>41</v>
      </c>
      <c r="P75" s="12">
        <f>J78</f>
        <v>4000</v>
      </c>
      <c r="Q75" s="12">
        <f>K78</f>
        <v>4000</v>
      </c>
      <c r="R75" s="12">
        <f t="shared" ref="R75:R80" si="6">Q75-P75</f>
        <v>0</v>
      </c>
      <c r="T75" s="50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</row>
    <row r="76" spans="8:37" x14ac:dyDescent="0.25">
      <c r="H76" s="5" t="s">
        <v>372</v>
      </c>
      <c r="I76" s="5" t="s">
        <v>16</v>
      </c>
      <c r="J76" s="16">
        <f>Ffrak3-J74</f>
        <v>1000</v>
      </c>
      <c r="K76" s="16">
        <f>Ffrak3-K74</f>
        <v>1000</v>
      </c>
      <c r="L76" s="12">
        <f t="shared" si="5"/>
        <v>0</v>
      </c>
      <c r="N76" s="5" t="s">
        <v>145</v>
      </c>
      <c r="O76" s="6" t="s">
        <v>16</v>
      </c>
      <c r="P76" s="12">
        <f>J81</f>
        <v>1993.5437589670003</v>
      </c>
      <c r="Q76" s="12">
        <f>K81</f>
        <v>1094.3867347062462</v>
      </c>
      <c r="R76" s="12">
        <f t="shared" si="6"/>
        <v>-899.15702426075404</v>
      </c>
      <c r="T76" s="50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</row>
    <row r="77" spans="8:37" x14ac:dyDescent="0.25">
      <c r="H77" s="5" t="s">
        <v>373</v>
      </c>
      <c r="I77" s="5" t="s">
        <v>16</v>
      </c>
      <c r="J77" s="16">
        <f>J72-J73</f>
        <v>0</v>
      </c>
      <c r="K77" s="16">
        <f>K72-K73</f>
        <v>0</v>
      </c>
      <c r="L77" s="12">
        <f t="shared" si="5"/>
        <v>0</v>
      </c>
      <c r="N77" s="5" t="s">
        <v>100</v>
      </c>
      <c r="O77" s="6" t="s">
        <v>16</v>
      </c>
      <c r="P77" s="12">
        <f>J100</f>
        <v>0</v>
      </c>
      <c r="Q77" s="12">
        <f>K100</f>
        <v>0</v>
      </c>
      <c r="R77" s="12">
        <f t="shared" si="6"/>
        <v>0</v>
      </c>
      <c r="T77" s="50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</row>
    <row r="78" spans="8:37" x14ac:dyDescent="0.25">
      <c r="H78" s="7" t="s">
        <v>376</v>
      </c>
      <c r="I78" s="5" t="s">
        <v>41</v>
      </c>
      <c r="J78" s="16">
        <f>MIN(J75,NSvarme)</f>
        <v>4000</v>
      </c>
      <c r="K78" s="16">
        <f>MIN(K65,NSvarme)</f>
        <v>4000</v>
      </c>
      <c r="L78" s="12">
        <f t="shared" si="1"/>
        <v>0</v>
      </c>
      <c r="N78" s="5" t="s">
        <v>101</v>
      </c>
      <c r="O78" s="6" t="s">
        <v>16</v>
      </c>
      <c r="P78" s="12">
        <f>J103</f>
        <v>0</v>
      </c>
      <c r="Q78" s="12">
        <f>K103</f>
        <v>899.15702426075381</v>
      </c>
      <c r="R78" s="12">
        <f t="shared" si="6"/>
        <v>899.15702426075381</v>
      </c>
      <c r="T78" s="50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</row>
    <row r="79" spans="8:37" x14ac:dyDescent="0.25">
      <c r="H79" s="5" t="s">
        <v>56</v>
      </c>
      <c r="I79" s="5" t="s">
        <v>41</v>
      </c>
      <c r="J79" s="16">
        <f>J75-J78</f>
        <v>7260</v>
      </c>
      <c r="K79" s="16">
        <f>K65-K78</f>
        <v>3168</v>
      </c>
      <c r="L79" s="12">
        <f t="shared" si="1"/>
        <v>-4092</v>
      </c>
      <c r="N79" s="5" t="s">
        <v>147</v>
      </c>
      <c r="O79" s="6" t="s">
        <v>16</v>
      </c>
      <c r="P79" s="12">
        <f>P74+SUM(P76:P78)</f>
        <v>11000</v>
      </c>
      <c r="Q79" s="12">
        <f>Q74+SUM(Q76:Q78)</f>
        <v>11000</v>
      </c>
      <c r="R79" s="12">
        <f t="shared" si="6"/>
        <v>0</v>
      </c>
      <c r="T79" s="50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</row>
    <row r="80" spans="8:37" x14ac:dyDescent="0.25">
      <c r="H80" s="7" t="s">
        <v>375</v>
      </c>
      <c r="I80" s="5" t="s">
        <v>41</v>
      </c>
      <c r="J80" s="16">
        <f>MIN(J79,$J$51,EtaQNomOvn2*(J66*Hfrak1)/3.6)</f>
        <v>4767.2276422764189</v>
      </c>
      <c r="K80" s="16">
        <f>MIN(K79,$J$53,EtaQmaxOvn2*(K66*Hfrak1)/3.6)</f>
        <v>3168</v>
      </c>
      <c r="L80" s="12">
        <f t="shared" si="1"/>
        <v>-1599.2276422764189</v>
      </c>
      <c r="N80" s="5" t="s">
        <v>146</v>
      </c>
      <c r="O80" s="6" t="s">
        <v>16</v>
      </c>
      <c r="P80" s="16" t="e">
        <f>#REF!</f>
        <v>#REF!</v>
      </c>
      <c r="Q80" s="16" t="e">
        <f>#REF!</f>
        <v>#REF!</v>
      </c>
      <c r="R80" s="12" t="e">
        <f t="shared" si="6"/>
        <v>#REF!</v>
      </c>
      <c r="T80" s="50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</row>
    <row r="81" spans="8:37" x14ac:dyDescent="0.25">
      <c r="H81" s="5" t="s">
        <v>374</v>
      </c>
      <c r="I81" s="5" t="s">
        <v>16</v>
      </c>
      <c r="J81" s="16">
        <f>J80/EtaQNomOvn2/(Hfrak1/3.6)</f>
        <v>1993.5437589670003</v>
      </c>
      <c r="K81" s="16">
        <f>K80/EtaQmaxOvn2/(Hfrak1/3.6)</f>
        <v>1094.3867347062462</v>
      </c>
      <c r="L81" s="12">
        <f t="shared" si="1"/>
        <v>-899.15702426075404</v>
      </c>
      <c r="O81" s="6"/>
      <c r="R81" s="12"/>
      <c r="T81" s="50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</row>
    <row r="82" spans="8:37" x14ac:dyDescent="0.25">
      <c r="H82" s="5" t="s">
        <v>359</v>
      </c>
      <c r="I82" s="5" t="s">
        <v>41</v>
      </c>
      <c r="J82" s="16">
        <f>J79-J80</f>
        <v>2492.7723577235811</v>
      </c>
      <c r="K82" s="16">
        <f>K79-K80</f>
        <v>0</v>
      </c>
      <c r="L82" s="12">
        <f t="shared" si="1"/>
        <v>-2492.7723577235811</v>
      </c>
      <c r="N82" s="7" t="s">
        <v>233</v>
      </c>
      <c r="O82" s="6"/>
      <c r="P82" s="65" t="str">
        <f>P48</f>
        <v>Uden RGK</v>
      </c>
      <c r="Q82" s="65" t="str">
        <f>Q48</f>
        <v>Med 100% RGK</v>
      </c>
      <c r="R82" s="12"/>
      <c r="T82" s="50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</row>
    <row r="83" spans="8:37" x14ac:dyDescent="0.25">
      <c r="H83" s="5" t="s">
        <v>361</v>
      </c>
      <c r="I83" s="5" t="s">
        <v>16</v>
      </c>
      <c r="J83" s="16">
        <f>J66-J81</f>
        <v>0</v>
      </c>
      <c r="K83" s="16">
        <f>K66-K81</f>
        <v>899.15702426075381</v>
      </c>
      <c r="L83" s="12">
        <f t="shared" si="1"/>
        <v>899.15702426075381</v>
      </c>
      <c r="N83" s="5" t="s">
        <v>265</v>
      </c>
      <c r="O83" s="6"/>
      <c r="P83" s="2">
        <f>(P74+P77)/$K$55</f>
        <v>1.0307189542483663</v>
      </c>
      <c r="Q83" s="2">
        <f>(Q74+Q77)/$K$55</f>
        <v>1.0307189542483663</v>
      </c>
      <c r="R83" s="2">
        <f>Q83-P83</f>
        <v>0</v>
      </c>
      <c r="T83" s="50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</row>
    <row r="84" spans="8:37" x14ac:dyDescent="0.25">
      <c r="H84" s="5" t="s">
        <v>366</v>
      </c>
      <c r="I84" s="5" t="s">
        <v>16</v>
      </c>
      <c r="J84" s="16">
        <f>J51-J80</f>
        <v>2300.7723577235811</v>
      </c>
      <c r="K84" s="16">
        <f>J53-K80</f>
        <v>5388</v>
      </c>
      <c r="L84" s="12">
        <f t="shared" si="1"/>
        <v>3087.2276422764189</v>
      </c>
      <c r="N84" s="5" t="s">
        <v>266</v>
      </c>
      <c r="O84" s="6"/>
      <c r="P84" s="2">
        <f>(P76+P78)/$J$55</f>
        <v>0.69519975808022849</v>
      </c>
      <c r="Q84" s="2">
        <f>(Q76+Q78)/$J$55</f>
        <v>0.69519975808022838</v>
      </c>
      <c r="R84" s="2">
        <f t="shared" ref="R84:R87" si="7">Q84-P84</f>
        <v>0</v>
      </c>
      <c r="T84" s="50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</row>
    <row r="85" spans="8:37" x14ac:dyDescent="0.25">
      <c r="H85" s="7" t="s">
        <v>377</v>
      </c>
      <c r="I85" s="5" t="s">
        <v>41</v>
      </c>
      <c r="J85" s="16">
        <f>MIN(J82,J84,EtaQNomOvn2*(J71*Hfrak2)/3.6)</f>
        <v>2300.7723577235811</v>
      </c>
      <c r="K85" s="16">
        <f>MIN(K82,K84,EtaQmaxOvn2*(K71*Hfrak2)/3.6)</f>
        <v>0</v>
      </c>
      <c r="L85" s="12">
        <f t="shared" ref="L85:L89" si="8">K85-J85</f>
        <v>-2300.7723577235811</v>
      </c>
      <c r="N85" s="5" t="s">
        <v>267</v>
      </c>
      <c r="O85" s="6"/>
      <c r="P85" s="2">
        <f>P69/(24*$E$13*KapQcool)</f>
        <v>0</v>
      </c>
      <c r="Q85" s="2">
        <f>Q69/(24*$E$13*KapQcool)</f>
        <v>0.19266883190103484</v>
      </c>
      <c r="R85" s="2">
        <f t="shared" si="7"/>
        <v>0.19266883190103484</v>
      </c>
      <c r="T85" s="50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</row>
    <row r="86" spans="8:37" x14ac:dyDescent="0.25">
      <c r="H86" s="5" t="s">
        <v>378</v>
      </c>
      <c r="I86" s="5" t="s">
        <v>16</v>
      </c>
      <c r="J86" s="16">
        <f>J80/EtaQNomOvn2/(Hfrak2/3.6)</f>
        <v>1936.5853658536573</v>
      </c>
      <c r="K86" s="16">
        <f>K80/EtaQmaxOvn2/(Hfrak2/3.6)</f>
        <v>1063.1185422860676</v>
      </c>
      <c r="L86" s="12">
        <f t="shared" si="8"/>
        <v>-873.4668235675897</v>
      </c>
      <c r="N86" s="5" t="s">
        <v>268</v>
      </c>
      <c r="O86" s="6"/>
      <c r="P86" s="2">
        <f>P75/NSvarme</f>
        <v>1</v>
      </c>
      <c r="Q86" s="2">
        <f>Q75/NSvarme</f>
        <v>1</v>
      </c>
      <c r="R86" s="2">
        <f t="shared" si="7"/>
        <v>0</v>
      </c>
      <c r="T86" s="50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</row>
    <row r="87" spans="8:37" x14ac:dyDescent="0.25">
      <c r="H87" s="5" t="s">
        <v>364</v>
      </c>
      <c r="I87" s="5" t="s">
        <v>41</v>
      </c>
      <c r="J87" s="16">
        <f>J82-J85</f>
        <v>192</v>
      </c>
      <c r="K87" s="16">
        <f>K82-K85</f>
        <v>0</v>
      </c>
      <c r="L87" s="12">
        <f t="shared" si="8"/>
        <v>-192</v>
      </c>
      <c r="N87" s="5" t="s">
        <v>243</v>
      </c>
      <c r="O87" s="6" t="s">
        <v>23</v>
      </c>
      <c r="P87" s="11">
        <f>(SUM(P58:P63)-SUM(P54:P56))/P70</f>
        <v>-105.48708625508128</v>
      </c>
      <c r="Q87" s="11">
        <f>(SUM(Q58:Q63)-SUM(Q54:Q56))/Q70</f>
        <v>-114.55500063472925</v>
      </c>
      <c r="R87" s="68">
        <f t="shared" si="7"/>
        <v>-9.0679143796479735</v>
      </c>
      <c r="T87" s="50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</row>
    <row r="88" spans="8:37" x14ac:dyDescent="0.25">
      <c r="H88" s="5" t="s">
        <v>365</v>
      </c>
      <c r="I88" s="5" t="s">
        <v>16</v>
      </c>
      <c r="J88" s="16">
        <f>J71-J86</f>
        <v>1063.4146341463427</v>
      </c>
      <c r="K88" s="16">
        <f>K71-K86</f>
        <v>1936.8814577139324</v>
      </c>
      <c r="L88" s="12">
        <f t="shared" si="8"/>
        <v>873.4668235675897</v>
      </c>
      <c r="N88" s="6"/>
      <c r="Q88" s="2"/>
      <c r="R88" s="12"/>
      <c r="T88" s="50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</row>
    <row r="89" spans="8:37" x14ac:dyDescent="0.25">
      <c r="H89" s="5" t="s">
        <v>367</v>
      </c>
      <c r="I89" s="5" t="s">
        <v>16</v>
      </c>
      <c r="J89" s="16">
        <f>J84-J85</f>
        <v>0</v>
      </c>
      <c r="K89" s="16">
        <f>K84-K85</f>
        <v>5388</v>
      </c>
      <c r="L89" s="12">
        <f t="shared" si="8"/>
        <v>5388</v>
      </c>
      <c r="R89" s="12"/>
      <c r="T89" s="50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</row>
    <row r="90" spans="8:37" x14ac:dyDescent="0.25">
      <c r="H90" s="7" t="s">
        <v>380</v>
      </c>
      <c r="I90" s="5" t="s">
        <v>41</v>
      </c>
      <c r="J90" s="16">
        <f>MIN(J87,J89,EtaQNomOvn2*(J76*Hfrak3)/3.6)</f>
        <v>0</v>
      </c>
      <c r="K90" s="16">
        <f>MIN(K87,K89,EtaQmaxOvn2*(K76*Hfrak3)/3.6)</f>
        <v>0</v>
      </c>
      <c r="L90" s="12">
        <f t="shared" ref="L90:L94" si="9">K90-J90</f>
        <v>0</v>
      </c>
      <c r="R90" s="12"/>
      <c r="T90" s="50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</row>
    <row r="91" spans="8:37" x14ac:dyDescent="0.25">
      <c r="H91" s="5" t="s">
        <v>379</v>
      </c>
      <c r="I91" s="5" t="s">
        <v>16</v>
      </c>
      <c r="J91" s="16">
        <f>J90/EtaQNomOvn2/(Hfrak2/3.6)</f>
        <v>0</v>
      </c>
      <c r="K91" s="16">
        <f>K90/EtaQmaxOvn2/(Hfrak2/3.6)</f>
        <v>0</v>
      </c>
      <c r="L91" s="12">
        <f t="shared" si="9"/>
        <v>0</v>
      </c>
      <c r="R91" s="12"/>
      <c r="T91" s="50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</row>
    <row r="92" spans="8:37" x14ac:dyDescent="0.25">
      <c r="H92" s="5" t="s">
        <v>371</v>
      </c>
      <c r="I92" s="5" t="s">
        <v>41</v>
      </c>
      <c r="J92" s="16">
        <f>J87-J90</f>
        <v>192</v>
      </c>
      <c r="K92" s="16">
        <f>K87-K90</f>
        <v>0</v>
      </c>
      <c r="L92" s="12">
        <f t="shared" si="9"/>
        <v>-192</v>
      </c>
      <c r="N92" s="3"/>
      <c r="R92" s="12"/>
      <c r="T92" s="50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</row>
    <row r="93" spans="8:37" x14ac:dyDescent="0.25">
      <c r="H93" s="5" t="s">
        <v>372</v>
      </c>
      <c r="I93" s="5" t="s">
        <v>16</v>
      </c>
      <c r="J93" s="16">
        <f>J76-J91</f>
        <v>1000</v>
      </c>
      <c r="K93" s="16">
        <f>K76-K91</f>
        <v>1000</v>
      </c>
      <c r="L93" s="12">
        <f t="shared" si="9"/>
        <v>0</v>
      </c>
      <c r="R93" s="12"/>
      <c r="T93" s="50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</row>
    <row r="94" spans="8:37" x14ac:dyDescent="0.25">
      <c r="H94" s="5" t="s">
        <v>373</v>
      </c>
      <c r="I94" s="5" t="s">
        <v>16</v>
      </c>
      <c r="J94" s="16">
        <f>J89-J90</f>
        <v>0</v>
      </c>
      <c r="K94" s="16">
        <f>K89-K90</f>
        <v>5388</v>
      </c>
      <c r="L94" s="12">
        <f t="shared" si="9"/>
        <v>5388</v>
      </c>
      <c r="R94" s="12"/>
      <c r="T94" s="50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  <c r="AK94" s="49"/>
    </row>
    <row r="95" spans="8:37" x14ac:dyDescent="0.25">
      <c r="H95" s="6" t="s">
        <v>65</v>
      </c>
      <c r="I95" s="5" t="s">
        <v>41</v>
      </c>
      <c r="J95" s="16">
        <f>J63+J68+J73+J80+J85+J90</f>
        <v>23808</v>
      </c>
      <c r="K95" s="16">
        <f>K63+K68+K73+K80+K85+K90</f>
        <v>24000</v>
      </c>
      <c r="L95" s="12">
        <f t="shared" si="1"/>
        <v>192</v>
      </c>
      <c r="R95" s="12"/>
      <c r="T95" s="50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</row>
    <row r="96" spans="8:37" x14ac:dyDescent="0.25">
      <c r="H96" s="6" t="s">
        <v>66</v>
      </c>
      <c r="I96" s="5" t="s">
        <v>41</v>
      </c>
      <c r="J96" s="16">
        <f>J92</f>
        <v>192</v>
      </c>
      <c r="K96" s="16">
        <f>K92</f>
        <v>0</v>
      </c>
      <c r="L96" s="12">
        <f t="shared" si="1"/>
        <v>-192</v>
      </c>
      <c r="R96" s="12"/>
      <c r="T96" s="50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49"/>
    </row>
    <row r="97" spans="1:37" x14ac:dyDescent="0.25">
      <c r="H97" s="5" t="s">
        <v>96</v>
      </c>
      <c r="I97" s="5" t="s">
        <v>41</v>
      </c>
      <c r="J97" s="12">
        <f>J94</f>
        <v>0</v>
      </c>
      <c r="K97" s="12">
        <f>K94</f>
        <v>5388</v>
      </c>
      <c r="L97" s="12">
        <f t="shared" si="1"/>
        <v>5388</v>
      </c>
      <c r="R97" s="12"/>
      <c r="T97" s="50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</row>
    <row r="98" spans="1:37" x14ac:dyDescent="0.25">
      <c r="H98" s="5" t="s">
        <v>97</v>
      </c>
      <c r="I98" s="5" t="s">
        <v>41</v>
      </c>
      <c r="J98" s="12">
        <f>J77</f>
        <v>0</v>
      </c>
      <c r="K98" s="12">
        <f>K77</f>
        <v>0</v>
      </c>
      <c r="L98" s="12">
        <f t="shared" si="1"/>
        <v>0</v>
      </c>
      <c r="R98" s="12"/>
      <c r="T98" s="50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  <c r="AK98" s="49"/>
    </row>
    <row r="99" spans="1:37" x14ac:dyDescent="0.25">
      <c r="A99" t="s">
        <v>381</v>
      </c>
      <c r="H99" s="5" t="s">
        <v>99</v>
      </c>
      <c r="I99" s="5" t="s">
        <v>41</v>
      </c>
      <c r="J99" s="12">
        <f>MIN(J98,EtaQNomOvn3*J83*Hfrak1/3.6,24*E13*KapQcool)</f>
        <v>0</v>
      </c>
      <c r="K99" s="12">
        <f>MIN(K98,EtaQNomOvn3*K83*Hfrak1/3.6,24*F13*KapQcool)</f>
        <v>0</v>
      </c>
      <c r="L99" s="12">
        <f t="shared" si="1"/>
        <v>0</v>
      </c>
      <c r="R99" s="12"/>
      <c r="T99" s="50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49"/>
      <c r="AK99" s="49"/>
    </row>
    <row r="100" spans="1:37" x14ac:dyDescent="0.25">
      <c r="H100" s="5" t="s">
        <v>100</v>
      </c>
      <c r="I100" s="5" t="s">
        <v>16</v>
      </c>
      <c r="J100" s="12">
        <f>J99/EtaQNomOvn3/(Hfrak1/3.6)</f>
        <v>0</v>
      </c>
      <c r="K100" s="12">
        <f>K99/EtaQNomOvn3/(Hfrak1/3.6)</f>
        <v>0</v>
      </c>
      <c r="L100" s="12">
        <f t="shared" si="1"/>
        <v>0</v>
      </c>
      <c r="T100" s="50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</row>
    <row r="101" spans="1:37" x14ac:dyDescent="0.25">
      <c r="H101" s="5" t="s">
        <v>361</v>
      </c>
      <c r="I101" s="5" t="s">
        <v>16</v>
      </c>
      <c r="J101" s="12">
        <f>J83-J100</f>
        <v>0</v>
      </c>
      <c r="K101" s="12">
        <f>K83-K100</f>
        <v>899.15702426075381</v>
      </c>
      <c r="L101" s="12">
        <f t="shared" si="1"/>
        <v>899.15702426075381</v>
      </c>
      <c r="N101" s="3"/>
      <c r="O101" s="71"/>
      <c r="P101" s="15"/>
      <c r="Q101" s="15"/>
      <c r="R101" s="3"/>
      <c r="T101" s="50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  <c r="AK101" s="49"/>
    </row>
    <row r="102" spans="1:37" x14ac:dyDescent="0.25">
      <c r="H102" s="5" t="s">
        <v>98</v>
      </c>
      <c r="I102" s="5" t="s">
        <v>41</v>
      </c>
      <c r="J102" s="12">
        <f>MIN(J97,EtaQNomOvn2*J101*Hfrak1/3.6,24*$E$13*KapQcool-J99)</f>
        <v>0</v>
      </c>
      <c r="K102" s="12">
        <f>MIN(K97,EtaQNomOvn2*K101*Hfrak1/3.6,24*$E$13*KapQcool-K99)</f>
        <v>2150.184164015549</v>
      </c>
      <c r="L102" s="12">
        <f t="shared" si="1"/>
        <v>2150.184164015549</v>
      </c>
      <c r="N102" s="14"/>
      <c r="O102" s="72"/>
      <c r="P102" s="17"/>
      <c r="Q102" s="17"/>
      <c r="R102" s="18"/>
      <c r="T102" s="50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</row>
    <row r="103" spans="1:37" x14ac:dyDescent="0.25">
      <c r="H103" s="5" t="s">
        <v>101</v>
      </c>
      <c r="I103" s="5" t="s">
        <v>16</v>
      </c>
      <c r="J103" s="12">
        <f>J102/EtaQNomOvn2/(Hfrak1/3.6)</f>
        <v>0</v>
      </c>
      <c r="K103" s="12">
        <f>K102/EtaQNomOvn2/(Hfrak1/3.6)</f>
        <v>899.15702426075381</v>
      </c>
      <c r="L103" s="12">
        <f t="shared" si="1"/>
        <v>899.15702426075381</v>
      </c>
      <c r="N103" s="14"/>
      <c r="O103" s="72"/>
      <c r="P103" s="17"/>
      <c r="Q103" s="17"/>
      <c r="R103" s="18"/>
      <c r="T103" s="50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</row>
    <row r="104" spans="1:37" x14ac:dyDescent="0.25">
      <c r="H104" s="5" t="s">
        <v>361</v>
      </c>
      <c r="I104" s="5" t="s">
        <v>16</v>
      </c>
      <c r="J104" s="12">
        <f>J101-J103</f>
        <v>0</v>
      </c>
      <c r="K104" s="12">
        <f>K101-K103</f>
        <v>0</v>
      </c>
      <c r="L104" s="12">
        <f t="shared" si="1"/>
        <v>0</v>
      </c>
      <c r="N104" s="14"/>
      <c r="O104" s="72"/>
      <c r="P104" s="17"/>
      <c r="Q104" s="17"/>
      <c r="R104" s="18"/>
      <c r="T104" s="50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  <c r="AK104" s="49"/>
    </row>
    <row r="105" spans="1:37" x14ac:dyDescent="0.25">
      <c r="H105" s="5" t="s">
        <v>44</v>
      </c>
      <c r="I105" s="5" t="s">
        <v>41</v>
      </c>
      <c r="J105" s="12">
        <f>J99+J102</f>
        <v>0</v>
      </c>
      <c r="K105" s="12">
        <f>K99+K102</f>
        <v>2150.184164015549</v>
      </c>
      <c r="L105" s="12">
        <f t="shared" si="1"/>
        <v>2150.184164015549</v>
      </c>
      <c r="N105" s="14"/>
      <c r="O105" s="72"/>
      <c r="P105" s="17"/>
      <c r="Q105" s="17"/>
      <c r="R105" s="18"/>
      <c r="T105" s="50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  <c r="AJ105" s="49"/>
      <c r="AK105" s="49"/>
    </row>
    <row r="106" spans="1:37" x14ac:dyDescent="0.25">
      <c r="H106" s="5" t="s">
        <v>382</v>
      </c>
      <c r="I106" s="5" t="s">
        <v>16</v>
      </c>
      <c r="J106" s="12">
        <f>Ffrak1-J109</f>
        <v>11000</v>
      </c>
      <c r="K106" s="12">
        <f>Ffrak1-K109</f>
        <v>10100.842975739246</v>
      </c>
      <c r="L106" s="12">
        <f t="shared" si="1"/>
        <v>-899.15702426075404</v>
      </c>
      <c r="O106" s="72"/>
      <c r="P106" s="18"/>
      <c r="Q106" s="18"/>
      <c r="R106" s="18"/>
      <c r="T106" s="50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  <c r="AI106" s="49"/>
      <c r="AJ106" s="49"/>
      <c r="AK106" s="49"/>
    </row>
    <row r="107" spans="1:37" x14ac:dyDescent="0.25">
      <c r="H107" s="5" t="s">
        <v>383</v>
      </c>
      <c r="I107" s="5" t="s">
        <v>16</v>
      </c>
      <c r="J107" s="12">
        <f>Ffrak2-J110</f>
        <v>1936.5853658536573</v>
      </c>
      <c r="K107" s="12">
        <f>Ffrak2-K110</f>
        <v>1063.1185422860676</v>
      </c>
      <c r="L107" s="12">
        <f t="shared" si="1"/>
        <v>-873.4668235675897</v>
      </c>
      <c r="N107" s="14"/>
      <c r="O107" s="72"/>
      <c r="P107" s="18"/>
      <c r="Q107" s="18"/>
      <c r="R107" s="18"/>
      <c r="T107" s="50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  <c r="AK107" s="49"/>
    </row>
    <row r="108" spans="1:37" x14ac:dyDescent="0.25">
      <c r="H108" s="5" t="s">
        <v>384</v>
      </c>
      <c r="I108" s="5" t="s">
        <v>16</v>
      </c>
      <c r="J108" s="12">
        <f>Ffrak3-J111</f>
        <v>0</v>
      </c>
      <c r="K108" s="12">
        <f>Ffrak3-K111</f>
        <v>0</v>
      </c>
      <c r="L108" s="12">
        <f t="shared" si="1"/>
        <v>0</v>
      </c>
      <c r="N108" s="14"/>
      <c r="O108" s="72"/>
      <c r="P108" s="17"/>
      <c r="Q108" s="17"/>
      <c r="R108" s="18"/>
      <c r="T108" s="50"/>
      <c r="U108" s="49"/>
      <c r="V108" s="49"/>
      <c r="W108" s="49"/>
      <c r="X108" s="49"/>
      <c r="Y108" s="49"/>
      <c r="Z108" s="49"/>
      <c r="AA108" s="49"/>
      <c r="AB108" s="49"/>
      <c r="AC108" s="49"/>
      <c r="AD108" s="49"/>
      <c r="AE108" s="49"/>
      <c r="AF108" s="49"/>
      <c r="AG108" s="49"/>
      <c r="AH108" s="49"/>
      <c r="AI108" s="49"/>
      <c r="AJ108" s="49"/>
      <c r="AK108" s="49"/>
    </row>
    <row r="109" spans="1:37" x14ac:dyDescent="0.25">
      <c r="H109" s="5" t="s">
        <v>385</v>
      </c>
      <c r="I109" s="5" t="s">
        <v>16</v>
      </c>
      <c r="J109" s="12">
        <f>J101</f>
        <v>0</v>
      </c>
      <c r="K109" s="12">
        <f>K101</f>
        <v>899.15702426075381</v>
      </c>
      <c r="L109" s="12">
        <f t="shared" si="1"/>
        <v>899.15702426075381</v>
      </c>
      <c r="N109" s="14"/>
      <c r="O109" s="72"/>
      <c r="P109" s="17"/>
      <c r="Q109" s="17"/>
      <c r="R109" s="18"/>
      <c r="T109" s="50"/>
      <c r="U109" s="49"/>
      <c r="V109" s="49"/>
      <c r="W109" s="49"/>
      <c r="X109" s="49"/>
      <c r="Y109" s="49"/>
      <c r="Z109" s="49"/>
      <c r="AA109" s="49"/>
      <c r="AB109" s="49"/>
      <c r="AC109" s="49"/>
      <c r="AD109" s="49"/>
      <c r="AE109" s="49"/>
      <c r="AF109" s="49"/>
      <c r="AG109" s="49"/>
      <c r="AH109" s="49"/>
      <c r="AI109" s="49"/>
      <c r="AJ109" s="49"/>
      <c r="AK109" s="49"/>
    </row>
    <row r="110" spans="1:37" x14ac:dyDescent="0.25">
      <c r="H110" s="5" t="s">
        <v>386</v>
      </c>
      <c r="I110" s="5" t="s">
        <v>16</v>
      </c>
      <c r="J110" s="12">
        <f>J88</f>
        <v>1063.4146341463427</v>
      </c>
      <c r="K110" s="12">
        <f>K88</f>
        <v>1936.8814577139324</v>
      </c>
      <c r="L110" s="12">
        <f t="shared" si="1"/>
        <v>873.4668235675897</v>
      </c>
      <c r="N110" s="14"/>
      <c r="O110" s="72"/>
      <c r="P110" s="18"/>
      <c r="Q110" s="18"/>
      <c r="R110" s="18"/>
      <c r="T110" s="50"/>
      <c r="U110" s="49"/>
      <c r="V110" s="49"/>
      <c r="W110" s="49"/>
      <c r="X110" s="49"/>
      <c r="Y110" s="49"/>
      <c r="Z110" s="49"/>
      <c r="AA110" s="49"/>
      <c r="AB110" s="49"/>
      <c r="AC110" s="49"/>
      <c r="AD110" s="49"/>
      <c r="AE110" s="49"/>
      <c r="AF110" s="49"/>
      <c r="AG110" s="49"/>
      <c r="AH110" s="49"/>
      <c r="AI110" s="49"/>
      <c r="AJ110" s="49"/>
      <c r="AK110" s="49"/>
    </row>
    <row r="111" spans="1:37" x14ac:dyDescent="0.25">
      <c r="H111" s="5" t="s">
        <v>387</v>
      </c>
      <c r="I111" s="5" t="s">
        <v>16</v>
      </c>
      <c r="J111" s="12">
        <f>J93</f>
        <v>1000</v>
      </c>
      <c r="K111" s="12">
        <f>K93</f>
        <v>1000</v>
      </c>
      <c r="L111" s="12">
        <f t="shared" si="1"/>
        <v>0</v>
      </c>
      <c r="N111" s="14"/>
      <c r="O111" s="72"/>
      <c r="P111" s="18"/>
      <c r="Q111" s="18"/>
      <c r="R111" s="18"/>
      <c r="T111" s="50"/>
      <c r="U111" s="49"/>
      <c r="V111" s="49"/>
      <c r="W111" s="49"/>
      <c r="X111" s="49"/>
      <c r="Y111" s="49"/>
      <c r="Z111" s="49"/>
      <c r="AA111" s="49"/>
      <c r="AB111" s="49"/>
      <c r="AC111" s="49"/>
      <c r="AD111" s="49"/>
      <c r="AE111" s="49"/>
      <c r="AF111" s="49"/>
      <c r="AG111" s="49"/>
      <c r="AH111" s="49"/>
      <c r="AI111" s="49"/>
      <c r="AJ111" s="49"/>
      <c r="AK111" s="49"/>
    </row>
    <row r="112" spans="1:37" x14ac:dyDescent="0.25">
      <c r="H112" s="5" t="s">
        <v>388</v>
      </c>
      <c r="I112" s="5" t="s">
        <v>16</v>
      </c>
      <c r="J112" s="12">
        <f>J106</f>
        <v>11000</v>
      </c>
      <c r="K112" s="12">
        <f>K106</f>
        <v>10100.842975739246</v>
      </c>
      <c r="L112" s="12">
        <f t="shared" si="1"/>
        <v>-899.15702426075404</v>
      </c>
      <c r="N112" s="14"/>
      <c r="O112" s="72"/>
      <c r="P112" s="18"/>
      <c r="Q112" s="18"/>
      <c r="R112" s="18"/>
      <c r="T112" s="50"/>
      <c r="U112" s="49"/>
      <c r="V112" s="49"/>
      <c r="W112" s="49"/>
      <c r="X112" s="49"/>
      <c r="Y112" s="49"/>
      <c r="Z112" s="49"/>
      <c r="AA112" s="49"/>
      <c r="AB112" s="49"/>
      <c r="AC112" s="49"/>
      <c r="AD112" s="49"/>
      <c r="AE112" s="49"/>
      <c r="AF112" s="49"/>
      <c r="AG112" s="49"/>
      <c r="AH112" s="49"/>
      <c r="AI112" s="49"/>
      <c r="AJ112" s="49"/>
      <c r="AK112" s="49"/>
    </row>
    <row r="113" spans="8:37" x14ac:dyDescent="0.25">
      <c r="H113" s="5" t="s">
        <v>389</v>
      </c>
      <c r="I113" s="5" t="s">
        <v>16</v>
      </c>
      <c r="J113" s="12">
        <f>IF(bFossilFriOverBiogen,J107,J108)</f>
        <v>1936.5853658536573</v>
      </c>
      <c r="K113" s="12">
        <f>IF(bFossilFriOverBiogen,K107,K108)</f>
        <v>1063.1185422860676</v>
      </c>
      <c r="L113" s="12">
        <f t="shared" si="1"/>
        <v>-873.4668235675897</v>
      </c>
      <c r="O113" s="72"/>
      <c r="P113" s="18"/>
      <c r="Q113" s="18"/>
      <c r="R113" s="18"/>
      <c r="T113" s="50"/>
      <c r="U113" s="49"/>
      <c r="V113" s="49"/>
      <c r="W113" s="49"/>
      <c r="X113" s="49"/>
      <c r="Y113" s="49"/>
      <c r="Z113" s="49"/>
      <c r="AA113" s="49"/>
      <c r="AB113" s="49"/>
      <c r="AC113" s="49"/>
      <c r="AD113" s="49"/>
      <c r="AE113" s="49"/>
      <c r="AF113" s="49"/>
      <c r="AG113" s="49"/>
      <c r="AH113" s="49"/>
      <c r="AI113" s="49"/>
      <c r="AJ113" s="49"/>
      <c r="AK113" s="49"/>
    </row>
    <row r="114" spans="8:37" x14ac:dyDescent="0.25">
      <c r="H114" s="5" t="s">
        <v>390</v>
      </c>
      <c r="I114" s="5" t="s">
        <v>16</v>
      </c>
      <c r="J114" s="12">
        <f>IF(bFossilFriOverBiogen,J108,J107)</f>
        <v>0</v>
      </c>
      <c r="K114" s="12">
        <f>IF(bFossilFriOverBiogen,K108,K107)</f>
        <v>0</v>
      </c>
      <c r="L114" s="12">
        <f t="shared" si="1"/>
        <v>0</v>
      </c>
      <c r="N114" s="14"/>
      <c r="O114" s="72"/>
      <c r="P114" s="18"/>
      <c r="Q114" s="18"/>
      <c r="R114" s="18"/>
      <c r="T114" s="50"/>
      <c r="U114" s="49"/>
      <c r="V114" s="49"/>
      <c r="W114" s="49"/>
      <c r="X114" s="49"/>
      <c r="Y114" s="49"/>
      <c r="Z114" s="49"/>
      <c r="AA114" s="49"/>
      <c r="AB114" s="49"/>
      <c r="AC114" s="49"/>
      <c r="AD114" s="49"/>
      <c r="AE114" s="49"/>
      <c r="AF114" s="49"/>
      <c r="AG114" s="49"/>
      <c r="AH114" s="49"/>
      <c r="AI114" s="49"/>
      <c r="AJ114" s="49"/>
      <c r="AK114" s="49"/>
    </row>
    <row r="115" spans="8:37" x14ac:dyDescent="0.25">
      <c r="H115" s="5" t="s">
        <v>391</v>
      </c>
      <c r="I115" s="5" t="s">
        <v>16</v>
      </c>
      <c r="J115" s="12">
        <f>J109</f>
        <v>0</v>
      </c>
      <c r="K115" s="12">
        <f>K109</f>
        <v>899.15702426075381</v>
      </c>
      <c r="L115" s="12">
        <f t="shared" si="1"/>
        <v>899.15702426075381</v>
      </c>
      <c r="N115" s="14"/>
      <c r="O115" s="72"/>
      <c r="P115" s="18"/>
      <c r="Q115" s="18"/>
      <c r="R115" s="18"/>
      <c r="T115" s="50"/>
      <c r="U115" s="49"/>
      <c r="V115" s="49"/>
      <c r="W115" s="49"/>
      <c r="X115" s="49"/>
      <c r="Y115" s="49"/>
      <c r="Z115" s="49"/>
      <c r="AA115" s="49"/>
      <c r="AB115" s="49"/>
      <c r="AC115" s="49"/>
      <c r="AD115" s="49"/>
      <c r="AE115" s="49"/>
      <c r="AF115" s="49"/>
      <c r="AG115" s="49"/>
      <c r="AH115" s="49"/>
      <c r="AI115" s="49"/>
      <c r="AJ115" s="49"/>
      <c r="AK115" s="49"/>
    </row>
    <row r="116" spans="8:37" x14ac:dyDescent="0.25">
      <c r="H116" s="5" t="s">
        <v>392</v>
      </c>
      <c r="I116" s="5" t="s">
        <v>16</v>
      </c>
      <c r="J116" s="12">
        <f>IF(bFossilFriOverBiogen,J110,J111)</f>
        <v>1063.4146341463427</v>
      </c>
      <c r="K116" s="12">
        <f>IF(bFossilFriOverBiogen,K110,K111)</f>
        <v>1936.8814577139324</v>
      </c>
      <c r="L116" s="12">
        <f t="shared" si="1"/>
        <v>873.4668235675897</v>
      </c>
      <c r="N116" s="14"/>
      <c r="O116" s="72"/>
      <c r="P116" s="18"/>
      <c r="Q116" s="18"/>
      <c r="R116" s="18"/>
      <c r="T116" s="50"/>
      <c r="U116" s="49"/>
      <c r="V116" s="49"/>
      <c r="W116" s="49"/>
      <c r="X116" s="49"/>
      <c r="Y116" s="49"/>
      <c r="Z116" s="49"/>
      <c r="AA116" s="49"/>
      <c r="AB116" s="49"/>
      <c r="AC116" s="49"/>
      <c r="AD116" s="49"/>
      <c r="AE116" s="49"/>
      <c r="AF116" s="49"/>
      <c r="AG116" s="49"/>
      <c r="AH116" s="49"/>
      <c r="AI116" s="49"/>
      <c r="AJ116" s="49"/>
      <c r="AK116" s="49"/>
    </row>
    <row r="117" spans="8:37" x14ac:dyDescent="0.25">
      <c r="H117" s="5" t="s">
        <v>393</v>
      </c>
      <c r="I117" s="5" t="s">
        <v>16</v>
      </c>
      <c r="J117" s="12">
        <f>IF(bFossilFriOverBiogen,J111,J110)</f>
        <v>1000</v>
      </c>
      <c r="K117" s="12">
        <f>IF(bFossilFriOverBiogen,K111,K110)</f>
        <v>1000</v>
      </c>
      <c r="L117" s="12">
        <f t="shared" si="1"/>
        <v>0</v>
      </c>
      <c r="T117" s="50"/>
      <c r="U117" s="49"/>
      <c r="V117" s="49"/>
      <c r="W117" s="49"/>
      <c r="X117" s="49"/>
      <c r="Y117" s="49"/>
      <c r="Z117" s="49"/>
      <c r="AA117" s="49"/>
      <c r="AB117" s="49"/>
      <c r="AC117" s="49"/>
      <c r="AD117" s="49"/>
      <c r="AE117" s="49"/>
      <c r="AF117" s="49"/>
      <c r="AG117" s="49"/>
      <c r="AH117" s="49"/>
      <c r="AI117" s="49"/>
      <c r="AJ117" s="49"/>
      <c r="AK117" s="49"/>
    </row>
    <row r="118" spans="8:37" x14ac:dyDescent="0.25">
      <c r="H118" t="s">
        <v>45</v>
      </c>
      <c r="I118" s="5" t="s">
        <v>48</v>
      </c>
      <c r="J118" s="12">
        <f>EtaE*(J64*Hfrak1+J69*Hfrak2+J74*Hfrak3)/3.6</f>
        <v>5733.9603658536589</v>
      </c>
      <c r="K118" s="12">
        <f>EtaE*(K64*Hfrak1+K69*Hfrak2+K74*Hfrak3)/3.6</f>
        <v>5733.9603658536589</v>
      </c>
      <c r="L118" s="12">
        <f t="shared" si="1"/>
        <v>0</v>
      </c>
      <c r="T118" s="50"/>
      <c r="U118" s="49"/>
      <c r="V118" s="49"/>
      <c r="W118" s="49"/>
      <c r="X118" s="49"/>
      <c r="Y118" s="49"/>
      <c r="Z118" s="49"/>
      <c r="AA118" s="49"/>
      <c r="AB118" s="49"/>
      <c r="AC118" s="49"/>
      <c r="AD118" s="49"/>
      <c r="AE118" s="49"/>
      <c r="AF118" s="49"/>
      <c r="AG118" s="49"/>
      <c r="AH118" s="49"/>
      <c r="AI118" s="49"/>
      <c r="AJ118" s="49"/>
      <c r="AK118" s="49"/>
    </row>
    <row r="119" spans="8:37" x14ac:dyDescent="0.25">
      <c r="H119" t="s">
        <v>6</v>
      </c>
      <c r="I119" s="5" t="s">
        <v>48</v>
      </c>
      <c r="J119" s="12">
        <f>$D$13*$D$17</f>
        <v>775</v>
      </c>
      <c r="K119" s="12">
        <f>$D$13*$D$17</f>
        <v>775</v>
      </c>
      <c r="L119" s="12">
        <f t="shared" si="1"/>
        <v>0</v>
      </c>
      <c r="T119" s="50"/>
      <c r="U119" s="49"/>
      <c r="V119" s="49"/>
      <c r="W119" s="49"/>
      <c r="X119" s="49"/>
      <c r="Y119" s="49"/>
      <c r="Z119" s="49"/>
      <c r="AA119" s="49"/>
      <c r="AB119" s="49"/>
      <c r="AC119" s="49"/>
      <c r="AD119" s="49"/>
      <c r="AE119" s="49"/>
      <c r="AF119" s="49"/>
      <c r="AG119" s="49"/>
      <c r="AH119" s="49"/>
      <c r="AI119" s="49"/>
      <c r="AJ119" s="49"/>
      <c r="AK119" s="49"/>
    </row>
    <row r="120" spans="8:37" x14ac:dyDescent="0.25">
      <c r="H120" t="s">
        <v>46</v>
      </c>
      <c r="I120" s="5" t="s">
        <v>48</v>
      </c>
      <c r="J120" s="12">
        <f>J118-J119</f>
        <v>4958.9603658536589</v>
      </c>
      <c r="K120" s="12">
        <f>K118-K119</f>
        <v>4958.9603658536589</v>
      </c>
      <c r="L120" s="12">
        <f t="shared" si="1"/>
        <v>0</v>
      </c>
      <c r="T120" s="50"/>
      <c r="U120" s="49"/>
      <c r="V120" s="49"/>
      <c r="W120" s="49"/>
      <c r="X120" s="49"/>
      <c r="Y120" s="49"/>
      <c r="Z120" s="49"/>
      <c r="AA120" s="49"/>
      <c r="AB120" s="49"/>
      <c r="AC120" s="49"/>
      <c r="AD120" s="49"/>
      <c r="AE120" s="49"/>
      <c r="AF120" s="49"/>
      <c r="AG120" s="49"/>
      <c r="AH120" s="49"/>
      <c r="AI120" s="49"/>
      <c r="AJ120" s="49"/>
      <c r="AK120" s="49"/>
    </row>
    <row r="121" spans="8:37" x14ac:dyDescent="0.25">
      <c r="H121" t="s">
        <v>112</v>
      </c>
      <c r="I121" s="5" t="s">
        <v>41</v>
      </c>
      <c r="J121" s="12">
        <f>J80+J85+J90+JJ102</f>
        <v>7068</v>
      </c>
      <c r="K121" s="12">
        <f>K80+K85+K90+JK102</f>
        <v>3168</v>
      </c>
      <c r="L121" s="12">
        <f t="shared" si="1"/>
        <v>-3900</v>
      </c>
    </row>
    <row r="122" spans="8:37" x14ac:dyDescent="0.25">
      <c r="H122" t="s">
        <v>113</v>
      </c>
      <c r="I122" s="5" t="s">
        <v>41</v>
      </c>
      <c r="J122" s="12">
        <f>J63+J68+J73+J99</f>
        <v>16740</v>
      </c>
      <c r="K122" s="12">
        <f>K63+K68+K73+K99</f>
        <v>20832</v>
      </c>
      <c r="L122" s="12">
        <f t="shared" si="1"/>
        <v>4092</v>
      </c>
    </row>
    <row r="123" spans="8:37" x14ac:dyDescent="0.25">
      <c r="H123" t="s">
        <v>108</v>
      </c>
      <c r="I123" s="5" t="s">
        <v>41</v>
      </c>
      <c r="J123" s="12">
        <f>SUM(J121:J122)</f>
        <v>23808</v>
      </c>
      <c r="K123" s="12">
        <f>SUM(K121:K122)</f>
        <v>24000</v>
      </c>
      <c r="L123" s="12">
        <f t="shared" si="1"/>
        <v>192</v>
      </c>
    </row>
    <row r="124" spans="8:37" x14ac:dyDescent="0.25">
      <c r="H124" s="5" t="s">
        <v>114</v>
      </c>
      <c r="I124" s="5" t="s">
        <v>41</v>
      </c>
      <c r="J124" s="12">
        <v>0</v>
      </c>
      <c r="K124" s="12">
        <f>(EtaRgkOvn2*(K81*Hfrak1+K86*Hfrak2+K91*Hfrak3)+EtaRgkOvn3*((K64*Hfrak1+K69*Hfrak2+K74*Hfrak3)))/3.6</f>
        <v>5193.913043478261</v>
      </c>
      <c r="L124" s="12">
        <f t="shared" si="1"/>
        <v>5193.913043478261</v>
      </c>
    </row>
    <row r="125" spans="8:37" x14ac:dyDescent="0.25">
      <c r="H125" s="5" t="s">
        <v>127</v>
      </c>
      <c r="J125" s="12">
        <v>0</v>
      </c>
      <c r="K125" s="2">
        <f>K124/K126</f>
        <v>0.17467949037299876</v>
      </c>
      <c r="L125" s="12">
        <f t="shared" si="1"/>
        <v>0.17467949037299876</v>
      </c>
    </row>
    <row r="126" spans="8:37" x14ac:dyDescent="0.25">
      <c r="H126" t="s">
        <v>106</v>
      </c>
      <c r="I126" s="5" t="s">
        <v>107</v>
      </c>
      <c r="J126" s="12">
        <f>J123+J118</f>
        <v>29541.960365853658</v>
      </c>
      <c r="K126" s="12">
        <f>K123+K118</f>
        <v>29733.960365853658</v>
      </c>
      <c r="L126" s="12">
        <f t="shared" si="1"/>
        <v>192</v>
      </c>
    </row>
    <row r="127" spans="8:37" x14ac:dyDescent="0.25">
      <c r="H127" t="s">
        <v>314</v>
      </c>
      <c r="I127" s="5" t="s">
        <v>41</v>
      </c>
      <c r="J127" s="12">
        <f>J123-J105</f>
        <v>23808</v>
      </c>
      <c r="K127" s="12">
        <f>K123-K105</f>
        <v>21849.815835984453</v>
      </c>
      <c r="L127" s="12">
        <f t="shared" si="1"/>
        <v>-1958.1841640155471</v>
      </c>
    </row>
    <row r="128" spans="8:37" x14ac:dyDescent="0.25">
      <c r="H128" t="s">
        <v>133</v>
      </c>
      <c r="I128" s="5" t="s">
        <v>41</v>
      </c>
      <c r="J128" s="12">
        <f>Qdemand-J127-J78</f>
        <v>192</v>
      </c>
      <c r="K128" s="12">
        <f>Qdemand-K127-K78</f>
        <v>2150.1841640155471</v>
      </c>
      <c r="L128" s="12">
        <f t="shared" si="1"/>
        <v>1958.1841640155471</v>
      </c>
    </row>
    <row r="129" spans="6:12" x14ac:dyDescent="0.25">
      <c r="H129" s="3" t="s">
        <v>121</v>
      </c>
      <c r="L129" s="12"/>
    </row>
    <row r="130" spans="6:12" x14ac:dyDescent="0.25">
      <c r="H130" t="s">
        <v>123</v>
      </c>
      <c r="I130" s="5" t="s">
        <v>52</v>
      </c>
      <c r="J130" s="12">
        <f>(J112*HfossilFast+J113*HfossilFri)/3.6</f>
        <v>36815.040650406496</v>
      </c>
      <c r="K130" s="12">
        <f>(K112*HfossilFast+K113*HfossilFri)/3.6</f>
        <v>31719.81751292889</v>
      </c>
      <c r="L130" s="12">
        <f t="shared" si="1"/>
        <v>-5095.2231374776056</v>
      </c>
    </row>
    <row r="131" spans="6:12" x14ac:dyDescent="0.25">
      <c r="F131" s="168" t="s">
        <v>368</v>
      </c>
      <c r="H131" t="s">
        <v>124</v>
      </c>
      <c r="I131" s="5" t="s">
        <v>52</v>
      </c>
      <c r="J131" s="12">
        <f>J$114*HBiogenFri/3.6</f>
        <v>0</v>
      </c>
      <c r="K131" s="12">
        <f>K$114*HBiogenFri/3.6</f>
        <v>0</v>
      </c>
      <c r="L131" s="12">
        <f t="shared" si="1"/>
        <v>0</v>
      </c>
    </row>
    <row r="132" spans="6:12" x14ac:dyDescent="0.25">
      <c r="H132" t="s">
        <v>122</v>
      </c>
      <c r="I132" s="5" t="s">
        <v>107</v>
      </c>
      <c r="J132" s="12">
        <f>J126/0.85 - J131</f>
        <v>34755.247489239599</v>
      </c>
      <c r="K132" s="12">
        <f>IF(RGKudnyttelse&gt;0,K126/0.95 - K131,J132)</f>
        <v>31298.905648267009</v>
      </c>
      <c r="L132" s="12">
        <f t="shared" si="1"/>
        <v>-3456.3418409725891</v>
      </c>
    </row>
    <row r="133" spans="6:12" x14ac:dyDescent="0.25">
      <c r="H133" t="s">
        <v>128</v>
      </c>
      <c r="I133" s="5" t="s">
        <v>41</v>
      </c>
      <c r="J133" s="12">
        <f>J123*J132/(J132+J131)</f>
        <v>23808</v>
      </c>
      <c r="K133" s="12">
        <f>K123*K132/(K132+K131)</f>
        <v>24000</v>
      </c>
      <c r="L133" s="12">
        <f t="shared" si="1"/>
        <v>192</v>
      </c>
    </row>
    <row r="134" spans="6:12" x14ac:dyDescent="0.25">
      <c r="H134" t="s">
        <v>125</v>
      </c>
      <c r="I134" s="5" t="s">
        <v>48</v>
      </c>
      <c r="J134" s="12">
        <f>J118*J132/(J132+J131)</f>
        <v>5733.9603658536589</v>
      </c>
      <c r="K134" s="12">
        <f>K118*K132/(K132+K131)</f>
        <v>5733.9603658536589</v>
      </c>
      <c r="L134" s="12">
        <f t="shared" si="1"/>
        <v>0</v>
      </c>
    </row>
    <row r="135" spans="6:12" x14ac:dyDescent="0.25">
      <c r="H135" t="s">
        <v>126</v>
      </c>
      <c r="I135" s="5" t="s">
        <v>41</v>
      </c>
      <c r="J135" s="12">
        <f>J133/1.2</f>
        <v>19840</v>
      </c>
      <c r="K135" s="12">
        <f>IF(RGKudnyttelse&gt;0,(K133-0.1*(K133+K134))/1.2,J135)</f>
        <v>17522.169969512193</v>
      </c>
      <c r="L135" s="12">
        <f t="shared" si="1"/>
        <v>-2317.8300304878067</v>
      </c>
    </row>
    <row r="136" spans="6:12" x14ac:dyDescent="0.25">
      <c r="H136" t="s">
        <v>129</v>
      </c>
      <c r="I136" s="5" t="s">
        <v>41</v>
      </c>
      <c r="J136" s="12">
        <f>J135</f>
        <v>19840</v>
      </c>
      <c r="K136" s="12">
        <f>K135</f>
        <v>17522.169969512193</v>
      </c>
      <c r="L136" s="12">
        <f t="shared" si="1"/>
        <v>-2317.8300304878067</v>
      </c>
    </row>
    <row r="138" spans="6:12" x14ac:dyDescent="0.25">
      <c r="H138" s="3" t="s">
        <v>102</v>
      </c>
      <c r="I138" s="8"/>
      <c r="J138" s="15" t="str">
        <f>J62</f>
        <v>Uden RGK</v>
      </c>
      <c r="K138" s="15" t="str">
        <f>K62</f>
        <v>Med 100% RGK</v>
      </c>
      <c r="L138" s="3" t="s">
        <v>139</v>
      </c>
    </row>
    <row r="139" spans="6:12" x14ac:dyDescent="0.25">
      <c r="H139" s="14" t="s">
        <v>22</v>
      </c>
      <c r="I139" s="14" t="s">
        <v>138</v>
      </c>
      <c r="J139" s="17">
        <f>Varmesalgspris*J127</f>
        <v>7404288</v>
      </c>
      <c r="K139" s="17">
        <f>Varmesalgspris*K127</f>
        <v>6795292.7249911651</v>
      </c>
      <c r="L139" s="18">
        <f>K139-J139</f>
        <v>-608995.2750088349</v>
      </c>
    </row>
    <row r="140" spans="6:12" x14ac:dyDescent="0.25">
      <c r="H140" s="14" t="s">
        <v>104</v>
      </c>
      <c r="I140" s="14" t="s">
        <v>138</v>
      </c>
      <c r="J140" s="17">
        <f>(Elpris-ElprodTarif)*J120</f>
        <v>3947332.4512195126</v>
      </c>
      <c r="K140" s="17">
        <f>(Elpris-ElprodTarif)*K120</f>
        <v>3947332.4512195126</v>
      </c>
      <c r="L140" s="18">
        <f t="shared" ref="L140:L153" si="10">K140-J140</f>
        <v>0</v>
      </c>
    </row>
    <row r="141" spans="6:12" x14ac:dyDescent="0.25">
      <c r="H141" s="14" t="s">
        <v>105</v>
      </c>
      <c r="I141" s="14" t="s">
        <v>138</v>
      </c>
      <c r="J141" s="17">
        <v>0</v>
      </c>
      <c r="K141" s="17">
        <f>IF(K124&lt;7%*K126,0,10%)*K147</f>
        <v>200593.80181097562</v>
      </c>
      <c r="L141" s="18">
        <f t="shared" si="10"/>
        <v>200593.80181097562</v>
      </c>
    </row>
    <row r="142" spans="6:12" x14ac:dyDescent="0.25">
      <c r="H142" s="14" t="s">
        <v>103</v>
      </c>
      <c r="I142" s="14" t="s">
        <v>138</v>
      </c>
      <c r="J142" s="17">
        <f>PrisFossilFast*J112+PrisFossilFri*J113</f>
        <v>6549634.1463414626</v>
      </c>
      <c r="K142" s="17">
        <f>PrisFossilFast*K112+PrisFossilFri*K113</f>
        <v>5728189.9791775309</v>
      </c>
      <c r="L142" s="18">
        <f t="shared" si="10"/>
        <v>-821444.16716393176</v>
      </c>
    </row>
    <row r="143" spans="6:12" x14ac:dyDescent="0.25">
      <c r="I143" s="14"/>
      <c r="J143" s="18"/>
      <c r="K143" s="18"/>
      <c r="L143" s="18"/>
    </row>
    <row r="144" spans="6:12" x14ac:dyDescent="0.25">
      <c r="H144" s="14" t="s">
        <v>110</v>
      </c>
      <c r="I144" s="14" t="s">
        <v>138</v>
      </c>
      <c r="J144" s="18">
        <f>PrisBiogent*J114</f>
        <v>0</v>
      </c>
      <c r="K144" s="18">
        <f>PrisBiogent*K114</f>
        <v>0</v>
      </c>
      <c r="L144" s="18">
        <f t="shared" si="10"/>
        <v>0</v>
      </c>
    </row>
    <row r="145" spans="5:12" x14ac:dyDescent="0.25">
      <c r="H145" s="14" t="s">
        <v>111</v>
      </c>
      <c r="I145" s="14" t="s">
        <v>138</v>
      </c>
      <c r="J145" s="17">
        <f>$C$22*J121+$D$22*J122+$E$22*J105</f>
        <v>1049040</v>
      </c>
      <c r="K145" s="17">
        <f>J145+$F$22*$K$124</f>
        <v>1100979.1304347827</v>
      </c>
      <c r="L145" s="18">
        <f t="shared" si="10"/>
        <v>51939.13043478271</v>
      </c>
    </row>
    <row r="146" spans="5:12" x14ac:dyDescent="0.25">
      <c r="H146" s="14" t="s">
        <v>31</v>
      </c>
      <c r="I146" s="14" t="s">
        <v>138</v>
      </c>
      <c r="J146" s="17">
        <f>AFV*3.6*J127</f>
        <v>2211287.04</v>
      </c>
      <c r="K146" s="17">
        <f>AFV*3.6*K127</f>
        <v>2029410.8948462361</v>
      </c>
      <c r="L146" s="18">
        <f t="shared" si="10"/>
        <v>-181876.14515376394</v>
      </c>
    </row>
    <row r="147" spans="5:12" x14ac:dyDescent="0.25">
      <c r="H147" s="14" t="s">
        <v>32</v>
      </c>
      <c r="I147" s="14" t="s">
        <v>138</v>
      </c>
      <c r="J147" s="18">
        <f>ATL*3.6*J135</f>
        <v>2271283.2000000002</v>
      </c>
      <c r="K147" s="18">
        <f>ATL*3.6*K135</f>
        <v>2005938.0181097561</v>
      </c>
      <c r="L147" s="18">
        <f t="shared" si="10"/>
        <v>-265345.18189024413</v>
      </c>
    </row>
    <row r="148" spans="5:12" x14ac:dyDescent="0.25">
      <c r="E148" s="168" t="s">
        <v>333</v>
      </c>
      <c r="H148" s="14" t="s">
        <v>33</v>
      </c>
      <c r="I148" s="14" t="s">
        <v>138</v>
      </c>
      <c r="J148" s="18">
        <f>CO2afgift*$C$30 /1000 *3.6*J135</f>
        <v>471719.80799999996</v>
      </c>
      <c r="K148" s="18">
        <f>CO2afgift*$C$30 /1000 *3.6*K135</f>
        <v>416610.61762911582</v>
      </c>
      <c r="L148" s="18">
        <f t="shared" si="10"/>
        <v>-55109.190370884142</v>
      </c>
    </row>
    <row r="149" spans="5:12" x14ac:dyDescent="0.25">
      <c r="H149" s="14" t="s">
        <v>115</v>
      </c>
      <c r="I149" s="14" t="s">
        <v>138</v>
      </c>
      <c r="J149" s="18">
        <f>Kvotepris*$C$31/1000*C32*J106</f>
        <v>1982199.9999999998</v>
      </c>
      <c r="K149" s="18">
        <f>Kvotepris*$C$31/1000*10.6*K106</f>
        <v>1820171.9042282121</v>
      </c>
      <c r="L149" s="18">
        <f t="shared" si="10"/>
        <v>-162028.09577178769</v>
      </c>
    </row>
    <row r="150" spans="5:12" x14ac:dyDescent="0.25">
      <c r="I150" s="14"/>
      <c r="J150" s="18"/>
      <c r="K150" s="18"/>
      <c r="L150" s="18"/>
    </row>
    <row r="151" spans="5:12" x14ac:dyDescent="0.25">
      <c r="H151" s="14" t="s">
        <v>118</v>
      </c>
      <c r="I151" s="14" t="s">
        <v>138</v>
      </c>
      <c r="J151" s="18">
        <f>SUM(J139:J142)</f>
        <v>17901254.597560976</v>
      </c>
      <c r="K151" s="18">
        <f>SUM(K139:K142)</f>
        <v>16671408.957199184</v>
      </c>
      <c r="L151" s="18">
        <f t="shared" si="10"/>
        <v>-1229845.6403617915</v>
      </c>
    </row>
    <row r="152" spans="5:12" x14ac:dyDescent="0.25">
      <c r="H152" s="14" t="s">
        <v>119</v>
      </c>
      <c r="I152" s="14" t="s">
        <v>138</v>
      </c>
      <c r="J152" s="18">
        <f>SUM(J144:J149)</f>
        <v>7985530.0480000004</v>
      </c>
      <c r="K152" s="18">
        <f>SUM(K144:K149)</f>
        <v>7373110.5652481029</v>
      </c>
      <c r="L152" s="18">
        <f t="shared" si="10"/>
        <v>-612419.48275189754</v>
      </c>
    </row>
    <row r="153" spans="5:12" x14ac:dyDescent="0.25">
      <c r="H153" s="14" t="s">
        <v>120</v>
      </c>
      <c r="I153" s="14" t="s">
        <v>138</v>
      </c>
      <c r="J153" s="18">
        <f>J151-J152</f>
        <v>9915724.5495609753</v>
      </c>
      <c r="K153" s="18">
        <f>K151-K152</f>
        <v>9298298.3919510804</v>
      </c>
      <c r="L153" s="18">
        <f t="shared" si="10"/>
        <v>-617426.15760989487</v>
      </c>
    </row>
  </sheetData>
  <scenarios current="9" show="9" sqref="Q5:Q36">
    <scenario name="RGK 10 %" locked="1" count="1" user="Mogens Bech Laursen" comment="Created by Mogens Bech Laursen on 16-03-2022">
      <inputCells r="C9" val="0,1" numFmtId="9"/>
    </scenario>
    <scenario name="RGK 20 %" locked="1" count="1" user="Mogens Bech Laursen" comment="Created by Mogens Bech Laursen on 16-03-2022">
      <inputCells r="C9" val="0,2" numFmtId="9"/>
    </scenario>
    <scenario name="RGK 30 %" locked="1" count="1" user="Mogens Bech Laursen" comment="Created by Mogens Bech Laursen on 16-03-2022">
      <inputCells r="C9" val="0,3" numFmtId="9"/>
    </scenario>
    <scenario name="RGK 40 %" locked="1" count="1" user="Mogens Bech Laursen" comment="Created by Mogens Bech Laursen on 16-03-2022">
      <inputCells r="C9" val="0,4" numFmtId="9"/>
    </scenario>
    <scenario name="RGK 50 %" locked="1" count="1" user="Mogens Bech Laursen" comment="Created by Mogens Bech Laursen on 16-03-2022">
      <inputCells r="C9" val="0,5" numFmtId="9"/>
    </scenario>
    <scenario name="RGK 60 %" locked="1" count="1" user="Mogens Bech Laursen" comment="Created by Mogens Bech Laursen on 16-03-2022">
      <inputCells r="C9" val="0,6" numFmtId="9"/>
    </scenario>
    <scenario name="RGK 70 %" locked="1" count="1" user="Mogens Bech Laursen" comment="Created by Mogens Bech Laursen on 16-03-2022">
      <inputCells r="C9" val="0,7" numFmtId="9"/>
    </scenario>
    <scenario name="RGK 80 %" locked="1" count="1" user="Mogens Bech Laursen" comment="Created by Mogens Bech Laursen on 16-03-2022">
      <inputCells r="C9" val="0,8" numFmtId="9"/>
    </scenario>
    <scenario name="RGK 90 %" locked="1" count="1" user="Mogens Bech Laursen" comment="Created by Mogens Bech Laursen on 16-03-2022">
      <inputCells r="C9" val="0,9" numFmtId="9"/>
    </scenario>
    <scenario name="RGK 100 %" locked="1" count="1" user="Mogens Bech Laursen" comment="Created by Mogens Bech Laursen on 16-03-2022">
      <inputCells r="C9" val="1" numFmtId="9"/>
    </scenario>
  </scenarios>
  <customSheetViews>
    <customSheetView guid="{D61959C2-356A-4414-A70C-587540F5DA06}" showRowCol="0" hiddenColumns="1" topLeftCell="G1">
      <selection activeCell="A2" sqref="A1:F1048576"/>
      <pageMargins left="0.7" right="0.7" top="0.75" bottom="0.75" header="0.3" footer="0.3"/>
      <pageSetup paperSize="9" orientation="portrait" r:id="rId1"/>
    </customSheetView>
    <customSheetView guid="{01B8EE19-BF49-4F3C-9D6B-CD607AE52779}" scale="85">
      <selection activeCell="F5" sqref="F5"/>
      <pageMargins left="0.7" right="0.7" top="0.75" bottom="0.75" header="0.3" footer="0.3"/>
      <pageSetup paperSize="9" orientation="portrait" r:id="rId2"/>
    </customSheetView>
  </customSheetViews>
  <mergeCells count="4">
    <mergeCell ref="A1:F1"/>
    <mergeCell ref="H1:X1"/>
    <mergeCell ref="H46:L46"/>
    <mergeCell ref="N46:R46"/>
  </mergeCells>
  <phoneticPr fontId="14" type="noConversion"/>
  <conditionalFormatting sqref="J63:K153">
    <cfRule type="cellIs" dxfId="3" priority="1" operator="lessThan">
      <formula>0</formula>
    </cfRule>
  </conditionalFormatting>
  <pageMargins left="0.7" right="0.7" top="0.75" bottom="0.75" header="0.3" footer="0.3"/>
  <pageSetup paperSize="9" orientation="portrait" r:id="rId3"/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3AD59-D9D8-46C0-9366-A4E65CDB34CC}">
  <sheetPr codeName="Sheet8"/>
  <dimension ref="A1:BA135"/>
  <sheetViews>
    <sheetView zoomScale="85" zoomScaleNormal="85" workbookViewId="0">
      <selection activeCell="J67" sqref="J67"/>
    </sheetView>
  </sheetViews>
  <sheetFormatPr defaultRowHeight="15" x14ac:dyDescent="0.25"/>
  <cols>
    <col min="1" max="1" width="30.7109375" customWidth="1"/>
    <col min="2" max="2" width="12.85546875" bestFit="1" customWidth="1"/>
    <col min="3" max="3" width="10" bestFit="1" customWidth="1"/>
    <col min="4" max="4" width="10.5703125" bestFit="1" customWidth="1"/>
    <col min="7" max="7" width="3.42578125" customWidth="1"/>
    <col min="8" max="8" width="32" customWidth="1"/>
    <col min="9" max="9" width="12.28515625" style="5" customWidth="1"/>
    <col min="10" max="10" width="10.5703125" customWidth="1"/>
    <col min="11" max="12" width="9.140625" customWidth="1"/>
    <col min="13" max="21" width="9.42578125" customWidth="1"/>
    <col min="22" max="22" width="11" style="45" customWidth="1"/>
    <col min="23" max="23" width="34.28515625" customWidth="1"/>
    <col min="24" max="24" width="11" style="5" customWidth="1"/>
    <col min="25" max="25" width="13.28515625" style="12" customWidth="1"/>
    <col min="26" max="26" width="14.42578125" style="12" customWidth="1"/>
    <col min="27" max="27" width="14.42578125" customWidth="1"/>
    <col min="28" max="28" width="2.85546875" style="45" customWidth="1"/>
    <col min="29" max="29" width="30.7109375" bestFit="1" customWidth="1"/>
    <col min="30" max="30" width="8.42578125" style="70" bestFit="1" customWidth="1"/>
    <col min="31" max="31" width="10" style="12" bestFit="1" customWidth="1"/>
    <col min="32" max="32" width="14.42578125" style="12" bestFit="1" customWidth="1"/>
    <col min="33" max="33" width="15.7109375" bestFit="1" customWidth="1"/>
    <col min="34" max="34" width="4.140625" customWidth="1"/>
    <col min="35" max="35" width="29.7109375" style="5" customWidth="1"/>
    <col min="36" max="37" width="13" customWidth="1"/>
    <col min="39" max="39" width="8.5703125" customWidth="1"/>
  </cols>
  <sheetData>
    <row r="1" spans="1:53" ht="33.75" customHeight="1" x14ac:dyDescent="0.25">
      <c r="A1" s="74"/>
      <c r="B1" s="74"/>
      <c r="C1" s="74"/>
      <c r="D1" s="74"/>
      <c r="E1" s="74"/>
      <c r="F1" s="74"/>
      <c r="H1" s="147" t="s">
        <v>242</v>
      </c>
      <c r="I1" s="148"/>
      <c r="J1" s="148"/>
      <c r="K1" s="148"/>
      <c r="L1" s="148"/>
      <c r="M1" s="148"/>
      <c r="N1" s="74"/>
      <c r="O1" s="74"/>
      <c r="P1" s="74"/>
      <c r="Q1" s="74"/>
      <c r="R1" s="74"/>
      <c r="S1" s="74"/>
      <c r="T1" s="74"/>
      <c r="U1" s="74"/>
      <c r="V1" s="49"/>
      <c r="W1" s="150" t="str">
        <f>"Resultat for "&amp;J6&amp;" ton affald, "&amp;J8&amp;" ton bioaffald, Varmebehov "&amp;TEXT(Qdemand,"#.##0")&amp;" MWh, NS-varme "&amp;TEXT(NSvarme,"#.##0")&amp;" MWh, RGK-grad "&amp;TEXT(RGKudnyttelse,"0 %")</f>
        <v>Resultat for 6000 ton affald, 0 ton bioaffald, Varmebehov 28.000 MWh, NS-varme 4.000 MWh, RGK-grad 100 %</v>
      </c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J1" s="151"/>
      <c r="AK1" s="151"/>
      <c r="AL1" s="151"/>
      <c r="AM1" s="151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</row>
    <row r="2" spans="1:53" ht="15.75" thickBot="1" x14ac:dyDescent="0.3">
      <c r="A2" s="56"/>
      <c r="B2" s="56"/>
      <c r="C2" s="56"/>
      <c r="D2" s="56"/>
      <c r="E2" s="56"/>
      <c r="F2" s="56"/>
      <c r="H2" s="119"/>
      <c r="I2" s="109"/>
      <c r="J2" s="111"/>
      <c r="K2" s="111"/>
      <c r="L2" s="111"/>
      <c r="M2" s="111"/>
      <c r="N2" s="56"/>
      <c r="O2" s="56"/>
      <c r="P2" s="56"/>
      <c r="Q2" s="56"/>
      <c r="R2" s="56"/>
      <c r="S2" s="56"/>
      <c r="T2" s="56"/>
      <c r="U2" s="56"/>
      <c r="V2" s="49"/>
      <c r="W2" s="49"/>
      <c r="X2" s="50"/>
      <c r="Y2" s="51"/>
      <c r="Z2" s="51"/>
      <c r="AA2" s="49"/>
      <c r="AB2" s="49"/>
      <c r="AC2" s="49"/>
      <c r="AD2" s="69"/>
      <c r="AE2" s="51"/>
      <c r="AF2" s="51"/>
      <c r="AG2" s="49"/>
      <c r="AH2" s="49"/>
      <c r="AI2" s="53"/>
      <c r="AJ2" s="49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49"/>
      <c r="AZ2" s="49"/>
      <c r="BA2" s="66" t="str">
        <f>"Økonomiske nøgletal "</f>
        <v xml:space="preserve">Økonomiske nøgletal </v>
      </c>
    </row>
    <row r="3" spans="1:53" x14ac:dyDescent="0.25">
      <c r="A3" s="102" t="s">
        <v>322</v>
      </c>
      <c r="B3" s="118"/>
      <c r="C3" s="118"/>
      <c r="D3" s="118"/>
      <c r="E3" s="118"/>
      <c r="F3" s="117"/>
      <c r="H3" s="102" t="s">
        <v>321</v>
      </c>
      <c r="I3" s="103" t="s">
        <v>47</v>
      </c>
      <c r="J3" s="104" t="s">
        <v>275</v>
      </c>
      <c r="K3" s="104" t="s">
        <v>276</v>
      </c>
      <c r="L3" s="104" t="s">
        <v>277</v>
      </c>
      <c r="M3" s="104" t="s">
        <v>278</v>
      </c>
      <c r="N3" s="104" t="s">
        <v>279</v>
      </c>
      <c r="O3" s="104" t="s">
        <v>280</v>
      </c>
      <c r="P3" s="104" t="s">
        <v>281</v>
      </c>
      <c r="Q3" s="104" t="s">
        <v>282</v>
      </c>
      <c r="R3" s="104" t="s">
        <v>283</v>
      </c>
      <c r="S3" s="104" t="s">
        <v>284</v>
      </c>
      <c r="T3" s="104" t="s">
        <v>285</v>
      </c>
      <c r="U3" s="113" t="s">
        <v>286</v>
      </c>
      <c r="V3" s="49"/>
      <c r="W3" s="49"/>
      <c r="X3" s="50"/>
      <c r="Y3" s="51"/>
      <c r="Z3" s="51"/>
      <c r="AA3" s="49"/>
      <c r="AB3" s="49"/>
      <c r="AC3" s="49"/>
      <c r="AD3" s="69"/>
      <c r="AE3" s="51"/>
      <c r="AF3" s="51"/>
      <c r="AG3" s="49"/>
      <c r="AH3" s="49"/>
      <c r="AI3" s="50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67" t="str">
        <f>"Økonomi: RGK ift. Nominel"</f>
        <v>Økonomi: RGK ift. Nominel</v>
      </c>
    </row>
    <row r="4" spans="1:53" x14ac:dyDescent="0.25">
      <c r="A4" s="153" t="s">
        <v>323</v>
      </c>
      <c r="B4" s="56" t="b">
        <v>0</v>
      </c>
      <c r="C4" s="56"/>
      <c r="D4" s="56"/>
      <c r="E4" s="56"/>
      <c r="F4" s="107"/>
      <c r="H4" s="163" t="s">
        <v>338</v>
      </c>
      <c r="I4" s="164" t="s">
        <v>331</v>
      </c>
      <c r="J4" s="39">
        <v>1</v>
      </c>
      <c r="K4" s="39">
        <v>0</v>
      </c>
      <c r="L4" s="39">
        <v>0</v>
      </c>
      <c r="M4" s="39">
        <v>0</v>
      </c>
      <c r="N4" s="39">
        <v>0</v>
      </c>
      <c r="O4" s="39">
        <v>0</v>
      </c>
      <c r="P4" s="39">
        <v>0</v>
      </c>
      <c r="Q4" s="39">
        <v>0</v>
      </c>
      <c r="R4" s="39">
        <v>0</v>
      </c>
      <c r="S4" s="39">
        <v>0</v>
      </c>
      <c r="T4" s="39">
        <v>0</v>
      </c>
      <c r="U4" s="165">
        <v>0</v>
      </c>
      <c r="V4" s="49"/>
      <c r="W4" s="49"/>
      <c r="X4" s="50"/>
      <c r="Y4" s="51"/>
      <c r="Z4" s="51"/>
      <c r="AA4" s="49"/>
      <c r="AB4" s="49"/>
      <c r="AC4" s="49"/>
      <c r="AD4" s="69"/>
      <c r="AE4" s="51"/>
      <c r="AF4" s="51"/>
      <c r="AG4" s="49"/>
      <c r="AH4" s="49"/>
      <c r="AJ4" s="49"/>
      <c r="AK4" s="49"/>
      <c r="AL4" s="49"/>
      <c r="AM4" s="49"/>
      <c r="AN4" s="49"/>
      <c r="AO4" s="49"/>
      <c r="AP4" s="49"/>
      <c r="AQ4" s="49"/>
      <c r="AR4" s="49"/>
      <c r="AS4" s="49"/>
      <c r="AT4" s="49"/>
      <c r="AU4" s="49"/>
      <c r="AV4" s="49"/>
      <c r="AW4" s="49"/>
      <c r="AX4" s="49"/>
      <c r="AY4" s="49"/>
      <c r="AZ4" s="49"/>
      <c r="BA4" s="67" t="str">
        <f>"Varmemængder"</f>
        <v>Varmemængder</v>
      </c>
    </row>
    <row r="5" spans="1:53" x14ac:dyDescent="0.25">
      <c r="A5" s="153"/>
      <c r="B5" s="56"/>
      <c r="C5" s="56"/>
      <c r="D5" s="56"/>
      <c r="E5" s="56"/>
      <c r="F5" s="107"/>
      <c r="H5" s="106" t="s">
        <v>202</v>
      </c>
      <c r="I5" s="55" t="s">
        <v>41</v>
      </c>
      <c r="J5" s="59">
        <v>28115</v>
      </c>
      <c r="K5" s="56">
        <v>23902</v>
      </c>
      <c r="L5" s="56">
        <v>27355</v>
      </c>
      <c r="M5" s="56">
        <v>22497</v>
      </c>
      <c r="N5" s="56">
        <v>12760</v>
      </c>
      <c r="O5" s="56">
        <v>6100</v>
      </c>
      <c r="P5" s="56">
        <v>6411</v>
      </c>
      <c r="Q5" s="56">
        <v>7774</v>
      </c>
      <c r="R5" s="56">
        <v>8886</v>
      </c>
      <c r="S5" s="56">
        <v>15610</v>
      </c>
      <c r="T5" s="56">
        <v>20410</v>
      </c>
      <c r="U5" s="107">
        <v>25475</v>
      </c>
      <c r="V5" s="49"/>
      <c r="W5" s="49"/>
      <c r="X5" s="50"/>
      <c r="Y5" s="51"/>
      <c r="Z5" s="51"/>
      <c r="AA5" s="49"/>
      <c r="AB5" s="49"/>
      <c r="AC5" s="49"/>
      <c r="AD5" s="69"/>
      <c r="AE5" s="51"/>
      <c r="AF5" s="51"/>
      <c r="AG5" s="49"/>
      <c r="AH5" s="49"/>
      <c r="AI5" s="50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67" t="s">
        <v>148</v>
      </c>
    </row>
    <row r="6" spans="1:53" x14ac:dyDescent="0.25">
      <c r="A6" s="153"/>
      <c r="B6" s="56"/>
      <c r="C6" s="56"/>
      <c r="D6" s="56"/>
      <c r="E6" s="56"/>
      <c r="F6" s="107"/>
      <c r="H6" s="106" t="s">
        <v>294</v>
      </c>
      <c r="I6" s="55" t="s">
        <v>16</v>
      </c>
      <c r="J6" s="59">
        <v>6000</v>
      </c>
      <c r="K6" s="56">
        <v>6000</v>
      </c>
      <c r="L6" s="56">
        <v>6000</v>
      </c>
      <c r="M6" s="56">
        <v>6000</v>
      </c>
      <c r="N6" s="56">
        <v>6000</v>
      </c>
      <c r="O6" s="56">
        <v>6000</v>
      </c>
      <c r="P6" s="56">
        <v>6000</v>
      </c>
      <c r="Q6" s="56">
        <v>6000</v>
      </c>
      <c r="R6" s="56">
        <v>6000</v>
      </c>
      <c r="S6" s="56">
        <v>6000</v>
      </c>
      <c r="T6" s="56">
        <v>6000</v>
      </c>
      <c r="U6" s="107">
        <v>6000</v>
      </c>
      <c r="V6" s="51">
        <f>SUM(J6:U6)-FfriMaxÅr</f>
        <v>27000</v>
      </c>
      <c r="W6" s="49"/>
      <c r="X6" s="50"/>
      <c r="Y6" s="51"/>
      <c r="Z6" s="51"/>
      <c r="AA6" s="49"/>
      <c r="AB6" s="49"/>
      <c r="AC6" s="49"/>
      <c r="AD6" s="69"/>
      <c r="AE6" s="51"/>
      <c r="AF6" s="51"/>
      <c r="AG6" s="49"/>
      <c r="AH6" s="49"/>
      <c r="AI6" s="50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t="s">
        <v>244</v>
      </c>
    </row>
    <row r="7" spans="1:53" x14ac:dyDescent="0.25">
      <c r="A7" s="153"/>
      <c r="B7" s="56"/>
      <c r="C7" s="56"/>
      <c r="D7" s="56"/>
      <c r="E7" s="56"/>
      <c r="F7" s="107"/>
      <c r="G7" s="144"/>
      <c r="H7" s="106" t="s">
        <v>295</v>
      </c>
      <c r="I7" s="55" t="s">
        <v>16</v>
      </c>
      <c r="J7" s="59">
        <v>6000</v>
      </c>
      <c r="K7" s="56">
        <v>3500</v>
      </c>
      <c r="L7" s="56">
        <v>3500</v>
      </c>
      <c r="M7" s="56">
        <v>3500</v>
      </c>
      <c r="N7" s="56">
        <v>3500</v>
      </c>
      <c r="O7" s="56">
        <v>0</v>
      </c>
      <c r="P7" s="56">
        <v>0</v>
      </c>
      <c r="Q7" s="56">
        <v>3500</v>
      </c>
      <c r="R7" s="56">
        <v>3500</v>
      </c>
      <c r="S7" s="56">
        <v>3500</v>
      </c>
      <c r="T7" s="56">
        <v>6000</v>
      </c>
      <c r="U7" s="107">
        <v>6000</v>
      </c>
      <c r="V7" s="51">
        <f>SUM(J7:U7)-FbioMaxÅr</f>
        <v>32500</v>
      </c>
      <c r="W7" s="49"/>
      <c r="X7" s="50"/>
      <c r="Y7" s="51"/>
      <c r="Z7" s="51"/>
      <c r="AA7" s="49"/>
      <c r="AB7" s="49"/>
      <c r="AC7" s="49"/>
      <c r="AD7" s="69"/>
      <c r="AE7" s="51"/>
      <c r="AF7" s="51"/>
      <c r="AG7" s="49"/>
      <c r="AH7" s="49"/>
      <c r="AI7" s="50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</row>
    <row r="8" spans="1:53" ht="15.75" thickBot="1" x14ac:dyDescent="0.3">
      <c r="A8" s="154"/>
      <c r="B8" s="111"/>
      <c r="C8" s="111"/>
      <c r="D8" s="111"/>
      <c r="E8" s="111"/>
      <c r="F8" s="112"/>
      <c r="G8" s="144"/>
      <c r="H8" s="106" t="s">
        <v>204</v>
      </c>
      <c r="I8" s="55" t="s">
        <v>16</v>
      </c>
      <c r="J8" s="59">
        <v>0</v>
      </c>
      <c r="K8" s="56">
        <v>0</v>
      </c>
      <c r="L8" s="56">
        <v>0</v>
      </c>
      <c r="M8" s="56">
        <v>0</v>
      </c>
      <c r="N8" s="56">
        <v>0</v>
      </c>
      <c r="O8" s="56">
        <v>0</v>
      </c>
      <c r="P8" s="56">
        <v>0</v>
      </c>
      <c r="Q8" s="56">
        <v>0</v>
      </c>
      <c r="R8" s="56">
        <v>0</v>
      </c>
      <c r="S8" s="56">
        <v>0</v>
      </c>
      <c r="T8" s="56">
        <v>0</v>
      </c>
      <c r="U8" s="107">
        <v>0</v>
      </c>
      <c r="V8" s="51">
        <f>SUM(J8:U8)-FfriMaxÅr</f>
        <v>-45000</v>
      </c>
      <c r="W8" s="49"/>
      <c r="X8" s="50"/>
      <c r="Y8" s="51"/>
      <c r="Z8" s="51"/>
      <c r="AA8" s="49"/>
      <c r="AB8" s="49"/>
      <c r="AC8" s="49"/>
      <c r="AD8" s="69"/>
      <c r="AE8" s="51"/>
      <c r="AF8" s="51"/>
      <c r="AG8" s="49"/>
      <c r="AH8" s="49"/>
      <c r="AI8" s="50"/>
      <c r="AJ8" s="49"/>
      <c r="AK8" s="49"/>
      <c r="AL8" s="49"/>
      <c r="AM8" s="49"/>
      <c r="AN8" s="49"/>
      <c r="AO8" s="49"/>
      <c r="AP8" s="49"/>
      <c r="AQ8" s="49"/>
      <c r="AR8" s="49"/>
      <c r="AS8" s="49"/>
      <c r="AT8" s="49"/>
      <c r="AU8" s="49"/>
      <c r="AV8" s="49"/>
      <c r="AW8" s="49"/>
      <c r="AX8" s="49"/>
      <c r="AY8" s="49"/>
      <c r="AZ8" s="49"/>
    </row>
    <row r="9" spans="1:53" ht="15.75" thickBot="1" x14ac:dyDescent="0.3">
      <c r="H9" s="106" t="s">
        <v>296</v>
      </c>
      <c r="I9" s="55" t="s">
        <v>30</v>
      </c>
      <c r="J9" s="128">
        <v>10.5</v>
      </c>
      <c r="K9" s="129">
        <v>10.5</v>
      </c>
      <c r="L9" s="129">
        <v>10.5</v>
      </c>
      <c r="M9" s="129">
        <v>10.5</v>
      </c>
      <c r="N9" s="129">
        <v>10.5</v>
      </c>
      <c r="O9" s="129">
        <v>10.5</v>
      </c>
      <c r="P9" s="129">
        <v>10.5</v>
      </c>
      <c r="Q9" s="129">
        <v>10.5</v>
      </c>
      <c r="R9" s="129">
        <v>10.5</v>
      </c>
      <c r="S9" s="129">
        <v>10.5</v>
      </c>
      <c r="T9" s="129">
        <v>10.5</v>
      </c>
      <c r="U9" s="130">
        <v>10.5</v>
      </c>
      <c r="V9" s="49"/>
      <c r="W9" s="49"/>
      <c r="X9" s="50"/>
      <c r="Y9" s="51"/>
      <c r="Z9" s="51"/>
      <c r="AA9" s="49"/>
      <c r="AB9" s="49"/>
      <c r="AC9" s="49"/>
      <c r="AD9" s="69"/>
      <c r="AE9" s="51"/>
      <c r="AF9" s="51"/>
      <c r="AG9" s="49"/>
      <c r="AH9" s="49"/>
      <c r="AI9" s="50"/>
      <c r="AJ9" s="49"/>
      <c r="AK9" s="49"/>
      <c r="AL9" s="49"/>
      <c r="AM9" s="49"/>
      <c r="AN9" s="49"/>
      <c r="AO9" s="49"/>
      <c r="AP9" s="49"/>
      <c r="AQ9" s="49"/>
      <c r="AR9" s="49"/>
      <c r="AS9" s="49"/>
      <c r="AT9" s="49"/>
      <c r="AU9" s="49"/>
      <c r="AV9" s="49"/>
      <c r="AW9" s="49"/>
      <c r="AX9" s="49"/>
      <c r="AY9" s="49"/>
      <c r="AZ9" s="49"/>
      <c r="BA9" s="49" t="s">
        <v>149</v>
      </c>
    </row>
    <row r="10" spans="1:53" x14ac:dyDescent="0.25">
      <c r="A10" s="102" t="s">
        <v>14</v>
      </c>
      <c r="B10" s="131"/>
      <c r="C10" s="104" t="s">
        <v>0</v>
      </c>
      <c r="D10" s="104" t="s">
        <v>1</v>
      </c>
      <c r="E10" s="104" t="s">
        <v>7</v>
      </c>
      <c r="F10" s="113" t="s">
        <v>141</v>
      </c>
      <c r="H10" s="106" t="s">
        <v>297</v>
      </c>
      <c r="I10" s="55" t="s">
        <v>24</v>
      </c>
      <c r="J10" s="59">
        <v>400</v>
      </c>
      <c r="K10" s="56">
        <v>400</v>
      </c>
      <c r="L10" s="56">
        <v>400</v>
      </c>
      <c r="M10" s="56">
        <v>400</v>
      </c>
      <c r="N10" s="56">
        <v>400</v>
      </c>
      <c r="O10" s="56">
        <v>400</v>
      </c>
      <c r="P10" s="56">
        <v>400</v>
      </c>
      <c r="Q10" s="56">
        <v>400</v>
      </c>
      <c r="R10" s="56">
        <v>400</v>
      </c>
      <c r="S10" s="56">
        <v>400</v>
      </c>
      <c r="T10" s="56">
        <v>400</v>
      </c>
      <c r="U10" s="107">
        <v>400</v>
      </c>
      <c r="V10" s="49"/>
      <c r="W10" s="49"/>
      <c r="X10" s="50"/>
      <c r="Y10" s="51"/>
      <c r="Z10" s="51"/>
      <c r="AA10" s="49"/>
      <c r="AB10" s="49"/>
      <c r="AC10" s="49"/>
      <c r="AD10" s="69"/>
      <c r="AE10" s="51"/>
      <c r="AF10" s="51"/>
      <c r="AG10" s="49"/>
      <c r="AH10" s="49"/>
      <c r="AI10" s="50"/>
      <c r="AJ10" s="49"/>
      <c r="AK10" s="49"/>
      <c r="AL10" s="49"/>
      <c r="AM10" s="49"/>
      <c r="AN10" s="49"/>
      <c r="AO10" s="49"/>
      <c r="AP10" s="49"/>
      <c r="AQ10" s="49"/>
      <c r="AR10" s="49"/>
      <c r="AS10" s="49"/>
      <c r="AT10" s="49"/>
      <c r="AU10" s="49"/>
      <c r="AV10" s="49"/>
      <c r="AW10" s="49"/>
      <c r="AX10" s="49"/>
      <c r="AY10" s="49"/>
      <c r="AZ10" s="49"/>
    </row>
    <row r="11" spans="1:53" x14ac:dyDescent="0.25">
      <c r="A11" s="106" t="s">
        <v>12</v>
      </c>
      <c r="B11" s="132"/>
      <c r="C11" s="56">
        <v>31</v>
      </c>
      <c r="D11" s="56">
        <v>31</v>
      </c>
      <c r="E11" s="56">
        <v>31</v>
      </c>
      <c r="F11" s="107"/>
      <c r="H11" s="106" t="s">
        <v>272</v>
      </c>
      <c r="I11" s="55" t="s">
        <v>274</v>
      </c>
      <c r="J11" s="59">
        <v>31</v>
      </c>
      <c r="K11" s="59">
        <v>28</v>
      </c>
      <c r="L11" s="59">
        <v>31</v>
      </c>
      <c r="M11" s="59">
        <v>30</v>
      </c>
      <c r="N11" s="59">
        <v>31</v>
      </c>
      <c r="O11" s="59">
        <v>30</v>
      </c>
      <c r="P11" s="59">
        <v>31</v>
      </c>
      <c r="Q11" s="59">
        <v>31</v>
      </c>
      <c r="R11" s="59">
        <v>30</v>
      </c>
      <c r="S11" s="59">
        <v>31</v>
      </c>
      <c r="T11" s="59">
        <v>30</v>
      </c>
      <c r="U11" s="152">
        <v>31</v>
      </c>
      <c r="V11" s="49"/>
      <c r="W11" s="49"/>
      <c r="X11" s="50"/>
      <c r="Y11" s="51"/>
      <c r="Z11" s="51"/>
      <c r="AA11" s="49"/>
      <c r="AB11" s="49"/>
      <c r="AC11" s="49"/>
      <c r="AD11" s="69"/>
      <c r="AE11" s="51"/>
      <c r="AF11" s="51"/>
      <c r="AG11" s="49"/>
      <c r="AH11" s="49"/>
      <c r="AI11" s="50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/>
      <c r="AY11" s="49"/>
      <c r="AZ11" s="49"/>
    </row>
    <row r="12" spans="1:53" x14ac:dyDescent="0.25">
      <c r="A12" s="106" t="s">
        <v>2</v>
      </c>
      <c r="B12" s="132" t="s">
        <v>3</v>
      </c>
      <c r="C12" s="56">
        <v>9.5</v>
      </c>
      <c r="D12" s="56">
        <v>22.5</v>
      </c>
      <c r="E12" s="56">
        <v>15</v>
      </c>
      <c r="F12" s="107"/>
      <c r="H12" s="106" t="s">
        <v>273</v>
      </c>
      <c r="I12" s="55" t="s">
        <v>274</v>
      </c>
      <c r="J12" s="59">
        <f>31</f>
        <v>31</v>
      </c>
      <c r="K12" s="59">
        <v>28</v>
      </c>
      <c r="L12" s="59">
        <v>31</v>
      </c>
      <c r="M12" s="59">
        <v>30</v>
      </c>
      <c r="N12" s="59">
        <v>31</v>
      </c>
      <c r="O12" s="59">
        <v>2</v>
      </c>
      <c r="P12" s="59">
        <v>31</v>
      </c>
      <c r="Q12" s="59">
        <v>31</v>
      </c>
      <c r="R12" s="59">
        <v>30</v>
      </c>
      <c r="S12" s="59">
        <v>31</v>
      </c>
      <c r="T12" s="59">
        <v>30</v>
      </c>
      <c r="U12" s="152">
        <v>31</v>
      </c>
      <c r="V12" s="49"/>
      <c r="W12" s="49"/>
      <c r="X12" s="50"/>
      <c r="Y12" s="51"/>
      <c r="Z12" s="51"/>
      <c r="AA12" s="49"/>
      <c r="AB12" s="49"/>
      <c r="AC12" s="49"/>
      <c r="AD12" s="69"/>
      <c r="AE12" s="51"/>
      <c r="AF12" s="51"/>
      <c r="AG12" s="49"/>
      <c r="AH12" s="49"/>
      <c r="AI12" s="50"/>
      <c r="AJ12" s="49"/>
      <c r="AK12" s="49"/>
      <c r="AL12" s="49"/>
      <c r="AM12" s="49"/>
      <c r="AN12" s="49"/>
      <c r="AO12" s="49"/>
      <c r="AP12" s="49"/>
      <c r="AQ12" s="49"/>
      <c r="AR12" s="49"/>
      <c r="AS12" s="49"/>
      <c r="AT12" s="49"/>
      <c r="AU12" s="49"/>
      <c r="AV12" s="49"/>
      <c r="AW12" s="49"/>
      <c r="AX12" s="49"/>
      <c r="AY12" s="49"/>
      <c r="AZ12" s="49"/>
    </row>
    <row r="13" spans="1:53" x14ac:dyDescent="0.25">
      <c r="A13" s="106" t="s">
        <v>8</v>
      </c>
      <c r="B13" s="132" t="s">
        <v>3</v>
      </c>
      <c r="C13" s="56">
        <v>2</v>
      </c>
      <c r="D13" s="56">
        <v>5.5</v>
      </c>
      <c r="E13" s="56"/>
      <c r="F13" s="107"/>
      <c r="H13" s="106" t="s">
        <v>130</v>
      </c>
      <c r="I13" s="55" t="s">
        <v>132</v>
      </c>
      <c r="J13" s="126">
        <v>1</v>
      </c>
      <c r="K13" s="126">
        <v>1</v>
      </c>
      <c r="L13" s="126">
        <v>1</v>
      </c>
      <c r="M13" s="126">
        <v>1</v>
      </c>
      <c r="N13" s="126">
        <v>1</v>
      </c>
      <c r="O13" s="126">
        <v>1</v>
      </c>
      <c r="P13" s="126">
        <v>1</v>
      </c>
      <c r="Q13" s="126">
        <v>1</v>
      </c>
      <c r="R13" s="126">
        <v>1</v>
      </c>
      <c r="S13" s="126">
        <v>1</v>
      </c>
      <c r="T13" s="126">
        <v>1</v>
      </c>
      <c r="U13" s="127">
        <v>1</v>
      </c>
      <c r="V13" s="49"/>
      <c r="W13" s="49"/>
      <c r="X13" s="50"/>
      <c r="Y13" s="51"/>
      <c r="Z13" s="51"/>
      <c r="AA13" s="49"/>
      <c r="AB13" s="49"/>
      <c r="AC13" s="49"/>
      <c r="AD13" s="69"/>
      <c r="AE13" s="51"/>
      <c r="AF13" s="51"/>
      <c r="AG13" s="49"/>
      <c r="AH13" s="49"/>
      <c r="AI13" s="50"/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/>
      <c r="AW13" s="49"/>
      <c r="AX13" s="49"/>
      <c r="AY13" s="49"/>
      <c r="AZ13" s="49"/>
    </row>
    <row r="14" spans="1:53" x14ac:dyDescent="0.25">
      <c r="A14" s="106" t="s">
        <v>4</v>
      </c>
      <c r="B14" s="132" t="s">
        <v>5</v>
      </c>
      <c r="C14" s="56"/>
      <c r="D14" s="56">
        <v>8</v>
      </c>
      <c r="E14" s="56"/>
      <c r="F14" s="107"/>
      <c r="G14" s="157"/>
      <c r="H14" s="106" t="s">
        <v>324</v>
      </c>
      <c r="I14" s="55" t="s">
        <v>41</v>
      </c>
      <c r="J14" s="59">
        <v>4000</v>
      </c>
      <c r="K14" s="56">
        <v>0</v>
      </c>
      <c r="L14" s="56">
        <v>0</v>
      </c>
      <c r="M14" s="56">
        <v>0</v>
      </c>
      <c r="N14" s="56">
        <v>0</v>
      </c>
      <c r="O14" s="56">
        <v>0</v>
      </c>
      <c r="P14" s="56">
        <v>0</v>
      </c>
      <c r="Q14" s="56">
        <v>0</v>
      </c>
      <c r="R14" s="56">
        <v>0</v>
      </c>
      <c r="S14" s="56">
        <v>0</v>
      </c>
      <c r="T14" s="56">
        <v>0</v>
      </c>
      <c r="U14" s="107">
        <v>5600</v>
      </c>
      <c r="V14" s="49"/>
      <c r="W14" s="49"/>
      <c r="X14" s="50"/>
      <c r="Y14" s="51"/>
      <c r="Z14" s="51"/>
      <c r="AA14" s="49"/>
      <c r="AB14" s="49"/>
      <c r="AC14" s="49"/>
      <c r="AD14" s="69"/>
      <c r="AE14" s="51"/>
      <c r="AF14" s="51"/>
      <c r="AG14" s="49"/>
      <c r="AH14" s="49"/>
      <c r="AI14" s="50"/>
      <c r="AJ14" s="49"/>
      <c r="AK14" s="49"/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49"/>
      <c r="AW14" s="49"/>
      <c r="AX14" s="49"/>
      <c r="AY14" s="49"/>
      <c r="AZ14" s="49"/>
    </row>
    <row r="15" spans="1:53" x14ac:dyDescent="0.25">
      <c r="A15" s="106" t="s">
        <v>6</v>
      </c>
      <c r="B15" s="132" t="s">
        <v>13</v>
      </c>
      <c r="C15" s="56"/>
      <c r="D15" s="56">
        <v>25</v>
      </c>
      <c r="E15" s="56"/>
      <c r="F15" s="107"/>
      <c r="H15" s="106" t="s">
        <v>25</v>
      </c>
      <c r="I15" s="55" t="s">
        <v>26</v>
      </c>
      <c r="J15" s="56">
        <v>800</v>
      </c>
      <c r="K15" s="56">
        <v>800</v>
      </c>
      <c r="L15" s="56">
        <v>800</v>
      </c>
      <c r="M15" s="56">
        <v>800</v>
      </c>
      <c r="N15" s="56">
        <v>800</v>
      </c>
      <c r="O15" s="56">
        <v>800</v>
      </c>
      <c r="P15" s="56">
        <v>800</v>
      </c>
      <c r="Q15" s="56">
        <v>800</v>
      </c>
      <c r="R15" s="56">
        <v>800</v>
      </c>
      <c r="S15" s="56">
        <v>800</v>
      </c>
      <c r="T15" s="56">
        <v>800</v>
      </c>
      <c r="U15" s="107">
        <v>800</v>
      </c>
      <c r="V15" s="49"/>
      <c r="W15" s="49"/>
      <c r="X15" s="50"/>
      <c r="Y15" s="51"/>
      <c r="Z15" s="51"/>
      <c r="AA15" s="49"/>
      <c r="AB15" s="49"/>
      <c r="AC15" s="49"/>
      <c r="AD15" s="69"/>
      <c r="AE15" s="51"/>
      <c r="AF15" s="51"/>
      <c r="AG15" s="49"/>
      <c r="AH15" s="49"/>
      <c r="AI15" s="50"/>
      <c r="AJ15" s="49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  <c r="AX15" s="49"/>
      <c r="AY15" s="49"/>
      <c r="AZ15" s="49"/>
    </row>
    <row r="16" spans="1:53" ht="15.75" thickBot="1" x14ac:dyDescent="0.3">
      <c r="A16" s="106" t="s">
        <v>9</v>
      </c>
      <c r="B16" s="132"/>
      <c r="C16" s="61">
        <v>0.84399999999999997</v>
      </c>
      <c r="D16" s="61">
        <v>0.65600000000000003</v>
      </c>
      <c r="E16" s="56"/>
      <c r="F16" s="107"/>
      <c r="H16" s="108" t="s">
        <v>27</v>
      </c>
      <c r="I16" s="109" t="s">
        <v>38</v>
      </c>
      <c r="J16" s="110">
        <v>400</v>
      </c>
      <c r="K16" s="111">
        <v>400</v>
      </c>
      <c r="L16" s="111">
        <v>400</v>
      </c>
      <c r="M16" s="111">
        <v>400</v>
      </c>
      <c r="N16" s="111">
        <v>400</v>
      </c>
      <c r="O16" s="111">
        <v>400</v>
      </c>
      <c r="P16" s="111">
        <v>400</v>
      </c>
      <c r="Q16" s="111">
        <v>400</v>
      </c>
      <c r="R16" s="111">
        <v>400</v>
      </c>
      <c r="S16" s="111">
        <v>400</v>
      </c>
      <c r="T16" s="111">
        <v>400</v>
      </c>
      <c r="U16" s="112">
        <v>400</v>
      </c>
      <c r="V16" s="49"/>
      <c r="W16" s="49"/>
      <c r="X16" s="50"/>
      <c r="Y16" s="51"/>
      <c r="Z16" s="51"/>
      <c r="AA16" s="49"/>
      <c r="AB16" s="49"/>
      <c r="AC16" s="49"/>
      <c r="AD16" s="69"/>
      <c r="AE16" s="51"/>
      <c r="AF16" s="51"/>
      <c r="AG16" s="49"/>
      <c r="AH16" s="49"/>
      <c r="AI16" s="50"/>
      <c r="AJ16" s="49"/>
      <c r="AK16" s="49"/>
      <c r="AL16" s="49"/>
      <c r="AM16" s="49"/>
      <c r="AN16" s="49"/>
      <c r="AO16" s="49"/>
      <c r="AP16" s="49"/>
      <c r="AQ16" s="49"/>
      <c r="AR16" s="49"/>
      <c r="AS16" s="49"/>
      <c r="AT16" s="49"/>
      <c r="AU16" s="49"/>
      <c r="AV16" s="49"/>
      <c r="AW16" s="49"/>
      <c r="AX16" s="49"/>
      <c r="AY16" s="49"/>
      <c r="AZ16" s="49"/>
    </row>
    <row r="17" spans="1:52" x14ac:dyDescent="0.25">
      <c r="A17" s="106" t="s">
        <v>10</v>
      </c>
      <c r="B17" s="132"/>
      <c r="C17" s="114">
        <f>$J$13*C13/C12*C16</f>
        <v>0.17768421052631578</v>
      </c>
      <c r="D17" s="114">
        <f>$J$13*D13/D12*D16</f>
        <v>0.16035555555555556</v>
      </c>
      <c r="E17" s="56"/>
      <c r="F17" s="107"/>
      <c r="I17"/>
      <c r="V17" s="49"/>
      <c r="W17" s="49"/>
      <c r="X17" s="50"/>
      <c r="Y17" s="51"/>
      <c r="Z17" s="51"/>
      <c r="AA17" s="49"/>
      <c r="AB17" s="49"/>
      <c r="AC17" s="49"/>
      <c r="AD17" s="69"/>
      <c r="AE17" s="51"/>
      <c r="AF17" s="51"/>
      <c r="AG17" s="49"/>
      <c r="AH17" s="49"/>
      <c r="AI17" s="50"/>
      <c r="AJ17" s="49"/>
      <c r="AK17" s="49"/>
      <c r="AL17" s="49"/>
      <c r="AM17" s="49"/>
      <c r="AN17" s="49"/>
      <c r="AO17" s="49"/>
      <c r="AP17" s="49"/>
      <c r="AQ17" s="49"/>
      <c r="AR17" s="49"/>
      <c r="AS17" s="49"/>
      <c r="AT17" s="49"/>
      <c r="AU17" s="49"/>
      <c r="AV17" s="49"/>
      <c r="AW17" s="49"/>
      <c r="AX17" s="49"/>
      <c r="AY17" s="49"/>
      <c r="AZ17" s="49"/>
    </row>
    <row r="18" spans="1:52" x14ac:dyDescent="0.25">
      <c r="A18" s="106" t="s">
        <v>67</v>
      </c>
      <c r="B18" s="132"/>
      <c r="C18" s="114">
        <f>SUM(C16:C17)</f>
        <v>1.0216842105263158</v>
      </c>
      <c r="D18" s="114">
        <f>SUM(D16:D17)</f>
        <v>0.81635555555555561</v>
      </c>
      <c r="E18" s="56"/>
      <c r="F18" s="107"/>
      <c r="H18" s="121" t="s">
        <v>328</v>
      </c>
      <c r="I18" s="166" t="s">
        <v>47</v>
      </c>
      <c r="J18" s="75" t="str">
        <f>J3</f>
        <v>JAN</v>
      </c>
      <c r="K18" s="75" t="str">
        <f t="shared" ref="K18:U18" si="0">K3</f>
        <v>FEB</v>
      </c>
      <c r="L18" s="75" t="str">
        <f t="shared" si="0"/>
        <v>MAR</v>
      </c>
      <c r="M18" s="75" t="str">
        <f t="shared" si="0"/>
        <v>APR</v>
      </c>
      <c r="N18" s="75" t="str">
        <f t="shared" si="0"/>
        <v>MAJ</v>
      </c>
      <c r="O18" s="75" t="str">
        <f t="shared" si="0"/>
        <v>JUN</v>
      </c>
      <c r="P18" s="75" t="str">
        <f t="shared" si="0"/>
        <v>JUL</v>
      </c>
      <c r="Q18" s="75" t="str">
        <f t="shared" si="0"/>
        <v>AUG</v>
      </c>
      <c r="R18" s="75" t="str">
        <f t="shared" si="0"/>
        <v>SEP</v>
      </c>
      <c r="S18" s="75" t="str">
        <f>S3</f>
        <v>OKT</v>
      </c>
      <c r="T18" s="75" t="str">
        <f t="shared" si="0"/>
        <v>NOV</v>
      </c>
      <c r="U18" s="75" t="str">
        <f t="shared" si="0"/>
        <v>DEC</v>
      </c>
      <c r="V18" s="49"/>
      <c r="W18" s="49"/>
      <c r="X18" s="50"/>
      <c r="Y18" s="51"/>
      <c r="Z18" s="51"/>
      <c r="AA18" s="49"/>
      <c r="AB18" s="49"/>
      <c r="AC18" s="49"/>
      <c r="AD18" s="69"/>
      <c r="AE18" s="51"/>
      <c r="AF18" s="51"/>
      <c r="AG18" s="49"/>
      <c r="AH18" s="49"/>
      <c r="AI18" s="50"/>
      <c r="AJ18" s="49"/>
      <c r="AK18" s="49"/>
      <c r="AL18" s="49"/>
      <c r="AM18" s="49"/>
      <c r="AN18" s="49"/>
      <c r="AO18" s="49"/>
      <c r="AP18" s="49"/>
      <c r="AQ18" s="49"/>
      <c r="AR18" s="49"/>
      <c r="AS18" s="49"/>
      <c r="AT18" s="49"/>
      <c r="AU18" s="49"/>
      <c r="AV18" s="49"/>
      <c r="AW18" s="49"/>
      <c r="AX18" s="49"/>
      <c r="AY18" s="49"/>
      <c r="AZ18" s="49"/>
    </row>
    <row r="19" spans="1:52" x14ac:dyDescent="0.25">
      <c r="A19" s="106" t="s">
        <v>11</v>
      </c>
      <c r="B19" s="132"/>
      <c r="C19" s="56"/>
      <c r="D19" s="62">
        <v>0.22470000000000001</v>
      </c>
      <c r="E19" s="56"/>
      <c r="F19" s="107"/>
      <c r="H19" s="139" t="s">
        <v>329</v>
      </c>
      <c r="I19" s="139" t="s">
        <v>41</v>
      </c>
      <c r="J19">
        <v>3000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5000</v>
      </c>
      <c r="V19" s="49"/>
      <c r="W19" s="49"/>
      <c r="X19" s="50"/>
      <c r="Y19" s="51"/>
      <c r="Z19" s="51"/>
      <c r="AA19" s="49"/>
      <c r="AB19" s="49"/>
      <c r="AC19" s="49"/>
      <c r="AD19" s="69"/>
      <c r="AE19" s="51"/>
      <c r="AF19" s="51"/>
      <c r="AG19" s="49"/>
      <c r="AH19" s="49"/>
      <c r="AI19" s="50"/>
      <c r="AJ19" s="49"/>
      <c r="AK19" s="49"/>
      <c r="AL19" s="49"/>
      <c r="AM19" s="49"/>
      <c r="AN19" s="49"/>
      <c r="AO19" s="49"/>
      <c r="AP19" s="49"/>
      <c r="AQ19" s="49"/>
      <c r="AR19" s="49"/>
      <c r="AS19" s="49"/>
      <c r="AT19" s="49"/>
      <c r="AU19" s="49"/>
      <c r="AV19" s="49"/>
      <c r="AW19" s="49"/>
      <c r="AX19" s="49"/>
      <c r="AY19" s="49"/>
      <c r="AZ19" s="49"/>
    </row>
    <row r="20" spans="1:52" ht="15.75" thickBot="1" x14ac:dyDescent="0.3">
      <c r="A20" s="108" t="s">
        <v>289</v>
      </c>
      <c r="B20" s="133" t="s">
        <v>19</v>
      </c>
      <c r="C20" s="111">
        <v>30</v>
      </c>
      <c r="D20" s="111">
        <v>50</v>
      </c>
      <c r="E20" s="111">
        <v>10</v>
      </c>
      <c r="F20" s="112">
        <v>10</v>
      </c>
      <c r="H20" s="139" t="s">
        <v>344</v>
      </c>
      <c r="I20" s="5" t="s">
        <v>16</v>
      </c>
      <c r="J20" s="167">
        <f>J6-J21</f>
        <v>3000</v>
      </c>
      <c r="K20" s="135">
        <f t="shared" ref="K20:U20" si="1">K6-K21</f>
        <v>3000</v>
      </c>
      <c r="L20" s="135">
        <f t="shared" si="1"/>
        <v>3000</v>
      </c>
      <c r="M20" s="135">
        <f t="shared" si="1"/>
        <v>3000</v>
      </c>
      <c r="N20" s="135">
        <f t="shared" si="1"/>
        <v>3000</v>
      </c>
      <c r="O20" s="135">
        <f t="shared" si="1"/>
        <v>3000</v>
      </c>
      <c r="P20" s="135">
        <f t="shared" si="1"/>
        <v>3000</v>
      </c>
      <c r="Q20" s="135">
        <f t="shared" si="1"/>
        <v>3000</v>
      </c>
      <c r="R20" s="135">
        <f t="shared" si="1"/>
        <v>3000</v>
      </c>
      <c r="S20" s="135">
        <f t="shared" si="1"/>
        <v>3000</v>
      </c>
      <c r="T20" s="135">
        <f t="shared" si="1"/>
        <v>3000</v>
      </c>
      <c r="U20" s="135">
        <f t="shared" si="1"/>
        <v>3000</v>
      </c>
      <c r="V20" s="49"/>
      <c r="W20" s="49"/>
      <c r="X20" s="50"/>
      <c r="Y20" s="51"/>
      <c r="Z20" s="51"/>
      <c r="AA20" s="49"/>
      <c r="AB20" s="49"/>
      <c r="AC20" s="49"/>
      <c r="AD20" s="69"/>
      <c r="AE20" s="51"/>
      <c r="AF20" s="51"/>
      <c r="AG20" s="49"/>
      <c r="AH20" s="49"/>
      <c r="AI20" s="50"/>
      <c r="AJ20" s="49"/>
      <c r="AK20" s="49"/>
      <c r="AL20" s="49"/>
      <c r="AM20" s="49"/>
      <c r="AN20" s="49"/>
      <c r="AO20" s="49"/>
      <c r="AP20" s="49"/>
      <c r="AQ20" s="49"/>
      <c r="AR20" s="49"/>
      <c r="AS20" s="49"/>
      <c r="AT20" s="49"/>
      <c r="AU20" s="49"/>
      <c r="AV20" s="49"/>
      <c r="AW20" s="49"/>
      <c r="AX20" s="49"/>
      <c r="AY20" s="49"/>
      <c r="AZ20" s="49"/>
    </row>
    <row r="21" spans="1:52" ht="15.75" thickBot="1" x14ac:dyDescent="0.3">
      <c r="A21" s="58"/>
      <c r="B21" s="132"/>
      <c r="C21" s="56"/>
      <c r="D21" s="56"/>
      <c r="E21" s="56"/>
      <c r="F21" s="57"/>
      <c r="H21" s="139" t="s">
        <v>343</v>
      </c>
      <c r="I21" s="5" t="s">
        <v>16</v>
      </c>
      <c r="J21">
        <v>3000</v>
      </c>
      <c r="K21">
        <v>3000</v>
      </c>
      <c r="L21">
        <v>3000</v>
      </c>
      <c r="M21">
        <v>3000</v>
      </c>
      <c r="N21">
        <v>3000</v>
      </c>
      <c r="O21">
        <v>3000</v>
      </c>
      <c r="P21">
        <v>3000</v>
      </c>
      <c r="Q21">
        <v>3000</v>
      </c>
      <c r="R21">
        <v>3000</v>
      </c>
      <c r="S21">
        <v>3000</v>
      </c>
      <c r="T21">
        <v>3000</v>
      </c>
      <c r="U21">
        <v>3000</v>
      </c>
      <c r="V21" s="49"/>
      <c r="W21" s="49"/>
      <c r="X21" s="50"/>
      <c r="Y21" s="51"/>
      <c r="Z21" s="51"/>
      <c r="AA21" s="49"/>
      <c r="AB21" s="49"/>
      <c r="AC21" s="49"/>
      <c r="AD21" s="69"/>
      <c r="AE21" s="51"/>
      <c r="AF21" s="51"/>
      <c r="AG21" s="49"/>
      <c r="AH21" s="49"/>
      <c r="AI21" s="50"/>
      <c r="AJ21" s="49"/>
      <c r="AK21" s="49"/>
      <c r="AL21" s="49"/>
      <c r="AM21" s="49"/>
      <c r="AN21" s="49"/>
      <c r="AO21" s="49"/>
      <c r="AP21" s="49"/>
      <c r="AQ21" s="49"/>
      <c r="AR21" s="49"/>
      <c r="AS21" s="49"/>
      <c r="AT21" s="49"/>
      <c r="AU21" s="49"/>
      <c r="AV21" s="49"/>
      <c r="AW21" s="49"/>
      <c r="AX21" s="49"/>
      <c r="AY21" s="49"/>
      <c r="AZ21" s="49"/>
    </row>
    <row r="22" spans="1:52" x14ac:dyDescent="0.25">
      <c r="A22" s="115" t="s">
        <v>15</v>
      </c>
      <c r="B22" s="134"/>
      <c r="C22" s="104" t="s">
        <v>301</v>
      </c>
      <c r="D22" s="104" t="s">
        <v>300</v>
      </c>
      <c r="E22" s="104" t="s">
        <v>288</v>
      </c>
      <c r="F22" s="113" t="s">
        <v>20</v>
      </c>
      <c r="H22" s="139" t="s">
        <v>339</v>
      </c>
      <c r="I22" s="5" t="s">
        <v>16</v>
      </c>
      <c r="J22">
        <v>3000</v>
      </c>
      <c r="K22">
        <v>3000</v>
      </c>
      <c r="L22">
        <v>2000</v>
      </c>
      <c r="M22">
        <v>2000</v>
      </c>
      <c r="N22">
        <v>2000</v>
      </c>
      <c r="O22">
        <v>2000</v>
      </c>
      <c r="P22">
        <v>2000</v>
      </c>
      <c r="Q22">
        <v>2000</v>
      </c>
      <c r="R22">
        <v>2000</v>
      </c>
      <c r="S22">
        <v>2000</v>
      </c>
      <c r="T22">
        <v>2000</v>
      </c>
      <c r="U22">
        <v>2000</v>
      </c>
      <c r="V22" s="49"/>
      <c r="W22" s="49"/>
      <c r="X22" s="50"/>
      <c r="Y22" s="51"/>
      <c r="Z22" s="51"/>
      <c r="AA22" s="49"/>
      <c r="AB22" s="49"/>
      <c r="AC22" s="49"/>
      <c r="AD22" s="69"/>
      <c r="AE22" s="51"/>
      <c r="AF22" s="51"/>
      <c r="AG22" s="49"/>
      <c r="AH22" s="49"/>
      <c r="AI22" s="50"/>
      <c r="AJ22" s="49"/>
      <c r="AK22" s="49"/>
      <c r="AL22" s="49"/>
      <c r="AM22" s="49"/>
      <c r="AN22" s="49"/>
      <c r="AO22" s="49"/>
      <c r="AP22" s="49"/>
      <c r="AQ22" s="49"/>
      <c r="AR22" s="49"/>
      <c r="AS22" s="49"/>
      <c r="AT22" s="49"/>
      <c r="AU22" s="49"/>
      <c r="AV22" s="49"/>
      <c r="AW22" s="49"/>
      <c r="AX22" s="49"/>
      <c r="AY22" s="49"/>
      <c r="AZ22" s="49"/>
    </row>
    <row r="23" spans="1:52" x14ac:dyDescent="0.25">
      <c r="A23" s="106" t="s">
        <v>302</v>
      </c>
      <c r="B23" s="132" t="s">
        <v>298</v>
      </c>
      <c r="C23" s="56">
        <v>50000</v>
      </c>
      <c r="D23" s="56">
        <v>40000</v>
      </c>
      <c r="E23" s="56"/>
      <c r="F23" s="107"/>
      <c r="H23" s="139" t="s">
        <v>340</v>
      </c>
      <c r="I23" s="5" t="s">
        <v>16</v>
      </c>
      <c r="J23">
        <v>3000</v>
      </c>
      <c r="K23">
        <v>3000</v>
      </c>
      <c r="L23">
        <v>3000</v>
      </c>
      <c r="M23">
        <v>3000</v>
      </c>
      <c r="N23">
        <v>3000</v>
      </c>
      <c r="O23">
        <v>3000</v>
      </c>
      <c r="P23">
        <v>3000</v>
      </c>
      <c r="Q23">
        <v>3000</v>
      </c>
      <c r="R23">
        <v>3000</v>
      </c>
      <c r="S23">
        <v>3000</v>
      </c>
      <c r="T23">
        <v>3000</v>
      </c>
      <c r="U23">
        <v>3000</v>
      </c>
      <c r="V23" s="49"/>
      <c r="W23" s="49"/>
      <c r="X23" s="50"/>
      <c r="Y23" s="51"/>
      <c r="Z23" s="51"/>
      <c r="AA23" s="49"/>
      <c r="AB23" s="49"/>
      <c r="AC23" s="49"/>
      <c r="AD23" s="69"/>
      <c r="AE23" s="51"/>
      <c r="AF23" s="51"/>
      <c r="AG23" s="49"/>
      <c r="AH23" s="49"/>
      <c r="AI23" s="50"/>
      <c r="AJ23" s="49"/>
      <c r="AK23" s="49"/>
      <c r="AL23" s="49"/>
      <c r="AM23" s="49"/>
      <c r="AN23" s="49"/>
      <c r="AO23" s="49"/>
      <c r="AP23" s="49"/>
      <c r="AQ23" s="49"/>
      <c r="AR23" s="49"/>
      <c r="AS23" s="49"/>
      <c r="AT23" s="49"/>
      <c r="AU23" s="49"/>
      <c r="AV23" s="49"/>
      <c r="AW23" s="49"/>
      <c r="AX23" s="49"/>
      <c r="AY23" s="49"/>
      <c r="AZ23" s="49"/>
    </row>
    <row r="24" spans="1:52" x14ac:dyDescent="0.25">
      <c r="A24" s="106" t="s">
        <v>303</v>
      </c>
      <c r="B24" s="132" t="s">
        <v>298</v>
      </c>
      <c r="C24" s="135">
        <f>FfastMinÅr</f>
        <v>50000</v>
      </c>
      <c r="D24" s="56">
        <v>45000</v>
      </c>
      <c r="E24" s="56">
        <v>10000</v>
      </c>
      <c r="F24" s="107"/>
      <c r="H24" s="139" t="s">
        <v>342</v>
      </c>
      <c r="I24" s="5" t="s">
        <v>16</v>
      </c>
      <c r="J24">
        <v>1000</v>
      </c>
      <c r="K24">
        <v>1000</v>
      </c>
      <c r="L24">
        <v>2000</v>
      </c>
      <c r="M24">
        <v>2000</v>
      </c>
      <c r="N24">
        <v>2000</v>
      </c>
      <c r="O24">
        <v>2000</v>
      </c>
      <c r="P24">
        <v>2000</v>
      </c>
      <c r="Q24">
        <v>2000</v>
      </c>
      <c r="R24">
        <v>2000</v>
      </c>
      <c r="S24">
        <v>2000</v>
      </c>
      <c r="T24">
        <v>2000</v>
      </c>
      <c r="U24">
        <v>2000</v>
      </c>
      <c r="V24" s="49"/>
      <c r="W24" s="49"/>
      <c r="X24" s="50"/>
      <c r="Y24" s="51"/>
      <c r="Z24" s="51"/>
      <c r="AA24" s="49"/>
      <c r="AB24" s="49"/>
      <c r="AC24" s="49"/>
      <c r="AD24" s="69"/>
      <c r="AE24" s="51"/>
      <c r="AF24" s="51"/>
      <c r="AG24" s="49"/>
      <c r="AH24" s="49"/>
      <c r="AI24" s="50"/>
      <c r="AJ24" s="49"/>
      <c r="AK24" s="49"/>
      <c r="AL24" s="49"/>
      <c r="AM24" s="49"/>
      <c r="AN24" s="49"/>
      <c r="AO24" s="49"/>
      <c r="AP24" s="49"/>
      <c r="AQ24" s="49"/>
      <c r="AR24" s="49"/>
      <c r="AS24" s="49"/>
      <c r="AT24" s="49"/>
      <c r="AU24" s="49"/>
      <c r="AV24" s="49"/>
      <c r="AW24" s="49"/>
      <c r="AX24" s="49"/>
      <c r="AY24" s="49"/>
      <c r="AZ24" s="49"/>
    </row>
    <row r="25" spans="1:52" x14ac:dyDescent="0.25">
      <c r="A25" s="106" t="s">
        <v>39</v>
      </c>
      <c r="B25" s="132" t="s">
        <v>24</v>
      </c>
      <c r="C25" s="56">
        <v>400</v>
      </c>
      <c r="D25" s="56"/>
      <c r="E25" s="56">
        <f>-6.5*3.6</f>
        <v>-23.400000000000002</v>
      </c>
      <c r="F25" s="107">
        <v>0</v>
      </c>
      <c r="H25" s="139" t="s">
        <v>341</v>
      </c>
      <c r="I25" s="5" t="s">
        <v>16</v>
      </c>
      <c r="J25">
        <v>1000</v>
      </c>
      <c r="K25">
        <v>1000</v>
      </c>
      <c r="L25">
        <v>3000</v>
      </c>
      <c r="M25">
        <v>3000</v>
      </c>
      <c r="N25">
        <v>3000</v>
      </c>
      <c r="O25">
        <v>3000</v>
      </c>
      <c r="P25">
        <v>3000</v>
      </c>
      <c r="Q25">
        <v>3000</v>
      </c>
      <c r="R25">
        <v>3000</v>
      </c>
      <c r="S25">
        <v>3000</v>
      </c>
      <c r="T25">
        <v>3000</v>
      </c>
      <c r="U25">
        <v>3000</v>
      </c>
      <c r="V25" s="49"/>
      <c r="W25" s="49"/>
      <c r="X25" s="50"/>
      <c r="Y25" s="51"/>
      <c r="Z25" s="51"/>
      <c r="AA25" s="49"/>
      <c r="AB25" s="49"/>
      <c r="AC25" s="49"/>
      <c r="AD25" s="69"/>
      <c r="AE25" s="51"/>
      <c r="AF25" s="51"/>
      <c r="AG25" s="49"/>
      <c r="AH25" s="49"/>
      <c r="AI25" s="50"/>
      <c r="AJ25" s="49"/>
      <c r="AK25" s="49"/>
      <c r="AL25" s="49"/>
      <c r="AM25" s="49"/>
      <c r="AN25" s="49"/>
      <c r="AO25" s="49"/>
      <c r="AP25" s="49"/>
      <c r="AQ25" s="49"/>
      <c r="AR25" s="49"/>
      <c r="AS25" s="49"/>
      <c r="AT25" s="49"/>
      <c r="AU25" s="49"/>
      <c r="AV25" s="49"/>
      <c r="AW25" s="49"/>
      <c r="AX25" s="49"/>
      <c r="AY25" s="49"/>
      <c r="AZ25" s="49"/>
    </row>
    <row r="26" spans="1:52" x14ac:dyDescent="0.25">
      <c r="A26" s="106" t="s">
        <v>29</v>
      </c>
      <c r="B26" s="132" t="s">
        <v>30</v>
      </c>
      <c r="C26" s="56">
        <v>10.199999999999999</v>
      </c>
      <c r="D26" s="136">
        <v>10.5</v>
      </c>
      <c r="E26" s="56">
        <v>14</v>
      </c>
      <c r="F26" s="107">
        <v>3.6</v>
      </c>
      <c r="H26" s="158" t="s">
        <v>330</v>
      </c>
      <c r="I26" s="158" t="s">
        <v>331</v>
      </c>
      <c r="J26" s="159">
        <v>1</v>
      </c>
      <c r="K26" s="159">
        <v>1</v>
      </c>
      <c r="L26" s="159">
        <v>1</v>
      </c>
      <c r="M26" s="159">
        <v>1</v>
      </c>
      <c r="N26" s="159">
        <v>1</v>
      </c>
      <c r="O26" s="159">
        <v>1</v>
      </c>
      <c r="P26" s="159">
        <v>1</v>
      </c>
      <c r="Q26" s="159">
        <v>1</v>
      </c>
      <c r="R26" s="159">
        <v>1</v>
      </c>
      <c r="S26" s="159">
        <v>1</v>
      </c>
      <c r="T26" s="159">
        <v>1</v>
      </c>
      <c r="U26" s="159">
        <v>1</v>
      </c>
      <c r="V26" s="49"/>
      <c r="W26" s="49"/>
      <c r="X26" s="50"/>
      <c r="Y26" s="51"/>
      <c r="Z26" s="51"/>
      <c r="AA26" s="49"/>
      <c r="AB26" s="49"/>
      <c r="AC26" s="49"/>
      <c r="AD26" s="69"/>
      <c r="AE26" s="51"/>
      <c r="AF26" s="51"/>
      <c r="AG26" s="49"/>
      <c r="AH26" s="49"/>
      <c r="AI26" s="50"/>
      <c r="AJ26" s="49"/>
      <c r="AK26" s="49"/>
      <c r="AL26" s="49"/>
      <c r="AM26" s="49"/>
      <c r="AN26" s="49"/>
      <c r="AO26" s="49"/>
      <c r="AP26" s="49"/>
      <c r="AQ26" s="49"/>
      <c r="AR26" s="49"/>
      <c r="AS26" s="49"/>
      <c r="AT26" s="49"/>
      <c r="AU26" s="49"/>
      <c r="AV26" s="49"/>
      <c r="AW26" s="49"/>
      <c r="AX26" s="49"/>
      <c r="AY26" s="49"/>
      <c r="AZ26" s="49"/>
    </row>
    <row r="27" spans="1:52" x14ac:dyDescent="0.25">
      <c r="A27" s="106" t="s">
        <v>36</v>
      </c>
      <c r="B27" s="132" t="s">
        <v>34</v>
      </c>
      <c r="C27" s="56">
        <v>37</v>
      </c>
      <c r="D27" s="56"/>
      <c r="E27" s="56"/>
      <c r="F27" s="107"/>
      <c r="H27" s="158" t="s">
        <v>334</v>
      </c>
      <c r="I27" s="162" t="s">
        <v>41</v>
      </c>
      <c r="J27" s="159">
        <v>100</v>
      </c>
      <c r="K27" s="159">
        <v>100</v>
      </c>
      <c r="L27" s="159">
        <v>100</v>
      </c>
      <c r="M27" s="159">
        <v>100</v>
      </c>
      <c r="N27" s="159">
        <v>100</v>
      </c>
      <c r="O27" s="159">
        <v>100</v>
      </c>
      <c r="P27" s="159">
        <v>100</v>
      </c>
      <c r="Q27" s="159">
        <v>100</v>
      </c>
      <c r="R27" s="159">
        <v>100</v>
      </c>
      <c r="S27" s="159">
        <v>100</v>
      </c>
      <c r="T27" s="159">
        <v>100</v>
      </c>
      <c r="U27" s="159">
        <v>100</v>
      </c>
      <c r="V27" s="16"/>
      <c r="W27" s="49"/>
      <c r="X27" s="50"/>
      <c r="Y27" s="51"/>
      <c r="Z27" s="51"/>
      <c r="AA27" s="49"/>
      <c r="AB27" s="49"/>
      <c r="AC27" s="49"/>
      <c r="AD27" s="69"/>
      <c r="AE27" s="51"/>
      <c r="AF27" s="51"/>
      <c r="AG27" s="49"/>
      <c r="AH27" s="49"/>
      <c r="AI27" s="50"/>
      <c r="AJ27" s="49"/>
      <c r="AK27" s="49"/>
      <c r="AL27" s="49"/>
      <c r="AM27" s="49"/>
      <c r="AN27" s="49"/>
      <c r="AO27" s="49"/>
      <c r="AP27" s="49"/>
      <c r="AQ27" s="49"/>
      <c r="AR27" s="49"/>
      <c r="AS27" s="49"/>
      <c r="AT27" s="49"/>
      <c r="AU27" s="49"/>
      <c r="AV27" s="49"/>
      <c r="AW27" s="49"/>
      <c r="AX27" s="49"/>
      <c r="AY27" s="49"/>
      <c r="AZ27" s="49"/>
    </row>
    <row r="28" spans="1:52" x14ac:dyDescent="0.25">
      <c r="A28" s="106" t="s">
        <v>37</v>
      </c>
      <c r="B28" s="132" t="s">
        <v>34</v>
      </c>
      <c r="C28" s="56">
        <v>42.5</v>
      </c>
      <c r="D28" s="56"/>
      <c r="E28" s="56"/>
      <c r="F28" s="107"/>
      <c r="H28" s="121" t="s">
        <v>142</v>
      </c>
      <c r="I28" s="166" t="s">
        <v>47</v>
      </c>
      <c r="J28" s="19" t="str">
        <f>J3</f>
        <v>JAN</v>
      </c>
      <c r="K28" s="19" t="str">
        <f>K3</f>
        <v>FEB</v>
      </c>
      <c r="L28" s="19" t="str">
        <f>L3</f>
        <v>MAR</v>
      </c>
      <c r="M28" s="19" t="str">
        <f>M3</f>
        <v>APR</v>
      </c>
      <c r="N28" s="19" t="str">
        <f>N3</f>
        <v>MAJ</v>
      </c>
      <c r="O28" s="19" t="str">
        <f>O3</f>
        <v>JUN</v>
      </c>
      <c r="P28" s="19" t="str">
        <f>P3</f>
        <v>JUL</v>
      </c>
      <c r="Q28" s="19" t="str">
        <f>Q3</f>
        <v>AUG</v>
      </c>
      <c r="R28" s="19" t="str">
        <f>R3</f>
        <v>SEP</v>
      </c>
      <c r="S28" s="19" t="str">
        <f>S3</f>
        <v>OKT</v>
      </c>
      <c r="T28" s="19" t="str">
        <f>T3</f>
        <v>NOV</v>
      </c>
      <c r="U28" s="19" t="str">
        <f>U3</f>
        <v>DEC</v>
      </c>
      <c r="V28" s="49"/>
      <c r="W28" s="49"/>
      <c r="X28" s="50"/>
      <c r="Y28" s="51"/>
      <c r="Z28" s="51"/>
      <c r="AA28" s="49"/>
      <c r="AB28" s="49"/>
      <c r="AC28" s="49"/>
      <c r="AD28" s="69"/>
      <c r="AE28" s="51"/>
      <c r="AF28" s="51"/>
      <c r="AG28" s="49"/>
      <c r="AH28" s="49"/>
      <c r="AI28" s="50"/>
      <c r="AJ28" s="49"/>
      <c r="AK28" s="49"/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49"/>
      <c r="AW28" s="49"/>
      <c r="AX28" s="49"/>
      <c r="AY28" s="49"/>
      <c r="AZ28" s="49"/>
    </row>
    <row r="29" spans="1:52" ht="15.75" thickBot="1" x14ac:dyDescent="0.3">
      <c r="A29" s="108" t="s">
        <v>137</v>
      </c>
      <c r="B29" s="133" t="s">
        <v>30</v>
      </c>
      <c r="C29" s="111">
        <v>10.6</v>
      </c>
      <c r="D29" s="111"/>
      <c r="E29" s="111"/>
      <c r="F29" s="112"/>
      <c r="H29" t="s">
        <v>292</v>
      </c>
      <c r="I29" s="8"/>
      <c r="J29" s="59">
        <v>31</v>
      </c>
      <c r="K29" s="120">
        <v>28</v>
      </c>
      <c r="L29" s="120">
        <v>31</v>
      </c>
      <c r="M29" s="120">
        <v>30</v>
      </c>
      <c r="N29" s="120">
        <v>31</v>
      </c>
      <c r="O29" s="120">
        <v>30</v>
      </c>
      <c r="P29" s="120">
        <v>31</v>
      </c>
      <c r="Q29" s="120">
        <v>31</v>
      </c>
      <c r="R29" s="120">
        <v>30</v>
      </c>
      <c r="S29" s="120">
        <v>31</v>
      </c>
      <c r="T29" s="120">
        <v>30</v>
      </c>
      <c r="U29" s="56">
        <v>31</v>
      </c>
      <c r="V29" s="49"/>
      <c r="W29" s="49"/>
      <c r="X29" s="50"/>
      <c r="Y29" s="51"/>
      <c r="Z29" s="51"/>
      <c r="AA29" s="49"/>
      <c r="AB29" s="49"/>
      <c r="AC29" s="49"/>
      <c r="AD29" s="69"/>
      <c r="AE29" s="51"/>
      <c r="AF29" s="51"/>
      <c r="AG29" s="49"/>
      <c r="AH29" s="49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49"/>
      <c r="AZ29" s="49"/>
    </row>
    <row r="30" spans="1:52" ht="15.75" thickBot="1" x14ac:dyDescent="0.3">
      <c r="H30" t="s">
        <v>287</v>
      </c>
      <c r="I30" s="14" t="s">
        <v>30</v>
      </c>
      <c r="J30" s="122">
        <f>(SUM(J20:J21)*LHVFossilFast+SUM(J22:J23)*J9+SUM(J24:J25)*LHVbiogent)/SUM(J20:J25)</f>
        <v>10.871428571428572</v>
      </c>
      <c r="K30" s="122">
        <f>(SUM(K20:K21)*LHVFossilFast+SUM(K22:K23)*K9+SUM(K24:K25)*LHVbiogent)/SUM(K20:K25)</f>
        <v>10.871428571428572</v>
      </c>
      <c r="L30" s="122">
        <f>(SUM(L20:L21)*LHVFossilFast+SUM(L22:L23)*L9+SUM(L24:L25)*LHVbiogent)/SUM(L20:L25)</f>
        <v>11.481249999999999</v>
      </c>
      <c r="M30" s="122">
        <f>(SUM(M20:M21)*LHVFossilFast+SUM(M22:M23)*M9+SUM(M24:M25)*LHVbiogent)/SUM(M20:M25)</f>
        <v>11.481249999999999</v>
      </c>
      <c r="N30" s="122">
        <f>(SUM(N20:N21)*LHVFossilFast+SUM(N22:N23)*N9+SUM(N24:N25)*LHVbiogent)/SUM(N20:N25)</f>
        <v>11.481249999999999</v>
      </c>
      <c r="O30" s="122">
        <f>(SUM(O20:O21)*LHVFossilFast+SUM(O22:O23)*O9+SUM(O24:O25)*LHVbiogent)/SUM(O20:O25)</f>
        <v>11.481249999999999</v>
      </c>
      <c r="P30" s="122">
        <f>(SUM(P20:P21)*LHVFossilFast+SUM(P22:P23)*P9+SUM(P24:P25)*LHVbiogent)/SUM(P20:P25)</f>
        <v>11.481249999999999</v>
      </c>
      <c r="Q30" s="122">
        <f>(SUM(Q20:Q21)*LHVFossilFast+SUM(Q22:Q23)*Q9+SUM(Q24:Q25)*LHVbiogent)/SUM(Q20:Q25)</f>
        <v>11.481249999999999</v>
      </c>
      <c r="R30" s="122">
        <f>(SUM(R20:R21)*LHVFossilFast+SUM(R22:R23)*R9+SUM(R24:R25)*LHVbiogent)/SUM(R20:R25)</f>
        <v>11.481249999999999</v>
      </c>
      <c r="S30" s="122">
        <f>(SUM(S20:S21)*LHVFossilFast+SUM(S22:S23)*S9+SUM(S24:S25)*LHVbiogent)/SUM(S20:S25)</f>
        <v>11.481249999999999</v>
      </c>
      <c r="T30" s="122">
        <f>(SUM(T20:T21)*LHVFossilFast+SUM(T22:T23)*T9+SUM(T24:T25)*LHVbiogent)/SUM(T20:T25)</f>
        <v>11.481249999999999</v>
      </c>
      <c r="U30" s="122">
        <f>(SUM(U20:U21)*LHVFossilFast+SUM(U22:U23)*U9+SUM(U24:U25)*LHVbiogent)/SUM(U20:U25)</f>
        <v>11.481249999999999</v>
      </c>
      <c r="V30" s="49"/>
      <c r="W30" s="49"/>
      <c r="X30" s="50"/>
      <c r="Y30" s="51"/>
      <c r="Z30" s="51"/>
      <c r="AA30" s="49"/>
      <c r="AB30" s="49"/>
      <c r="AC30" s="49"/>
      <c r="AD30" s="69"/>
      <c r="AE30" s="51"/>
      <c r="AF30" s="51"/>
      <c r="AG30" s="49"/>
      <c r="AH30" s="49"/>
      <c r="AI30" s="50"/>
      <c r="AJ30" s="49"/>
      <c r="AK30" s="49"/>
      <c r="AL30" s="49"/>
      <c r="AM30" s="49"/>
      <c r="AN30" s="49"/>
      <c r="AO30" s="49"/>
      <c r="AP30" s="49"/>
      <c r="AQ30" s="49"/>
      <c r="AR30" s="49"/>
      <c r="AS30" s="49"/>
      <c r="AT30" s="49"/>
      <c r="AU30" s="49"/>
      <c r="AV30" s="49"/>
      <c r="AW30" s="49"/>
      <c r="AX30" s="49"/>
      <c r="AY30" s="49"/>
      <c r="AZ30" s="49"/>
    </row>
    <row r="31" spans="1:52" x14ac:dyDescent="0.25">
      <c r="A31" s="115" t="s">
        <v>299</v>
      </c>
      <c r="B31" s="134"/>
      <c r="C31" s="118"/>
      <c r="D31" s="118"/>
      <c r="E31" s="118"/>
      <c r="F31" s="117"/>
      <c r="H31" t="s">
        <v>290</v>
      </c>
      <c r="I31" s="14" t="s">
        <v>16</v>
      </c>
      <c r="J31" s="123">
        <f>SUM(J20:J25)</f>
        <v>14000</v>
      </c>
      <c r="K31" s="123">
        <f t="shared" ref="K31:U31" si="2">SUM(K20:K25)</f>
        <v>14000</v>
      </c>
      <c r="L31" s="123">
        <f t="shared" si="2"/>
        <v>16000</v>
      </c>
      <c r="M31" s="123">
        <f t="shared" si="2"/>
        <v>16000</v>
      </c>
      <c r="N31" s="123">
        <f t="shared" si="2"/>
        <v>16000</v>
      </c>
      <c r="O31" s="123">
        <f t="shared" si="2"/>
        <v>16000</v>
      </c>
      <c r="P31" s="123">
        <f t="shared" si="2"/>
        <v>16000</v>
      </c>
      <c r="Q31" s="123">
        <f t="shared" si="2"/>
        <v>16000</v>
      </c>
      <c r="R31" s="123">
        <f t="shared" si="2"/>
        <v>16000</v>
      </c>
      <c r="S31" s="123">
        <f t="shared" si="2"/>
        <v>16000</v>
      </c>
      <c r="T31" s="123">
        <f t="shared" si="2"/>
        <v>16000</v>
      </c>
      <c r="U31" s="123">
        <f t="shared" si="2"/>
        <v>16000</v>
      </c>
      <c r="V31" s="49"/>
      <c r="W31" s="49"/>
      <c r="X31" s="50"/>
      <c r="Y31"/>
      <c r="Z31"/>
      <c r="AA31" s="49"/>
      <c r="AB31" s="49"/>
      <c r="AC31" s="49"/>
      <c r="AD31" s="69"/>
      <c r="AE31" s="51"/>
      <c r="AF31" s="51"/>
      <c r="AG31" s="49"/>
      <c r="AH31" s="49"/>
      <c r="AI31" s="50"/>
      <c r="AJ31" s="49"/>
      <c r="AK31" s="49"/>
      <c r="AL31" s="49"/>
      <c r="AM31" s="49"/>
      <c r="AN31" s="49"/>
      <c r="AO31" s="49"/>
      <c r="AP31" s="49"/>
      <c r="AQ31" s="49"/>
      <c r="AR31" s="49"/>
      <c r="AS31" s="49"/>
      <c r="AT31" s="49"/>
      <c r="AU31" s="49"/>
      <c r="AV31" s="49"/>
      <c r="AW31" s="49"/>
      <c r="AX31" s="49"/>
      <c r="AY31" s="49"/>
      <c r="AZ31" s="49"/>
    </row>
    <row r="32" spans="1:52" x14ac:dyDescent="0.25">
      <c r="A32" s="106" t="s">
        <v>28</v>
      </c>
      <c r="B32" s="132" t="s">
        <v>23</v>
      </c>
      <c r="C32" s="56">
        <v>311</v>
      </c>
      <c r="D32" s="56"/>
      <c r="E32" s="56"/>
      <c r="F32" s="107"/>
      <c r="H32" t="s">
        <v>291</v>
      </c>
      <c r="I32" s="14" t="s">
        <v>52</v>
      </c>
      <c r="J32" s="123">
        <f>J31*J30/3.6</f>
        <v>42277.777777777774</v>
      </c>
      <c r="K32" s="123">
        <f t="shared" ref="K32:U32" si="3">K31*K30/3.6</f>
        <v>42277.777777777774</v>
      </c>
      <c r="L32" s="123">
        <f t="shared" si="3"/>
        <v>51027.777777777774</v>
      </c>
      <c r="M32" s="123">
        <f t="shared" si="3"/>
        <v>51027.777777777774</v>
      </c>
      <c r="N32" s="123">
        <f t="shared" si="3"/>
        <v>51027.777777777774</v>
      </c>
      <c r="O32" s="123">
        <f t="shared" si="3"/>
        <v>51027.777777777774</v>
      </c>
      <c r="P32" s="123">
        <f t="shared" si="3"/>
        <v>51027.777777777774</v>
      </c>
      <c r="Q32" s="123">
        <f t="shared" si="3"/>
        <v>51027.777777777774</v>
      </c>
      <c r="R32" s="123">
        <f t="shared" si="3"/>
        <v>51027.777777777774</v>
      </c>
      <c r="S32" s="123">
        <f t="shared" si="3"/>
        <v>51027.777777777774</v>
      </c>
      <c r="T32" s="123">
        <f t="shared" si="3"/>
        <v>51027.777777777774</v>
      </c>
      <c r="U32" s="123">
        <f t="shared" si="3"/>
        <v>51027.777777777774</v>
      </c>
      <c r="V32" s="49"/>
      <c r="W32" s="49"/>
      <c r="X32" s="50"/>
      <c r="Y32" s="51"/>
      <c r="Z32" s="51"/>
      <c r="AA32" s="49"/>
      <c r="AB32" s="49"/>
      <c r="AC32" s="49"/>
      <c r="AD32" s="69"/>
      <c r="AE32" s="51"/>
      <c r="AF32" s="51"/>
      <c r="AG32" s="49"/>
      <c r="AH32" s="49"/>
      <c r="AI32" s="50"/>
      <c r="AJ32" s="49"/>
      <c r="AK32" s="49"/>
      <c r="AL32" s="49"/>
      <c r="AM32" s="49"/>
      <c r="AN32" s="49"/>
      <c r="AO32" s="49"/>
      <c r="AP32" s="49"/>
      <c r="AQ32" s="49"/>
      <c r="AR32" s="49"/>
      <c r="AS32" s="49"/>
      <c r="AT32" s="49"/>
      <c r="AU32" s="49"/>
      <c r="AV32" s="49"/>
      <c r="AW32" s="49"/>
      <c r="AX32" s="49"/>
      <c r="AY32" s="49"/>
      <c r="AZ32" s="49"/>
    </row>
    <row r="33" spans="1:52" x14ac:dyDescent="0.25">
      <c r="A33" s="106" t="s">
        <v>305</v>
      </c>
      <c r="B33" s="132" t="s">
        <v>23</v>
      </c>
      <c r="C33" s="120">
        <v>5000</v>
      </c>
      <c r="D33" s="56"/>
      <c r="E33" s="56"/>
      <c r="F33" s="107"/>
      <c r="H33" t="s">
        <v>306</v>
      </c>
      <c r="I33" s="14"/>
      <c r="J33" s="125">
        <f>SUM(J20:J21)/SUM(J31)</f>
        <v>0.42857142857142855</v>
      </c>
      <c r="K33" s="125">
        <f t="shared" ref="K33:U33" si="4">SUM(K20:K21)/SUM(K31)</f>
        <v>0.42857142857142855</v>
      </c>
      <c r="L33" s="125">
        <f t="shared" si="4"/>
        <v>0.375</v>
      </c>
      <c r="M33" s="125">
        <f t="shared" si="4"/>
        <v>0.375</v>
      </c>
      <c r="N33" s="125">
        <f t="shared" si="4"/>
        <v>0.375</v>
      </c>
      <c r="O33" s="125">
        <f t="shared" si="4"/>
        <v>0.375</v>
      </c>
      <c r="P33" s="125">
        <f t="shared" si="4"/>
        <v>0.375</v>
      </c>
      <c r="Q33" s="125">
        <f t="shared" si="4"/>
        <v>0.375</v>
      </c>
      <c r="R33" s="125">
        <f t="shared" si="4"/>
        <v>0.375</v>
      </c>
      <c r="S33" s="125">
        <f t="shared" si="4"/>
        <v>0.375</v>
      </c>
      <c r="T33" s="125">
        <f t="shared" si="4"/>
        <v>0.375</v>
      </c>
      <c r="U33" s="125">
        <f t="shared" si="4"/>
        <v>0.375</v>
      </c>
      <c r="V33" s="49"/>
      <c r="W33" s="49"/>
      <c r="X33" s="50"/>
      <c r="Y33" s="51"/>
      <c r="Z33" s="51"/>
      <c r="AA33" s="49"/>
      <c r="AB33" s="49"/>
      <c r="AC33" s="49"/>
      <c r="AD33" s="69"/>
      <c r="AE33" s="51"/>
      <c r="AF33" s="51"/>
      <c r="AG33" s="49"/>
      <c r="AH33" s="49"/>
      <c r="AI33" s="50"/>
      <c r="AJ33" s="49"/>
      <c r="AK33" s="49"/>
      <c r="AL33" s="49"/>
      <c r="AM33" s="49"/>
      <c r="AN33" s="49"/>
      <c r="AO33" s="49"/>
      <c r="AP33" s="49"/>
      <c r="AQ33" s="49"/>
      <c r="AR33" s="49"/>
      <c r="AS33" s="49"/>
      <c r="AT33" s="49"/>
      <c r="AU33" s="49"/>
      <c r="AV33" s="49"/>
      <c r="AW33" s="49"/>
      <c r="AX33" s="49"/>
      <c r="AY33" s="49"/>
      <c r="AZ33" s="49"/>
    </row>
    <row r="34" spans="1:52" x14ac:dyDescent="0.25">
      <c r="A34" s="106" t="s">
        <v>40</v>
      </c>
      <c r="B34" s="132" t="s">
        <v>26</v>
      </c>
      <c r="C34" s="56">
        <v>4</v>
      </c>
      <c r="D34" s="56"/>
      <c r="E34" s="56"/>
      <c r="F34" s="107"/>
      <c r="H34" t="s">
        <v>307</v>
      </c>
      <c r="I34" s="14"/>
      <c r="J34" s="125">
        <f>SUM(J22:J23)/J31</f>
        <v>0.42857142857142855</v>
      </c>
      <c r="K34" s="125">
        <f t="shared" ref="K34:U34" si="5">SUM(K22:K23)/K31</f>
        <v>0.42857142857142855</v>
      </c>
      <c r="L34" s="125">
        <f t="shared" si="5"/>
        <v>0.3125</v>
      </c>
      <c r="M34" s="125">
        <f t="shared" si="5"/>
        <v>0.3125</v>
      </c>
      <c r="N34" s="125">
        <f t="shared" si="5"/>
        <v>0.3125</v>
      </c>
      <c r="O34" s="125">
        <f t="shared" si="5"/>
        <v>0.3125</v>
      </c>
      <c r="P34" s="125">
        <f t="shared" si="5"/>
        <v>0.3125</v>
      </c>
      <c r="Q34" s="125">
        <f t="shared" si="5"/>
        <v>0.3125</v>
      </c>
      <c r="R34" s="125">
        <f t="shared" si="5"/>
        <v>0.3125</v>
      </c>
      <c r="S34" s="125">
        <f t="shared" si="5"/>
        <v>0.3125</v>
      </c>
      <c r="T34" s="125">
        <f t="shared" si="5"/>
        <v>0.3125</v>
      </c>
      <c r="U34" s="125">
        <f t="shared" si="5"/>
        <v>0.3125</v>
      </c>
      <c r="V34" s="49"/>
      <c r="W34" s="49"/>
      <c r="X34" s="50"/>
      <c r="Y34" s="51"/>
      <c r="Z34" s="51"/>
      <c r="AA34" s="49"/>
      <c r="AB34" s="49"/>
      <c r="AC34" s="49"/>
      <c r="AD34" s="69"/>
      <c r="AE34" s="51"/>
      <c r="AF34" s="51"/>
      <c r="AG34" s="49"/>
      <c r="AH34" s="49"/>
      <c r="AI34" s="50"/>
      <c r="AJ34" s="49"/>
      <c r="AK34" s="49"/>
      <c r="AL34" s="49"/>
      <c r="AM34" s="49"/>
      <c r="AN34" s="49"/>
      <c r="AO34" s="49"/>
      <c r="AP34" s="49"/>
      <c r="AQ34" s="49"/>
      <c r="AR34" s="49"/>
      <c r="AS34" s="49"/>
      <c r="AT34" s="49"/>
      <c r="AU34" s="49"/>
      <c r="AV34" s="49"/>
      <c r="AW34" s="49"/>
      <c r="AX34" s="49"/>
      <c r="AY34" s="49"/>
      <c r="AZ34" s="49"/>
    </row>
    <row r="35" spans="1:52" x14ac:dyDescent="0.25">
      <c r="A35" s="106" t="s">
        <v>31</v>
      </c>
      <c r="B35" s="132" t="s">
        <v>35</v>
      </c>
      <c r="C35" s="56">
        <v>25.8</v>
      </c>
      <c r="D35" s="56"/>
      <c r="E35" s="56"/>
      <c r="F35" s="107"/>
      <c r="H35" t="s">
        <v>293</v>
      </c>
      <c r="I35" s="14"/>
      <c r="J35" s="125">
        <f>SUM(J24:J25)/J31</f>
        <v>0.14285714285714285</v>
      </c>
      <c r="K35" s="125">
        <f t="shared" ref="K35:U35" si="6">SUM(K24:K25)/K31</f>
        <v>0.14285714285714285</v>
      </c>
      <c r="L35" s="125">
        <f t="shared" si="6"/>
        <v>0.3125</v>
      </c>
      <c r="M35" s="125">
        <f t="shared" si="6"/>
        <v>0.3125</v>
      </c>
      <c r="N35" s="125">
        <f t="shared" si="6"/>
        <v>0.3125</v>
      </c>
      <c r="O35" s="125">
        <f t="shared" si="6"/>
        <v>0.3125</v>
      </c>
      <c r="P35" s="125">
        <f t="shared" si="6"/>
        <v>0.3125</v>
      </c>
      <c r="Q35" s="125">
        <f t="shared" si="6"/>
        <v>0.3125</v>
      </c>
      <c r="R35" s="125">
        <f t="shared" si="6"/>
        <v>0.3125</v>
      </c>
      <c r="S35" s="125">
        <f t="shared" si="6"/>
        <v>0.3125</v>
      </c>
      <c r="T35" s="125">
        <f t="shared" si="6"/>
        <v>0.3125</v>
      </c>
      <c r="U35" s="125">
        <f t="shared" si="6"/>
        <v>0.3125</v>
      </c>
      <c r="V35" s="49"/>
      <c r="W35" s="49"/>
      <c r="X35" s="50"/>
      <c r="Y35"/>
      <c r="Z35"/>
      <c r="AA35" s="49"/>
      <c r="AB35" s="49"/>
      <c r="AC35" s="49"/>
      <c r="AD35" s="69"/>
      <c r="AE35" s="51"/>
      <c r="AF35" s="51"/>
      <c r="AG35" s="49"/>
      <c r="AH35" s="49"/>
      <c r="AI35" s="50"/>
      <c r="AJ35" s="49"/>
      <c r="AK35" s="49"/>
      <c r="AL35" s="49"/>
      <c r="AM35" s="49"/>
      <c r="AN35" s="49"/>
      <c r="AO35" s="49"/>
      <c r="AP35" s="49"/>
      <c r="AQ35" s="49"/>
      <c r="AR35" s="49"/>
      <c r="AS35" s="49"/>
      <c r="AT35" s="49"/>
      <c r="AU35" s="49"/>
      <c r="AV35" s="49"/>
      <c r="AW35" s="49"/>
      <c r="AX35" s="49"/>
      <c r="AY35" s="49"/>
      <c r="AZ35" s="49"/>
    </row>
    <row r="36" spans="1:52" x14ac:dyDescent="0.25">
      <c r="A36" s="106" t="s">
        <v>32</v>
      </c>
      <c r="B36" s="132" t="s">
        <v>35</v>
      </c>
      <c r="C36" s="56">
        <v>31.8</v>
      </c>
      <c r="D36" s="56"/>
      <c r="E36" s="56"/>
      <c r="F36" s="107"/>
      <c r="H36" t="s">
        <v>345</v>
      </c>
      <c r="I36" s="14" t="s">
        <v>16</v>
      </c>
      <c r="J36" s="123">
        <f>J20+J22+J24</f>
        <v>7000</v>
      </c>
      <c r="K36" s="123">
        <f t="shared" ref="K36:U36" si="7">K20+K22+K24</f>
        <v>7000</v>
      </c>
      <c r="L36" s="123">
        <f t="shared" si="7"/>
        <v>7000</v>
      </c>
      <c r="M36" s="123">
        <f t="shared" si="7"/>
        <v>7000</v>
      </c>
      <c r="N36" s="123">
        <f t="shared" si="7"/>
        <v>7000</v>
      </c>
      <c r="O36" s="123">
        <f t="shared" si="7"/>
        <v>7000</v>
      </c>
      <c r="P36" s="123">
        <f t="shared" si="7"/>
        <v>7000</v>
      </c>
      <c r="Q36" s="123">
        <f t="shared" si="7"/>
        <v>7000</v>
      </c>
      <c r="R36" s="123">
        <f t="shared" si="7"/>
        <v>7000</v>
      </c>
      <c r="S36" s="123">
        <f t="shared" si="7"/>
        <v>7000</v>
      </c>
      <c r="T36" s="123">
        <f t="shared" si="7"/>
        <v>7000</v>
      </c>
      <c r="U36" s="123">
        <f t="shared" si="7"/>
        <v>7000</v>
      </c>
      <c r="V36" s="49"/>
      <c r="W36" s="49"/>
      <c r="X36" s="50"/>
      <c r="Y36" s="51"/>
      <c r="Z36" s="51"/>
      <c r="AA36" s="49"/>
      <c r="AB36" s="49"/>
      <c r="AC36" s="49"/>
      <c r="AD36" s="69"/>
      <c r="AE36" s="51"/>
      <c r="AF36" s="51"/>
      <c r="AG36" s="49"/>
      <c r="AH36" s="49"/>
      <c r="AI36" s="50"/>
      <c r="AJ36" s="49"/>
      <c r="AK36" s="49"/>
      <c r="AL36" s="49"/>
      <c r="AM36" s="49"/>
      <c r="AN36" s="49"/>
      <c r="AO36" s="49"/>
      <c r="AP36" s="49"/>
      <c r="AQ36" s="49"/>
      <c r="AR36" s="49"/>
      <c r="AS36" s="49"/>
      <c r="AT36" s="49"/>
      <c r="AU36" s="49"/>
      <c r="AV36" s="49"/>
      <c r="AW36" s="49"/>
      <c r="AX36" s="49"/>
      <c r="AY36" s="49"/>
      <c r="AZ36" s="49"/>
    </row>
    <row r="37" spans="1:52" ht="15.75" thickBot="1" x14ac:dyDescent="0.3">
      <c r="A37" s="108" t="s">
        <v>33</v>
      </c>
      <c r="B37" s="133" t="s">
        <v>38</v>
      </c>
      <c r="C37" s="111">
        <v>178.5</v>
      </c>
      <c r="D37" s="111"/>
      <c r="E37" s="111"/>
      <c r="F37" s="112"/>
      <c r="H37" t="s">
        <v>346</v>
      </c>
      <c r="I37" s="14" t="s">
        <v>16</v>
      </c>
      <c r="J37" s="123">
        <f>J21+J23+J25</f>
        <v>7000</v>
      </c>
      <c r="K37" s="123">
        <f t="shared" ref="K37:U37" si="8">K21+K23+K25</f>
        <v>7000</v>
      </c>
      <c r="L37" s="123">
        <f t="shared" si="8"/>
        <v>9000</v>
      </c>
      <c r="M37" s="123">
        <f t="shared" si="8"/>
        <v>9000</v>
      </c>
      <c r="N37" s="123">
        <f t="shared" si="8"/>
        <v>9000</v>
      </c>
      <c r="O37" s="123">
        <f t="shared" si="8"/>
        <v>9000</v>
      </c>
      <c r="P37" s="123">
        <f t="shared" si="8"/>
        <v>9000</v>
      </c>
      <c r="Q37" s="123">
        <f t="shared" si="8"/>
        <v>9000</v>
      </c>
      <c r="R37" s="123">
        <f t="shared" si="8"/>
        <v>9000</v>
      </c>
      <c r="S37" s="123">
        <f t="shared" si="8"/>
        <v>9000</v>
      </c>
      <c r="T37" s="123">
        <f t="shared" si="8"/>
        <v>9000</v>
      </c>
      <c r="U37" s="123">
        <f t="shared" si="8"/>
        <v>9000</v>
      </c>
      <c r="V37" s="49"/>
      <c r="W37" s="49"/>
      <c r="X37" s="50"/>
      <c r="Y37" s="51"/>
      <c r="Z37" s="51"/>
      <c r="AA37" s="49"/>
      <c r="AB37" s="49"/>
      <c r="AC37" s="49"/>
      <c r="AD37" s="69"/>
      <c r="AE37" s="51"/>
      <c r="AF37" s="51"/>
      <c r="AG37" s="49"/>
      <c r="AH37" s="49"/>
      <c r="AI37" s="50"/>
      <c r="AJ37" s="49"/>
      <c r="AK37" s="49"/>
      <c r="AL37" s="49"/>
      <c r="AM37" s="49"/>
      <c r="AN37" s="49"/>
      <c r="AO37" s="49"/>
      <c r="AP37" s="49"/>
      <c r="AQ37" s="49"/>
      <c r="AR37" s="49"/>
      <c r="AS37" s="49"/>
      <c r="AT37" s="49"/>
      <c r="AU37" s="49"/>
      <c r="AV37" s="49"/>
      <c r="AW37" s="49"/>
      <c r="AX37" s="49"/>
      <c r="AY37" s="49"/>
      <c r="AZ37" s="49"/>
    </row>
    <row r="38" spans="1:52" x14ac:dyDescent="0.25">
      <c r="H38" t="s">
        <v>348</v>
      </c>
      <c r="I38" s="14"/>
      <c r="J38" s="125">
        <f>EtaQNomOvn2+J13*EtaRgkOvn2</f>
        <v>1.0216842105263158</v>
      </c>
      <c r="K38" s="125">
        <f>EtaQNomOvn2+K13*EtaRgkOvn2</f>
        <v>1.0216842105263158</v>
      </c>
      <c r="L38" s="125">
        <f>EtaQNomOvn2+L13*EtaRgkOvn2</f>
        <v>1.0216842105263158</v>
      </c>
      <c r="M38" s="125">
        <f>EtaQNomOvn2+M13*EtaRgkOvn2</f>
        <v>1.0216842105263158</v>
      </c>
      <c r="N38" s="125">
        <f>EtaQNomOvn2+N13*EtaRgkOvn2</f>
        <v>1.0216842105263158</v>
      </c>
      <c r="O38" s="125">
        <f>EtaQNomOvn2+O13*EtaRgkOvn2</f>
        <v>1.0216842105263158</v>
      </c>
      <c r="P38" s="125">
        <f>EtaQNomOvn2+P13*EtaRgkOvn2</f>
        <v>1.0216842105263158</v>
      </c>
      <c r="Q38" s="125">
        <f>EtaQNomOvn2+Q13*EtaRgkOvn2</f>
        <v>1.0216842105263158</v>
      </c>
      <c r="R38" s="125">
        <f>EtaQNomOvn2+R13*EtaRgkOvn2</f>
        <v>1.0216842105263158</v>
      </c>
      <c r="S38" s="125">
        <f>EtaQNomOvn2+S13*EtaRgkOvn2</f>
        <v>1.0216842105263158</v>
      </c>
      <c r="T38" s="125">
        <f>EtaQNomOvn2+T13*EtaRgkOvn2</f>
        <v>1.0216842105263158</v>
      </c>
      <c r="U38" s="125">
        <f>EtaQNomOvn2+U13*EtaRgkOvn2</f>
        <v>1.0216842105263158</v>
      </c>
      <c r="V38" s="49"/>
      <c r="W38" s="51"/>
      <c r="X38" s="50"/>
      <c r="Y38" s="51"/>
      <c r="Z38" s="51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  <c r="AN38" s="49"/>
      <c r="AO38" s="49"/>
      <c r="AP38" s="49"/>
      <c r="AQ38" s="49"/>
      <c r="AR38" s="49"/>
    </row>
    <row r="39" spans="1:52" x14ac:dyDescent="0.25">
      <c r="H39" t="s">
        <v>347</v>
      </c>
      <c r="I39" s="14"/>
      <c r="J39" s="125">
        <f>EtaQNomOvn3+J13*EtaRgkOvn3</f>
        <v>0.81635555555555561</v>
      </c>
      <c r="K39" s="125">
        <f>EtaQNomOvn3+K13*EtaRgkOvn3</f>
        <v>0.81635555555555561</v>
      </c>
      <c r="L39" s="125">
        <f>EtaQNomOvn3+L13*EtaRgkOvn3</f>
        <v>0.81635555555555561</v>
      </c>
      <c r="M39" s="125">
        <f>EtaQNomOvn3+M13*EtaRgkOvn3</f>
        <v>0.81635555555555561</v>
      </c>
      <c r="N39" s="125">
        <f>EtaQNomOvn3+N13*EtaRgkOvn3</f>
        <v>0.81635555555555561</v>
      </c>
      <c r="O39" s="125">
        <f>EtaQNomOvn3+O13*EtaRgkOvn3</f>
        <v>0.81635555555555561</v>
      </c>
      <c r="P39" s="125">
        <f>EtaQNomOvn3+P13*EtaRgkOvn3</f>
        <v>0.81635555555555561</v>
      </c>
      <c r="Q39" s="125">
        <f>EtaQNomOvn3+Q13*EtaRgkOvn3</f>
        <v>0.81635555555555561</v>
      </c>
      <c r="R39" s="125">
        <f>EtaQNomOvn3+R13*EtaRgkOvn3</f>
        <v>0.81635555555555561</v>
      </c>
      <c r="S39" s="125">
        <f>EtaQNomOvn3+S13*EtaRgkOvn3</f>
        <v>0.81635555555555561</v>
      </c>
      <c r="T39" s="125">
        <f>EtaQNomOvn3+T13*EtaRgkOvn3</f>
        <v>0.81635555555555561</v>
      </c>
      <c r="U39" s="125">
        <f>EtaQNomOvn3+U13*EtaRgkOvn3</f>
        <v>0.81635555555555561</v>
      </c>
      <c r="V39" s="49"/>
      <c r="W39" s="49"/>
      <c r="X39" s="50"/>
      <c r="Y39"/>
      <c r="Z39"/>
      <c r="AA39" s="49"/>
      <c r="AB39" s="49"/>
      <c r="AC39" s="49"/>
      <c r="AD39" s="69"/>
      <c r="AE39" s="51"/>
      <c r="AF39" s="51"/>
      <c r="AG39" s="49"/>
      <c r="AH39" s="49"/>
      <c r="AI39" s="50"/>
      <c r="AJ39" s="49"/>
      <c r="AK39" s="49"/>
      <c r="AL39" s="49"/>
      <c r="AM39" s="49"/>
      <c r="AN39" s="49"/>
      <c r="AO39" s="49"/>
      <c r="AP39" s="49"/>
      <c r="AQ39" s="49"/>
      <c r="AR39" s="49"/>
      <c r="AS39" s="49"/>
      <c r="AT39" s="49"/>
      <c r="AU39" s="49"/>
      <c r="AV39" s="49"/>
      <c r="AW39" s="49"/>
      <c r="AX39" s="49"/>
      <c r="AY39" s="49"/>
      <c r="AZ39" s="49"/>
    </row>
    <row r="40" spans="1:52" x14ac:dyDescent="0.25">
      <c r="I40" s="14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49"/>
      <c r="W40" s="49"/>
      <c r="X40" s="50"/>
      <c r="Y40" s="51"/>
      <c r="Z40" s="51"/>
      <c r="AA40" s="49"/>
      <c r="AB40" s="49"/>
      <c r="AC40" s="49"/>
      <c r="AD40" s="69"/>
      <c r="AE40" s="51"/>
      <c r="AF40" s="51"/>
      <c r="AG40" s="49"/>
      <c r="AH40" s="49"/>
      <c r="AI40" s="50"/>
      <c r="AJ40" s="49"/>
      <c r="AK40" s="49"/>
      <c r="AL40" s="49"/>
      <c r="AM40" s="49"/>
      <c r="AN40" s="49"/>
      <c r="AO40" s="49"/>
      <c r="AP40" s="49"/>
      <c r="AQ40" s="49"/>
      <c r="AR40" s="49"/>
      <c r="AS40" s="49"/>
      <c r="AT40" s="49"/>
      <c r="AU40" s="49"/>
      <c r="AV40" s="49"/>
      <c r="AW40" s="49"/>
      <c r="AX40" s="49"/>
      <c r="AY40" s="49"/>
      <c r="AZ40" s="49"/>
    </row>
    <row r="41" spans="1:52" x14ac:dyDescent="0.25">
      <c r="H41" s="138" t="s">
        <v>135</v>
      </c>
      <c r="I41" s="156"/>
      <c r="J41" s="156" t="str">
        <f>J55</f>
        <v>JAN</v>
      </c>
      <c r="K41" s="156" t="str">
        <f>K55</f>
        <v>FEB</v>
      </c>
      <c r="L41" s="156" t="str">
        <f>L55</f>
        <v>MAR</v>
      </c>
      <c r="M41" s="156" t="str">
        <f>M55</f>
        <v>APR</v>
      </c>
      <c r="N41" s="156" t="str">
        <f>N55</f>
        <v>MAJ</v>
      </c>
      <c r="O41" s="156" t="str">
        <f>O55</f>
        <v>JUN</v>
      </c>
      <c r="P41" s="156" t="str">
        <f>P55</f>
        <v>JUL</v>
      </c>
      <c r="Q41" s="156" t="str">
        <f>Q55</f>
        <v>AUG</v>
      </c>
      <c r="R41" s="156" t="str">
        <f>R55</f>
        <v>SEP</v>
      </c>
      <c r="S41" s="156" t="str">
        <f>S55</f>
        <v>OKT</v>
      </c>
      <c r="T41" s="156" t="str">
        <f>T55</f>
        <v>NOV</v>
      </c>
      <c r="U41" s="156" t="str">
        <f>U55</f>
        <v>DEC</v>
      </c>
      <c r="V41" s="49"/>
      <c r="W41" s="49"/>
      <c r="X41" s="50"/>
      <c r="Y41" s="51"/>
      <c r="Z41" s="51"/>
      <c r="AA41" s="49"/>
      <c r="AB41" s="49"/>
      <c r="AC41" s="49"/>
      <c r="AD41" s="69"/>
      <c r="AE41" s="51"/>
      <c r="AF41" s="51"/>
      <c r="AG41" s="49"/>
      <c r="AH41" s="49"/>
      <c r="AI41" s="50"/>
      <c r="AJ41" s="49"/>
      <c r="AK41" s="49"/>
      <c r="AL41" s="49"/>
      <c r="AM41" s="49"/>
      <c r="AN41" s="49"/>
      <c r="AO41" s="49"/>
      <c r="AP41" s="49"/>
      <c r="AQ41" s="49"/>
      <c r="AR41" s="49"/>
      <c r="AS41" s="49"/>
      <c r="AT41" s="49"/>
      <c r="AU41" s="49"/>
      <c r="AV41" s="49"/>
      <c r="AW41" s="49"/>
      <c r="AX41" s="49"/>
      <c r="AY41" s="49"/>
      <c r="AZ41" s="49"/>
    </row>
    <row r="42" spans="1:52" x14ac:dyDescent="0.25">
      <c r="H42" s="6" t="s">
        <v>49</v>
      </c>
      <c r="I42" s="4" t="s">
        <v>0</v>
      </c>
      <c r="J42" s="12">
        <f>24*J11</f>
        <v>744</v>
      </c>
      <c r="K42" s="12">
        <f>24*K11</f>
        <v>672</v>
      </c>
      <c r="L42" s="12">
        <f>24*L11</f>
        <v>744</v>
      </c>
      <c r="M42" s="12">
        <f>24*M11</f>
        <v>720</v>
      </c>
      <c r="N42" s="12">
        <f>24*N11</f>
        <v>744</v>
      </c>
      <c r="O42" s="12">
        <f>24*O11</f>
        <v>720</v>
      </c>
      <c r="P42" s="12">
        <f>24*P11</f>
        <v>744</v>
      </c>
      <c r="Q42" s="12">
        <f>24*Q11</f>
        <v>744</v>
      </c>
      <c r="R42" s="12">
        <f>24*R11</f>
        <v>720</v>
      </c>
      <c r="S42" s="12">
        <f>24*S11</f>
        <v>744</v>
      </c>
      <c r="T42" s="12">
        <f>24*T11</f>
        <v>720</v>
      </c>
      <c r="U42" s="12">
        <f>24*U11</f>
        <v>744</v>
      </c>
      <c r="V42" s="49"/>
      <c r="W42" s="49"/>
      <c r="X42" s="50"/>
      <c r="Y42" s="51"/>
      <c r="Z42" s="51"/>
      <c r="AA42" s="49"/>
      <c r="AB42" s="49"/>
      <c r="AC42" s="49"/>
      <c r="AD42" s="69"/>
      <c r="AE42" s="51"/>
      <c r="AF42" s="51"/>
      <c r="AG42" s="49"/>
      <c r="AH42" s="49"/>
      <c r="AI42" s="50"/>
      <c r="AJ42" s="49"/>
      <c r="AK42" s="49"/>
      <c r="AL42" s="49"/>
      <c r="AM42" s="49"/>
      <c r="AN42" s="49"/>
      <c r="AO42" s="49"/>
      <c r="AP42" s="49"/>
      <c r="AQ42" s="49"/>
      <c r="AR42" s="49"/>
      <c r="AS42" s="49"/>
      <c r="AT42" s="49"/>
      <c r="AU42" s="49"/>
      <c r="AV42" s="49"/>
      <c r="AW42" s="49"/>
      <c r="AX42" s="49"/>
      <c r="AY42" s="49"/>
      <c r="AZ42" s="49"/>
    </row>
    <row r="43" spans="1:52" x14ac:dyDescent="0.25">
      <c r="H43" s="6" t="s">
        <v>50</v>
      </c>
      <c r="I43" s="5" t="s">
        <v>41</v>
      </c>
      <c r="J43" s="16">
        <f>J42*$C$12</f>
        <v>7068</v>
      </c>
      <c r="K43" s="16">
        <f>K42*$C$12</f>
        <v>6384</v>
      </c>
      <c r="L43" s="16">
        <f>L42*$C$12</f>
        <v>7068</v>
      </c>
      <c r="M43" s="16">
        <f>M42*$C$12</f>
        <v>6840</v>
      </c>
      <c r="N43" s="16">
        <f>N42*$C$12</f>
        <v>7068</v>
      </c>
      <c r="O43" s="16">
        <f>O42*$C$12</f>
        <v>6840</v>
      </c>
      <c r="P43" s="16">
        <f>P42*$C$12</f>
        <v>7068</v>
      </c>
      <c r="Q43" s="16">
        <f>Q42*$C$12</f>
        <v>7068</v>
      </c>
      <c r="R43" s="16">
        <f>R42*$C$12</f>
        <v>6840</v>
      </c>
      <c r="S43" s="16">
        <f>S42*$C$12</f>
        <v>7068</v>
      </c>
      <c r="T43" s="16">
        <f>T42*$C$12</f>
        <v>6840</v>
      </c>
      <c r="U43" s="16">
        <f>U42*$C$12</f>
        <v>7068</v>
      </c>
      <c r="V43" s="49"/>
      <c r="W43" s="49"/>
      <c r="X43" s="50"/>
      <c r="Y43"/>
      <c r="Z43"/>
      <c r="AA43" s="49"/>
      <c r="AB43" s="49"/>
      <c r="AC43" s="49"/>
      <c r="AD43" s="69"/>
      <c r="AE43" s="51"/>
      <c r="AF43" s="51"/>
      <c r="AG43" s="49"/>
      <c r="AH43" s="49"/>
      <c r="AI43" s="50"/>
      <c r="AJ43" s="49"/>
      <c r="AK43" s="49"/>
      <c r="AL43" s="49"/>
      <c r="AM43" s="49"/>
      <c r="AN43" s="49"/>
      <c r="AO43" s="49"/>
      <c r="AP43" s="49"/>
      <c r="AQ43" s="49"/>
      <c r="AR43" s="49"/>
      <c r="AS43" s="49"/>
      <c r="AT43" s="49"/>
      <c r="AU43" s="49"/>
      <c r="AV43" s="49"/>
      <c r="AW43" s="49"/>
      <c r="AX43" s="49"/>
      <c r="AY43" s="49"/>
      <c r="AZ43" s="49"/>
    </row>
    <row r="44" spans="1:52" x14ac:dyDescent="0.25">
      <c r="H44" s="6" t="s">
        <v>63</v>
      </c>
      <c r="I44" s="14" t="s">
        <v>41</v>
      </c>
      <c r="J44" s="16">
        <f>J13*EtaRgkOvn2/EtaQNomOvn2*J43</f>
        <v>1488</v>
      </c>
      <c r="K44" s="16">
        <f t="shared" ref="K44:U44" si="9">EtaRgkOvn2/EtaQNomOvn2*K43</f>
        <v>1344</v>
      </c>
      <c r="L44" s="16">
        <f t="shared" si="9"/>
        <v>1488</v>
      </c>
      <c r="M44" s="16">
        <f t="shared" si="9"/>
        <v>1440</v>
      </c>
      <c r="N44" s="16">
        <f t="shared" si="9"/>
        <v>1488</v>
      </c>
      <c r="O44" s="16">
        <f t="shared" si="9"/>
        <v>1440</v>
      </c>
      <c r="P44" s="16">
        <f t="shared" si="9"/>
        <v>1488</v>
      </c>
      <c r="Q44" s="16">
        <f t="shared" si="9"/>
        <v>1488</v>
      </c>
      <c r="R44" s="16">
        <f t="shared" si="9"/>
        <v>1440</v>
      </c>
      <c r="S44" s="16">
        <f t="shared" si="9"/>
        <v>1488</v>
      </c>
      <c r="T44" s="16">
        <f t="shared" si="9"/>
        <v>1440</v>
      </c>
      <c r="U44" s="16">
        <f t="shared" si="9"/>
        <v>1488</v>
      </c>
      <c r="V44" s="49"/>
      <c r="W44" s="49"/>
      <c r="X44" s="50"/>
      <c r="Y44" s="51"/>
      <c r="Z44" s="51"/>
      <c r="AA44" s="49"/>
      <c r="AB44" s="49"/>
      <c r="AC44" s="49"/>
      <c r="AD44" s="69"/>
      <c r="AE44" s="51"/>
      <c r="AF44" s="51"/>
      <c r="AG44" s="49"/>
      <c r="AH44" s="49"/>
      <c r="AI44" s="50"/>
      <c r="AJ44" s="49"/>
      <c r="AK44" s="49"/>
      <c r="AL44" s="49"/>
      <c r="AM44" s="49"/>
      <c r="AN44" s="49"/>
      <c r="AO44" s="49"/>
      <c r="AP44" s="49"/>
      <c r="AQ44" s="49"/>
      <c r="AR44" s="49"/>
      <c r="AS44" s="49"/>
      <c r="AT44" s="49"/>
      <c r="AU44" s="49"/>
      <c r="AV44" s="49"/>
      <c r="AW44" s="49"/>
      <c r="AX44" s="49"/>
      <c r="AY44" s="49"/>
      <c r="AZ44" s="49"/>
    </row>
    <row r="45" spans="1:52" x14ac:dyDescent="0.25">
      <c r="H45" s="6" t="s">
        <v>64</v>
      </c>
      <c r="I45" s="14" t="s">
        <v>41</v>
      </c>
      <c r="J45" s="16">
        <f>SUM(J43:J44)</f>
        <v>8556</v>
      </c>
      <c r="K45" s="16">
        <f t="shared" ref="K45:U45" si="10">SUM(K43:K44)</f>
        <v>7728</v>
      </c>
      <c r="L45" s="16">
        <f t="shared" si="10"/>
        <v>8556</v>
      </c>
      <c r="M45" s="16">
        <f t="shared" si="10"/>
        <v>8280</v>
      </c>
      <c r="N45" s="16">
        <f t="shared" si="10"/>
        <v>8556</v>
      </c>
      <c r="O45" s="16">
        <f t="shared" si="10"/>
        <v>8280</v>
      </c>
      <c r="P45" s="16">
        <f t="shared" si="10"/>
        <v>8556</v>
      </c>
      <c r="Q45" s="16">
        <f t="shared" si="10"/>
        <v>8556</v>
      </c>
      <c r="R45" s="16">
        <f t="shared" si="10"/>
        <v>8280</v>
      </c>
      <c r="S45" s="16">
        <f t="shared" si="10"/>
        <v>8556</v>
      </c>
      <c r="T45" s="16">
        <f t="shared" si="10"/>
        <v>8280</v>
      </c>
      <c r="U45" s="16">
        <f t="shared" si="10"/>
        <v>8556</v>
      </c>
      <c r="V45" s="49"/>
      <c r="W45" s="49"/>
      <c r="X45" s="50"/>
      <c r="Y45" s="51"/>
      <c r="Z45" s="51"/>
      <c r="AA45" s="49"/>
      <c r="AB45" s="49"/>
      <c r="AC45" s="49"/>
      <c r="AD45" s="69"/>
      <c r="AE45" s="51"/>
      <c r="AF45" s="51"/>
      <c r="AG45" s="49"/>
      <c r="AH45" s="49"/>
      <c r="AI45" s="50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</row>
    <row r="46" spans="1:52" x14ac:dyDescent="0.25">
      <c r="H46" s="6" t="s">
        <v>51</v>
      </c>
      <c r="I46" s="5" t="s">
        <v>52</v>
      </c>
      <c r="J46" s="12">
        <f t="shared" ref="J46:U46" si="11">J43/EtaQNomOvn2</f>
        <v>8374.4075829383892</v>
      </c>
      <c r="K46" s="12">
        <f t="shared" si="11"/>
        <v>7563.9810426540289</v>
      </c>
      <c r="L46" s="12">
        <f t="shared" si="11"/>
        <v>8374.4075829383892</v>
      </c>
      <c r="M46" s="12">
        <f t="shared" si="11"/>
        <v>8104.2654028436018</v>
      </c>
      <c r="N46" s="12">
        <f t="shared" si="11"/>
        <v>8374.4075829383892</v>
      </c>
      <c r="O46" s="12">
        <f t="shared" si="11"/>
        <v>8104.2654028436018</v>
      </c>
      <c r="P46" s="12">
        <f t="shared" si="11"/>
        <v>8374.4075829383892</v>
      </c>
      <c r="Q46" s="12">
        <f t="shared" si="11"/>
        <v>8374.4075829383892</v>
      </c>
      <c r="R46" s="12">
        <f t="shared" si="11"/>
        <v>8104.2654028436018</v>
      </c>
      <c r="S46" s="12">
        <f t="shared" si="11"/>
        <v>8374.4075829383892</v>
      </c>
      <c r="T46" s="12">
        <f t="shared" si="11"/>
        <v>8104.2654028436018</v>
      </c>
      <c r="U46" s="12">
        <f t="shared" si="11"/>
        <v>8374.4075829383892</v>
      </c>
      <c r="V46" s="69"/>
      <c r="W46" s="49"/>
      <c r="X46" s="50"/>
      <c r="Y46" s="51"/>
      <c r="Z46" s="51"/>
      <c r="AA46" s="49"/>
      <c r="AB46" s="49"/>
      <c r="AC46" s="49"/>
      <c r="AD46" s="69"/>
      <c r="AE46" s="51"/>
      <c r="AF46" s="51"/>
      <c r="AG46" s="49"/>
      <c r="AH46" s="49"/>
      <c r="AI46" s="50"/>
      <c r="AJ46" s="49"/>
      <c r="AK46" s="49"/>
      <c r="AL46" s="49"/>
      <c r="AM46" s="49"/>
      <c r="AN46" s="49"/>
      <c r="AO46" s="49"/>
      <c r="AP46" s="49"/>
      <c r="AQ46" s="49"/>
      <c r="AR46" s="49"/>
      <c r="AS46" s="49"/>
      <c r="AT46" s="49"/>
      <c r="AU46" s="49"/>
      <c r="AV46" s="49"/>
      <c r="AW46" s="49"/>
      <c r="AX46" s="49"/>
      <c r="AY46" s="49"/>
      <c r="AZ46" s="49"/>
    </row>
    <row r="47" spans="1:52" x14ac:dyDescent="0.25">
      <c r="H47" s="6" t="s">
        <v>53</v>
      </c>
      <c r="I47" s="14" t="s">
        <v>16</v>
      </c>
      <c r="J47" s="16">
        <f>J46/(J30/3.6)</f>
        <v>2773.1283980295325</v>
      </c>
      <c r="K47" s="16">
        <f>K46*3.6/K30</f>
        <v>2504.7611337040935</v>
      </c>
      <c r="L47" s="16">
        <f>L46*3.6/L30</f>
        <v>2625.8349307417052</v>
      </c>
      <c r="M47" s="16">
        <f>M46*3.6/M30</f>
        <v>2541.1305781371339</v>
      </c>
      <c r="N47" s="16">
        <f>N46*3.6/N30</f>
        <v>2625.8349307417052</v>
      </c>
      <c r="O47" s="16">
        <f>O46*3.6/O30</f>
        <v>2541.1305781371339</v>
      </c>
      <c r="P47" s="16">
        <f>P46*3.6/P30</f>
        <v>2625.8349307417052</v>
      </c>
      <c r="Q47" s="16">
        <f>Q46*3.6/Q30</f>
        <v>2625.8349307417052</v>
      </c>
      <c r="R47" s="16">
        <f>R46*3.6/R30</f>
        <v>2541.1305781371339</v>
      </c>
      <c r="S47" s="16">
        <f>S46*3.6/S30</f>
        <v>2625.8349307417052</v>
      </c>
      <c r="T47" s="16">
        <f>T46*3.6/T30</f>
        <v>2541.1305781371339</v>
      </c>
      <c r="U47" s="16">
        <f>U46*3.6/U30</f>
        <v>2625.8349307417052</v>
      </c>
      <c r="V47" s="49"/>
      <c r="W47" s="49"/>
      <c r="X47" s="50"/>
      <c r="Y47"/>
      <c r="Z47"/>
      <c r="AA47" s="49"/>
      <c r="AB47" s="49"/>
      <c r="AC47" s="49"/>
      <c r="AD47" s="69"/>
      <c r="AE47" s="51"/>
      <c r="AF47" s="51"/>
      <c r="AG47" s="49"/>
      <c r="AH47" s="49"/>
      <c r="AI47" s="50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</row>
    <row r="48" spans="1:52" x14ac:dyDescent="0.25">
      <c r="I48" s="15"/>
      <c r="N48" s="56"/>
      <c r="O48" s="56"/>
      <c r="P48" s="56"/>
      <c r="Q48" s="56"/>
      <c r="R48" s="56"/>
      <c r="S48" s="56"/>
      <c r="T48" s="56"/>
      <c r="U48" s="56"/>
      <c r="V48" s="49"/>
      <c r="Y48"/>
      <c r="Z48"/>
      <c r="AC48" s="146" t="s">
        <v>42</v>
      </c>
      <c r="AD48" s="146"/>
      <c r="AE48" s="146"/>
      <c r="AF48" s="146"/>
      <c r="AG48" s="146"/>
      <c r="AI48" s="50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</row>
    <row r="49" spans="8:52" x14ac:dyDescent="0.25">
      <c r="H49" s="6" t="s">
        <v>49</v>
      </c>
      <c r="I49" s="15" t="s">
        <v>1</v>
      </c>
      <c r="J49" s="12">
        <f>24*J12</f>
        <v>744</v>
      </c>
      <c r="K49" s="12">
        <f>24*K12</f>
        <v>672</v>
      </c>
      <c r="L49" s="12">
        <f>24*L12</f>
        <v>744</v>
      </c>
      <c r="M49" s="12">
        <f>24*M12</f>
        <v>720</v>
      </c>
      <c r="N49" s="12">
        <f>24*N12</f>
        <v>744</v>
      </c>
      <c r="O49" s="12">
        <f>24*O12</f>
        <v>48</v>
      </c>
      <c r="P49" s="12">
        <f>24*P12</f>
        <v>744</v>
      </c>
      <c r="Q49" s="12">
        <f>24*Q12</f>
        <v>744</v>
      </c>
      <c r="R49" s="12">
        <f>24*R12</f>
        <v>720</v>
      </c>
      <c r="S49" s="12">
        <f>24*S12</f>
        <v>744</v>
      </c>
      <c r="T49" s="12">
        <f>24*T12</f>
        <v>720</v>
      </c>
      <c r="U49" s="12">
        <f>24*U12</f>
        <v>744</v>
      </c>
      <c r="V49" s="49"/>
      <c r="Y49"/>
      <c r="Z49"/>
      <c r="AI49" s="50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49"/>
      <c r="AZ49" s="49"/>
    </row>
    <row r="50" spans="8:52" x14ac:dyDescent="0.25">
      <c r="H50" s="6" t="s">
        <v>50</v>
      </c>
      <c r="I50" s="5" t="s">
        <v>41</v>
      </c>
      <c r="J50" s="16">
        <f>J49*$D$12</f>
        <v>16740</v>
      </c>
      <c r="K50" s="16">
        <f>K49*$D$12</f>
        <v>15120</v>
      </c>
      <c r="L50" s="16">
        <f>L49*$D$12</f>
        <v>16740</v>
      </c>
      <c r="M50" s="16">
        <f>M49*$D$12</f>
        <v>16200</v>
      </c>
      <c r="N50" s="16">
        <f>N49*$D$12</f>
        <v>16740</v>
      </c>
      <c r="O50" s="16">
        <f>O49*$D$12</f>
        <v>1080</v>
      </c>
      <c r="P50" s="16">
        <f>P49*$D$12</f>
        <v>16740</v>
      </c>
      <c r="Q50" s="16">
        <f>Q49*$D$12</f>
        <v>16740</v>
      </c>
      <c r="R50" s="16">
        <f>R49*$D$12</f>
        <v>16200</v>
      </c>
      <c r="S50" s="16">
        <f>S49*$D$12</f>
        <v>16740</v>
      </c>
      <c r="T50" s="16">
        <f>T49*$D$12</f>
        <v>16200</v>
      </c>
      <c r="U50" s="16">
        <f>U49*$D$12</f>
        <v>16740</v>
      </c>
      <c r="V50" s="49"/>
      <c r="Y50"/>
      <c r="Z50"/>
      <c r="AC50" s="3" t="s">
        <v>230</v>
      </c>
      <c r="AD50" s="7" t="s">
        <v>47</v>
      </c>
      <c r="AE50" s="15" t="str">
        <f>L102</f>
        <v>MAR</v>
      </c>
      <c r="AF50" s="15" t="str">
        <f>J102</f>
        <v>JAN</v>
      </c>
      <c r="AG50" s="15">
        <f>Y83</f>
        <v>0</v>
      </c>
      <c r="AI50" s="50"/>
      <c r="AJ50" s="49"/>
      <c r="AK50" s="49"/>
      <c r="AL50" s="49"/>
      <c r="AM50" s="49"/>
      <c r="AN50" s="49"/>
      <c r="AO50" s="49"/>
      <c r="AP50" s="49"/>
      <c r="AQ50" s="49"/>
      <c r="AR50" s="49"/>
      <c r="AS50" s="49"/>
      <c r="AT50" s="49"/>
      <c r="AU50" s="49"/>
      <c r="AV50" s="49"/>
      <c r="AW50" s="49"/>
      <c r="AX50" s="49"/>
      <c r="AY50" s="49"/>
      <c r="AZ50" s="49"/>
    </row>
    <row r="51" spans="8:52" x14ac:dyDescent="0.25">
      <c r="H51" s="6" t="s">
        <v>63</v>
      </c>
      <c r="I51" s="14" t="s">
        <v>41</v>
      </c>
      <c r="J51" s="16">
        <f>J13*EtaRgkOvn3/EtaQNomOvn3*J50</f>
        <v>4092</v>
      </c>
      <c r="K51" s="16">
        <f t="shared" ref="K51:U51" si="12">EtaRgkOvn3/EtaQNomOvn3*K50</f>
        <v>3696</v>
      </c>
      <c r="L51" s="16">
        <f t="shared" si="12"/>
        <v>4092</v>
      </c>
      <c r="M51" s="16">
        <f t="shared" si="12"/>
        <v>3960</v>
      </c>
      <c r="N51" s="16">
        <f t="shared" si="12"/>
        <v>4092</v>
      </c>
      <c r="O51" s="16">
        <f t="shared" si="12"/>
        <v>264</v>
      </c>
      <c r="P51" s="16">
        <f t="shared" si="12"/>
        <v>4092</v>
      </c>
      <c r="Q51" s="16">
        <f t="shared" si="12"/>
        <v>4092</v>
      </c>
      <c r="R51" s="16">
        <f t="shared" si="12"/>
        <v>3960</v>
      </c>
      <c r="S51" s="16">
        <f t="shared" si="12"/>
        <v>4092</v>
      </c>
      <c r="T51" s="16">
        <f t="shared" si="12"/>
        <v>3960</v>
      </c>
      <c r="U51" s="16">
        <f t="shared" si="12"/>
        <v>4092</v>
      </c>
      <c r="V51" s="49"/>
      <c r="Y51"/>
      <c r="Z51"/>
      <c r="AC51" s="14" t="str">
        <f>H115</f>
        <v>Indtægter total</v>
      </c>
      <c r="AD51" s="73" t="str">
        <f>I115</f>
        <v>tkr</v>
      </c>
      <c r="AE51" s="18">
        <f>L115</f>
        <v>17633572.47287292</v>
      </c>
      <c r="AF51" s="18">
        <f>J115</f>
        <v>16292695.043325918</v>
      </c>
      <c r="AG51" s="18">
        <f>Y96</f>
        <v>0</v>
      </c>
      <c r="AI51" s="50"/>
      <c r="AJ51" s="49"/>
      <c r="AK51" s="49"/>
      <c r="AL51" s="49"/>
      <c r="AM51" s="49"/>
      <c r="AN51" s="49"/>
      <c r="AO51" s="49"/>
      <c r="AP51" s="49"/>
      <c r="AQ51" s="49"/>
      <c r="AR51" s="49"/>
      <c r="AS51" s="49"/>
      <c r="AT51" s="49"/>
      <c r="AU51" s="49"/>
      <c r="AV51" s="49"/>
      <c r="AW51" s="49"/>
      <c r="AX51" s="49"/>
      <c r="AY51" s="49"/>
      <c r="AZ51" s="49"/>
    </row>
    <row r="52" spans="8:52" x14ac:dyDescent="0.25">
      <c r="H52" s="6" t="s">
        <v>64</v>
      </c>
      <c r="I52" s="14" t="s">
        <v>41</v>
      </c>
      <c r="J52" s="16">
        <f>SUM(J50:J51)</f>
        <v>20832</v>
      </c>
      <c r="K52" s="16">
        <f t="shared" ref="K52:U52" si="13">SUM(K50:K51)</f>
        <v>18816</v>
      </c>
      <c r="L52" s="16">
        <f t="shared" si="13"/>
        <v>20832</v>
      </c>
      <c r="M52" s="16">
        <f t="shared" si="13"/>
        <v>20160</v>
      </c>
      <c r="N52" s="16">
        <f t="shared" si="13"/>
        <v>20832</v>
      </c>
      <c r="O52" s="16">
        <f t="shared" si="13"/>
        <v>1344</v>
      </c>
      <c r="P52" s="16">
        <f t="shared" si="13"/>
        <v>20832</v>
      </c>
      <c r="Q52" s="16">
        <f t="shared" si="13"/>
        <v>20832</v>
      </c>
      <c r="R52" s="16">
        <f t="shared" si="13"/>
        <v>20160</v>
      </c>
      <c r="S52" s="16">
        <f t="shared" si="13"/>
        <v>20832</v>
      </c>
      <c r="T52" s="16">
        <f t="shared" si="13"/>
        <v>20160</v>
      </c>
      <c r="U52" s="16">
        <f t="shared" si="13"/>
        <v>20832</v>
      </c>
      <c r="V52" s="49"/>
      <c r="Y52"/>
      <c r="Z52"/>
      <c r="AC52" s="14" t="str">
        <f>H116</f>
        <v>Omkostninger total</v>
      </c>
      <c r="AD52" s="73" t="str">
        <f>I116</f>
        <v>tkr</v>
      </c>
      <c r="AE52" s="18">
        <f>L116</f>
        <v>7585715.596531732</v>
      </c>
      <c r="AF52" s="18">
        <f>J116</f>
        <v>8022694.7999229478</v>
      </c>
      <c r="AG52" s="18">
        <f>Y97</f>
        <v>0</v>
      </c>
      <c r="AI52" s="50"/>
      <c r="AJ52" s="49"/>
      <c r="AK52" s="49"/>
      <c r="AL52" s="49"/>
      <c r="AM52" s="49"/>
      <c r="AN52" s="49"/>
      <c r="AO52" s="49"/>
      <c r="AP52" s="49"/>
      <c r="AQ52" s="49"/>
      <c r="AR52" s="49"/>
      <c r="AS52" s="49"/>
      <c r="AT52" s="49"/>
      <c r="AU52" s="49"/>
      <c r="AV52" s="49"/>
      <c r="AW52" s="49"/>
      <c r="AX52" s="49"/>
      <c r="AY52" s="49"/>
      <c r="AZ52" s="49"/>
    </row>
    <row r="53" spans="8:52" x14ac:dyDescent="0.25">
      <c r="H53" s="6" t="s">
        <v>51</v>
      </c>
      <c r="I53" s="5" t="s">
        <v>52</v>
      </c>
      <c r="J53" s="12">
        <f t="shared" ref="J53:U53" si="14">J50/EtaQNomOvn3</f>
        <v>25518.292682926829</v>
      </c>
      <c r="K53" s="12">
        <f t="shared" si="14"/>
        <v>23048.780487804877</v>
      </c>
      <c r="L53" s="12">
        <f t="shared" si="14"/>
        <v>25518.292682926829</v>
      </c>
      <c r="M53" s="12">
        <f t="shared" si="14"/>
        <v>24695.121951219509</v>
      </c>
      <c r="N53" s="12">
        <f t="shared" si="14"/>
        <v>25518.292682926829</v>
      </c>
      <c r="O53" s="12">
        <f t="shared" si="14"/>
        <v>1646.3414634146341</v>
      </c>
      <c r="P53" s="12">
        <f t="shared" si="14"/>
        <v>25518.292682926829</v>
      </c>
      <c r="Q53" s="12">
        <f t="shared" si="14"/>
        <v>25518.292682926829</v>
      </c>
      <c r="R53" s="12">
        <f t="shared" si="14"/>
        <v>24695.121951219509</v>
      </c>
      <c r="S53" s="12">
        <f t="shared" si="14"/>
        <v>25518.292682926829</v>
      </c>
      <c r="T53" s="12">
        <f t="shared" si="14"/>
        <v>24695.121951219509</v>
      </c>
      <c r="U53" s="12">
        <f t="shared" si="14"/>
        <v>25518.292682926829</v>
      </c>
      <c r="V53" s="49"/>
      <c r="Y53"/>
      <c r="Z53"/>
      <c r="AC53" s="14" t="str">
        <f>H117</f>
        <v>Dækningsbidrag</v>
      </c>
      <c r="AD53" s="73" t="str">
        <f>I117</f>
        <v>tkr</v>
      </c>
      <c r="AE53" s="18">
        <f>L117</f>
        <v>10047856.876341188</v>
      </c>
      <c r="AF53" s="18">
        <f>J117</f>
        <v>8270000.24340297</v>
      </c>
      <c r="AG53" s="18">
        <f>Y98</f>
        <v>0</v>
      </c>
      <c r="AI53" s="50"/>
      <c r="AJ53" s="49"/>
      <c r="AK53" s="49"/>
      <c r="AL53" s="49"/>
      <c r="AM53" s="49"/>
      <c r="AN53" s="49"/>
      <c r="AO53" s="49"/>
      <c r="AP53" s="49"/>
      <c r="AQ53" s="49"/>
      <c r="AR53" s="49"/>
      <c r="AS53" s="49"/>
      <c r="AT53" s="49"/>
      <c r="AU53" s="49"/>
      <c r="AV53" s="49"/>
      <c r="AW53" s="49"/>
      <c r="AX53" s="49"/>
      <c r="AY53" s="49"/>
      <c r="AZ53" s="49"/>
    </row>
    <row r="54" spans="8:52" x14ac:dyDescent="0.25">
      <c r="H54" s="6" t="s">
        <v>53</v>
      </c>
      <c r="I54" s="14" t="s">
        <v>16</v>
      </c>
      <c r="J54" s="16">
        <f>J53/(J30/3.6)</f>
        <v>8450.2099291689374</v>
      </c>
      <c r="K54" s="16">
        <f>K53/(K30/3.6)</f>
        <v>7632.4476779590395</v>
      </c>
      <c r="L54" s="16">
        <f>L53/(L30/3.6)</f>
        <v>8001.3808303570249</v>
      </c>
      <c r="M54" s="16">
        <f>M53/(M30/3.6)</f>
        <v>7743.2717713132497</v>
      </c>
      <c r="N54" s="16">
        <f>N53/(N30/3.6)</f>
        <v>8001.3808303570249</v>
      </c>
      <c r="O54" s="16">
        <f>O53/(O30/3.6)</f>
        <v>516.21811808755001</v>
      </c>
      <c r="P54" s="16">
        <f>P53/(P30/3.6)</f>
        <v>8001.3808303570249</v>
      </c>
      <c r="Q54" s="16">
        <f>Q53/(Q30/3.6)</f>
        <v>8001.3808303570249</v>
      </c>
      <c r="R54" s="16">
        <f>R53/(R30/3.6)</f>
        <v>7743.2717713132497</v>
      </c>
      <c r="S54" s="16">
        <f>S53/(S30/3.6)</f>
        <v>8001.3808303570249</v>
      </c>
      <c r="T54" s="16">
        <f>T53/(T30/3.6)</f>
        <v>7743.2717713132497</v>
      </c>
      <c r="U54" s="16">
        <f>U53/(U30/3.6)</f>
        <v>8001.3808303570249</v>
      </c>
      <c r="V54" s="49"/>
      <c r="Y54"/>
      <c r="Z54"/>
      <c r="AC54" s="3"/>
      <c r="AD54" s="7"/>
      <c r="AE54" s="15"/>
      <c r="AF54" s="15"/>
      <c r="AG54" s="15"/>
      <c r="AI54" s="50"/>
      <c r="AJ54" s="49"/>
      <c r="AK54" s="49"/>
      <c r="AL54" s="49"/>
      <c r="AM54" s="49"/>
      <c r="AN54" s="49"/>
      <c r="AO54" s="49"/>
      <c r="AP54" s="49"/>
      <c r="AQ54" s="49"/>
      <c r="AR54" s="49"/>
      <c r="AS54" s="49"/>
      <c r="AT54" s="49"/>
      <c r="AU54" s="49"/>
      <c r="AV54" s="49"/>
      <c r="AW54" s="49"/>
      <c r="AX54" s="49"/>
      <c r="AY54" s="49"/>
      <c r="AZ54" s="49"/>
    </row>
    <row r="55" spans="8:52" x14ac:dyDescent="0.25">
      <c r="H55" s="155" t="s">
        <v>136</v>
      </c>
      <c r="I55" s="137"/>
      <c r="J55" s="156" t="str">
        <f>J3</f>
        <v>JAN</v>
      </c>
      <c r="K55" s="156" t="str">
        <f>K3</f>
        <v>FEB</v>
      </c>
      <c r="L55" s="156" t="str">
        <f>L3</f>
        <v>MAR</v>
      </c>
      <c r="M55" s="156" t="str">
        <f>M3</f>
        <v>APR</v>
      </c>
      <c r="N55" s="156" t="str">
        <f>N3</f>
        <v>MAJ</v>
      </c>
      <c r="O55" s="156" t="str">
        <f>O3</f>
        <v>JUN</v>
      </c>
      <c r="P55" s="156" t="str">
        <f>P3</f>
        <v>JUL</v>
      </c>
      <c r="Q55" s="156" t="str">
        <f>Q3</f>
        <v>AUG</v>
      </c>
      <c r="R55" s="156" t="str">
        <f>R3</f>
        <v>SEP</v>
      </c>
      <c r="S55" s="156" t="str">
        <f>S3</f>
        <v>OKT</v>
      </c>
      <c r="T55" s="156" t="str">
        <f>T3</f>
        <v>NOV</v>
      </c>
      <c r="U55" s="156" t="str">
        <f>U3</f>
        <v>DEC</v>
      </c>
      <c r="Y55"/>
      <c r="Z55"/>
      <c r="AC55" s="14" t="str">
        <f>H103</f>
        <v>Varmesalg</v>
      </c>
      <c r="AD55" s="73" t="str">
        <f>I103</f>
        <v>tkr</v>
      </c>
      <c r="AE55" s="17">
        <f>L103</f>
        <v>7997392.6730004624</v>
      </c>
      <c r="AF55" s="17">
        <f>J103</f>
        <v>7499765</v>
      </c>
      <c r="AG55" s="18">
        <f>Y84</f>
        <v>0</v>
      </c>
      <c r="AI55" s="50"/>
      <c r="AJ55" s="49"/>
      <c r="AK55" s="49"/>
      <c r="AL55" s="49"/>
      <c r="AM55" s="49"/>
      <c r="AN55" s="49"/>
      <c r="AO55" s="49"/>
      <c r="AP55" s="49"/>
      <c r="AQ55" s="49"/>
      <c r="AR55" s="49"/>
      <c r="AS55" s="49"/>
      <c r="AT55" s="49"/>
      <c r="AU55" s="49"/>
      <c r="AV55" s="49"/>
      <c r="AW55" s="49"/>
      <c r="AX55" s="49"/>
      <c r="AY55" s="49"/>
      <c r="AZ55" s="49"/>
    </row>
    <row r="56" spans="8:52" x14ac:dyDescent="0.25">
      <c r="H56" s="7" t="s">
        <v>55</v>
      </c>
      <c r="I56" s="5" t="s">
        <v>41</v>
      </c>
      <c r="J56" s="16">
        <f>IF(DoOptim,J39*J37,MIN(J5,J52,J39*J32))</f>
        <v>20832</v>
      </c>
      <c r="K56" s="16">
        <f>IF(DoOptim,K39*K37,MIN(K5,K52,K39*K32))</f>
        <v>18816</v>
      </c>
      <c r="L56" s="16">
        <f>IF(DoOptim,L39*L37,MIN(L5,L52,L39*L32))</f>
        <v>20832</v>
      </c>
      <c r="M56" s="16">
        <f>IF(DoOptim,M39*M37,MIN(M5,M52,M39*M32))</f>
        <v>20160</v>
      </c>
      <c r="N56" s="16">
        <f>IF(DoOptim,N39*N37,MIN(N5,N52,N39*N32))</f>
        <v>12760</v>
      </c>
      <c r="O56" s="16">
        <f>IF(DoOptim,O39*O37,MIN(O5,O52,O39*O32))</f>
        <v>1344</v>
      </c>
      <c r="P56" s="16">
        <f>IF(DoOptim,P39*P37,MIN(P5,P52,P39*P32))</f>
        <v>6411</v>
      </c>
      <c r="Q56" s="16">
        <f>IF(DoOptim,Q39*Q37,MIN(Q5,Q52,Q39*Q32))</f>
        <v>7774</v>
      </c>
      <c r="R56" s="16">
        <f>IF(DoOptim,R39*R37,MIN(R5,R52,R39*R32))</f>
        <v>8886</v>
      </c>
      <c r="S56" s="16">
        <f>IF(DoOptim,S39*S37,MIN(S5,S52,S39*S32))</f>
        <v>15610</v>
      </c>
      <c r="T56" s="16">
        <f>IF(DoOptim,T39*T37,MIN(T5,T52,T39*T32))</f>
        <v>20160</v>
      </c>
      <c r="U56" s="16">
        <f>IF(DoOptim,U39*U37,MIN(U5,U52,U39*U32))</f>
        <v>20832</v>
      </c>
      <c r="Y56"/>
      <c r="Z56"/>
      <c r="AC56" s="14" t="str">
        <f>H104</f>
        <v>Elsalg</v>
      </c>
      <c r="AD56" s="73" t="str">
        <f>I104</f>
        <v>tkr</v>
      </c>
      <c r="AE56" s="17">
        <f>L104</f>
        <v>3947332.4512195117</v>
      </c>
      <c r="AF56" s="17">
        <f>J104</f>
        <v>3947332.4512195126</v>
      </c>
      <c r="AG56" s="18">
        <f>Y85</f>
        <v>0</v>
      </c>
      <c r="AI56" s="50"/>
      <c r="AJ56" s="49"/>
      <c r="AK56" s="49"/>
      <c r="AL56" s="49"/>
      <c r="AM56" s="49"/>
      <c r="AN56" s="49"/>
      <c r="AO56" s="49"/>
      <c r="AP56" s="49"/>
      <c r="AQ56" s="49"/>
      <c r="AR56" s="49"/>
      <c r="AS56" s="49"/>
      <c r="AT56" s="49"/>
      <c r="AU56" s="49"/>
      <c r="AV56" s="49"/>
      <c r="AW56" s="49"/>
      <c r="AX56" s="49"/>
      <c r="AY56" s="49"/>
      <c r="AZ56" s="49"/>
    </row>
    <row r="57" spans="8:52" x14ac:dyDescent="0.25">
      <c r="H57" s="5" t="s">
        <v>316</v>
      </c>
      <c r="I57" s="5" t="s">
        <v>41</v>
      </c>
      <c r="J57" s="16">
        <f>J56*EtaQNomOvn3/J39</f>
        <v>16740</v>
      </c>
      <c r="K57" s="16">
        <f>K56*EtaQNomOvn3/K39</f>
        <v>15120</v>
      </c>
      <c r="L57" s="16">
        <f>L56*EtaQNomOvn3/L39</f>
        <v>16740</v>
      </c>
      <c r="M57" s="16">
        <f>M56*EtaQNomOvn3/M39</f>
        <v>16200</v>
      </c>
      <c r="N57" s="16">
        <f>N56*EtaQNomOvn3/N39</f>
        <v>10253.571428571428</v>
      </c>
      <c r="O57" s="16">
        <f>O56*EtaQNomOvn3/O39</f>
        <v>1080</v>
      </c>
      <c r="P57" s="16">
        <f>P56*EtaQNomOvn3/P39</f>
        <v>5151.6964285714284</v>
      </c>
      <c r="Q57" s="16">
        <f>Q56*EtaQNomOvn3/Q39</f>
        <v>6246.9642857142862</v>
      </c>
      <c r="R57" s="16">
        <f>R56*EtaQNomOvn3/R39</f>
        <v>7140.5357142857138</v>
      </c>
      <c r="S57" s="16">
        <f>S56*EtaQNomOvn3/S39</f>
        <v>12543.749999999998</v>
      </c>
      <c r="T57" s="16">
        <f>T56*EtaQNomOvn3/T39</f>
        <v>16200</v>
      </c>
      <c r="U57" s="16">
        <f>U56*EtaQNomOvn3/U39</f>
        <v>16740</v>
      </c>
      <c r="Y57"/>
      <c r="Z57"/>
      <c r="AC57" s="14" t="str">
        <f>H105</f>
        <v>RGK-rabat</v>
      </c>
      <c r="AD57" s="73" t="str">
        <f>I105</f>
        <v>tkr</v>
      </c>
      <c r="AE57" s="17">
        <f>L105</f>
        <v>88847.348652948102</v>
      </c>
      <c r="AF57" s="17">
        <f>J105</f>
        <v>197595.87992407382</v>
      </c>
      <c r="AG57" s="18">
        <f>Y86</f>
        <v>0</v>
      </c>
      <c r="AI57" s="50"/>
      <c r="AJ57" s="49"/>
      <c r="AK57" s="49"/>
      <c r="AL57" s="49"/>
      <c r="AM57" s="49"/>
      <c r="AN57" s="49"/>
      <c r="AO57" s="49"/>
      <c r="AP57" s="49"/>
      <c r="AQ57" s="49"/>
      <c r="AR57" s="49"/>
      <c r="AS57" s="49"/>
      <c r="AT57" s="49"/>
      <c r="AU57" s="49"/>
      <c r="AV57" s="49"/>
      <c r="AW57" s="49"/>
      <c r="AX57" s="49"/>
      <c r="AY57" s="49"/>
      <c r="AZ57" s="49"/>
    </row>
    <row r="58" spans="8:52" x14ac:dyDescent="0.25">
      <c r="H58" s="5" t="s">
        <v>58</v>
      </c>
      <c r="I58" s="5" t="s">
        <v>16</v>
      </c>
      <c r="J58" s="16">
        <f>J56/J39/(J30/3.6)</f>
        <v>8450.2099291689374</v>
      </c>
      <c r="K58" s="16">
        <f t="shared" ref="K58:U58" si="15">K56/K39/(K30/3.6)</f>
        <v>7632.4476779590395</v>
      </c>
      <c r="L58" s="16">
        <f t="shared" si="15"/>
        <v>8001.3808303570249</v>
      </c>
      <c r="M58" s="16">
        <f t="shared" si="15"/>
        <v>7743.2717713132497</v>
      </c>
      <c r="N58" s="16">
        <f t="shared" si="15"/>
        <v>4900.999394938347</v>
      </c>
      <c r="O58" s="16">
        <f t="shared" si="15"/>
        <v>516.21811808755001</v>
      </c>
      <c r="P58" s="16">
        <f t="shared" si="15"/>
        <v>2462.4065141810142</v>
      </c>
      <c r="Q58" s="16">
        <f t="shared" si="15"/>
        <v>2985.9223586403377</v>
      </c>
      <c r="R58" s="16">
        <f t="shared" si="15"/>
        <v>3413.0313968199175</v>
      </c>
      <c r="S58" s="16">
        <f t="shared" si="15"/>
        <v>5995.658350704357</v>
      </c>
      <c r="T58" s="16">
        <f t="shared" si="15"/>
        <v>7743.2717713132497</v>
      </c>
      <c r="U58" s="16">
        <f t="shared" si="15"/>
        <v>8001.3808303570249</v>
      </c>
      <c r="Y58"/>
      <c r="Z58"/>
      <c r="AC58" s="14" t="str">
        <f>H106</f>
        <v>Modtagebetaling affald</v>
      </c>
      <c r="AD58" s="73" t="str">
        <f>I106</f>
        <v>tkr</v>
      </c>
      <c r="AE58" s="17">
        <f>L106</f>
        <v>5600000</v>
      </c>
      <c r="AF58" s="17">
        <f>J106</f>
        <v>4648001.7121823318</v>
      </c>
      <c r="AG58" s="18">
        <f>Y87</f>
        <v>0</v>
      </c>
      <c r="AI58" s="50"/>
      <c r="AJ58" s="49"/>
      <c r="AK58" s="49"/>
      <c r="AL58" s="49"/>
      <c r="AM58" s="49"/>
      <c r="AN58" s="49"/>
      <c r="AO58" s="49"/>
      <c r="AP58" s="49"/>
      <c r="AQ58" s="49"/>
      <c r="AR58" s="49"/>
      <c r="AS58" s="49"/>
      <c r="AT58" s="49"/>
      <c r="AU58" s="49"/>
      <c r="AV58" s="49"/>
      <c r="AW58" s="49"/>
      <c r="AX58" s="49"/>
      <c r="AY58" s="49"/>
      <c r="AZ58" s="49"/>
    </row>
    <row r="59" spans="8:52" x14ac:dyDescent="0.25">
      <c r="H59" s="5" t="s">
        <v>56</v>
      </c>
      <c r="I59" s="5" t="s">
        <v>41</v>
      </c>
      <c r="J59" s="16">
        <f>J5-J56</f>
        <v>7283</v>
      </c>
      <c r="K59" s="16">
        <f t="shared" ref="K59:U59" si="16">K5-K56</f>
        <v>5086</v>
      </c>
      <c r="L59" s="16">
        <f t="shared" si="16"/>
        <v>6523</v>
      </c>
      <c r="M59" s="16">
        <f t="shared" si="16"/>
        <v>2337</v>
      </c>
      <c r="N59" s="16">
        <f t="shared" si="16"/>
        <v>0</v>
      </c>
      <c r="O59" s="16">
        <f t="shared" si="16"/>
        <v>4756</v>
      </c>
      <c r="P59" s="16">
        <f t="shared" si="16"/>
        <v>0</v>
      </c>
      <c r="Q59" s="16">
        <f t="shared" si="16"/>
        <v>0</v>
      </c>
      <c r="R59" s="16">
        <f t="shared" si="16"/>
        <v>0</v>
      </c>
      <c r="S59" s="16">
        <f t="shared" si="16"/>
        <v>0</v>
      </c>
      <c r="T59" s="16">
        <f t="shared" si="16"/>
        <v>250</v>
      </c>
      <c r="U59" s="16">
        <f t="shared" si="16"/>
        <v>4643</v>
      </c>
      <c r="Y59"/>
      <c r="Z59"/>
      <c r="AC59" s="14"/>
      <c r="AD59" s="73"/>
      <c r="AE59" s="18"/>
      <c r="AF59" s="18"/>
      <c r="AG59" s="18"/>
      <c r="AI59" s="50"/>
      <c r="AJ59" s="49"/>
      <c r="AK59" s="49"/>
      <c r="AL59" s="49"/>
      <c r="AM59" s="49"/>
      <c r="AN59" s="49"/>
      <c r="AO59" s="49"/>
      <c r="AP59" s="49"/>
      <c r="AQ59" s="49"/>
      <c r="AR59" s="49"/>
      <c r="AS59" s="49"/>
      <c r="AT59" s="49"/>
      <c r="AU59" s="49"/>
      <c r="AV59" s="49"/>
      <c r="AW59" s="49"/>
      <c r="AX59" s="49"/>
      <c r="AY59" s="49"/>
      <c r="AZ59" s="49"/>
    </row>
    <row r="60" spans="8:52" x14ac:dyDescent="0.25">
      <c r="H60" s="5" t="s">
        <v>57</v>
      </c>
      <c r="I60" s="5" t="s">
        <v>16</v>
      </c>
      <c r="J60" s="16">
        <f>SUM(J6:J8)-J58</f>
        <v>3549.7900708310626</v>
      </c>
      <c r="K60" s="16">
        <f t="shared" ref="K60:U60" si="17">SUM(K6:K8)-K58</f>
        <v>1867.5523220409605</v>
      </c>
      <c r="L60" s="16">
        <f t="shared" si="17"/>
        <v>1498.6191696429751</v>
      </c>
      <c r="M60" s="16">
        <f t="shared" si="17"/>
        <v>1756.7282286867503</v>
      </c>
      <c r="N60" s="16">
        <f t="shared" si="17"/>
        <v>4599.000605061653</v>
      </c>
      <c r="O60" s="16">
        <f t="shared" si="17"/>
        <v>5483.7818819124495</v>
      </c>
      <c r="P60" s="16">
        <f t="shared" si="17"/>
        <v>3537.5934858189858</v>
      </c>
      <c r="Q60" s="16">
        <f t="shared" si="17"/>
        <v>6514.0776413596623</v>
      </c>
      <c r="R60" s="16">
        <f t="shared" si="17"/>
        <v>6086.9686031800829</v>
      </c>
      <c r="S60" s="16">
        <f t="shared" si="17"/>
        <v>3504.341649295643</v>
      </c>
      <c r="T60" s="16">
        <f t="shared" si="17"/>
        <v>4256.7282286867503</v>
      </c>
      <c r="U60" s="16">
        <f t="shared" si="17"/>
        <v>3998.6191696429751</v>
      </c>
      <c r="Y60"/>
      <c r="Z60"/>
      <c r="AC60" s="14" t="str">
        <f>H108</f>
        <v>Betaling bioaffald</v>
      </c>
      <c r="AD60" s="73" t="str">
        <f>I108</f>
        <v>tkr</v>
      </c>
      <c r="AE60" s="18">
        <f>L108</f>
        <v>0</v>
      </c>
      <c r="AF60" s="18">
        <f>J108</f>
        <v>9281.9833062222588</v>
      </c>
      <c r="AG60" s="18">
        <f t="shared" ref="AG60:AG65" si="18">Y89</f>
        <v>0</v>
      </c>
      <c r="AI60" s="50"/>
      <c r="AJ60" s="49"/>
      <c r="AK60" s="49"/>
      <c r="AL60" s="49"/>
      <c r="AM60" s="49"/>
      <c r="AN60" s="49"/>
      <c r="AO60" s="49"/>
      <c r="AP60" s="49"/>
      <c r="AQ60" s="49"/>
      <c r="AR60" s="49"/>
      <c r="AS60" s="49"/>
      <c r="AT60" s="49"/>
      <c r="AU60" s="49"/>
      <c r="AV60" s="49"/>
      <c r="AW60" s="49"/>
      <c r="AX60" s="49"/>
      <c r="AY60" s="49"/>
      <c r="AZ60" s="49"/>
    </row>
    <row r="61" spans="8:52" x14ac:dyDescent="0.25">
      <c r="H61" s="7" t="s">
        <v>61</v>
      </c>
      <c r="I61" s="5" t="s">
        <v>41</v>
      </c>
      <c r="J61" s="16">
        <f>IF(DoOptim,J19,MIN(J59,J14))</f>
        <v>4000</v>
      </c>
      <c r="K61" s="16">
        <f>IF(DoOptim,K19,MIN(K59,K14))</f>
        <v>0</v>
      </c>
      <c r="L61" s="16">
        <f>IF(DoOptim,L19,MIN(L59,L14))</f>
        <v>0</v>
      </c>
      <c r="M61" s="16">
        <f>IF(DoOptim,M19,MIN(M59,M14))</f>
        <v>0</v>
      </c>
      <c r="N61" s="16">
        <f>IF(DoOptim,N19,MIN(N59,N14))</f>
        <v>0</v>
      </c>
      <c r="O61" s="16">
        <f>IF(DoOptim,O19,MIN(O59,O14))</f>
        <v>0</v>
      </c>
      <c r="P61" s="16">
        <f>IF(DoOptim,P19,MIN(P59,P14))</f>
        <v>0</v>
      </c>
      <c r="Q61" s="16">
        <f>IF(DoOptim,Q19,MIN(Q59,Q14))</f>
        <v>0</v>
      </c>
      <c r="R61" s="16">
        <f>IF(DoOptim,R19,MIN(R59,R14))</f>
        <v>0</v>
      </c>
      <c r="S61" s="16">
        <f>IF(DoOptim,S19,MIN(S59,S14))</f>
        <v>0</v>
      </c>
      <c r="T61" s="16">
        <f>IF(DoOptim,T19,MIN(T59,T14))</f>
        <v>0</v>
      </c>
      <c r="U61" s="16">
        <f>IF(DoOptim,U19,MIN(U59,U14))</f>
        <v>4643</v>
      </c>
      <c r="Y61"/>
      <c r="Z61"/>
      <c r="AC61" s="14" t="str">
        <f>H109</f>
        <v>DV-omkostninger</v>
      </c>
      <c r="AD61" s="73" t="str">
        <f>I109</f>
        <v>tkr</v>
      </c>
      <c r="AE61" s="17">
        <f>L109</f>
        <v>1241098.7605122505</v>
      </c>
      <c r="AF61" s="17">
        <f>J109</f>
        <v>1364822.9775574182</v>
      </c>
      <c r="AG61" s="18">
        <f t="shared" si="18"/>
        <v>0</v>
      </c>
      <c r="AI61" s="50"/>
      <c r="AJ61" s="49"/>
      <c r="AK61" s="49"/>
      <c r="AL61" s="49"/>
      <c r="AM61" s="49"/>
      <c r="AN61" s="49"/>
      <c r="AO61" s="49"/>
      <c r="AP61" s="49"/>
      <c r="AQ61" s="49"/>
      <c r="AR61" s="49"/>
      <c r="AS61" s="49"/>
      <c r="AT61" s="49"/>
      <c r="AU61" s="49"/>
      <c r="AV61" s="49"/>
      <c r="AW61" s="49"/>
      <c r="AX61" s="49"/>
      <c r="AY61" s="49"/>
      <c r="AZ61" s="49"/>
    </row>
    <row r="62" spans="8:52" x14ac:dyDescent="0.25">
      <c r="H62" s="5" t="s">
        <v>56</v>
      </c>
      <c r="I62" s="5" t="s">
        <v>41</v>
      </c>
      <c r="J62" s="16">
        <f>J59-J61</f>
        <v>3283</v>
      </c>
      <c r="K62" s="16">
        <f t="shared" ref="K62:U62" si="19">K59-K61</f>
        <v>5086</v>
      </c>
      <c r="L62" s="16">
        <f t="shared" si="19"/>
        <v>6523</v>
      </c>
      <c r="M62" s="16">
        <f t="shared" si="19"/>
        <v>2337</v>
      </c>
      <c r="N62" s="16">
        <f t="shared" si="19"/>
        <v>0</v>
      </c>
      <c r="O62" s="16">
        <f t="shared" si="19"/>
        <v>4756</v>
      </c>
      <c r="P62" s="16">
        <f t="shared" si="19"/>
        <v>0</v>
      </c>
      <c r="Q62" s="16">
        <f t="shared" si="19"/>
        <v>0</v>
      </c>
      <c r="R62" s="16">
        <f t="shared" si="19"/>
        <v>0</v>
      </c>
      <c r="S62" s="16">
        <f t="shared" si="19"/>
        <v>0</v>
      </c>
      <c r="T62" s="16">
        <f t="shared" si="19"/>
        <v>250</v>
      </c>
      <c r="U62" s="16">
        <f t="shared" si="19"/>
        <v>0</v>
      </c>
      <c r="Y62"/>
      <c r="Z62"/>
      <c r="AC62" s="14" t="str">
        <f>H110</f>
        <v>Affaldvarme-afgift</v>
      </c>
      <c r="AD62" s="73" t="str">
        <f>I110</f>
        <v>tkr</v>
      </c>
      <c r="AE62" s="17">
        <f>L110</f>
        <v>2388417.4645282412</v>
      </c>
      <c r="AF62" s="17">
        <f>J110</f>
        <v>2239801.2000000002</v>
      </c>
      <c r="AG62" s="18">
        <f t="shared" si="18"/>
        <v>0</v>
      </c>
      <c r="AI62" s="50"/>
      <c r="AJ62" s="49"/>
      <c r="AK62" s="49"/>
      <c r="AL62" s="49"/>
      <c r="AM62" s="49"/>
      <c r="AN62" s="49"/>
      <c r="AO62" s="49"/>
      <c r="AP62" s="49"/>
      <c r="AQ62" s="49"/>
      <c r="AR62" s="49"/>
      <c r="AS62" s="49"/>
      <c r="AT62" s="49"/>
      <c r="AU62" s="49"/>
      <c r="AV62" s="49"/>
      <c r="AW62" s="49"/>
      <c r="AX62" s="49"/>
      <c r="AY62" s="49"/>
      <c r="AZ62" s="49"/>
    </row>
    <row r="63" spans="8:52" x14ac:dyDescent="0.25">
      <c r="H63" s="7" t="s">
        <v>62</v>
      </c>
      <c r="I63" s="5" t="s">
        <v>41</v>
      </c>
      <c r="J63" s="16">
        <f>IF(DoOptim,J38*J36*J30/3.6,MIN(J62,J45,J38*J60*J30/3.6))</f>
        <v>3283</v>
      </c>
      <c r="K63" s="16">
        <f>IF(DoOptim,K38*K36*K30/3.6,MIN(K62,K45,K38*K60*K30/3.6))</f>
        <v>5086</v>
      </c>
      <c r="L63" s="16">
        <f>IF(DoOptim,L38*L36*L30/3.6,MIN(L62,L45,L38*L60*L30/3.6))</f>
        <v>4883.0889807088834</v>
      </c>
      <c r="M63" s="16">
        <f>IF(DoOptim,M38*M36*M30/3.6,MIN(M62,M45,M38*M60*M30/3.6))</f>
        <v>2337</v>
      </c>
      <c r="N63" s="16">
        <f>IF(DoOptim,N38*N36*N30/3.6,MIN(N62,N45,N38*N60*N30/3.6))</f>
        <v>0</v>
      </c>
      <c r="O63" s="16">
        <f>IF(DoOptim,O38*O36*O30/3.6,MIN(O62,O45,O38*O60*O30/3.6))</f>
        <v>4756</v>
      </c>
      <c r="P63" s="16">
        <f>IF(DoOptim,P38*P36*P30/3.6,MIN(P62,P45,P38*P60*P30/3.6))</f>
        <v>0</v>
      </c>
      <c r="Q63" s="16">
        <f>IF(DoOptim,Q38*Q36*Q30/3.6,MIN(Q62,Q45,Q38*Q60*Q30/3.6))</f>
        <v>0</v>
      </c>
      <c r="R63" s="16">
        <f>IF(DoOptim,R38*R36*R30/3.6,MIN(R62,R45,R38*R60*R30/3.6))</f>
        <v>0</v>
      </c>
      <c r="S63" s="16">
        <f>IF(DoOptim,S38*S36*S30/3.6,MIN(S62,S45,S38*S60*S30/3.6))</f>
        <v>0</v>
      </c>
      <c r="T63" s="16">
        <f>IF(DoOptim,T38*T36*T30/3.6,MIN(T62,T45,T38*T60*T30/3.6))</f>
        <v>250</v>
      </c>
      <c r="U63" s="16">
        <f>IF(DoOptim,U38*U36*U30/3.6,MIN(U62,U45,U38*U60*U30/3.6))</f>
        <v>0</v>
      </c>
      <c r="Y63"/>
      <c r="Z63"/>
      <c r="AC63" s="14" t="str">
        <f>H111</f>
        <v>Tillægsafgift</v>
      </c>
      <c r="AD63" s="73" t="str">
        <f>I111</f>
        <v>tkr</v>
      </c>
      <c r="AE63" s="18">
        <f>L111</f>
        <v>888473.4865294809</v>
      </c>
      <c r="AF63" s="18">
        <f>J111</f>
        <v>1975958.7992407379</v>
      </c>
      <c r="AG63" s="18">
        <f t="shared" si="18"/>
        <v>0</v>
      </c>
      <c r="AI63" s="50"/>
      <c r="AJ63" s="49"/>
      <c r="AK63" s="49"/>
      <c r="AL63" s="49"/>
      <c r="AM63" s="49"/>
      <c r="AN63" s="49"/>
      <c r="AO63" s="49"/>
      <c r="AP63" s="49"/>
      <c r="AQ63" s="49"/>
      <c r="AR63" s="49"/>
      <c r="AS63" s="49"/>
      <c r="AT63" s="49"/>
      <c r="AU63" s="49"/>
      <c r="AV63" s="49"/>
      <c r="AW63" s="49"/>
      <c r="AX63" s="49"/>
      <c r="AY63" s="49"/>
      <c r="AZ63" s="49"/>
    </row>
    <row r="64" spans="8:52" x14ac:dyDescent="0.25">
      <c r="H64" s="5" t="s">
        <v>316</v>
      </c>
      <c r="I64" s="5" t="s">
        <v>41</v>
      </c>
      <c r="J64" s="16">
        <f>J63*EtaQNomOvn2/J38</f>
        <v>2712.0434782608695</v>
      </c>
      <c r="K64" s="16">
        <f t="shared" ref="K64:U64" si="20">K63*EtaQNomOvn2/EtaQmaxOvn2</f>
        <v>4201.478260869565</v>
      </c>
      <c r="L64" s="16">
        <f t="shared" si="20"/>
        <v>4033.8561144986425</v>
      </c>
      <c r="M64" s="16">
        <f t="shared" si="20"/>
        <v>1930.5652173913043</v>
      </c>
      <c r="N64" s="16">
        <f t="shared" si="20"/>
        <v>0</v>
      </c>
      <c r="O64" s="16">
        <f t="shared" si="20"/>
        <v>3928.8695652173915</v>
      </c>
      <c r="P64" s="16">
        <f t="shared" si="20"/>
        <v>0</v>
      </c>
      <c r="Q64" s="16">
        <f t="shared" si="20"/>
        <v>0</v>
      </c>
      <c r="R64" s="16">
        <f t="shared" si="20"/>
        <v>0</v>
      </c>
      <c r="S64" s="16">
        <f t="shared" si="20"/>
        <v>0</v>
      </c>
      <c r="T64" s="16">
        <f t="shared" si="20"/>
        <v>206.52173913043478</v>
      </c>
      <c r="U64" s="16">
        <f t="shared" si="20"/>
        <v>0</v>
      </c>
      <c r="Y64"/>
      <c r="Z64"/>
      <c r="AC64" s="14" t="str">
        <f>H112</f>
        <v>CO2-afgift</v>
      </c>
      <c r="AD64" s="73" t="str">
        <f>I112</f>
        <v>tkr</v>
      </c>
      <c r="AE64" s="18">
        <f>L112</f>
        <v>184525.88496175961</v>
      </c>
      <c r="AF64" s="18">
        <f>J112</f>
        <v>410384.27325740416</v>
      </c>
      <c r="AG64" s="18">
        <f t="shared" si="18"/>
        <v>0</v>
      </c>
      <c r="AI64" s="50"/>
      <c r="AJ64" s="49"/>
      <c r="AK64" s="49"/>
      <c r="AL64" s="49"/>
      <c r="AM64" s="49"/>
      <c r="AN64" s="49"/>
      <c r="AO64" s="49"/>
      <c r="AP64" s="49"/>
      <c r="AQ64" s="49"/>
      <c r="AR64" s="49"/>
      <c r="AS64" s="49"/>
      <c r="AT64" s="49"/>
      <c r="AU64" s="49"/>
      <c r="AV64" s="49"/>
      <c r="AW64" s="49"/>
      <c r="AX64" s="49"/>
      <c r="AY64" s="49"/>
      <c r="AZ64" s="49"/>
    </row>
    <row r="65" spans="1:52" x14ac:dyDescent="0.25">
      <c r="A65" s="161" t="s">
        <v>335</v>
      </c>
      <c r="H65" s="5" t="s">
        <v>58</v>
      </c>
      <c r="I65" s="5" t="s">
        <v>16</v>
      </c>
      <c r="J65" s="16">
        <f>J63/J38/(J30/3.6)</f>
        <v>1064.0697207492935</v>
      </c>
      <c r="K65" s="16">
        <f>K63/EtaQmaxOvn2/(K30/3.6)</f>
        <v>1648.4491622695421</v>
      </c>
      <c r="L65" s="16">
        <f>L63/EtaQmaxOvn2/(L30/3.6)</f>
        <v>1498.6191696429751</v>
      </c>
      <c r="M65" s="16">
        <f>M63/EtaQmaxOvn2/(M30/3.6)</f>
        <v>717.22489868435787</v>
      </c>
      <c r="N65" s="16">
        <f>N63/EtaQmaxOvn2/(N30/3.6)</f>
        <v>0</v>
      </c>
      <c r="O65" s="16">
        <f>O63/EtaQmaxOvn2/(O30/3.6)</f>
        <v>1459.6155832874649</v>
      </c>
      <c r="P65" s="16">
        <f>P63/EtaQmaxOvn2/(P30/3.6)</f>
        <v>0</v>
      </c>
      <c r="Q65" s="16">
        <f>Q63/EtaQmaxOvn2/(Q30/3.6)</f>
        <v>0</v>
      </c>
      <c r="R65" s="16">
        <f>R63/EtaQmaxOvn2/(R30/3.6)</f>
        <v>0</v>
      </c>
      <c r="S65" s="16">
        <f>S63/EtaQmaxOvn2/(S30/3.6)</f>
        <v>0</v>
      </c>
      <c r="T65" s="16">
        <f>T63/EtaQmaxOvn2/(T30/3.6)</f>
        <v>76.724957069357913</v>
      </c>
      <c r="U65" s="16">
        <f>U63/EtaQmaxOvn2/(U30/3.6)</f>
        <v>0</v>
      </c>
      <c r="Y65"/>
      <c r="Z65"/>
      <c r="AC65" s="14" t="str">
        <f>H113</f>
        <v>Kvote-omkostning</v>
      </c>
      <c r="AD65" s="73" t="str">
        <f>I113</f>
        <v>tkr</v>
      </c>
      <c r="AE65" s="18">
        <f>L113</f>
        <v>2883200</v>
      </c>
      <c r="AF65" s="18">
        <f>J113</f>
        <v>2022445.5665611641</v>
      </c>
      <c r="AG65" s="18">
        <f t="shared" si="18"/>
        <v>0</v>
      </c>
      <c r="AI65" s="50"/>
      <c r="AJ65" s="49"/>
      <c r="AK65" s="49"/>
      <c r="AL65" s="49"/>
      <c r="AM65" s="49"/>
      <c r="AN65" s="49"/>
      <c r="AO65" s="49"/>
      <c r="AP65" s="49"/>
      <c r="AQ65" s="49"/>
      <c r="AR65" s="49"/>
      <c r="AS65" s="49"/>
      <c r="AT65" s="49"/>
      <c r="AU65" s="49"/>
      <c r="AV65" s="49"/>
      <c r="AW65" s="49"/>
      <c r="AX65" s="49"/>
      <c r="AY65" s="49"/>
      <c r="AZ65" s="49"/>
    </row>
    <row r="66" spans="1:52" x14ac:dyDescent="0.25">
      <c r="H66" s="5" t="s">
        <v>56</v>
      </c>
      <c r="I66" s="5" t="s">
        <v>41</v>
      </c>
      <c r="J66" s="16">
        <f t="shared" ref="J66:U66" si="21">J62-J63</f>
        <v>0</v>
      </c>
      <c r="K66" s="16">
        <f t="shared" si="21"/>
        <v>0</v>
      </c>
      <c r="L66" s="16">
        <f t="shared" si="21"/>
        <v>1639.9110192911166</v>
      </c>
      <c r="M66" s="16">
        <f t="shared" si="21"/>
        <v>0</v>
      </c>
      <c r="N66" s="16">
        <f t="shared" si="21"/>
        <v>0</v>
      </c>
      <c r="O66" s="16">
        <f t="shared" si="21"/>
        <v>0</v>
      </c>
      <c r="P66" s="16">
        <f t="shared" si="21"/>
        <v>0</v>
      </c>
      <c r="Q66" s="16">
        <f t="shared" si="21"/>
        <v>0</v>
      </c>
      <c r="R66" s="16">
        <f t="shared" si="21"/>
        <v>0</v>
      </c>
      <c r="S66" s="16">
        <f t="shared" si="21"/>
        <v>0</v>
      </c>
      <c r="T66" s="16">
        <f t="shared" si="21"/>
        <v>0</v>
      </c>
      <c r="U66" s="16">
        <f t="shared" si="21"/>
        <v>0</v>
      </c>
      <c r="Y66"/>
      <c r="Z66"/>
      <c r="AC66" s="14"/>
      <c r="AD66" s="73"/>
      <c r="AE66" s="18"/>
      <c r="AF66" s="18"/>
      <c r="AG66" s="18"/>
      <c r="AI66" s="50"/>
      <c r="AJ66" s="49"/>
      <c r="AK66" s="49"/>
      <c r="AL66" s="49"/>
      <c r="AM66" s="49"/>
      <c r="AN66" s="49"/>
      <c r="AO66" s="49"/>
      <c r="AP66" s="49"/>
      <c r="AQ66" s="49"/>
      <c r="AR66" s="49"/>
      <c r="AS66" s="49"/>
      <c r="AT66" s="49"/>
      <c r="AU66" s="49"/>
      <c r="AV66" s="49"/>
      <c r="AW66" s="49"/>
      <c r="AX66" s="49"/>
      <c r="AY66" s="49"/>
      <c r="AZ66" s="49"/>
    </row>
    <row r="67" spans="1:52" x14ac:dyDescent="0.25">
      <c r="H67" s="5" t="s">
        <v>57</v>
      </c>
      <c r="I67" s="5" t="s">
        <v>16</v>
      </c>
      <c r="J67" s="16">
        <f t="shared" ref="J67:U67" si="22">J60-J65</f>
        <v>2485.7203500817691</v>
      </c>
      <c r="K67" s="16">
        <f t="shared" si="22"/>
        <v>219.1031597714184</v>
      </c>
      <c r="L67" s="16">
        <f t="shared" si="22"/>
        <v>0</v>
      </c>
      <c r="M67" s="16">
        <f t="shared" si="22"/>
        <v>1039.5033300023924</v>
      </c>
      <c r="N67" s="16">
        <f t="shared" si="22"/>
        <v>4599.000605061653</v>
      </c>
      <c r="O67" s="16">
        <f t="shared" si="22"/>
        <v>4024.1662986249848</v>
      </c>
      <c r="P67" s="16">
        <f t="shared" si="22"/>
        <v>3537.5934858189858</v>
      </c>
      <c r="Q67" s="16">
        <f t="shared" si="22"/>
        <v>6514.0776413596623</v>
      </c>
      <c r="R67" s="16">
        <f t="shared" si="22"/>
        <v>6086.9686031800829</v>
      </c>
      <c r="S67" s="16">
        <f t="shared" si="22"/>
        <v>3504.341649295643</v>
      </c>
      <c r="T67" s="16">
        <f t="shared" si="22"/>
        <v>4180.0032716173928</v>
      </c>
      <c r="U67" s="16">
        <f t="shared" si="22"/>
        <v>3998.6191696429751</v>
      </c>
      <c r="Y67"/>
      <c r="Z67"/>
      <c r="AC67" s="7" t="s">
        <v>231</v>
      </c>
      <c r="AD67" s="6"/>
      <c r="AE67" s="15" t="str">
        <f>AE50</f>
        <v>MAR</v>
      </c>
      <c r="AF67" s="15" t="str">
        <f>AF50</f>
        <v>JAN</v>
      </c>
      <c r="AG67" s="12"/>
      <c r="AI67" s="50"/>
      <c r="AJ67" s="49"/>
      <c r="AK67" s="49"/>
      <c r="AL67" s="49"/>
      <c r="AM67" s="49"/>
      <c r="AN67" s="49"/>
      <c r="AO67" s="49"/>
      <c r="AP67" s="49"/>
      <c r="AQ67" s="49"/>
      <c r="AR67" s="49"/>
      <c r="AS67" s="49"/>
      <c r="AT67" s="49"/>
      <c r="AU67" s="49"/>
      <c r="AV67" s="49"/>
      <c r="AW67" s="49"/>
      <c r="AX67" s="49"/>
      <c r="AY67" s="49"/>
      <c r="AZ67" s="49"/>
    </row>
    <row r="68" spans="1:52" x14ac:dyDescent="0.25">
      <c r="A68" s="161" t="s">
        <v>336</v>
      </c>
      <c r="H68" s="6" t="s">
        <v>65</v>
      </c>
      <c r="I68" s="5" t="s">
        <v>41</v>
      </c>
      <c r="J68" s="16">
        <f t="shared" ref="J68:U68" si="23">J56+J63</f>
        <v>24115</v>
      </c>
      <c r="K68" s="16">
        <f t="shared" si="23"/>
        <v>23902</v>
      </c>
      <c r="L68" s="16">
        <f t="shared" si="23"/>
        <v>25715.088980708882</v>
      </c>
      <c r="M68" s="16">
        <f t="shared" si="23"/>
        <v>22497</v>
      </c>
      <c r="N68" s="16">
        <f t="shared" si="23"/>
        <v>12760</v>
      </c>
      <c r="O68" s="16">
        <f t="shared" si="23"/>
        <v>6100</v>
      </c>
      <c r="P68" s="16">
        <f t="shared" si="23"/>
        <v>6411</v>
      </c>
      <c r="Q68" s="16">
        <f t="shared" si="23"/>
        <v>7774</v>
      </c>
      <c r="R68" s="16">
        <f t="shared" si="23"/>
        <v>8886</v>
      </c>
      <c r="S68" s="16">
        <f t="shared" si="23"/>
        <v>15610</v>
      </c>
      <c r="T68" s="16">
        <f t="shared" si="23"/>
        <v>20410</v>
      </c>
      <c r="U68" s="16">
        <f t="shared" si="23"/>
        <v>20832</v>
      </c>
      <c r="Y68"/>
      <c r="Z68"/>
      <c r="AC68" s="5" t="str">
        <f>H84</f>
        <v>Varmeproduktion Ovn2</v>
      </c>
      <c r="AD68" s="6" t="s">
        <v>41</v>
      </c>
      <c r="AE68" s="12">
        <f>L84</f>
        <v>4883.0889807088834</v>
      </c>
      <c r="AF68" s="12">
        <f>J84</f>
        <v>7638.95652173913</v>
      </c>
      <c r="AG68" s="12">
        <f>AF68-AE68</f>
        <v>2755.8675410302467</v>
      </c>
      <c r="AI68" s="50"/>
      <c r="AJ68" s="49"/>
      <c r="AK68" s="49"/>
      <c r="AL68" s="49"/>
      <c r="AM68" s="49"/>
      <c r="AN68" s="49"/>
      <c r="AO68" s="49"/>
      <c r="AP68" s="49"/>
      <c r="AQ68" s="49"/>
      <c r="AR68" s="49"/>
      <c r="AS68" s="49"/>
      <c r="AT68" s="49"/>
      <c r="AU68" s="49"/>
      <c r="AV68" s="49"/>
      <c r="AW68" s="49"/>
      <c r="AX68" s="49"/>
      <c r="AY68" s="49"/>
      <c r="AZ68" s="49"/>
    </row>
    <row r="69" spans="1:52" x14ac:dyDescent="0.25">
      <c r="H69" s="6" t="s">
        <v>66</v>
      </c>
      <c r="I69" s="5" t="s">
        <v>41</v>
      </c>
      <c r="J69" s="16">
        <f>J66</f>
        <v>0</v>
      </c>
      <c r="K69" s="16">
        <f t="shared" ref="K69:U69" si="24">K66</f>
        <v>0</v>
      </c>
      <c r="L69" s="16">
        <f t="shared" si="24"/>
        <v>1639.9110192911166</v>
      </c>
      <c r="M69" s="16">
        <f t="shared" si="24"/>
        <v>0</v>
      </c>
      <c r="N69" s="16">
        <f t="shared" si="24"/>
        <v>0</v>
      </c>
      <c r="O69" s="16">
        <f t="shared" si="24"/>
        <v>0</v>
      </c>
      <c r="P69" s="16">
        <f t="shared" si="24"/>
        <v>0</v>
      </c>
      <c r="Q69" s="16">
        <f t="shared" si="24"/>
        <v>0</v>
      </c>
      <c r="R69" s="16">
        <f t="shared" si="24"/>
        <v>0</v>
      </c>
      <c r="S69" s="16">
        <f t="shared" si="24"/>
        <v>0</v>
      </c>
      <c r="T69" s="16">
        <f t="shared" si="24"/>
        <v>0</v>
      </c>
      <c r="U69" s="16">
        <f t="shared" si="24"/>
        <v>0</v>
      </c>
      <c r="Y69"/>
      <c r="Z69"/>
      <c r="AC69" s="5" t="str">
        <f>H85</f>
        <v>Varmeproduktion Ovn3</v>
      </c>
      <c r="AD69" s="6" t="s">
        <v>41</v>
      </c>
      <c r="AE69" s="12">
        <f>L85</f>
        <v>20832</v>
      </c>
      <c r="AF69" s="12">
        <f>J85</f>
        <v>20832</v>
      </c>
      <c r="AG69" s="12">
        <f t="shared" ref="AG69:AG73" si="25">AF69-AE69</f>
        <v>0</v>
      </c>
      <c r="AI69" s="50"/>
      <c r="AJ69" s="49"/>
      <c r="AK69" s="49"/>
      <c r="AL69" s="49"/>
      <c r="AM69" s="49"/>
      <c r="AN69" s="49"/>
      <c r="AO69" s="49"/>
      <c r="AP69" s="49"/>
      <c r="AQ69" s="49"/>
      <c r="AR69" s="49"/>
      <c r="AS69" s="49"/>
      <c r="AT69" s="49"/>
      <c r="AU69" s="49"/>
      <c r="AV69" s="49"/>
      <c r="AW69" s="49"/>
      <c r="AX69" s="49"/>
      <c r="AY69" s="49"/>
      <c r="AZ69" s="49"/>
    </row>
    <row r="70" spans="1:52" x14ac:dyDescent="0.25">
      <c r="H70" s="5" t="s">
        <v>96</v>
      </c>
      <c r="I70" s="5" t="s">
        <v>41</v>
      </c>
      <c r="J70" s="16">
        <f>J43-EtaQNomOvn2*J65*J30/3.6</f>
        <v>4355.95652173913</v>
      </c>
      <c r="K70" s="16">
        <f>K43-EtaQNomOvn3*K65*K30/3.6</f>
        <v>3118.3960436843181</v>
      </c>
      <c r="L70" s="16">
        <f>L43-EtaQNomOvn3*L65*L30/3.6</f>
        <v>3932.6805555555566</v>
      </c>
      <c r="M70" s="16">
        <f>M43-EtaQNomOvn3*M65*M30/3.6</f>
        <v>5339.4658973830619</v>
      </c>
      <c r="N70" s="16">
        <f>N43-EtaQNomOvn3*N65*N30/3.6</f>
        <v>7068</v>
      </c>
      <c r="O70" s="16">
        <f>O43-EtaQNomOvn3*O65*O30/3.6</f>
        <v>3786.2814753760563</v>
      </c>
      <c r="P70" s="16">
        <f>P43-EtaQNomOvn3*P65*P30/3.6</f>
        <v>7068</v>
      </c>
      <c r="Q70" s="16">
        <f>Q43-EtaQNomOvn3*Q65*Q30/3.6</f>
        <v>7068</v>
      </c>
      <c r="R70" s="16">
        <f>R43-EtaQNomOvn3*R65*R30/3.6</f>
        <v>6840</v>
      </c>
      <c r="S70" s="16">
        <f>S43-EtaQNomOvn3*S65*S30/3.6</f>
        <v>7068</v>
      </c>
      <c r="T70" s="16">
        <f>T43-EtaQNomOvn3*T65*T30/3.6</f>
        <v>6679.4807335668656</v>
      </c>
      <c r="U70" s="16">
        <f>U43-EtaQNomOvn3*U65*U30/3.6</f>
        <v>7068</v>
      </c>
      <c r="Y70"/>
      <c r="Z70"/>
      <c r="AC70" s="5" t="str">
        <f>H87</f>
        <v>Heraf RGK-varme</v>
      </c>
      <c r="AD70" s="6" t="s">
        <v>41</v>
      </c>
      <c r="AE70" s="12">
        <f>L87</f>
        <v>5300.6091090984</v>
      </c>
      <c r="AF70" s="12">
        <f>J87</f>
        <v>5049.4716687852942</v>
      </c>
      <c r="AG70" s="12">
        <f t="shared" si="25"/>
        <v>-251.1374403131058</v>
      </c>
      <c r="AI70" s="50"/>
      <c r="AJ70" s="49"/>
      <c r="AK70" s="49"/>
      <c r="AL70" s="49"/>
      <c r="AM70" s="49"/>
      <c r="AN70" s="49"/>
      <c r="AO70" s="49"/>
      <c r="AP70" s="49"/>
      <c r="AQ70" s="49"/>
      <c r="AR70" s="49"/>
      <c r="AS70" s="49"/>
      <c r="AT70" s="49"/>
      <c r="AU70" s="49"/>
      <c r="AV70" s="49"/>
      <c r="AW70" s="49"/>
      <c r="AX70" s="49"/>
      <c r="AY70" s="49"/>
      <c r="AZ70" s="49"/>
    </row>
    <row r="71" spans="1:52" x14ac:dyDescent="0.25">
      <c r="H71" s="5" t="s">
        <v>97</v>
      </c>
      <c r="I71" s="5" t="s">
        <v>41</v>
      </c>
      <c r="J71" s="16">
        <f>J50-EtaQNomOvn3*J58*J30/3.6</f>
        <v>0</v>
      </c>
      <c r="K71" s="16">
        <f>K50-EtaQNomOvn3*K58*K30/3.6</f>
        <v>0</v>
      </c>
      <c r="L71" s="16">
        <f>L50-EtaQNomOvn3*L58*L30/3.6</f>
        <v>0</v>
      </c>
      <c r="M71" s="16">
        <f>M50-EtaQNomOvn3*M58*M30/3.6</f>
        <v>0</v>
      </c>
      <c r="N71" s="16">
        <f>N50-EtaQNomOvn3*N58*N30/3.6</f>
        <v>6486.4285714285706</v>
      </c>
      <c r="O71" s="16">
        <f>O50-EtaQNomOvn3*O58*O30/3.6</f>
        <v>0</v>
      </c>
      <c r="P71" s="16">
        <f>P50-EtaQNomOvn3*P58*P30/3.6</f>
        <v>11588.303571428571</v>
      </c>
      <c r="Q71" s="16">
        <f>Q50-EtaQNomOvn3*Q58*Q30/3.6</f>
        <v>10493.035714285714</v>
      </c>
      <c r="R71" s="16">
        <f>R50-EtaQNomOvn3*R58*R30/3.6</f>
        <v>9059.4642857142862</v>
      </c>
      <c r="S71" s="16">
        <f>S50-EtaQNomOvn3*S58*S30/3.6</f>
        <v>4196.25</v>
      </c>
      <c r="T71" s="16">
        <f>T50-EtaQNomOvn3*T58*T30/3.6</f>
        <v>0</v>
      </c>
      <c r="U71" s="16">
        <f>U50-EtaQNomOvn3*U58*U30/3.6</f>
        <v>0</v>
      </c>
      <c r="Y71"/>
      <c r="Z71"/>
      <c r="AC71" s="5" t="str">
        <f>H78</f>
        <v>Bortkølet varme</v>
      </c>
      <c r="AD71" s="6" t="s">
        <v>41</v>
      </c>
      <c r="AE71" s="12">
        <f>L78</f>
        <v>0</v>
      </c>
      <c r="AF71" s="12">
        <f>J78</f>
        <v>4355.95652173913</v>
      </c>
      <c r="AG71" s="12">
        <f t="shared" si="25"/>
        <v>4355.95652173913</v>
      </c>
      <c r="AI71" s="50"/>
      <c r="AJ71" s="49"/>
      <c r="AK71" s="49"/>
      <c r="AL71" s="49"/>
      <c r="AM71" s="49"/>
      <c r="AN71" s="49"/>
      <c r="AO71" s="49"/>
      <c r="AP71" s="49"/>
      <c r="AQ71" s="49"/>
      <c r="AR71" s="49"/>
      <c r="AS71" s="49"/>
      <c r="AT71" s="49"/>
      <c r="AU71" s="49"/>
      <c r="AV71" s="49"/>
      <c r="AW71" s="49"/>
      <c r="AX71" s="49"/>
      <c r="AY71" s="49"/>
      <c r="AZ71" s="49"/>
    </row>
    <row r="72" spans="1:52" x14ac:dyDescent="0.25">
      <c r="H72" s="5" t="s">
        <v>99</v>
      </c>
      <c r="I72" s="5" t="s">
        <v>41</v>
      </c>
      <c r="J72" s="16">
        <f>IF(DoOptim,MIN(J71,EtaQNomOvn3*J67*J30/3.6),MIN(J71,EtaQNomOvn3*J67*J30/3.6,24*J29*KapQcool))</f>
        <v>0</v>
      </c>
      <c r="K72" s="16">
        <f>MIN(K71,EtaQNomOvn3*K67*K30/3.6,24*EtaQNomOvn3*KapQcool)</f>
        <v>0</v>
      </c>
      <c r="L72" s="16">
        <f>MIN(L71,EtaQNomOvn3*L67*L30/3.6,24*EtaQNomOvn3*KapQcool)</f>
        <v>0</v>
      </c>
      <c r="M72" s="16">
        <f>MIN(M71,EtaQNomOvn3*M67*M30/3.6,24*EtaQNomOvn3*KapQcool)</f>
        <v>0</v>
      </c>
      <c r="N72" s="16">
        <f>MIN(N71,EtaQNomOvn3*N67*N30/3.6,24*EtaQNomOvn3*KapQcool)</f>
        <v>236.16</v>
      </c>
      <c r="O72" s="16">
        <f>MIN(O71,EtaQNomOvn3*O67*O30/3.6,24*EtaQNomOvn3*KapQcool)</f>
        <v>0</v>
      </c>
      <c r="P72" s="16">
        <f>MIN(P71,EtaQNomOvn3*P67*P30/3.6,24*EtaQNomOvn3*KapQcool)</f>
        <v>236.16</v>
      </c>
      <c r="Q72" s="16">
        <f>MIN(Q71,EtaQNomOvn3*Q67*Q30/3.6,24*EtaQNomOvn3*KapQcool)</f>
        <v>236.16</v>
      </c>
      <c r="R72" s="16">
        <f>MIN(R71,EtaQNomOvn3*R67*R30/3.6,24*EtaQNomOvn3*KapQcool)</f>
        <v>236.16</v>
      </c>
      <c r="S72" s="16">
        <f>MIN(S71,EtaQNomOvn3*S67*S30/3.6,24*EtaQNomOvn3*KapQcool)</f>
        <v>236.16</v>
      </c>
      <c r="T72" s="16">
        <f>MIN(T71,EtaQNomOvn3*T67*T30/3.6,24*EtaQNomOvn3*KapQcool)</f>
        <v>0</v>
      </c>
      <c r="U72" s="16">
        <f>MIN(U71,EtaQNomOvn3*U67*U30/3.6,24*EtaQNomOvn3*KapQcool)</f>
        <v>0</v>
      </c>
      <c r="Y72"/>
      <c r="Z72"/>
      <c r="AC72" s="5" t="str">
        <f>H90</f>
        <v>Leveret varme</v>
      </c>
      <c r="AD72" s="6" t="s">
        <v>41</v>
      </c>
      <c r="AE72" s="12">
        <f>L90</f>
        <v>25715.088980708882</v>
      </c>
      <c r="AF72" s="12">
        <f>J90</f>
        <v>24115</v>
      </c>
      <c r="AG72" s="12">
        <f t="shared" si="25"/>
        <v>-1600.0889807088824</v>
      </c>
      <c r="AI72" s="50"/>
      <c r="AJ72" s="49"/>
      <c r="AK72" s="49"/>
      <c r="AL72" s="49"/>
      <c r="AM72" s="49"/>
      <c r="AN72" s="49"/>
      <c r="AO72" s="49"/>
      <c r="AP72" s="49"/>
      <c r="AQ72" s="49"/>
      <c r="AR72" s="49"/>
      <c r="AS72" s="49"/>
      <c r="AT72" s="49"/>
      <c r="AU72" s="49"/>
      <c r="AV72" s="49"/>
      <c r="AW72" s="49"/>
      <c r="AX72" s="49"/>
      <c r="AY72" s="49"/>
      <c r="AZ72" s="49"/>
    </row>
    <row r="73" spans="1:52" x14ac:dyDescent="0.25">
      <c r="H73" s="5" t="s">
        <v>100</v>
      </c>
      <c r="I73" s="5" t="s">
        <v>16</v>
      </c>
      <c r="J73" s="16">
        <f>J72/EtaQNomOvn3/(J30/3.6)</f>
        <v>0</v>
      </c>
      <c r="K73" s="16">
        <f>K72/EtaQNomOvn3/(K30/3.6)</f>
        <v>0</v>
      </c>
      <c r="L73" s="16">
        <f>L72/EtaQNomOvn3/(L30/3.6)</f>
        <v>0</v>
      </c>
      <c r="M73" s="16">
        <f>M72/EtaQNomOvn3/(M30/3.6)</f>
        <v>0</v>
      </c>
      <c r="N73" s="16">
        <f>N72/EtaQNomOvn3/(N30/3.6)</f>
        <v>112.87969515514428</v>
      </c>
      <c r="O73" s="16">
        <f>O72/EtaQNomOvn3/(O30/3.6)</f>
        <v>0</v>
      </c>
      <c r="P73" s="16">
        <f>P72/EtaQNomOvn3/(P30/3.6)</f>
        <v>112.87969515514428</v>
      </c>
      <c r="Q73" s="16">
        <f>Q72/EtaQNomOvn3/(Q30/3.6)</f>
        <v>112.87969515514428</v>
      </c>
      <c r="R73" s="16">
        <f>R72/EtaQNomOvn3/(R30/3.6)</f>
        <v>112.87969515514428</v>
      </c>
      <c r="S73" s="16">
        <f>S72/EtaQNomOvn3/(S30/3.6)</f>
        <v>112.87969515514428</v>
      </c>
      <c r="T73" s="16">
        <f>T72/EtaQNomOvn3/(T30/3.6)</f>
        <v>0</v>
      </c>
      <c r="U73" s="16">
        <f>U72/EtaQNomOvn3/(U30/3.6)</f>
        <v>0</v>
      </c>
      <c r="Y73"/>
      <c r="Z73"/>
      <c r="AC73" s="5" t="str">
        <f>H91</f>
        <v>Spidslastvarme</v>
      </c>
      <c r="AD73" s="6" t="s">
        <v>41</v>
      </c>
      <c r="AE73" s="12">
        <f>L91</f>
        <v>1639.9110192911176</v>
      </c>
      <c r="AF73" s="12">
        <f>J91</f>
        <v>0</v>
      </c>
      <c r="AG73" s="12">
        <f t="shared" si="25"/>
        <v>-1639.9110192911176</v>
      </c>
      <c r="AI73" s="50"/>
      <c r="AJ73" s="49"/>
      <c r="AK73" s="49"/>
      <c r="AL73" s="49"/>
      <c r="AM73" s="49"/>
      <c r="AN73" s="49"/>
      <c r="AO73" s="49"/>
      <c r="AP73" s="49"/>
      <c r="AQ73" s="49"/>
      <c r="AR73" s="49"/>
      <c r="AS73" s="49"/>
      <c r="AT73" s="49"/>
      <c r="AU73" s="49"/>
      <c r="AV73" s="49"/>
      <c r="AW73" s="49"/>
      <c r="AX73" s="49"/>
      <c r="AY73" s="49"/>
      <c r="AZ73" s="49"/>
    </row>
    <row r="74" spans="1:52" x14ac:dyDescent="0.25">
      <c r="D74" s="160"/>
      <c r="E74" s="160"/>
      <c r="F74" s="160" t="s">
        <v>333</v>
      </c>
      <c r="H74" s="5" t="s">
        <v>57</v>
      </c>
      <c r="I74" s="5" t="s">
        <v>16</v>
      </c>
      <c r="J74" s="16">
        <f>J67-J73</f>
        <v>2485.7203500817691</v>
      </c>
      <c r="K74" s="16">
        <f t="shared" ref="K74:U74" si="26">K67-K73</f>
        <v>219.1031597714184</v>
      </c>
      <c r="L74" s="16">
        <f t="shared" si="26"/>
        <v>0</v>
      </c>
      <c r="M74" s="16">
        <f t="shared" si="26"/>
        <v>1039.5033300023924</v>
      </c>
      <c r="N74" s="16">
        <f t="shared" si="26"/>
        <v>4486.120909906509</v>
      </c>
      <c r="O74" s="16">
        <f t="shared" si="26"/>
        <v>4024.1662986249848</v>
      </c>
      <c r="P74" s="16">
        <f t="shared" si="26"/>
        <v>3424.7137906638413</v>
      </c>
      <c r="Q74" s="16">
        <f t="shared" si="26"/>
        <v>6401.1979462045183</v>
      </c>
      <c r="R74" s="16">
        <f t="shared" si="26"/>
        <v>5974.088908024939</v>
      </c>
      <c r="S74" s="16">
        <f t="shared" si="26"/>
        <v>3391.4619541404986</v>
      </c>
      <c r="T74" s="16">
        <f t="shared" si="26"/>
        <v>4180.0032716173928</v>
      </c>
      <c r="U74" s="16">
        <f t="shared" si="26"/>
        <v>3998.6191696429751</v>
      </c>
      <c r="Y74"/>
      <c r="Z74"/>
      <c r="AC74" s="5"/>
      <c r="AD74" s="6"/>
      <c r="AE74" s="18"/>
      <c r="AF74" s="18"/>
      <c r="AG74" s="12"/>
      <c r="AI74" s="50"/>
      <c r="AJ74" s="49"/>
      <c r="AK74" s="49"/>
      <c r="AL74" s="49"/>
      <c r="AM74" s="49"/>
      <c r="AN74" s="49"/>
      <c r="AO74" s="49"/>
      <c r="AP74" s="49"/>
      <c r="AQ74" s="49"/>
      <c r="AR74" s="49"/>
      <c r="AS74" s="49"/>
      <c r="AT74" s="49"/>
      <c r="AU74" s="49"/>
      <c r="AV74" s="49"/>
      <c r="AW74" s="49"/>
      <c r="AX74" s="49"/>
      <c r="AY74" s="49"/>
      <c r="AZ74" s="49"/>
    </row>
    <row r="75" spans="1:52" x14ac:dyDescent="0.25">
      <c r="H75" s="5" t="s">
        <v>98</v>
      </c>
      <c r="I75" s="5" t="s">
        <v>41</v>
      </c>
      <c r="J75" s="16">
        <f>IF(DoOptim,MIN(J70,EtaQNomOvn2*J74*J30/3.6),MIN(J70,EtaQNomOvn2*J74*J30/3.6,24*J29*KapQcool-J72))</f>
        <v>4355.95652173913</v>
      </c>
      <c r="K75" s="16">
        <f>MIN(K70,EtaQNomOvn3*K74*K30/3.6,24*$E$11*KapQcool-K72)</f>
        <v>434.04683733511274</v>
      </c>
      <c r="L75" s="16">
        <f>MIN(L70,EtaQNomOvn3*L74*L30/3.6,24*$E$11*KapQcool-L72)</f>
        <v>0</v>
      </c>
      <c r="M75" s="16">
        <f>MIN(M70,EtaQNomOvn3*M74*M30/3.6,24*$E$11*KapQcool-M72)</f>
        <v>2174.7853418275054</v>
      </c>
      <c r="N75" s="16">
        <f>MIN(N70,EtaQNomOvn3*N74*N30/3.6,24*$E$11*KapQcool-N72)</f>
        <v>7068</v>
      </c>
      <c r="O75" s="16">
        <f>MIN(O70,EtaQNomOvn3*O74*O30/3.6,24*$E$11*KapQcool-O72)</f>
        <v>3786.2814753760563</v>
      </c>
      <c r="P75" s="16">
        <f>MIN(P70,EtaQNomOvn3*P74*P30/3.6,24*$E$11*KapQcool-P72)</f>
        <v>7068</v>
      </c>
      <c r="Q75" s="16">
        <f>MIN(Q70,EtaQNomOvn3*Q74*Q30/3.6,24*$E$11*KapQcool-Q72)</f>
        <v>7068</v>
      </c>
      <c r="R75" s="16">
        <f>MIN(R70,EtaQNomOvn3*R74*R30/3.6,24*$E$11*KapQcool-R72)</f>
        <v>6840</v>
      </c>
      <c r="S75" s="16">
        <f>MIN(S70,EtaQNomOvn3*S74*S30/3.6,24*$E$11*KapQcool-S72)</f>
        <v>7068</v>
      </c>
      <c r="T75" s="16">
        <f>MIN(T70,EtaQNomOvn3*T74*T30/3.6,24*$E$11*KapQcool-T72)</f>
        <v>6679.4807335668656</v>
      </c>
      <c r="U75" s="16">
        <f>MIN(U70,EtaQNomOvn3*U74*U30/3.6,24*$E$11*KapQcool-U72)</f>
        <v>7068</v>
      </c>
      <c r="Y75"/>
      <c r="Z75"/>
      <c r="AC75" s="7" t="s">
        <v>232</v>
      </c>
      <c r="AD75" s="6"/>
      <c r="AE75" s="65" t="str">
        <f>AE50</f>
        <v>MAR</v>
      </c>
      <c r="AF75" s="65" t="str">
        <f>AF50</f>
        <v>JAN</v>
      </c>
      <c r="AG75" s="12"/>
      <c r="AI75" s="50"/>
      <c r="AJ75" s="49"/>
      <c r="AK75" s="49"/>
      <c r="AL75" s="49"/>
      <c r="AM75" s="49"/>
      <c r="AN75" s="49"/>
      <c r="AO75" s="49"/>
      <c r="AP75" s="49"/>
      <c r="AQ75" s="49"/>
      <c r="AR75" s="49"/>
      <c r="AS75" s="49"/>
      <c r="AT75" s="49"/>
      <c r="AU75" s="49"/>
      <c r="AV75" s="49"/>
      <c r="AW75" s="49"/>
      <c r="AX75" s="49"/>
      <c r="AY75" s="49"/>
      <c r="AZ75" s="49"/>
    </row>
    <row r="76" spans="1:52" x14ac:dyDescent="0.25">
      <c r="H76" s="5" t="s">
        <v>101</v>
      </c>
      <c r="I76" s="5" t="s">
        <v>16</v>
      </c>
      <c r="J76" s="16">
        <f>J75/EtaQNomOvn2/(J30/3.6)</f>
        <v>1709.0586772802387</v>
      </c>
      <c r="K76" s="16">
        <f>K75/EtaQNomOvn2/(K30/3.6)</f>
        <v>170.29819053323519</v>
      </c>
      <c r="L76" s="16">
        <f>L75/EtaQNomOvn2/(L30/3.6)</f>
        <v>0</v>
      </c>
      <c r="M76" s="16">
        <f>M75/EtaQNomOvn2/(M30/3.6)</f>
        <v>807.95519488337618</v>
      </c>
      <c r="N76" s="16">
        <f>N75/EtaQNomOvn2/(N30/3.6)</f>
        <v>2625.8349307417052</v>
      </c>
      <c r="O76" s="16">
        <f>O75/EtaQNomOvn2/(O30/3.6)</f>
        <v>1406.6426366246021</v>
      </c>
      <c r="P76" s="16">
        <f>P75/EtaQNomOvn2/(P30/3.6)</f>
        <v>2625.8349307417052</v>
      </c>
      <c r="Q76" s="16">
        <f>Q75/EtaQNomOvn2/(Q30/3.6)</f>
        <v>2625.8349307417052</v>
      </c>
      <c r="R76" s="16">
        <f>R75/EtaQNomOvn2/(R30/3.6)</f>
        <v>2541.1305781371339</v>
      </c>
      <c r="S76" s="16">
        <f>S75/EtaQNomOvn2/(S30/3.6)</f>
        <v>2625.8349307417052</v>
      </c>
      <c r="T76" s="16">
        <f>T75/EtaQNomOvn2/(T30/3.6)</f>
        <v>2481.4960143486287</v>
      </c>
      <c r="U76" s="16">
        <f>U75/EtaQNomOvn2/(U30/3.6)</f>
        <v>2625.8349307417052</v>
      </c>
      <c r="Y76"/>
      <c r="Z76"/>
      <c r="AC76" s="5" t="s">
        <v>143</v>
      </c>
      <c r="AD76" s="6" t="s">
        <v>16</v>
      </c>
      <c r="AE76" s="12">
        <f>L58</f>
        <v>8001.3808303570249</v>
      </c>
      <c r="AF76" s="12">
        <f>J58</f>
        <v>8450.2099291689374</v>
      </c>
      <c r="AG76" s="12">
        <f>AF76-AE76</f>
        <v>448.82909881191244</v>
      </c>
      <c r="AI76" s="50"/>
      <c r="AJ76" s="49"/>
      <c r="AK76" s="49"/>
      <c r="AL76" s="49"/>
      <c r="AM76" s="49"/>
      <c r="AN76" s="49"/>
      <c r="AO76" s="49"/>
      <c r="AP76" s="49"/>
      <c r="AQ76" s="49"/>
      <c r="AR76" s="49"/>
      <c r="AS76" s="49"/>
      <c r="AT76" s="49"/>
      <c r="AU76" s="49"/>
      <c r="AV76" s="49"/>
      <c r="AW76" s="49"/>
      <c r="AX76" s="49"/>
      <c r="AY76" s="49"/>
      <c r="AZ76" s="49"/>
    </row>
    <row r="77" spans="1:52" x14ac:dyDescent="0.25">
      <c r="H77" s="5" t="s">
        <v>57</v>
      </c>
      <c r="I77" s="5" t="s">
        <v>16</v>
      </c>
      <c r="J77" s="16">
        <f>J74-J76</f>
        <v>776.66167280153036</v>
      </c>
      <c r="K77" s="16">
        <f t="shared" ref="K77:U77" si="27">K74-K76</f>
        <v>48.804969238183219</v>
      </c>
      <c r="L77" s="16">
        <f t="shared" si="27"/>
        <v>0</v>
      </c>
      <c r="M77" s="16">
        <f t="shared" si="27"/>
        <v>231.54813511901625</v>
      </c>
      <c r="N77" s="16">
        <f t="shared" si="27"/>
        <v>1860.2859791648038</v>
      </c>
      <c r="O77" s="16">
        <f t="shared" si="27"/>
        <v>2617.5236620003825</v>
      </c>
      <c r="P77" s="16">
        <f t="shared" si="27"/>
        <v>798.87885992213614</v>
      </c>
      <c r="Q77" s="16">
        <f t="shared" si="27"/>
        <v>3775.3630154628131</v>
      </c>
      <c r="R77" s="16">
        <f t="shared" si="27"/>
        <v>3432.9583298878051</v>
      </c>
      <c r="S77" s="16">
        <f t="shared" si="27"/>
        <v>765.62702339879343</v>
      </c>
      <c r="T77" s="16">
        <f t="shared" si="27"/>
        <v>1698.5072572687641</v>
      </c>
      <c r="U77" s="16">
        <f t="shared" si="27"/>
        <v>1372.7842389012699</v>
      </c>
      <c r="Y77"/>
      <c r="Z77"/>
      <c r="AC77" s="5" t="s">
        <v>144</v>
      </c>
      <c r="AD77" s="6" t="s">
        <v>41</v>
      </c>
      <c r="AE77" s="12">
        <f>L61</f>
        <v>0</v>
      </c>
      <c r="AF77" s="12">
        <f>J61</f>
        <v>4000</v>
      </c>
      <c r="AG77" s="12">
        <f t="shared" ref="AG77:AG82" si="28">AF77-AE77</f>
        <v>4000</v>
      </c>
      <c r="AI77" s="50"/>
      <c r="AJ77" s="49"/>
      <c r="AK77" s="49"/>
      <c r="AL77" s="49"/>
      <c r="AM77" s="49"/>
      <c r="AN77" s="49"/>
      <c r="AO77" s="49"/>
      <c r="AP77" s="49"/>
      <c r="AQ77" s="49"/>
      <c r="AR77" s="49"/>
      <c r="AS77" s="49"/>
      <c r="AT77" s="49"/>
      <c r="AU77" s="49"/>
      <c r="AV77" s="49"/>
      <c r="AW77" s="49"/>
      <c r="AX77" s="49"/>
      <c r="AY77" s="49"/>
      <c r="AZ77" s="49"/>
    </row>
    <row r="78" spans="1:52" x14ac:dyDescent="0.25">
      <c r="A78" s="161" t="s">
        <v>337</v>
      </c>
      <c r="H78" s="5" t="s">
        <v>44</v>
      </c>
      <c r="I78" s="5" t="s">
        <v>41</v>
      </c>
      <c r="J78" s="16">
        <f>J72+J75</f>
        <v>4355.95652173913</v>
      </c>
      <c r="K78" s="16">
        <f t="shared" ref="K78:U78" si="29">K72+K75</f>
        <v>434.04683733511274</v>
      </c>
      <c r="L78" s="16">
        <f t="shared" si="29"/>
        <v>0</v>
      </c>
      <c r="M78" s="16">
        <f t="shared" si="29"/>
        <v>2174.7853418275054</v>
      </c>
      <c r="N78" s="16">
        <f t="shared" si="29"/>
        <v>7304.16</v>
      </c>
      <c r="O78" s="16">
        <f t="shared" si="29"/>
        <v>3786.2814753760563</v>
      </c>
      <c r="P78" s="16">
        <f t="shared" si="29"/>
        <v>7304.16</v>
      </c>
      <c r="Q78" s="16">
        <f t="shared" si="29"/>
        <v>7304.16</v>
      </c>
      <c r="R78" s="16">
        <f t="shared" si="29"/>
        <v>7076.16</v>
      </c>
      <c r="S78" s="16">
        <f t="shared" si="29"/>
        <v>7304.16</v>
      </c>
      <c r="T78" s="16">
        <f t="shared" si="29"/>
        <v>6679.4807335668656</v>
      </c>
      <c r="U78" s="16">
        <f t="shared" si="29"/>
        <v>7068</v>
      </c>
      <c r="Y78"/>
      <c r="Z78"/>
      <c r="AC78" s="5" t="s">
        <v>145</v>
      </c>
      <c r="AD78" s="6" t="s">
        <v>16</v>
      </c>
      <c r="AE78" s="12">
        <f>L65</f>
        <v>1498.6191696429751</v>
      </c>
      <c r="AF78" s="12">
        <f>J65</f>
        <v>1064.0697207492935</v>
      </c>
      <c r="AG78" s="12">
        <f t="shared" si="28"/>
        <v>-434.54944889368153</v>
      </c>
      <c r="AI78" s="50"/>
      <c r="AJ78" s="49"/>
      <c r="AK78" s="49"/>
      <c r="AL78" s="49"/>
      <c r="AM78" s="49"/>
      <c r="AN78" s="49"/>
      <c r="AO78" s="49"/>
      <c r="AP78" s="49"/>
      <c r="AQ78" s="49"/>
      <c r="AR78" s="49"/>
      <c r="AS78" s="49"/>
      <c r="AT78" s="49"/>
      <c r="AU78" s="49"/>
      <c r="AV78" s="49"/>
      <c r="AW78" s="49"/>
      <c r="AX78" s="49"/>
      <c r="AY78" s="49"/>
      <c r="AZ78" s="49"/>
    </row>
    <row r="79" spans="1:52" x14ac:dyDescent="0.25">
      <c r="H79" s="5" t="s">
        <v>116</v>
      </c>
      <c r="I79" s="5" t="s">
        <v>16</v>
      </c>
      <c r="J79" s="16">
        <f>J58+J65+J73+J76</f>
        <v>11223.338327198469</v>
      </c>
      <c r="K79" s="16">
        <f>K31-K80</f>
        <v>13780.896840228581</v>
      </c>
      <c r="L79" s="16">
        <f>L31-L80</f>
        <v>16000</v>
      </c>
      <c r="M79" s="16">
        <f>M31-M80</f>
        <v>14960.496669997607</v>
      </c>
      <c r="N79" s="16">
        <f>N31-N80</f>
        <v>11400.999394938346</v>
      </c>
      <c r="O79" s="16">
        <f>O31-O80</f>
        <v>11975.833701375015</v>
      </c>
      <c r="P79" s="16">
        <f>P31-P80</f>
        <v>12462.406514181013</v>
      </c>
      <c r="Q79" s="16">
        <f>Q31-Q80</f>
        <v>9485.9223586403386</v>
      </c>
      <c r="R79" s="16">
        <f>R31-R80</f>
        <v>9913.0313968199171</v>
      </c>
      <c r="S79" s="16">
        <f>S31-S80</f>
        <v>12495.658350704358</v>
      </c>
      <c r="T79" s="16">
        <f>T31-T80</f>
        <v>11819.996728382608</v>
      </c>
      <c r="U79" s="16">
        <f>U31-U80</f>
        <v>12001.380830357026</v>
      </c>
      <c r="Y79"/>
      <c r="Z79"/>
      <c r="AC79" s="5" t="s">
        <v>100</v>
      </c>
      <c r="AD79" s="6" t="s">
        <v>16</v>
      </c>
      <c r="AE79" s="12">
        <f>L73</f>
        <v>0</v>
      </c>
      <c r="AF79" s="12">
        <f>J73</f>
        <v>0</v>
      </c>
      <c r="AG79" s="12">
        <f t="shared" si="28"/>
        <v>0</v>
      </c>
      <c r="AI79" s="50"/>
      <c r="AJ79" s="49"/>
      <c r="AK79" s="49"/>
      <c r="AL79" s="49"/>
      <c r="AM79" s="49"/>
      <c r="AN79" s="49"/>
      <c r="AO79" s="49"/>
      <c r="AP79" s="49"/>
      <c r="AQ79" s="49"/>
      <c r="AR79" s="49"/>
      <c r="AS79" s="49"/>
      <c r="AT79" s="49"/>
      <c r="AU79" s="49"/>
      <c r="AV79" s="49"/>
      <c r="AW79" s="49"/>
      <c r="AX79" s="49"/>
      <c r="AY79" s="49"/>
      <c r="AZ79" s="49"/>
    </row>
    <row r="80" spans="1:52" x14ac:dyDescent="0.25">
      <c r="H80" s="5" t="s">
        <v>117</v>
      </c>
      <c r="I80" s="5" t="s">
        <v>16</v>
      </c>
      <c r="J80" s="16">
        <f>J31-J79</f>
        <v>2776.6616728015306</v>
      </c>
      <c r="K80" s="16">
        <f t="shared" ref="K80:U80" si="30">K67</f>
        <v>219.1031597714184</v>
      </c>
      <c r="L80" s="16">
        <f t="shared" si="30"/>
        <v>0</v>
      </c>
      <c r="M80" s="16">
        <f t="shared" si="30"/>
        <v>1039.5033300023924</v>
      </c>
      <c r="N80" s="16">
        <f t="shared" si="30"/>
        <v>4599.000605061653</v>
      </c>
      <c r="O80" s="16">
        <f t="shared" si="30"/>
        <v>4024.1662986249848</v>
      </c>
      <c r="P80" s="16">
        <f t="shared" si="30"/>
        <v>3537.5934858189858</v>
      </c>
      <c r="Q80" s="16">
        <f t="shared" si="30"/>
        <v>6514.0776413596623</v>
      </c>
      <c r="R80" s="16">
        <f t="shared" si="30"/>
        <v>6086.9686031800829</v>
      </c>
      <c r="S80" s="16">
        <f t="shared" si="30"/>
        <v>3504.341649295643</v>
      </c>
      <c r="T80" s="16">
        <f t="shared" si="30"/>
        <v>4180.0032716173928</v>
      </c>
      <c r="U80" s="16">
        <f t="shared" si="30"/>
        <v>3998.6191696429751</v>
      </c>
      <c r="Y80"/>
      <c r="Z80"/>
      <c r="AC80" s="5" t="s">
        <v>101</v>
      </c>
      <c r="AD80" s="6" t="s">
        <v>16</v>
      </c>
      <c r="AE80" s="12">
        <f>L76</f>
        <v>0</v>
      </c>
      <c r="AF80" s="12">
        <f>J76</f>
        <v>1709.0586772802387</v>
      </c>
      <c r="AG80" s="12">
        <f t="shared" si="28"/>
        <v>1709.0586772802387</v>
      </c>
      <c r="AI80" s="50"/>
      <c r="AJ80" s="49"/>
      <c r="AK80" s="49"/>
      <c r="AL80" s="49"/>
      <c r="AM80" s="49"/>
      <c r="AN80" s="49"/>
      <c r="AO80" s="49"/>
      <c r="AP80" s="49"/>
      <c r="AQ80" s="49"/>
      <c r="AR80" s="49"/>
      <c r="AS80" s="49"/>
      <c r="AT80" s="49"/>
      <c r="AU80" s="49"/>
      <c r="AV80" s="49"/>
      <c r="AW80" s="49"/>
      <c r="AX80" s="49"/>
      <c r="AY80" s="49"/>
      <c r="AZ80" s="49"/>
    </row>
    <row r="81" spans="7:52" x14ac:dyDescent="0.25">
      <c r="G81" s="124"/>
      <c r="H81" t="s">
        <v>45</v>
      </c>
      <c r="I81" s="5" t="s">
        <v>48</v>
      </c>
      <c r="J81" s="16">
        <f>EtaE*(J58+J73)*J30/3.6</f>
        <v>5733.9603658536589</v>
      </c>
      <c r="K81" s="16">
        <f>EtaE*(K58+K73)*K30/3.6</f>
        <v>5179.0609756097556</v>
      </c>
      <c r="L81" s="16">
        <f>EtaE*(L58+L73)*L30/3.6</f>
        <v>5733.960365853658</v>
      </c>
      <c r="M81" s="16">
        <f>EtaE*(M58+M73)*M30/3.6</f>
        <v>5548.9939024390242</v>
      </c>
      <c r="N81" s="16">
        <f>EtaE*(N58+N73)*N30/3.6</f>
        <v>3593.0528231707322</v>
      </c>
      <c r="O81" s="16">
        <f>EtaE*(O58+O73)*O30/3.6</f>
        <v>369.9329268292683</v>
      </c>
      <c r="P81" s="16">
        <f>EtaE*(P58+P73)*P30/3.6</f>
        <v>1845.5050907012196</v>
      </c>
      <c r="Q81" s="16">
        <f>EtaE*(Q58+Q73)*Q30/3.6</f>
        <v>2220.6677240853664</v>
      </c>
      <c r="R81" s="16">
        <f>EtaE*(R58+R73)*R30/3.6</f>
        <v>2526.7431814024389</v>
      </c>
      <c r="S81" s="16">
        <f>EtaE*(S58+S73)*S30/3.6</f>
        <v>4377.5088064024385</v>
      </c>
      <c r="T81" s="16">
        <f>EtaE*(T58+T73)*T30/3.6</f>
        <v>5548.9939024390242</v>
      </c>
      <c r="U81" s="16">
        <f>EtaE*(U58+U73)*U30/3.6</f>
        <v>5733.960365853658</v>
      </c>
      <c r="Y81"/>
      <c r="Z81"/>
      <c r="AC81" s="5" t="s">
        <v>147</v>
      </c>
      <c r="AD81" s="6" t="s">
        <v>16</v>
      </c>
      <c r="AE81" s="12">
        <f>AE76+SUM(AE78:AE80)</f>
        <v>9500</v>
      </c>
      <c r="AF81" s="12">
        <f>AF76+SUM(AF78:AF80)</f>
        <v>11223.338327198469</v>
      </c>
      <c r="AG81" s="12">
        <f t="shared" si="28"/>
        <v>1723.3383271984694</v>
      </c>
      <c r="AI81" s="50"/>
      <c r="AJ81" s="49"/>
      <c r="AK81" s="49"/>
      <c r="AL81" s="49"/>
      <c r="AM81" s="49"/>
      <c r="AN81" s="49"/>
      <c r="AO81" s="49"/>
      <c r="AP81" s="49"/>
      <c r="AQ81" s="49"/>
      <c r="AR81" s="49"/>
      <c r="AS81" s="49"/>
      <c r="AT81" s="49"/>
      <c r="AU81" s="49"/>
      <c r="AV81" s="49"/>
      <c r="AW81" s="49"/>
      <c r="AX81" s="49"/>
      <c r="AY81" s="49"/>
      <c r="AZ81" s="49"/>
    </row>
    <row r="82" spans="7:52" x14ac:dyDescent="0.25">
      <c r="G82" s="124"/>
      <c r="H82" t="s">
        <v>6</v>
      </c>
      <c r="I82" s="5" t="s">
        <v>48</v>
      </c>
      <c r="J82" s="16">
        <f>$D$15*J12</f>
        <v>775</v>
      </c>
      <c r="K82" s="16">
        <f>$D$15*K12</f>
        <v>700</v>
      </c>
      <c r="L82" s="16">
        <f>$D$15*L12</f>
        <v>775</v>
      </c>
      <c r="M82" s="16">
        <f>$D$15*M12</f>
        <v>750</v>
      </c>
      <c r="N82" s="16">
        <f>$D$15*N12</f>
        <v>775</v>
      </c>
      <c r="O82" s="16">
        <f>$D$15*O12</f>
        <v>50</v>
      </c>
      <c r="P82" s="16">
        <f>$D$15*P12</f>
        <v>775</v>
      </c>
      <c r="Q82" s="16">
        <f>$D$15*Q12</f>
        <v>775</v>
      </c>
      <c r="R82" s="16">
        <f>$D$15*R12</f>
        <v>750</v>
      </c>
      <c r="S82" s="16">
        <f>$D$15*S12</f>
        <v>775</v>
      </c>
      <c r="T82" s="16">
        <f>$D$15*T12</f>
        <v>750</v>
      </c>
      <c r="U82" s="16">
        <f>$D$15*U12</f>
        <v>775</v>
      </c>
      <c r="Y82"/>
      <c r="Z82"/>
      <c r="AC82" s="5" t="s">
        <v>146</v>
      </c>
      <c r="AD82" s="6" t="s">
        <v>16</v>
      </c>
      <c r="AE82" s="16">
        <f>L80</f>
        <v>0</v>
      </c>
      <c r="AF82" s="16">
        <f>J80</f>
        <v>2776.6616728015306</v>
      </c>
      <c r="AG82" s="12">
        <f t="shared" si="28"/>
        <v>2776.6616728015306</v>
      </c>
      <c r="AI82" s="50"/>
      <c r="AJ82" s="49"/>
      <c r="AK82" s="49"/>
      <c r="AL82" s="49"/>
      <c r="AM82" s="49"/>
      <c r="AN82" s="49"/>
      <c r="AO82" s="49"/>
      <c r="AP82" s="49"/>
      <c r="AQ82" s="49"/>
      <c r="AR82" s="49"/>
      <c r="AS82" s="49"/>
      <c r="AT82" s="49"/>
      <c r="AU82" s="49"/>
      <c r="AV82" s="49"/>
      <c r="AW82" s="49"/>
      <c r="AX82" s="49"/>
      <c r="AY82" s="49"/>
      <c r="AZ82" s="49"/>
    </row>
    <row r="83" spans="7:52" x14ac:dyDescent="0.25">
      <c r="G83" s="124"/>
      <c r="H83" t="s">
        <v>46</v>
      </c>
      <c r="I83" s="5" t="s">
        <v>48</v>
      </c>
      <c r="J83" s="16">
        <f>J81-J82</f>
        <v>4958.9603658536589</v>
      </c>
      <c r="K83" s="16">
        <f t="shared" ref="K83:U83" si="31">K81-K82</f>
        <v>4479.0609756097556</v>
      </c>
      <c r="L83" s="16">
        <f t="shared" si="31"/>
        <v>4958.960365853658</v>
      </c>
      <c r="M83" s="16">
        <f t="shared" si="31"/>
        <v>4798.9939024390242</v>
      </c>
      <c r="N83" s="16">
        <f t="shared" si="31"/>
        <v>2818.0528231707322</v>
      </c>
      <c r="O83" s="16">
        <f t="shared" si="31"/>
        <v>319.9329268292683</v>
      </c>
      <c r="P83" s="16">
        <f t="shared" si="31"/>
        <v>1070.5050907012196</v>
      </c>
      <c r="Q83" s="16">
        <f t="shared" si="31"/>
        <v>1445.6677240853664</v>
      </c>
      <c r="R83" s="16">
        <f t="shared" si="31"/>
        <v>1776.7431814024389</v>
      </c>
      <c r="S83" s="16">
        <f t="shared" si="31"/>
        <v>3602.5088064024385</v>
      </c>
      <c r="T83" s="16">
        <f t="shared" si="31"/>
        <v>4798.9939024390242</v>
      </c>
      <c r="U83" s="16">
        <f t="shared" si="31"/>
        <v>4958.960365853658</v>
      </c>
      <c r="Y83"/>
      <c r="Z83"/>
      <c r="AD83" s="6"/>
      <c r="AG83" s="12"/>
      <c r="AI83" s="50"/>
      <c r="AJ83" s="49"/>
      <c r="AK83" s="49"/>
      <c r="AL83" s="49"/>
      <c r="AM83" s="49"/>
      <c r="AN83" s="49"/>
      <c r="AO83" s="49"/>
      <c r="AP83" s="49"/>
      <c r="AQ83" s="49"/>
      <c r="AR83" s="49"/>
      <c r="AS83" s="49"/>
      <c r="AT83" s="49"/>
      <c r="AU83" s="49"/>
      <c r="AV83" s="49"/>
      <c r="AW83" s="49"/>
      <c r="AX83" s="49"/>
      <c r="AY83" s="49"/>
      <c r="AZ83" s="49"/>
    </row>
    <row r="84" spans="7:52" x14ac:dyDescent="0.25">
      <c r="H84" t="s">
        <v>112</v>
      </c>
      <c r="I84" s="5" t="s">
        <v>41</v>
      </c>
      <c r="J84" s="16">
        <f t="shared" ref="J84:U84" si="32">J63+J75</f>
        <v>7638.95652173913</v>
      </c>
      <c r="K84" s="16">
        <f t="shared" si="32"/>
        <v>5520.0468373351123</v>
      </c>
      <c r="L84" s="16">
        <f t="shared" si="32"/>
        <v>4883.0889807088834</v>
      </c>
      <c r="M84" s="16">
        <f t="shared" si="32"/>
        <v>4511.7853418275054</v>
      </c>
      <c r="N84" s="16">
        <f t="shared" si="32"/>
        <v>7068</v>
      </c>
      <c r="O84" s="16">
        <f t="shared" si="32"/>
        <v>8542.2814753760558</v>
      </c>
      <c r="P84" s="16">
        <f t="shared" si="32"/>
        <v>7068</v>
      </c>
      <c r="Q84" s="16">
        <f t="shared" si="32"/>
        <v>7068</v>
      </c>
      <c r="R84" s="16">
        <f t="shared" si="32"/>
        <v>6840</v>
      </c>
      <c r="S84" s="16">
        <f t="shared" si="32"/>
        <v>7068</v>
      </c>
      <c r="T84" s="16">
        <f t="shared" si="32"/>
        <v>6929.4807335668656</v>
      </c>
      <c r="U84" s="16">
        <f t="shared" si="32"/>
        <v>7068</v>
      </c>
      <c r="Y84"/>
      <c r="Z84"/>
      <c r="AC84" s="7" t="s">
        <v>233</v>
      </c>
      <c r="AD84" s="6"/>
      <c r="AE84" s="65" t="str">
        <f>AE50</f>
        <v>MAR</v>
      </c>
      <c r="AF84" s="65" t="str">
        <f>AF50</f>
        <v>JAN</v>
      </c>
      <c r="AG84" s="12"/>
      <c r="AI84" s="50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AX84" s="49"/>
      <c r="AY84" s="49"/>
      <c r="AZ84" s="49"/>
    </row>
    <row r="85" spans="7:52" x14ac:dyDescent="0.25">
      <c r="H85" t="s">
        <v>113</v>
      </c>
      <c r="I85" s="5" t="s">
        <v>41</v>
      </c>
      <c r="J85" s="16">
        <f t="shared" ref="J85:U85" si="33">J56+J72</f>
        <v>20832</v>
      </c>
      <c r="K85" s="16">
        <f t="shared" si="33"/>
        <v>18816</v>
      </c>
      <c r="L85" s="16">
        <f t="shared" si="33"/>
        <v>20832</v>
      </c>
      <c r="M85" s="16">
        <f t="shared" si="33"/>
        <v>20160</v>
      </c>
      <c r="N85" s="16">
        <f t="shared" si="33"/>
        <v>12996.16</v>
      </c>
      <c r="O85" s="16">
        <f t="shared" si="33"/>
        <v>1344</v>
      </c>
      <c r="P85" s="16">
        <f t="shared" si="33"/>
        <v>6647.16</v>
      </c>
      <c r="Q85" s="16">
        <f t="shared" si="33"/>
        <v>8010.16</v>
      </c>
      <c r="R85" s="16">
        <f t="shared" si="33"/>
        <v>9122.16</v>
      </c>
      <c r="S85" s="16">
        <f t="shared" si="33"/>
        <v>15846.16</v>
      </c>
      <c r="T85" s="16">
        <f t="shared" si="33"/>
        <v>20160</v>
      </c>
      <c r="U85" s="16">
        <f t="shared" si="33"/>
        <v>20832</v>
      </c>
      <c r="Y85"/>
      <c r="Z85"/>
      <c r="AC85" s="5" t="s">
        <v>265</v>
      </c>
      <c r="AD85" s="6"/>
      <c r="AE85" s="2">
        <f>(AE76+AE79)/$J$54</f>
        <v>0.94688544987946188</v>
      </c>
      <c r="AF85" s="2">
        <f>(AF76+AF79)/$J$54</f>
        <v>1</v>
      </c>
      <c r="AG85" s="2">
        <f>AF85-AE85</f>
        <v>5.3114550120538118E-2</v>
      </c>
      <c r="AI85" s="50"/>
      <c r="AJ85" s="49"/>
      <c r="AK85" s="49"/>
      <c r="AL85" s="49"/>
      <c r="AM85" s="49"/>
      <c r="AN85" s="49"/>
      <c r="AO85" s="49"/>
      <c r="AP85" s="49"/>
      <c r="AQ85" s="49"/>
      <c r="AR85" s="49"/>
      <c r="AS85" s="49"/>
      <c r="AT85" s="49"/>
      <c r="AU85" s="49"/>
      <c r="AV85" s="49"/>
      <c r="AW85" s="49"/>
      <c r="AX85" s="49"/>
      <c r="AY85" s="49"/>
      <c r="AZ85" s="49"/>
    </row>
    <row r="86" spans="7:52" x14ac:dyDescent="0.25">
      <c r="H86" t="s">
        <v>108</v>
      </c>
      <c r="I86" s="5" t="s">
        <v>41</v>
      </c>
      <c r="J86" s="16">
        <f>SUM(J84:J85)</f>
        <v>28470.956521739128</v>
      </c>
      <c r="K86" s="16">
        <f t="shared" ref="K86:U86" si="34">SUM(K84:K85)</f>
        <v>24336.04683733511</v>
      </c>
      <c r="L86" s="16">
        <f t="shared" si="34"/>
        <v>25715.088980708882</v>
      </c>
      <c r="M86" s="16">
        <f t="shared" si="34"/>
        <v>24671.785341827504</v>
      </c>
      <c r="N86" s="16">
        <f t="shared" si="34"/>
        <v>20064.16</v>
      </c>
      <c r="O86" s="16">
        <f t="shared" si="34"/>
        <v>9886.2814753760558</v>
      </c>
      <c r="P86" s="16">
        <f t="shared" si="34"/>
        <v>13715.16</v>
      </c>
      <c r="Q86" s="16">
        <f t="shared" si="34"/>
        <v>15078.16</v>
      </c>
      <c r="R86" s="16">
        <f t="shared" si="34"/>
        <v>15962.16</v>
      </c>
      <c r="S86" s="16">
        <f t="shared" si="34"/>
        <v>22914.16</v>
      </c>
      <c r="T86" s="16">
        <f t="shared" si="34"/>
        <v>27089.480733566867</v>
      </c>
      <c r="U86" s="16">
        <f t="shared" si="34"/>
        <v>27900</v>
      </c>
      <c r="Y86"/>
      <c r="Z86"/>
      <c r="AC86" s="5" t="s">
        <v>266</v>
      </c>
      <c r="AD86" s="6"/>
      <c r="AE86" s="2">
        <f>(AE78+AE80)/$J$47</f>
        <v>0.54040742242870199</v>
      </c>
      <c r="AF86" s="2">
        <f>(AF78+AF80)/$J$47</f>
        <v>0.99999999999999989</v>
      </c>
      <c r="AG86" s="2">
        <f t="shared" ref="AG86:AG89" si="35">AF86-AE86</f>
        <v>0.4595925775712979</v>
      </c>
      <c r="AI86" s="50"/>
      <c r="AJ86" s="49"/>
      <c r="AK86" s="49"/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49"/>
      <c r="AW86" s="49"/>
      <c r="AX86" s="49"/>
      <c r="AY86" s="49"/>
      <c r="AZ86" s="49"/>
    </row>
    <row r="87" spans="7:52" x14ac:dyDescent="0.25">
      <c r="H87" s="5" t="s">
        <v>114</v>
      </c>
      <c r="I87" s="5" t="s">
        <v>41</v>
      </c>
      <c r="J87" s="16">
        <f>(EtaRgkOvn2*J58+EtaRgkOvn3*J65)*J30/3.6</f>
        <v>5049.4716687852942</v>
      </c>
      <c r="K87" s="16">
        <f>(EtaRgkOvn2*K58+EtaRgkOvn3*K65)*K30/3.6</f>
        <v>4893.6631094471268</v>
      </c>
      <c r="L87" s="16">
        <f>(EtaRgkOvn2*L58+EtaRgkOvn3*L65)*L30/3.6</f>
        <v>5300.6091090984</v>
      </c>
      <c r="M87" s="16">
        <f>(EtaRgkOvn2*M58+EtaRgkOvn3*M65)*M30/3.6</f>
        <v>4754.7304728376712</v>
      </c>
      <c r="N87" s="16">
        <f>(EtaRgkOvn2*N58+EtaRgkOvn3*N65)*N30/3.6</f>
        <v>2777.2831468916193</v>
      </c>
      <c r="O87" s="16">
        <f>(EtaRgkOvn2*O58+EtaRgkOvn3*O65)*O30/3.6</f>
        <v>1038.9934114249772</v>
      </c>
      <c r="P87" s="16">
        <f>(EtaRgkOvn2*P58+EtaRgkOvn3*P65)*P30/3.6</f>
        <v>1395.388891435907</v>
      </c>
      <c r="Q87" s="16">
        <f>(EtaRgkOvn2*Q58+EtaRgkOvn3*Q65)*Q30/3.6</f>
        <v>1692.0532275811479</v>
      </c>
      <c r="R87" s="16">
        <f>(EtaRgkOvn2*R58+EtaRgkOvn3*R65)*R30/3.6</f>
        <v>1934.0860535485049</v>
      </c>
      <c r="S87" s="16">
        <f>(EtaRgkOvn2*S58+EtaRgkOvn3*S65)*S30/3.6</f>
        <v>3397.601091142491</v>
      </c>
      <c r="T87" s="16">
        <f>(EtaRgkOvn2*T58+EtaRgkOvn3*T65)*T30/3.6</f>
        <v>4427.1712906594066</v>
      </c>
      <c r="U87" s="16">
        <f>(EtaRgkOvn2*U58+EtaRgkOvn3*U65)*U30/3.6</f>
        <v>4534.1976893453148</v>
      </c>
      <c r="Y87"/>
      <c r="Z87"/>
      <c r="AC87" s="5" t="s">
        <v>267</v>
      </c>
      <c r="AD87" s="6"/>
      <c r="AE87" s="2">
        <f>AE71/(24*$E$11*KapQcool)</f>
        <v>0</v>
      </c>
      <c r="AF87" s="2">
        <f>AF71/(24*$E$11*KapQcool)</f>
        <v>0.39031868474364967</v>
      </c>
      <c r="AG87" s="2">
        <f t="shared" si="35"/>
        <v>0.39031868474364967</v>
      </c>
      <c r="AI87" s="50"/>
      <c r="AJ87" s="49"/>
      <c r="AK87" s="49"/>
      <c r="AL87" s="49"/>
      <c r="AM87" s="49"/>
      <c r="AN87" s="49"/>
      <c r="AO87" s="49"/>
      <c r="AP87" s="49"/>
      <c r="AQ87" s="49"/>
      <c r="AR87" s="49"/>
      <c r="AS87" s="49"/>
      <c r="AT87" s="49"/>
      <c r="AU87" s="49"/>
      <c r="AV87" s="49"/>
      <c r="AW87" s="49"/>
      <c r="AX87" s="49"/>
      <c r="AY87" s="49"/>
      <c r="AZ87" s="49"/>
    </row>
    <row r="88" spans="7:52" x14ac:dyDescent="0.25">
      <c r="H88" s="5" t="s">
        <v>127</v>
      </c>
      <c r="J88" s="2">
        <f>J87/J89</f>
        <v>0.14762414670906271</v>
      </c>
      <c r="K88" s="2">
        <f t="shared" ref="K88:U88" si="36">K87/K89</f>
        <v>0.16580197302551755</v>
      </c>
      <c r="L88" s="2">
        <f t="shared" si="36"/>
        <v>0.1685459248922502</v>
      </c>
      <c r="M88" s="2">
        <f t="shared" si="36"/>
        <v>0.15733315261021061</v>
      </c>
      <c r="N88" s="2">
        <f t="shared" si="36"/>
        <v>0.11739688726862395</v>
      </c>
      <c r="O88" s="2">
        <f t="shared" si="36"/>
        <v>0.10130379208936678</v>
      </c>
      <c r="P88" s="2">
        <f t="shared" si="36"/>
        <v>8.967411632487142E-2</v>
      </c>
      <c r="Q88" s="2">
        <f t="shared" si="36"/>
        <v>9.7813172925312261E-2</v>
      </c>
      <c r="R88" s="2">
        <f t="shared" si="36"/>
        <v>0.10460793885783108</v>
      </c>
      <c r="S88" s="2">
        <f t="shared" si="36"/>
        <v>0.12449224396074443</v>
      </c>
      <c r="T88" s="2">
        <f t="shared" si="36"/>
        <v>0.13564271431286404</v>
      </c>
      <c r="U88" s="2">
        <f t="shared" si="36"/>
        <v>0.13481010383625791</v>
      </c>
      <c r="Y88"/>
      <c r="Z88"/>
      <c r="AC88" s="5" t="s">
        <v>268</v>
      </c>
      <c r="AD88" s="6"/>
      <c r="AE88" s="2">
        <f>AE77/NSvarme</f>
        <v>0</v>
      </c>
      <c r="AF88" s="2">
        <f>AF77/NSvarme</f>
        <v>1</v>
      </c>
      <c r="AG88" s="2">
        <f t="shared" si="35"/>
        <v>1</v>
      </c>
      <c r="AI88" s="50"/>
      <c r="AJ88" s="49"/>
      <c r="AK88" s="49"/>
      <c r="AL88" s="49"/>
      <c r="AM88" s="49"/>
      <c r="AN88" s="49"/>
      <c r="AO88" s="49"/>
      <c r="AP88" s="49"/>
      <c r="AQ88" s="49"/>
      <c r="AR88" s="49"/>
      <c r="AS88" s="49"/>
      <c r="AT88" s="49"/>
      <c r="AU88" s="49"/>
      <c r="AV88" s="49"/>
      <c r="AW88" s="49"/>
      <c r="AX88" s="49"/>
      <c r="AY88" s="49"/>
      <c r="AZ88" s="49"/>
    </row>
    <row r="89" spans="7:52" x14ac:dyDescent="0.25">
      <c r="H89" t="s">
        <v>106</v>
      </c>
      <c r="I89" s="5" t="s">
        <v>107</v>
      </c>
      <c r="J89" s="16">
        <f>J86+J81</f>
        <v>34204.916887592786</v>
      </c>
      <c r="K89" s="16">
        <f t="shared" ref="K89:U89" si="37">K86+K81</f>
        <v>29515.107812944865</v>
      </c>
      <c r="L89" s="16">
        <f t="shared" si="37"/>
        <v>31449.04934656254</v>
      </c>
      <c r="M89" s="16">
        <f t="shared" si="37"/>
        <v>30220.77924426653</v>
      </c>
      <c r="N89" s="16">
        <f t="shared" si="37"/>
        <v>23657.212823170732</v>
      </c>
      <c r="O89" s="16">
        <f t="shared" si="37"/>
        <v>10256.214402205323</v>
      </c>
      <c r="P89" s="16">
        <f t="shared" si="37"/>
        <v>15560.665090701219</v>
      </c>
      <c r="Q89" s="16">
        <f t="shared" si="37"/>
        <v>17298.827724085368</v>
      </c>
      <c r="R89" s="16">
        <f t="shared" si="37"/>
        <v>18488.903181402438</v>
      </c>
      <c r="S89" s="16">
        <f t="shared" si="37"/>
        <v>27291.668806402438</v>
      </c>
      <c r="T89" s="16">
        <f t="shared" si="37"/>
        <v>32638.474636005893</v>
      </c>
      <c r="U89" s="16">
        <f t="shared" si="37"/>
        <v>33633.960365853658</v>
      </c>
      <c r="Y89"/>
      <c r="Z89"/>
      <c r="AC89" s="5" t="s">
        <v>243</v>
      </c>
      <c r="AD89" s="6" t="s">
        <v>23</v>
      </c>
      <c r="AE89" s="11">
        <f>(SUM(AE60:AE65)-SUM(AE56:AE58))/AE72</f>
        <v>-79.737783714416025</v>
      </c>
      <c r="AF89" s="11">
        <f>(SUM(AF60:AF65)-SUM(AF56:AF58))/AF72</f>
        <v>-31.940088882561476</v>
      </c>
      <c r="AG89" s="68">
        <f t="shared" si="35"/>
        <v>47.79769483185455</v>
      </c>
      <c r="AI89" s="50"/>
      <c r="AJ89" s="49"/>
      <c r="AK89" s="49"/>
      <c r="AL89" s="49"/>
      <c r="AM89" s="49"/>
      <c r="AN89" s="49"/>
      <c r="AO89" s="49"/>
      <c r="AP89" s="49"/>
      <c r="AQ89" s="49"/>
      <c r="AR89" s="49"/>
      <c r="AS89" s="49"/>
      <c r="AT89" s="49"/>
      <c r="AU89" s="49"/>
      <c r="AV89" s="49"/>
      <c r="AW89" s="49"/>
      <c r="AX89" s="49"/>
      <c r="AY89" s="49"/>
      <c r="AZ89" s="49"/>
    </row>
    <row r="90" spans="7:52" x14ac:dyDescent="0.25">
      <c r="H90" t="s">
        <v>109</v>
      </c>
      <c r="I90" s="5" t="s">
        <v>41</v>
      </c>
      <c r="J90" s="16">
        <f>J86-J78</f>
        <v>24115</v>
      </c>
      <c r="K90" s="16">
        <f t="shared" ref="K90:U90" si="38">K86-K78</f>
        <v>23901.999999999996</v>
      </c>
      <c r="L90" s="16">
        <f t="shared" si="38"/>
        <v>25715.088980708882</v>
      </c>
      <c r="M90" s="16">
        <f t="shared" si="38"/>
        <v>22497</v>
      </c>
      <c r="N90" s="16">
        <f t="shared" si="38"/>
        <v>12760</v>
      </c>
      <c r="O90" s="16">
        <f t="shared" si="38"/>
        <v>6100</v>
      </c>
      <c r="P90" s="16">
        <f t="shared" si="38"/>
        <v>6411</v>
      </c>
      <c r="Q90" s="16">
        <f t="shared" si="38"/>
        <v>7774</v>
      </c>
      <c r="R90" s="16">
        <f t="shared" si="38"/>
        <v>8886</v>
      </c>
      <c r="S90" s="16">
        <f t="shared" si="38"/>
        <v>15610</v>
      </c>
      <c r="T90" s="16">
        <f t="shared" si="38"/>
        <v>20410</v>
      </c>
      <c r="U90" s="16">
        <f t="shared" si="38"/>
        <v>20832</v>
      </c>
      <c r="Y90"/>
      <c r="Z90"/>
      <c r="AC90" s="6"/>
      <c r="AF90" s="2"/>
      <c r="AG90" s="12"/>
      <c r="AI90" s="50"/>
      <c r="AJ90" s="49"/>
      <c r="AK90" s="49"/>
      <c r="AL90" s="49"/>
      <c r="AM90" s="49"/>
      <c r="AN90" s="49"/>
      <c r="AO90" s="49"/>
      <c r="AP90" s="49"/>
      <c r="AQ90" s="49"/>
      <c r="AR90" s="49"/>
      <c r="AS90" s="49"/>
      <c r="AT90" s="49"/>
      <c r="AU90" s="49"/>
      <c r="AV90" s="49"/>
      <c r="AW90" s="49"/>
      <c r="AX90" s="49"/>
      <c r="AY90" s="49"/>
      <c r="AZ90" s="49"/>
    </row>
    <row r="91" spans="7:52" x14ac:dyDescent="0.25">
      <c r="H91" t="s">
        <v>133</v>
      </c>
      <c r="I91" s="5" t="s">
        <v>41</v>
      </c>
      <c r="J91" s="16">
        <f>J5-J90-J61</f>
        <v>0</v>
      </c>
      <c r="K91" s="16">
        <f>K5-K90-K61</f>
        <v>3.637978807091713E-12</v>
      </c>
      <c r="L91" s="16">
        <f>L5-L90-L61</f>
        <v>1639.9110192911176</v>
      </c>
      <c r="M91" s="16">
        <f>M5-M90-M61</f>
        <v>0</v>
      </c>
      <c r="N91" s="16">
        <f>N5-N90-N61</f>
        <v>0</v>
      </c>
      <c r="O91" s="16">
        <f>O5-O90-O61</f>
        <v>0</v>
      </c>
      <c r="P91" s="16">
        <f>P5-P90-P61</f>
        <v>0</v>
      </c>
      <c r="Q91" s="16">
        <f>Q5-Q90-Q61</f>
        <v>0</v>
      </c>
      <c r="R91" s="16">
        <f>R5-R90-R61</f>
        <v>0</v>
      </c>
      <c r="S91" s="16">
        <f>S5-S90-S61</f>
        <v>0</v>
      </c>
      <c r="T91" s="16">
        <f>T5-T90-T61</f>
        <v>0</v>
      </c>
      <c r="U91" s="16">
        <f>U5-U90-U61</f>
        <v>0</v>
      </c>
      <c r="Y91"/>
      <c r="Z91"/>
      <c r="AG91" s="12"/>
      <c r="AI91" s="50"/>
      <c r="AJ91" s="49"/>
      <c r="AK91" s="49"/>
      <c r="AL91" s="49"/>
      <c r="AM91" s="49"/>
      <c r="AN91" s="49"/>
      <c r="AO91" s="49"/>
      <c r="AP91" s="49"/>
      <c r="AQ91" s="49"/>
      <c r="AR91" s="49"/>
      <c r="AS91" s="49"/>
      <c r="AT91" s="49"/>
      <c r="AU91" s="49"/>
      <c r="AV91" s="49"/>
      <c r="AW91" s="49"/>
      <c r="AX91" s="49"/>
      <c r="AY91" s="49"/>
      <c r="AZ91" s="49"/>
    </row>
    <row r="92" spans="7:52" x14ac:dyDescent="0.25">
      <c r="H92" s="3" t="s">
        <v>121</v>
      </c>
      <c r="J92" s="15" t="str">
        <f t="shared" ref="J92:U92" si="39">J55</f>
        <v>JAN</v>
      </c>
      <c r="K92" s="15" t="str">
        <f t="shared" si="39"/>
        <v>FEB</v>
      </c>
      <c r="L92" s="15" t="str">
        <f t="shared" si="39"/>
        <v>MAR</v>
      </c>
      <c r="M92" s="15" t="str">
        <f t="shared" si="39"/>
        <v>APR</v>
      </c>
      <c r="N92" s="15" t="str">
        <f t="shared" si="39"/>
        <v>MAJ</v>
      </c>
      <c r="O92" s="15" t="str">
        <f t="shared" si="39"/>
        <v>JUN</v>
      </c>
      <c r="P92" s="15" t="str">
        <f t="shared" si="39"/>
        <v>JUL</v>
      </c>
      <c r="Q92" s="15" t="str">
        <f t="shared" si="39"/>
        <v>AUG</v>
      </c>
      <c r="R92" s="15" t="str">
        <f t="shared" si="39"/>
        <v>SEP</v>
      </c>
      <c r="S92" s="15" t="str">
        <f t="shared" si="39"/>
        <v>OKT</v>
      </c>
      <c r="T92" s="15" t="str">
        <f t="shared" si="39"/>
        <v>NOV</v>
      </c>
      <c r="U92" s="15" t="str">
        <f t="shared" si="39"/>
        <v>DEC</v>
      </c>
      <c r="Y92"/>
      <c r="Z92"/>
      <c r="AG92" s="12"/>
      <c r="AI92" s="50"/>
      <c r="AJ92" s="49"/>
      <c r="AK92" s="49"/>
      <c r="AL92" s="49"/>
      <c r="AM92" s="49"/>
      <c r="AN92" s="49"/>
      <c r="AO92" s="49"/>
      <c r="AP92" s="49"/>
      <c r="AQ92" s="49"/>
      <c r="AR92" s="49"/>
      <c r="AS92" s="49"/>
      <c r="AT92" s="49"/>
      <c r="AU92" s="49"/>
      <c r="AV92" s="49"/>
      <c r="AW92" s="49"/>
      <c r="AX92" s="49"/>
      <c r="AY92" s="49"/>
      <c r="AZ92" s="49"/>
    </row>
    <row r="93" spans="7:52" x14ac:dyDescent="0.25">
      <c r="H93" t="s">
        <v>308</v>
      </c>
      <c r="I93" s="5" t="s">
        <v>52</v>
      </c>
      <c r="J93" s="16">
        <f>J$79*J33*LHVFossilFast/3.6</f>
        <v>13628.339397312426</v>
      </c>
      <c r="K93" s="16">
        <f>K$79*K33*LHVFossilFast/3.6</f>
        <v>16733.946163134704</v>
      </c>
      <c r="L93" s="16">
        <f>L$79*L33*LHVFossilFast/3.6</f>
        <v>16999.999999999996</v>
      </c>
      <c r="M93" s="16">
        <f>M$79*M33*LHVFossilFast/3.6</f>
        <v>15895.527711872455</v>
      </c>
      <c r="N93" s="16">
        <f>N$79*N33*LHVFossilFast/3.6</f>
        <v>12113.561857121989</v>
      </c>
      <c r="O93" s="16">
        <f>O$79*O33*LHVFossilFast/3.6</f>
        <v>12724.323307710953</v>
      </c>
      <c r="P93" s="16">
        <f>P$79*P33*LHVFossilFast/3.6</f>
        <v>13241.306921317326</v>
      </c>
      <c r="Q93" s="16">
        <f>Q$79*Q33*LHVFossilFast/3.6</f>
        <v>10078.792506055359</v>
      </c>
      <c r="R93" s="16">
        <f>R$79*R33*LHVFossilFast/3.6</f>
        <v>10532.59585912116</v>
      </c>
      <c r="S93" s="16">
        <f>S$79*S33*LHVFossilFast/3.6</f>
        <v>13276.63699762338</v>
      </c>
      <c r="T93" s="16">
        <f>T$79*T33*LHVFossilFast/3.6</f>
        <v>12558.746523906519</v>
      </c>
      <c r="U93" s="16">
        <f>U$79*U33*LHVFossilFast/3.6</f>
        <v>12751.467132254338</v>
      </c>
      <c r="Y93"/>
      <c r="Z93"/>
      <c r="AG93" s="12"/>
      <c r="AI93" s="50"/>
      <c r="AJ93" s="49"/>
      <c r="AK93" s="49"/>
      <c r="AL93" s="49"/>
      <c r="AM93" s="49"/>
      <c r="AN93" s="49"/>
      <c r="AO93" s="49"/>
      <c r="AP93" s="49"/>
      <c r="AQ93" s="49"/>
      <c r="AR93" s="49"/>
      <c r="AS93" s="49"/>
      <c r="AT93" s="49"/>
      <c r="AU93" s="49"/>
      <c r="AV93" s="49"/>
      <c r="AW93" s="49"/>
      <c r="AX93" s="49"/>
      <c r="AY93" s="49"/>
      <c r="AZ93" s="49"/>
    </row>
    <row r="94" spans="7:52" x14ac:dyDescent="0.25">
      <c r="H94" t="s">
        <v>309</v>
      </c>
      <c r="I94" s="5" t="s">
        <v>52</v>
      </c>
      <c r="J94" s="16">
        <f>J$79*J34*J9/3.6</f>
        <v>14029.172908998085</v>
      </c>
      <c r="K94" s="16">
        <f>K$79*K34*K9/3.6</f>
        <v>17226.121050285725</v>
      </c>
      <c r="L94" s="16">
        <f>L$79*L34*L9/3.6</f>
        <v>14583.333333333332</v>
      </c>
      <c r="M94" s="16">
        <f>M$79*M34*M9/3.6</f>
        <v>13635.869360674902</v>
      </c>
      <c r="N94" s="16">
        <f>N$79*N34*N9/3.6</f>
        <v>10391.535906844847</v>
      </c>
      <c r="O94" s="16">
        <f>O$79*O34*O9/3.6</f>
        <v>10915.473425732434</v>
      </c>
      <c r="P94" s="16">
        <f>P$79*P34*P9/3.6</f>
        <v>11358.964270737903</v>
      </c>
      <c r="Q94" s="16">
        <f>Q$79*Q34*Q9/3.6</f>
        <v>8646.0229831357246</v>
      </c>
      <c r="R94" s="16">
        <f>R$79*R34*R9/3.6</f>
        <v>9035.3150752264864</v>
      </c>
      <c r="S94" s="16">
        <f>S$79*S34*S9/3.6</f>
        <v>11389.271934235743</v>
      </c>
      <c r="T94" s="16">
        <f>T$79*T34*T9/3.6</f>
        <v>10773.434518057065</v>
      </c>
      <c r="U94" s="16">
        <f>U$79*U34*U9/3.6</f>
        <v>10938.758569335831</v>
      </c>
      <c r="Y94"/>
      <c r="Z94"/>
      <c r="AC94" s="3"/>
      <c r="AG94" s="12"/>
      <c r="AI94" s="50"/>
      <c r="AJ94" s="49"/>
      <c r="AK94" s="49"/>
      <c r="AL94" s="49"/>
      <c r="AM94" s="49"/>
      <c r="AN94" s="49"/>
      <c r="AO94" s="49"/>
      <c r="AP94" s="49"/>
      <c r="AQ94" s="49"/>
      <c r="AR94" s="49"/>
      <c r="AS94" s="49"/>
      <c r="AT94" s="49"/>
      <c r="AU94" s="49"/>
      <c r="AV94" s="49"/>
      <c r="AW94" s="49"/>
      <c r="AX94" s="49"/>
      <c r="AY94" s="49"/>
      <c r="AZ94" s="49"/>
    </row>
    <row r="95" spans="7:52" x14ac:dyDescent="0.25">
      <c r="H95" t="s">
        <v>124</v>
      </c>
      <c r="I95" s="5" t="s">
        <v>52</v>
      </c>
      <c r="J95" s="16">
        <f>J$79*J35*'Model-2'!LHVbiogent/3.6</f>
        <v>6235.1879595547043</v>
      </c>
      <c r="K95" s="16">
        <f>K$79*K35*'Model-2'!LHVbiogent/3.6</f>
        <v>7656.0538001269879</v>
      </c>
      <c r="L95" s="16">
        <f>L$79*L35*'Model-2'!LHVbiogent/3.6</f>
        <v>19444.444444444445</v>
      </c>
      <c r="M95" s="16">
        <f>M$79*M35*'Model-2'!LHVbiogent/3.6</f>
        <v>18181.159147566537</v>
      </c>
      <c r="N95" s="16">
        <f>N$79*N35*'Model-2'!LHVbiogent/3.6</f>
        <v>13855.381209126463</v>
      </c>
      <c r="O95" s="16">
        <f>O$79*O35*'Model-2'!LHVbiogent/3.6</f>
        <v>14553.964567643248</v>
      </c>
      <c r="P95" s="16">
        <f>P$79*P35*'Model-2'!LHVbiogent/3.6</f>
        <v>15145.285694317205</v>
      </c>
      <c r="Q95" s="16">
        <f>Q$79*Q35*'Model-2'!LHVbiogent/3.6</f>
        <v>11528.030644180966</v>
      </c>
      <c r="R95" s="16">
        <f>R$79*R35*'Model-2'!LHVbiogent/3.6</f>
        <v>12047.086766968649</v>
      </c>
      <c r="S95" s="16">
        <f>S$79*S35*'Model-2'!LHVbiogent/3.6</f>
        <v>15185.695912314322</v>
      </c>
      <c r="T95" s="16">
        <f>T$79*T35*'Model-2'!LHVbiogent/3.6</f>
        <v>14364.57935740942</v>
      </c>
      <c r="U95" s="16">
        <f>U$79*U35*'Model-2'!LHVbiogent/3.6</f>
        <v>14585.011425781107</v>
      </c>
      <c r="Y95"/>
      <c r="Z95"/>
      <c r="AG95" s="12"/>
      <c r="AI95" s="50"/>
      <c r="AJ95" s="49"/>
      <c r="AK95" s="49"/>
      <c r="AL95" s="49"/>
      <c r="AM95" s="49"/>
      <c r="AN95" s="49"/>
      <c r="AO95" s="49"/>
      <c r="AP95" s="49"/>
      <c r="AQ95" s="49"/>
      <c r="AR95" s="49"/>
      <c r="AS95" s="49"/>
      <c r="AT95" s="49"/>
      <c r="AU95" s="49"/>
      <c r="AV95" s="49"/>
      <c r="AW95" s="49"/>
      <c r="AX95" s="49"/>
      <c r="AY95" s="49"/>
      <c r="AZ95" s="49"/>
    </row>
    <row r="96" spans="7:52" x14ac:dyDescent="0.25">
      <c r="H96" t="s">
        <v>122</v>
      </c>
      <c r="I96" s="5" t="s">
        <v>107</v>
      </c>
      <c r="J96" s="16">
        <f t="shared" ref="J96:U96" si="40">IF(RGKudnyttelse&gt;0,J89/0.95 - J95,J89/0.85 - J95)</f>
        <v>29769.987711595601</v>
      </c>
      <c r="K96" s="16">
        <f t="shared" si="40"/>
        <v>23412.480739814975</v>
      </c>
      <c r="L96" s="16">
        <f t="shared" si="40"/>
        <v>13659.818025621389</v>
      </c>
      <c r="M96" s="16">
        <f t="shared" si="40"/>
        <v>13630.187425345601</v>
      </c>
      <c r="N96" s="16">
        <f t="shared" si="40"/>
        <v>11046.948078421676</v>
      </c>
      <c r="O96" s="16">
        <f t="shared" si="40"/>
        <v>-3757.949407427117</v>
      </c>
      <c r="P96" s="16">
        <f t="shared" si="40"/>
        <v>1234.3617695788162</v>
      </c>
      <c r="Q96" s="16">
        <f t="shared" si="40"/>
        <v>6681.2616969615265</v>
      </c>
      <c r="R96" s="16">
        <f t="shared" si="40"/>
        <v>7414.916581876023</v>
      </c>
      <c r="S96" s="16">
        <f t="shared" si="40"/>
        <v>13542.376515477719</v>
      </c>
      <c r="T96" s="16">
        <f t="shared" si="40"/>
        <v>19991.709733123098</v>
      </c>
      <c r="U96" s="16">
        <f t="shared" si="40"/>
        <v>20819.157380380639</v>
      </c>
      <c r="Y96"/>
      <c r="Z96"/>
      <c r="AG96" s="12"/>
      <c r="AI96" s="50"/>
      <c r="AJ96" s="49"/>
      <c r="AK96" s="49"/>
      <c r="AL96" s="49"/>
      <c r="AM96" s="49"/>
      <c r="AN96" s="49"/>
      <c r="AO96" s="49"/>
      <c r="AP96" s="49"/>
      <c r="AQ96" s="49"/>
      <c r="AR96" s="49"/>
      <c r="AS96" s="49"/>
      <c r="AT96" s="49"/>
      <c r="AU96" s="49"/>
      <c r="AV96" s="49"/>
      <c r="AW96" s="49"/>
      <c r="AX96" s="49"/>
      <c r="AY96" s="49"/>
      <c r="AZ96" s="49"/>
    </row>
    <row r="97" spans="8:52" x14ac:dyDescent="0.25">
      <c r="H97" t="s">
        <v>128</v>
      </c>
      <c r="I97" s="5" t="s">
        <v>41</v>
      </c>
      <c r="J97" s="16">
        <f t="shared" ref="J97:U97" si="41">J86*J96/(J96+J95)</f>
        <v>23540.505218772836</v>
      </c>
      <c r="K97" s="16">
        <f t="shared" si="41"/>
        <v>18339.044190508761</v>
      </c>
      <c r="L97" s="16">
        <f t="shared" si="41"/>
        <v>10610.821984231525</v>
      </c>
      <c r="M97" s="16">
        <f t="shared" si="41"/>
        <v>10571.104167383841</v>
      </c>
      <c r="N97" s="16">
        <f t="shared" si="41"/>
        <v>8900.6827914678288</v>
      </c>
      <c r="O97" s="16">
        <f t="shared" si="41"/>
        <v>-3441.2832013199363</v>
      </c>
      <c r="P97" s="16">
        <f t="shared" si="41"/>
        <v>1033.567371029962</v>
      </c>
      <c r="Q97" s="16">
        <f t="shared" si="41"/>
        <v>5532.4024119839396</v>
      </c>
      <c r="R97" s="16">
        <f t="shared" si="41"/>
        <v>6081.4954527065329</v>
      </c>
      <c r="S97" s="16">
        <f t="shared" si="41"/>
        <v>10801.705649965485</v>
      </c>
      <c r="T97" s="16">
        <f t="shared" si="41"/>
        <v>15763.199401990631</v>
      </c>
      <c r="U97" s="16">
        <f t="shared" si="41"/>
        <v>16406.386888866258</v>
      </c>
      <c r="Y97"/>
      <c r="Z97"/>
      <c r="AG97" s="12"/>
      <c r="AI97" s="50"/>
      <c r="AJ97" s="49"/>
      <c r="AK97" s="49"/>
      <c r="AL97" s="49"/>
      <c r="AM97" s="49"/>
      <c r="AN97" s="49"/>
      <c r="AO97" s="49"/>
      <c r="AP97" s="49"/>
      <c r="AQ97" s="49"/>
      <c r="AR97" s="49"/>
      <c r="AS97" s="49"/>
      <c r="AT97" s="49"/>
      <c r="AU97" s="49"/>
      <c r="AV97" s="49"/>
      <c r="AW97" s="49"/>
      <c r="AX97" s="49"/>
      <c r="AY97" s="49"/>
      <c r="AZ97" s="49"/>
    </row>
    <row r="98" spans="8:52" x14ac:dyDescent="0.25">
      <c r="H98" t="s">
        <v>125</v>
      </c>
      <c r="I98" s="5" t="s">
        <v>48</v>
      </c>
      <c r="J98" s="16">
        <f t="shared" ref="J98:U98" si="42">J81*J96/(J96+J95)</f>
        <v>4740.9831072429834</v>
      </c>
      <c r="K98" s="16">
        <f t="shared" si="42"/>
        <v>3902.8125123154668</v>
      </c>
      <c r="L98" s="16">
        <f t="shared" si="42"/>
        <v>2366.005140108794</v>
      </c>
      <c r="M98" s="16">
        <f t="shared" si="42"/>
        <v>2377.5738866944789</v>
      </c>
      <c r="N98" s="16">
        <f t="shared" si="42"/>
        <v>1593.9178830327628</v>
      </c>
      <c r="O98" s="16">
        <f t="shared" si="42"/>
        <v>-128.76873573582466</v>
      </c>
      <c r="P98" s="16">
        <f t="shared" si="42"/>
        <v>139.07631006991326</v>
      </c>
      <c r="Q98" s="16">
        <f t="shared" si="42"/>
        <v>814.79620012950966</v>
      </c>
      <c r="R98" s="16">
        <f t="shared" si="42"/>
        <v>962.67530007568973</v>
      </c>
      <c r="S98" s="16">
        <f t="shared" si="42"/>
        <v>2063.5520397383489</v>
      </c>
      <c r="T98" s="16">
        <f t="shared" si="42"/>
        <v>3228.924844476313</v>
      </c>
      <c r="U98" s="16">
        <f t="shared" si="42"/>
        <v>3371.8126224953489</v>
      </c>
      <c r="Y98"/>
      <c r="Z98"/>
      <c r="AG98" s="12"/>
      <c r="AI98" s="50"/>
      <c r="AJ98" s="49"/>
      <c r="AK98" s="49"/>
      <c r="AL98" s="49"/>
      <c r="AM98" s="49"/>
      <c r="AN98" s="49"/>
      <c r="AO98" s="49"/>
      <c r="AP98" s="49"/>
      <c r="AQ98" s="49"/>
      <c r="AR98" s="49"/>
      <c r="AS98" s="49"/>
      <c r="AT98" s="49"/>
      <c r="AU98" s="49"/>
      <c r="AV98" s="49"/>
      <c r="AW98" s="49"/>
      <c r="AX98" s="49"/>
      <c r="AY98" s="49"/>
      <c r="AZ98" s="49"/>
    </row>
    <row r="99" spans="8:52" x14ac:dyDescent="0.25">
      <c r="H99" t="s">
        <v>126</v>
      </c>
      <c r="I99" s="5" t="s">
        <v>41</v>
      </c>
      <c r="J99" s="16">
        <f t="shared" ref="J99:U99" si="43">IF(RGKudnyttelse&gt;0,(J97-0.1*(J97+J98))/1.2,J97/1.2)</f>
        <v>17260.296988476046</v>
      </c>
      <c r="K99" s="16">
        <f t="shared" si="43"/>
        <v>13429.048766855283</v>
      </c>
      <c r="L99" s="16">
        <f t="shared" si="43"/>
        <v>7760.9493931645775</v>
      </c>
      <c r="M99" s="16">
        <f t="shared" si="43"/>
        <v>7730.1969683133411</v>
      </c>
      <c r="N99" s="16">
        <f t="shared" si="43"/>
        <v>6542.6856033481417</v>
      </c>
      <c r="O99" s="16">
        <f t="shared" si="43"/>
        <v>-2570.2316730119669</v>
      </c>
      <c r="P99" s="16">
        <f t="shared" si="43"/>
        <v>763.58583576664546</v>
      </c>
      <c r="Q99" s="16">
        <f t="shared" si="43"/>
        <v>4081.4021256438286</v>
      </c>
      <c r="R99" s="16">
        <f t="shared" si="43"/>
        <v>4480.8986478569259</v>
      </c>
      <c r="S99" s="16">
        <f t="shared" si="43"/>
        <v>7929.3165674959182</v>
      </c>
      <c r="T99" s="16">
        <f t="shared" si="43"/>
        <v>11553.322481119947</v>
      </c>
      <c r="U99" s="16">
        <f t="shared" si="43"/>
        <v>12023.80578144175</v>
      </c>
      <c r="Y99"/>
      <c r="Z99"/>
      <c r="AG99" s="12"/>
      <c r="AI99" s="50"/>
      <c r="AJ99" s="49"/>
      <c r="AK99" s="49"/>
      <c r="AL99" s="49"/>
      <c r="AM99" s="49"/>
      <c r="AN99" s="49"/>
      <c r="AO99" s="49"/>
      <c r="AP99" s="49"/>
      <c r="AQ99" s="49"/>
      <c r="AR99" s="49"/>
      <c r="AS99" s="49"/>
      <c r="AT99" s="49"/>
      <c r="AU99" s="49"/>
      <c r="AV99" s="49"/>
      <c r="AW99" s="49"/>
      <c r="AX99" s="49"/>
      <c r="AY99" s="49"/>
      <c r="AZ99" s="49"/>
    </row>
    <row r="100" spans="8:52" x14ac:dyDescent="0.25">
      <c r="H100" t="s">
        <v>129</v>
      </c>
      <c r="I100" s="5" t="s">
        <v>41</v>
      </c>
      <c r="J100" s="16">
        <f>J99</f>
        <v>17260.296988476046</v>
      </c>
      <c r="K100" s="16">
        <f t="shared" ref="K100:U100" si="44">K99</f>
        <v>13429.048766855283</v>
      </c>
      <c r="L100" s="16">
        <f t="shared" si="44"/>
        <v>7760.9493931645775</v>
      </c>
      <c r="M100" s="16">
        <f t="shared" si="44"/>
        <v>7730.1969683133411</v>
      </c>
      <c r="N100" s="16">
        <f t="shared" si="44"/>
        <v>6542.6856033481417</v>
      </c>
      <c r="O100" s="16">
        <f t="shared" si="44"/>
        <v>-2570.2316730119669</v>
      </c>
      <c r="P100" s="16">
        <f t="shared" si="44"/>
        <v>763.58583576664546</v>
      </c>
      <c r="Q100" s="16">
        <f t="shared" si="44"/>
        <v>4081.4021256438286</v>
      </c>
      <c r="R100" s="16">
        <f t="shared" si="44"/>
        <v>4480.8986478569259</v>
      </c>
      <c r="S100" s="16">
        <f t="shared" si="44"/>
        <v>7929.3165674959182</v>
      </c>
      <c r="T100" s="16">
        <f t="shared" si="44"/>
        <v>11553.322481119947</v>
      </c>
      <c r="U100" s="16">
        <f t="shared" si="44"/>
        <v>12023.80578144175</v>
      </c>
      <c r="AG100" s="12"/>
      <c r="AI100" s="50"/>
      <c r="AJ100" s="49"/>
      <c r="AK100" s="49"/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49"/>
      <c r="AW100" s="49"/>
      <c r="AX100" s="49"/>
      <c r="AY100" s="49"/>
      <c r="AZ100" s="49"/>
    </row>
    <row r="101" spans="8:52" x14ac:dyDescent="0.25">
      <c r="J101" s="16"/>
      <c r="L101" s="16"/>
      <c r="N101" s="56"/>
      <c r="O101" s="56"/>
      <c r="P101" s="56"/>
      <c r="Q101" s="56"/>
      <c r="R101" s="56"/>
      <c r="S101" s="56"/>
      <c r="T101" s="56"/>
      <c r="U101" s="56"/>
      <c r="AG101" s="12"/>
      <c r="AI101" s="50"/>
      <c r="AJ101" s="49"/>
      <c r="AK101" s="49"/>
      <c r="AL101" s="49"/>
      <c r="AM101" s="49"/>
      <c r="AN101" s="49"/>
      <c r="AO101" s="49"/>
      <c r="AP101" s="49"/>
      <c r="AQ101" s="49"/>
      <c r="AR101" s="49"/>
      <c r="AS101" s="49"/>
      <c r="AT101" s="49"/>
      <c r="AU101" s="49"/>
      <c r="AV101" s="49"/>
      <c r="AW101" s="49"/>
      <c r="AX101" s="49"/>
      <c r="AY101" s="49"/>
      <c r="AZ101" s="49"/>
    </row>
    <row r="102" spans="8:52" x14ac:dyDescent="0.25">
      <c r="H102" s="3" t="s">
        <v>102</v>
      </c>
      <c r="I102" s="8"/>
      <c r="J102" s="15" t="str">
        <f t="shared" ref="J102:U102" si="45">J55</f>
        <v>JAN</v>
      </c>
      <c r="K102" s="15" t="str">
        <f t="shared" si="45"/>
        <v>FEB</v>
      </c>
      <c r="L102" s="15" t="str">
        <f t="shared" si="45"/>
        <v>MAR</v>
      </c>
      <c r="M102" s="15" t="str">
        <f t="shared" si="45"/>
        <v>APR</v>
      </c>
      <c r="N102" s="15" t="str">
        <f t="shared" si="45"/>
        <v>MAJ</v>
      </c>
      <c r="O102" s="15" t="str">
        <f t="shared" si="45"/>
        <v>JUN</v>
      </c>
      <c r="P102" s="15" t="str">
        <f t="shared" si="45"/>
        <v>JUL</v>
      </c>
      <c r="Q102" s="15" t="str">
        <f t="shared" si="45"/>
        <v>AUG</v>
      </c>
      <c r="R102" s="15" t="str">
        <f t="shared" si="45"/>
        <v>SEP</v>
      </c>
      <c r="S102" s="15" t="str">
        <f t="shared" si="45"/>
        <v>OKT</v>
      </c>
      <c r="T102" s="15" t="str">
        <f t="shared" si="45"/>
        <v>NOV</v>
      </c>
      <c r="U102" s="15" t="str">
        <f t="shared" si="45"/>
        <v>DEC</v>
      </c>
      <c r="AI102" s="50"/>
      <c r="AJ102" s="49"/>
      <c r="AK102" s="49"/>
      <c r="AL102" s="49"/>
      <c r="AM102" s="49"/>
      <c r="AN102" s="49"/>
      <c r="AO102" s="49"/>
      <c r="AP102" s="49"/>
      <c r="AQ102" s="49"/>
      <c r="AR102" s="49"/>
      <c r="AS102" s="49"/>
      <c r="AT102" s="49"/>
      <c r="AU102" s="49"/>
      <c r="AV102" s="49"/>
      <c r="AW102" s="49"/>
      <c r="AX102" s="49"/>
      <c r="AY102" s="49"/>
      <c r="AZ102" s="49"/>
    </row>
    <row r="103" spans="8:52" x14ac:dyDescent="0.25">
      <c r="H103" s="14" t="s">
        <v>22</v>
      </c>
      <c r="I103" s="14" t="s">
        <v>138</v>
      </c>
      <c r="J103" s="17">
        <f t="shared" ref="J103:U103" si="46">Varmesalgspris*J90</f>
        <v>7499765</v>
      </c>
      <c r="K103" s="17">
        <f t="shared" si="46"/>
        <v>7433521.9999999991</v>
      </c>
      <c r="L103" s="17">
        <f t="shared" si="46"/>
        <v>7997392.6730004624</v>
      </c>
      <c r="M103" s="17">
        <f t="shared" si="46"/>
        <v>6996567</v>
      </c>
      <c r="N103" s="17">
        <f t="shared" si="46"/>
        <v>3968360</v>
      </c>
      <c r="O103" s="17">
        <f t="shared" si="46"/>
        <v>1897100</v>
      </c>
      <c r="P103" s="17">
        <f t="shared" si="46"/>
        <v>1993821</v>
      </c>
      <c r="Q103" s="17">
        <f t="shared" si="46"/>
        <v>2417714</v>
      </c>
      <c r="R103" s="17">
        <f t="shared" si="46"/>
        <v>2763546</v>
      </c>
      <c r="S103" s="17">
        <f t="shared" si="46"/>
        <v>4854710</v>
      </c>
      <c r="T103" s="17">
        <f t="shared" si="46"/>
        <v>6347510</v>
      </c>
      <c r="U103" s="17">
        <f t="shared" si="46"/>
        <v>6478752</v>
      </c>
      <c r="AC103" s="3"/>
      <c r="AD103" s="71"/>
      <c r="AE103" s="15"/>
      <c r="AF103" s="15"/>
      <c r="AG103" s="3"/>
      <c r="AI103" s="50"/>
      <c r="AJ103" s="49"/>
      <c r="AK103" s="49"/>
      <c r="AL103" s="49"/>
      <c r="AM103" s="49"/>
      <c r="AN103" s="49"/>
      <c r="AO103" s="49"/>
      <c r="AP103" s="49"/>
      <c r="AQ103" s="49"/>
      <c r="AR103" s="49"/>
      <c r="AS103" s="49"/>
      <c r="AT103" s="49"/>
      <c r="AU103" s="49"/>
      <c r="AV103" s="49"/>
      <c r="AW103" s="49"/>
      <c r="AX103" s="49"/>
      <c r="AY103" s="49"/>
      <c r="AZ103" s="49"/>
    </row>
    <row r="104" spans="8:52" x14ac:dyDescent="0.25">
      <c r="H104" s="14" t="s">
        <v>104</v>
      </c>
      <c r="I104" s="14" t="s">
        <v>138</v>
      </c>
      <c r="J104" s="17">
        <f>(J15-ElProdTarif)*J83</f>
        <v>3947332.4512195126</v>
      </c>
      <c r="K104" s="17">
        <f>(K15-ElProdTarif)*K83</f>
        <v>3565332.5365853654</v>
      </c>
      <c r="L104" s="17">
        <f>(L15-ElProdTarif)*L83</f>
        <v>3947332.4512195117</v>
      </c>
      <c r="M104" s="17">
        <f>(M15-ElProdTarif)*M83</f>
        <v>3819999.1463414631</v>
      </c>
      <c r="N104" s="17">
        <f>(N15-ElProdTarif)*N83</f>
        <v>2243170.0472439029</v>
      </c>
      <c r="O104" s="17">
        <f>(O15-ElProdTarif)*O83</f>
        <v>254666.60975609758</v>
      </c>
      <c r="P104" s="17">
        <f>(P15-ElProdTarif)*P83</f>
        <v>852122.0521981708</v>
      </c>
      <c r="Q104" s="17">
        <f>(Q15-ElProdTarif)*Q83</f>
        <v>1150751.5083719518</v>
      </c>
      <c r="R104" s="17">
        <f>(R15-ElProdTarif)*R83</f>
        <v>1414287.5723963415</v>
      </c>
      <c r="S104" s="17">
        <f>(S15-ElProdTarif)*S83</f>
        <v>2867597.0098963412</v>
      </c>
      <c r="T104" s="17">
        <f>(T15-ElProdTarif)*T83</f>
        <v>3819999.1463414631</v>
      </c>
      <c r="U104" s="17">
        <f>(U15-ElProdTarif)*U83</f>
        <v>3947332.4512195117</v>
      </c>
      <c r="AC104" s="14"/>
      <c r="AD104" s="72"/>
      <c r="AE104" s="17"/>
      <c r="AF104" s="17"/>
      <c r="AG104" s="18"/>
      <c r="AI104" s="50"/>
      <c r="AJ104" s="49"/>
      <c r="AK104" s="49"/>
      <c r="AL104" s="49"/>
      <c r="AM104" s="49"/>
      <c r="AN104" s="49"/>
      <c r="AO104" s="49"/>
      <c r="AP104" s="49"/>
      <c r="AQ104" s="49"/>
      <c r="AR104" s="49"/>
      <c r="AS104" s="49"/>
      <c r="AT104" s="49"/>
      <c r="AU104" s="49"/>
      <c r="AV104" s="49"/>
      <c r="AW104" s="49"/>
      <c r="AX104" s="49"/>
      <c r="AY104" s="49"/>
      <c r="AZ104" s="49"/>
    </row>
    <row r="105" spans="8:52" x14ac:dyDescent="0.25">
      <c r="H105" s="14" t="s">
        <v>105</v>
      </c>
      <c r="I105" s="14" t="s">
        <v>138</v>
      </c>
      <c r="J105" s="17">
        <f t="shared" ref="J105:U105" si="47">IF(J87&lt;7%*J89,0,10%)*J111</f>
        <v>197595.87992407382</v>
      </c>
      <c r="K105" s="17">
        <f t="shared" si="47"/>
        <v>153735.75028295928</v>
      </c>
      <c r="L105" s="17">
        <f t="shared" si="47"/>
        <v>88847.348652948102</v>
      </c>
      <c r="M105" s="17">
        <f t="shared" si="47"/>
        <v>88495.294893251135</v>
      </c>
      <c r="N105" s="17">
        <f t="shared" si="47"/>
        <v>74900.664787129543</v>
      </c>
      <c r="O105" s="17">
        <f t="shared" si="47"/>
        <v>-29424.012192641003</v>
      </c>
      <c r="P105" s="17">
        <f t="shared" si="47"/>
        <v>8741.5306478565581</v>
      </c>
      <c r="Q105" s="17">
        <f t="shared" si="47"/>
        <v>46723.891534370552</v>
      </c>
      <c r="R105" s="17">
        <f t="shared" si="47"/>
        <v>51297.327720666093</v>
      </c>
      <c r="S105" s="17">
        <f t="shared" si="47"/>
        <v>90774.816064693281</v>
      </c>
      <c r="T105" s="17">
        <f t="shared" si="47"/>
        <v>132262.43576386117</v>
      </c>
      <c r="U105" s="17">
        <f t="shared" si="47"/>
        <v>137648.52858594517</v>
      </c>
      <c r="AC105" s="14"/>
      <c r="AD105" s="72"/>
      <c r="AE105" s="17"/>
      <c r="AF105" s="17"/>
      <c r="AG105" s="18"/>
      <c r="AI105" s="50"/>
      <c r="AJ105" s="49"/>
      <c r="AK105" s="49"/>
      <c r="AL105" s="49"/>
      <c r="AM105" s="49"/>
      <c r="AN105" s="49"/>
      <c r="AO105" s="49"/>
      <c r="AP105" s="49"/>
      <c r="AQ105" s="49"/>
      <c r="AR105" s="49"/>
      <c r="AS105" s="49"/>
      <c r="AT105" s="49"/>
      <c r="AU105" s="49"/>
      <c r="AV105" s="49"/>
      <c r="AW105" s="49"/>
      <c r="AX105" s="49"/>
      <c r="AY105" s="49"/>
      <c r="AZ105" s="49"/>
    </row>
    <row r="106" spans="8:52" x14ac:dyDescent="0.25">
      <c r="H106" s="14" t="s">
        <v>103</v>
      </c>
      <c r="I106" s="14" t="s">
        <v>138</v>
      </c>
      <c r="J106" s="17">
        <f>$C$25*($J$31-J80*(1-J35))</f>
        <v>4648001.7121823318</v>
      </c>
      <c r="K106" s="17">
        <f>$C$25*($J$31-K80*(1-K35))</f>
        <v>5524878.9166497989</v>
      </c>
      <c r="L106" s="17">
        <f>$C$25*($J$31-L80*(1-L35))</f>
        <v>5600000</v>
      </c>
      <c r="M106" s="17">
        <f>$C$25*($J$31-M80*(1-M35))</f>
        <v>5314136.5842493419</v>
      </c>
      <c r="N106" s="17">
        <f>$C$25*($J$31-N80*(1-N35))</f>
        <v>4335274.8336080452</v>
      </c>
      <c r="O106" s="17">
        <f>$C$25*($J$31-O80*(1-O35))</f>
        <v>4493354.2678781291</v>
      </c>
      <c r="P106" s="17">
        <f>$C$25*($J$31-P80*(1-P35))</f>
        <v>4627161.7913997788</v>
      </c>
      <c r="Q106" s="17">
        <f>$C$25*($J$31-Q80*(1-Q35))</f>
        <v>3808628.6486260928</v>
      </c>
      <c r="R106" s="17">
        <f>$C$25*($J$31-R80*(1-R35))</f>
        <v>3926083.6341254776</v>
      </c>
      <c r="S106" s="17">
        <f>$C$25*($J$31-S80*(1-S35))</f>
        <v>4636306.046443698</v>
      </c>
      <c r="T106" s="17">
        <f>$C$25*($J$31-T80*(1-T35))</f>
        <v>4450499.1003052173</v>
      </c>
      <c r="U106" s="17">
        <f>$C$25*($J$31-U80*(1-U35))</f>
        <v>4500379.7283481825</v>
      </c>
      <c r="AC106" s="14"/>
      <c r="AD106" s="72"/>
      <c r="AE106" s="17"/>
      <c r="AF106" s="17"/>
      <c r="AG106" s="18"/>
      <c r="AI106" s="50"/>
      <c r="AJ106" s="49"/>
      <c r="AK106" s="49"/>
      <c r="AL106" s="49"/>
      <c r="AM106" s="49"/>
      <c r="AN106" s="49"/>
      <c r="AO106" s="49"/>
      <c r="AP106" s="49"/>
      <c r="AQ106" s="49"/>
      <c r="AR106" s="49"/>
      <c r="AS106" s="49"/>
      <c r="AT106" s="49"/>
      <c r="AU106" s="49"/>
      <c r="AV106" s="49"/>
      <c r="AW106" s="49"/>
      <c r="AX106" s="49"/>
      <c r="AY106" s="49"/>
      <c r="AZ106" s="49"/>
    </row>
    <row r="107" spans="8:52" x14ac:dyDescent="0.25">
      <c r="I107" s="14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AC107" s="14"/>
      <c r="AD107" s="72"/>
      <c r="AE107" s="17"/>
      <c r="AF107" s="17"/>
      <c r="AG107" s="18"/>
      <c r="AI107" s="50"/>
      <c r="AJ107" s="49"/>
      <c r="AK107" s="49"/>
      <c r="AL107" s="49"/>
      <c r="AM107" s="49"/>
      <c r="AN107" s="49"/>
      <c r="AO107" s="49"/>
      <c r="AP107" s="49"/>
      <c r="AQ107" s="49"/>
      <c r="AR107" s="49"/>
      <c r="AS107" s="49"/>
      <c r="AT107" s="49"/>
      <c r="AU107" s="49"/>
      <c r="AV107" s="49"/>
      <c r="AW107" s="49"/>
      <c r="AX107" s="49"/>
      <c r="AY107" s="49"/>
      <c r="AZ107" s="49"/>
    </row>
    <row r="108" spans="8:52" x14ac:dyDescent="0.25">
      <c r="H108" s="14" t="s">
        <v>110</v>
      </c>
      <c r="I108" s="14" t="s">
        <v>138</v>
      </c>
      <c r="J108" s="18">
        <f>$E$25*($J$8-J80*J35)</f>
        <v>9281.9833062222588</v>
      </c>
      <c r="K108" s="18">
        <f>$E$25*($J$8-K80*K35)</f>
        <v>732.43056266445581</v>
      </c>
      <c r="L108" s="18">
        <f>$E$25*($J$8-L80*L35)</f>
        <v>0</v>
      </c>
      <c r="M108" s="18">
        <f>$E$25*($J$8-M80*M35)</f>
        <v>7601.3681006424949</v>
      </c>
      <c r="N108" s="18">
        <f>$E$25*($J$8-N80*N35)</f>
        <v>33630.191924513339</v>
      </c>
      <c r="O108" s="18">
        <f>$E$25*($J$8-O80*O35)</f>
        <v>29426.716058695209</v>
      </c>
      <c r="P108" s="18">
        <f>$E$25*($J$8-P80*P35)</f>
        <v>25868.652365051337</v>
      </c>
      <c r="Q108" s="18">
        <f>$E$25*($J$8-Q80*Q35)</f>
        <v>47634.192752442534</v>
      </c>
      <c r="R108" s="18">
        <f>$E$25*($J$8-R80*R35)</f>
        <v>44510.957910754361</v>
      </c>
      <c r="S108" s="18">
        <f>$E$25*($J$8-S80*S35)</f>
        <v>25625.498310474391</v>
      </c>
      <c r="T108" s="18">
        <f>$E$25*($J$8-T80*T35)</f>
        <v>30566.273923702185</v>
      </c>
      <c r="U108" s="18">
        <f>$E$25*($J$8-U80*U35)</f>
        <v>29239.902678014256</v>
      </c>
      <c r="AD108" s="72"/>
      <c r="AE108" s="18"/>
      <c r="AF108" s="18"/>
      <c r="AG108" s="18"/>
      <c r="AI108" s="50"/>
      <c r="AJ108" s="49"/>
      <c r="AK108" s="49"/>
      <c r="AL108" s="49"/>
      <c r="AM108" s="49"/>
      <c r="AN108" s="49"/>
      <c r="AO108" s="49"/>
      <c r="AP108" s="49"/>
      <c r="AQ108" s="49"/>
      <c r="AR108" s="49"/>
      <c r="AS108" s="49"/>
      <c r="AT108" s="49"/>
      <c r="AU108" s="49"/>
      <c r="AV108" s="49"/>
      <c r="AW108" s="49"/>
      <c r="AX108" s="49"/>
      <c r="AY108" s="49"/>
      <c r="AZ108" s="49"/>
    </row>
    <row r="109" spans="8:52" x14ac:dyDescent="0.25">
      <c r="H109" s="14" t="s">
        <v>111</v>
      </c>
      <c r="I109" s="14" t="s">
        <v>138</v>
      </c>
      <c r="J109" s="17">
        <f>$C$20*J84+$D$20*J85+$E$20*J78+$F$20*J87</f>
        <v>1364822.9775574182</v>
      </c>
      <c r="K109" s="17">
        <f>$C$20*K84+$D$20*K85+$E$20*K78+$F$20*K87</f>
        <v>1159678.5045878757</v>
      </c>
      <c r="L109" s="17">
        <f>$C$20*L84+$D$20*L85+$E$20*L78+$F$20*L87</f>
        <v>1241098.7605122505</v>
      </c>
      <c r="M109" s="17">
        <f>$C$20*M84+$D$20*M85+$E$20*M78+$F$20*M87</f>
        <v>1212648.718401477</v>
      </c>
      <c r="N109" s="17">
        <f>$C$20*N84+$D$20*N85+$E$20*N78+$F$20*N87</f>
        <v>962662.43146891613</v>
      </c>
      <c r="O109" s="17">
        <f>$C$20*O84+$D$20*O85+$E$20*O78+$F$20*O87</f>
        <v>371721.19312929199</v>
      </c>
      <c r="P109" s="17">
        <f>$C$20*P84+$D$20*P85+$E$20*P78+$F$20*P87</f>
        <v>631393.48891435901</v>
      </c>
      <c r="Q109" s="17">
        <f>$C$20*Q84+$D$20*Q85+$E$20*Q78+$F$20*Q87</f>
        <v>702510.1322758114</v>
      </c>
      <c r="R109" s="17">
        <f>$C$20*R84+$D$20*R85+$E$20*R78+$F$20*R87</f>
        <v>751410.46053548506</v>
      </c>
      <c r="S109" s="17">
        <f>$C$20*S84+$D$20*S85+$E$20*S78+$F$20*S87</f>
        <v>1111365.610911425</v>
      </c>
      <c r="T109" s="17">
        <f>$C$20*T84+$D$20*T85+$E$20*T78+$F$20*T87</f>
        <v>1326950.9422492688</v>
      </c>
      <c r="U109" s="17">
        <f>$C$20*U84+$D$20*U85+$E$20*U78+$F$20*U87</f>
        <v>1369661.9768934532</v>
      </c>
      <c r="AC109" s="14"/>
      <c r="AD109" s="72"/>
      <c r="AE109" s="18"/>
      <c r="AF109" s="18"/>
      <c r="AG109" s="18"/>
      <c r="AI109" s="50"/>
      <c r="AJ109" s="49"/>
      <c r="AK109" s="49"/>
      <c r="AL109" s="49"/>
      <c r="AM109" s="49"/>
      <c r="AN109" s="49"/>
      <c r="AO109" s="49"/>
      <c r="AP109" s="49"/>
      <c r="AQ109" s="49"/>
      <c r="AR109" s="49"/>
      <c r="AS109" s="49"/>
      <c r="AT109" s="49"/>
      <c r="AU109" s="49"/>
      <c r="AV109" s="49"/>
      <c r="AW109" s="49"/>
      <c r="AX109" s="49"/>
      <c r="AY109" s="49"/>
      <c r="AZ109" s="49"/>
    </row>
    <row r="110" spans="8:52" x14ac:dyDescent="0.25">
      <c r="H110" s="14" t="s">
        <v>31</v>
      </c>
      <c r="I110" s="14" t="s">
        <v>138</v>
      </c>
      <c r="J110" s="17">
        <f t="shared" ref="J110:U110" si="48">AFV*3.6*J90</f>
        <v>2239801.2000000002</v>
      </c>
      <c r="K110" s="17">
        <f t="shared" si="48"/>
        <v>2220017.7599999998</v>
      </c>
      <c r="L110" s="17">
        <f t="shared" si="48"/>
        <v>2388417.4645282412</v>
      </c>
      <c r="M110" s="17">
        <f t="shared" si="48"/>
        <v>2089521.36</v>
      </c>
      <c r="N110" s="17">
        <f t="shared" si="48"/>
        <v>1185148.8</v>
      </c>
      <c r="O110" s="17">
        <f t="shared" si="48"/>
        <v>566568.00000000012</v>
      </c>
      <c r="P110" s="17">
        <f t="shared" si="48"/>
        <v>595453.68000000005</v>
      </c>
      <c r="Q110" s="17">
        <f t="shared" si="48"/>
        <v>722049.12000000011</v>
      </c>
      <c r="R110" s="17">
        <f t="shared" si="48"/>
        <v>825331.68</v>
      </c>
      <c r="S110" s="17">
        <f t="shared" si="48"/>
        <v>1449856.8</v>
      </c>
      <c r="T110" s="17">
        <f t="shared" si="48"/>
        <v>1895680.8000000003</v>
      </c>
      <c r="U110" s="17">
        <f t="shared" si="48"/>
        <v>1934876.1600000001</v>
      </c>
      <c r="AC110" s="14"/>
      <c r="AD110" s="72"/>
      <c r="AE110" s="17"/>
      <c r="AF110" s="17"/>
      <c r="AG110" s="18"/>
      <c r="AI110" s="50"/>
      <c r="AJ110" s="49"/>
      <c r="AK110" s="49"/>
      <c r="AL110" s="49"/>
      <c r="AM110" s="49"/>
      <c r="AN110" s="49"/>
      <c r="AO110" s="49"/>
      <c r="AP110" s="49"/>
      <c r="AQ110" s="49"/>
      <c r="AR110" s="49"/>
      <c r="AS110" s="49"/>
      <c r="AT110" s="49"/>
      <c r="AU110" s="49"/>
      <c r="AV110" s="49"/>
      <c r="AW110" s="49"/>
      <c r="AX110" s="49"/>
      <c r="AY110" s="49"/>
      <c r="AZ110" s="49"/>
    </row>
    <row r="111" spans="8:52" x14ac:dyDescent="0.25">
      <c r="H111" s="14" t="s">
        <v>32</v>
      </c>
      <c r="I111" s="14" t="s">
        <v>138</v>
      </c>
      <c r="J111" s="18">
        <f t="shared" ref="J111:U111" si="49">ATL*3.6*J99</f>
        <v>1975958.7992407379</v>
      </c>
      <c r="K111" s="18">
        <f t="shared" si="49"/>
        <v>1537357.5028295929</v>
      </c>
      <c r="L111" s="18">
        <f t="shared" si="49"/>
        <v>888473.4865294809</v>
      </c>
      <c r="M111" s="18">
        <f t="shared" si="49"/>
        <v>884952.94893251127</v>
      </c>
      <c r="N111" s="18">
        <f t="shared" si="49"/>
        <v>749006.64787129534</v>
      </c>
      <c r="O111" s="18">
        <f t="shared" si="49"/>
        <v>-294240.12192641001</v>
      </c>
      <c r="P111" s="18">
        <f t="shared" si="49"/>
        <v>87415.306478565573</v>
      </c>
      <c r="Q111" s="18">
        <f t="shared" si="49"/>
        <v>467238.91534370551</v>
      </c>
      <c r="R111" s="18">
        <f t="shared" si="49"/>
        <v>512973.27720666089</v>
      </c>
      <c r="S111" s="18">
        <f t="shared" si="49"/>
        <v>907748.16064693278</v>
      </c>
      <c r="T111" s="18">
        <f t="shared" si="49"/>
        <v>1322624.3576386117</v>
      </c>
      <c r="U111" s="18">
        <f t="shared" si="49"/>
        <v>1376485.2858594516</v>
      </c>
      <c r="AC111" s="14"/>
      <c r="AD111" s="72"/>
      <c r="AE111" s="17"/>
      <c r="AF111" s="17"/>
      <c r="AG111" s="18"/>
      <c r="AI111" s="50"/>
      <c r="AJ111" s="49"/>
      <c r="AK111" s="49"/>
      <c r="AL111" s="49"/>
      <c r="AM111" s="49"/>
      <c r="AN111" s="49"/>
      <c r="AO111" s="49"/>
      <c r="AP111" s="49"/>
      <c r="AQ111" s="49"/>
      <c r="AR111" s="49"/>
      <c r="AS111" s="49"/>
      <c r="AT111" s="49"/>
      <c r="AU111" s="49"/>
      <c r="AV111" s="49"/>
      <c r="AW111" s="49"/>
      <c r="AX111" s="49"/>
      <c r="AY111" s="49"/>
      <c r="AZ111" s="49"/>
    </row>
    <row r="112" spans="8:52" x14ac:dyDescent="0.25">
      <c r="H112" s="14" t="s">
        <v>33</v>
      </c>
      <c r="I112" s="14" t="s">
        <v>138</v>
      </c>
      <c r="J112" s="18">
        <f>CO2afgift*$C$27 /1000 *3.6*J99</f>
        <v>410384.27325740416</v>
      </c>
      <c r="K112" s="18">
        <f>CO2afgift*$C$27 /1000 *3.6*K99</f>
        <v>319291.74929050455</v>
      </c>
      <c r="L112" s="18">
        <f>CO2afgift*$C$27 /1000 *3.6*L99</f>
        <v>184525.88496175961</v>
      </c>
      <c r="M112" s="18">
        <f>CO2afgift*$C$27 /1000 *3.6*M99</f>
        <v>183794.70915801165</v>
      </c>
      <c r="N112" s="18">
        <f>CO2afgift*$C$27 /1000 *3.6*N99</f>
        <v>155560.20144232607</v>
      </c>
      <c r="O112" s="18">
        <f>CO2afgift*$C$27 /1000 *3.6*O99</f>
        <v>-61110.342303867124</v>
      </c>
      <c r="P112" s="18">
        <f>CO2afgift*$C$27 /1000 *3.6*P99</f>
        <v>18155.169548354916</v>
      </c>
      <c r="Q112" s="18">
        <f>CO2afgift*$C$27 /1000 *3.6*Q99</f>
        <v>97040.233219732792</v>
      </c>
      <c r="R112" s="18">
        <f>CO2afgift*$C$27 /1000 *3.6*R99</f>
        <v>106538.74243117584</v>
      </c>
      <c r="S112" s="18">
        <f>CO2afgift*$C$27 /1000 *3.6*S99</f>
        <v>188529.01657209644</v>
      </c>
      <c r="T112" s="18">
        <f>CO2afgift*$C$27 /1000 *3.6*T99</f>
        <v>274694.10597560409</v>
      </c>
      <c r="U112" s="18">
        <f>CO2afgift*$C$27 /1000 *3.6*U99</f>
        <v>285880.41102071531</v>
      </c>
      <c r="AC112" s="14"/>
      <c r="AD112" s="72"/>
      <c r="AE112" s="18"/>
      <c r="AF112" s="18"/>
      <c r="AG112" s="18"/>
      <c r="AI112" s="50"/>
      <c r="AJ112" s="49"/>
      <c r="AK112" s="49"/>
      <c r="AL112" s="49"/>
      <c r="AM112" s="49"/>
      <c r="AN112" s="49"/>
      <c r="AO112" s="49"/>
      <c r="AP112" s="49"/>
      <c r="AQ112" s="49"/>
      <c r="AR112" s="49"/>
      <c r="AS112" s="49"/>
      <c r="AT112" s="49"/>
      <c r="AU112" s="49"/>
      <c r="AV112" s="49"/>
      <c r="AW112" s="49"/>
      <c r="AX112" s="49"/>
      <c r="AY112" s="49"/>
      <c r="AZ112" s="49"/>
    </row>
    <row r="113" spans="8:52" x14ac:dyDescent="0.25">
      <c r="H113" s="14" t="s">
        <v>115</v>
      </c>
      <c r="I113" s="14" t="s">
        <v>138</v>
      </c>
      <c r="J113" s="18">
        <f>J16*$C$28/1000*10.6*J79</f>
        <v>2022445.5665611641</v>
      </c>
      <c r="K113" s="18">
        <f>K16*$C$28/1000*10.6*K79</f>
        <v>2483317.6106091901</v>
      </c>
      <c r="L113" s="18">
        <f>L16*$C$28/1000*10.6*L79</f>
        <v>2883200</v>
      </c>
      <c r="M113" s="18">
        <f>M16*$C$28/1000*10.6*M79</f>
        <v>2695881.4999335688</v>
      </c>
      <c r="N113" s="18">
        <f>N16*$C$28/1000*10.6*N79</f>
        <v>2054460.0909678899</v>
      </c>
      <c r="O113" s="18">
        <f>O16*$C$28/1000*10.6*O79</f>
        <v>2158045.2329877778</v>
      </c>
      <c r="P113" s="18">
        <f>P16*$C$28/1000*10.6*P79</f>
        <v>2245725.6538554183</v>
      </c>
      <c r="Q113" s="18">
        <f>Q16*$C$28/1000*10.6*Q79</f>
        <v>1709363.2090269888</v>
      </c>
      <c r="R113" s="18">
        <f>R16*$C$28/1000*10.6*R79</f>
        <v>1786328.257706949</v>
      </c>
      <c r="S113" s="18">
        <f>S16*$C$28/1000*10.6*S79</f>
        <v>2251717.6347969254</v>
      </c>
      <c r="T113" s="18">
        <f>T16*$C$28/1000*10.6*T79</f>
        <v>2129963.4104545456</v>
      </c>
      <c r="U113" s="18">
        <f>U16*$C$28/1000*10.6*U79</f>
        <v>2162648.8256303361</v>
      </c>
      <c r="AC113" s="14"/>
      <c r="AD113" s="72"/>
      <c r="AE113" s="18"/>
      <c r="AF113" s="18"/>
      <c r="AG113" s="18"/>
      <c r="AI113" s="50"/>
      <c r="AJ113" s="49"/>
      <c r="AK113" s="49"/>
      <c r="AL113" s="49"/>
      <c r="AM113" s="49"/>
      <c r="AN113" s="49"/>
      <c r="AO113" s="49"/>
      <c r="AP113" s="49"/>
      <c r="AQ113" s="49"/>
      <c r="AR113" s="49"/>
      <c r="AS113" s="49"/>
      <c r="AT113" s="49"/>
      <c r="AU113" s="49"/>
      <c r="AV113" s="49"/>
      <c r="AW113" s="49"/>
      <c r="AX113" s="49"/>
      <c r="AY113" s="49"/>
      <c r="AZ113" s="49"/>
    </row>
    <row r="114" spans="8:52" x14ac:dyDescent="0.25">
      <c r="I114" s="14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AC114" s="14"/>
      <c r="AD114" s="72"/>
      <c r="AE114" s="18"/>
      <c r="AF114" s="18"/>
      <c r="AG114" s="18"/>
      <c r="AI114" s="50"/>
      <c r="AJ114" s="49"/>
      <c r="AK114" s="49"/>
      <c r="AL114" s="49"/>
      <c r="AM114" s="49"/>
      <c r="AN114" s="49"/>
      <c r="AO114" s="49"/>
      <c r="AP114" s="49"/>
      <c r="AQ114" s="49"/>
      <c r="AR114" s="49"/>
      <c r="AS114" s="49"/>
      <c r="AT114" s="49"/>
      <c r="AU114" s="49"/>
      <c r="AV114" s="49"/>
      <c r="AW114" s="49"/>
      <c r="AX114" s="49"/>
      <c r="AY114" s="49"/>
      <c r="AZ114" s="49"/>
    </row>
    <row r="115" spans="8:52" x14ac:dyDescent="0.25">
      <c r="H115" s="14" t="s">
        <v>118</v>
      </c>
      <c r="I115" s="14" t="s">
        <v>138</v>
      </c>
      <c r="J115" s="18">
        <f>SUM(J103:J106)</f>
        <v>16292695.043325918</v>
      </c>
      <c r="K115" s="18">
        <f t="shared" ref="K115:U115" si="50">SUM(K103:K106)</f>
        <v>16677469.203518122</v>
      </c>
      <c r="L115" s="18">
        <f t="shared" si="50"/>
        <v>17633572.47287292</v>
      </c>
      <c r="M115" s="18">
        <f t="shared" si="50"/>
        <v>16219198.025484057</v>
      </c>
      <c r="N115" s="18">
        <f t="shared" si="50"/>
        <v>10621705.545639077</v>
      </c>
      <c r="O115" s="18">
        <f t="shared" si="50"/>
        <v>6615696.8654415859</v>
      </c>
      <c r="P115" s="18">
        <f t="shared" si="50"/>
        <v>7481846.3742458057</v>
      </c>
      <c r="Q115" s="18">
        <f t="shared" si="50"/>
        <v>7423818.0485324152</v>
      </c>
      <c r="R115" s="18">
        <f t="shared" si="50"/>
        <v>8155214.5342424856</v>
      </c>
      <c r="S115" s="18">
        <f t="shared" si="50"/>
        <v>12449387.872404732</v>
      </c>
      <c r="T115" s="18">
        <f t="shared" si="50"/>
        <v>14750270.682410542</v>
      </c>
      <c r="U115" s="18">
        <f t="shared" si="50"/>
        <v>15064112.708153639</v>
      </c>
      <c r="AD115" s="72"/>
      <c r="AE115" s="18"/>
      <c r="AF115" s="18"/>
      <c r="AG115" s="18"/>
      <c r="AI115" s="50"/>
      <c r="AJ115" s="49"/>
      <c r="AK115" s="49"/>
      <c r="AL115" s="49"/>
      <c r="AM115" s="49"/>
      <c r="AN115" s="49"/>
      <c r="AO115" s="49"/>
      <c r="AP115" s="49"/>
      <c r="AQ115" s="49"/>
      <c r="AR115" s="49"/>
      <c r="AS115" s="49"/>
      <c r="AT115" s="49"/>
      <c r="AU115" s="49"/>
      <c r="AV115" s="49"/>
      <c r="AW115" s="49"/>
      <c r="AX115" s="49"/>
      <c r="AY115" s="49"/>
      <c r="AZ115" s="49"/>
    </row>
    <row r="116" spans="8:52" x14ac:dyDescent="0.25">
      <c r="H116" s="14" t="s">
        <v>119</v>
      </c>
      <c r="I116" s="14" t="s">
        <v>138</v>
      </c>
      <c r="J116" s="18">
        <f>SUM(J108:J113)</f>
        <v>8022694.7999229478</v>
      </c>
      <c r="K116" s="18">
        <f t="shared" ref="K116:U116" si="51">SUM(K108:K113)</f>
        <v>7720395.5578798279</v>
      </c>
      <c r="L116" s="18">
        <f t="shared" si="51"/>
        <v>7585715.596531732</v>
      </c>
      <c r="M116" s="18">
        <f t="shared" si="51"/>
        <v>7074400.6045262115</v>
      </c>
      <c r="N116" s="18">
        <f t="shared" si="51"/>
        <v>5140468.3636749405</v>
      </c>
      <c r="O116" s="18">
        <f t="shared" si="51"/>
        <v>2770410.6779454881</v>
      </c>
      <c r="P116" s="18">
        <f t="shared" si="51"/>
        <v>3604011.9511617487</v>
      </c>
      <c r="Q116" s="18">
        <f t="shared" si="51"/>
        <v>3745835.8026186815</v>
      </c>
      <c r="R116" s="18">
        <f t="shared" si="51"/>
        <v>4027093.3757910253</v>
      </c>
      <c r="S116" s="18">
        <f t="shared" si="51"/>
        <v>5934842.7212378541</v>
      </c>
      <c r="T116" s="18">
        <f t="shared" si="51"/>
        <v>6980479.8902417328</v>
      </c>
      <c r="U116" s="18">
        <f t="shared" si="51"/>
        <v>7158792.5620819712</v>
      </c>
      <c r="AC116" s="14"/>
      <c r="AD116" s="72"/>
      <c r="AE116" s="18"/>
      <c r="AF116" s="18"/>
      <c r="AG116" s="18"/>
      <c r="AI116" s="50"/>
      <c r="AJ116" s="49"/>
      <c r="AK116" s="49"/>
      <c r="AL116" s="49"/>
      <c r="AM116" s="49"/>
      <c r="AN116" s="49"/>
      <c r="AO116" s="49"/>
      <c r="AP116" s="49"/>
      <c r="AQ116" s="49"/>
      <c r="AR116" s="49"/>
      <c r="AS116" s="49"/>
      <c r="AT116" s="49"/>
      <c r="AU116" s="49"/>
      <c r="AV116" s="49"/>
      <c r="AW116" s="49"/>
      <c r="AX116" s="49"/>
      <c r="AY116" s="49"/>
      <c r="AZ116" s="49"/>
    </row>
    <row r="117" spans="8:52" x14ac:dyDescent="0.25">
      <c r="H117" s="14" t="s">
        <v>120</v>
      </c>
      <c r="I117" s="14" t="s">
        <v>138</v>
      </c>
      <c r="J117" s="18">
        <f>J115-J116</f>
        <v>8270000.24340297</v>
      </c>
      <c r="K117" s="18">
        <f t="shared" ref="K117:U117" si="52">K115-K116</f>
        <v>8957073.6456382945</v>
      </c>
      <c r="L117" s="18">
        <f t="shared" si="52"/>
        <v>10047856.876341188</v>
      </c>
      <c r="M117" s="18">
        <f t="shared" si="52"/>
        <v>9144797.4209578447</v>
      </c>
      <c r="N117" s="18">
        <f t="shared" si="52"/>
        <v>5481237.1819641367</v>
      </c>
      <c r="O117" s="18">
        <f t="shared" si="52"/>
        <v>3845286.1874960978</v>
      </c>
      <c r="P117" s="18">
        <f t="shared" si="52"/>
        <v>3877834.4230840569</v>
      </c>
      <c r="Q117" s="18">
        <f t="shared" si="52"/>
        <v>3677982.2459137337</v>
      </c>
      <c r="R117" s="18">
        <f t="shared" si="52"/>
        <v>4128121.1584514603</v>
      </c>
      <c r="S117" s="18">
        <f t="shared" si="52"/>
        <v>6514545.1511668777</v>
      </c>
      <c r="T117" s="18">
        <f t="shared" si="52"/>
        <v>7769790.7921688091</v>
      </c>
      <c r="U117" s="18">
        <f t="shared" si="52"/>
        <v>7905320.1460716678</v>
      </c>
      <c r="AC117" s="14"/>
      <c r="AD117" s="72"/>
      <c r="AE117" s="18"/>
      <c r="AF117" s="18"/>
      <c r="AG117" s="18"/>
      <c r="AI117" s="50"/>
      <c r="AJ117" s="49"/>
      <c r="AK117" s="49"/>
      <c r="AL117" s="49"/>
      <c r="AM117" s="49"/>
      <c r="AN117" s="49"/>
      <c r="AO117" s="49"/>
      <c r="AP117" s="49"/>
      <c r="AQ117" s="49"/>
      <c r="AR117" s="49"/>
      <c r="AS117" s="49"/>
      <c r="AT117" s="49"/>
      <c r="AU117" s="49"/>
      <c r="AV117" s="49"/>
      <c r="AW117" s="49"/>
      <c r="AX117" s="49"/>
      <c r="AY117" s="49"/>
      <c r="AZ117" s="49"/>
    </row>
    <row r="118" spans="8:52" x14ac:dyDescent="0.25">
      <c r="AC118" s="14"/>
      <c r="AD118" s="72"/>
      <c r="AE118" s="18"/>
      <c r="AF118" s="18"/>
      <c r="AG118" s="18"/>
      <c r="AI118" s="50"/>
      <c r="AJ118" s="49"/>
      <c r="AK118" s="49"/>
      <c r="AL118" s="49"/>
      <c r="AM118" s="49"/>
      <c r="AN118" s="49"/>
      <c r="AO118" s="49"/>
      <c r="AP118" s="49"/>
      <c r="AQ118" s="49"/>
      <c r="AR118" s="49"/>
      <c r="AS118" s="49"/>
      <c r="AT118" s="49"/>
      <c r="AU118" s="49"/>
      <c r="AV118" s="49"/>
      <c r="AW118" s="49"/>
      <c r="AX118" s="49"/>
      <c r="AY118" s="49"/>
      <c r="AZ118" s="49"/>
    </row>
    <row r="119" spans="8:52" x14ac:dyDescent="0.25">
      <c r="H119" s="138" t="s">
        <v>304</v>
      </c>
      <c r="I119" s="137"/>
      <c r="J119" s="75" t="str">
        <f>J3</f>
        <v>JAN</v>
      </c>
      <c r="K119" s="75" t="str">
        <f>K3</f>
        <v>FEB</v>
      </c>
      <c r="L119" s="75" t="str">
        <f>L3</f>
        <v>MAR</v>
      </c>
      <c r="M119" s="75" t="str">
        <f>M3</f>
        <v>APR</v>
      </c>
      <c r="N119" s="75" t="str">
        <f>N3</f>
        <v>MAJ</v>
      </c>
      <c r="O119" s="75" t="str">
        <f>O3</f>
        <v>JUN</v>
      </c>
      <c r="P119" s="75" t="str">
        <f>P3</f>
        <v>JUL</v>
      </c>
      <c r="Q119" s="75" t="str">
        <f>Q3</f>
        <v>AUG</v>
      </c>
      <c r="R119" s="75" t="str">
        <f>R3</f>
        <v>SEP</v>
      </c>
      <c r="S119" s="75" t="str">
        <f>S3</f>
        <v>OKT</v>
      </c>
      <c r="T119" s="75" t="str">
        <f>T3</f>
        <v>NOV</v>
      </c>
      <c r="U119" s="75" t="str">
        <f>U3</f>
        <v>DEC</v>
      </c>
      <c r="AI119" s="50"/>
      <c r="AJ119" s="49"/>
      <c r="AK119" s="49"/>
      <c r="AL119" s="49"/>
      <c r="AM119" s="49"/>
      <c r="AN119" s="49"/>
      <c r="AO119" s="49"/>
      <c r="AP119" s="49"/>
      <c r="AQ119" s="49"/>
      <c r="AR119" s="49"/>
      <c r="AS119" s="49"/>
      <c r="AT119" s="49"/>
      <c r="AU119" s="49"/>
      <c r="AV119" s="49"/>
      <c r="AW119" s="49"/>
      <c r="AX119" s="49"/>
      <c r="AY119" s="49"/>
      <c r="AZ119" s="49"/>
    </row>
    <row r="120" spans="8:52" x14ac:dyDescent="0.25">
      <c r="H120" s="139" t="s">
        <v>310</v>
      </c>
      <c r="I120" s="5" t="s">
        <v>311</v>
      </c>
      <c r="J120" s="18">
        <f>SUM(J117:U117)</f>
        <v>79619845.472657144</v>
      </c>
      <c r="K120" s="140"/>
      <c r="L120" s="140"/>
      <c r="M120" s="140"/>
      <c r="N120" s="140"/>
      <c r="O120" s="140"/>
      <c r="P120" s="140"/>
      <c r="Q120" s="140"/>
      <c r="R120" s="140"/>
      <c r="S120" s="140"/>
      <c r="T120" s="140"/>
      <c r="U120" s="140"/>
      <c r="AI120" s="50"/>
      <c r="AJ120" s="49"/>
      <c r="AK120" s="49"/>
      <c r="AL120" s="49"/>
      <c r="AM120" s="49"/>
      <c r="AN120" s="49"/>
      <c r="AO120" s="49"/>
      <c r="AP120" s="49"/>
      <c r="AQ120" s="49"/>
      <c r="AR120" s="49"/>
      <c r="AS120" s="49"/>
      <c r="AT120" s="49"/>
      <c r="AU120" s="49"/>
      <c r="AV120" s="49"/>
      <c r="AW120" s="49"/>
      <c r="AX120" s="49"/>
      <c r="AY120" s="49"/>
      <c r="AZ120" s="49"/>
    </row>
    <row r="121" spans="8:52" x14ac:dyDescent="0.25">
      <c r="H121" s="139" t="s">
        <v>317</v>
      </c>
      <c r="I121" s="5" t="s">
        <v>41</v>
      </c>
      <c r="J121" s="12">
        <f>J90+J61+J91-J5</f>
        <v>0</v>
      </c>
      <c r="K121" s="12">
        <f>K90+K61+K91-K5</f>
        <v>0</v>
      </c>
      <c r="L121" s="12">
        <f>L90+L61+L91-L5</f>
        <v>0</v>
      </c>
      <c r="M121" s="12">
        <f>M90+M61+M91-M5</f>
        <v>0</v>
      </c>
      <c r="N121" s="12">
        <f>N90+N61+N91-N5</f>
        <v>0</v>
      </c>
      <c r="O121" s="12">
        <f>O90+O61+O91-O5</f>
        <v>0</v>
      </c>
      <c r="P121" s="12">
        <f>P90+P61+P91-P5</f>
        <v>0</v>
      </c>
      <c r="Q121" s="12">
        <f>Q90+Q61+Q91-Q5</f>
        <v>0</v>
      </c>
      <c r="R121" s="12">
        <f>R90+R61+R91-R5</f>
        <v>0</v>
      </c>
      <c r="S121" s="12">
        <f>S90+S61+S91-S5</f>
        <v>0</v>
      </c>
      <c r="T121" s="12">
        <f>T90+T61+T91-T5</f>
        <v>0</v>
      </c>
      <c r="U121" s="12">
        <f>U90+U61+U91-U5</f>
        <v>0</v>
      </c>
      <c r="AI121" s="50"/>
      <c r="AJ121" s="49"/>
      <c r="AK121" s="49"/>
      <c r="AL121" s="49"/>
      <c r="AM121" s="49"/>
      <c r="AN121" s="49"/>
      <c r="AO121" s="49"/>
      <c r="AP121" s="49"/>
      <c r="AQ121" s="49"/>
      <c r="AR121" s="49"/>
      <c r="AS121" s="49"/>
      <c r="AT121" s="49"/>
      <c r="AU121" s="49"/>
      <c r="AV121" s="49"/>
      <c r="AW121" s="49"/>
      <c r="AX121" s="49"/>
      <c r="AY121" s="49"/>
      <c r="AZ121" s="49"/>
    </row>
    <row r="122" spans="8:52" x14ac:dyDescent="0.25">
      <c r="H122" s="139" t="s">
        <v>318</v>
      </c>
      <c r="I122" s="5" t="s">
        <v>298</v>
      </c>
      <c r="J122">
        <f>FbioMaxÅr-SUMPRODUCT(J79:U79,J35:U35)</f>
        <v>-31858.197953283045</v>
      </c>
      <c r="K122" s="140"/>
      <c r="L122" s="140"/>
      <c r="M122" s="140"/>
      <c r="N122" s="140"/>
      <c r="O122" s="140"/>
      <c r="P122" s="140"/>
      <c r="Q122" s="140"/>
      <c r="R122" s="140"/>
      <c r="S122" s="140"/>
      <c r="T122" s="140"/>
      <c r="U122" s="140"/>
      <c r="AI122" s="50"/>
      <c r="AJ122" s="49"/>
      <c r="AK122" s="49"/>
      <c r="AL122" s="49"/>
      <c r="AM122" s="49"/>
      <c r="AN122" s="49"/>
      <c r="AO122" s="49"/>
      <c r="AP122" s="49"/>
      <c r="AQ122" s="49"/>
      <c r="AR122" s="49"/>
      <c r="AS122" s="49"/>
      <c r="AT122" s="49"/>
      <c r="AU122" s="49"/>
      <c r="AV122" s="49"/>
      <c r="AW122" s="49"/>
      <c r="AX122" s="49"/>
      <c r="AY122" s="49"/>
      <c r="AZ122" s="49"/>
    </row>
    <row r="123" spans="8:52" x14ac:dyDescent="0.25">
      <c r="H123" s="139" t="s">
        <v>319</v>
      </c>
      <c r="I123" s="5" t="s">
        <v>41</v>
      </c>
      <c r="J123" s="12">
        <f>J43-J64</f>
        <v>4355.95652173913</v>
      </c>
      <c r="K123" s="12">
        <f>K43-K64</f>
        <v>2182.521739130435</v>
      </c>
      <c r="L123" s="12">
        <f>L43-L64</f>
        <v>3034.1438855013575</v>
      </c>
      <c r="M123" s="12">
        <f>M43-M64</f>
        <v>4909.434782608696</v>
      </c>
      <c r="N123" s="12">
        <f>N43-N64</f>
        <v>7068</v>
      </c>
      <c r="O123" s="12">
        <f>O43-O64</f>
        <v>2911.1304347826085</v>
      </c>
      <c r="P123" s="12">
        <f>P43-P64</f>
        <v>7068</v>
      </c>
      <c r="Q123" s="12">
        <f>Q43-Q64</f>
        <v>7068</v>
      </c>
      <c r="R123" s="12">
        <f>R43-R64</f>
        <v>6840</v>
      </c>
      <c r="S123" s="12">
        <f>S43-S64</f>
        <v>7068</v>
      </c>
      <c r="T123" s="12">
        <f>T43-T64</f>
        <v>6633.478260869565</v>
      </c>
      <c r="U123" s="12">
        <f>U43-U64</f>
        <v>7068</v>
      </c>
    </row>
    <row r="124" spans="8:52" x14ac:dyDescent="0.25">
      <c r="H124" s="139" t="s">
        <v>320</v>
      </c>
      <c r="I124" s="5" t="s">
        <v>41</v>
      </c>
      <c r="J124" s="12">
        <f>J50-J57</f>
        <v>0</v>
      </c>
      <c r="K124" s="12">
        <f>K50-K57</f>
        <v>0</v>
      </c>
      <c r="L124" s="12">
        <f>L50-L57</f>
        <v>0</v>
      </c>
      <c r="M124" s="12">
        <f>M50-M57</f>
        <v>0</v>
      </c>
      <c r="N124" s="12">
        <f>N50-N57</f>
        <v>6486.4285714285725</v>
      </c>
      <c r="O124" s="12">
        <f>O50-O57</f>
        <v>0</v>
      </c>
      <c r="P124" s="12">
        <f>P50-P57</f>
        <v>11588.303571428572</v>
      </c>
      <c r="Q124" s="12">
        <f>Q50-Q57</f>
        <v>10493.035714285714</v>
      </c>
      <c r="R124" s="12">
        <f>R50-R57</f>
        <v>9059.4642857142862</v>
      </c>
      <c r="S124" s="12">
        <f>S50-S57</f>
        <v>4196.2500000000018</v>
      </c>
      <c r="T124" s="12">
        <f>T50-T57</f>
        <v>0</v>
      </c>
      <c r="U124" s="12">
        <f>U50-U57</f>
        <v>0</v>
      </c>
    </row>
    <row r="125" spans="8:52" x14ac:dyDescent="0.25">
      <c r="H125" s="139" t="s">
        <v>327</v>
      </c>
      <c r="I125" s="5" t="s">
        <v>298</v>
      </c>
      <c r="J125" s="12">
        <f>SUM($J$7:$U$7)-FfriMinÅr</f>
        <v>2500</v>
      </c>
      <c r="K125" s="140"/>
      <c r="L125" s="140"/>
      <c r="M125" s="140"/>
      <c r="N125" s="140"/>
      <c r="O125" s="140"/>
      <c r="P125" s="140"/>
      <c r="Q125" s="140"/>
      <c r="R125" s="140"/>
      <c r="S125" s="140"/>
      <c r="T125" s="140"/>
      <c r="U125" s="140"/>
    </row>
    <row r="126" spans="8:52" x14ac:dyDescent="0.25">
      <c r="H126" s="139" t="s">
        <v>326</v>
      </c>
      <c r="I126" s="14" t="s">
        <v>298</v>
      </c>
      <c r="J126" s="123">
        <f>FfriMaxÅr-SUM($J$7:$U$7)</f>
        <v>2500</v>
      </c>
      <c r="K126" s="140"/>
      <c r="L126" s="140"/>
      <c r="M126" s="140"/>
      <c r="N126" s="140"/>
      <c r="O126" s="140"/>
      <c r="P126" s="140"/>
      <c r="Q126" s="140"/>
      <c r="R126" s="140"/>
      <c r="S126" s="140"/>
      <c r="T126" s="140"/>
      <c r="U126" s="140"/>
    </row>
    <row r="127" spans="8:52" x14ac:dyDescent="0.25">
      <c r="H127" s="139" t="s">
        <v>325</v>
      </c>
      <c r="I127" s="14" t="s">
        <v>41</v>
      </c>
      <c r="J127" s="123">
        <f>J14-J61</f>
        <v>0</v>
      </c>
      <c r="K127" s="123">
        <f>K14-K61</f>
        <v>0</v>
      </c>
      <c r="L127" s="123">
        <f>L14-L61</f>
        <v>0</v>
      </c>
      <c r="M127" s="123">
        <f>M14-M61</f>
        <v>0</v>
      </c>
      <c r="N127" s="123">
        <f>N14-N61</f>
        <v>0</v>
      </c>
      <c r="O127" s="123">
        <f>O14-O61</f>
        <v>0</v>
      </c>
      <c r="P127" s="123">
        <f>P14-P61</f>
        <v>0</v>
      </c>
      <c r="Q127" s="123">
        <f>Q14-Q61</f>
        <v>0</v>
      </c>
      <c r="R127" s="123">
        <f>R14-R61</f>
        <v>0</v>
      </c>
      <c r="S127" s="123">
        <f>S14-S61</f>
        <v>0</v>
      </c>
      <c r="T127" s="123">
        <f>T14-T61</f>
        <v>0</v>
      </c>
      <c r="U127" s="123">
        <f>U14-U61</f>
        <v>957</v>
      </c>
    </row>
    <row r="128" spans="8:52" x14ac:dyDescent="0.25">
      <c r="H128" s="139" t="s">
        <v>332</v>
      </c>
      <c r="I128" s="14" t="s">
        <v>41</v>
      </c>
      <c r="J128" s="123">
        <f>24*$E$11*KapQcool-J78</f>
        <v>6804.04347826087</v>
      </c>
      <c r="K128" s="123">
        <f>24*$E$11*KapQcool-K78</f>
        <v>10725.953162664888</v>
      </c>
      <c r="L128" s="123">
        <f>24*$E$11*KapQcool-L78</f>
        <v>11160</v>
      </c>
      <c r="M128" s="123">
        <f>24*$E$11*KapQcool-M78</f>
        <v>8985.2146581724955</v>
      </c>
      <c r="N128" s="123">
        <f>24*$E$11*KapQcool-N78</f>
        <v>3855.84</v>
      </c>
      <c r="O128" s="123">
        <f>24*$E$11*KapQcool-O78</f>
        <v>7373.7185246239442</v>
      </c>
      <c r="P128" s="123">
        <f>24*$E$11*KapQcool-P78</f>
        <v>3855.84</v>
      </c>
      <c r="Q128" s="123">
        <f>24*$E$11*KapQcool-Q78</f>
        <v>3855.84</v>
      </c>
      <c r="R128" s="123">
        <f>24*$E$11*KapQcool-R78</f>
        <v>4083.84</v>
      </c>
      <c r="S128" s="123">
        <f>24*$E$11*KapQcool-S78</f>
        <v>3855.84</v>
      </c>
      <c r="T128" s="123">
        <f>24*$E$11*KapQcool-T78</f>
        <v>4480.5192664331344</v>
      </c>
      <c r="U128" s="123">
        <f>24*$E$11*KapQcool-U78</f>
        <v>4092</v>
      </c>
    </row>
    <row r="129" spans="9:21" x14ac:dyDescent="0.25">
      <c r="I129" s="14"/>
      <c r="J129" s="123"/>
      <c r="K129" s="123"/>
      <c r="L129" s="123"/>
      <c r="M129" s="123"/>
      <c r="N129" s="123"/>
      <c r="O129" s="123"/>
      <c r="P129" s="123"/>
      <c r="Q129" s="123"/>
      <c r="R129" s="123"/>
      <c r="S129" s="123"/>
      <c r="T129" s="123"/>
      <c r="U129" s="123"/>
    </row>
    <row r="130" spans="9:21" x14ac:dyDescent="0.25">
      <c r="I130" s="14"/>
      <c r="J130" s="123"/>
      <c r="K130" s="123"/>
      <c r="L130" s="123"/>
      <c r="M130" s="123"/>
      <c r="N130" s="123"/>
      <c r="O130" s="123"/>
      <c r="P130" s="123"/>
      <c r="Q130" s="123"/>
      <c r="R130" s="123"/>
      <c r="S130" s="123"/>
      <c r="T130" s="123"/>
      <c r="U130" s="123"/>
    </row>
    <row r="131" spans="9:21" x14ac:dyDescent="0.25">
      <c r="I131" s="14"/>
      <c r="J131" s="123"/>
      <c r="K131" s="123"/>
      <c r="L131" s="123"/>
      <c r="M131" s="123"/>
      <c r="N131" s="123"/>
      <c r="O131" s="123"/>
      <c r="P131" s="123"/>
      <c r="Q131" s="123"/>
      <c r="R131" s="123"/>
      <c r="S131" s="123"/>
      <c r="T131" s="123"/>
      <c r="U131" s="123"/>
    </row>
    <row r="132" spans="9:21" x14ac:dyDescent="0.25">
      <c r="I132" s="14"/>
      <c r="J132" s="123"/>
      <c r="K132" s="123"/>
      <c r="L132" s="123"/>
      <c r="M132" s="123"/>
      <c r="N132" s="123"/>
      <c r="O132" s="123"/>
      <c r="P132" s="123"/>
      <c r="Q132" s="123"/>
      <c r="R132" s="123"/>
      <c r="S132" s="123"/>
      <c r="T132" s="123"/>
      <c r="U132" s="123"/>
    </row>
    <row r="133" spans="9:21" x14ac:dyDescent="0.25">
      <c r="I133" s="14"/>
      <c r="J133" s="123"/>
      <c r="K133" s="123"/>
      <c r="L133" s="123"/>
      <c r="M133" s="123"/>
      <c r="N133" s="123"/>
      <c r="O133" s="123"/>
      <c r="P133" s="123"/>
      <c r="Q133" s="123"/>
      <c r="R133" s="123"/>
      <c r="S133" s="123"/>
      <c r="T133" s="123"/>
      <c r="U133" s="123"/>
    </row>
    <row r="134" spans="9:21" x14ac:dyDescent="0.25">
      <c r="I134" s="14"/>
      <c r="J134" s="123"/>
      <c r="K134" s="123"/>
      <c r="L134" s="123"/>
      <c r="M134" s="123"/>
      <c r="N134" s="123"/>
      <c r="O134" s="123"/>
      <c r="P134" s="123"/>
      <c r="Q134" s="123"/>
      <c r="R134" s="123"/>
      <c r="S134" s="123"/>
      <c r="T134" s="123"/>
      <c r="U134" s="123"/>
    </row>
    <row r="135" spans="9:21" x14ac:dyDescent="0.25">
      <c r="I135" s="14"/>
      <c r="J135" s="123"/>
      <c r="K135" s="123"/>
      <c r="L135" s="123"/>
      <c r="M135" s="123"/>
      <c r="N135" s="123"/>
      <c r="O135" s="123"/>
      <c r="P135" s="123"/>
      <c r="Q135" s="123"/>
      <c r="R135" s="123"/>
      <c r="S135" s="123"/>
      <c r="T135" s="123"/>
      <c r="U135" s="123"/>
    </row>
  </sheetData>
  <scenarios current="9" show="9" sqref="Q5:Q36">
    <scenario name="RGK 10 %" locked="1" count="1" user="Mogens Bech Laursen" comment="Created by Mogens Bech Laursen on 16-03-2022">
      <inputCells r="J13" val="0,1" numFmtId="9"/>
    </scenario>
    <scenario name="RGK 20 %" locked="1" count="1" user="Mogens Bech Laursen" comment="Created by Mogens Bech Laursen on 16-03-2022">
      <inputCells r="J13" val="0,2" numFmtId="9"/>
    </scenario>
    <scenario name="RGK 30 %" locked="1" count="1" user="Mogens Bech Laursen" comment="Created by Mogens Bech Laursen on 16-03-2022">
      <inputCells r="J13" val="0,3" numFmtId="9"/>
    </scenario>
    <scenario name="RGK 40 %" locked="1" count="1" user="Mogens Bech Laursen" comment="Created by Mogens Bech Laursen on 16-03-2022">
      <inputCells r="J13" val="0,4" numFmtId="9"/>
    </scenario>
    <scenario name="RGK 50 %" locked="1" count="1" user="Mogens Bech Laursen" comment="Created by Mogens Bech Laursen on 16-03-2022">
      <inputCells r="J13" val="0,5" numFmtId="9"/>
    </scenario>
    <scenario name="RGK 60 %" locked="1" count="1" user="Mogens Bech Laursen" comment="Created by Mogens Bech Laursen on 16-03-2022">
      <inputCells r="J13" val="0,6" numFmtId="9"/>
    </scenario>
    <scenario name="RGK 70 %" locked="1" count="1" user="Mogens Bech Laursen" comment="Created by Mogens Bech Laursen on 16-03-2022">
      <inputCells r="J13" val="0,7" numFmtId="9"/>
    </scenario>
    <scenario name="RGK 80 %" locked="1" count="1" user="Mogens Bech Laursen" comment="Created by Mogens Bech Laursen on 16-03-2022">
      <inputCells r="J13" val="0,8" numFmtId="9"/>
    </scenario>
    <scenario name="RGK 90 %" locked="1" count="1" user="Mogens Bech Laursen" comment="Created by Mogens Bech Laursen on 16-03-2022">
      <inputCells r="J13" val="0,9" numFmtId="9"/>
    </scenario>
    <scenario name="RGK 100 %" locked="1" count="1" user="Mogens Bech Laursen" comment="Created by Mogens Bech Laursen on 16-03-2022">
      <inputCells r="J13" val="1" numFmtId="9"/>
    </scenario>
  </scenarios>
  <customSheetViews>
    <customSheetView guid="{D61959C2-356A-4414-A70C-587540F5DA06}" scale="85">
      <selection activeCell="J67" sqref="J67"/>
      <pageMargins left="0.7" right="0.7" top="0.75" bottom="0.75" header="0.3" footer="0.3"/>
      <pageSetup paperSize="9" orientation="portrait" r:id="rId1"/>
    </customSheetView>
    <customSheetView guid="{01B8EE19-BF49-4F3C-9D6B-CD607AE52779}" scale="85">
      <selection activeCell="J67" sqref="J67"/>
      <pageMargins left="0.7" right="0.7" top="0.75" bottom="0.75" header="0.3" footer="0.3"/>
      <pageSetup paperSize="9" orientation="portrait" r:id="rId2"/>
    </customSheetView>
  </customSheetViews>
  <mergeCells count="3">
    <mergeCell ref="H1:M1"/>
    <mergeCell ref="W1:AM1"/>
    <mergeCell ref="AC48:AG48"/>
  </mergeCells>
  <phoneticPr fontId="14" type="noConversion"/>
  <conditionalFormatting sqref="L101 K102:U117 K65:U100 J65:J117 J56:U64">
    <cfRule type="cellIs" dxfId="2" priority="3" operator="lessThan">
      <formula>0</formula>
    </cfRule>
  </conditionalFormatting>
  <conditionalFormatting sqref="J11:U12">
    <cfRule type="expression" dxfId="1" priority="2">
      <formula>OR(J11&lt;0,J11&gt;J$29)</formula>
    </cfRule>
  </conditionalFormatting>
  <conditionalFormatting sqref="J13:U13">
    <cfRule type="expression" dxfId="0" priority="1">
      <formula>OR(J13&lt;0,J13&gt;1)</formula>
    </cfRule>
  </conditionalFormatting>
  <pageMargins left="0.7" right="0.7" top="0.75" bottom="0.75" header="0.3" footer="0.3"/>
  <pageSetup paperSize="9" orientation="portrait" r:id="rId3"/>
  <ignoredErrors>
    <ignoredError sqref="J34:J35 K34:U35" formulaRange="1"/>
  </ignoredErrors>
  <drawing r:id="rId4"/>
  <legacy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15981-8FA1-4768-995A-36FC6A3C9262}">
  <sheetPr codeName="Sheet3">
    <outlinePr summaryBelow="0"/>
  </sheetPr>
  <dimension ref="A1:N42"/>
  <sheetViews>
    <sheetView showGridLines="0" zoomScale="85" zoomScaleNormal="85" workbookViewId="0">
      <selection activeCell="Q31" sqref="Q31"/>
    </sheetView>
  </sheetViews>
  <sheetFormatPr defaultRowHeight="15" outlineLevelRow="1" outlineLevelCol="1" x14ac:dyDescent="0.25"/>
  <cols>
    <col min="1" max="1" width="31.28515625" bestFit="1" customWidth="1"/>
    <col min="2" max="2" width="4.5703125" customWidth="1"/>
    <col min="3" max="3" width="8.5703125" customWidth="1"/>
    <col min="4" max="14" width="13.140625" bestFit="1" customWidth="1" outlineLevel="1"/>
    <col min="15" max="15" width="18.42578125" customWidth="1"/>
  </cols>
  <sheetData>
    <row r="1" spans="1:14" ht="15.75" thickBot="1" x14ac:dyDescent="0.3"/>
    <row r="2" spans="1:14" ht="15.75" x14ac:dyDescent="0.25">
      <c r="B2" s="27" t="s">
        <v>195</v>
      </c>
      <c r="C2" s="27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</row>
    <row r="3" spans="1:14" ht="15.75" collapsed="1" x14ac:dyDescent="0.25">
      <c r="B3" s="26"/>
      <c r="C3" s="26"/>
      <c r="D3" s="33" t="s">
        <v>197</v>
      </c>
      <c r="E3" s="33" t="s">
        <v>184</v>
      </c>
      <c r="F3" s="33" t="s">
        <v>186</v>
      </c>
      <c r="G3" s="33" t="s">
        <v>187</v>
      </c>
      <c r="H3" s="33" t="s">
        <v>188</v>
      </c>
      <c r="I3" s="33" t="s">
        <v>189</v>
      </c>
      <c r="J3" s="33" t="s">
        <v>190</v>
      </c>
      <c r="K3" s="33" t="s">
        <v>191</v>
      </c>
      <c r="L3" s="33" t="s">
        <v>192</v>
      </c>
      <c r="M3" s="33" t="s">
        <v>193</v>
      </c>
      <c r="N3" s="33" t="s">
        <v>194</v>
      </c>
    </row>
    <row r="4" spans="1:14" ht="45" hidden="1" outlineLevel="1" x14ac:dyDescent="0.25">
      <c r="B4" s="29"/>
      <c r="C4" s="29"/>
      <c r="D4" s="21"/>
      <c r="E4" s="35" t="s">
        <v>185</v>
      </c>
      <c r="F4" s="35" t="s">
        <v>185</v>
      </c>
      <c r="G4" s="35" t="s">
        <v>185</v>
      </c>
      <c r="H4" s="35" t="s">
        <v>185</v>
      </c>
      <c r="I4" s="35" t="s">
        <v>185</v>
      </c>
      <c r="J4" s="35" t="s">
        <v>185</v>
      </c>
      <c r="K4" s="35" t="s">
        <v>185</v>
      </c>
      <c r="L4" s="35" t="s">
        <v>185</v>
      </c>
      <c r="M4" s="35" t="s">
        <v>185</v>
      </c>
      <c r="N4" s="35" t="s">
        <v>185</v>
      </c>
    </row>
    <row r="5" spans="1:14" x14ac:dyDescent="0.25">
      <c r="B5" s="30" t="s">
        <v>196</v>
      </c>
      <c r="C5" s="30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</row>
    <row r="6" spans="1:14" outlineLevel="1" x14ac:dyDescent="0.25">
      <c r="B6" s="29"/>
      <c r="C6" s="29" t="s">
        <v>151</v>
      </c>
      <c r="D6" s="22">
        <v>1</v>
      </c>
      <c r="E6" s="34">
        <v>0.1</v>
      </c>
      <c r="F6" s="34">
        <v>0.2</v>
      </c>
      <c r="G6" s="34">
        <v>0.3</v>
      </c>
      <c r="H6" s="34">
        <v>0.4</v>
      </c>
      <c r="I6" s="34">
        <v>0.5</v>
      </c>
      <c r="J6" s="34">
        <v>0.6</v>
      </c>
      <c r="K6" s="34">
        <v>0.7</v>
      </c>
      <c r="L6" s="34">
        <v>0.8</v>
      </c>
      <c r="M6" s="34">
        <v>0.9</v>
      </c>
      <c r="N6" s="34">
        <v>1</v>
      </c>
    </row>
    <row r="7" spans="1:14" x14ac:dyDescent="0.25">
      <c r="B7" s="30" t="s">
        <v>198</v>
      </c>
      <c r="C7" s="30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</row>
    <row r="8" spans="1:14" outlineLevel="1" x14ac:dyDescent="0.25">
      <c r="A8" s="5" t="str">
        <f>'Model-1'!N49</f>
        <v>Indtægter total</v>
      </c>
      <c r="B8" s="29"/>
      <c r="C8" s="29" t="s">
        <v>152</v>
      </c>
      <c r="D8" s="23">
        <v>6959978.0260043005</v>
      </c>
      <c r="E8" s="23">
        <v>7549301.93019199</v>
      </c>
      <c r="F8" s="23">
        <v>7471613.2799224304</v>
      </c>
      <c r="G8" s="23">
        <v>7397463.2431226997</v>
      </c>
      <c r="H8" s="23">
        <v>7326615.4346824698</v>
      </c>
      <c r="I8" s="23">
        <v>7258854.0654218197</v>
      </c>
      <c r="J8" s="23">
        <v>7193981.7467885604</v>
      </c>
      <c r="K8" s="23">
        <v>7131817.5704891402</v>
      </c>
      <c r="L8" s="23">
        <v>7072195.4237038204</v>
      </c>
      <c r="M8" s="23">
        <v>7014962.5068443203</v>
      </c>
      <c r="N8" s="23">
        <v>6959978.0260043005</v>
      </c>
    </row>
    <row r="9" spans="1:14" outlineLevel="1" x14ac:dyDescent="0.25">
      <c r="A9" s="5" t="str">
        <f>'Model-1'!N50</f>
        <v>Omkostninger total</v>
      </c>
      <c r="B9" s="29"/>
      <c r="C9" s="29" t="s">
        <v>153</v>
      </c>
      <c r="D9" s="23">
        <v>4024359.2875764999</v>
      </c>
      <c r="E9" s="23">
        <v>4123321.3703158302</v>
      </c>
      <c r="F9" s="23">
        <v>4110275.5213671499</v>
      </c>
      <c r="G9" s="23">
        <v>4097823.8932815501</v>
      </c>
      <c r="H9" s="23">
        <v>4085926.79114307</v>
      </c>
      <c r="I9" s="23">
        <v>4074547.97860272</v>
      </c>
      <c r="J9" s="23">
        <v>4063654.3092326801</v>
      </c>
      <c r="K9" s="23">
        <v>4053215.4040488801</v>
      </c>
      <c r="L9" s="23">
        <v>4043203.3685937799</v>
      </c>
      <c r="M9" s="23">
        <v>4033592.5440312298</v>
      </c>
      <c r="N9" s="23">
        <v>4024359.2875764999</v>
      </c>
    </row>
    <row r="10" spans="1:14" outlineLevel="1" x14ac:dyDescent="0.25">
      <c r="A10" s="5" t="str">
        <f>'Model-1'!N51</f>
        <v>Dækningsbidrag</v>
      </c>
      <c r="B10" s="29"/>
      <c r="C10" s="29" t="s">
        <v>154</v>
      </c>
      <c r="D10" s="23">
        <v>2935618.7384278099</v>
      </c>
      <c r="E10" s="23">
        <v>3425980.5598761602</v>
      </c>
      <c r="F10" s="23">
        <v>3361337.75855528</v>
      </c>
      <c r="G10" s="23">
        <v>3299639.34984115</v>
      </c>
      <c r="H10" s="23">
        <v>3240688.6435393998</v>
      </c>
      <c r="I10" s="23">
        <v>3184306.0868191002</v>
      </c>
      <c r="J10" s="23">
        <v>3130327.4375558798</v>
      </c>
      <c r="K10" s="23">
        <v>3078602.1664402601</v>
      </c>
      <c r="L10" s="23">
        <v>3028992.0551100401</v>
      </c>
      <c r="M10" s="23">
        <v>2981369.9628130901</v>
      </c>
      <c r="N10" s="23">
        <v>2935618.7384278099</v>
      </c>
    </row>
    <row r="11" spans="1:14" outlineLevel="1" x14ac:dyDescent="0.25">
      <c r="A11" s="5">
        <f>'Model-1'!N52</f>
        <v>0</v>
      </c>
      <c r="B11" s="29"/>
      <c r="C11" s="29" t="s">
        <v>155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</row>
    <row r="12" spans="1:14" outlineLevel="1" x14ac:dyDescent="0.25">
      <c r="A12" s="5" t="str">
        <f>'Model-1'!N53</f>
        <v>Varmesalg</v>
      </c>
      <c r="B12" s="29"/>
      <c r="C12" s="29" t="s">
        <v>156</v>
      </c>
      <c r="D12" s="23">
        <v>2177000</v>
      </c>
      <c r="E12" s="23">
        <v>2177000</v>
      </c>
      <c r="F12" s="23">
        <v>2177000</v>
      </c>
      <c r="G12" s="23">
        <v>2177000</v>
      </c>
      <c r="H12" s="23">
        <v>2177000</v>
      </c>
      <c r="I12" s="23">
        <v>2177000</v>
      </c>
      <c r="J12" s="23">
        <v>2177000</v>
      </c>
      <c r="K12" s="23">
        <v>2177000</v>
      </c>
      <c r="L12" s="23">
        <v>2177000</v>
      </c>
      <c r="M12" s="23">
        <v>2177000</v>
      </c>
      <c r="N12" s="23">
        <v>2177000</v>
      </c>
    </row>
    <row r="13" spans="1:14" outlineLevel="1" x14ac:dyDescent="0.25">
      <c r="A13" s="5" t="str">
        <f>'Model-1'!N54</f>
        <v>Elsalg</v>
      </c>
      <c r="B13" s="29"/>
      <c r="C13" s="29" t="s">
        <v>157</v>
      </c>
      <c r="D13" s="23">
        <v>3572432.8323170701</v>
      </c>
      <c r="E13" s="23">
        <v>3901791.4996825601</v>
      </c>
      <c r="F13" s="23">
        <v>3858373.21961554</v>
      </c>
      <c r="G13" s="23">
        <v>3816932.5837751902</v>
      </c>
      <c r="H13" s="23">
        <v>3777337.4823244801</v>
      </c>
      <c r="I13" s="23">
        <v>3739467.3159864801</v>
      </c>
      <c r="J13" s="23">
        <v>3703211.7691435101</v>
      </c>
      <c r="K13" s="23">
        <v>3668469.7365899901</v>
      </c>
      <c r="L13" s="23">
        <v>3635148.38194759</v>
      </c>
      <c r="M13" s="23">
        <v>3603162.3092762898</v>
      </c>
      <c r="N13" s="23">
        <v>3572432.8323170701</v>
      </c>
    </row>
    <row r="14" spans="1:14" outlineLevel="1" x14ac:dyDescent="0.25">
      <c r="A14" s="5" t="str">
        <f>'Model-1'!N55</f>
        <v>RGK-rabat</v>
      </c>
      <c r="B14" s="29"/>
      <c r="C14" s="29" t="s">
        <v>158</v>
      </c>
      <c r="D14" s="23">
        <v>0</v>
      </c>
      <c r="E14" s="23">
        <v>0</v>
      </c>
      <c r="F14" s="23">
        <v>0</v>
      </c>
      <c r="G14" s="23">
        <v>0</v>
      </c>
      <c r="H14" s="23">
        <v>0</v>
      </c>
      <c r="I14" s="23">
        <v>0</v>
      </c>
      <c r="J14" s="23">
        <v>0</v>
      </c>
      <c r="K14" s="23">
        <v>0</v>
      </c>
      <c r="L14" s="23">
        <v>0</v>
      </c>
      <c r="M14" s="23">
        <v>0</v>
      </c>
      <c r="N14" s="23">
        <v>0</v>
      </c>
    </row>
    <row r="15" spans="1:14" outlineLevel="1" x14ac:dyDescent="0.25">
      <c r="A15" s="5" t="str">
        <f>'Model-1'!N56</f>
        <v>Modtagebetaling affald</v>
      </c>
      <c r="B15" s="29"/>
      <c r="C15" s="29" t="s">
        <v>159</v>
      </c>
      <c r="D15" s="23">
        <v>1210545.1936872301</v>
      </c>
      <c r="E15" s="23">
        <v>1470510.4305094299</v>
      </c>
      <c r="F15" s="23">
        <v>1436240.0603068799</v>
      </c>
      <c r="G15" s="23">
        <v>1403530.65934751</v>
      </c>
      <c r="H15" s="23">
        <v>1372277.95235799</v>
      </c>
      <c r="I15" s="23">
        <v>1342386.7494353401</v>
      </c>
      <c r="J15" s="23">
        <v>1313769.97764506</v>
      </c>
      <c r="K15" s="23">
        <v>1286347.8338991499</v>
      </c>
      <c r="L15" s="23">
        <v>1260047.0417562299</v>
      </c>
      <c r="M15" s="23">
        <v>1234800.1975680301</v>
      </c>
      <c r="N15" s="23">
        <v>1210545.1936872301</v>
      </c>
    </row>
    <row r="16" spans="1:14" outlineLevel="1" x14ac:dyDescent="0.25">
      <c r="A16" s="5">
        <f>'Model-1'!N57</f>
        <v>0</v>
      </c>
      <c r="B16" s="29"/>
      <c r="C16" s="29" t="s">
        <v>160</v>
      </c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</row>
    <row r="17" spans="1:14" outlineLevel="1" x14ac:dyDescent="0.25">
      <c r="A17" s="5" t="str">
        <f>'Model-1'!N58</f>
        <v>Betaling bioaffald</v>
      </c>
      <c r="B17" s="29"/>
      <c r="C17" s="29" t="s">
        <v>161</v>
      </c>
      <c r="D17" s="23">
        <v>0</v>
      </c>
      <c r="E17" s="23">
        <v>0</v>
      </c>
      <c r="F17" s="23">
        <v>0</v>
      </c>
      <c r="G17" s="23">
        <v>0</v>
      </c>
      <c r="H17" s="23">
        <v>0</v>
      </c>
      <c r="I17" s="23">
        <v>0</v>
      </c>
      <c r="J17" s="23">
        <v>0</v>
      </c>
      <c r="K17" s="23">
        <v>0</v>
      </c>
      <c r="L17" s="23">
        <v>0</v>
      </c>
      <c r="M17" s="23">
        <v>0</v>
      </c>
      <c r="N17" s="23">
        <v>0</v>
      </c>
    </row>
    <row r="18" spans="1:14" outlineLevel="1" x14ac:dyDescent="0.25">
      <c r="A18" s="5" t="str">
        <f>'Model-1'!N59</f>
        <v>DV-omkostninger</v>
      </c>
      <c r="B18" s="29"/>
      <c r="C18" s="29" t="s">
        <v>162</v>
      </c>
      <c r="D18" s="23">
        <v>1006435.87933248</v>
      </c>
      <c r="E18" s="23">
        <v>993050.77926815301</v>
      </c>
      <c r="F18" s="23">
        <v>994815.29340092698</v>
      </c>
      <c r="G18" s="23">
        <v>996499.43628955702</v>
      </c>
      <c r="H18" s="23">
        <v>998108.57686330995</v>
      </c>
      <c r="I18" s="23">
        <v>999647.61626355199</v>
      </c>
      <c r="J18" s="23">
        <v>1001121.03770487</v>
      </c>
      <c r="K18" s="23">
        <v>1002532.95009171</v>
      </c>
      <c r="L18" s="23">
        <v>1003887.12628429</v>
      </c>
      <c r="M18" s="23">
        <v>1005187.03676424</v>
      </c>
      <c r="N18" s="23">
        <v>1006435.87933248</v>
      </c>
    </row>
    <row r="19" spans="1:14" outlineLevel="1" x14ac:dyDescent="0.25">
      <c r="A19" s="5" t="str">
        <f>'Model-1'!N60</f>
        <v>Affaldvarme-afgift</v>
      </c>
      <c r="B19" s="29"/>
      <c r="C19" s="29" t="s">
        <v>163</v>
      </c>
      <c r="D19" s="23">
        <v>650160</v>
      </c>
      <c r="E19" s="23">
        <v>650160</v>
      </c>
      <c r="F19" s="23">
        <v>650160</v>
      </c>
      <c r="G19" s="23">
        <v>650160</v>
      </c>
      <c r="H19" s="23">
        <v>650160</v>
      </c>
      <c r="I19" s="23">
        <v>650160</v>
      </c>
      <c r="J19" s="23">
        <v>650160</v>
      </c>
      <c r="K19" s="23">
        <v>650160</v>
      </c>
      <c r="L19" s="23">
        <v>650160</v>
      </c>
      <c r="M19" s="23">
        <v>650160</v>
      </c>
      <c r="N19" s="23">
        <v>650160</v>
      </c>
    </row>
    <row r="20" spans="1:14" outlineLevel="1" x14ac:dyDescent="0.25">
      <c r="A20" s="5" t="str">
        <f>'Model-1'!N61</f>
        <v>Tillægsafgift</v>
      </c>
      <c r="B20" s="29"/>
      <c r="C20" s="29" t="s">
        <v>164</v>
      </c>
      <c r="D20" s="23">
        <v>1509008.76178354</v>
      </c>
      <c r="E20" s="23">
        <v>1505061.42298119</v>
      </c>
      <c r="F20" s="23">
        <v>1505581.7877950601</v>
      </c>
      <c r="G20" s="23">
        <v>1506078.45069194</v>
      </c>
      <c r="H20" s="23">
        <v>1506552.9949982699</v>
      </c>
      <c r="I20" s="23">
        <v>1507006.8660873</v>
      </c>
      <c r="J20" s="23">
        <v>1507441.3860833801</v>
      </c>
      <c r="K20" s="23">
        <v>1507857.76672479</v>
      </c>
      <c r="L20" s="23">
        <v>1508257.1206485201</v>
      </c>
      <c r="M20" s="23">
        <v>1508640.4713184701</v>
      </c>
      <c r="N20" s="23">
        <v>1509008.76178354</v>
      </c>
    </row>
    <row r="21" spans="1:14" outlineLevel="1" x14ac:dyDescent="0.25">
      <c r="A21" s="5" t="str">
        <f>'Model-1'!N62</f>
        <v>CO2-afgift</v>
      </c>
      <c r="B21" s="29"/>
      <c r="C21" s="29" t="s">
        <v>165</v>
      </c>
      <c r="D21" s="23">
        <v>313404.03670438298</v>
      </c>
      <c r="E21" s="23">
        <v>312584.21912199003</v>
      </c>
      <c r="F21" s="23">
        <v>312692.293002908</v>
      </c>
      <c r="G21" s="23">
        <v>312795.44426399103</v>
      </c>
      <c r="H21" s="23">
        <v>312894.00174421701</v>
      </c>
      <c r="I21" s="23">
        <v>312988.26563124399</v>
      </c>
      <c r="J21" s="23">
        <v>313078.51051533601</v>
      </c>
      <c r="K21" s="23">
        <v>313164.98806081299</v>
      </c>
      <c r="L21" s="23">
        <v>313247.92934978398</v>
      </c>
      <c r="M21" s="23">
        <v>313327.54694411502</v>
      </c>
      <c r="N21" s="23">
        <v>313404.03670438298</v>
      </c>
    </row>
    <row r="22" spans="1:14" outlineLevel="1" x14ac:dyDescent="0.25">
      <c r="A22" s="5" t="str">
        <f>'Model-1'!N63</f>
        <v>Kvote-omkostning</v>
      </c>
      <c r="B22" s="29"/>
      <c r="C22" s="29" t="s">
        <v>166</v>
      </c>
      <c r="D22" s="23">
        <v>545350.60975609801</v>
      </c>
      <c r="E22" s="23">
        <v>662464.94894449995</v>
      </c>
      <c r="F22" s="23">
        <v>647026.14716825099</v>
      </c>
      <c r="G22" s="23">
        <v>632290.56203605502</v>
      </c>
      <c r="H22" s="23">
        <v>618211.21753727703</v>
      </c>
      <c r="I22" s="23">
        <v>604745.23062062298</v>
      </c>
      <c r="J22" s="23">
        <v>591853.37492909795</v>
      </c>
      <c r="K22" s="23">
        <v>579499.69917156501</v>
      </c>
      <c r="L22" s="23">
        <v>567651.19231118006</v>
      </c>
      <c r="M22" s="23">
        <v>556277.489004398</v>
      </c>
      <c r="N22" s="23">
        <v>545350.60975609801</v>
      </c>
    </row>
    <row r="23" spans="1:14" outlineLevel="1" x14ac:dyDescent="0.25">
      <c r="A23" s="5">
        <f>'Model-1'!N64</f>
        <v>0</v>
      </c>
      <c r="B23" s="29"/>
      <c r="C23" s="29" t="s">
        <v>167</v>
      </c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</row>
    <row r="24" spans="1:14" outlineLevel="1" x14ac:dyDescent="0.25">
      <c r="A24" s="5" t="str">
        <f>'Model-1'!N65</f>
        <v>Varmemængder:</v>
      </c>
      <c r="B24" s="29"/>
      <c r="C24" s="29" t="s">
        <v>168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</row>
    <row r="25" spans="1:14" outlineLevel="1" x14ac:dyDescent="0.25">
      <c r="A25" s="5" t="str">
        <f>'Model-1'!N66</f>
        <v>Varmeproduktion Ovn2</v>
      </c>
      <c r="B25" s="29"/>
      <c r="C25" s="29" t="s">
        <v>169</v>
      </c>
      <c r="D25" s="24">
        <v>1420</v>
      </c>
      <c r="E25" s="24">
        <v>1420</v>
      </c>
      <c r="F25" s="24">
        <v>1420</v>
      </c>
      <c r="G25" s="24">
        <v>1420</v>
      </c>
      <c r="H25" s="24">
        <v>1420</v>
      </c>
      <c r="I25" s="24">
        <v>1420</v>
      </c>
      <c r="J25" s="24">
        <v>1420</v>
      </c>
      <c r="K25" s="24">
        <v>1420</v>
      </c>
      <c r="L25" s="24">
        <v>1420</v>
      </c>
      <c r="M25" s="24">
        <v>1420</v>
      </c>
      <c r="N25" s="24">
        <v>1420</v>
      </c>
    </row>
    <row r="26" spans="1:14" outlineLevel="1" x14ac:dyDescent="0.25">
      <c r="A26" s="5" t="str">
        <f>'Model-1'!N67</f>
        <v>Varmeproduktion Ovn3</v>
      </c>
      <c r="B26" s="29"/>
      <c r="C26" s="29" t="s">
        <v>170</v>
      </c>
      <c r="D26" s="24">
        <v>16740</v>
      </c>
      <c r="E26" s="24">
        <v>16740</v>
      </c>
      <c r="F26" s="24">
        <v>16740</v>
      </c>
      <c r="G26" s="24">
        <v>16740</v>
      </c>
      <c r="H26" s="24">
        <v>16740</v>
      </c>
      <c r="I26" s="24">
        <v>16740</v>
      </c>
      <c r="J26" s="24">
        <v>16740</v>
      </c>
      <c r="K26" s="24">
        <v>16740</v>
      </c>
      <c r="L26" s="24">
        <v>16740</v>
      </c>
      <c r="M26" s="24">
        <v>16740</v>
      </c>
      <c r="N26" s="24">
        <v>16740</v>
      </c>
    </row>
    <row r="27" spans="1:14" outlineLevel="1" x14ac:dyDescent="0.25">
      <c r="A27" s="5" t="str">
        <f>'Model-1'!N68</f>
        <v>Heraf RGK-varme</v>
      </c>
      <c r="B27" s="29"/>
      <c r="C27" s="29" t="s">
        <v>171</v>
      </c>
      <c r="D27" s="24">
        <v>1523.58793324775</v>
      </c>
      <c r="E27" s="24">
        <v>185.07792681534499</v>
      </c>
      <c r="F27" s="24">
        <v>361.52934009268699</v>
      </c>
      <c r="G27" s="24">
        <v>529.94362895574</v>
      </c>
      <c r="H27" s="24">
        <v>690.85768633096495</v>
      </c>
      <c r="I27" s="24">
        <v>844.76162635518995</v>
      </c>
      <c r="J27" s="24">
        <v>992.10377048690896</v>
      </c>
      <c r="K27" s="24">
        <v>1133.2950091709999</v>
      </c>
      <c r="L27" s="24">
        <v>1268.7126284293599</v>
      </c>
      <c r="M27" s="24">
        <v>1398.70367642417</v>
      </c>
      <c r="N27" s="24">
        <v>1523.58793324775</v>
      </c>
    </row>
    <row r="28" spans="1:14" outlineLevel="1" x14ac:dyDescent="0.25">
      <c r="A28" s="5" t="str">
        <f>'Model-1'!N69</f>
        <v>Bortkølet varme</v>
      </c>
      <c r="B28" s="29"/>
      <c r="C28" s="29" t="s">
        <v>172</v>
      </c>
      <c r="D28" s="24">
        <v>11160</v>
      </c>
      <c r="E28" s="24">
        <v>11160</v>
      </c>
      <c r="F28" s="24">
        <v>11160</v>
      </c>
      <c r="G28" s="24">
        <v>11160</v>
      </c>
      <c r="H28" s="24">
        <v>11160</v>
      </c>
      <c r="I28" s="24">
        <v>11160</v>
      </c>
      <c r="J28" s="24">
        <v>11160</v>
      </c>
      <c r="K28" s="24">
        <v>11160</v>
      </c>
      <c r="L28" s="24">
        <v>11160</v>
      </c>
      <c r="M28" s="24">
        <v>11160</v>
      </c>
      <c r="N28" s="24">
        <v>11160</v>
      </c>
    </row>
    <row r="29" spans="1:14" outlineLevel="1" x14ac:dyDescent="0.25">
      <c r="A29" s="5" t="str">
        <f>'Model-1'!N70</f>
        <v>Leveret affaldsvarme</v>
      </c>
      <c r="B29" s="29"/>
      <c r="C29" s="29" t="s">
        <v>173</v>
      </c>
      <c r="D29" s="24">
        <v>7000</v>
      </c>
      <c r="E29" s="24">
        <v>7000</v>
      </c>
      <c r="F29" s="24">
        <v>7000</v>
      </c>
      <c r="G29" s="24">
        <v>7000</v>
      </c>
      <c r="H29" s="24">
        <v>7000</v>
      </c>
      <c r="I29" s="24">
        <v>7000</v>
      </c>
      <c r="J29" s="24">
        <v>7000</v>
      </c>
      <c r="K29" s="24">
        <v>7000</v>
      </c>
      <c r="L29" s="24">
        <v>7000</v>
      </c>
      <c r="M29" s="24">
        <v>7000</v>
      </c>
      <c r="N29" s="24">
        <v>7000</v>
      </c>
    </row>
    <row r="30" spans="1:14" outlineLevel="1" x14ac:dyDescent="0.25">
      <c r="A30" s="5" t="str">
        <f>'Model-1'!N71</f>
        <v>Spidslastvarme</v>
      </c>
      <c r="B30" s="29"/>
      <c r="C30" s="29" t="s">
        <v>174</v>
      </c>
      <c r="D30" s="24">
        <v>0</v>
      </c>
      <c r="E30" s="24">
        <v>0</v>
      </c>
      <c r="F30" s="24">
        <v>0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4">
        <v>0</v>
      </c>
      <c r="M30" s="24">
        <v>0</v>
      </c>
      <c r="N30" s="24">
        <v>0</v>
      </c>
    </row>
    <row r="31" spans="1:14" outlineLevel="1" x14ac:dyDescent="0.25">
      <c r="A31" s="5">
        <f>'Model-1'!N72</f>
        <v>0</v>
      </c>
      <c r="B31" s="29"/>
      <c r="C31" s="29" t="s">
        <v>175</v>
      </c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</row>
    <row r="32" spans="1:14" outlineLevel="1" x14ac:dyDescent="0.25">
      <c r="A32" s="5" t="str">
        <f>'Model-1'!N73</f>
        <v>Brændselsmængder:</v>
      </c>
      <c r="B32" s="29"/>
      <c r="C32" s="29" t="s">
        <v>176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</row>
    <row r="33" spans="1:14" outlineLevel="1" x14ac:dyDescent="0.25">
      <c r="A33" s="5" t="str">
        <f>'Model-1'!N74</f>
        <v>Affaldsforbrug Ovn3</v>
      </c>
      <c r="B33" s="29"/>
      <c r="C33" s="29" t="s">
        <v>177</v>
      </c>
      <c r="D33" s="24">
        <v>3026.3629842180799</v>
      </c>
      <c r="E33" s="24">
        <v>3676.2760762735902</v>
      </c>
      <c r="F33" s="24">
        <v>3590.6001507672099</v>
      </c>
      <c r="G33" s="24">
        <v>3508.8266483687898</v>
      </c>
      <c r="H33" s="24">
        <v>3430.6948808949901</v>
      </c>
      <c r="I33" s="24">
        <v>3355.9668735883602</v>
      </c>
      <c r="J33" s="24">
        <v>3284.4249441126399</v>
      </c>
      <c r="K33" s="24">
        <v>3215.8695847478598</v>
      </c>
      <c r="L33" s="24">
        <v>3150.1176043905598</v>
      </c>
      <c r="M33" s="24">
        <v>3087.0004939200799</v>
      </c>
      <c r="N33" s="24">
        <v>3026.3629842180799</v>
      </c>
    </row>
    <row r="34" spans="1:14" outlineLevel="1" x14ac:dyDescent="0.25">
      <c r="A34" s="5" t="str">
        <f>'Model-1'!N75</f>
        <v>Nordic Sugar varme</v>
      </c>
      <c r="B34" s="29"/>
      <c r="C34" s="29" t="s">
        <v>178</v>
      </c>
      <c r="D34" s="24">
        <v>0</v>
      </c>
      <c r="E34" s="24">
        <v>0</v>
      </c>
      <c r="F34" s="24">
        <v>0</v>
      </c>
      <c r="G34" s="24">
        <v>0</v>
      </c>
      <c r="H34" s="24">
        <v>0</v>
      </c>
      <c r="I34" s="24">
        <v>0</v>
      </c>
      <c r="J34" s="24">
        <v>0</v>
      </c>
      <c r="K34" s="24">
        <v>0</v>
      </c>
      <c r="L34" s="24">
        <v>0</v>
      </c>
      <c r="M34" s="24">
        <v>0</v>
      </c>
      <c r="N34" s="24">
        <v>0</v>
      </c>
    </row>
    <row r="35" spans="1:14" outlineLevel="1" x14ac:dyDescent="0.25">
      <c r="A35" s="5" t="str">
        <f>'Model-1'!N76</f>
        <v>Affaldsforbrug Ovn2</v>
      </c>
      <c r="B35" s="29"/>
      <c r="C35" s="29" t="s">
        <v>179</v>
      </c>
      <c r="D35" s="24">
        <v>0</v>
      </c>
      <c r="E35" s="24">
        <v>0</v>
      </c>
      <c r="F35" s="24">
        <v>0</v>
      </c>
      <c r="G35" s="24">
        <v>0</v>
      </c>
      <c r="H35" s="24">
        <v>0</v>
      </c>
      <c r="I35" s="24">
        <v>0</v>
      </c>
      <c r="J35" s="24">
        <v>0</v>
      </c>
      <c r="K35" s="24">
        <v>0</v>
      </c>
      <c r="L35" s="24">
        <v>0</v>
      </c>
      <c r="M35" s="24">
        <v>0</v>
      </c>
      <c r="N35" s="24">
        <v>0</v>
      </c>
    </row>
    <row r="36" spans="1:14" outlineLevel="1" x14ac:dyDescent="0.25">
      <c r="A36" s="5" t="str">
        <f>'Model-1'!N77</f>
        <v>Affaldsforbrug kølevarme Ovn3</v>
      </c>
      <c r="B36" s="29"/>
      <c r="C36" s="29" t="s">
        <v>180</v>
      </c>
      <c r="D36" s="24">
        <v>5240.3156384505</v>
      </c>
      <c r="E36" s="24">
        <v>5240.3156384505</v>
      </c>
      <c r="F36" s="24">
        <v>5240.3156384505</v>
      </c>
      <c r="G36" s="24">
        <v>5240.3156384505</v>
      </c>
      <c r="H36" s="24">
        <v>5240.3156384505</v>
      </c>
      <c r="I36" s="24">
        <v>5240.3156384505</v>
      </c>
      <c r="J36" s="24">
        <v>5240.3156384505</v>
      </c>
      <c r="K36" s="24">
        <v>5240.3156384505</v>
      </c>
      <c r="L36" s="24">
        <v>5240.3156384505</v>
      </c>
      <c r="M36" s="24">
        <v>5240.3156384505</v>
      </c>
      <c r="N36" s="24">
        <v>5240.3156384505</v>
      </c>
    </row>
    <row r="37" spans="1:14" outlineLevel="1" x14ac:dyDescent="0.25">
      <c r="A37" s="5" t="str">
        <f>'Model-1'!N78</f>
        <v>Affaldsforbrug kølevarme Ovn2</v>
      </c>
      <c r="B37" s="29"/>
      <c r="C37" s="29" t="s">
        <v>181</v>
      </c>
      <c r="D37" s="24">
        <v>593.81098410928405</v>
      </c>
      <c r="E37" s="24">
        <v>593.81098410928405</v>
      </c>
      <c r="F37" s="24">
        <v>593.81098410928405</v>
      </c>
      <c r="G37" s="24">
        <v>593.81098410928405</v>
      </c>
      <c r="H37" s="24">
        <v>593.81098410928405</v>
      </c>
      <c r="I37" s="24">
        <v>593.81098410928405</v>
      </c>
      <c r="J37" s="24">
        <v>593.81098410928405</v>
      </c>
      <c r="K37" s="24">
        <v>593.81098410928405</v>
      </c>
      <c r="L37" s="24">
        <v>593.81098410928405</v>
      </c>
      <c r="M37" s="24">
        <v>593.81098410928405</v>
      </c>
      <c r="N37" s="24">
        <v>593.81098410928405</v>
      </c>
    </row>
    <row r="38" spans="1:14" outlineLevel="1" x14ac:dyDescent="0.25">
      <c r="A38" s="5" t="str">
        <f>'Model-1'!N79</f>
        <v>Udnyttet affald</v>
      </c>
      <c r="B38" s="29"/>
      <c r="C38" s="29" t="s">
        <v>182</v>
      </c>
      <c r="D38" s="24">
        <v>8860.4896067778609</v>
      </c>
      <c r="E38" s="24">
        <v>9510.4026988333699</v>
      </c>
      <c r="F38" s="24">
        <v>9424.726773327</v>
      </c>
      <c r="G38" s="24">
        <v>9342.9532709285704</v>
      </c>
      <c r="H38" s="24">
        <v>9264.8215034547702</v>
      </c>
      <c r="I38" s="24">
        <v>9190.0934961481507</v>
      </c>
      <c r="J38" s="24">
        <v>9118.5515666724295</v>
      </c>
      <c r="K38" s="24">
        <v>9049.9962073076495</v>
      </c>
      <c r="L38" s="24">
        <v>8984.2442269503499</v>
      </c>
      <c r="M38" s="24">
        <v>8921.12711647986</v>
      </c>
      <c r="N38" s="24">
        <v>8860.4896067778609</v>
      </c>
    </row>
    <row r="39" spans="1:14" ht="15.75" outlineLevel="1" thickBot="1" x14ac:dyDescent="0.3">
      <c r="A39" s="5" t="str">
        <f>'Model-1'!N80</f>
        <v>Ikke-udnyttet affald</v>
      </c>
      <c r="B39" s="31"/>
      <c r="C39" s="31" t="s">
        <v>183</v>
      </c>
      <c r="D39" s="25">
        <v>8973.6370157819201</v>
      </c>
      <c r="E39" s="25">
        <v>8323.7239237264093</v>
      </c>
      <c r="F39" s="25">
        <v>8409.3998492327901</v>
      </c>
      <c r="G39" s="25">
        <v>8491.1733516312106</v>
      </c>
      <c r="H39" s="25">
        <v>8569.3051191050108</v>
      </c>
      <c r="I39" s="25">
        <v>8644.0331264116394</v>
      </c>
      <c r="J39" s="25">
        <v>8715.5750558873606</v>
      </c>
      <c r="K39" s="25">
        <v>8784.1304152521407</v>
      </c>
      <c r="L39" s="25">
        <v>8849.8823956094293</v>
      </c>
      <c r="M39" s="25">
        <v>8912.9995060799192</v>
      </c>
      <c r="N39" s="25">
        <v>8973.6370157819201</v>
      </c>
    </row>
    <row r="40" spans="1:14" x14ac:dyDescent="0.25">
      <c r="B40" t="s">
        <v>199</v>
      </c>
    </row>
    <row r="41" spans="1:14" x14ac:dyDescent="0.25">
      <c r="B41" t="s">
        <v>200</v>
      </c>
    </row>
    <row r="42" spans="1:14" x14ac:dyDescent="0.25">
      <c r="B42" t="s">
        <v>201</v>
      </c>
    </row>
  </sheetData>
  <customSheetViews>
    <customSheetView guid="{D61959C2-356A-4414-A70C-587540F5DA06}" scale="85" showGridLines="0" hiddenRows="1">
      <selection activeCell="Q31" sqref="Q31"/>
      <pageMargins left="0.7" right="0.7" top="0.75" bottom="0.75" header="0.3" footer="0.3"/>
    </customSheetView>
    <customSheetView guid="{01B8EE19-BF49-4F3C-9D6B-CD607AE52779}" scale="85" showGridLines="0" hiddenRows="1">
      <selection activeCell="Q31" sqref="Q31"/>
      <pageMargins left="0.7" right="0.7" top="0.75" bottom="0.75" header="0.3" footer="0.3"/>
    </customSheetView>
    <customSheetView guid="{2B82E035-636B-4F9F-846A-FEE8C149952C}" scale="85" showGridLines="0" hiddenRows="1">
      <selection activeCell="Q31" sqref="Q31"/>
      <pageMargins left="0.7" right="0.7" top="0.75" bottom="0.75" header="0.3" footer="0.3"/>
    </customSheetView>
    <customSheetView guid="{B8935784-587B-4D0A-AED7-A4A9B4EF97F4}" scale="85" showGridLines="0" hiddenRows="1">
      <selection activeCell="Q31" sqref="Q31"/>
      <pageMargins left="0.7" right="0.7" top="0.75" bottom="0.75" header="0.3" footer="0.3"/>
    </customSheetView>
    <customSheetView guid="{EEB625C4-AF57-4951-B4C5-8C71271FF126}" scale="85" showGridLines="0" hiddenRows="1">
      <selection activeCell="Q31" sqref="Q31"/>
      <pageMargins left="0.7" right="0.7" top="0.75" bottom="0.75" header="0.3" footer="0.3"/>
    </customSheetView>
  </customSheetViews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3CF46C4-608E-48A4-993B-37B07B7C2DA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'Scenario 7 GWh'!E8:N8</xm:f>
              <xm:sqref>O8</xm:sqref>
            </x14:sparkline>
            <x14:sparkline>
              <xm:f>'Scenario 7 GWh'!E9:N9</xm:f>
              <xm:sqref>O9</xm:sqref>
            </x14:sparkline>
            <x14:sparkline>
              <xm:f>'Scenario 7 GWh'!E10:N10</xm:f>
              <xm:sqref>O10</xm:sqref>
            </x14:sparkline>
            <x14:sparkline>
              <xm:f>'Scenario 7 GWh'!E11:N11</xm:f>
              <xm:sqref>O11</xm:sqref>
            </x14:sparkline>
            <x14:sparkline>
              <xm:f>'Scenario 7 GWh'!E12:N12</xm:f>
              <xm:sqref>O12</xm:sqref>
            </x14:sparkline>
            <x14:sparkline>
              <xm:f>'Scenario 7 GWh'!E13:N13</xm:f>
              <xm:sqref>O13</xm:sqref>
            </x14:sparkline>
            <x14:sparkline>
              <xm:f>'Scenario 7 GWh'!E14:N14</xm:f>
              <xm:sqref>O14</xm:sqref>
            </x14:sparkline>
            <x14:sparkline>
              <xm:f>'Scenario 7 GWh'!E15:N15</xm:f>
              <xm:sqref>O15</xm:sqref>
            </x14:sparkline>
            <x14:sparkline>
              <xm:f>'Scenario 7 GWh'!E16:N16</xm:f>
              <xm:sqref>O16</xm:sqref>
            </x14:sparkline>
            <x14:sparkline>
              <xm:f>'Scenario 7 GWh'!E17:N17</xm:f>
              <xm:sqref>O17</xm:sqref>
            </x14:sparkline>
            <x14:sparkline>
              <xm:f>'Scenario 7 GWh'!E18:N18</xm:f>
              <xm:sqref>O18</xm:sqref>
            </x14:sparkline>
            <x14:sparkline>
              <xm:f>'Scenario 7 GWh'!E19:N19</xm:f>
              <xm:sqref>O19</xm:sqref>
            </x14:sparkline>
            <x14:sparkline>
              <xm:f>'Scenario 7 GWh'!E20:N20</xm:f>
              <xm:sqref>O20</xm:sqref>
            </x14:sparkline>
            <x14:sparkline>
              <xm:f>'Scenario 7 GWh'!E21:N21</xm:f>
              <xm:sqref>O21</xm:sqref>
            </x14:sparkline>
            <x14:sparkline>
              <xm:f>'Scenario 7 GWh'!E22:N22</xm:f>
              <xm:sqref>O22</xm:sqref>
            </x14:sparkline>
            <x14:sparkline>
              <xm:f>'Scenario 7 GWh'!E23:N23</xm:f>
              <xm:sqref>O23</xm:sqref>
            </x14:sparkline>
            <x14:sparkline>
              <xm:f>'Scenario 7 GWh'!E24:N24</xm:f>
              <xm:sqref>O24</xm:sqref>
            </x14:sparkline>
            <x14:sparkline>
              <xm:f>'Scenario 7 GWh'!E25:N25</xm:f>
              <xm:sqref>O25</xm:sqref>
            </x14:sparkline>
            <x14:sparkline>
              <xm:f>'Scenario 7 GWh'!E26:N26</xm:f>
              <xm:sqref>O26</xm:sqref>
            </x14:sparkline>
            <x14:sparkline>
              <xm:f>'Scenario 7 GWh'!E27:N27</xm:f>
              <xm:sqref>O27</xm:sqref>
            </x14:sparkline>
            <x14:sparkline>
              <xm:f>'Scenario 7 GWh'!E28:N28</xm:f>
              <xm:sqref>O28</xm:sqref>
            </x14:sparkline>
            <x14:sparkline>
              <xm:f>'Scenario 7 GWh'!E29:N29</xm:f>
              <xm:sqref>O29</xm:sqref>
            </x14:sparkline>
            <x14:sparkline>
              <xm:f>'Scenario 7 GWh'!E30:N30</xm:f>
              <xm:sqref>O30</xm:sqref>
            </x14:sparkline>
            <x14:sparkline>
              <xm:f>'Scenario 7 GWh'!E31:N31</xm:f>
              <xm:sqref>O31</xm:sqref>
            </x14:sparkline>
            <x14:sparkline>
              <xm:f>'Scenario 7 GWh'!E32:N32</xm:f>
              <xm:sqref>O32</xm:sqref>
            </x14:sparkline>
            <x14:sparkline>
              <xm:f>'Scenario 7 GWh'!E33:N33</xm:f>
              <xm:sqref>O33</xm:sqref>
            </x14:sparkline>
            <x14:sparkline>
              <xm:f>'Scenario 7 GWh'!E34:N34</xm:f>
              <xm:sqref>O34</xm:sqref>
            </x14:sparkline>
            <x14:sparkline>
              <xm:f>'Scenario 7 GWh'!E35:N35</xm:f>
              <xm:sqref>O35</xm:sqref>
            </x14:sparkline>
            <x14:sparkline>
              <xm:f>'Scenario 7 GWh'!E36:N36</xm:f>
              <xm:sqref>O36</xm:sqref>
            </x14:sparkline>
            <x14:sparkline>
              <xm:f>'Scenario 7 GWh'!E37:N37</xm:f>
              <xm:sqref>O37</xm:sqref>
            </x14:sparkline>
            <x14:sparkline>
              <xm:f>'Scenario 7 GWh'!E38:N38</xm:f>
              <xm:sqref>O38</xm:sqref>
            </x14:sparkline>
            <x14:sparkline>
              <xm:f>'Scenario 7 GWh'!E39:N39</xm:f>
              <xm:sqref>O39</xm:sqref>
            </x14:sparkline>
          </x14:sparklines>
        </x14:sparklineGroup>
      </x14:sparklineGroup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DFD8-61B1-4AF0-B8E6-D7688662F97B}">
  <sheetPr codeName="Sheet4">
    <outlinePr summaryBelow="0"/>
  </sheetPr>
  <dimension ref="A1:N42"/>
  <sheetViews>
    <sheetView showGridLines="0" zoomScale="85" zoomScaleNormal="85" workbookViewId="0">
      <selection activeCell="K28" sqref="K28"/>
    </sheetView>
  </sheetViews>
  <sheetFormatPr defaultRowHeight="15" outlineLevelRow="1" outlineLevelCol="1" x14ac:dyDescent="0.25"/>
  <cols>
    <col min="1" max="1" width="31.28515625" style="5" bestFit="1" customWidth="1"/>
    <col min="2" max="2" width="3.7109375" customWidth="1"/>
    <col min="3" max="3" width="13" customWidth="1"/>
    <col min="4" max="14" width="13.140625" bestFit="1" customWidth="1" outlineLevel="1"/>
    <col min="15" max="15" width="19.28515625" customWidth="1"/>
  </cols>
  <sheetData>
    <row r="1" spans="1:14" ht="15.75" thickBot="1" x14ac:dyDescent="0.3"/>
    <row r="2" spans="1:14" ht="15.75" x14ac:dyDescent="0.25">
      <c r="B2" s="27" t="s">
        <v>195</v>
      </c>
      <c r="C2" s="27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</row>
    <row r="3" spans="1:14" ht="15.75" collapsed="1" x14ac:dyDescent="0.25">
      <c r="B3" s="26"/>
      <c r="C3" s="26"/>
      <c r="D3" s="33" t="s">
        <v>197</v>
      </c>
      <c r="E3" s="33" t="s">
        <v>184</v>
      </c>
      <c r="F3" s="33" t="s">
        <v>186</v>
      </c>
      <c r="G3" s="33" t="s">
        <v>187</v>
      </c>
      <c r="H3" s="33" t="s">
        <v>188</v>
      </c>
      <c r="I3" s="33" t="s">
        <v>189</v>
      </c>
      <c r="J3" s="33" t="s">
        <v>190</v>
      </c>
      <c r="K3" s="33" t="s">
        <v>191</v>
      </c>
      <c r="L3" s="33" t="s">
        <v>192</v>
      </c>
      <c r="M3" s="33" t="s">
        <v>193</v>
      </c>
      <c r="N3" s="33" t="s">
        <v>194</v>
      </c>
    </row>
    <row r="4" spans="1:14" ht="45" hidden="1" outlineLevel="1" x14ac:dyDescent="0.25">
      <c r="B4" s="29"/>
      <c r="C4" s="29"/>
      <c r="D4" s="21"/>
      <c r="E4" s="35" t="s">
        <v>185</v>
      </c>
      <c r="F4" s="35" t="s">
        <v>185</v>
      </c>
      <c r="G4" s="35" t="s">
        <v>185</v>
      </c>
      <c r="H4" s="35" t="s">
        <v>185</v>
      </c>
      <c r="I4" s="35" t="s">
        <v>185</v>
      </c>
      <c r="J4" s="35" t="s">
        <v>185</v>
      </c>
      <c r="K4" s="35" t="s">
        <v>185</v>
      </c>
      <c r="L4" s="35" t="s">
        <v>185</v>
      </c>
      <c r="M4" s="35" t="s">
        <v>185</v>
      </c>
      <c r="N4" s="35" t="s">
        <v>185</v>
      </c>
    </row>
    <row r="5" spans="1:14" x14ac:dyDescent="0.25">
      <c r="B5" s="30" t="s">
        <v>196</v>
      </c>
      <c r="C5" s="30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</row>
    <row r="6" spans="1:14" outlineLevel="1" x14ac:dyDescent="0.25">
      <c r="B6" s="29"/>
      <c r="C6" s="29" t="s">
        <v>151</v>
      </c>
      <c r="D6" s="22">
        <v>1</v>
      </c>
      <c r="E6" s="34">
        <v>0.1</v>
      </c>
      <c r="F6" s="34">
        <v>0.2</v>
      </c>
      <c r="G6" s="34">
        <v>0.3</v>
      </c>
      <c r="H6" s="34">
        <v>0.4</v>
      </c>
      <c r="I6" s="34">
        <v>0.5</v>
      </c>
      <c r="J6" s="34">
        <v>0.6</v>
      </c>
      <c r="K6" s="34">
        <v>0.7</v>
      </c>
      <c r="L6" s="34">
        <v>0.8</v>
      </c>
      <c r="M6" s="34">
        <v>0.9</v>
      </c>
      <c r="N6" s="34">
        <v>1</v>
      </c>
    </row>
    <row r="7" spans="1:14" x14ac:dyDescent="0.25">
      <c r="B7" s="30" t="s">
        <v>198</v>
      </c>
      <c r="C7" s="30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</row>
    <row r="8" spans="1:14" outlineLevel="1" x14ac:dyDescent="0.25">
      <c r="A8" s="5" t="str">
        <f>'Model-1'!N49</f>
        <v>Indtægter total</v>
      </c>
      <c r="B8" s="29"/>
      <c r="C8" s="29" t="s">
        <v>152</v>
      </c>
      <c r="D8" s="23">
        <v>15704906.5498023</v>
      </c>
      <c r="E8" s="23">
        <v>16190829.9768045</v>
      </c>
      <c r="F8" s="23">
        <v>16102094.8127602</v>
      </c>
      <c r="G8" s="23">
        <v>16016873.9126384</v>
      </c>
      <c r="H8" s="23">
        <v>16136543.7538468</v>
      </c>
      <c r="I8" s="23">
        <v>16057752.8356482</v>
      </c>
      <c r="J8" s="23">
        <v>15981907.3723356</v>
      </c>
      <c r="K8" s="23">
        <v>15908845.2287775</v>
      </c>
      <c r="L8" s="23">
        <v>15838415.9552575</v>
      </c>
      <c r="M8" s="23">
        <v>15770479.753366601</v>
      </c>
      <c r="N8" s="23">
        <v>15704906.5498023</v>
      </c>
    </row>
    <row r="9" spans="1:14" outlineLevel="1" x14ac:dyDescent="0.25">
      <c r="A9" s="5" t="str">
        <f>'Model-1'!N50</f>
        <v>Omkostninger total</v>
      </c>
      <c r="B9" s="29"/>
      <c r="C9" s="29" t="s">
        <v>153</v>
      </c>
      <c r="D9" s="23">
        <v>7601139.8216774501</v>
      </c>
      <c r="E9" s="23">
        <v>7866196.3108281298</v>
      </c>
      <c r="F9" s="23">
        <v>7831849.9144885596</v>
      </c>
      <c r="G9" s="23">
        <v>7798897.0890948502</v>
      </c>
      <c r="H9" s="23">
        <v>7767256.6557569401</v>
      </c>
      <c r="I9" s="23">
        <v>7736853.6206430802</v>
      </c>
      <c r="J9" s="23">
        <v>7707618.5969369598</v>
      </c>
      <c r="K9" s="23">
        <v>7679487.2904326404</v>
      </c>
      <c r="L9" s="23">
        <v>7652400.0407408504</v>
      </c>
      <c r="M9" s="23">
        <v>7626301.4112166697</v>
      </c>
      <c r="N9" s="23">
        <v>7601139.8216774501</v>
      </c>
    </row>
    <row r="10" spans="1:14" outlineLevel="1" x14ac:dyDescent="0.25">
      <c r="A10" s="5" t="str">
        <f>'Model-1'!N51</f>
        <v>Dækningsbidrag</v>
      </c>
      <c r="B10" s="29"/>
      <c r="C10" s="29" t="s">
        <v>154</v>
      </c>
      <c r="D10" s="23">
        <v>8103766.7281248998</v>
      </c>
      <c r="E10" s="23">
        <v>8324633.6659763698</v>
      </c>
      <c r="F10" s="23">
        <v>8270244.8982715895</v>
      </c>
      <c r="G10" s="23">
        <v>8217976.8235435002</v>
      </c>
      <c r="H10" s="23">
        <v>8369287.0980898896</v>
      </c>
      <c r="I10" s="23">
        <v>8320899.2150051603</v>
      </c>
      <c r="J10" s="23">
        <v>8274288.7753986102</v>
      </c>
      <c r="K10" s="23">
        <v>8229357.9383448502</v>
      </c>
      <c r="L10" s="23">
        <v>8186015.9145167004</v>
      </c>
      <c r="M10" s="23">
        <v>8144178.3421499496</v>
      </c>
      <c r="N10" s="23">
        <v>8103766.7281248998</v>
      </c>
    </row>
    <row r="11" spans="1:14" outlineLevel="1" x14ac:dyDescent="0.25">
      <c r="A11" s="5">
        <f>'Model-1'!N52</f>
        <v>0</v>
      </c>
      <c r="B11" s="29"/>
      <c r="C11" s="29" t="s">
        <v>155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</row>
    <row r="12" spans="1:14" outlineLevel="1" x14ac:dyDescent="0.25">
      <c r="A12" s="5" t="str">
        <f>'Model-1'!N53</f>
        <v>Varmesalg</v>
      </c>
      <c r="B12" s="29"/>
      <c r="C12" s="29" t="s">
        <v>156</v>
      </c>
      <c r="D12" s="23">
        <v>7499765</v>
      </c>
      <c r="E12" s="23">
        <v>7499765</v>
      </c>
      <c r="F12" s="23">
        <v>7499765</v>
      </c>
      <c r="G12" s="23">
        <v>7499765</v>
      </c>
      <c r="H12" s="23">
        <v>7499765</v>
      </c>
      <c r="I12" s="23">
        <v>7499765</v>
      </c>
      <c r="J12" s="23">
        <v>7499765</v>
      </c>
      <c r="K12" s="23">
        <v>7499765</v>
      </c>
      <c r="L12" s="23">
        <v>7499765</v>
      </c>
      <c r="M12" s="23">
        <v>7499765</v>
      </c>
      <c r="N12" s="23">
        <v>7499765</v>
      </c>
    </row>
    <row r="13" spans="1:14" outlineLevel="1" x14ac:dyDescent="0.25">
      <c r="A13" s="5" t="str">
        <f>'Model-1'!N54</f>
        <v>Elsalg</v>
      </c>
      <c r="B13" s="29"/>
      <c r="C13" s="29" t="s">
        <v>157</v>
      </c>
      <c r="D13" s="23">
        <v>3947332.4512195098</v>
      </c>
      <c r="E13" s="23">
        <v>3947332.4512195098</v>
      </c>
      <c r="F13" s="23">
        <v>3947332.4512195098</v>
      </c>
      <c r="G13" s="23">
        <v>3947332.4512195098</v>
      </c>
      <c r="H13" s="23">
        <v>3947332.4512195098</v>
      </c>
      <c r="I13" s="23">
        <v>3947332.4512195098</v>
      </c>
      <c r="J13" s="23">
        <v>3947332.4512195098</v>
      </c>
      <c r="K13" s="23">
        <v>3947332.4512195098</v>
      </c>
      <c r="L13" s="23">
        <v>3947332.4512195098</v>
      </c>
      <c r="M13" s="23">
        <v>3947332.4512195098</v>
      </c>
      <c r="N13" s="23">
        <v>3947332.4512195098</v>
      </c>
    </row>
    <row r="14" spans="1:14" outlineLevel="1" x14ac:dyDescent="0.25">
      <c r="A14" s="5" t="str">
        <f>'Model-1'!N55</f>
        <v>RGK-rabat</v>
      </c>
      <c r="B14" s="29"/>
      <c r="C14" s="29" t="s">
        <v>158</v>
      </c>
      <c r="D14" s="23">
        <v>201581.19181097599</v>
      </c>
      <c r="E14" s="23">
        <v>0</v>
      </c>
      <c r="F14" s="23">
        <v>0</v>
      </c>
      <c r="G14" s="23">
        <v>0</v>
      </c>
      <c r="H14" s="23">
        <v>201581.19181097599</v>
      </c>
      <c r="I14" s="23">
        <v>201581.19181097599</v>
      </c>
      <c r="J14" s="23">
        <v>201581.19181097599</v>
      </c>
      <c r="K14" s="23">
        <v>201581.19181097599</v>
      </c>
      <c r="L14" s="23">
        <v>201581.19181097599</v>
      </c>
      <c r="M14" s="23">
        <v>201581.19181097599</v>
      </c>
      <c r="N14" s="23">
        <v>201581.19181097599</v>
      </c>
    </row>
    <row r="15" spans="1:14" outlineLevel="1" x14ac:dyDescent="0.25">
      <c r="A15" s="5" t="str">
        <f>'Model-1'!N56</f>
        <v>Modtagebetaling affald</v>
      </c>
      <c r="B15" s="29"/>
      <c r="C15" s="29" t="s">
        <v>159</v>
      </c>
      <c r="D15" s="23">
        <v>4056227.9067718601</v>
      </c>
      <c r="E15" s="23">
        <v>4743732.5255849799</v>
      </c>
      <c r="F15" s="23">
        <v>4654997.3615406398</v>
      </c>
      <c r="G15" s="23">
        <v>4569776.4614188401</v>
      </c>
      <c r="H15" s="23">
        <v>4487865.11081634</v>
      </c>
      <c r="I15" s="23">
        <v>4409074.1926177498</v>
      </c>
      <c r="J15" s="23">
        <v>4333228.7293050801</v>
      </c>
      <c r="K15" s="23">
        <v>4260166.5857470101</v>
      </c>
      <c r="L15" s="23">
        <v>4189737.3122270601</v>
      </c>
      <c r="M15" s="23">
        <v>4121801.1103361398</v>
      </c>
      <c r="N15" s="23">
        <v>4056227.9067718601</v>
      </c>
    </row>
    <row r="16" spans="1:14" outlineLevel="1" x14ac:dyDescent="0.25">
      <c r="A16" s="5">
        <f>'Model-1'!N57</f>
        <v>0</v>
      </c>
      <c r="B16" s="29"/>
      <c r="C16" s="29" t="s">
        <v>160</v>
      </c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</row>
    <row r="17" spans="1:14" outlineLevel="1" x14ac:dyDescent="0.25">
      <c r="A17" s="5" t="str">
        <f>'Model-1'!N58</f>
        <v>Betaling bioaffald</v>
      </c>
      <c r="B17" s="29"/>
      <c r="C17" s="29" t="s">
        <v>161</v>
      </c>
      <c r="D17" s="23">
        <v>0</v>
      </c>
      <c r="E17" s="23">
        <v>0</v>
      </c>
      <c r="F17" s="23">
        <v>0</v>
      </c>
      <c r="G17" s="23">
        <v>0</v>
      </c>
      <c r="H17" s="23">
        <v>0</v>
      </c>
      <c r="I17" s="23">
        <v>0</v>
      </c>
      <c r="J17" s="23">
        <v>0</v>
      </c>
      <c r="K17" s="23">
        <v>0</v>
      </c>
      <c r="L17" s="23">
        <v>0</v>
      </c>
      <c r="M17" s="23">
        <v>0</v>
      </c>
      <c r="N17" s="23">
        <v>0</v>
      </c>
    </row>
    <row r="18" spans="1:14" outlineLevel="1" x14ac:dyDescent="0.25">
      <c r="A18" s="5" t="str">
        <f>'Model-1'!N59</f>
        <v>DV-omkostninger</v>
      </c>
      <c r="B18" s="29"/>
      <c r="C18" s="29" t="s">
        <v>162</v>
      </c>
      <c r="D18" s="23">
        <v>1099534.71668785</v>
      </c>
      <c r="E18" s="23">
        <v>1054870.37506322</v>
      </c>
      <c r="F18" s="23">
        <v>1060499.17012563</v>
      </c>
      <c r="G18" s="23">
        <v>1065938.36023679</v>
      </c>
      <c r="H18" s="23">
        <v>1071198.99034531</v>
      </c>
      <c r="I18" s="23">
        <v>1076291.2638799101</v>
      </c>
      <c r="J18" s="23">
        <v>1081224.62139614</v>
      </c>
      <c r="K18" s="23">
        <v>1086007.8105647401</v>
      </c>
      <c r="L18" s="23">
        <v>1090648.9485936901</v>
      </c>
      <c r="M18" s="23">
        <v>1095155.5780213701</v>
      </c>
      <c r="N18" s="23">
        <v>1099534.71668785</v>
      </c>
    </row>
    <row r="19" spans="1:14" outlineLevel="1" x14ac:dyDescent="0.25">
      <c r="A19" s="5" t="str">
        <f>'Model-1'!N60</f>
        <v>Affaldvarme-afgift</v>
      </c>
      <c r="B19" s="29"/>
      <c r="C19" s="29" t="s">
        <v>163</v>
      </c>
      <c r="D19" s="23">
        <v>2239801.2000000002</v>
      </c>
      <c r="E19" s="23">
        <v>2239801.2000000002</v>
      </c>
      <c r="F19" s="23">
        <v>2239801.2000000002</v>
      </c>
      <c r="G19" s="23">
        <v>2239801.2000000002</v>
      </c>
      <c r="H19" s="23">
        <v>2239801.2000000002</v>
      </c>
      <c r="I19" s="23">
        <v>2239801.2000000002</v>
      </c>
      <c r="J19" s="23">
        <v>2239801.2000000002</v>
      </c>
      <c r="K19" s="23">
        <v>2239801.2000000002</v>
      </c>
      <c r="L19" s="23">
        <v>2239801.2000000002</v>
      </c>
      <c r="M19" s="23">
        <v>2239801.2000000002</v>
      </c>
      <c r="N19" s="23">
        <v>2239801.2000000002</v>
      </c>
    </row>
    <row r="20" spans="1:14" outlineLevel="1" x14ac:dyDescent="0.25">
      <c r="A20" s="5" t="str">
        <f>'Model-1'!N61</f>
        <v>Tillægsafgift</v>
      </c>
      <c r="B20" s="29"/>
      <c r="C20" s="29" t="s">
        <v>164</v>
      </c>
      <c r="D20" s="23">
        <v>2015811.9181097599</v>
      </c>
      <c r="E20" s="23">
        <v>2015811.9181097599</v>
      </c>
      <c r="F20" s="23">
        <v>2015811.9181097599</v>
      </c>
      <c r="G20" s="23">
        <v>2015811.9181097599</v>
      </c>
      <c r="H20" s="23">
        <v>2015811.9181097599</v>
      </c>
      <c r="I20" s="23">
        <v>2015811.9181097599</v>
      </c>
      <c r="J20" s="23">
        <v>2015811.9181097599</v>
      </c>
      <c r="K20" s="23">
        <v>2015811.9181097599</v>
      </c>
      <c r="L20" s="23">
        <v>2015811.9181097599</v>
      </c>
      <c r="M20" s="23">
        <v>2015811.9181097599</v>
      </c>
      <c r="N20" s="23">
        <v>2015811.9181097599</v>
      </c>
    </row>
    <row r="21" spans="1:14" outlineLevel="1" x14ac:dyDescent="0.25">
      <c r="A21" s="5" t="str">
        <f>'Model-1'!N62</f>
        <v>CO2-afgift</v>
      </c>
      <c r="B21" s="29"/>
      <c r="C21" s="29" t="s">
        <v>165</v>
      </c>
      <c r="D21" s="23">
        <v>418661.31487911602</v>
      </c>
      <c r="E21" s="23">
        <v>418661.31487911602</v>
      </c>
      <c r="F21" s="23">
        <v>418661.31487911602</v>
      </c>
      <c r="G21" s="23">
        <v>418661.31487911602</v>
      </c>
      <c r="H21" s="23">
        <v>418661.31487911602</v>
      </c>
      <c r="I21" s="23">
        <v>418661.31487911602</v>
      </c>
      <c r="J21" s="23">
        <v>418661.31487911602</v>
      </c>
      <c r="K21" s="23">
        <v>418661.31487911602</v>
      </c>
      <c r="L21" s="23">
        <v>418661.31487911602</v>
      </c>
      <c r="M21" s="23">
        <v>418661.31487911602</v>
      </c>
      <c r="N21" s="23">
        <v>418661.31487911602</v>
      </c>
    </row>
    <row r="22" spans="1:14" outlineLevel="1" x14ac:dyDescent="0.25">
      <c r="A22" s="5" t="str">
        <f>'Model-1'!N63</f>
        <v>Kvote-omkostning</v>
      </c>
      <c r="B22" s="29"/>
      <c r="C22" s="29" t="s">
        <v>166</v>
      </c>
      <c r="D22" s="23">
        <v>1827330.6720007199</v>
      </c>
      <c r="E22" s="23">
        <v>2137051.50277603</v>
      </c>
      <c r="F22" s="23">
        <v>2097076.3113740601</v>
      </c>
      <c r="G22" s="23">
        <v>2058684.29586919</v>
      </c>
      <c r="H22" s="23">
        <v>2021783.23242276</v>
      </c>
      <c r="I22" s="23">
        <v>1986287.9237742999</v>
      </c>
      <c r="J22" s="23">
        <v>1952119.5425519401</v>
      </c>
      <c r="K22" s="23">
        <v>1919205.0468790301</v>
      </c>
      <c r="L22" s="23">
        <v>1887476.6591582899</v>
      </c>
      <c r="M22" s="23">
        <v>1856871.4002064299</v>
      </c>
      <c r="N22" s="23">
        <v>1827330.6720007199</v>
      </c>
    </row>
    <row r="23" spans="1:14" outlineLevel="1" x14ac:dyDescent="0.25">
      <c r="A23" s="5">
        <f>'Model-1'!N64</f>
        <v>0</v>
      </c>
      <c r="B23" s="29"/>
      <c r="C23" s="29" t="s">
        <v>167</v>
      </c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</row>
    <row r="24" spans="1:14" outlineLevel="1" x14ac:dyDescent="0.25">
      <c r="A24" s="5" t="str">
        <f>'Model-1'!N65</f>
        <v>Varmemængder:</v>
      </c>
      <c r="B24" s="29"/>
      <c r="C24" s="29" t="s">
        <v>168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</row>
    <row r="25" spans="1:14" outlineLevel="1" x14ac:dyDescent="0.25">
      <c r="A25" s="5" t="str">
        <f>'Model-1'!N66</f>
        <v>Varmeproduktion Ovn2</v>
      </c>
      <c r="B25" s="29"/>
      <c r="C25" s="29" t="s">
        <v>169</v>
      </c>
      <c r="D25" s="24">
        <v>3283</v>
      </c>
      <c r="E25" s="24">
        <v>6965.8</v>
      </c>
      <c r="F25" s="24">
        <v>6556.6</v>
      </c>
      <c r="G25" s="24">
        <v>6147.4</v>
      </c>
      <c r="H25" s="24">
        <v>5738.2</v>
      </c>
      <c r="I25" s="24">
        <v>5329</v>
      </c>
      <c r="J25" s="24">
        <v>4919.8</v>
      </c>
      <c r="K25" s="24">
        <v>4510.6000000000004</v>
      </c>
      <c r="L25" s="24">
        <v>4101.3999999999996</v>
      </c>
      <c r="M25" s="24">
        <v>3692.2</v>
      </c>
      <c r="N25" s="24">
        <v>3283</v>
      </c>
    </row>
    <row r="26" spans="1:14" outlineLevel="1" x14ac:dyDescent="0.25">
      <c r="A26" s="5" t="str">
        <f>'Model-1'!N67</f>
        <v>Varmeproduktion Ovn3</v>
      </c>
      <c r="B26" s="29"/>
      <c r="C26" s="29" t="s">
        <v>170</v>
      </c>
      <c r="D26" s="24">
        <v>20832</v>
      </c>
      <c r="E26" s="24">
        <v>17149.2</v>
      </c>
      <c r="F26" s="24">
        <v>17558.400000000001</v>
      </c>
      <c r="G26" s="24">
        <v>17967.599999999999</v>
      </c>
      <c r="H26" s="24">
        <v>18376.8</v>
      </c>
      <c r="I26" s="24">
        <v>18786</v>
      </c>
      <c r="J26" s="24">
        <v>19195.2</v>
      </c>
      <c r="K26" s="24">
        <v>19604.400000000001</v>
      </c>
      <c r="L26" s="24">
        <v>20013.599999999999</v>
      </c>
      <c r="M26" s="24">
        <v>20422.8</v>
      </c>
      <c r="N26" s="24">
        <v>20832</v>
      </c>
    </row>
    <row r="27" spans="1:14" outlineLevel="1" x14ac:dyDescent="0.25">
      <c r="A27" s="5" t="str">
        <f>'Model-1'!N68</f>
        <v>Heraf RGK-varme</v>
      </c>
      <c r="B27" s="29"/>
      <c r="C27" s="29" t="s">
        <v>171</v>
      </c>
      <c r="D27" s="24">
        <v>5049.4716687852897</v>
      </c>
      <c r="E27" s="24">
        <v>583.03750632208801</v>
      </c>
      <c r="F27" s="24">
        <v>1145.91701256335</v>
      </c>
      <c r="G27" s="24">
        <v>1689.83602367907</v>
      </c>
      <c r="H27" s="24">
        <v>2215.8990345309498</v>
      </c>
      <c r="I27" s="24">
        <v>2725.1263879911999</v>
      </c>
      <c r="J27" s="24">
        <v>3218.4621396144798</v>
      </c>
      <c r="K27" s="24">
        <v>3696.7810564744</v>
      </c>
      <c r="L27" s="24">
        <v>4160.8948593689802</v>
      </c>
      <c r="M27" s="24">
        <v>4611.5578021370802</v>
      </c>
      <c r="N27" s="24">
        <v>5049.4716687852897</v>
      </c>
    </row>
    <row r="28" spans="1:14" outlineLevel="1" x14ac:dyDescent="0.25">
      <c r="A28" s="5" t="str">
        <f>'Model-1'!N69</f>
        <v>Bortkølet varme</v>
      </c>
      <c r="B28" s="29"/>
      <c r="C28" s="29" t="s">
        <v>172</v>
      </c>
      <c r="D28" s="24">
        <v>0</v>
      </c>
      <c r="E28" s="24">
        <v>0</v>
      </c>
      <c r="F28" s="24">
        <v>0</v>
      </c>
      <c r="G28" s="24">
        <v>0</v>
      </c>
      <c r="H28" s="24">
        <v>0</v>
      </c>
      <c r="I28" s="24">
        <v>0</v>
      </c>
      <c r="J28" s="24">
        <v>0</v>
      </c>
      <c r="K28" s="24">
        <v>0</v>
      </c>
      <c r="L28" s="24">
        <v>0</v>
      </c>
      <c r="M28" s="24">
        <v>0</v>
      </c>
      <c r="N28" s="24">
        <v>0</v>
      </c>
    </row>
    <row r="29" spans="1:14" outlineLevel="1" x14ac:dyDescent="0.25">
      <c r="A29" s="5" t="str">
        <f>'Model-1'!N70</f>
        <v>Leveret affaldsvarme</v>
      </c>
      <c r="B29" s="29"/>
      <c r="C29" s="29" t="s">
        <v>173</v>
      </c>
      <c r="D29" s="24">
        <v>24115</v>
      </c>
      <c r="E29" s="24">
        <v>24115</v>
      </c>
      <c r="F29" s="24">
        <v>24115</v>
      </c>
      <c r="G29" s="24">
        <v>24115</v>
      </c>
      <c r="H29" s="24">
        <v>24115</v>
      </c>
      <c r="I29" s="24">
        <v>24115</v>
      </c>
      <c r="J29" s="24">
        <v>24115</v>
      </c>
      <c r="K29" s="24">
        <v>24115</v>
      </c>
      <c r="L29" s="24">
        <v>24115</v>
      </c>
      <c r="M29" s="24">
        <v>24115</v>
      </c>
      <c r="N29" s="24">
        <v>24115</v>
      </c>
    </row>
    <row r="30" spans="1:14" outlineLevel="1" x14ac:dyDescent="0.25">
      <c r="A30" s="5" t="str">
        <f>'Model-1'!N71</f>
        <v>Spidslastvarme</v>
      </c>
      <c r="B30" s="29"/>
      <c r="C30" s="29" t="s">
        <v>174</v>
      </c>
      <c r="D30" s="24">
        <v>4000</v>
      </c>
      <c r="E30" s="24">
        <v>4000</v>
      </c>
      <c r="F30" s="24">
        <v>4000</v>
      </c>
      <c r="G30" s="24">
        <v>4000</v>
      </c>
      <c r="H30" s="24">
        <v>4000</v>
      </c>
      <c r="I30" s="24">
        <v>4000</v>
      </c>
      <c r="J30" s="24">
        <v>4000</v>
      </c>
      <c r="K30" s="24">
        <v>4000</v>
      </c>
      <c r="L30" s="24">
        <v>4000</v>
      </c>
      <c r="M30" s="24">
        <v>4000</v>
      </c>
      <c r="N30" s="24">
        <v>4000</v>
      </c>
    </row>
    <row r="31" spans="1:14" outlineLevel="1" x14ac:dyDescent="0.25">
      <c r="A31" s="5">
        <f>'Model-1'!N72</f>
        <v>0</v>
      </c>
      <c r="B31" s="29"/>
      <c r="C31" s="29" t="s">
        <v>175</v>
      </c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</row>
    <row r="32" spans="1:14" outlineLevel="1" x14ac:dyDescent="0.25">
      <c r="A32" s="5" t="str">
        <f>'Model-1'!N73</f>
        <v>Brændselsmængder:</v>
      </c>
      <c r="B32" s="29"/>
      <c r="C32" s="29" t="s">
        <v>176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</row>
    <row r="33" spans="1:14" outlineLevel="1" x14ac:dyDescent="0.25">
      <c r="A33" s="5" t="str">
        <f>'Model-1'!N74</f>
        <v>Affaldsforbrug Ovn3</v>
      </c>
      <c r="B33" s="29"/>
      <c r="C33" s="29" t="s">
        <v>177</v>
      </c>
      <c r="D33" s="24">
        <v>9006.456241033</v>
      </c>
      <c r="E33" s="24">
        <v>9006.456241033</v>
      </c>
      <c r="F33" s="24">
        <v>9006.456241033</v>
      </c>
      <c r="G33" s="24">
        <v>9006.456241033</v>
      </c>
      <c r="H33" s="24">
        <v>9006.456241033</v>
      </c>
      <c r="I33" s="24">
        <v>9006.456241033</v>
      </c>
      <c r="J33" s="24">
        <v>9006.456241033</v>
      </c>
      <c r="K33" s="24">
        <v>9006.456241033</v>
      </c>
      <c r="L33" s="24">
        <v>9006.456241033</v>
      </c>
      <c r="M33" s="24">
        <v>9006.456241033</v>
      </c>
      <c r="N33" s="24">
        <v>9006.456241033</v>
      </c>
    </row>
    <row r="34" spans="1:14" outlineLevel="1" x14ac:dyDescent="0.25">
      <c r="A34" s="5" t="str">
        <f>'Model-1'!N75</f>
        <v>Nordic Sugar varme</v>
      </c>
      <c r="B34" s="29"/>
      <c r="C34" s="29" t="s">
        <v>178</v>
      </c>
      <c r="D34" s="24">
        <v>4000</v>
      </c>
      <c r="E34" s="24">
        <v>4000</v>
      </c>
      <c r="F34" s="24">
        <v>4000</v>
      </c>
      <c r="G34" s="24">
        <v>4000</v>
      </c>
      <c r="H34" s="24">
        <v>4000</v>
      </c>
      <c r="I34" s="24">
        <v>4000</v>
      </c>
      <c r="J34" s="24">
        <v>4000</v>
      </c>
      <c r="K34" s="24">
        <v>4000</v>
      </c>
      <c r="L34" s="24">
        <v>4000</v>
      </c>
      <c r="M34" s="24">
        <v>4000</v>
      </c>
      <c r="N34" s="24">
        <v>4000</v>
      </c>
    </row>
    <row r="35" spans="1:14" outlineLevel="1" x14ac:dyDescent="0.25">
      <c r="A35" s="5" t="str">
        <f>'Model-1'!N76</f>
        <v>Affaldsforbrug Ovn2</v>
      </c>
      <c r="B35" s="29"/>
      <c r="C35" s="29" t="s">
        <v>179</v>
      </c>
      <c r="D35" s="24">
        <v>1134.1135258966599</v>
      </c>
      <c r="E35" s="24">
        <v>2852.8750729294502</v>
      </c>
      <c r="F35" s="24">
        <v>2631.0371628185999</v>
      </c>
      <c r="G35" s="24">
        <v>2417.98491251411</v>
      </c>
      <c r="H35" s="24">
        <v>2213.20653600786</v>
      </c>
      <c r="I35" s="24">
        <v>2016.2292405113701</v>
      </c>
      <c r="J35" s="24">
        <v>1826.6155822297001</v>
      </c>
      <c r="K35" s="24">
        <v>1643.9602233345199</v>
      </c>
      <c r="L35" s="24">
        <v>1467.8870395346601</v>
      </c>
      <c r="M35" s="24">
        <v>1298.0465348073601</v>
      </c>
      <c r="N35" s="24">
        <v>1134.1135258966599</v>
      </c>
    </row>
    <row r="36" spans="1:14" outlineLevel="1" x14ac:dyDescent="0.25">
      <c r="A36" s="5" t="str">
        <f>'Model-1'!N77</f>
        <v>Affaldsforbrug kølevarme Ovn3</v>
      </c>
      <c r="B36" s="29"/>
      <c r="C36" s="29" t="s">
        <v>180</v>
      </c>
      <c r="D36" s="24">
        <v>0</v>
      </c>
      <c r="E36" s="24">
        <v>0</v>
      </c>
      <c r="F36" s="24">
        <v>0</v>
      </c>
      <c r="G36" s="24">
        <v>0</v>
      </c>
      <c r="H36" s="24">
        <v>0</v>
      </c>
      <c r="I36" s="24">
        <v>0</v>
      </c>
      <c r="J36" s="24">
        <v>0</v>
      </c>
      <c r="K36" s="24">
        <v>0</v>
      </c>
      <c r="L36" s="24">
        <v>0</v>
      </c>
      <c r="M36" s="24">
        <v>0</v>
      </c>
      <c r="N36" s="24">
        <v>0</v>
      </c>
    </row>
    <row r="37" spans="1:14" outlineLevel="1" x14ac:dyDescent="0.25">
      <c r="A37" s="5" t="str">
        <f>'Model-1'!N78</f>
        <v>Affaldsforbrug kølevarme Ovn2</v>
      </c>
      <c r="B37" s="29"/>
      <c r="C37" s="29" t="s">
        <v>181</v>
      </c>
      <c r="D37" s="24">
        <v>0</v>
      </c>
      <c r="E37" s="24">
        <v>0</v>
      </c>
      <c r="F37" s="24">
        <v>0</v>
      </c>
      <c r="G37" s="24">
        <v>0</v>
      </c>
      <c r="H37" s="24">
        <v>0</v>
      </c>
      <c r="I37" s="24">
        <v>0</v>
      </c>
      <c r="J37" s="24">
        <v>0</v>
      </c>
      <c r="K37" s="24">
        <v>0</v>
      </c>
      <c r="L37" s="24">
        <v>0</v>
      </c>
      <c r="M37" s="24">
        <v>0</v>
      </c>
      <c r="N37" s="24">
        <v>0</v>
      </c>
    </row>
    <row r="38" spans="1:14" outlineLevel="1" x14ac:dyDescent="0.25">
      <c r="A38" s="5" t="str">
        <f>'Model-1'!N79</f>
        <v>Udnyttet affald</v>
      </c>
      <c r="B38" s="29"/>
      <c r="C38" s="29" t="s">
        <v>182</v>
      </c>
      <c r="D38" s="24">
        <v>10140.569766929701</v>
      </c>
      <c r="E38" s="24">
        <v>11859.331313962501</v>
      </c>
      <c r="F38" s="24">
        <v>11637.4934038516</v>
      </c>
      <c r="G38" s="24">
        <v>11424.441153547101</v>
      </c>
      <c r="H38" s="24">
        <v>11219.6627770409</v>
      </c>
      <c r="I38" s="24">
        <v>11022.6854815444</v>
      </c>
      <c r="J38" s="24">
        <v>10833.0718232627</v>
      </c>
      <c r="K38" s="24">
        <v>10650.416464367499</v>
      </c>
      <c r="L38" s="24">
        <v>10474.3432805677</v>
      </c>
      <c r="M38" s="24">
        <v>10304.502775840399</v>
      </c>
      <c r="N38" s="24">
        <v>10140.569766929701</v>
      </c>
    </row>
    <row r="39" spans="1:14" ht="15.75" outlineLevel="1" thickBot="1" x14ac:dyDescent="0.3">
      <c r="A39" s="5" t="str">
        <f>'Model-1'!N80</f>
        <v>Ikke-udnyttet affald</v>
      </c>
      <c r="B39" s="31"/>
      <c r="C39" s="31" t="s">
        <v>183</v>
      </c>
      <c r="D39" s="25">
        <v>1859.4302330703399</v>
      </c>
      <c r="E39" s="36">
        <v>140.66868603754901</v>
      </c>
      <c r="F39" s="36">
        <v>362.50659614840498</v>
      </c>
      <c r="G39" s="36">
        <v>575.558846452887</v>
      </c>
      <c r="H39" s="36">
        <v>780.33722295914004</v>
      </c>
      <c r="I39" s="36">
        <v>977.31451845562901</v>
      </c>
      <c r="J39" s="36">
        <v>1166.9281767373</v>
      </c>
      <c r="K39" s="36">
        <v>1349.5835356324801</v>
      </c>
      <c r="L39" s="36">
        <v>1525.65671943234</v>
      </c>
      <c r="M39" s="36">
        <v>1695.4972241596399</v>
      </c>
      <c r="N39" s="36">
        <v>1859.4302330703399</v>
      </c>
    </row>
    <row r="40" spans="1:14" x14ac:dyDescent="0.25">
      <c r="B40" t="s">
        <v>199</v>
      </c>
    </row>
    <row r="41" spans="1:14" x14ac:dyDescent="0.25">
      <c r="B41" t="s">
        <v>200</v>
      </c>
    </row>
    <row r="42" spans="1:14" x14ac:dyDescent="0.25">
      <c r="B42" t="s">
        <v>201</v>
      </c>
    </row>
  </sheetData>
  <customSheetViews>
    <customSheetView guid="{D61959C2-356A-4414-A70C-587540F5DA06}" scale="85" showGridLines="0" hiddenRows="1">
      <selection activeCell="K28" sqref="K28"/>
      <pageMargins left="0.7" right="0.7" top="0.75" bottom="0.75" header="0.3" footer="0.3"/>
    </customSheetView>
    <customSheetView guid="{01B8EE19-BF49-4F3C-9D6B-CD607AE52779}" scale="85" showGridLines="0" hiddenRows="1">
      <selection activeCell="K28" sqref="K28"/>
      <pageMargins left="0.7" right="0.7" top="0.75" bottom="0.75" header="0.3" footer="0.3"/>
    </customSheetView>
    <customSheetView guid="{2B82E035-636B-4F9F-846A-FEE8C149952C}" scale="85" showGridLines="0" hiddenRows="1">
      <selection activeCell="K28" sqref="K28"/>
      <pageMargins left="0.7" right="0.7" top="0.75" bottom="0.75" header="0.3" footer="0.3"/>
    </customSheetView>
    <customSheetView guid="{B8935784-587B-4D0A-AED7-A4A9B4EF97F4}" scale="85" showGridLines="0" hiddenRows="1">
      <selection activeCell="K28" sqref="K28"/>
      <pageMargins left="0.7" right="0.7" top="0.75" bottom="0.75" header="0.3" footer="0.3"/>
    </customSheetView>
    <customSheetView guid="{EEB625C4-AF57-4951-B4C5-8C71271FF126}" scale="85" showGridLines="0" hiddenRows="1">
      <selection activeCell="K28" sqref="K28"/>
      <pageMargins left="0.7" right="0.7" top="0.75" bottom="0.75" header="0.3" footer="0.3"/>
    </customSheetView>
  </customSheetViews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B46F0AC-F652-49DB-BE24-DA5E259D700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'Scenario 28 GWh'!E8:N8</xm:f>
              <xm:sqref>O8</xm:sqref>
            </x14:sparkline>
            <x14:sparkline>
              <xm:f>'Scenario 28 GWh'!E9:N9</xm:f>
              <xm:sqref>O9</xm:sqref>
            </x14:sparkline>
            <x14:sparkline>
              <xm:f>'Scenario 28 GWh'!E10:N10</xm:f>
              <xm:sqref>O10</xm:sqref>
            </x14:sparkline>
            <x14:sparkline>
              <xm:f>'Scenario 28 GWh'!E11:N11</xm:f>
              <xm:sqref>O11</xm:sqref>
            </x14:sparkline>
            <x14:sparkline>
              <xm:f>'Scenario 28 GWh'!E12:N12</xm:f>
              <xm:sqref>O12</xm:sqref>
            </x14:sparkline>
            <x14:sparkline>
              <xm:f>'Scenario 28 GWh'!E13:N13</xm:f>
              <xm:sqref>O13</xm:sqref>
            </x14:sparkline>
            <x14:sparkline>
              <xm:f>'Scenario 28 GWh'!E14:N14</xm:f>
              <xm:sqref>O14</xm:sqref>
            </x14:sparkline>
            <x14:sparkline>
              <xm:f>'Scenario 28 GWh'!E15:N15</xm:f>
              <xm:sqref>O15</xm:sqref>
            </x14:sparkline>
            <x14:sparkline>
              <xm:f>'Scenario 28 GWh'!E16:N16</xm:f>
              <xm:sqref>O16</xm:sqref>
            </x14:sparkline>
            <x14:sparkline>
              <xm:f>'Scenario 28 GWh'!E17:N17</xm:f>
              <xm:sqref>O17</xm:sqref>
            </x14:sparkline>
            <x14:sparkline>
              <xm:f>'Scenario 28 GWh'!E18:N18</xm:f>
              <xm:sqref>O18</xm:sqref>
            </x14:sparkline>
            <x14:sparkline>
              <xm:f>'Scenario 28 GWh'!E19:N19</xm:f>
              <xm:sqref>O19</xm:sqref>
            </x14:sparkline>
            <x14:sparkline>
              <xm:f>'Scenario 28 GWh'!E20:N20</xm:f>
              <xm:sqref>O20</xm:sqref>
            </x14:sparkline>
            <x14:sparkline>
              <xm:f>'Scenario 28 GWh'!E21:N21</xm:f>
              <xm:sqref>O21</xm:sqref>
            </x14:sparkline>
            <x14:sparkline>
              <xm:f>'Scenario 28 GWh'!E22:N22</xm:f>
              <xm:sqref>O22</xm:sqref>
            </x14:sparkline>
            <x14:sparkline>
              <xm:f>'Scenario 28 GWh'!E23:N23</xm:f>
              <xm:sqref>O23</xm:sqref>
            </x14:sparkline>
            <x14:sparkline>
              <xm:f>'Scenario 28 GWh'!E24:N24</xm:f>
              <xm:sqref>O24</xm:sqref>
            </x14:sparkline>
            <x14:sparkline>
              <xm:f>'Scenario 28 GWh'!E25:N25</xm:f>
              <xm:sqref>O25</xm:sqref>
            </x14:sparkline>
            <x14:sparkline>
              <xm:f>'Scenario 28 GWh'!E26:N26</xm:f>
              <xm:sqref>O26</xm:sqref>
            </x14:sparkline>
            <x14:sparkline>
              <xm:f>'Scenario 28 GWh'!E27:N27</xm:f>
              <xm:sqref>O27</xm:sqref>
            </x14:sparkline>
            <x14:sparkline>
              <xm:f>'Scenario 28 GWh'!E28:N28</xm:f>
              <xm:sqref>O28</xm:sqref>
            </x14:sparkline>
            <x14:sparkline>
              <xm:f>'Scenario 28 GWh'!E29:N29</xm:f>
              <xm:sqref>O29</xm:sqref>
            </x14:sparkline>
            <x14:sparkline>
              <xm:f>'Scenario 28 GWh'!E30:N30</xm:f>
              <xm:sqref>O30</xm:sqref>
            </x14:sparkline>
            <x14:sparkline>
              <xm:f>'Scenario 28 GWh'!E31:N31</xm:f>
              <xm:sqref>O31</xm:sqref>
            </x14:sparkline>
            <x14:sparkline>
              <xm:f>'Scenario 28 GWh'!E32:N32</xm:f>
              <xm:sqref>O32</xm:sqref>
            </x14:sparkline>
            <x14:sparkline>
              <xm:f>'Scenario 28 GWh'!E33:N33</xm:f>
              <xm:sqref>O33</xm:sqref>
            </x14:sparkline>
            <x14:sparkline>
              <xm:f>'Scenario 28 GWh'!E34:N34</xm:f>
              <xm:sqref>O34</xm:sqref>
            </x14:sparkline>
            <x14:sparkline>
              <xm:f>'Scenario 28 GWh'!E35:N35</xm:f>
              <xm:sqref>O35</xm:sqref>
            </x14:sparkline>
            <x14:sparkline>
              <xm:f>'Scenario 28 GWh'!E36:N36</xm:f>
              <xm:sqref>O36</xm:sqref>
            </x14:sparkline>
            <x14:sparkline>
              <xm:f>'Scenario 28 GWh'!E37:N37</xm:f>
              <xm:sqref>O37</xm:sqref>
            </x14:sparkline>
            <x14:sparkline>
              <xm:f>'Scenario 28 GWh'!E38:N38</xm:f>
              <xm:sqref>O38</xm:sqref>
            </x14:sparkline>
            <x14:sparkline>
              <xm:f>'Scenario 28 GWh'!E39:N39</xm:f>
              <xm:sqref>O39</xm:sqref>
            </x14:sparkline>
          </x14:sparklines>
        </x14:sparklineGroup>
      </x14:sparklineGroup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7F49F-1561-419C-B31C-066F255F1EE0}">
  <sheetPr codeName="Sheet5">
    <outlinePr summaryBelow="0"/>
  </sheetPr>
  <dimension ref="A1:N42"/>
  <sheetViews>
    <sheetView showGridLines="0" zoomScale="85" zoomScaleNormal="85" workbookViewId="0">
      <selection activeCell="P5" sqref="P5"/>
    </sheetView>
  </sheetViews>
  <sheetFormatPr defaultRowHeight="15" outlineLevelRow="1" outlineLevelCol="1" x14ac:dyDescent="0.25"/>
  <cols>
    <col min="1" max="1" width="30.7109375" bestFit="1" customWidth="1"/>
    <col min="2" max="2" width="3" customWidth="1"/>
    <col min="3" max="3" width="11.28515625" customWidth="1"/>
    <col min="4" max="14" width="13.140625" bestFit="1" customWidth="1" outlineLevel="1"/>
    <col min="15" max="15" width="17.85546875" customWidth="1"/>
  </cols>
  <sheetData>
    <row r="1" spans="1:14" ht="15.75" thickBot="1" x14ac:dyDescent="0.3"/>
    <row r="2" spans="1:14" ht="15.75" x14ac:dyDescent="0.25">
      <c r="B2" s="27" t="s">
        <v>195</v>
      </c>
      <c r="C2" s="27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</row>
    <row r="3" spans="1:14" ht="15.75" collapsed="1" x14ac:dyDescent="0.25">
      <c r="B3" s="26"/>
      <c r="C3" s="26"/>
      <c r="D3" s="33" t="s">
        <v>197</v>
      </c>
      <c r="E3" s="33" t="s">
        <v>184</v>
      </c>
      <c r="F3" s="33" t="s">
        <v>186</v>
      </c>
      <c r="G3" s="33" t="s">
        <v>187</v>
      </c>
      <c r="H3" s="33" t="s">
        <v>188</v>
      </c>
      <c r="I3" s="33" t="s">
        <v>189</v>
      </c>
      <c r="J3" s="33" t="s">
        <v>190</v>
      </c>
      <c r="K3" s="33" t="s">
        <v>191</v>
      </c>
      <c r="L3" s="33" t="s">
        <v>192</v>
      </c>
      <c r="M3" s="33" t="s">
        <v>193</v>
      </c>
      <c r="N3" s="33" t="s">
        <v>194</v>
      </c>
    </row>
    <row r="4" spans="1:14" ht="45" hidden="1" outlineLevel="1" x14ac:dyDescent="0.25">
      <c r="B4" s="29"/>
      <c r="C4" s="29"/>
      <c r="D4" s="21"/>
      <c r="E4" s="35" t="s">
        <v>185</v>
      </c>
      <c r="F4" s="35" t="s">
        <v>185</v>
      </c>
      <c r="G4" s="35" t="s">
        <v>185</v>
      </c>
      <c r="H4" s="35" t="s">
        <v>185</v>
      </c>
      <c r="I4" s="35" t="s">
        <v>185</v>
      </c>
      <c r="J4" s="35" t="s">
        <v>185</v>
      </c>
      <c r="K4" s="35" t="s">
        <v>185</v>
      </c>
      <c r="L4" s="35" t="s">
        <v>185</v>
      </c>
      <c r="M4" s="35" t="s">
        <v>185</v>
      </c>
      <c r="N4" s="35" t="s">
        <v>185</v>
      </c>
    </row>
    <row r="5" spans="1:14" x14ac:dyDescent="0.25">
      <c r="B5" s="30" t="s">
        <v>196</v>
      </c>
      <c r="C5" s="30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</row>
    <row r="6" spans="1:14" outlineLevel="1" x14ac:dyDescent="0.25">
      <c r="B6" s="29"/>
      <c r="C6" s="29" t="s">
        <v>151</v>
      </c>
      <c r="D6" s="22">
        <v>1</v>
      </c>
      <c r="E6" s="34">
        <v>0.1</v>
      </c>
      <c r="F6" s="34">
        <v>0.2</v>
      </c>
      <c r="G6" s="34">
        <v>0.3</v>
      </c>
      <c r="H6" s="34">
        <v>0.4</v>
      </c>
      <c r="I6" s="34">
        <v>0.5</v>
      </c>
      <c r="J6" s="34">
        <v>0.6</v>
      </c>
      <c r="K6" s="34">
        <v>0.7</v>
      </c>
      <c r="L6" s="34">
        <v>0.8</v>
      </c>
      <c r="M6" s="34">
        <v>0.9</v>
      </c>
      <c r="N6" s="34">
        <v>1</v>
      </c>
    </row>
    <row r="7" spans="1:14" x14ac:dyDescent="0.25">
      <c r="B7" s="30" t="s">
        <v>198</v>
      </c>
      <c r="C7" s="30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</row>
    <row r="8" spans="1:14" outlineLevel="1" x14ac:dyDescent="0.25">
      <c r="A8" s="5" t="str">
        <f>'Model-1'!N49</f>
        <v>Indtægter total</v>
      </c>
      <c r="B8" s="29"/>
      <c r="C8" s="29" t="s">
        <v>152</v>
      </c>
      <c r="D8" s="23">
        <v>18118707.4232703</v>
      </c>
      <c r="E8" s="23">
        <v>16310010.253459301</v>
      </c>
      <c r="F8" s="23">
        <v>16483548.253459301</v>
      </c>
      <c r="G8" s="23">
        <v>16657086.253459301</v>
      </c>
      <c r="H8" s="23">
        <v>17048733.495270301</v>
      </c>
      <c r="I8" s="23">
        <v>17227062.483270299</v>
      </c>
      <c r="J8" s="23">
        <v>17405391.4712703</v>
      </c>
      <c r="K8" s="23">
        <v>17583720.459270298</v>
      </c>
      <c r="L8" s="23">
        <v>17762049.4472703</v>
      </c>
      <c r="M8" s="23">
        <v>17940378.435270298</v>
      </c>
      <c r="N8" s="23">
        <v>18118707.4232703</v>
      </c>
    </row>
    <row r="9" spans="1:14" outlineLevel="1" x14ac:dyDescent="0.25">
      <c r="A9" s="5" t="str">
        <f>'Model-1'!N50</f>
        <v>Omkostninger total</v>
      </c>
      <c r="B9" s="29"/>
      <c r="C9" s="29" t="s">
        <v>153</v>
      </c>
      <c r="D9" s="23">
        <v>8974185.9215454608</v>
      </c>
      <c r="E9" s="23">
        <v>7934106.8600176601</v>
      </c>
      <c r="F9" s="23">
        <v>8049671.2001874102</v>
      </c>
      <c r="G9" s="23">
        <v>8165235.5403571697</v>
      </c>
      <c r="H9" s="23">
        <v>8280799.8805269198</v>
      </c>
      <c r="I9" s="23">
        <v>8396364.2206966802</v>
      </c>
      <c r="J9" s="23">
        <v>8511928.5608664397</v>
      </c>
      <c r="K9" s="23">
        <v>8627492.9010361899</v>
      </c>
      <c r="L9" s="23">
        <v>8743057.2412059493</v>
      </c>
      <c r="M9" s="23">
        <v>8858621.5813757107</v>
      </c>
      <c r="N9" s="23">
        <v>8974185.9215454608</v>
      </c>
    </row>
    <row r="10" spans="1:14" outlineLevel="1" x14ac:dyDescent="0.25">
      <c r="A10" s="5" t="str">
        <f>'Model-1'!N51</f>
        <v>Dækningsbidrag</v>
      </c>
      <c r="B10" s="29"/>
      <c r="C10" s="29" t="s">
        <v>154</v>
      </c>
      <c r="D10" s="23">
        <v>9144521.5017248206</v>
      </c>
      <c r="E10" s="23">
        <v>8375903.3934416501</v>
      </c>
      <c r="F10" s="23">
        <v>8433877.0532719009</v>
      </c>
      <c r="G10" s="23">
        <v>8491850.7131021395</v>
      </c>
      <c r="H10" s="23">
        <v>8767933.6147433594</v>
      </c>
      <c r="I10" s="23">
        <v>8830698.2625735998</v>
      </c>
      <c r="J10" s="23">
        <v>8893462.9104038496</v>
      </c>
      <c r="K10" s="23">
        <v>8956227.55823409</v>
      </c>
      <c r="L10" s="23">
        <v>9018992.2060643304</v>
      </c>
      <c r="M10" s="23">
        <v>9081756.8538945802</v>
      </c>
      <c r="N10" s="23">
        <v>9144521.5017248206</v>
      </c>
    </row>
    <row r="11" spans="1:14" outlineLevel="1" x14ac:dyDescent="0.25">
      <c r="A11" s="5">
        <f>'Model-1'!N52</f>
        <v>0</v>
      </c>
      <c r="B11" s="29"/>
      <c r="C11" s="29" t="s">
        <v>155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</row>
    <row r="12" spans="1:14" outlineLevel="1" x14ac:dyDescent="0.25">
      <c r="A12" s="5" t="str">
        <f>'Model-1'!N53</f>
        <v>Varmesalg</v>
      </c>
      <c r="B12" s="29"/>
      <c r="C12" s="29" t="s">
        <v>156</v>
      </c>
      <c r="D12" s="23">
        <v>9139668</v>
      </c>
      <c r="E12" s="23">
        <v>7577826</v>
      </c>
      <c r="F12" s="23">
        <v>7751364</v>
      </c>
      <c r="G12" s="23">
        <v>7924902</v>
      </c>
      <c r="H12" s="23">
        <v>8098440</v>
      </c>
      <c r="I12" s="23">
        <v>8271978</v>
      </c>
      <c r="J12" s="23">
        <v>8445516</v>
      </c>
      <c r="K12" s="23">
        <v>8619054</v>
      </c>
      <c r="L12" s="23">
        <v>8792592</v>
      </c>
      <c r="M12" s="23">
        <v>8966130</v>
      </c>
      <c r="N12" s="23">
        <v>9139668</v>
      </c>
    </row>
    <row r="13" spans="1:14" outlineLevel="1" x14ac:dyDescent="0.25">
      <c r="A13" s="5" t="str">
        <f>'Model-1'!N54</f>
        <v>Elsalg</v>
      </c>
      <c r="B13" s="29"/>
      <c r="C13" s="29" t="s">
        <v>157</v>
      </c>
      <c r="D13" s="23">
        <v>3947332.4512195098</v>
      </c>
      <c r="E13" s="23">
        <v>3947332.4512195098</v>
      </c>
      <c r="F13" s="23">
        <v>3947332.4512195098</v>
      </c>
      <c r="G13" s="23">
        <v>3947332.4512195098</v>
      </c>
      <c r="H13" s="23">
        <v>3947332.4512195098</v>
      </c>
      <c r="I13" s="23">
        <v>3947332.4512195098</v>
      </c>
      <c r="J13" s="23">
        <v>3947332.4512195098</v>
      </c>
      <c r="K13" s="23">
        <v>3947332.4512195098</v>
      </c>
      <c r="L13" s="23">
        <v>3947332.4512195098</v>
      </c>
      <c r="M13" s="23">
        <v>3947332.4512195098</v>
      </c>
      <c r="N13" s="23">
        <v>3947332.4512195098</v>
      </c>
    </row>
    <row r="14" spans="1:14" outlineLevel="1" x14ac:dyDescent="0.25">
      <c r="A14" s="5" t="str">
        <f>'Model-1'!N55</f>
        <v>RGK-rabat</v>
      </c>
      <c r="B14" s="29"/>
      <c r="C14" s="29" t="s">
        <v>158</v>
      </c>
      <c r="D14" s="23">
        <v>246855.16981097599</v>
      </c>
      <c r="E14" s="23">
        <v>0</v>
      </c>
      <c r="F14" s="23">
        <v>0</v>
      </c>
      <c r="G14" s="23">
        <v>0</v>
      </c>
      <c r="H14" s="23">
        <v>218109.241810976</v>
      </c>
      <c r="I14" s="23">
        <v>222900.22981097599</v>
      </c>
      <c r="J14" s="23">
        <v>227691.217810976</v>
      </c>
      <c r="K14" s="23">
        <v>232482.20581097601</v>
      </c>
      <c r="L14" s="23">
        <v>237273.19381097599</v>
      </c>
      <c r="M14" s="23">
        <v>242064.18181097601</v>
      </c>
      <c r="N14" s="23">
        <v>246855.16981097599</v>
      </c>
    </row>
    <row r="15" spans="1:14" outlineLevel="1" x14ac:dyDescent="0.25">
      <c r="A15" s="5" t="str">
        <f>'Model-1'!N56</f>
        <v>Modtagebetaling affald</v>
      </c>
      <c r="B15" s="29"/>
      <c r="C15" s="29" t="s">
        <v>159</v>
      </c>
      <c r="D15" s="23">
        <v>4784851.8022397999</v>
      </c>
      <c r="E15" s="23">
        <v>4784851.8022397999</v>
      </c>
      <c r="F15" s="23">
        <v>4784851.8022397999</v>
      </c>
      <c r="G15" s="23">
        <v>4784851.8022397999</v>
      </c>
      <c r="H15" s="23">
        <v>4784851.8022397999</v>
      </c>
      <c r="I15" s="23">
        <v>4784851.8022397999</v>
      </c>
      <c r="J15" s="23">
        <v>4784851.8022397999</v>
      </c>
      <c r="K15" s="23">
        <v>4784851.8022397999</v>
      </c>
      <c r="L15" s="23">
        <v>4784851.8022397999</v>
      </c>
      <c r="M15" s="23">
        <v>4784851.8022397999</v>
      </c>
      <c r="N15" s="23">
        <v>4784851.8022397999</v>
      </c>
    </row>
    <row r="16" spans="1:14" outlineLevel="1" x14ac:dyDescent="0.25">
      <c r="A16" s="5">
        <f>'Model-1'!N57</f>
        <v>0</v>
      </c>
      <c r="B16" s="29"/>
      <c r="C16" s="29" t="s">
        <v>160</v>
      </c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</row>
    <row r="17" spans="1:14" outlineLevel="1" x14ac:dyDescent="0.25">
      <c r="A17" s="5" t="str">
        <f>'Model-1'!N58</f>
        <v>Betaling bioaffald</v>
      </c>
      <c r="B17" s="29"/>
      <c r="C17" s="29" t="s">
        <v>161</v>
      </c>
      <c r="D17" s="23">
        <v>0</v>
      </c>
      <c r="E17" s="23">
        <v>0</v>
      </c>
      <c r="F17" s="23">
        <v>0</v>
      </c>
      <c r="G17" s="23">
        <v>0</v>
      </c>
      <c r="H17" s="23">
        <v>0</v>
      </c>
      <c r="I17" s="23">
        <v>0</v>
      </c>
      <c r="J17" s="23">
        <v>0</v>
      </c>
      <c r="K17" s="23">
        <v>0</v>
      </c>
      <c r="L17" s="23">
        <v>0</v>
      </c>
      <c r="M17" s="23">
        <v>0</v>
      </c>
      <c r="N17" s="23">
        <v>0</v>
      </c>
    </row>
    <row r="18" spans="1:14" outlineLevel="1" x14ac:dyDescent="0.25">
      <c r="A18" s="5" t="str">
        <f>'Model-1'!N59</f>
        <v>DV-omkostninger</v>
      </c>
      <c r="B18" s="29"/>
      <c r="C18" s="29" t="s">
        <v>162</v>
      </c>
      <c r="D18" s="23">
        <v>1107810.8046975599</v>
      </c>
      <c r="E18" s="23">
        <v>1054917.0804697601</v>
      </c>
      <c r="F18" s="23">
        <v>1060794.16093951</v>
      </c>
      <c r="G18" s="23">
        <v>1066671.2414092701</v>
      </c>
      <c r="H18" s="23">
        <v>1072548.32187902</v>
      </c>
      <c r="I18" s="23">
        <v>1078425.4023487801</v>
      </c>
      <c r="J18" s="23">
        <v>1084302.48281854</v>
      </c>
      <c r="K18" s="23">
        <v>1090179.5632882901</v>
      </c>
      <c r="L18" s="23">
        <v>1096056.6437580499</v>
      </c>
      <c r="M18" s="23">
        <v>1101933.7242278</v>
      </c>
      <c r="N18" s="23">
        <v>1107810.8046975599</v>
      </c>
    </row>
    <row r="19" spans="1:14" outlineLevel="1" x14ac:dyDescent="0.25">
      <c r="A19" s="5" t="str">
        <f>'Model-1'!N60</f>
        <v>Affaldvarme-afgift</v>
      </c>
      <c r="B19" s="29"/>
      <c r="C19" s="29" t="s">
        <v>163</v>
      </c>
      <c r="D19" s="23">
        <v>2729557.44</v>
      </c>
      <c r="E19" s="23">
        <v>2263114.08</v>
      </c>
      <c r="F19" s="23">
        <v>2314941.12</v>
      </c>
      <c r="G19" s="23">
        <v>2366768.16</v>
      </c>
      <c r="H19" s="23">
        <v>2418595.2000000002</v>
      </c>
      <c r="I19" s="23">
        <v>2470422.2400000002</v>
      </c>
      <c r="J19" s="23">
        <v>2522249.2799999998</v>
      </c>
      <c r="K19" s="23">
        <v>2574076.3199999998</v>
      </c>
      <c r="L19" s="23">
        <v>2625903.36</v>
      </c>
      <c r="M19" s="23">
        <v>2677730.4</v>
      </c>
      <c r="N19" s="23">
        <v>2729557.44</v>
      </c>
    </row>
    <row r="20" spans="1:14" outlineLevel="1" x14ac:dyDescent="0.25">
      <c r="A20" s="5" t="str">
        <f>'Model-1'!N61</f>
        <v>Tillægsafgift</v>
      </c>
      <c r="B20" s="29"/>
      <c r="C20" s="29" t="s">
        <v>164</v>
      </c>
      <c r="D20" s="23">
        <v>2468551.6981097599</v>
      </c>
      <c r="E20" s="23">
        <v>2037362.77810976</v>
      </c>
      <c r="F20" s="23">
        <v>2085272.6581097599</v>
      </c>
      <c r="G20" s="23">
        <v>2133182.5381097598</v>
      </c>
      <c r="H20" s="23">
        <v>2181092.4181097602</v>
      </c>
      <c r="I20" s="23">
        <v>2229002.29810976</v>
      </c>
      <c r="J20" s="23">
        <v>2276912.1781097599</v>
      </c>
      <c r="K20" s="23">
        <v>2324822.0581097598</v>
      </c>
      <c r="L20" s="23">
        <v>2372731.9381097602</v>
      </c>
      <c r="M20" s="23">
        <v>2420641.8181097601</v>
      </c>
      <c r="N20" s="23">
        <v>2468551.6981097599</v>
      </c>
    </row>
    <row r="21" spans="1:14" outlineLevel="1" x14ac:dyDescent="0.25">
      <c r="A21" s="5" t="str">
        <f>'Model-1'!N62</f>
        <v>CO2-afgift</v>
      </c>
      <c r="B21" s="29"/>
      <c r="C21" s="29" t="s">
        <v>165</v>
      </c>
      <c r="D21" s="23">
        <v>512690.24182911601</v>
      </c>
      <c r="E21" s="23">
        <v>423137.18452911603</v>
      </c>
      <c r="F21" s="23">
        <v>433087.52422911598</v>
      </c>
      <c r="G21" s="23">
        <v>443037.86392911599</v>
      </c>
      <c r="H21" s="23">
        <v>452988.203629116</v>
      </c>
      <c r="I21" s="23">
        <v>462938.54332911602</v>
      </c>
      <c r="J21" s="23">
        <v>472888.88302911603</v>
      </c>
      <c r="K21" s="23">
        <v>482839.22272911598</v>
      </c>
      <c r="L21" s="23">
        <v>492789.56242911599</v>
      </c>
      <c r="M21" s="23">
        <v>502739.902129116</v>
      </c>
      <c r="N21" s="23">
        <v>512690.24182911601</v>
      </c>
    </row>
    <row r="22" spans="1:14" outlineLevel="1" x14ac:dyDescent="0.25">
      <c r="A22" s="5" t="str">
        <f>'Model-1'!N63</f>
        <v>Kvote-omkostning</v>
      </c>
      <c r="B22" s="29"/>
      <c r="C22" s="29" t="s">
        <v>166</v>
      </c>
      <c r="D22" s="23">
        <v>2155575.73690903</v>
      </c>
      <c r="E22" s="23">
        <v>2155575.73690903</v>
      </c>
      <c r="F22" s="23">
        <v>2155575.73690903</v>
      </c>
      <c r="G22" s="23">
        <v>2155575.73690903</v>
      </c>
      <c r="H22" s="23">
        <v>2155575.73690903</v>
      </c>
      <c r="I22" s="23">
        <v>2155575.73690903</v>
      </c>
      <c r="J22" s="23">
        <v>2155575.73690903</v>
      </c>
      <c r="K22" s="23">
        <v>2155575.73690903</v>
      </c>
      <c r="L22" s="23">
        <v>2155575.73690903</v>
      </c>
      <c r="M22" s="23">
        <v>2155575.73690903</v>
      </c>
      <c r="N22" s="23">
        <v>2155575.73690903</v>
      </c>
    </row>
    <row r="23" spans="1:14" outlineLevel="1" x14ac:dyDescent="0.25">
      <c r="A23" s="5">
        <f>'Model-1'!N64</f>
        <v>0</v>
      </c>
      <c r="B23" s="29"/>
      <c r="C23" s="29" t="s">
        <v>167</v>
      </c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</row>
    <row r="24" spans="1:14" outlineLevel="1" x14ac:dyDescent="0.25">
      <c r="A24" s="5" t="str">
        <f>'Model-1'!N65</f>
        <v>Varmemængder:</v>
      </c>
      <c r="B24" s="29"/>
      <c r="C24" s="29" t="s">
        <v>168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</row>
    <row r="25" spans="1:14" outlineLevel="1" x14ac:dyDescent="0.25">
      <c r="A25" s="5" t="str">
        <f>'Model-1'!N66</f>
        <v>Varmeproduktion Ovn2</v>
      </c>
      <c r="B25" s="29"/>
      <c r="C25" s="29" t="s">
        <v>169</v>
      </c>
      <c r="D25" s="24">
        <v>8556</v>
      </c>
      <c r="E25" s="24">
        <v>7216.8</v>
      </c>
      <c r="F25" s="24">
        <v>7365.6</v>
      </c>
      <c r="G25" s="24">
        <v>7514.4</v>
      </c>
      <c r="H25" s="24">
        <v>7663.2</v>
      </c>
      <c r="I25" s="24">
        <v>7812</v>
      </c>
      <c r="J25" s="24">
        <v>7960.8</v>
      </c>
      <c r="K25" s="24">
        <v>8109.6</v>
      </c>
      <c r="L25" s="24">
        <v>8258.4</v>
      </c>
      <c r="M25" s="24">
        <v>8407.2000000000007</v>
      </c>
      <c r="N25" s="24">
        <v>8556</v>
      </c>
    </row>
    <row r="26" spans="1:14" outlineLevel="1" x14ac:dyDescent="0.25">
      <c r="A26" s="5" t="str">
        <f>'Model-1'!N67</f>
        <v>Varmeproduktion Ovn3</v>
      </c>
      <c r="B26" s="29"/>
      <c r="C26" s="29" t="s">
        <v>170</v>
      </c>
      <c r="D26" s="24">
        <v>20832</v>
      </c>
      <c r="E26" s="24">
        <v>17149.2</v>
      </c>
      <c r="F26" s="24">
        <v>17558.400000000001</v>
      </c>
      <c r="G26" s="24">
        <v>17967.599999999999</v>
      </c>
      <c r="H26" s="24">
        <v>18376.8</v>
      </c>
      <c r="I26" s="24">
        <v>18786</v>
      </c>
      <c r="J26" s="24">
        <v>19195.2</v>
      </c>
      <c r="K26" s="24">
        <v>19604.400000000001</v>
      </c>
      <c r="L26" s="24">
        <v>20013.599999999999</v>
      </c>
      <c r="M26" s="24">
        <v>20422.8</v>
      </c>
      <c r="N26" s="24">
        <v>20832</v>
      </c>
    </row>
    <row r="27" spans="1:14" outlineLevel="1" x14ac:dyDescent="0.25">
      <c r="A27" s="5" t="str">
        <f>'Model-1'!N68</f>
        <v>Heraf RGK-varme</v>
      </c>
      <c r="B27" s="29"/>
      <c r="C27" s="29" t="s">
        <v>171</v>
      </c>
      <c r="D27" s="24">
        <v>5877.0804697560598</v>
      </c>
      <c r="E27" s="24">
        <v>587.70804697560595</v>
      </c>
      <c r="F27" s="24">
        <v>1175.4160939512101</v>
      </c>
      <c r="G27" s="24">
        <v>1763.12414092682</v>
      </c>
      <c r="H27" s="24">
        <v>2350.8321879024202</v>
      </c>
      <c r="I27" s="24">
        <v>2938.5402348780299</v>
      </c>
      <c r="J27" s="24">
        <v>3526.24828185363</v>
      </c>
      <c r="K27" s="24">
        <v>4113.9563288292402</v>
      </c>
      <c r="L27" s="24">
        <v>4701.6643758048504</v>
      </c>
      <c r="M27" s="24">
        <v>5289.3724227804496</v>
      </c>
      <c r="N27" s="24">
        <v>5877.0804697560598</v>
      </c>
    </row>
    <row r="28" spans="1:14" outlineLevel="1" x14ac:dyDescent="0.25">
      <c r="A28" s="5" t="str">
        <f>'Model-1'!N69</f>
        <v>Bortkølet varme</v>
      </c>
      <c r="B28" s="29"/>
      <c r="C28" s="29" t="s">
        <v>172</v>
      </c>
      <c r="D28" s="24">
        <v>0</v>
      </c>
      <c r="E28" s="24">
        <v>0</v>
      </c>
      <c r="F28" s="24">
        <v>0</v>
      </c>
      <c r="G28" s="24">
        <v>0</v>
      </c>
      <c r="H28" s="24">
        <v>0</v>
      </c>
      <c r="I28" s="24">
        <v>0</v>
      </c>
      <c r="J28" s="24">
        <v>0</v>
      </c>
      <c r="K28" s="24">
        <v>0</v>
      </c>
      <c r="L28" s="24">
        <v>0</v>
      </c>
      <c r="M28" s="24">
        <v>0</v>
      </c>
      <c r="N28" s="24">
        <v>0</v>
      </c>
    </row>
    <row r="29" spans="1:14" outlineLevel="1" x14ac:dyDescent="0.25">
      <c r="A29" s="5" t="str">
        <f>'Model-1'!N70</f>
        <v>Leveret affaldsvarme</v>
      </c>
      <c r="B29" s="29"/>
      <c r="C29" s="29" t="s">
        <v>173</v>
      </c>
      <c r="D29" s="24">
        <v>29388</v>
      </c>
      <c r="E29" s="24">
        <v>24366</v>
      </c>
      <c r="F29" s="24">
        <v>24924</v>
      </c>
      <c r="G29" s="24">
        <v>25482</v>
      </c>
      <c r="H29" s="24">
        <v>26040</v>
      </c>
      <c r="I29" s="24">
        <v>26598</v>
      </c>
      <c r="J29" s="24">
        <v>27156</v>
      </c>
      <c r="K29" s="24">
        <v>27714</v>
      </c>
      <c r="L29" s="24">
        <v>28272</v>
      </c>
      <c r="M29" s="24">
        <v>28830</v>
      </c>
      <c r="N29" s="24">
        <v>29388</v>
      </c>
    </row>
    <row r="30" spans="1:14" outlineLevel="1" x14ac:dyDescent="0.25">
      <c r="A30" s="5" t="str">
        <f>'Model-1'!N71</f>
        <v>Spidslastvarme</v>
      </c>
      <c r="B30" s="29"/>
      <c r="C30" s="29" t="s">
        <v>174</v>
      </c>
      <c r="D30" s="24">
        <v>5612</v>
      </c>
      <c r="E30" s="24">
        <v>10634</v>
      </c>
      <c r="F30" s="24">
        <v>10076</v>
      </c>
      <c r="G30" s="24">
        <v>9518</v>
      </c>
      <c r="H30" s="24">
        <v>8960</v>
      </c>
      <c r="I30" s="24">
        <v>8402</v>
      </c>
      <c r="J30" s="24">
        <v>7844</v>
      </c>
      <c r="K30" s="24">
        <v>7286</v>
      </c>
      <c r="L30" s="24">
        <v>6728</v>
      </c>
      <c r="M30" s="24">
        <v>6170</v>
      </c>
      <c r="N30" s="24">
        <v>5612</v>
      </c>
    </row>
    <row r="31" spans="1:14" outlineLevel="1" x14ac:dyDescent="0.25">
      <c r="A31" s="5">
        <f>'Model-1'!N72</f>
        <v>0</v>
      </c>
      <c r="B31" s="29"/>
      <c r="C31" s="29" t="s">
        <v>175</v>
      </c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</row>
    <row r="32" spans="1:14" outlineLevel="1" x14ac:dyDescent="0.25">
      <c r="A32" s="5" t="str">
        <f>'Model-1'!N73</f>
        <v>Brændselsmængder:</v>
      </c>
      <c r="B32" s="29"/>
      <c r="C32" s="29" t="s">
        <v>176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</row>
    <row r="33" spans="1:14" outlineLevel="1" x14ac:dyDescent="0.25">
      <c r="A33" s="5" t="str">
        <f>'Model-1'!N74</f>
        <v>Affaldsforbrug Ovn3</v>
      </c>
      <c r="B33" s="29"/>
      <c r="C33" s="29" t="s">
        <v>177</v>
      </c>
      <c r="D33" s="24">
        <v>9006.456241033</v>
      </c>
      <c r="E33" s="24">
        <v>9006.456241033</v>
      </c>
      <c r="F33" s="24">
        <v>9006.456241033</v>
      </c>
      <c r="G33" s="24">
        <v>9006.456241033</v>
      </c>
      <c r="H33" s="24">
        <v>9006.456241033</v>
      </c>
      <c r="I33" s="24">
        <v>9006.456241033</v>
      </c>
      <c r="J33" s="24">
        <v>9006.456241033</v>
      </c>
      <c r="K33" s="24">
        <v>9006.456241033</v>
      </c>
      <c r="L33" s="24">
        <v>9006.456241033</v>
      </c>
      <c r="M33" s="24">
        <v>9006.456241033</v>
      </c>
      <c r="N33" s="24">
        <v>9006.456241033</v>
      </c>
    </row>
    <row r="34" spans="1:14" outlineLevel="1" x14ac:dyDescent="0.25">
      <c r="A34" s="5" t="str">
        <f>'Model-1'!N75</f>
        <v>Nordic Sugar varme</v>
      </c>
      <c r="B34" s="29"/>
      <c r="C34" s="29" t="s">
        <v>178</v>
      </c>
      <c r="D34" s="24">
        <v>4000</v>
      </c>
      <c r="E34" s="24">
        <v>4000</v>
      </c>
      <c r="F34" s="24">
        <v>4000</v>
      </c>
      <c r="G34" s="24">
        <v>4000</v>
      </c>
      <c r="H34" s="24">
        <v>4000</v>
      </c>
      <c r="I34" s="24">
        <v>4000</v>
      </c>
      <c r="J34" s="24">
        <v>4000</v>
      </c>
      <c r="K34" s="24">
        <v>4000</v>
      </c>
      <c r="L34" s="24">
        <v>4000</v>
      </c>
      <c r="M34" s="24">
        <v>4000</v>
      </c>
      <c r="N34" s="24">
        <v>4000</v>
      </c>
    </row>
    <row r="35" spans="1:14" outlineLevel="1" x14ac:dyDescent="0.25">
      <c r="A35" s="5" t="str">
        <f>'Model-1'!N76</f>
        <v>Affaldsforbrug Ovn2</v>
      </c>
      <c r="B35" s="29"/>
      <c r="C35" s="29" t="s">
        <v>179</v>
      </c>
      <c r="D35" s="24">
        <v>2955.6732645664902</v>
      </c>
      <c r="E35" s="24">
        <v>2955.6732645664902</v>
      </c>
      <c r="F35" s="24">
        <v>2955.6732645664902</v>
      </c>
      <c r="G35" s="24">
        <v>2955.6732645664902</v>
      </c>
      <c r="H35" s="24">
        <v>2955.6732645664902</v>
      </c>
      <c r="I35" s="24">
        <v>2955.6732645664902</v>
      </c>
      <c r="J35" s="24">
        <v>2955.6732645664902</v>
      </c>
      <c r="K35" s="24">
        <v>2955.6732645664902</v>
      </c>
      <c r="L35" s="24">
        <v>2955.6732645664902</v>
      </c>
      <c r="M35" s="24">
        <v>2955.6732645664902</v>
      </c>
      <c r="N35" s="24">
        <v>2955.6732645664902</v>
      </c>
    </row>
    <row r="36" spans="1:14" outlineLevel="1" x14ac:dyDescent="0.25">
      <c r="A36" s="5" t="str">
        <f>'Model-1'!N77</f>
        <v>Affaldsforbrug kølevarme Ovn3</v>
      </c>
      <c r="B36" s="29"/>
      <c r="C36" s="29" t="s">
        <v>180</v>
      </c>
      <c r="D36" s="24">
        <v>0</v>
      </c>
      <c r="E36" s="24">
        <v>0</v>
      </c>
      <c r="F36" s="24">
        <v>0</v>
      </c>
      <c r="G36" s="24">
        <v>0</v>
      </c>
      <c r="H36" s="24">
        <v>0</v>
      </c>
      <c r="I36" s="24">
        <v>0</v>
      </c>
      <c r="J36" s="24">
        <v>0</v>
      </c>
      <c r="K36" s="24">
        <v>0</v>
      </c>
      <c r="L36" s="24">
        <v>0</v>
      </c>
      <c r="M36" s="24">
        <v>0</v>
      </c>
      <c r="N36" s="24">
        <v>0</v>
      </c>
    </row>
    <row r="37" spans="1:14" outlineLevel="1" x14ac:dyDescent="0.25">
      <c r="A37" s="5" t="str">
        <f>'Model-1'!N78</f>
        <v>Affaldsforbrug kølevarme Ovn2</v>
      </c>
      <c r="B37" s="29"/>
      <c r="C37" s="29" t="s">
        <v>181</v>
      </c>
      <c r="D37" s="24">
        <v>0</v>
      </c>
      <c r="E37" s="24">
        <v>0</v>
      </c>
      <c r="F37" s="24">
        <v>0</v>
      </c>
      <c r="G37" s="24">
        <v>0</v>
      </c>
      <c r="H37" s="24">
        <v>0</v>
      </c>
      <c r="I37" s="24">
        <v>0</v>
      </c>
      <c r="J37" s="24">
        <v>0</v>
      </c>
      <c r="K37" s="24">
        <v>0</v>
      </c>
      <c r="L37" s="24">
        <v>0</v>
      </c>
      <c r="M37" s="24">
        <v>0</v>
      </c>
      <c r="N37" s="24">
        <v>0</v>
      </c>
    </row>
    <row r="38" spans="1:14" outlineLevel="1" x14ac:dyDescent="0.25">
      <c r="A38" s="5" t="str">
        <f>'Model-1'!N79</f>
        <v>Udnyttet affald</v>
      </c>
      <c r="B38" s="29"/>
      <c r="C38" s="29" t="s">
        <v>182</v>
      </c>
      <c r="D38" s="24">
        <v>11962.1295055995</v>
      </c>
      <c r="E38" s="24">
        <v>11962.1295055995</v>
      </c>
      <c r="F38" s="24">
        <v>11962.1295055995</v>
      </c>
      <c r="G38" s="24">
        <v>11962.1295055995</v>
      </c>
      <c r="H38" s="24">
        <v>11962.1295055995</v>
      </c>
      <c r="I38" s="24">
        <v>11962.1295055995</v>
      </c>
      <c r="J38" s="24">
        <v>11962.1295055995</v>
      </c>
      <c r="K38" s="24">
        <v>11962.1295055995</v>
      </c>
      <c r="L38" s="24">
        <v>11962.1295055995</v>
      </c>
      <c r="M38" s="24">
        <v>11962.1295055995</v>
      </c>
      <c r="N38" s="24">
        <v>11962.1295055995</v>
      </c>
    </row>
    <row r="39" spans="1:14" ht="15.75" outlineLevel="1" thickBot="1" x14ac:dyDescent="0.3">
      <c r="A39" s="5" t="str">
        <f>'Model-1'!N80</f>
        <v>Ikke-udnyttet affald</v>
      </c>
      <c r="B39" s="31"/>
      <c r="C39" s="31" t="s">
        <v>183</v>
      </c>
      <c r="D39" s="25">
        <v>37.870494400509401</v>
      </c>
      <c r="E39" s="25">
        <v>37.870494400509401</v>
      </c>
      <c r="F39" s="25">
        <v>37.870494400509401</v>
      </c>
      <c r="G39" s="25">
        <v>37.870494400509401</v>
      </c>
      <c r="H39" s="25">
        <v>37.870494400509401</v>
      </c>
      <c r="I39" s="25">
        <v>37.870494400509401</v>
      </c>
      <c r="J39" s="25">
        <v>37.870494400509401</v>
      </c>
      <c r="K39" s="25">
        <v>37.870494400509401</v>
      </c>
      <c r="L39" s="25">
        <v>37.870494400509898</v>
      </c>
      <c r="M39" s="25">
        <v>37.870494400509003</v>
      </c>
      <c r="N39" s="25">
        <v>37.870494400509401</v>
      </c>
    </row>
    <row r="40" spans="1:14" x14ac:dyDescent="0.25">
      <c r="B40" t="s">
        <v>199</v>
      </c>
    </row>
    <row r="41" spans="1:14" x14ac:dyDescent="0.25">
      <c r="B41" t="s">
        <v>200</v>
      </c>
    </row>
    <row r="42" spans="1:14" x14ac:dyDescent="0.25">
      <c r="B42" t="s">
        <v>201</v>
      </c>
    </row>
  </sheetData>
  <customSheetViews>
    <customSheetView guid="{D61959C2-356A-4414-A70C-587540F5DA06}" scale="85" showGridLines="0" hiddenRows="1">
      <selection activeCell="P5" sqref="P5"/>
      <pageMargins left="0.7" right="0.7" top="0.75" bottom="0.75" header="0.3" footer="0.3"/>
    </customSheetView>
    <customSheetView guid="{01B8EE19-BF49-4F3C-9D6B-CD607AE52779}" scale="85" showGridLines="0" hiddenRows="1">
      <selection activeCell="P5" sqref="P5"/>
      <pageMargins left="0.7" right="0.7" top="0.75" bottom="0.75" header="0.3" footer="0.3"/>
    </customSheetView>
    <customSheetView guid="{2B82E035-636B-4F9F-846A-FEE8C149952C}" scale="85" showGridLines="0" hiddenRows="1">
      <selection activeCell="P5" sqref="P5"/>
      <pageMargins left="0.7" right="0.7" top="0.75" bottom="0.75" header="0.3" footer="0.3"/>
    </customSheetView>
    <customSheetView guid="{B8935784-587B-4D0A-AED7-A4A9B4EF97F4}" scale="85" showGridLines="0" hiddenRows="1">
      <selection activeCell="P5" sqref="P5"/>
      <pageMargins left="0.7" right="0.7" top="0.75" bottom="0.75" header="0.3" footer="0.3"/>
    </customSheetView>
    <customSheetView guid="{EEB625C4-AF57-4951-B4C5-8C71271FF126}" scale="85" showGridLines="0" hiddenRows="1">
      <selection activeCell="P5" sqref="P5"/>
      <pageMargins left="0.7" right="0.7" top="0.75" bottom="0.75" header="0.3" footer="0.3"/>
    </customSheetView>
  </customSheetViews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ED510920-6599-412A-9380-0323910B00C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'Scenario 35 GWh'!E8:N8</xm:f>
              <xm:sqref>O8</xm:sqref>
            </x14:sparkline>
            <x14:sparkline>
              <xm:f>'Scenario 35 GWh'!E9:N9</xm:f>
              <xm:sqref>O9</xm:sqref>
            </x14:sparkline>
            <x14:sparkline>
              <xm:f>'Scenario 35 GWh'!E10:N10</xm:f>
              <xm:sqref>O10</xm:sqref>
            </x14:sparkline>
            <x14:sparkline>
              <xm:f>'Scenario 35 GWh'!E11:N11</xm:f>
              <xm:sqref>O11</xm:sqref>
            </x14:sparkline>
            <x14:sparkline>
              <xm:f>'Scenario 35 GWh'!E12:N12</xm:f>
              <xm:sqref>O12</xm:sqref>
            </x14:sparkline>
            <x14:sparkline>
              <xm:f>'Scenario 35 GWh'!E13:N13</xm:f>
              <xm:sqref>O13</xm:sqref>
            </x14:sparkline>
            <x14:sparkline>
              <xm:f>'Scenario 35 GWh'!E14:N14</xm:f>
              <xm:sqref>O14</xm:sqref>
            </x14:sparkline>
            <x14:sparkline>
              <xm:f>'Scenario 35 GWh'!E15:N15</xm:f>
              <xm:sqref>O15</xm:sqref>
            </x14:sparkline>
            <x14:sparkline>
              <xm:f>'Scenario 35 GWh'!E16:N16</xm:f>
              <xm:sqref>O16</xm:sqref>
            </x14:sparkline>
            <x14:sparkline>
              <xm:f>'Scenario 35 GWh'!E17:N17</xm:f>
              <xm:sqref>O17</xm:sqref>
            </x14:sparkline>
            <x14:sparkline>
              <xm:f>'Scenario 35 GWh'!E18:N18</xm:f>
              <xm:sqref>O18</xm:sqref>
            </x14:sparkline>
            <x14:sparkline>
              <xm:f>'Scenario 35 GWh'!E19:N19</xm:f>
              <xm:sqref>O19</xm:sqref>
            </x14:sparkline>
            <x14:sparkline>
              <xm:f>'Scenario 35 GWh'!E20:N20</xm:f>
              <xm:sqref>O20</xm:sqref>
            </x14:sparkline>
            <x14:sparkline>
              <xm:f>'Scenario 35 GWh'!E21:N21</xm:f>
              <xm:sqref>O21</xm:sqref>
            </x14:sparkline>
            <x14:sparkline>
              <xm:f>'Scenario 35 GWh'!E22:N22</xm:f>
              <xm:sqref>O22</xm:sqref>
            </x14:sparkline>
            <x14:sparkline>
              <xm:f>'Scenario 35 GWh'!E23:N23</xm:f>
              <xm:sqref>O23</xm:sqref>
            </x14:sparkline>
            <x14:sparkline>
              <xm:f>'Scenario 35 GWh'!E24:N24</xm:f>
              <xm:sqref>O24</xm:sqref>
            </x14:sparkline>
            <x14:sparkline>
              <xm:f>'Scenario 35 GWh'!E25:N25</xm:f>
              <xm:sqref>O25</xm:sqref>
            </x14:sparkline>
            <x14:sparkline>
              <xm:f>'Scenario 35 GWh'!E26:N26</xm:f>
              <xm:sqref>O26</xm:sqref>
            </x14:sparkline>
            <x14:sparkline>
              <xm:f>'Scenario 35 GWh'!E27:N27</xm:f>
              <xm:sqref>O27</xm:sqref>
            </x14:sparkline>
            <x14:sparkline>
              <xm:f>'Scenario 35 GWh'!E28:N28</xm:f>
              <xm:sqref>O28</xm:sqref>
            </x14:sparkline>
            <x14:sparkline>
              <xm:f>'Scenario 35 GWh'!E29:N29</xm:f>
              <xm:sqref>O29</xm:sqref>
            </x14:sparkline>
            <x14:sparkline>
              <xm:f>'Scenario 35 GWh'!E30:N30</xm:f>
              <xm:sqref>O30</xm:sqref>
            </x14:sparkline>
            <x14:sparkline>
              <xm:f>'Scenario 35 GWh'!E31:N31</xm:f>
              <xm:sqref>O31</xm:sqref>
            </x14:sparkline>
            <x14:sparkline>
              <xm:f>'Scenario 35 GWh'!E32:N32</xm:f>
              <xm:sqref>O32</xm:sqref>
            </x14:sparkline>
            <x14:sparkline>
              <xm:f>'Scenario 35 GWh'!E33:N33</xm:f>
              <xm:sqref>O33</xm:sqref>
            </x14:sparkline>
            <x14:sparkline>
              <xm:f>'Scenario 35 GWh'!E34:N34</xm:f>
              <xm:sqref>O34</xm:sqref>
            </x14:sparkline>
            <x14:sparkline>
              <xm:f>'Scenario 35 GWh'!E35:N35</xm:f>
              <xm:sqref>O35</xm:sqref>
            </x14:sparkline>
            <x14:sparkline>
              <xm:f>'Scenario 35 GWh'!E36:N36</xm:f>
              <xm:sqref>O36</xm:sqref>
            </x14:sparkline>
            <x14:sparkline>
              <xm:f>'Scenario 35 GWh'!E37:N37</xm:f>
              <xm:sqref>O37</xm:sqref>
            </x14:sparkline>
            <x14:sparkline>
              <xm:f>'Scenario 35 GWh'!E38:N38</xm:f>
              <xm:sqref>O38</xm:sqref>
            </x14:sparkline>
            <x14:sparkline>
              <xm:f>'Scenario 35 GWh'!E39:N39</xm:f>
              <xm:sqref>O39</xm:sqref>
            </x14:sparkline>
          </x14:sparklines>
        </x14:sparklineGroup>
      </x14:sparklineGroup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EAE2D-0C92-4631-B92C-FB0A81AF4228}">
  <sheetPr codeName="Sheet6"/>
  <dimension ref="C2:P30"/>
  <sheetViews>
    <sheetView workbookViewId="0">
      <selection activeCell="I33" sqref="I33"/>
    </sheetView>
  </sheetViews>
  <sheetFormatPr defaultRowHeight="15" x14ac:dyDescent="0.25"/>
  <cols>
    <col min="3" max="3" width="14.140625" bestFit="1" customWidth="1"/>
    <col min="6" max="6" width="14.140625" bestFit="1" customWidth="1"/>
    <col min="10" max="10" width="14.140625" bestFit="1" customWidth="1"/>
  </cols>
  <sheetData>
    <row r="2" spans="3:14" x14ac:dyDescent="0.25">
      <c r="C2" t="s">
        <v>90</v>
      </c>
      <c r="F2" t="s">
        <v>134</v>
      </c>
      <c r="M2" t="s">
        <v>52</v>
      </c>
      <c r="N2" t="s">
        <v>52</v>
      </c>
    </row>
    <row r="3" spans="3:14" x14ac:dyDescent="0.25">
      <c r="D3" t="s">
        <v>68</v>
      </c>
      <c r="G3" t="s">
        <v>0</v>
      </c>
      <c r="H3" t="s">
        <v>1</v>
      </c>
      <c r="K3" t="s">
        <v>91</v>
      </c>
      <c r="M3" t="s">
        <v>0</v>
      </c>
      <c r="N3" t="s">
        <v>1</v>
      </c>
    </row>
    <row r="4" spans="3:14" x14ac:dyDescent="0.25">
      <c r="C4" t="s">
        <v>69</v>
      </c>
      <c r="D4" s="12">
        <v>11400.2114002</v>
      </c>
      <c r="F4" t="s">
        <v>69</v>
      </c>
      <c r="G4" s="12">
        <v>1382.27949725194</v>
      </c>
      <c r="H4" s="12">
        <v>2526.36441138806</v>
      </c>
      <c r="J4" t="s">
        <v>69</v>
      </c>
      <c r="K4" s="13">
        <v>10.5</v>
      </c>
      <c r="M4" s="12">
        <f>G4*$K4/3.6</f>
        <v>4031.6485336514916</v>
      </c>
      <c r="N4" s="12">
        <f>H4*$K4/3.6</f>
        <v>7368.5628665485083</v>
      </c>
    </row>
    <row r="5" spans="3:14" x14ac:dyDescent="0.25">
      <c r="C5" t="s">
        <v>70</v>
      </c>
      <c r="D5" s="12">
        <v>0</v>
      </c>
      <c r="F5" t="s">
        <v>70</v>
      </c>
      <c r="G5" s="12">
        <v>0</v>
      </c>
      <c r="H5" s="12">
        <v>0</v>
      </c>
      <c r="J5" t="s">
        <v>70</v>
      </c>
      <c r="K5" s="13">
        <v>10.5</v>
      </c>
      <c r="M5" s="12">
        <f t="shared" ref="M5:M24" si="0">G5*$K5/3.6</f>
        <v>0</v>
      </c>
      <c r="N5" s="12">
        <f t="shared" ref="N5:N24" si="1">H5*$K5/3.6</f>
        <v>0</v>
      </c>
    </row>
    <row r="6" spans="3:14" x14ac:dyDescent="0.25">
      <c r="C6" t="s">
        <v>71</v>
      </c>
      <c r="D6" s="12">
        <v>0</v>
      </c>
      <c r="F6" t="s">
        <v>71</v>
      </c>
      <c r="G6" s="12">
        <v>0</v>
      </c>
      <c r="H6" s="12">
        <v>0</v>
      </c>
      <c r="J6" t="s">
        <v>71</v>
      </c>
      <c r="K6" s="13">
        <v>10.5</v>
      </c>
      <c r="M6" s="12">
        <f t="shared" si="0"/>
        <v>0</v>
      </c>
      <c r="N6" s="12">
        <f t="shared" si="1"/>
        <v>0</v>
      </c>
    </row>
    <row r="7" spans="3:14" x14ac:dyDescent="0.25">
      <c r="C7" t="s">
        <v>72</v>
      </c>
      <c r="D7" s="12">
        <v>6154.3428210033298</v>
      </c>
      <c r="F7" t="s">
        <v>72</v>
      </c>
      <c r="G7" s="12">
        <v>0</v>
      </c>
      <c r="H7" s="12">
        <v>2356.9823569800001</v>
      </c>
      <c r="J7" t="s">
        <v>72</v>
      </c>
      <c r="K7" s="13">
        <v>9.4</v>
      </c>
      <c r="M7" s="12">
        <f t="shared" si="0"/>
        <v>0</v>
      </c>
      <c r="N7" s="12">
        <f t="shared" si="1"/>
        <v>6154.3428210033335</v>
      </c>
    </row>
    <row r="8" spans="3:14" x14ac:dyDescent="0.25">
      <c r="C8" t="s">
        <v>73</v>
      </c>
      <c r="D8" s="12">
        <v>1276.2179428833299</v>
      </c>
      <c r="F8" t="s">
        <v>73</v>
      </c>
      <c r="G8" s="12">
        <v>437.56043756000003</v>
      </c>
      <c r="H8" s="12">
        <v>0</v>
      </c>
      <c r="J8" t="s">
        <v>73</v>
      </c>
      <c r="K8" s="13">
        <v>10.5</v>
      </c>
      <c r="M8" s="12">
        <f t="shared" si="0"/>
        <v>1276.2179428833335</v>
      </c>
      <c r="N8" s="12">
        <f t="shared" si="1"/>
        <v>0</v>
      </c>
    </row>
    <row r="9" spans="3:14" x14ac:dyDescent="0.25">
      <c r="C9" t="s">
        <v>74</v>
      </c>
      <c r="D9" s="12">
        <v>0</v>
      </c>
      <c r="F9" t="s">
        <v>74</v>
      </c>
      <c r="G9" s="12">
        <v>0</v>
      </c>
      <c r="H9" s="12">
        <v>0</v>
      </c>
      <c r="J9" t="s">
        <v>74</v>
      </c>
      <c r="K9" s="13">
        <v>14.5</v>
      </c>
      <c r="M9" s="12">
        <f t="shared" si="0"/>
        <v>0</v>
      </c>
      <c r="N9" s="12">
        <f t="shared" si="1"/>
        <v>0</v>
      </c>
    </row>
    <row r="10" spans="3:14" x14ac:dyDescent="0.25">
      <c r="C10" t="s">
        <v>75</v>
      </c>
      <c r="D10" s="12">
        <v>972.20097220000002</v>
      </c>
      <c r="F10" t="s">
        <v>75</v>
      </c>
      <c r="G10" s="12">
        <v>291.66029165999998</v>
      </c>
      <c r="H10" s="12">
        <v>0</v>
      </c>
      <c r="J10" t="s">
        <v>75</v>
      </c>
      <c r="K10" s="13">
        <v>12</v>
      </c>
      <c r="M10" s="12">
        <f t="shared" si="0"/>
        <v>972.20097219999991</v>
      </c>
      <c r="N10" s="12">
        <f t="shared" si="1"/>
        <v>0</v>
      </c>
    </row>
    <row r="11" spans="3:14" x14ac:dyDescent="0.25">
      <c r="C11" t="s">
        <v>76</v>
      </c>
      <c r="D11" s="12">
        <v>15.375015375</v>
      </c>
      <c r="F11" t="s">
        <v>76</v>
      </c>
      <c r="G11" s="12">
        <v>6.1500061500000003</v>
      </c>
      <c r="H11" s="12">
        <v>0</v>
      </c>
      <c r="J11" t="s">
        <v>76</v>
      </c>
      <c r="K11" s="13">
        <v>9</v>
      </c>
      <c r="M11" s="12">
        <f t="shared" si="0"/>
        <v>15.375015375</v>
      </c>
      <c r="N11" s="12">
        <f t="shared" si="1"/>
        <v>0</v>
      </c>
    </row>
    <row r="12" spans="3:14" x14ac:dyDescent="0.25">
      <c r="C12" t="s">
        <v>77</v>
      </c>
      <c r="D12" s="12">
        <v>785.27856305555599</v>
      </c>
      <c r="F12" t="s">
        <v>77</v>
      </c>
      <c r="G12" s="12">
        <v>257.00025699999998</v>
      </c>
      <c r="H12" s="12">
        <v>0</v>
      </c>
      <c r="J12" t="s">
        <v>77</v>
      </c>
      <c r="K12" s="13">
        <v>11</v>
      </c>
      <c r="M12" s="12">
        <f t="shared" si="0"/>
        <v>785.27856305555542</v>
      </c>
      <c r="N12" s="12">
        <f t="shared" si="1"/>
        <v>0</v>
      </c>
    </row>
    <row r="13" spans="3:14" x14ac:dyDescent="0.25">
      <c r="C13" t="s">
        <v>78</v>
      </c>
      <c r="D13" s="12">
        <v>60.1667268333333</v>
      </c>
      <c r="F13" t="s">
        <v>78</v>
      </c>
      <c r="G13" s="12">
        <v>22.800022800000001</v>
      </c>
      <c r="H13" s="12">
        <v>0</v>
      </c>
      <c r="J13" t="s">
        <v>78</v>
      </c>
      <c r="K13" s="13">
        <v>9.5</v>
      </c>
      <c r="M13" s="12">
        <f t="shared" si="0"/>
        <v>60.166726833333335</v>
      </c>
      <c r="N13" s="12">
        <f t="shared" si="1"/>
        <v>0</v>
      </c>
    </row>
    <row r="14" spans="3:14" x14ac:dyDescent="0.25">
      <c r="C14" t="s">
        <v>79</v>
      </c>
      <c r="D14" s="12">
        <v>2540.00254</v>
      </c>
      <c r="F14" t="s">
        <v>79</v>
      </c>
      <c r="G14" s="12">
        <v>0</v>
      </c>
      <c r="H14" s="12">
        <v>1016.001016</v>
      </c>
      <c r="J14" t="s">
        <v>79</v>
      </c>
      <c r="K14" s="13">
        <v>9</v>
      </c>
      <c r="M14" s="12">
        <f t="shared" si="0"/>
        <v>0</v>
      </c>
      <c r="N14" s="12">
        <f t="shared" si="1"/>
        <v>2540.00254</v>
      </c>
    </row>
    <row r="15" spans="3:14" x14ac:dyDescent="0.25">
      <c r="C15" t="s">
        <v>80</v>
      </c>
      <c r="D15" s="12">
        <v>45.100045100000003</v>
      </c>
      <c r="F15" t="s">
        <v>80</v>
      </c>
      <c r="G15" s="12">
        <v>0</v>
      </c>
      <c r="H15" s="12">
        <v>13.53001353</v>
      </c>
      <c r="J15" t="s">
        <v>80</v>
      </c>
      <c r="K15" s="13">
        <v>12</v>
      </c>
      <c r="M15" s="12">
        <f t="shared" si="0"/>
        <v>0</v>
      </c>
      <c r="N15" s="12">
        <f t="shared" si="1"/>
        <v>45.100045100000003</v>
      </c>
    </row>
    <row r="16" spans="3:14" x14ac:dyDescent="0.25">
      <c r="C16" t="s">
        <v>81</v>
      </c>
      <c r="D16" s="12">
        <v>18.861129972222201</v>
      </c>
      <c r="F16" t="s">
        <v>81</v>
      </c>
      <c r="G16" s="12">
        <v>6.7900067899999996</v>
      </c>
      <c r="H16" s="12">
        <v>0</v>
      </c>
      <c r="J16" t="s">
        <v>81</v>
      </c>
      <c r="K16" s="13">
        <v>10</v>
      </c>
      <c r="M16" s="12">
        <f t="shared" si="0"/>
        <v>18.861129972222219</v>
      </c>
      <c r="N16" s="12">
        <f t="shared" si="1"/>
        <v>0</v>
      </c>
    </row>
    <row r="17" spans="3:16" x14ac:dyDescent="0.25">
      <c r="C17" t="s">
        <v>82</v>
      </c>
      <c r="D17" s="12">
        <v>0</v>
      </c>
      <c r="F17" t="s">
        <v>82</v>
      </c>
      <c r="G17" s="12">
        <v>0</v>
      </c>
      <c r="H17" s="12">
        <v>0</v>
      </c>
      <c r="J17" t="s">
        <v>82</v>
      </c>
      <c r="K17" s="13">
        <v>11</v>
      </c>
      <c r="M17" s="12">
        <f t="shared" si="0"/>
        <v>0</v>
      </c>
      <c r="N17" s="12">
        <f t="shared" si="1"/>
        <v>0</v>
      </c>
    </row>
    <row r="18" spans="3:16" x14ac:dyDescent="0.25">
      <c r="C18" t="s">
        <v>83</v>
      </c>
      <c r="D18" s="12">
        <v>9410.2844102750005</v>
      </c>
      <c r="F18" t="s">
        <v>83</v>
      </c>
      <c r="G18" s="12">
        <v>0</v>
      </c>
      <c r="H18" s="12">
        <v>3226.38322638</v>
      </c>
      <c r="J18" t="s">
        <v>83</v>
      </c>
      <c r="K18" s="13">
        <v>10.5</v>
      </c>
      <c r="M18" s="12">
        <f t="shared" si="0"/>
        <v>0</v>
      </c>
      <c r="N18" s="12">
        <f t="shared" si="1"/>
        <v>9410.2844102750005</v>
      </c>
    </row>
    <row r="19" spans="3:16" x14ac:dyDescent="0.25">
      <c r="C19" t="s">
        <v>84</v>
      </c>
      <c r="D19" s="12">
        <v>0</v>
      </c>
      <c r="F19" t="s">
        <v>84</v>
      </c>
      <c r="G19" s="12">
        <v>0</v>
      </c>
      <c r="H19" s="12">
        <v>0</v>
      </c>
      <c r="J19" t="s">
        <v>84</v>
      </c>
      <c r="K19" s="13">
        <v>10.5</v>
      </c>
      <c r="M19" s="12">
        <f t="shared" si="0"/>
        <v>0</v>
      </c>
      <c r="N19" s="12">
        <f t="shared" si="1"/>
        <v>0</v>
      </c>
    </row>
    <row r="20" spans="3:16" x14ac:dyDescent="0.25">
      <c r="C20" t="s">
        <v>85</v>
      </c>
      <c r="D20" s="12">
        <v>0</v>
      </c>
      <c r="F20" t="s">
        <v>85</v>
      </c>
      <c r="G20" s="12">
        <v>0</v>
      </c>
      <c r="H20" s="12">
        <v>0</v>
      </c>
      <c r="J20" t="s">
        <v>85</v>
      </c>
      <c r="K20" s="13">
        <v>13</v>
      </c>
      <c r="M20" s="12">
        <f t="shared" si="0"/>
        <v>0</v>
      </c>
      <c r="N20" s="12">
        <f t="shared" si="1"/>
        <v>0</v>
      </c>
    </row>
    <row r="21" spans="3:16" x14ac:dyDescent="0.25">
      <c r="C21" t="s">
        <v>86</v>
      </c>
      <c r="D21" s="12">
        <v>231.59745381944401</v>
      </c>
      <c r="F21" t="s">
        <v>86</v>
      </c>
      <c r="G21" s="12">
        <v>57.500057499999997</v>
      </c>
      <c r="H21" s="12">
        <v>0</v>
      </c>
      <c r="J21" t="s">
        <v>86</v>
      </c>
      <c r="K21" s="13">
        <v>14.5</v>
      </c>
      <c r="M21" s="12">
        <f t="shared" si="0"/>
        <v>231.59745381944444</v>
      </c>
      <c r="N21" s="12">
        <f t="shared" si="1"/>
        <v>0</v>
      </c>
    </row>
    <row r="22" spans="3:16" x14ac:dyDescent="0.25">
      <c r="C22" t="s">
        <v>87</v>
      </c>
      <c r="D22" s="12">
        <v>0</v>
      </c>
      <c r="F22" t="s">
        <v>87</v>
      </c>
      <c r="G22" s="12">
        <v>0</v>
      </c>
      <c r="H22" s="12">
        <v>0</v>
      </c>
      <c r="J22" t="s">
        <v>87</v>
      </c>
      <c r="K22" s="13">
        <v>14.7</v>
      </c>
      <c r="M22" s="12">
        <f t="shared" si="0"/>
        <v>0</v>
      </c>
      <c r="N22" s="12">
        <f t="shared" si="1"/>
        <v>0</v>
      </c>
    </row>
    <row r="23" spans="3:16" x14ac:dyDescent="0.25">
      <c r="C23" t="s">
        <v>88</v>
      </c>
      <c r="D23" s="12">
        <v>41.300041299999997</v>
      </c>
      <c r="F23" t="s">
        <v>88</v>
      </c>
      <c r="G23" s="12">
        <v>10.62001062</v>
      </c>
      <c r="H23" s="12">
        <v>0</v>
      </c>
      <c r="J23" t="s">
        <v>88</v>
      </c>
      <c r="K23" s="13">
        <v>14</v>
      </c>
      <c r="M23" s="12">
        <f t="shared" si="0"/>
        <v>41.300041299999997</v>
      </c>
      <c r="N23" s="12">
        <f t="shared" si="1"/>
        <v>0</v>
      </c>
    </row>
    <row r="24" spans="3:16" x14ac:dyDescent="0.25">
      <c r="C24" t="s">
        <v>89</v>
      </c>
      <c r="D24" s="12">
        <v>37.975037974999999</v>
      </c>
      <c r="F24" t="s">
        <v>89</v>
      </c>
      <c r="G24" s="12">
        <v>15.19001519</v>
      </c>
      <c r="H24" s="12">
        <v>0</v>
      </c>
      <c r="J24" t="s">
        <v>89</v>
      </c>
      <c r="K24" s="13">
        <v>9</v>
      </c>
      <c r="M24" s="12">
        <f t="shared" si="0"/>
        <v>37.975037974999999</v>
      </c>
      <c r="N24" s="12">
        <f t="shared" si="1"/>
        <v>0</v>
      </c>
    </row>
    <row r="25" spans="3:16" x14ac:dyDescent="0.25">
      <c r="D25" s="12">
        <f>SUM(D4:D24)</f>
        <v>32988.914099992209</v>
      </c>
      <c r="K25" s="12"/>
      <c r="L25" t="s">
        <v>94</v>
      </c>
      <c r="M25" s="12">
        <f>SUM(M4:M24)</f>
        <v>7470.6214170653802</v>
      </c>
      <c r="N25" s="12">
        <f>SUM(N4:N24)</f>
        <v>25518.29268292684</v>
      </c>
    </row>
    <row r="26" spans="3:16" x14ac:dyDescent="0.25">
      <c r="C26" s="1"/>
      <c r="D26">
        <f>C26*D25</f>
        <v>0</v>
      </c>
    </row>
    <row r="27" spans="3:16" x14ac:dyDescent="0.25">
      <c r="L27" t="s">
        <v>93</v>
      </c>
      <c r="M27" s="12">
        <f>M25*0.844</f>
        <v>6305.2044760031804</v>
      </c>
      <c r="N27" s="12">
        <f>N25*0.656</f>
        <v>16740.000000000007</v>
      </c>
    </row>
    <row r="28" spans="3:16" x14ac:dyDescent="0.25">
      <c r="D28" s="12">
        <f>SUMPRODUCT(G4:G24,K4:K24)+SUMPRODUCT(H4:H24,K4:K24)</f>
        <v>118760.09075997199</v>
      </c>
      <c r="E28" t="s">
        <v>95</v>
      </c>
    </row>
    <row r="29" spans="3:16" x14ac:dyDescent="0.25">
      <c r="D29" s="11">
        <f>D28/SUM(G4:H24)</f>
        <v>10.214329996215641</v>
      </c>
      <c r="E29" t="s">
        <v>30</v>
      </c>
      <c r="M29" t="s">
        <v>0</v>
      </c>
      <c r="N29" t="s">
        <v>1</v>
      </c>
      <c r="O29" t="s">
        <v>20</v>
      </c>
      <c r="P29" t="s">
        <v>92</v>
      </c>
    </row>
    <row r="30" spans="3:16" x14ac:dyDescent="0.25">
      <c r="L30" t="s">
        <v>68</v>
      </c>
      <c r="M30" s="12">
        <v>6305.2044760031904</v>
      </c>
      <c r="N30" s="12">
        <v>16740</v>
      </c>
      <c r="O30" s="12">
        <v>4000</v>
      </c>
      <c r="P30" s="12">
        <v>1069</v>
      </c>
    </row>
  </sheetData>
  <customSheetViews>
    <customSheetView guid="{D61959C2-356A-4414-A70C-587540F5DA06}">
      <selection activeCell="I33" sqref="I33"/>
      <pageMargins left="0.7" right="0.7" top="0.75" bottom="0.75" header="0.3" footer="0.3"/>
      <pageSetup paperSize="9" orientation="portrait" r:id="rId1"/>
    </customSheetView>
    <customSheetView guid="{01B8EE19-BF49-4F3C-9D6B-CD607AE52779}">
      <selection activeCell="I33" sqref="I33"/>
      <pageMargins left="0.7" right="0.7" top="0.75" bottom="0.75" header="0.3" footer="0.3"/>
      <pageSetup paperSize="9" orientation="portrait" r:id="rId2"/>
    </customSheetView>
    <customSheetView guid="{2B82E035-636B-4F9F-846A-FEE8C149952C}">
      <selection activeCell="I33" sqref="I33"/>
      <pageMargins left="0.7" right="0.7" top="0.75" bottom="0.75" header="0.3" footer="0.3"/>
      <pageSetup paperSize="9" orientation="portrait" r:id="rId3"/>
    </customSheetView>
    <customSheetView guid="{B8935784-587B-4D0A-AED7-A4A9B4EF97F4}">
      <selection activeCell="I33" sqref="I33"/>
      <pageMargins left="0.7" right="0.7" top="0.75" bottom="0.75" header="0.3" footer="0.3"/>
      <pageSetup paperSize="9" orientation="portrait" r:id="rId4"/>
    </customSheetView>
    <customSheetView guid="{EEB625C4-AF57-4951-B4C5-8C71271FF126}">
      <selection activeCell="I33" sqref="I33"/>
      <pageMargins left="0.7" right="0.7" top="0.75" bottom="0.75" header="0.3" footer="0.3"/>
      <pageSetup paperSize="9" orientation="portrait" r:id="rId5"/>
    </customSheetView>
  </customSheetViews>
  <pageMargins left="0.7" right="0.7" top="0.75" bottom="0.75" header="0.3" footer="0.3"/>
  <pageSetup paperSize="9" orientation="portrait"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126</vt:i4>
      </vt:variant>
    </vt:vector>
  </HeadingPairs>
  <TitlesOfParts>
    <vt:vector size="135" baseType="lpstr">
      <vt:lpstr>Gemte scenarie Input</vt:lpstr>
      <vt:lpstr>Scenarier</vt:lpstr>
      <vt:lpstr>Model-1</vt:lpstr>
      <vt:lpstr>Model-1B</vt:lpstr>
      <vt:lpstr>Model-2</vt:lpstr>
      <vt:lpstr>Scenario 7 GWh</vt:lpstr>
      <vt:lpstr>Scenario 28 GWh</vt:lpstr>
      <vt:lpstr>Scenario 35 GWh</vt:lpstr>
      <vt:lpstr>Affald2021</vt:lpstr>
      <vt:lpstr>'Model-1B'!AFV</vt:lpstr>
      <vt:lpstr>'Model-2'!AFV</vt:lpstr>
      <vt:lpstr>AFV</vt:lpstr>
      <vt:lpstr>'Model-1B'!AndelBioaffald</vt:lpstr>
      <vt:lpstr>AndelBioaffald</vt:lpstr>
      <vt:lpstr>'Model-1B'!AndelFossilFast</vt:lpstr>
      <vt:lpstr>AndelFossilFast</vt:lpstr>
      <vt:lpstr>'Model-1B'!AndelFossilFri</vt:lpstr>
      <vt:lpstr>AndelFossilFri</vt:lpstr>
      <vt:lpstr>'Model-1B'!ATL</vt:lpstr>
      <vt:lpstr>'Model-2'!ATL</vt:lpstr>
      <vt:lpstr>ATL</vt:lpstr>
      <vt:lpstr>AvailDaysCooler</vt:lpstr>
      <vt:lpstr>bFossilFriOverBiogen</vt:lpstr>
      <vt:lpstr>BioAffaldTonnage</vt:lpstr>
      <vt:lpstr>'Model-2'!BioTonnage</vt:lpstr>
      <vt:lpstr>BioTonnage</vt:lpstr>
      <vt:lpstr>'Model-1B'!CO2afgift</vt:lpstr>
      <vt:lpstr>'Model-2'!CO2afgift</vt:lpstr>
      <vt:lpstr>CO2afgift</vt:lpstr>
      <vt:lpstr>'Model-1B'!CO2indholdAfgift</vt:lpstr>
      <vt:lpstr>'Model-2'!CO2indholdAfgift</vt:lpstr>
      <vt:lpstr>CO2indholdAfgift</vt:lpstr>
      <vt:lpstr>'Model-1B'!CO2indholdKvote</vt:lpstr>
      <vt:lpstr>'Model-2'!CO2indholdKvote</vt:lpstr>
      <vt:lpstr>CO2indholdKvote</vt:lpstr>
      <vt:lpstr>'Model-1B'!DBmedRGK</vt:lpstr>
      <vt:lpstr>'Model-2'!DBmedRGK</vt:lpstr>
      <vt:lpstr>DBmedRGK</vt:lpstr>
      <vt:lpstr>'Model-1B'!DBudenRGK</vt:lpstr>
      <vt:lpstr>'Model-2'!DBudenRGK</vt:lpstr>
      <vt:lpstr>DBudenRGK</vt:lpstr>
      <vt:lpstr>DoOptim</vt:lpstr>
      <vt:lpstr>'Model-1B'!Elpris</vt:lpstr>
      <vt:lpstr>Elpris</vt:lpstr>
      <vt:lpstr>'Model-1B'!ElprodTarif</vt:lpstr>
      <vt:lpstr>'Model-2'!ElProdTarif</vt:lpstr>
      <vt:lpstr>ElprodTarif</vt:lpstr>
      <vt:lpstr>'Model-1B'!ENSkvoteLHV</vt:lpstr>
      <vt:lpstr>'Model-2'!ENSkvoteLHV</vt:lpstr>
      <vt:lpstr>ENSkvoteLHV</vt:lpstr>
      <vt:lpstr>'Model-1B'!EtaE</vt:lpstr>
      <vt:lpstr>'Model-2'!EtaE</vt:lpstr>
      <vt:lpstr>EtaE</vt:lpstr>
      <vt:lpstr>'Model-1B'!EtaQmaxOvn2</vt:lpstr>
      <vt:lpstr>'Model-2'!EtaQmaxOvn2</vt:lpstr>
      <vt:lpstr>EtaQmaxOvn2</vt:lpstr>
      <vt:lpstr>'Model-1B'!EtaQmaxOvn3</vt:lpstr>
      <vt:lpstr>'Model-2'!EtaQmaxOvn3</vt:lpstr>
      <vt:lpstr>EtaQmaxOvn3</vt:lpstr>
      <vt:lpstr>'Model-1B'!EtaQNomOvn2</vt:lpstr>
      <vt:lpstr>'Model-2'!EtaQNomOvn2</vt:lpstr>
      <vt:lpstr>EtaQNomOvn2</vt:lpstr>
      <vt:lpstr>'Model-1B'!EtaQNomOvn3</vt:lpstr>
      <vt:lpstr>'Model-2'!EtaQNomOvn3</vt:lpstr>
      <vt:lpstr>EtaQNomOvn3</vt:lpstr>
      <vt:lpstr>'Model-1B'!EtaRgkOvn2</vt:lpstr>
      <vt:lpstr>'Model-2'!EtaRgkOvn2</vt:lpstr>
      <vt:lpstr>EtaRgkOvn2</vt:lpstr>
      <vt:lpstr>'Model-1B'!EtaRgkOvn3</vt:lpstr>
      <vt:lpstr>'Model-2'!EtaRgkOvn3</vt:lpstr>
      <vt:lpstr>EtaRgkOvn3</vt:lpstr>
      <vt:lpstr>'Model-1B'!FBiogenFri</vt:lpstr>
      <vt:lpstr>FbioMaxÅr</vt:lpstr>
      <vt:lpstr>FbioMinÅr</vt:lpstr>
      <vt:lpstr>FfastMaxÅr</vt:lpstr>
      <vt:lpstr>FfastMinÅr</vt:lpstr>
      <vt:lpstr>'Model-1B'!FFossilFast</vt:lpstr>
      <vt:lpstr>FFossilFri</vt:lpstr>
      <vt:lpstr>Ffrak1</vt:lpstr>
      <vt:lpstr>Ffrak2</vt:lpstr>
      <vt:lpstr>Ffrak3</vt:lpstr>
      <vt:lpstr>FfriMaxÅr</vt:lpstr>
      <vt:lpstr>FfriMinÅr</vt:lpstr>
      <vt:lpstr>'Model-1B'!Ftotal</vt:lpstr>
      <vt:lpstr>Ftotal</vt:lpstr>
      <vt:lpstr>'Model-1B'!HBiogenFri</vt:lpstr>
      <vt:lpstr>'Model-1B'!HfossilFast</vt:lpstr>
      <vt:lpstr>'Model-1B'!HfossilFri</vt:lpstr>
      <vt:lpstr>Hfrak1</vt:lpstr>
      <vt:lpstr>Hfrak2</vt:lpstr>
      <vt:lpstr>Hfrak3</vt:lpstr>
      <vt:lpstr>'Model-1B'!Htotal</vt:lpstr>
      <vt:lpstr>Htotal</vt:lpstr>
      <vt:lpstr>'Model-1B'!KapQcool</vt:lpstr>
      <vt:lpstr>'Model-2'!KapQcool</vt:lpstr>
      <vt:lpstr>KapQcool</vt:lpstr>
      <vt:lpstr>'Model-1B'!KapQnomOvn2</vt:lpstr>
      <vt:lpstr>'Model-2'!KapQnomOvn2</vt:lpstr>
      <vt:lpstr>KapQnomOvn2</vt:lpstr>
      <vt:lpstr>'Model-1B'!KapQnomOvn3</vt:lpstr>
      <vt:lpstr>'Model-2'!KapQnomOvn3</vt:lpstr>
      <vt:lpstr>KapQnomOvn3</vt:lpstr>
      <vt:lpstr>'Model-1B'!Kvotepris</vt:lpstr>
      <vt:lpstr>Kvotepris</vt:lpstr>
      <vt:lpstr>'Model-2'!LHVbiogent</vt:lpstr>
      <vt:lpstr>LHVbiogent</vt:lpstr>
      <vt:lpstr>'Model-2'!LHVFossilFast</vt:lpstr>
      <vt:lpstr>LHVfossilFast</vt:lpstr>
      <vt:lpstr>LHVfossilFri</vt:lpstr>
      <vt:lpstr>ModtageprisBiogent</vt:lpstr>
      <vt:lpstr>ModtageprisFastFossil</vt:lpstr>
      <vt:lpstr>'Model-1B'!NSvarme</vt:lpstr>
      <vt:lpstr>'Model-2'!NSvarme</vt:lpstr>
      <vt:lpstr>NSvarme</vt:lpstr>
      <vt:lpstr>PrisBiogent</vt:lpstr>
      <vt:lpstr>PrisFossilFast</vt:lpstr>
      <vt:lpstr>PrisFossilFri</vt:lpstr>
      <vt:lpstr>'Model-1B'!Qdemand</vt:lpstr>
      <vt:lpstr>Qdemand</vt:lpstr>
      <vt:lpstr>'Model-1B'!ranCtrlParms</vt:lpstr>
      <vt:lpstr>ranCtrlParms</vt:lpstr>
      <vt:lpstr>ranInputNames</vt:lpstr>
      <vt:lpstr>'Model-1B'!ranModelResult</vt:lpstr>
      <vt:lpstr>'Model-2'!ranModelResult</vt:lpstr>
      <vt:lpstr>ranModelResult</vt:lpstr>
      <vt:lpstr>ranResultNames</vt:lpstr>
      <vt:lpstr>ranScenOutput</vt:lpstr>
      <vt:lpstr>ranScenOutputRowHeader</vt:lpstr>
      <vt:lpstr>'Model-1B'!RGKudnyttelse</vt:lpstr>
      <vt:lpstr>RGKudnyttelse</vt:lpstr>
      <vt:lpstr>SR_VPO</vt:lpstr>
      <vt:lpstr>TabelScenInput</vt:lpstr>
      <vt:lpstr>'Model-1B'!Varmesalgspris</vt:lpstr>
      <vt:lpstr>'Model-2'!Varmesalgspris</vt:lpstr>
      <vt:lpstr>Varmesalgspris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2022-03-13T11:17:09Z</dcterms:created>
  <dcterms:modified xsi:type="dcterms:W3CDTF">2022-03-22T13:09:42Z</dcterms:modified>
</cp:coreProperties>
</file>