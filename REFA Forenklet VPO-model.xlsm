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C85355A0-A560-48B9-B9F9-8DD0772F286B}" xr6:coauthVersionLast="47" xr6:coauthVersionMax="47" xr10:uidLastSave="{00000000-0000-0000-0000-000000000000}"/>
  <bookViews>
    <workbookView xWindow="-120" yWindow="-120" windowWidth="29040" windowHeight="15720" activeTab="1" xr2:uid="{858EECC8-30FB-4D42-A70B-DA5455FDD71D}"/>
  </bookViews>
  <sheets>
    <sheet name="Scenarier" sheetId="9" r:id="rId1"/>
    <sheet name="Model" sheetId="1" r:id="rId2"/>
    <sheet name="Scenario 7 GWh" sheetId="8" r:id="rId3"/>
    <sheet name="Scenario 28 GWh" sheetId="6" r:id="rId4"/>
    <sheet name="Scenario 35 GWh" sheetId="7" r:id="rId5"/>
    <sheet name="Affald2021" sheetId="2" r:id="rId6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>Model!$C$37</definedName>
    <definedName name="AndelAffald">Model!$C$24</definedName>
    <definedName name="AndelBioaffald">Model!$D$24</definedName>
    <definedName name="ATL">Model!$C$38</definedName>
    <definedName name="BioAffaldTonnage">Model!$C$5</definedName>
    <definedName name="BioTonnage">Model!$C$6</definedName>
    <definedName name="CO2afgift">Model!$C$39</definedName>
    <definedName name="CO2indholdAfgift">Model!$C$29</definedName>
    <definedName name="CO2indholdKvote">Model!$C$30</definedName>
    <definedName name="DBmedRGK">Model!$K$116</definedName>
    <definedName name="DBudenRGK">Model!$J$116</definedName>
    <definedName name="Elpris">Model!$C$34</definedName>
    <definedName name="ElprodTarif">Model!$C$35</definedName>
    <definedName name="ENSkvoteLHV">Model!$C$31</definedName>
    <definedName name="EtaE">Model!$D$19</definedName>
    <definedName name="EtaQmaxOvn2">Model!$C$18</definedName>
    <definedName name="EtaQmaxOvn3">Model!$D$18</definedName>
    <definedName name="EtaQNomOvn2">Model!$C$16</definedName>
    <definedName name="EtaQNomOvn3">Model!$D$16</definedName>
    <definedName name="EtaRgkOvn2">Model!$C$17</definedName>
    <definedName name="EtaRgkOvn3">Model!$D$17</definedName>
    <definedName name="Ftotal">Model!$C$25</definedName>
    <definedName name="Htotal">Model!$C$26</definedName>
    <definedName name="KapQcool">Model!$E$12</definedName>
    <definedName name="KapQnomOvn2">Model!$C$12</definedName>
    <definedName name="KapQnomOvn3">Model!$D$12</definedName>
    <definedName name="Kvotepris">Model!$C$36</definedName>
    <definedName name="LHVaffald">Model!$C$28</definedName>
    <definedName name="LHVbioaffald">Model!$D$28</definedName>
    <definedName name="NSvarme">Model!$C$8</definedName>
    <definedName name="Qdemand">Model!$C$4</definedName>
    <definedName name="ranCtrlParms">Model!$C$4:$C$8</definedName>
    <definedName name="ranInputNames">Scenarier!$C$8:$C$12</definedName>
    <definedName name="ranModelResult">Model!$Q$49:$Q$85</definedName>
    <definedName name="ranResultNames">Scenarier!$A$53:$A$81</definedName>
    <definedName name="ranScenOutput">Scenarier!$C$93:$Y$129</definedName>
    <definedName name="ranScenOutputRowHeader">Scenarier!$C$93:$C$129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>Model!$C$7</definedName>
    <definedName name="solver_adj" localSheetId="1" hidden="1">Model!$C$7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Model!$C$7</definedName>
    <definedName name="solver_lhs2" localSheetId="1" hidden="1">Model!$C$7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Model!$K$116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Varmesalgspris">Model!$C$33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" i="1" l="1"/>
  <c r="AC3" i="1"/>
  <c r="AC2" i="1"/>
  <c r="AC4" i="1"/>
  <c r="C78" i="9"/>
  <c r="C79" i="9"/>
  <c r="C80" i="9"/>
  <c r="C81" i="9"/>
  <c r="C82" i="9"/>
  <c r="C83" i="9"/>
  <c r="C84" i="9"/>
  <c r="C85" i="9"/>
  <c r="C86" i="9"/>
  <c r="C77" i="9"/>
  <c r="C76" i="9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 s="1"/>
  <c r="Y80" i="9" a="1"/>
  <c r="Y80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 s="1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 s="1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D83" i="9"/>
  <c r="D84" i="9"/>
  <c r="D85" i="9"/>
  <c r="D86" i="9"/>
  <c r="D77" i="9"/>
  <c r="D78" i="9"/>
  <c r="D79" i="9"/>
  <c r="D80" i="9"/>
  <c r="D81" i="9"/>
  <c r="D82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5" i="9" s="1"/>
  <c r="G53" i="9"/>
  <c r="G75" i="9" s="1"/>
  <c r="H53" i="9"/>
  <c r="H75" i="9" s="1"/>
  <c r="I53" i="9"/>
  <c r="I75" i="9" s="1"/>
  <c r="J53" i="9"/>
  <c r="J75" i="9" s="1"/>
  <c r="K53" i="9"/>
  <c r="K75" i="9" s="1"/>
  <c r="L53" i="9"/>
  <c r="L75" i="9" s="1"/>
  <c r="M53" i="9"/>
  <c r="M75" i="9" s="1"/>
  <c r="N53" i="9"/>
  <c r="N75" i="9" s="1"/>
  <c r="O53" i="9"/>
  <c r="O75" i="9" s="1"/>
  <c r="P53" i="9"/>
  <c r="P75" i="9" s="1"/>
  <c r="Q53" i="9"/>
  <c r="Q75" i="9" s="1"/>
  <c r="R53" i="9"/>
  <c r="R75" i="9" s="1"/>
  <c r="S53" i="9"/>
  <c r="S75" i="9" s="1"/>
  <c r="T53" i="9"/>
  <c r="T75" i="9" s="1"/>
  <c r="U53" i="9"/>
  <c r="U75" i="9" s="1"/>
  <c r="V53" i="9"/>
  <c r="V75" i="9" s="1"/>
  <c r="W53" i="9"/>
  <c r="W75" i="9" s="1"/>
  <c r="X53" i="9"/>
  <c r="X75" i="9" s="1"/>
  <c r="Y53" i="9"/>
  <c r="Y75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E92" i="9"/>
  <c r="C92" i="9"/>
  <c r="D92" i="9"/>
  <c r="C109" i="9"/>
  <c r="D110" i="9"/>
  <c r="D111" i="9"/>
  <c r="D112" i="9"/>
  <c r="D113" i="9"/>
  <c r="D114" i="9"/>
  <c r="D115" i="9"/>
  <c r="C117" i="9"/>
  <c r="C118" i="9"/>
  <c r="D118" i="9"/>
  <c r="C119" i="9"/>
  <c r="D119" i="9"/>
  <c r="C120" i="9"/>
  <c r="D120" i="9"/>
  <c r="C121" i="9"/>
  <c r="D121" i="9"/>
  <c r="C122" i="9"/>
  <c r="D122" i="9"/>
  <c r="C123" i="9"/>
  <c r="D123" i="9"/>
  <c r="C124" i="9"/>
  <c r="D124" i="9"/>
  <c r="C126" i="9"/>
  <c r="C127" i="9"/>
  <c r="D127" i="9"/>
  <c r="C128" i="9"/>
  <c r="D128" i="9"/>
  <c r="C129" i="9"/>
  <c r="D129" i="9"/>
  <c r="C25" i="1"/>
  <c r="C24" i="1"/>
  <c r="D24" i="1" s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P76" i="9" l="1" a="1"/>
  <c r="P76" i="9" s="1"/>
  <c r="E76" i="9" a="1"/>
  <c r="E76" i="9" s="1"/>
  <c r="J76" i="9" a="1"/>
  <c r="J76" i="9" s="1"/>
  <c r="U76" i="9" a="1"/>
  <c r="U76" i="9" s="1"/>
  <c r="O76" i="9" a="1"/>
  <c r="O76" i="9" s="1"/>
  <c r="T76" i="9" a="1"/>
  <c r="T76" i="9" s="1"/>
  <c r="Y76" i="9" a="1"/>
  <c r="Y76" i="9" s="1"/>
  <c r="S76" i="9" a="1"/>
  <c r="S76" i="9" s="1"/>
  <c r="N76" i="9" a="1"/>
  <c r="N76" i="9" s="1"/>
  <c r="I76" i="9" a="1"/>
  <c r="I76" i="9" s="1"/>
  <c r="X76" i="9" a="1"/>
  <c r="X76" i="9" s="1"/>
  <c r="H76" i="9" a="1"/>
  <c r="H76" i="9" s="1"/>
  <c r="W76" i="9" a="1"/>
  <c r="W76" i="9" s="1"/>
  <c r="R76" i="9" a="1"/>
  <c r="R76" i="9" s="1"/>
  <c r="M76" i="9" a="1"/>
  <c r="M76" i="9" s="1"/>
  <c r="G76" i="9" a="1"/>
  <c r="G76" i="9" s="1"/>
  <c r="L76" i="9" a="1"/>
  <c r="L76" i="9" s="1"/>
  <c r="V76" i="9" a="1"/>
  <c r="V76" i="9" s="1"/>
  <c r="Q76" i="9" a="1"/>
  <c r="Q76" i="9" s="1"/>
  <c r="K76" i="9" a="1"/>
  <c r="K76" i="9" s="1"/>
  <c r="F76" i="9" a="1"/>
  <c r="F76" i="9" s="1"/>
  <c r="O54" i="1" l="1"/>
  <c r="O55" i="1"/>
  <c r="P55" i="1"/>
  <c r="O56" i="1"/>
  <c r="O58" i="1"/>
  <c r="O59" i="1"/>
  <c r="O60" i="1"/>
  <c r="O61" i="1"/>
  <c r="O62" i="1"/>
  <c r="O63" i="1"/>
  <c r="O49" i="1"/>
  <c r="O50" i="1"/>
  <c r="O51" i="1"/>
  <c r="N54" i="1"/>
  <c r="N55" i="1"/>
  <c r="N56" i="1"/>
  <c r="N58" i="1"/>
  <c r="N59" i="1"/>
  <c r="N60" i="1"/>
  <c r="N61" i="1"/>
  <c r="N62" i="1"/>
  <c r="N63" i="1"/>
  <c r="N49" i="1"/>
  <c r="N50" i="1"/>
  <c r="N51" i="1"/>
  <c r="R48" i="1"/>
  <c r="O53" i="1"/>
  <c r="N53" i="1"/>
  <c r="K57" i="1"/>
  <c r="C107" i="9" l="1"/>
  <c r="D103" i="9"/>
  <c r="C106" i="9"/>
  <c r="D95" i="9"/>
  <c r="D102" i="9"/>
  <c r="C97" i="9"/>
  <c r="C105" i="9"/>
  <c r="D94" i="9"/>
  <c r="D100" i="9"/>
  <c r="C104" i="9"/>
  <c r="D93" i="9"/>
  <c r="C103" i="9"/>
  <c r="D99" i="9"/>
  <c r="C98" i="9"/>
  <c r="C102" i="9"/>
  <c r="D106" i="9"/>
  <c r="D98" i="9"/>
  <c r="D97" i="9"/>
  <c r="C95" i="9"/>
  <c r="C100" i="9"/>
  <c r="D105" i="9"/>
  <c r="D107" i="9"/>
  <c r="C94" i="9"/>
  <c r="C93" i="9"/>
  <c r="C99" i="9"/>
  <c r="D104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7" i="1"/>
  <c r="C17" i="1"/>
  <c r="P82" i="1" l="1"/>
  <c r="P73" i="1"/>
  <c r="P65" i="1"/>
  <c r="Q82" i="1"/>
  <c r="Q73" i="1"/>
  <c r="Q65" i="1"/>
  <c r="C114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78" i="9" a="1"/>
  <c r="Q78" i="9" s="1"/>
  <c r="Y59" i="9" a="1"/>
  <c r="Y59" i="9" s="1"/>
  <c r="U54" i="9" a="1"/>
  <c r="U54" i="9" s="1"/>
  <c r="J56" i="9" a="1"/>
  <c r="J56" i="9" s="1"/>
  <c r="V77" i="9" a="1"/>
  <c r="V77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78" i="9" a="1"/>
  <c r="L78" i="9" s="1"/>
  <c r="F77" i="9" a="1"/>
  <c r="F77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7" i="9" a="1"/>
  <c r="U77" i="9" s="1"/>
  <c r="Q55" i="9" a="1"/>
  <c r="Q55" i="9" s="1"/>
  <c r="J78" i="9" a="1"/>
  <c r="J78" i="9" s="1"/>
  <c r="Q59" i="9" a="1"/>
  <c r="Q59" i="9" s="1"/>
  <c r="M54" i="9" a="1"/>
  <c r="M54" i="9" s="1"/>
  <c r="E54" i="9" a="1"/>
  <c r="E54" i="9" s="1"/>
  <c r="W55" i="9" a="1"/>
  <c r="W55" i="9" s="1"/>
  <c r="P77" i="9" a="1"/>
  <c r="P77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7" i="9" a="1"/>
  <c r="S77" i="9" s="1"/>
  <c r="W78" i="9" a="1"/>
  <c r="W78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78" i="9" a="1"/>
  <c r="X78" i="9" s="1"/>
  <c r="J55" i="9" a="1"/>
  <c r="J55" i="9" s="1"/>
  <c r="X77" i="9" a="1"/>
  <c r="X77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78" i="9" a="1"/>
  <c r="S78" i="9" s="1"/>
  <c r="L55" i="9" a="1"/>
  <c r="L55" i="9" s="1"/>
  <c r="M77" i="9" a="1"/>
  <c r="M77" i="9" s="1"/>
  <c r="M55" i="9" a="1"/>
  <c r="M55" i="9" s="1"/>
  <c r="J77" i="9" a="1"/>
  <c r="J77" i="9" s="1"/>
  <c r="I77" i="9" a="1"/>
  <c r="I77" i="9" s="1"/>
  <c r="R78" i="9" a="1"/>
  <c r="R78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7" i="9" a="1"/>
  <c r="N77" i="9" s="1"/>
  <c r="G78" i="9" a="1"/>
  <c r="G78" i="9" s="1"/>
  <c r="S56" i="9" a="1"/>
  <c r="S56" i="9" s="1"/>
  <c r="K78" i="9" a="1"/>
  <c r="K78" i="9" s="1"/>
  <c r="V54" i="9" a="1"/>
  <c r="V54" i="9" s="1"/>
  <c r="K77" i="9" a="1"/>
  <c r="K77" i="9" s="1"/>
  <c r="Q56" i="9" a="1"/>
  <c r="Q56" i="9" s="1"/>
  <c r="V78" i="9" a="1"/>
  <c r="V78" i="9" s="1"/>
  <c r="H55" i="9" a="1"/>
  <c r="H55" i="9" s="1"/>
  <c r="W56" i="9" a="1"/>
  <c r="W56" i="9" s="1"/>
  <c r="U78" i="9" a="1"/>
  <c r="U78" i="9" s="1"/>
  <c r="H77" i="9" a="1"/>
  <c r="H77" i="9" s="1"/>
  <c r="U56" i="9" a="1"/>
  <c r="U56" i="9" s="1"/>
  <c r="M78" i="9" a="1"/>
  <c r="M78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7" i="9" a="1"/>
  <c r="Y77" i="9" s="1"/>
  <c r="R59" i="9" a="1"/>
  <c r="R59" i="9" s="1"/>
  <c r="N54" i="9" a="1"/>
  <c r="N54" i="9" s="1"/>
  <c r="K56" i="9" a="1"/>
  <c r="K56" i="9" s="1"/>
  <c r="P78" i="9" a="1"/>
  <c r="P78" i="9" s="1"/>
  <c r="X59" i="9" a="1"/>
  <c r="X59" i="9" s="1"/>
  <c r="T54" i="9" a="1"/>
  <c r="T54" i="9" s="1"/>
  <c r="T78" i="9" a="1"/>
  <c r="T78" i="9" s="1"/>
  <c r="P56" i="9" a="1"/>
  <c r="P56" i="9" s="1"/>
  <c r="N78" i="9" a="1"/>
  <c r="N78" i="9" s="1"/>
  <c r="N56" i="9" a="1"/>
  <c r="N56" i="9" s="1"/>
  <c r="F78" i="9" a="1"/>
  <c r="F78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7" i="9" a="1"/>
  <c r="R77" i="9" s="1"/>
  <c r="K59" i="9" a="1"/>
  <c r="K59" i="9" s="1"/>
  <c r="G54" i="9" a="1"/>
  <c r="G54" i="9" s="1"/>
  <c r="G59" i="9" a="1"/>
  <c r="G59" i="9" s="1"/>
  <c r="X55" i="9" a="1"/>
  <c r="X55" i="9" s="1"/>
  <c r="W77" i="9" a="1"/>
  <c r="W77" i="9" s="1"/>
  <c r="P59" i="9" a="1"/>
  <c r="P59" i="9" s="1"/>
  <c r="E77" i="9" a="1"/>
  <c r="E77" i="9" s="1"/>
  <c r="I56" i="9" a="1"/>
  <c r="I56" i="9" s="1"/>
  <c r="H78" i="9" a="1"/>
  <c r="H78" i="9" s="1"/>
  <c r="G56" i="9" a="1"/>
  <c r="G56" i="9" s="1"/>
  <c r="T77" i="9" a="1"/>
  <c r="T77" i="9" s="1"/>
  <c r="T59" i="9" a="1"/>
  <c r="T59" i="9" s="1"/>
  <c r="I54" i="9" a="1"/>
  <c r="I54" i="9" s="1"/>
  <c r="R58" i="9" a="1"/>
  <c r="R58" i="9" s="1"/>
  <c r="W54" i="9" a="1"/>
  <c r="W54" i="9" s="1"/>
  <c r="I78" i="9" a="1"/>
  <c r="I78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7" i="9" a="1"/>
  <c r="L77" i="9" s="1"/>
  <c r="Y56" i="9" a="1"/>
  <c r="Y56" i="9" s="1"/>
  <c r="E78" i="9" a="1"/>
  <c r="E78" i="9" s="1"/>
  <c r="P55" i="9" a="1"/>
  <c r="P55" i="9" s="1"/>
  <c r="Q77" i="9" a="1"/>
  <c r="Q77" i="9" s="1"/>
  <c r="I59" i="9" a="1"/>
  <c r="I59" i="9" s="1"/>
  <c r="O78" i="9" a="1"/>
  <c r="O78" i="9" s="1"/>
  <c r="E56" i="9" a="1"/>
  <c r="E56" i="9" s="1"/>
  <c r="V55" i="9" a="1"/>
  <c r="V55" i="9" s="1"/>
  <c r="O77" i="9" a="1"/>
  <c r="O77" i="9" s="1"/>
  <c r="T55" i="9" a="1"/>
  <c r="T55" i="9" s="1"/>
  <c r="G77" i="9" a="1"/>
  <c r="G77" i="9" s="1"/>
  <c r="T56" i="9" a="1"/>
  <c r="T56" i="9" s="1"/>
  <c r="Y78" i="9" a="1"/>
  <c r="Y78" i="9" s="1"/>
  <c r="W57" i="9" a="1"/>
  <c r="W57" i="9" s="1"/>
  <c r="K57" i="9" a="1"/>
  <c r="K57" i="9" s="1"/>
  <c r="C113" i="9"/>
  <c r="C110" i="9"/>
  <c r="W60" i="9" s="1" a="1"/>
  <c r="W60" i="9" s="1"/>
  <c r="C111" i="9"/>
  <c r="C112" i="9"/>
  <c r="C115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V63" i="9" l="1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A53" i="9" a="1"/>
  <c r="A53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D29" i="2"/>
  <c r="M25" i="2"/>
  <c r="K50" i="1" l="1"/>
  <c r="K51" i="1" s="1"/>
  <c r="J50" i="1"/>
  <c r="J51" i="1" s="1"/>
  <c r="D27" i="1"/>
  <c r="D18" i="1"/>
  <c r="C18" i="1"/>
  <c r="L51" i="1" l="1"/>
  <c r="K52" i="1"/>
  <c r="C26" i="1"/>
  <c r="K54" i="1"/>
  <c r="J54" i="1"/>
  <c r="J52" i="1"/>
  <c r="L52" i="1" l="1"/>
  <c r="L54" i="1"/>
  <c r="J58" i="1"/>
  <c r="K55" i="1"/>
  <c r="J55" i="1"/>
  <c r="D26" i="1"/>
  <c r="J53" i="1"/>
  <c r="K53" i="1"/>
  <c r="K58" i="1" s="1"/>
  <c r="L53" i="1" l="1"/>
  <c r="L55" i="1"/>
  <c r="K59" i="1"/>
  <c r="Q74" i="1" s="1"/>
  <c r="L58" i="1"/>
  <c r="K60" i="1" l="1"/>
  <c r="J71" i="1"/>
  <c r="K71" i="1" s="1"/>
  <c r="L71" i="1" s="1"/>
  <c r="J59" i="1"/>
  <c r="J60" i="1"/>
  <c r="J62" i="1" s="1"/>
  <c r="P75" i="1" s="1"/>
  <c r="P86" i="1" s="1"/>
  <c r="L59" i="1" l="1"/>
  <c r="P74" i="1"/>
  <c r="K62" i="1"/>
  <c r="L60" i="1"/>
  <c r="K61" i="1"/>
  <c r="J61" i="1"/>
  <c r="J63" i="1"/>
  <c r="L62" i="1" l="1"/>
  <c r="Q75" i="1"/>
  <c r="Q86" i="1" s="1"/>
  <c r="R86" i="1" s="1"/>
  <c r="R74" i="1"/>
  <c r="K63" i="1"/>
  <c r="L61" i="1"/>
  <c r="J64" i="1"/>
  <c r="R75" i="1" l="1"/>
  <c r="L63" i="1"/>
  <c r="K64" i="1"/>
  <c r="K65" i="1" s="1"/>
  <c r="J66" i="1"/>
  <c r="J69" i="1" s="1"/>
  <c r="J68" i="1"/>
  <c r="J70" i="1"/>
  <c r="K70" i="1" s="1"/>
  <c r="L70" i="1" s="1"/>
  <c r="J65" i="1"/>
  <c r="J67" i="1" l="1"/>
  <c r="J80" i="1" s="1"/>
  <c r="P76" i="1"/>
  <c r="K66" i="1"/>
  <c r="K69" i="1" s="1"/>
  <c r="L69" i="1" s="1"/>
  <c r="K68" i="1"/>
  <c r="L68" i="1" s="1"/>
  <c r="L64" i="1"/>
  <c r="P80" i="1" l="1"/>
  <c r="J79" i="1"/>
  <c r="J72" i="1"/>
  <c r="J73" i="1" s="1"/>
  <c r="P77" i="1" s="1"/>
  <c r="P83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Q80" i="1" l="1"/>
  <c r="K79" i="1"/>
  <c r="K94" i="1" s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J93" i="1"/>
  <c r="R68" i="1" l="1"/>
  <c r="R80" i="1"/>
  <c r="R77" i="1"/>
  <c r="L94" i="1"/>
  <c r="L79" i="1"/>
  <c r="K112" i="1"/>
  <c r="Q63" i="1" s="1"/>
  <c r="K93" i="1"/>
  <c r="L93" i="1" s="1"/>
  <c r="L107" i="1"/>
  <c r="R58" i="1" s="1"/>
  <c r="Q83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5" i="1" s="1"/>
  <c r="R83" i="1" l="1"/>
  <c r="R67" i="1"/>
  <c r="L112" i="1"/>
  <c r="R63" i="1" s="1"/>
  <c r="K75" i="1"/>
  <c r="K84" i="1" s="1"/>
  <c r="L81" i="1"/>
  <c r="L85" i="1"/>
  <c r="J77" i="1"/>
  <c r="P78" i="1"/>
  <c r="J108" i="1"/>
  <c r="K103" i="1"/>
  <c r="L83" i="1"/>
  <c r="J90" i="1"/>
  <c r="P70" i="1" s="1"/>
  <c r="J111" i="1"/>
  <c r="P62" i="1" s="1"/>
  <c r="J99" i="1"/>
  <c r="J97" i="1"/>
  <c r="K76" i="1" l="1"/>
  <c r="Q78" i="1" s="1"/>
  <c r="L75" i="1"/>
  <c r="K78" i="1"/>
  <c r="Q69" i="1" s="1"/>
  <c r="P84" i="1"/>
  <c r="P79" i="1"/>
  <c r="L103" i="1"/>
  <c r="R54" i="1" s="1"/>
  <c r="Q54" i="1"/>
  <c r="K108" i="1"/>
  <c r="Q59" i="1" s="1"/>
  <c r="P59" i="1"/>
  <c r="J102" i="1"/>
  <c r="J91" i="1"/>
  <c r="P71" i="1" s="1"/>
  <c r="J109" i="1"/>
  <c r="L84" i="1"/>
  <c r="Q66" i="1"/>
  <c r="K86" i="1"/>
  <c r="R66" i="1" l="1"/>
  <c r="Q84" i="1"/>
  <c r="K77" i="1"/>
  <c r="L77" i="1" s="1"/>
  <c r="Q79" i="1"/>
  <c r="R78" i="1"/>
  <c r="L76" i="1"/>
  <c r="L78" i="1"/>
  <c r="R69" i="1"/>
  <c r="Q85" i="1"/>
  <c r="L108" i="1"/>
  <c r="R59" i="1" s="1"/>
  <c r="J115" i="1"/>
  <c r="P50" i="1" s="1"/>
  <c r="P60" i="1"/>
  <c r="P87" i="1" s="1"/>
  <c r="J114" i="1"/>
  <c r="P49" i="1" s="1"/>
  <c r="P53" i="1"/>
  <c r="K89" i="1"/>
  <c r="K95" i="1" s="1"/>
  <c r="L86" i="1"/>
  <c r="K90" i="1"/>
  <c r="R84" i="1" l="1"/>
  <c r="R79" i="1"/>
  <c r="R85" i="1"/>
  <c r="J116" i="1"/>
  <c r="L90" i="1"/>
  <c r="Q70" i="1"/>
  <c r="K102" i="1"/>
  <c r="K91" i="1"/>
  <c r="K109" i="1"/>
  <c r="K88" i="1"/>
  <c r="L88" i="1" s="1"/>
  <c r="L89" i="1"/>
  <c r="R70" i="1" l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K98" i="1" l="1"/>
  <c r="R71" i="1"/>
  <c r="L96" i="1"/>
  <c r="L98" i="1" l="1"/>
  <c r="K99" i="1"/>
  <c r="L99" i="1" s="1"/>
  <c r="K110" i="1"/>
  <c r="Q61" i="1" s="1"/>
  <c r="K111" i="1"/>
  <c r="L111" i="1" l="1"/>
  <c r="R62" i="1" s="1"/>
  <c r="Q62" i="1"/>
  <c r="L110" i="1"/>
  <c r="R61" i="1" s="1"/>
  <c r="K104" i="1"/>
  <c r="Q55" i="1" s="1"/>
  <c r="K115" i="1"/>
  <c r="Q87" i="1" l="1"/>
  <c r="R87" i="1" s="1"/>
  <c r="L115" i="1"/>
  <c r="R50" i="1" s="1"/>
  <c r="Q50" i="1"/>
  <c r="K114" i="1"/>
  <c r="Q49" i="1" s="1"/>
  <c r="L104" i="1"/>
  <c r="R55" i="1" s="1"/>
  <c r="L114" i="1" l="1"/>
  <c r="R49" i="1" s="1"/>
  <c r="K116" i="1"/>
  <c r="Q51" i="1" s="1"/>
  <c r="L116" i="1" l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39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6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7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<sst xmlns="http://schemas.openxmlformats.org/spreadsheetml/2006/main" count="566" uniqueCount="252">
  <si>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</si>
  <si>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</si>
  <si>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</si>
  <si>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</si>
  <si>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</si>
  <si>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</si>
  <si>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</si>
  <si>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</si>
  <si>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</si>
  <si>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</si>
  <si>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</si>
  <si>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</si>
  <si>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</si>
  <si>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</si>
  <si>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</si>
  <si>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</si>
  <si>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Affald</t>
  </si>
  <si>
    <t>ton</t>
  </si>
  <si>
    <t>Bioaffald</t>
  </si>
  <si>
    <t>Rådig mængde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</si>
  <si>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</si>
  <si>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</si>
  <si>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</si>
  <si>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</si>
  <si>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</si>
  <si>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</si>
  <si>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</si>
  <si>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</si>
  <si>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</si>
  <si>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</si>
  <si>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</si>
  <si>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</si>
  <si>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</si>
  <si>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</si>
  <si>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</si>
  <si>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</si>
  <si>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</si>
  <si>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</si>
  <si>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</si>
  <si>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</si>
  <si>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</si>
  <si>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</si>
  <si>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</si>
  <si>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</si>
  <si>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</si>
  <si>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</si>
  <si>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</si>
  <si>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</si>
  <si>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</si>
  <si>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</si>
  <si>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</si>
  <si>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</si>
  <si>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</si>
  <si>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</si>
  <si>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</si>
  <si>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</si>
  <si>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</si>
  <si>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</si>
  <si>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</si>
  <si>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</si>
  <si>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</si>
  <si>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</si>
  <si>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</si>
  <si>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</si>
  <si>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</si>
  <si>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</si>
  <si>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</si>
  <si>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</si>
  <si>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</si>
  <si>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</si>
  <si>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</si>
  <si>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</si>
  <si>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</si>
  <si>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</si>
  <si>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</si>
  <si>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</si>
  <si>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</si>
  <si>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</si>
  <si>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</si>
  <si>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</si>
  <si>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</si>
  <si>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</si>
  <si>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</si>
  <si>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</si>
  <si>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</si>
  <si>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</si>
  <si>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</si>
  <si>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</si>
  <si>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</si>
  <si>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</si>
  <si>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</si>
  <si>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</si>
  <si>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</si>
  <si>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</si>
  <si>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</si>
  <si>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</si>
  <si>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</si>
  <si>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</si>
  <si>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</si>
  <si>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</si>
  <si>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</si>
  <si>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</si>
  <si>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</si>
  <si>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</si>
  <si>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</si>
  <si>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</si>
  <si>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</si>
  <si>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</si>
  <si>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</si>
  <si>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</si>
  <si>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</si>
  <si>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</si>
  <si>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</si>
  <si>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</si>
  <si>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</si>
  <si>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</si>
  <si>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</si>
  <si>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</si>
  <si>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</si>
  <si>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</si>
  <si>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</si>
  <si>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</si>
  <si>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</si>
  <si>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</si>
  <si>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</si>
  <si>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</si>
  <si>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</si>
  <si>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</si>
  <si>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</si>
  <si>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</si>
  <si>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</si>
  <si>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</si>
  <si>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</si>
  <si>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</si>
  <si>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</si>
  <si>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</si>
  <si>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</si>
  <si>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</si>
  <si>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</si>
  <si>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</si>
  <si>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</si>
  <si>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</si>
  <si>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</si>
  <si>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</si>
  <si>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</si>
  <si>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</si>
  <si>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</si>
  <si>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</si>
  <si>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</si>
  <si>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</si>
  <si>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</si>
  <si>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</si>
  <si>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Ovn3 tonnage</t>
  </si>
  <si>
    <t>Ovn2 tonnage</t>
  </si>
  <si>
    <t>Bortkøleanlæg varme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</si>
  <si>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</si>
  <si>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</si>
  <si>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</si>
  <si>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</si>
  <si>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</si>
  <si>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</si>
  <si>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</si>
  <si>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</si>
  <si>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</si>
  <si>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</si>
  <si>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</si>
  <si>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</si>
  <si>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</si>
  <si>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</si>
  <si>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</si>
  <si>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</si>
  <si>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</si>
  <si>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</si>
  <si>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</si>
  <si>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</si>
  <si>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</si>
  <si>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</si>
  <si>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</si>
  <si>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</si>
  <si>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</si>
  <si>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</si>
  <si>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</si>
  <si>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</si>
  <si>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</si>
  <si>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</si>
  <si>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</si>
  <si>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</si>
  <si>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</si>
  <si>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</si>
  <si>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</si>
  <si>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</si>
  <si>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</si>
  <si>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</si>
  <si>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</si>
  <si>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</si>
  <si>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</si>
  <si>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</si>
  <si>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</si>
  <si>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</si>
  <si>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</si>
  <si>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</si>
  <si>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</si>
  <si>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</si>
  <si>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</si>
  <si>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</si>
  <si>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</si>
  <si>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</si>
  <si>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</si>
  <si>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</si>
  <si>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</si>
  <si>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</si>
  <si>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</si>
  <si>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</si>
  <si>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</si>
  <si>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</si>
  <si>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</si>
  <si>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</si>
  <si>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</si>
  <si>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</si>
  <si>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</si>
  <si>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</si>
  <si>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</si>
  <si>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</si>
  <si>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</si>
  <si>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</si>
  <si>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</si>
  <si>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</si>
  <si>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</si>
  <si>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</si>
  <si>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</si>
  <si>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</si>
  <si>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</si>
  <si>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</si>
  <si>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</si>
  <si>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</si>
  <si>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</si>
  <si>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</si>
  <si>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</si>
  <si>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</si>
  <si>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</si>
  <si>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</si>
  <si>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</si>
  <si>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</si>
  <si>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</si>
  <si>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</si>
  <si>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</si>
  <si>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</si>
  <si>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</si>
  <si>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Ovn3 tonnagebasis</t>
  </si>
  <si>
    <t>Ovn2 tonnagebasis</t>
  </si>
  <si>
    <t>VPO affald</t>
  </si>
  <si>
    <t>Variabel varmeproduktionsomkostning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</si>
</sst>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</cellStyleXfs>
  <cellXfs count="102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9" fontId="0" fillId="0" borderId="0" xfId="0" applyNumberFormat="1"/>
    <xf numFmtId="167" fontId="0" fillId="0" borderId="0" xfId="0" applyNumberFormat="1" applyFont="1"/>
    <xf numFmtId="167" fontId="0" fillId="0" borderId="0" xfId="0" applyNumberFormat="1"/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167" fontId="15" fillId="0" borderId="0" xfId="0" applyNumberFormat="1" applyFont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3" fillId="0" borderId="6" xfId="0" applyFont="1" applyFill="1" applyBorder="1" applyAlignment="1">
      <alignment horizontal="right" indent="1"/>
    </xf>
    <xf numFmtId="0" fontId="7" fillId="0" borderId="6" xfId="4" applyFill="1" applyBorder="1"/>
    <xf numFmtId="3" fontId="7" fillId="0" borderId="6" xfId="4" applyNumberFormat="1" applyFill="1" applyBorder="1"/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0" borderId="4" xfId="0" applyBorder="1"/>
    <xf numFmtId="0" fontId="17" fillId="0" borderId="0" xfId="0" applyFont="1" applyFill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3" fillId="0" borderId="9" xfId="0" applyFont="1" applyBorder="1"/>
    <xf numFmtId="0" fontId="3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0" fontId="3" fillId="0" borderId="10" xfId="0" applyFont="1" applyBorder="1" applyAlignment="1">
      <alignment horizontal="center"/>
    </xf>
    <xf numFmtId="164" fontId="0" fillId="0" borderId="0" xfId="0" applyNumberFormat="1" applyBorder="1"/>
    <xf numFmtId="164" fontId="2" fillId="2" borderId="1" xfId="2" applyNumberFormat="1" applyBorder="1"/>
    <xf numFmtId="10" fontId="0" fillId="0" borderId="0" xfId="0" applyNumberFormat="1" applyBorder="1"/>
    <xf numFmtId="0" fontId="3" fillId="0" borderId="9" xfId="0" applyFont="1" applyBorder="1" applyAlignment="1">
      <alignment horizontal="left"/>
    </xf>
    <xf numFmtId="164" fontId="0" fillId="0" borderId="0" xfId="1" applyNumberFormat="1" applyFont="1" applyBorder="1"/>
    <xf numFmtId="0" fontId="2" fillId="2" borderId="1" xfId="2" applyBorder="1"/>
    <xf numFmtId="165" fontId="2" fillId="2" borderId="1" xfId="2" applyNumberFormat="1" applyBorder="1"/>
    <xf numFmtId="2" fontId="0" fillId="0" borderId="0" xfId="0" applyNumberFormat="1" applyBorder="1"/>
    <xf numFmtId="0" fontId="0" fillId="0" borderId="11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12" xfId="0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</cellXfs>
  <cellStyles count="5">
    <cellStyle name="Bad" xfId="3" builtinId="27"/>
    <cellStyle name="Calculation" xfId="2" builtinId="22"/>
    <cellStyle name="Input" xfId="4" builtinId="20"/>
    <cellStyle name="Normal" xfId="0" builtinId="0"/>
    <cellStyle name="Percent" xfId="1" builtinId="5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09806742313769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45915239827893"/>
          <c:y val="0.13756265432098763"/>
          <c:w val="0.30586908860044931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Scenarier!$C$77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Scenarier!$F$77:$Y$77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Scenarier!$C$78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Scenarier!$F$78:$Y$78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24000</c:v>
                </c:pt>
                <c:pt idx="4">
                  <c:v>24000</c:v>
                </c:pt>
                <c:pt idx="5">
                  <c:v>24000</c:v>
                </c:pt>
                <c:pt idx="6">
                  <c:v>24000</c:v>
                </c:pt>
                <c:pt idx="7">
                  <c:v>24000</c:v>
                </c:pt>
                <c:pt idx="8">
                  <c:v>24000</c:v>
                </c:pt>
                <c:pt idx="9">
                  <c:v>24000</c:v>
                </c:pt>
                <c:pt idx="10">
                  <c:v>24000</c:v>
                </c:pt>
                <c:pt idx="11">
                  <c:v>24000</c:v>
                </c:pt>
                <c:pt idx="12">
                  <c:v>24000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  <c:pt idx="19">
                  <c:v>24000</c:v>
                </c:pt>
                <c:pt idx="20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189406349348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58412400969616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465702705910076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varme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491234567901233"/>
          <c:h val="0.243614197530864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Model!$P$49:$P$63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Model!$Q$48</c:f>
              <c:strCache>
                <c:ptCount val="1"/>
                <c:pt idx="0">
                  <c:v>Med 38%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Model!$Q$49:$Q$63</c:f>
              <c:numCache>
                <c:formatCode>#,##0,</c:formatCode>
                <c:ptCount val="15"/>
                <c:pt idx="0">
                  <c:v>16098106.928051624</c:v>
                </c:pt>
                <c:pt idx="1">
                  <c:v>7742776.8002397716</c:v>
                </c:pt>
                <c:pt idx="2">
                  <c:v>8355330.1278118528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4486180.6750211362</c:v>
                </c:pt>
                <c:pt idx="9">
                  <c:v>0</c:v>
                </c:pt>
                <c:pt idx="10">
                  <c:v>1070083.7704038783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2021024.3940970218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Model!$Q$65</c:f>
              <c:strCache>
                <c:ptCount val="1"/>
                <c:pt idx="0">
                  <c:v>Med 38%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Model!$Q$66:$Q$71</c:f>
              <c:numCache>
                <c:formatCode>#,##0</c:formatCode>
                <c:ptCount val="6"/>
                <c:pt idx="0">
                  <c:v>5705.0400000000009</c:v>
                </c:pt>
                <c:pt idx="1">
                  <c:v>18294.96</c:v>
                </c:pt>
                <c:pt idx="2">
                  <c:v>2104.3770403878234</c:v>
                </c:pt>
                <c:pt idx="3">
                  <c:v>0</c:v>
                </c:pt>
                <c:pt idx="4">
                  <c:v>24000</c:v>
                </c:pt>
                <c:pt idx="5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Model!$R$49:$R$63</c:f>
              <c:numCache>
                <c:formatCode>#,##0,</c:formatCode>
                <c:ptCount val="15"/>
                <c:pt idx="0">
                  <c:v>-38365.325407683849</c:v>
                </c:pt>
                <c:pt idx="1">
                  <c:v>-416128.98466925696</c:v>
                </c:pt>
                <c:pt idx="2">
                  <c:v>377763.65926157311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-298671.12721865997</c:v>
                </c:pt>
                <c:pt idx="9">
                  <c:v>0</c:v>
                </c:pt>
                <c:pt idx="10">
                  <c:v>21043.770403878298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-134551.34281200636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Model!$P$74:$P$80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2955.6732645664906</c:v>
                </c:pt>
                <c:pt idx="3">
                  <c:v>0</c:v>
                </c:pt>
                <c:pt idx="4">
                  <c:v>0</c:v>
                </c:pt>
                <c:pt idx="5">
                  <c:v>11962.129505599491</c:v>
                </c:pt>
                <c:pt idx="6">
                  <c:v>37.870494400509415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Model!$Q$65</c:f>
              <c:strCache>
                <c:ptCount val="1"/>
                <c:pt idx="0">
                  <c:v>Med 38%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Model!$Q$74:$Q$80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2208.9954465198407</c:v>
                </c:pt>
                <c:pt idx="3">
                  <c:v>0</c:v>
                </c:pt>
                <c:pt idx="4">
                  <c:v>0</c:v>
                </c:pt>
                <c:pt idx="5">
                  <c:v>11215.451687552841</c:v>
                </c:pt>
                <c:pt idx="6">
                  <c:v>784.54831244715933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Model!$N$83:$N$86</c:f>
              <c:strCache>
                <c:ptCount val="4"/>
                <c:pt idx="0">
                  <c:v>Ovn3 tonnagebasis</c:v>
                </c:pt>
                <c:pt idx="1">
                  <c:v>Ovn2 tonnagebasis</c:v>
                </c:pt>
                <c:pt idx="2">
                  <c:v>Bortkøleanlæg varme</c:v>
                </c:pt>
                <c:pt idx="3">
                  <c:v>Nordic Sugar varme</c:v>
                </c:pt>
              </c:strCache>
            </c:strRef>
          </c:cat>
          <c:val>
            <c:numRef>
              <c:f>Model!$P$83:$P$86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Model!$Q$82</c:f>
              <c:strCache>
                <c:ptCount val="1"/>
                <c:pt idx="0">
                  <c:v>Med 38%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Model!$N$83:$N$86</c:f>
              <c:strCache>
                <c:ptCount val="4"/>
                <c:pt idx="0">
                  <c:v>Ovn3 tonnagebasis</c:v>
                </c:pt>
                <c:pt idx="1">
                  <c:v>Ovn2 tonnagebasis</c:v>
                </c:pt>
                <c:pt idx="2">
                  <c:v>Bortkøleanlæg varme</c:v>
                </c:pt>
                <c:pt idx="3">
                  <c:v>Nordic Sugar varme</c:v>
                </c:pt>
              </c:strCache>
            </c:strRef>
          </c:cat>
          <c:val>
            <c:numRef>
              <c:f>Model!$Q$83:$Q$86</c:f>
              <c:numCache>
                <c:formatCode>0.0%</c:formatCode>
                <c:ptCount val="4"/>
                <c:pt idx="0">
                  <c:v>1</c:v>
                </c:pt>
                <c:pt idx="1">
                  <c:v>0.74737470917436966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Model!$N$83:$N$86</c15:sqref>
                        </c15:formulaRef>
                      </c:ext>
                    </c:extLst>
                    <c:strCache>
                      <c:ptCount val="4"/>
                      <c:pt idx="0">
                        <c:v>Ovn3 tonnagebasis</c:v>
                      </c:pt>
                      <c:pt idx="1">
                        <c:v>Ovn2 tonnagebasis</c:v>
                      </c:pt>
                      <c:pt idx="2">
                        <c:v>Bortkøleanlæg varme</c:v>
                      </c:pt>
                      <c:pt idx="3">
                        <c:v>Nordic Sugar varme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Model!$O$83:$O$86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Model!$AC$6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Model!$P$87</c:f>
              <c:numCache>
                <c:formatCode>0.00</c:formatCode>
                <c:ptCount val="1"/>
                <c:pt idx="0">
                  <c:v>-24.079236750263767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Model!$Q$82</c:f>
              <c:strCache>
                <c:ptCount val="1"/>
                <c:pt idx="0">
                  <c:v>Med 38%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Model!$Q$87</c:f>
              <c:numCache>
                <c:formatCode>0.00</c:formatCode>
                <c:ptCount val="1"/>
                <c:pt idx="0">
                  <c:v>-37.138755325493868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Model!$N$87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11</xdr:col>
      <xdr:colOff>892725</xdr:colOff>
      <xdr:row>19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39</xdr:row>
      <xdr:rowOff>18600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0</xdr:rowOff>
    </xdr:from>
    <xdr:to>
      <xdr:col>19</xdr:col>
      <xdr:colOff>6900</xdr:colOff>
      <xdr:row>19</xdr:row>
      <xdr:rowOff>171000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0</xdr:colOff>
      <xdr:row>20</xdr:row>
      <xdr:rowOff>28575</xdr:rowOff>
    </xdr:from>
    <xdr:to>
      <xdr:col>19</xdr:col>
      <xdr:colOff>6900</xdr:colOff>
      <xdr:row>39</xdr:row>
      <xdr:rowOff>9075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568984</xdr:colOff>
      <xdr:row>39</xdr:row>
      <xdr:rowOff>25323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0</xdr:rowOff>
    </xdr:from>
    <xdr:to>
      <xdr:col>23</xdr:col>
      <xdr:colOff>563382</xdr:colOff>
      <xdr:row>19</xdr:row>
      <xdr:rowOff>171000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A9C23E-C378-4102-8DD3-8B9AF314D6D7}" name="TabelScenInput" displayName="TabelScenInput" ref="C6:Y12" totalsRowShown="0" headerRowDxfId="6">
  <autoFilter ref="C6:Y12" xr:uid="{95A9C23E-C378-4102-8DD3-8B9AF314D6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3FC837D-D635-4526-963C-94D1302FC9EF}" name="Styringsparametre" dataDxfId="29"/>
    <tableColumn id="2" xr3:uid="{4ECB9DFC-8137-4247-93BA-68C1724288E6}" name="Enhed" dataDxfId="28"/>
    <tableColumn id="3" xr3:uid="{55F59C40-F2A8-4F2B-8C1D-FDF8B35B1A99}" name="Nominelt" dataDxfId="27"/>
    <tableColumn id="4" xr3:uid="{BC57ECF0-9B8D-4EA2-91E2-F2D1FA547227}" name="sc1" dataDxfId="26"/>
    <tableColumn id="5" xr3:uid="{01988D7D-4600-45BC-9FA2-873012A74628}" name="sc2" dataDxfId="25"/>
    <tableColumn id="6" xr3:uid="{0705A3E8-EBC4-42F3-A477-85E4D24068B9}" name="sc3" dataDxfId="24"/>
    <tableColumn id="7" xr3:uid="{D55146F2-4ECC-432E-A7E7-72F0F82FBB6D}" name="sc4" dataDxfId="23"/>
    <tableColumn id="8" xr3:uid="{0DEF3965-EA01-48E4-A019-79B6CE44B987}" name="sc5" dataDxfId="22"/>
    <tableColumn id="9" xr3:uid="{5CA941A0-E033-4111-A0B4-4D35A8856436}" name="sc6" dataDxfId="21"/>
    <tableColumn id="10" xr3:uid="{33E24628-41A1-4776-AF6B-4B891424C343}" name="sc7" dataDxfId="20"/>
    <tableColumn id="11" xr3:uid="{2377AD50-A2B8-41A9-A383-8177E3E7F6B4}" name="sc8" dataDxfId="19"/>
    <tableColumn id="12" xr3:uid="{B2CAD7D2-B1D3-4853-98B0-75401598665E}" name="sc9" dataDxfId="18"/>
    <tableColumn id="13" xr3:uid="{5CC18DD0-2958-40D8-BA6C-50B3BC06340B}" name="sc10" dataDxfId="17"/>
    <tableColumn id="14" xr3:uid="{A720AE3D-7BD1-480F-85F7-8B37830879BF}" name="sc11" dataDxfId="16"/>
    <tableColumn id="15" xr3:uid="{12423910-29FF-4F62-B679-2234314E087C}" name="sc12" dataDxfId="15"/>
    <tableColumn id="16" xr3:uid="{436C3CD5-D90C-415F-9094-F1CC0F15E436}" name="sc13" dataDxfId="14"/>
    <tableColumn id="17" xr3:uid="{E1F9B952-AB5D-4F44-A5AF-05DD7578035D}" name="sc14" dataDxfId="13"/>
    <tableColumn id="18" xr3:uid="{AE465BB8-15B0-42B3-B78E-92C0B1EF5E34}" name="sc15" dataDxfId="12"/>
    <tableColumn id="19" xr3:uid="{999C0A31-3BA0-4E6B-B060-B9CC34562DFF}" name="sc16" dataDxfId="11"/>
    <tableColumn id="20" xr3:uid="{4C409C04-6F68-4559-9D89-74EAA8059A6B}" name="sc17" dataDxfId="10"/>
    <tableColumn id="21" xr3:uid="{F882ABED-2A99-411C-A5B5-9B27C337B4C8}" name="sc18" dataDxfId="9"/>
    <tableColumn id="22" xr3:uid="{418CE78F-DA10-4EB7-BF16-2004DAE1F7EB}" name="sc19" dataDxfId="8"/>
    <tableColumn id="23" xr3:uid="{6872F8D1-2620-4297-A898-11F2C537F385}" name="sc20" dataDxfId="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B146"/>
  <sheetViews>
    <sheetView topLeftCell="A5" zoomScale="85" zoomScaleNormal="85" workbookViewId="0">
      <selection activeCell="D36" sqref="D36"/>
    </sheetView>
  </sheetViews>
  <sheetFormatPr defaultRowHeight="15" outlineLevelRow="1" x14ac:dyDescent="0.25"/>
  <cols>
    <col min="1" max="1" width="27.85546875" customWidth="1"/>
    <col min="2" max="2" width="16.140625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28" hidden="1" outlineLevel="1" x14ac:dyDescent="0.25"/>
    <row r="2" spans="1:28" hidden="1" outlineLevel="1" x14ac:dyDescent="0.25"/>
    <row r="3" spans="1:28" hidden="1" outlineLevel="1" x14ac:dyDescent="0.25"/>
    <row r="4" spans="1:28" hidden="1" outlineLevel="1" x14ac:dyDescent="0.25"/>
    <row r="5" spans="1:28" ht="21" collapsed="1" x14ac:dyDescent="0.35">
      <c r="C5" s="58" t="s">
        <v>244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</row>
    <row r="6" spans="1:28" x14ac:dyDescent="0.25">
      <c r="C6" s="3" t="s">
        <v>133</v>
      </c>
      <c r="D6" s="8" t="s">
        <v>49</v>
      </c>
      <c r="E6" s="4" t="s">
        <v>212</v>
      </c>
      <c r="F6" s="4" t="s">
        <v>213</v>
      </c>
      <c r="G6" s="4" t="s">
        <v>214</v>
      </c>
      <c r="H6" s="4" t="s">
        <v>215</v>
      </c>
      <c r="I6" s="4" t="s">
        <v>216</v>
      </c>
      <c r="J6" s="4" t="s">
        <v>217</v>
      </c>
      <c r="K6" s="4" t="s">
        <v>218</v>
      </c>
      <c r="L6" s="4" t="s">
        <v>219</v>
      </c>
      <c r="M6" s="4" t="s">
        <v>220</v>
      </c>
      <c r="N6" s="4" t="s">
        <v>221</v>
      </c>
      <c r="O6" s="4" t="s">
        <v>222</v>
      </c>
      <c r="P6" s="4" t="s">
        <v>223</v>
      </c>
      <c r="Q6" s="4" t="s">
        <v>224</v>
      </c>
      <c r="R6" s="4" t="s">
        <v>225</v>
      </c>
      <c r="S6" s="4" t="s">
        <v>226</v>
      </c>
      <c r="T6" s="4" t="s">
        <v>227</v>
      </c>
      <c r="U6" s="4" t="s">
        <v>228</v>
      </c>
      <c r="V6" s="4" t="s">
        <v>229</v>
      </c>
      <c r="W6" s="4" t="s">
        <v>230</v>
      </c>
      <c r="X6" s="4" t="s">
        <v>231</v>
      </c>
      <c r="Y6" s="4" t="s">
        <v>232</v>
      </c>
    </row>
    <row r="7" spans="1:28" x14ac:dyDescent="0.25">
      <c r="C7" s="14" t="s">
        <v>233</v>
      </c>
      <c r="D7" s="8"/>
      <c r="E7" s="39">
        <v>1</v>
      </c>
      <c r="F7" s="40">
        <v>1</v>
      </c>
      <c r="G7" s="40">
        <v>1</v>
      </c>
      <c r="H7" s="40">
        <v>1</v>
      </c>
      <c r="I7" s="40">
        <v>1</v>
      </c>
      <c r="J7" s="40">
        <v>1</v>
      </c>
      <c r="K7" s="40">
        <v>1</v>
      </c>
      <c r="L7" s="40">
        <v>1</v>
      </c>
      <c r="M7" s="40">
        <v>1</v>
      </c>
      <c r="N7" s="40">
        <v>1</v>
      </c>
      <c r="O7" s="40">
        <v>1</v>
      </c>
      <c r="P7" s="40">
        <v>1</v>
      </c>
      <c r="Q7" s="40">
        <v>1</v>
      </c>
      <c r="R7" s="40">
        <v>1</v>
      </c>
      <c r="S7" s="40">
        <v>1</v>
      </c>
      <c r="T7" s="40">
        <v>1</v>
      </c>
      <c r="U7" s="40">
        <v>1</v>
      </c>
      <c r="V7" s="40">
        <v>1</v>
      </c>
      <c r="W7" s="40">
        <v>1</v>
      </c>
      <c r="X7" s="40">
        <v>1</v>
      </c>
      <c r="Y7" s="40">
        <v>1</v>
      </c>
    </row>
    <row r="8" spans="1:28" x14ac:dyDescent="0.25">
      <c r="C8" s="5" t="str">
        <f>Model!A4</f>
        <v>FJV-behov</v>
      </c>
      <c r="D8" s="5" t="str">
        <f>Model!B4</f>
        <v>MWhq</v>
      </c>
      <c r="E8" s="12">
        <f>28000</f>
        <v>28000</v>
      </c>
      <c r="F8" s="12">
        <f>28000</f>
        <v>28000</v>
      </c>
      <c r="G8" s="12">
        <f>28000</f>
        <v>28000</v>
      </c>
      <c r="H8" s="12">
        <f>28000</f>
        <v>28000</v>
      </c>
      <c r="I8" s="12">
        <f>28000</f>
        <v>28000</v>
      </c>
      <c r="J8" s="12">
        <f>28000</f>
        <v>28000</v>
      </c>
      <c r="K8" s="12">
        <f>28000</f>
        <v>28000</v>
      </c>
      <c r="L8" s="12">
        <f>28000</f>
        <v>28000</v>
      </c>
      <c r="M8" s="12">
        <f>28000</f>
        <v>28000</v>
      </c>
      <c r="N8" s="12">
        <f>28000</f>
        <v>28000</v>
      </c>
      <c r="O8" s="12">
        <f>28000</f>
        <v>28000</v>
      </c>
      <c r="P8" s="12">
        <f>28000</f>
        <v>28000</v>
      </c>
      <c r="Q8" s="12">
        <f>28000</f>
        <v>28000</v>
      </c>
      <c r="R8" s="12">
        <f>28000</f>
        <v>28000</v>
      </c>
      <c r="S8" s="12">
        <f>28000</f>
        <v>28000</v>
      </c>
      <c r="T8" s="12">
        <f>28000</f>
        <v>28000</v>
      </c>
      <c r="U8" s="12">
        <f>28000</f>
        <v>28000</v>
      </c>
      <c r="V8" s="12">
        <f>28000</f>
        <v>28000</v>
      </c>
      <c r="W8" s="12">
        <f>28000</f>
        <v>28000</v>
      </c>
      <c r="X8" s="12">
        <f>28000</f>
        <v>28000</v>
      </c>
      <c r="Y8" s="12">
        <f>28000</f>
        <v>28000</v>
      </c>
    </row>
    <row r="9" spans="1:28" x14ac:dyDescent="0.25">
      <c r="C9" s="5" t="str">
        <f>Model!A5</f>
        <v>Affaldstonnage Fossil</v>
      </c>
      <c r="D9" s="5" t="str">
        <f>Model!B5</f>
        <v>ton</v>
      </c>
      <c r="E9" s="12">
        <f>Model!C5</f>
        <v>12000</v>
      </c>
      <c r="F9" s="12">
        <v>12000</v>
      </c>
      <c r="G9" s="12">
        <v>12000</v>
      </c>
      <c r="H9" s="12">
        <v>12000</v>
      </c>
      <c r="I9" s="12">
        <v>12000</v>
      </c>
      <c r="J9" s="12">
        <v>12000</v>
      </c>
      <c r="K9" s="12">
        <v>12000</v>
      </c>
      <c r="L9" s="12">
        <v>12000</v>
      </c>
      <c r="M9" s="12">
        <v>12000</v>
      </c>
      <c r="N9" s="12">
        <v>12000</v>
      </c>
      <c r="O9" s="12">
        <v>12000</v>
      </c>
      <c r="P9" s="12">
        <v>12000</v>
      </c>
      <c r="Q9" s="12">
        <v>12000</v>
      </c>
      <c r="R9" s="12">
        <v>12000</v>
      </c>
      <c r="S9" s="12">
        <v>12000</v>
      </c>
      <c r="T9" s="12">
        <v>12000</v>
      </c>
      <c r="U9" s="12">
        <v>12000</v>
      </c>
      <c r="V9" s="12">
        <v>12000</v>
      </c>
      <c r="W9" s="12">
        <v>12000</v>
      </c>
      <c r="X9" s="12">
        <v>12000</v>
      </c>
      <c r="Y9" s="12">
        <v>12000</v>
      </c>
    </row>
    <row r="10" spans="1:28" x14ac:dyDescent="0.25">
      <c r="C10" s="5" t="str">
        <f>Model!A6</f>
        <v>Affaldstonnage Biogen</v>
      </c>
      <c r="D10" s="5" t="str">
        <f>Model!B6</f>
        <v>ton</v>
      </c>
      <c r="E10" s="12">
        <f>Model!C6</f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</row>
    <row r="11" spans="1:28" x14ac:dyDescent="0.25">
      <c r="C11" s="5" t="str">
        <f>Model!A7</f>
        <v>RGK-udnyttelse</v>
      </c>
      <c r="D11" s="5" t="str">
        <f>Model!B7</f>
        <v>procent</v>
      </c>
      <c r="E11" s="17">
        <v>1</v>
      </c>
      <c r="F11" s="17">
        <v>0.05</v>
      </c>
      <c r="G11" s="17">
        <v>0.1</v>
      </c>
      <c r="H11" s="17">
        <v>0.15</v>
      </c>
      <c r="I11" s="17">
        <v>0.2</v>
      </c>
      <c r="J11" s="17">
        <v>0.25</v>
      </c>
      <c r="K11" s="17">
        <v>0.3</v>
      </c>
      <c r="L11" s="17">
        <v>0.35</v>
      </c>
      <c r="M11" s="17">
        <v>0.4</v>
      </c>
      <c r="N11" s="17">
        <v>0.45</v>
      </c>
      <c r="O11" s="17">
        <v>0.5</v>
      </c>
      <c r="P11" s="17">
        <v>0.55000000000000004</v>
      </c>
      <c r="Q11" s="17">
        <v>0.6</v>
      </c>
      <c r="R11" s="17">
        <v>0.65</v>
      </c>
      <c r="S11" s="17">
        <v>0.7</v>
      </c>
      <c r="T11" s="17">
        <v>0.75</v>
      </c>
      <c r="U11" s="17">
        <v>0.8</v>
      </c>
      <c r="V11" s="17">
        <v>0.85</v>
      </c>
      <c r="W11" s="17">
        <v>0.9</v>
      </c>
      <c r="X11" s="17">
        <v>0.95</v>
      </c>
      <c r="Y11" s="17">
        <v>1</v>
      </c>
    </row>
    <row r="12" spans="1:28" x14ac:dyDescent="0.25">
      <c r="C12" s="5" t="str">
        <f>Model!A8</f>
        <v>NordicSugar varme</v>
      </c>
      <c r="D12" s="5" t="str">
        <f>Model!B8</f>
        <v>MWhq</v>
      </c>
      <c r="E12" s="12">
        <f>Model!C8</f>
        <v>4000</v>
      </c>
      <c r="F12" s="12">
        <v>4000</v>
      </c>
      <c r="G12" s="12">
        <v>4000</v>
      </c>
      <c r="H12" s="12">
        <v>4000</v>
      </c>
      <c r="I12" s="12">
        <v>4000</v>
      </c>
      <c r="J12" s="12">
        <v>4000</v>
      </c>
      <c r="K12" s="12">
        <v>4000</v>
      </c>
      <c r="L12" s="12">
        <v>4000</v>
      </c>
      <c r="M12" s="12">
        <v>4000</v>
      </c>
      <c r="N12" s="12">
        <v>4000</v>
      </c>
      <c r="O12" s="12">
        <v>4000</v>
      </c>
      <c r="P12" s="12">
        <v>4000</v>
      </c>
      <c r="Q12" s="12">
        <v>4000</v>
      </c>
      <c r="R12" s="12">
        <v>4000</v>
      </c>
      <c r="S12" s="12">
        <v>4000</v>
      </c>
      <c r="T12" s="12">
        <v>4000</v>
      </c>
      <c r="U12" s="12">
        <v>4000</v>
      </c>
      <c r="V12" s="12">
        <v>4000</v>
      </c>
      <c r="W12" s="12">
        <v>4000</v>
      </c>
      <c r="X12" s="12">
        <v>4000</v>
      </c>
      <c r="Y12" s="12">
        <v>4000</v>
      </c>
    </row>
    <row r="13" spans="1:28" x14ac:dyDescent="0.25">
      <c r="C13" s="5"/>
      <c r="D13" s="5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1:28" x14ac:dyDescent="0.25">
      <c r="C14" s="45" t="s">
        <v>241</v>
      </c>
      <c r="D14" s="46" t="s">
        <v>242</v>
      </c>
      <c r="E14" s="47"/>
      <c r="F14" s="47"/>
      <c r="G14" s="47"/>
      <c r="H14" s="47"/>
      <c r="I14" s="46"/>
      <c r="J14" s="45" t="s">
        <v>241</v>
      </c>
      <c r="K14" s="46" t="s">
        <v>246</v>
      </c>
      <c r="L14" s="47"/>
      <c r="M14" s="47"/>
      <c r="N14" s="47"/>
      <c r="O14" s="47"/>
      <c r="P14" s="47"/>
      <c r="Q14" s="47"/>
      <c r="R14" s="47"/>
      <c r="S14" s="47" t="s">
        <v>241</v>
      </c>
      <c r="T14" s="47" t="s">
        <v>142</v>
      </c>
      <c r="U14" s="47"/>
      <c r="V14" s="47"/>
      <c r="W14" s="47"/>
      <c r="X14" s="47"/>
      <c r="Y14" s="47"/>
      <c r="Z14" s="47"/>
      <c r="AA14" s="47"/>
      <c r="AB14" s="47"/>
    </row>
    <row r="15" spans="1:28" x14ac:dyDescent="0.25">
      <c r="A15" s="49" t="s">
        <v>245</v>
      </c>
      <c r="B15" s="52" t="s">
        <v>243</v>
      </c>
      <c r="C15" s="5"/>
      <c r="D15" s="5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</row>
    <row r="16" spans="1:28" x14ac:dyDescent="0.25">
      <c r="A16" t="s">
        <v>122</v>
      </c>
      <c r="B16" s="44">
        <v>1000</v>
      </c>
      <c r="C16" s="5"/>
      <c r="D16" s="5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1:25" x14ac:dyDescent="0.25">
      <c r="A17" t="s">
        <v>120</v>
      </c>
      <c r="B17" s="44">
        <v>1000</v>
      </c>
      <c r="C17" s="5"/>
      <c r="D17" s="5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5">
      <c r="A18" t="s">
        <v>121</v>
      </c>
      <c r="B18" s="44">
        <v>-1000</v>
      </c>
      <c r="C18" s="5"/>
      <c r="D18" s="5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5">
      <c r="A19" t="s">
        <v>107</v>
      </c>
      <c r="B19" s="44">
        <v>1000</v>
      </c>
      <c r="C19" s="5"/>
      <c r="D19" s="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1:25" x14ac:dyDescent="0.25">
      <c r="A20" t="s">
        <v>105</v>
      </c>
      <c r="B20" s="44">
        <v>1000</v>
      </c>
      <c r="C20" s="5"/>
      <c r="D20" s="5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</row>
    <row r="21" spans="1:25" x14ac:dyDescent="0.25">
      <c r="A21" t="s">
        <v>24</v>
      </c>
      <c r="B21" s="44">
        <v>1000</v>
      </c>
      <c r="C21" s="5"/>
      <c r="D21" s="5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5">
      <c r="A22" t="s">
        <v>114</v>
      </c>
      <c r="B22" s="44">
        <v>1</v>
      </c>
      <c r="C22" s="5"/>
      <c r="D22" s="5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</row>
    <row r="23" spans="1:25" x14ac:dyDescent="0.25">
      <c r="A23" t="s">
        <v>115</v>
      </c>
      <c r="B23" s="44">
        <v>1</v>
      </c>
      <c r="C23" s="5"/>
      <c r="D23" s="5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 x14ac:dyDescent="0.25">
      <c r="A24" t="s">
        <v>46</v>
      </c>
      <c r="B24" s="44">
        <v>-1</v>
      </c>
      <c r="C24" s="5"/>
      <c r="D24" s="5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 x14ac:dyDescent="0.25">
      <c r="A25" t="s">
        <v>111</v>
      </c>
      <c r="B25" s="44">
        <v>1</v>
      </c>
      <c r="C25" s="5"/>
      <c r="D25" s="5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</row>
    <row r="26" spans="1:25" x14ac:dyDescent="0.25">
      <c r="A26" t="s">
        <v>135</v>
      </c>
      <c r="B26" s="44">
        <v>1</v>
      </c>
      <c r="C26" s="5"/>
      <c r="D26" s="5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5">
      <c r="A27" t="s">
        <v>147</v>
      </c>
      <c r="B27" s="44">
        <v>1</v>
      </c>
      <c r="C27" s="5"/>
      <c r="D27" s="5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  <row r="28" spans="1:25" x14ac:dyDescent="0.25">
      <c r="A28" t="s">
        <v>145</v>
      </c>
      <c r="B28" s="44">
        <v>1</v>
      </c>
      <c r="C28" s="5"/>
      <c r="D28" s="5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1:25" x14ac:dyDescent="0.25">
      <c r="A29" t="s">
        <v>103</v>
      </c>
      <c r="B29" s="44">
        <v>1</v>
      </c>
      <c r="C29" s="5"/>
      <c r="D29" s="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25">
      <c r="A30" t="s">
        <v>102</v>
      </c>
      <c r="B30" s="44">
        <v>1</v>
      </c>
      <c r="C30" s="5"/>
      <c r="D30" s="5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1:25" x14ac:dyDescent="0.25">
      <c r="A31" t="s">
        <v>149</v>
      </c>
      <c r="B31" s="44">
        <v>1</v>
      </c>
      <c r="C31" s="5"/>
      <c r="D31" s="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25">
      <c r="A32" t="s">
        <v>148</v>
      </c>
      <c r="B32" s="44">
        <v>1</v>
      </c>
      <c r="C32" s="5"/>
      <c r="D32" s="5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5" x14ac:dyDescent="0.25">
      <c r="A33" t="s">
        <v>153</v>
      </c>
      <c r="B33" s="44">
        <v>1</v>
      </c>
      <c r="C33" s="45"/>
      <c r="D33" s="46"/>
      <c r="E33" s="47"/>
      <c r="F33" s="47"/>
      <c r="G33" s="47"/>
      <c r="H33" s="47"/>
      <c r="I33" s="47"/>
      <c r="J33" s="47" t="s">
        <v>241</v>
      </c>
      <c r="K33" s="47" t="s">
        <v>150</v>
      </c>
      <c r="L33" s="47"/>
      <c r="M33" s="47"/>
      <c r="N33" s="47"/>
      <c r="O33" s="47"/>
      <c r="P33" s="47"/>
      <c r="Q33" s="47"/>
      <c r="R33" s="47"/>
      <c r="S33" s="47" t="s">
        <v>241</v>
      </c>
      <c r="T33" s="47" t="s">
        <v>151</v>
      </c>
      <c r="U33" s="47"/>
      <c r="V33" s="12"/>
      <c r="W33" s="12"/>
      <c r="X33" s="12"/>
      <c r="Y33" s="12"/>
    </row>
    <row r="34" spans="1:25" x14ac:dyDescent="0.25">
      <c r="A34" t="s">
        <v>152</v>
      </c>
      <c r="B34" s="44">
        <v>1</v>
      </c>
      <c r="C34" s="5"/>
      <c r="D34" s="5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 x14ac:dyDescent="0.25">
      <c r="A35" t="s">
        <v>154</v>
      </c>
      <c r="B35" s="44">
        <v>1</v>
      </c>
      <c r="C35" s="5"/>
      <c r="D35" s="5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8" spans="1:25" x14ac:dyDescent="0.25">
      <c r="A38" s="49" t="s">
        <v>240</v>
      </c>
      <c r="B38" s="50"/>
    </row>
    <row r="39" spans="1:25" x14ac:dyDescent="0.25">
      <c r="A39" s="41" t="s">
        <v>132</v>
      </c>
      <c r="B39" s="4" t="s">
        <v>243</v>
      </c>
    </row>
    <row r="40" spans="1:25" x14ac:dyDescent="0.25">
      <c r="A40" s="48" t="s">
        <v>107</v>
      </c>
      <c r="B40" s="44">
        <v>1000</v>
      </c>
    </row>
    <row r="41" spans="1:25" x14ac:dyDescent="0.25">
      <c r="A41" s="48" t="s">
        <v>105</v>
      </c>
      <c r="B41" s="44">
        <v>1000</v>
      </c>
    </row>
    <row r="42" spans="1:25" x14ac:dyDescent="0.25">
      <c r="A42" s="48"/>
      <c r="B42" s="44">
        <v>0</v>
      </c>
    </row>
    <row r="43" spans="1:25" x14ac:dyDescent="0.25">
      <c r="A43" s="48"/>
      <c r="B43" s="44">
        <v>0</v>
      </c>
    </row>
    <row r="44" spans="1:25" x14ac:dyDescent="0.25">
      <c r="A44" s="48"/>
      <c r="B44" s="44">
        <v>0</v>
      </c>
    </row>
    <row r="45" spans="1:25" x14ac:dyDescent="0.25">
      <c r="A45" s="48"/>
      <c r="B45" s="44">
        <v>0</v>
      </c>
    </row>
    <row r="46" spans="1:25" x14ac:dyDescent="0.25">
      <c r="A46" s="48"/>
      <c r="B46" s="44">
        <v>0</v>
      </c>
    </row>
    <row r="47" spans="1:25" x14ac:dyDescent="0.25">
      <c r="A47" s="48"/>
      <c r="B47" s="44">
        <v>0</v>
      </c>
    </row>
    <row r="48" spans="1:25" x14ac:dyDescent="0.25">
      <c r="A48" s="48"/>
      <c r="B48" s="44">
        <v>0</v>
      </c>
    </row>
    <row r="49" spans="1:28" x14ac:dyDescent="0.25">
      <c r="A49" s="48"/>
      <c r="B49" s="44">
        <v>0</v>
      </c>
    </row>
    <row r="51" spans="1:28" x14ac:dyDescent="0.25"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</row>
    <row r="52" spans="1:28" x14ac:dyDescent="0.25">
      <c r="A52" s="55" t="s">
        <v>239</v>
      </c>
    </row>
    <row r="53" spans="1:28" x14ac:dyDescent="0.25">
      <c r="A53" s="56" t="str" cm="1">
        <f t="array" ref="A53:A81">_xlfn.LET(_xlpm.ran,C92:C129,_xlfn._xlws.FILTER(_xlpm.ran,(LEN(_xlpm.ran)&gt;0)*(IFERROR(FIND(":",_xlpm.ran)=0,TRUE))))</f>
        <v>Indtægter total</v>
      </c>
      <c r="C53" s="49" t="s">
        <v>245</v>
      </c>
      <c r="D53" s="49" t="s">
        <v>243</v>
      </c>
      <c r="E53" s="52" t="str">
        <f>TabelScenInput[[#Headers],[Nominelt]]</f>
        <v>Nominelt</v>
      </c>
      <c r="F53" s="52" t="str">
        <f>TabelScenInput[[#Headers],[sc1]]</f>
        <v>sc1</v>
      </c>
      <c r="G53" s="52" t="str">
        <f>TabelScenInput[[#Headers],[sc2]]</f>
        <v>sc2</v>
      </c>
      <c r="H53" s="52" t="str">
        <f>TabelScenInput[[#Headers],[sc3]]</f>
        <v>sc3</v>
      </c>
      <c r="I53" s="52" t="str">
        <f>TabelScenInput[[#Headers],[sc4]]</f>
        <v>sc4</v>
      </c>
      <c r="J53" s="52" t="str">
        <f>TabelScenInput[[#Headers],[sc5]]</f>
        <v>sc5</v>
      </c>
      <c r="K53" s="52" t="str">
        <f>TabelScenInput[[#Headers],[sc6]]</f>
        <v>sc6</v>
      </c>
      <c r="L53" s="52" t="str">
        <f>TabelScenInput[[#Headers],[sc7]]</f>
        <v>sc7</v>
      </c>
      <c r="M53" s="52" t="str">
        <f>TabelScenInput[[#Headers],[sc8]]</f>
        <v>sc8</v>
      </c>
      <c r="N53" s="52" t="str">
        <f>TabelScenInput[[#Headers],[sc9]]</f>
        <v>sc9</v>
      </c>
      <c r="O53" s="52" t="str">
        <f>TabelScenInput[[#Headers],[sc10]]</f>
        <v>sc10</v>
      </c>
      <c r="P53" s="52" t="str">
        <f>TabelScenInput[[#Headers],[sc11]]</f>
        <v>sc11</v>
      </c>
      <c r="Q53" s="52" t="str">
        <f>TabelScenInput[[#Headers],[sc12]]</f>
        <v>sc12</v>
      </c>
      <c r="R53" s="52" t="str">
        <f>TabelScenInput[[#Headers],[sc13]]</f>
        <v>sc13</v>
      </c>
      <c r="S53" s="52" t="str">
        <f>TabelScenInput[[#Headers],[sc14]]</f>
        <v>sc14</v>
      </c>
      <c r="T53" s="52" t="str">
        <f>TabelScenInput[[#Headers],[sc15]]</f>
        <v>sc15</v>
      </c>
      <c r="U53" s="52" t="str">
        <f>TabelScenInput[[#Headers],[sc16]]</f>
        <v>sc16</v>
      </c>
      <c r="V53" s="52" t="str">
        <f>TabelScenInput[[#Headers],[sc17]]</f>
        <v>sc17</v>
      </c>
      <c r="W53" s="52" t="str">
        <f>TabelScenInput[[#Headers],[sc18]]</f>
        <v>sc18</v>
      </c>
      <c r="X53" s="52" t="str">
        <f>TabelScenInput[[#Headers],[sc19]]</f>
        <v>sc19</v>
      </c>
      <c r="Y53" s="52" t="str">
        <f>TabelScenInput[[#Headers],[sc20]]</f>
        <v>sc20</v>
      </c>
    </row>
    <row r="54" spans="1:28" x14ac:dyDescent="0.25">
      <c r="A54" t="str">
        <v>Omkostninger total</v>
      </c>
      <c r="B54" s="54"/>
      <c r="C54" t="str">
        <f>IF(ISBLANK(A16),"",A16)</f>
        <v>Dækningsbidrag</v>
      </c>
      <c r="D54" s="44">
        <f>B16</f>
        <v>1000</v>
      </c>
      <c r="E54" s="12" cm="1">
        <f t="array" ref="E54">IFERROR(IF($D54 &lt;&gt;0,ResultValue($C54,COLUMN(F54)-COLUMN($C54))/$D54,""),"")</f>
        <v>8081.0686816686157</v>
      </c>
      <c r="F54" s="12" cm="1">
        <f t="array" ref="F54">IFERROR(IF($D54 &lt;&gt;0,ResultValue($C54,COLUMN(G54)-COLUMN($C54))/$D54,""),"")</f>
        <v>8329.056190743413</v>
      </c>
      <c r="G54" s="12" cm="1">
        <f t="array" ref="G54">IFERROR(IF($D54 &lt;&gt;0,ResultValue($C54,COLUMN(H54)-COLUMN($C54))/$D54,""),"")</f>
        <v>8301.1435517990449</v>
      </c>
      <c r="H54" s="12" cm="1">
        <f t="array" ref="H54">IFERROR(IF($D54 &lt;&gt;0,ResultValue($C54,COLUMN(I54)-COLUMN($C54))/$D54,""),"")</f>
        <v>8273.7919741592195</v>
      </c>
      <c r="I54" s="12" cm="1">
        <f t="array" ref="I54">IFERROR(IF($D54 &lt;&gt;0,ResultValue($C54,COLUMN(J54)-COLUMN($C54))/$D54,""),"")</f>
        <v>8246.984455966227</v>
      </c>
      <c r="J54" s="12" cm="1">
        <f t="array" ref="J54">IFERROR(IF($D54 &lt;&gt;0,ResultValue($C54,COLUMN(K54)-COLUMN($C54))/$D54,""),"")</f>
        <v>8220.7046754366638</v>
      </c>
      <c r="K54" s="12" cm="1">
        <f t="array" ref="K54">IFERROR(IF($D54 &lt;&gt;0,ResultValue($C54,COLUMN(L54)-COLUMN($C54))/$D54,""),"")</f>
        <v>8194.9369571943898</v>
      </c>
      <c r="L54" s="12" cm="1">
        <f t="array" ref="L54">IFERROR(IF($D54 &lt;&gt;0,ResultValue($C54,COLUMN(M54)-COLUMN($C54))/$D54,""),"")</f>
        <v>8169.6662405838888</v>
      </c>
      <c r="M54" s="12" cm="1">
        <f t="array" ref="M54">IFERROR(IF($D54 &lt;&gt;0,ResultValue($C54,COLUMN(N54)-COLUMN($C54))/$D54,""),"")</f>
        <v>8345.471851640461</v>
      </c>
      <c r="N54" s="12" cm="1">
        <f t="array" ref="N54">IFERROR(IF($D54 &lt;&gt;0,ResultValue($C54,COLUMN(O54)-COLUMN($C54))/$D54,""),"")</f>
        <v>8321.1522677270732</v>
      </c>
      <c r="O54" s="12" cm="1">
        <f t="array" ref="O54">IFERROR(IF($D54 &lt;&gt;0,ResultValue($C54,COLUMN(P54)-COLUMN($C54))/$D54,""),"")</f>
        <v>8297.2879018878102</v>
      </c>
      <c r="P54" s="12" cm="1">
        <f t="array" ref="P54">IFERROR(IF($D54 &lt;&gt;0,ResultValue($C54,COLUMN(Q54)-COLUMN($C54))/$D54,""),"")</f>
        <v>8273.8658705922808</v>
      </c>
      <c r="Q54" s="12" cm="1">
        <f t="array" ref="Q54">IFERROR(IF($D54 &lt;&gt;0,ResultValue($C54,COLUMN(R54)-COLUMN($C54))/$D54,""),"")</f>
        <v>8250.8737719373821</v>
      </c>
      <c r="R54" s="12" cm="1">
        <f t="array" ref="R54">IFERROR(IF($D54 &lt;&gt;0,ResultValue($C54,COLUMN(S54)-COLUMN($C54))/$D54,""),"")</f>
        <v>8228.2996633497696</v>
      </c>
      <c r="S54" s="12" cm="1">
        <f t="array" ref="S54">IFERROR(IF($D54 &lt;&gt;0,ResultValue($C54,COLUMN(T54)-COLUMN($C54))/$D54,""),"")</f>
        <v>8206.1320405156621</v>
      </c>
      <c r="T54" s="12" cm="1">
        <f t="array" ref="T54">IFERROR(IF($D54 &lt;&gt;0,ResultValue($C54,COLUMN(U54)-COLUMN($C54))/$D54,""),"")</f>
        <v>8184.3598174599611</v>
      </c>
      <c r="U54" s="12" cm="1">
        <f t="array" ref="U54">IFERROR(IF($D54 &lt;&gt;0,ResultValue($C54,COLUMN(V54)-COLUMN($C54))/$D54,""),"")</f>
        <v>8162.9723077021736</v>
      </c>
      <c r="V54" s="12" cm="1">
        <f t="array" ref="V54">IFERROR(IF($D54 &lt;&gt;0,ResultValue($C54,COLUMN(W54)-COLUMN($C54))/$D54,""),"")</f>
        <v>8141.9592064218168</v>
      </c>
      <c r="W54" s="12" cm="1">
        <f t="array" ref="W54">IFERROR(IF($D54 &lt;&gt;0,ResultValue($C54,COLUMN(X54)-COLUMN($C54))/$D54,""),"")</f>
        <v>8121.3105735708205</v>
      </c>
      <c r="X54" s="12" cm="1">
        <f t="array" ref="X54">IFERROR(IF($D54 &lt;&gt;0,ResultValue($C54,COLUMN(Y54)-COLUMN($C54))/$D54,""),"")</f>
        <v>8101.0168178747244</v>
      </c>
      <c r="Y54" s="12" cm="1">
        <f t="array" ref="Y54">IFERROR(IF($D54 &lt;&gt;0,ResultValue($C54,COLUMN(Z54)-COLUMN($C54))/$D54,""),"")</f>
        <v>8081.0686816686157</v>
      </c>
    </row>
    <row r="55" spans="1:28" x14ac:dyDescent="0.25">
      <c r="A55" t="str">
        <v>Dækningsbidrag</v>
      </c>
      <c r="B55" s="54"/>
      <c r="C55" t="str">
        <f>IF(ISBLANK(A17),"",A17)</f>
        <v>Indtægter total</v>
      </c>
      <c r="D55" s="44">
        <f>B17</f>
        <v>1000</v>
      </c>
      <c r="E55" s="12" cm="1">
        <f t="array" ref="E55">IFERROR(IF($D55 &lt;&gt;0,ResultValue($C55,COLUMN(F55)-COLUMN($C55))/$D55,""),"")</f>
        <v>15652.263443326186</v>
      </c>
      <c r="F55" s="12" cm="1">
        <f t="array" ref="F55">IFERROR(IF($D55 &lt;&gt;0,ResultValue($C55,COLUMN(G55)-COLUMN($C55))/$D55,""),"")</f>
        <v>16181.783291652784</v>
      </c>
      <c r="G55" s="12" cm="1">
        <f t="array" ref="G55">IFERROR(IF($D55 &lt;&gt;0,ResultValue($C55,COLUMN(H55)-COLUMN($C55))/$D55,""),"")</f>
        <v>16136.225467580172</v>
      </c>
      <c r="H55" s="12" cm="1">
        <f t="array" ref="H55">IFERROR(IF($D55 &lt;&gt;0,ResultValue($C55,COLUMN(I55)-COLUMN($C55))/$D55,""),"")</f>
        <v>16091.597395019249</v>
      </c>
      <c r="I55" s="12" cm="1">
        <f t="array" ref="I55">IFERROR(IF($D55 &lt;&gt;0,ResultValue($C55,COLUMN(J55)-COLUMN($C55))/$D55,""),"")</f>
        <v>16047.870899681777</v>
      </c>
      <c r="J55" s="12" cm="1">
        <f t="array" ref="J55">IFERROR(IF($D55 &lt;&gt;0,ResultValue($C55,COLUMN(K55)-COLUMN($C55))/$D55,""),"")</f>
        <v>16005.018934251055</v>
      </c>
      <c r="K55" s="12" cm="1">
        <f t="array" ref="K55">IFERROR(IF($D55 &lt;&gt;0,ResultValue($C55,COLUMN(L55)-COLUMN($C55))/$D55,""),"")</f>
        <v>15963.01552259124</v>
      </c>
      <c r="L55" s="12" cm="1">
        <f t="array" ref="L55">IFERROR(IF($D55 &lt;&gt;0,ResultValue($C55,COLUMN(M55)-COLUMN($C55))/$D55,""),"")</f>
        <v>15921.835707238479</v>
      </c>
      <c r="M55" s="12" cm="1">
        <f t="array" ref="M55">IFERROR(IF($D55 &lt;&gt;0,ResultValue($C55,COLUMN(N55)-COLUMN($C55))/$D55,""),"")</f>
        <v>16082.049301761796</v>
      </c>
      <c r="N55" s="12" cm="1">
        <f t="array" ref="N55">IFERROR(IF($D55 &lt;&gt;0,ResultValue($C55,COLUMN(O55)-COLUMN($C55))/$D55,""),"")</f>
        <v>16042.445636921975</v>
      </c>
      <c r="O55" s="12" cm="1">
        <f t="array" ref="O55">IFERROR(IF($D55 &lt;&gt;0,ResultValue($C55,COLUMN(P55)-COLUMN($C55))/$D55,""),"")</f>
        <v>16003.596327602914</v>
      </c>
      <c r="P55" s="12" cm="1">
        <f t="array" ref="P55">IFERROR(IF($D55 &lt;&gt;0,ResultValue($C55,COLUMN(Q55)-COLUMN($C55))/$D55,""),"")</f>
        <v>15965.480024120061</v>
      </c>
      <c r="Q55" s="12" cm="1">
        <f t="array" ref="Q55">IFERROR(IF($D55 &lt;&gt;0,ResultValue($C55,COLUMN(R55)-COLUMN($C55))/$D55,""),"")</f>
        <v>15928.076174907916</v>
      </c>
      <c r="R55" s="12" cm="1">
        <f t="array" ref="R55">IFERROR(IF($D55 &lt;&gt;0,ResultValue($C55,COLUMN(S55)-COLUMN($C55))/$D55,""),"")</f>
        <v>15891.364989570069</v>
      </c>
      <c r="S55" s="12" cm="1">
        <f t="array" ref="S55">IFERROR(IF($D55 &lt;&gt;0,ResultValue($C55,COLUMN(T55)-COLUMN($C55))/$D55,""),"")</f>
        <v>15855.327403963192</v>
      </c>
      <c r="T55" s="12" cm="1">
        <f t="array" ref="T55">IFERROR(IF($D55 &lt;&gt;0,ResultValue($C55,COLUMN(U55)-COLUMN($C55))/$D55,""),"")</f>
        <v>15819.945047185534</v>
      </c>
      <c r="U55" s="12" cm="1">
        <f t="array" ref="U55">IFERROR(IF($D55 &lt;&gt;0,ResultValue($C55,COLUMN(V55)-COLUMN($C55))/$D55,""),"")</f>
        <v>15785.200210349813</v>
      </c>
      <c r="V55" s="12" cm="1">
        <f t="array" ref="V55">IFERROR(IF($D55 &lt;&gt;0,ResultValue($C55,COLUMN(W55)-COLUMN($C55))/$D55,""),"")</f>
        <v>15751.075817029016</v>
      </c>
      <c r="W55" s="12" cm="1">
        <f t="array" ref="W55">IFERROR(IF($D55 &lt;&gt;0,ResultValue($C55,COLUMN(X55)-COLUMN($C55))/$D55,""),"")</f>
        <v>15717.55539527142</v>
      </c>
      <c r="X55" s="12" cm="1">
        <f t="array" ref="X55">IFERROR(IF($D55 &lt;&gt;0,ResultValue($C55,COLUMN(Y55)-COLUMN($C55))/$D55,""),"")</f>
        <v>15684.623051088518</v>
      </c>
      <c r="Y55" s="12" cm="1">
        <f t="array" ref="Y55">IFERROR(IF($D55 &lt;&gt;0,ResultValue($C55,COLUMN(Z55)-COLUMN($C55))/$D55,""),"")</f>
        <v>15652.263443326186</v>
      </c>
    </row>
    <row r="56" spans="1:28" x14ac:dyDescent="0.25">
      <c r="A56" t="str">
        <v>Varmesalg</v>
      </c>
      <c r="B56" s="54"/>
      <c r="C56" t="str">
        <f>IF(ISBLANK(A18),"",A18)</f>
        <v>Omkostninger total</v>
      </c>
      <c r="D56" s="44">
        <f>B18</f>
        <v>-1000</v>
      </c>
      <c r="E56" s="12" cm="1">
        <f t="array" ref="E56">IFERROR(IF($D56 &lt;&gt;0,ResultValue($C56,COLUMN(F56)-COLUMN($C56))/$D56,""),"")</f>
        <v>-7571.1947616575708</v>
      </c>
      <c r="F56" s="12" cm="1">
        <f t="array" ref="F56">IFERROR(IF($D56 &lt;&gt;0,ResultValue($C56,COLUMN(G56)-COLUMN($C56))/$D56,""),"")</f>
        <v>-7852.7271009093702</v>
      </c>
      <c r="G56" s="12" cm="1">
        <f t="array" ref="G56">IFERROR(IF($D56 &lt;&gt;0,ResultValue($C56,COLUMN(H56)-COLUMN($C56))/$D56,""),"")</f>
        <v>-7835.0819157811293</v>
      </c>
      <c r="H56" s="12" cm="1">
        <f t="array" ref="H56">IFERROR(IF($D56 &lt;&gt;0,ResultValue($C56,COLUMN(I56)-COLUMN($C56))/$D56,""),"")</f>
        <v>-7817.8054208600297</v>
      </c>
      <c r="I56" s="12" cm="1">
        <f t="array" ref="I56">IFERROR(IF($D56 &lt;&gt;0,ResultValue($C56,COLUMN(J56)-COLUMN($C56))/$D56,""),"")</f>
        <v>-7800.8864437155489</v>
      </c>
      <c r="J56" s="12" cm="1">
        <f t="array" ref="J56">IFERROR(IF($D56 &lt;&gt;0,ResultValue($C56,COLUMN(K56)-COLUMN($C56))/$D56,""),"")</f>
        <v>-7784.314258814391</v>
      </c>
      <c r="K56" s="12" cm="1">
        <f t="array" ref="K56">IFERROR(IF($D56 &lt;&gt;0,ResultValue($C56,COLUMN(L56)-COLUMN($C56))/$D56,""),"")</f>
        <v>-7768.0785653968505</v>
      </c>
      <c r="L56" s="12" cm="1">
        <f t="array" ref="L56">IFERROR(IF($D56 &lt;&gt;0,ResultValue($C56,COLUMN(M56)-COLUMN($C56))/$D56,""),"")</f>
        <v>-7752.1694666545891</v>
      </c>
      <c r="M56" s="12" cm="1">
        <f t="array" ref="M56">IFERROR(IF($D56 &lt;&gt;0,ResultValue($C56,COLUMN(N56)-COLUMN($C56))/$D56,""),"")</f>
        <v>-7736.5774501213346</v>
      </c>
      <c r="N56" s="12" cm="1">
        <f t="array" ref="N56">IFERROR(IF($D56 &lt;&gt;0,ResultValue($C56,COLUMN(O56)-COLUMN($C56))/$D56,""),"")</f>
        <v>-7721.2933691949038</v>
      </c>
      <c r="O56" s="12" cm="1">
        <f t="array" ref="O56">IFERROR(IF($D56 &lt;&gt;0,ResultValue($C56,COLUMN(P56)-COLUMN($C56))/$D56,""),"")</f>
        <v>-7706.3084257151031</v>
      </c>
      <c r="P56" s="12" cm="1">
        <f t="array" ref="P56">IFERROR(IF($D56 &lt;&gt;0,ResultValue($C56,COLUMN(Q56)-COLUMN($C56))/$D56,""),"")</f>
        <v>-7691.6141535277802</v>
      </c>
      <c r="Q56" s="12" cm="1">
        <f t="array" ref="Q56">IFERROR(IF($D56 &lt;&gt;0,ResultValue($C56,COLUMN(R56)-COLUMN($C56))/$D56,""),"")</f>
        <v>-7677.2024029705326</v>
      </c>
      <c r="R56" s="12" cm="1">
        <f t="array" ref="R56">IFERROR(IF($D56 &lt;&gt;0,ResultValue($C56,COLUMN(S56)-COLUMN($C56))/$D56,""),"")</f>
        <v>-7663.0653262203014</v>
      </c>
      <c r="S56" s="12" cm="1">
        <f t="array" ref="S56">IFERROR(IF($D56 &lt;&gt;0,ResultValue($C56,COLUMN(T56)-COLUMN($C56))/$D56,""),"")</f>
        <v>-7649.1953634475321</v>
      </c>
      <c r="T56" s="12" cm="1">
        <f t="array" ref="T56">IFERROR(IF($D56 &lt;&gt;0,ResultValue($C56,COLUMN(U56)-COLUMN($C56))/$D56,""),"")</f>
        <v>-7635.5852297255733</v>
      </c>
      <c r="U56" s="12" cm="1">
        <f t="array" ref="U56">IFERROR(IF($D56 &lt;&gt;0,ResultValue($C56,COLUMN(V56)-COLUMN($C56))/$D56,""),"")</f>
        <v>-7622.2279026476399</v>
      </c>
      <c r="V56" s="12" cm="1">
        <f t="array" ref="V56">IFERROR(IF($D56 &lt;&gt;0,ResultValue($C56,COLUMN(W56)-COLUMN($C56))/$D56,""),"")</f>
        <v>-7609.1166106071996</v>
      </c>
      <c r="W56" s="12" cm="1">
        <f t="array" ref="W56">IFERROR(IF($D56 &lt;&gt;0,ResultValue($C56,COLUMN(X56)-COLUMN($C56))/$D56,""),"")</f>
        <v>-7596.2448217006004</v>
      </c>
      <c r="X56" s="12" cm="1">
        <f t="array" ref="X56">IFERROR(IF($D56 &lt;&gt;0,ResultValue($C56,COLUMN(Y56)-COLUMN($C56))/$D56,""),"")</f>
        <v>-7583.6062332137935</v>
      </c>
      <c r="Y56" s="12" cm="1">
        <f t="array" ref="Y56">IFERROR(IF($D56 &lt;&gt;0,ResultValue($C56,COLUMN(Z56)-COLUMN($C56))/$D56,""),"")</f>
        <v>-7571.1947616575708</v>
      </c>
    </row>
    <row r="57" spans="1:28" x14ac:dyDescent="0.25">
      <c r="A57" t="str">
        <v>Elsalg</v>
      </c>
      <c r="B57" s="54"/>
      <c r="C57" t="str">
        <f>IF(ISBLANK(A19),"",A19)</f>
        <v>RGK-rabat</v>
      </c>
      <c r="D57" s="44">
        <f>B19</f>
        <v>1000</v>
      </c>
      <c r="E57" s="12" cm="1">
        <f t="array" ref="E57">IFERROR(IF($D57 &lt;&gt;0,ResultValue($C57,COLUMN(F57)-COLUMN($C57))/$D57,""),"")</f>
        <v>200.59380181097563</v>
      </c>
      <c r="F57" s="12" cm="1">
        <f t="array" ref="F57">IFERROR(IF($D57 &lt;&gt;0,ResultValue($C57,COLUMN(G57)-COLUMN($C57))/$D57,""),"")</f>
        <v>0</v>
      </c>
      <c r="G57" s="12" cm="1">
        <f t="array" ref="G57">IFERROR(IF($D57 &lt;&gt;0,ResultValue($C57,COLUMN(H57)-COLUMN($C57))/$D57,""),"")</f>
        <v>0</v>
      </c>
      <c r="H57" s="12" cm="1">
        <f t="array" ref="H57">IFERROR(IF($D57 &lt;&gt;0,ResultValue($C57,COLUMN(I57)-COLUMN($C57))/$D57,""),"")</f>
        <v>0</v>
      </c>
      <c r="I57" s="12" cm="1">
        <f t="array" ref="I57">IFERROR(IF($D57 &lt;&gt;0,ResultValue($C57,COLUMN(J57)-COLUMN($C57))/$D57,""),"")</f>
        <v>0</v>
      </c>
      <c r="J57" s="12" cm="1">
        <f t="array" ref="J57">IFERROR(IF($D57 &lt;&gt;0,ResultValue($C57,COLUMN(K57)-COLUMN($C57))/$D57,""),"")</f>
        <v>0</v>
      </c>
      <c r="K57" s="12" cm="1">
        <f t="array" ref="K57">IFERROR(IF($D57 &lt;&gt;0,ResultValue($C57,COLUMN(L57)-COLUMN($C57))/$D57,""),"")</f>
        <v>0</v>
      </c>
      <c r="L57" s="12" cm="1">
        <f t="array" ref="L57">IFERROR(IF($D57 &lt;&gt;0,ResultValue($C57,COLUMN(M57)-COLUMN($C57))/$D57,""),"")</f>
        <v>0</v>
      </c>
      <c r="M57" s="12" cm="1">
        <f t="array" ref="M57">IFERROR(IF($D57 &lt;&gt;0,ResultValue($C57,COLUMN(N57)-COLUMN($C57))/$D57,""),"")</f>
        <v>200.59380181097563</v>
      </c>
      <c r="N57" s="12" cm="1">
        <f t="array" ref="N57">IFERROR(IF($D57 &lt;&gt;0,ResultValue($C57,COLUMN(O57)-COLUMN($C57))/$D57,""),"")</f>
        <v>200.59380181097563</v>
      </c>
      <c r="O57" s="12" cm="1">
        <f t="array" ref="O57">IFERROR(IF($D57 &lt;&gt;0,ResultValue($C57,COLUMN(P57)-COLUMN($C57))/$D57,""),"")</f>
        <v>200.59380181097563</v>
      </c>
      <c r="P57" s="12" cm="1">
        <f t="array" ref="P57">IFERROR(IF($D57 &lt;&gt;0,ResultValue($C57,COLUMN(Q57)-COLUMN($C57))/$D57,""),"")</f>
        <v>200.59380181097563</v>
      </c>
      <c r="Q57" s="12" cm="1">
        <f t="array" ref="Q57">IFERROR(IF($D57 &lt;&gt;0,ResultValue($C57,COLUMN(R57)-COLUMN($C57))/$D57,""),"")</f>
        <v>200.59380181097563</v>
      </c>
      <c r="R57" s="12" cm="1">
        <f t="array" ref="R57">IFERROR(IF($D57 &lt;&gt;0,ResultValue($C57,COLUMN(S57)-COLUMN($C57))/$D57,""),"")</f>
        <v>200.59380181097563</v>
      </c>
      <c r="S57" s="12" cm="1">
        <f t="array" ref="S57">IFERROR(IF($D57 &lt;&gt;0,ResultValue($C57,COLUMN(T57)-COLUMN($C57))/$D57,""),"")</f>
        <v>200.59380181097563</v>
      </c>
      <c r="T57" s="12" cm="1">
        <f t="array" ref="T57">IFERROR(IF($D57 &lt;&gt;0,ResultValue($C57,COLUMN(U57)-COLUMN($C57))/$D57,""),"")</f>
        <v>200.59380181097563</v>
      </c>
      <c r="U57" s="12" cm="1">
        <f t="array" ref="U57">IFERROR(IF($D57 &lt;&gt;0,ResultValue($C57,COLUMN(V57)-COLUMN($C57))/$D57,""),"")</f>
        <v>200.59380181097563</v>
      </c>
      <c r="V57" s="12" cm="1">
        <f t="array" ref="V57">IFERROR(IF($D57 &lt;&gt;0,ResultValue($C57,COLUMN(W57)-COLUMN($C57))/$D57,""),"")</f>
        <v>200.59380181097563</v>
      </c>
      <c r="W57" s="12" cm="1">
        <f t="array" ref="W57">IFERROR(IF($D57 &lt;&gt;0,ResultValue($C57,COLUMN(X57)-COLUMN($C57))/$D57,""),"")</f>
        <v>200.59380181097563</v>
      </c>
      <c r="X57" s="12" cm="1">
        <f t="array" ref="X57">IFERROR(IF($D57 &lt;&gt;0,ResultValue($C57,COLUMN(Y57)-COLUMN($C57))/$D57,""),"")</f>
        <v>200.59380181097563</v>
      </c>
      <c r="Y57" s="12" cm="1">
        <f t="array" ref="Y57">IFERROR(IF($D57 &lt;&gt;0,ResultValue($C57,COLUMN(Z57)-COLUMN($C57))/$D57,""),"")</f>
        <v>200.59380181097563</v>
      </c>
    </row>
    <row r="58" spans="1:28" x14ac:dyDescent="0.25">
      <c r="A58" t="str">
        <v>RGK-rabat</v>
      </c>
      <c r="B58" s="54"/>
      <c r="C58" t="str">
        <f>IF(ISBLANK(A20),"",A20)</f>
        <v>Modtagebetaling affald</v>
      </c>
      <c r="D58" s="44">
        <f>B20</f>
        <v>1000</v>
      </c>
      <c r="E58" s="12" cm="1">
        <f t="array" ref="E58">IFERROR(IF($D58 &lt;&gt;0,ResultValue($C58,COLUMN(F58)-COLUMN($C58))/$D58,""),"")</f>
        <v>4040.3371902956987</v>
      </c>
      <c r="F58" s="12" cm="1">
        <f t="array" ref="F58">IFERROR(IF($D58 &lt;&gt;0,ResultValue($C58,COLUMN(G58)-COLUMN($C58))/$D58,""),"")</f>
        <v>4770.4508404332728</v>
      </c>
      <c r="G58" s="12" cm="1">
        <f t="array" ref="G58">IFERROR(IF($D58 &lt;&gt;0,ResultValue($C58,COLUMN(H58)-COLUMN($C58))/$D58,""),"")</f>
        <v>4724.8930163606619</v>
      </c>
      <c r="H58" s="12" cm="1">
        <f t="array" ref="H58">IFERROR(IF($D58 &lt;&gt;0,ResultValue($C58,COLUMN(I58)-COLUMN($C58))/$D58,""),"")</f>
        <v>4680.2649437997379</v>
      </c>
      <c r="I58" s="12" cm="1">
        <f t="array" ref="I58">IFERROR(IF($D58 &lt;&gt;0,ResultValue($C58,COLUMN(J58)-COLUMN($C58))/$D58,""),"")</f>
        <v>4636.5384484622655</v>
      </c>
      <c r="J58" s="12" cm="1">
        <f t="array" ref="J58">IFERROR(IF($D58 &lt;&gt;0,ResultValue($C58,COLUMN(K58)-COLUMN($C58))/$D58,""),"")</f>
        <v>4593.6864830315435</v>
      </c>
      <c r="K58" s="12" cm="1">
        <f t="array" ref="K58">IFERROR(IF($D58 &lt;&gt;0,ResultValue($C58,COLUMN(L58)-COLUMN($C58))/$D58,""),"")</f>
        <v>4551.6830713717272</v>
      </c>
      <c r="L58" s="12" cm="1">
        <f t="array" ref="L58">IFERROR(IF($D58 &lt;&gt;0,ResultValue($C58,COLUMN(M58)-COLUMN($C58))/$D58,""),"")</f>
        <v>4510.5032560189666</v>
      </c>
      <c r="M58" s="12" cm="1">
        <f t="array" ref="M58">IFERROR(IF($D58 &lt;&gt;0,ResultValue($C58,COLUMN(N58)-COLUMN($C58))/$D58,""),"")</f>
        <v>4470.1230487313078</v>
      </c>
      <c r="N58" s="12" cm="1">
        <f t="array" ref="N58">IFERROR(IF($D58 &lt;&gt;0,ResultValue($C58,COLUMN(O58)-COLUMN($C58))/$D58,""),"")</f>
        <v>4430.5193838914875</v>
      </c>
      <c r="O58" s="12" cm="1">
        <f t="array" ref="O58">IFERROR(IF($D58 &lt;&gt;0,ResultValue($C58,COLUMN(P58)-COLUMN($C58))/$D58,""),"")</f>
        <v>4391.6700745724256</v>
      </c>
      <c r="P58" s="12" cm="1">
        <f t="array" ref="P58">IFERROR(IF($D58 &lt;&gt;0,ResultValue($C58,COLUMN(Q58)-COLUMN($C58))/$D58,""),"")</f>
        <v>4353.5537710895724</v>
      </c>
      <c r="Q58" s="12" cm="1">
        <f t="array" ref="Q58">IFERROR(IF($D58 &lt;&gt;0,ResultValue($C58,COLUMN(R58)-COLUMN($C58))/$D58,""),"")</f>
        <v>4316.1499218774279</v>
      </c>
      <c r="R58" s="12" cm="1">
        <f t="array" ref="R58">IFERROR(IF($D58 &lt;&gt;0,ResultValue($C58,COLUMN(S58)-COLUMN($C58))/$D58,""),"")</f>
        <v>4279.4387365395824</v>
      </c>
      <c r="S58" s="12" cm="1">
        <f t="array" ref="S58">IFERROR(IF($D58 &lt;&gt;0,ResultValue($C58,COLUMN(T58)-COLUMN($C58))/$D58,""),"")</f>
        <v>4243.4011509327056</v>
      </c>
      <c r="T58" s="12" cm="1">
        <f t="array" ref="T58">IFERROR(IF($D58 &lt;&gt;0,ResultValue($C58,COLUMN(U58)-COLUMN($C58))/$D58,""),"")</f>
        <v>4208.0187941550466</v>
      </c>
      <c r="U58" s="12" cm="1">
        <f t="array" ref="U58">IFERROR(IF($D58 &lt;&gt;0,ResultValue($C58,COLUMN(V58)-COLUMN($C58))/$D58,""),"")</f>
        <v>4173.2739573193248</v>
      </c>
      <c r="V58" s="12" cm="1">
        <f t="array" ref="V58">IFERROR(IF($D58 &lt;&gt;0,ResultValue($C58,COLUMN(W58)-COLUMN($C58))/$D58,""),"")</f>
        <v>4139.1495639985287</v>
      </c>
      <c r="W58" s="12" cm="1">
        <f t="array" ref="W58">IFERROR(IF($D58 &lt;&gt;0,ResultValue($C58,COLUMN(X58)-COLUMN($C58))/$D58,""),"")</f>
        <v>4105.6291422409313</v>
      </c>
      <c r="X58" s="12" cm="1">
        <f t="array" ref="X58">IFERROR(IF($D58 &lt;&gt;0,ResultValue($C58,COLUMN(Y58)-COLUMN($C58))/$D58,""),"")</f>
        <v>4072.6967980580289</v>
      </c>
      <c r="Y58" s="12" cm="1">
        <f t="array" ref="Y58">IFERROR(IF($D58 &lt;&gt;0,ResultValue($C58,COLUMN(Z58)-COLUMN($C58))/$D58,""),"")</f>
        <v>4040.3371902956987</v>
      </c>
    </row>
    <row r="59" spans="1:28" x14ac:dyDescent="0.25">
      <c r="A59" t="str">
        <v>Modtagebetaling affald</v>
      </c>
      <c r="B59" s="54"/>
      <c r="C59" t="str">
        <f>IF(ISBLANK(A21),"",A21)</f>
        <v>Varmesalg</v>
      </c>
      <c r="D59" s="44">
        <f>B21</f>
        <v>1000</v>
      </c>
      <c r="E59" s="12" cm="1">
        <f t="array" ref="E59">IFERROR(IF($D59 &lt;&gt;0,ResultValue($C59,COLUMN(F59)-COLUMN($C59))/$D59,""),"")</f>
        <v>7464</v>
      </c>
      <c r="F59" s="12" cm="1">
        <f t="array" ref="F59">IFERROR(IF($D59 &lt;&gt;0,ResultValue($C59,COLUMN(G59)-COLUMN($C59))/$D59,""),"")</f>
        <v>7464</v>
      </c>
      <c r="G59" s="12" cm="1">
        <f t="array" ref="G59">IFERROR(IF($D59 &lt;&gt;0,ResultValue($C59,COLUMN(H59)-COLUMN($C59))/$D59,""),"")</f>
        <v>7464</v>
      </c>
      <c r="H59" s="12" cm="1">
        <f t="array" ref="H59">IFERROR(IF($D59 &lt;&gt;0,ResultValue($C59,COLUMN(I59)-COLUMN($C59))/$D59,""),"")</f>
        <v>7464</v>
      </c>
      <c r="I59" s="12" cm="1">
        <f t="array" ref="I59">IFERROR(IF($D59 &lt;&gt;0,ResultValue($C59,COLUMN(J59)-COLUMN($C59))/$D59,""),"")</f>
        <v>7464</v>
      </c>
      <c r="J59" s="12" cm="1">
        <f t="array" ref="J59">IFERROR(IF($D59 &lt;&gt;0,ResultValue($C59,COLUMN(K59)-COLUMN($C59))/$D59,""),"")</f>
        <v>7464</v>
      </c>
      <c r="K59" s="12" cm="1">
        <f t="array" ref="K59">IFERROR(IF($D59 &lt;&gt;0,ResultValue($C59,COLUMN(L59)-COLUMN($C59))/$D59,""),"")</f>
        <v>7464</v>
      </c>
      <c r="L59" s="12" cm="1">
        <f t="array" ref="L59">IFERROR(IF($D59 &lt;&gt;0,ResultValue($C59,COLUMN(M59)-COLUMN($C59))/$D59,""),"")</f>
        <v>7464</v>
      </c>
      <c r="M59" s="12" cm="1">
        <f t="array" ref="M59">IFERROR(IF($D59 &lt;&gt;0,ResultValue($C59,COLUMN(N59)-COLUMN($C59))/$D59,""),"")</f>
        <v>7464</v>
      </c>
      <c r="N59" s="12" cm="1">
        <f t="array" ref="N59">IFERROR(IF($D59 &lt;&gt;0,ResultValue($C59,COLUMN(O59)-COLUMN($C59))/$D59,""),"")</f>
        <v>7464</v>
      </c>
      <c r="O59" s="12" cm="1">
        <f t="array" ref="O59">IFERROR(IF($D59 &lt;&gt;0,ResultValue($C59,COLUMN(P59)-COLUMN($C59))/$D59,""),"")</f>
        <v>7464</v>
      </c>
      <c r="P59" s="12" cm="1">
        <f t="array" ref="P59">IFERROR(IF($D59 &lt;&gt;0,ResultValue($C59,COLUMN(Q59)-COLUMN($C59))/$D59,""),"")</f>
        <v>7464</v>
      </c>
      <c r="Q59" s="12" cm="1">
        <f t="array" ref="Q59">IFERROR(IF($D59 &lt;&gt;0,ResultValue($C59,COLUMN(R59)-COLUMN($C59))/$D59,""),"")</f>
        <v>7464</v>
      </c>
      <c r="R59" s="12" cm="1">
        <f t="array" ref="R59">IFERROR(IF($D59 &lt;&gt;0,ResultValue($C59,COLUMN(S59)-COLUMN($C59))/$D59,""),"")</f>
        <v>7464</v>
      </c>
      <c r="S59" s="12" cm="1">
        <f t="array" ref="S59">IFERROR(IF($D59 &lt;&gt;0,ResultValue($C59,COLUMN(T59)-COLUMN($C59))/$D59,""),"")</f>
        <v>7464</v>
      </c>
      <c r="T59" s="12" cm="1">
        <f t="array" ref="T59">IFERROR(IF($D59 &lt;&gt;0,ResultValue($C59,COLUMN(U59)-COLUMN($C59))/$D59,""),"")</f>
        <v>7464</v>
      </c>
      <c r="U59" s="12" cm="1">
        <f t="array" ref="U59">IFERROR(IF($D59 &lt;&gt;0,ResultValue($C59,COLUMN(V59)-COLUMN($C59))/$D59,""),"")</f>
        <v>7464</v>
      </c>
      <c r="V59" s="12" cm="1">
        <f t="array" ref="V59">IFERROR(IF($D59 &lt;&gt;0,ResultValue($C59,COLUMN(W59)-COLUMN($C59))/$D59,""),"")</f>
        <v>7464</v>
      </c>
      <c r="W59" s="12" cm="1">
        <f t="array" ref="W59">IFERROR(IF($D59 &lt;&gt;0,ResultValue($C59,COLUMN(X59)-COLUMN($C59))/$D59,""),"")</f>
        <v>7464</v>
      </c>
      <c r="X59" s="12" cm="1">
        <f t="array" ref="X59">IFERROR(IF($D59 &lt;&gt;0,ResultValue($C59,COLUMN(Y59)-COLUMN($C59))/$D59,""),"")</f>
        <v>7464</v>
      </c>
      <c r="Y59" s="12" cm="1">
        <f t="array" ref="Y59">IFERROR(IF($D59 &lt;&gt;0,ResultValue($C59,COLUMN(Z59)-COLUMN($C59))/$D59,""),"")</f>
        <v>7464</v>
      </c>
    </row>
    <row r="60" spans="1:28" x14ac:dyDescent="0.25">
      <c r="A60" t="str">
        <v>Betaling bioaffald</v>
      </c>
      <c r="B60" s="54"/>
      <c r="C60" t="str">
        <f>IF(ISBLANK(A22),"",A22)</f>
        <v>Varmeproduktion Ovn2</v>
      </c>
      <c r="D60" s="44">
        <f>B22</f>
        <v>1</v>
      </c>
      <c r="E60" s="12" cm="1">
        <f t="array" ref="E60">IFERROR(IF($D60 &lt;&gt;0,ResultValue($C60,COLUMN(F60)-COLUMN($C60))/$D60,""),"")</f>
        <v>3168</v>
      </c>
      <c r="F60" s="12" cm="1">
        <f t="array" ref="F60">IFERROR(IF($D60 &lt;&gt;0,ResultValue($C60,COLUMN(G60)-COLUMN($C60))/$D60,""),"")</f>
        <v>7055.4000000000015</v>
      </c>
      <c r="G60" s="12" cm="1">
        <f t="array" ref="G60">IFERROR(IF($D60 &lt;&gt;0,ResultValue($C60,COLUMN(H60)-COLUMN($C60))/$D60,""),"")</f>
        <v>6850.7999999999993</v>
      </c>
      <c r="H60" s="12" cm="1">
        <f t="array" ref="H60">IFERROR(IF($D60 &lt;&gt;0,ResultValue($C60,COLUMN(I60)-COLUMN($C60))/$D60,""),"")</f>
        <v>6646.2000000000007</v>
      </c>
      <c r="I60" s="12" cm="1">
        <f t="array" ref="I60">IFERROR(IF($D60 &lt;&gt;0,ResultValue($C60,COLUMN(J60)-COLUMN($C60))/$D60,""),"")</f>
        <v>6441.5999999999985</v>
      </c>
      <c r="J60" s="12" cm="1">
        <f t="array" ref="J60">IFERROR(IF($D60 &lt;&gt;0,ResultValue($C60,COLUMN(K60)-COLUMN($C60))/$D60,""),"")</f>
        <v>6237</v>
      </c>
      <c r="K60" s="12" cm="1">
        <f t="array" ref="K60">IFERROR(IF($D60 &lt;&gt;0,ResultValue($C60,COLUMN(L60)-COLUMN($C60))/$D60,""),"")</f>
        <v>6032.4000000000015</v>
      </c>
      <c r="L60" s="12" cm="1">
        <f t="array" ref="L60">IFERROR(IF($D60 &lt;&gt;0,ResultValue($C60,COLUMN(M60)-COLUMN($C60))/$D60,""),"")</f>
        <v>5827.7999999999993</v>
      </c>
      <c r="M60" s="12" cm="1">
        <f t="array" ref="M60">IFERROR(IF($D60 &lt;&gt;0,ResultValue($C60,COLUMN(N60)-COLUMN($C60))/$D60,""),"")</f>
        <v>5623.2000000000007</v>
      </c>
      <c r="N60" s="12" cm="1">
        <f t="array" ref="N60">IFERROR(IF($D60 &lt;&gt;0,ResultValue($C60,COLUMN(O60)-COLUMN($C60))/$D60,""),"")</f>
        <v>5418.5999999999985</v>
      </c>
      <c r="O60" s="12" cm="1">
        <f t="array" ref="O60">IFERROR(IF($D60 &lt;&gt;0,ResultValue($C60,COLUMN(P60)-COLUMN($C60))/$D60,""),"")</f>
        <v>5214</v>
      </c>
      <c r="P60" s="12" cm="1">
        <f t="array" ref="P60">IFERROR(IF($D60 &lt;&gt;0,ResultValue($C60,COLUMN(Q60)-COLUMN($C60))/$D60,""),"")</f>
        <v>5009.4000000000015</v>
      </c>
      <c r="Q60" s="12" cm="1">
        <f t="array" ref="Q60">IFERROR(IF($D60 &lt;&gt;0,ResultValue($C60,COLUMN(R60)-COLUMN($C60))/$D60,""),"")</f>
        <v>4804.7999999999993</v>
      </c>
      <c r="R60" s="12" cm="1">
        <f t="array" ref="R60">IFERROR(IF($D60 &lt;&gt;0,ResultValue($C60,COLUMN(S60)-COLUMN($C60))/$D60,""),"")</f>
        <v>4600.2000000000007</v>
      </c>
      <c r="S60" s="12" cm="1">
        <f t="array" ref="S60">IFERROR(IF($D60 &lt;&gt;0,ResultValue($C60,COLUMN(T60)-COLUMN($C60))/$D60,""),"")</f>
        <v>4395.5999999999985</v>
      </c>
      <c r="T60" s="12" cm="1">
        <f t="array" ref="T60">IFERROR(IF($D60 &lt;&gt;0,ResultValue($C60,COLUMN(U60)-COLUMN($C60))/$D60,""),"")</f>
        <v>4191</v>
      </c>
      <c r="U60" s="12" cm="1">
        <f t="array" ref="U60">IFERROR(IF($D60 &lt;&gt;0,ResultValue($C60,COLUMN(V60)-COLUMN($C60))/$D60,""),"")</f>
        <v>3986.4000000000015</v>
      </c>
      <c r="V60" s="12" cm="1">
        <f t="array" ref="V60">IFERROR(IF($D60 &lt;&gt;0,ResultValue($C60,COLUMN(W60)-COLUMN($C60))/$D60,""),"")</f>
        <v>3781.7999999999993</v>
      </c>
      <c r="W60" s="12" cm="1">
        <f t="array" ref="W60">IFERROR(IF($D60 &lt;&gt;0,ResultValue($C60,COLUMN(X60)-COLUMN($C60))/$D60,""),"")</f>
        <v>3577.2000000000007</v>
      </c>
      <c r="X60" s="12" cm="1">
        <f t="array" ref="X60">IFERROR(IF($D60 &lt;&gt;0,ResultValue($C60,COLUMN(Y60)-COLUMN($C60))/$D60,""),"")</f>
        <v>3372.5999999999985</v>
      </c>
      <c r="Y60" s="12" cm="1">
        <f t="array" ref="Y60">IFERROR(IF($D60 &lt;&gt;0,ResultValue($C60,COLUMN(Z60)-COLUMN($C60))/$D60,""),"")</f>
        <v>3168</v>
      </c>
    </row>
    <row r="61" spans="1:28" x14ac:dyDescent="0.25">
      <c r="A61" t="str">
        <v>DV-omkostninger</v>
      </c>
      <c r="B61" s="54"/>
      <c r="C61" t="str">
        <f>IF(ISBLANK(A23),"",A23)</f>
        <v>Varmeproduktion Ovn3</v>
      </c>
      <c r="D61" s="44">
        <f>B23</f>
        <v>1</v>
      </c>
      <c r="E61" s="12" cm="1">
        <f t="array" ref="E61">IFERROR(IF($D61 &lt;&gt;0,ResultValue($C61,COLUMN(F61)-COLUMN($C61))/$D61,""),"")</f>
        <v>20832</v>
      </c>
      <c r="F61" s="12" cm="1">
        <f t="array" ref="F61">IFERROR(IF($D61 &lt;&gt;0,ResultValue($C61,COLUMN(G61)-COLUMN($C61))/$D61,""),"")</f>
        <v>16944.599999999999</v>
      </c>
      <c r="G61" s="12" cm="1">
        <f t="array" ref="G61">IFERROR(IF($D61 &lt;&gt;0,ResultValue($C61,COLUMN(H61)-COLUMN($C61))/$D61,""),"")</f>
        <v>17149.2</v>
      </c>
      <c r="H61" s="12" cm="1">
        <f t="array" ref="H61">IFERROR(IF($D61 &lt;&gt;0,ResultValue($C61,COLUMN(I61)-COLUMN($C61))/$D61,""),"")</f>
        <v>17353.8</v>
      </c>
      <c r="I61" s="12" cm="1">
        <f t="array" ref="I61">IFERROR(IF($D61 &lt;&gt;0,ResultValue($C61,COLUMN(J61)-COLUMN($C61))/$D61,""),"")</f>
        <v>17558.400000000001</v>
      </c>
      <c r="J61" s="12" cm="1">
        <f t="array" ref="J61">IFERROR(IF($D61 &lt;&gt;0,ResultValue($C61,COLUMN(K61)-COLUMN($C61))/$D61,""),"")</f>
        <v>17763</v>
      </c>
      <c r="K61" s="12" cm="1">
        <f t="array" ref="K61">IFERROR(IF($D61 &lt;&gt;0,ResultValue($C61,COLUMN(L61)-COLUMN($C61))/$D61,""),"")</f>
        <v>17967.599999999999</v>
      </c>
      <c r="L61" s="12" cm="1">
        <f t="array" ref="L61">IFERROR(IF($D61 &lt;&gt;0,ResultValue($C61,COLUMN(M61)-COLUMN($C61))/$D61,""),"")</f>
        <v>18172.2</v>
      </c>
      <c r="M61" s="12" cm="1">
        <f t="array" ref="M61">IFERROR(IF($D61 &lt;&gt;0,ResultValue($C61,COLUMN(N61)-COLUMN($C61))/$D61,""),"")</f>
        <v>18376.8</v>
      </c>
      <c r="N61" s="12" cm="1">
        <f t="array" ref="N61">IFERROR(IF($D61 &lt;&gt;0,ResultValue($C61,COLUMN(O61)-COLUMN($C61))/$D61,""),"")</f>
        <v>18581.400000000001</v>
      </c>
      <c r="O61" s="12" cm="1">
        <f t="array" ref="O61">IFERROR(IF($D61 &lt;&gt;0,ResultValue($C61,COLUMN(P61)-COLUMN($C61))/$D61,""),"")</f>
        <v>18786</v>
      </c>
      <c r="P61" s="12" cm="1">
        <f t="array" ref="P61">IFERROR(IF($D61 &lt;&gt;0,ResultValue($C61,COLUMN(Q61)-COLUMN($C61))/$D61,""),"")</f>
        <v>18990.599999999999</v>
      </c>
      <c r="Q61" s="12" cm="1">
        <f t="array" ref="Q61">IFERROR(IF($D61 &lt;&gt;0,ResultValue($C61,COLUMN(R61)-COLUMN($C61))/$D61,""),"")</f>
        <v>19195.2</v>
      </c>
      <c r="R61" s="12" cm="1">
        <f t="array" ref="R61">IFERROR(IF($D61 &lt;&gt;0,ResultValue($C61,COLUMN(S61)-COLUMN($C61))/$D61,""),"")</f>
        <v>19399.8</v>
      </c>
      <c r="S61" s="12" cm="1">
        <f t="array" ref="S61">IFERROR(IF($D61 &lt;&gt;0,ResultValue($C61,COLUMN(T61)-COLUMN($C61))/$D61,""),"")</f>
        <v>19604.400000000001</v>
      </c>
      <c r="T61" s="12" cm="1">
        <f t="array" ref="T61">IFERROR(IF($D61 &lt;&gt;0,ResultValue($C61,COLUMN(U61)-COLUMN($C61))/$D61,""),"")</f>
        <v>19809</v>
      </c>
      <c r="U61" s="12" cm="1">
        <f t="array" ref="U61">IFERROR(IF($D61 &lt;&gt;0,ResultValue($C61,COLUMN(V61)-COLUMN($C61))/$D61,""),"")</f>
        <v>20013.599999999999</v>
      </c>
      <c r="V61" s="12" cm="1">
        <f t="array" ref="V61">IFERROR(IF($D61 &lt;&gt;0,ResultValue($C61,COLUMN(W61)-COLUMN($C61))/$D61,""),"")</f>
        <v>20218.2</v>
      </c>
      <c r="W61" s="12" cm="1">
        <f t="array" ref="W61">IFERROR(IF($D61 &lt;&gt;0,ResultValue($C61,COLUMN(X61)-COLUMN($C61))/$D61,""),"")</f>
        <v>20422.8</v>
      </c>
      <c r="X61" s="12" cm="1">
        <f t="array" ref="X61">IFERROR(IF($D61 &lt;&gt;0,ResultValue($C61,COLUMN(Y61)-COLUMN($C61))/$D61,""),"")</f>
        <v>20627.400000000001</v>
      </c>
      <c r="Y61" s="12" cm="1">
        <f t="array" ref="Y61">IFERROR(IF($D61 &lt;&gt;0,ResultValue($C61,COLUMN(Z61)-COLUMN($C61))/$D61,""),"")</f>
        <v>20832</v>
      </c>
    </row>
    <row r="62" spans="1:28" x14ac:dyDescent="0.25">
      <c r="A62" t="str">
        <v>Affaldvarme-afgift</v>
      </c>
      <c r="B62" s="54"/>
      <c r="C62" t="str">
        <f>IF(ISBLANK(A24),"",A24)</f>
        <v>Bortkølet varme</v>
      </c>
      <c r="D62" s="44">
        <f>B24</f>
        <v>-1</v>
      </c>
      <c r="E62" s="12" cm="1">
        <f t="array" ref="E62">IFERROR(IF($D62 &lt;&gt;0,ResultValue($C62,COLUMN(F62)-COLUMN($C62))/$D62,""),"")</f>
        <v>0</v>
      </c>
      <c r="F62" s="12" cm="1">
        <f t="array" ref="F62">IFERROR(IF($D62 &lt;&gt;0,ResultValue($C62,COLUMN(G62)-COLUMN($C62))/$D62,""),"")</f>
        <v>0</v>
      </c>
      <c r="G62" s="12" cm="1">
        <f t="array" ref="G62">IFERROR(IF($D62 &lt;&gt;0,ResultValue($C62,COLUMN(H62)-COLUMN($C62))/$D62,""),"")</f>
        <v>0</v>
      </c>
      <c r="H62" s="12" cm="1">
        <f t="array" ref="H62">IFERROR(IF($D62 &lt;&gt;0,ResultValue($C62,COLUMN(I62)-COLUMN($C62))/$D62,""),"")</f>
        <v>0</v>
      </c>
      <c r="I62" s="12" cm="1">
        <f t="array" ref="I62">IFERROR(IF($D62 &lt;&gt;0,ResultValue($C62,COLUMN(J62)-COLUMN($C62))/$D62,""),"")</f>
        <v>0</v>
      </c>
      <c r="J62" s="12" cm="1">
        <f t="array" ref="J62">IFERROR(IF($D62 &lt;&gt;0,ResultValue($C62,COLUMN(K62)-COLUMN($C62))/$D62,""),"")</f>
        <v>0</v>
      </c>
      <c r="K62" s="12" cm="1">
        <f t="array" ref="K62">IFERROR(IF($D62 &lt;&gt;0,ResultValue($C62,COLUMN(L62)-COLUMN($C62))/$D62,""),"")</f>
        <v>0</v>
      </c>
      <c r="L62" s="12" cm="1">
        <f t="array" ref="L62">IFERROR(IF($D62 &lt;&gt;0,ResultValue($C62,COLUMN(M62)-COLUMN($C62))/$D62,""),"")</f>
        <v>0</v>
      </c>
      <c r="M62" s="12" cm="1">
        <f t="array" ref="M62">IFERROR(IF($D62 &lt;&gt;0,ResultValue($C62,COLUMN(N62)-COLUMN($C62))/$D62,""),"")</f>
        <v>0</v>
      </c>
      <c r="N62" s="12" cm="1">
        <f t="array" ref="N62">IFERROR(IF($D62 &lt;&gt;0,ResultValue($C62,COLUMN(O62)-COLUMN($C62))/$D62,""),"")</f>
        <v>0</v>
      </c>
      <c r="O62" s="12" cm="1">
        <f t="array" ref="O62">IFERROR(IF($D62 &lt;&gt;0,ResultValue($C62,COLUMN(P62)-COLUMN($C62))/$D62,""),"")</f>
        <v>0</v>
      </c>
      <c r="P62" s="12" cm="1">
        <f t="array" ref="P62">IFERROR(IF($D62 &lt;&gt;0,ResultValue($C62,COLUMN(Q62)-COLUMN($C62))/$D62,""),"")</f>
        <v>0</v>
      </c>
      <c r="Q62" s="12" cm="1">
        <f t="array" ref="Q62">IFERROR(IF($D62 &lt;&gt;0,ResultValue($C62,COLUMN(R62)-COLUMN($C62))/$D62,""),"")</f>
        <v>0</v>
      </c>
      <c r="R62" s="12" cm="1">
        <f t="array" ref="R62">IFERROR(IF($D62 &lt;&gt;0,ResultValue($C62,COLUMN(S62)-COLUMN($C62))/$D62,""),"")</f>
        <v>0</v>
      </c>
      <c r="S62" s="12" cm="1">
        <f t="array" ref="S62">IFERROR(IF($D62 &lt;&gt;0,ResultValue($C62,COLUMN(T62)-COLUMN($C62))/$D62,""),"")</f>
        <v>0</v>
      </c>
      <c r="T62" s="12" cm="1">
        <f t="array" ref="T62">IFERROR(IF($D62 &lt;&gt;0,ResultValue($C62,COLUMN(U62)-COLUMN($C62))/$D62,""),"")</f>
        <v>0</v>
      </c>
      <c r="U62" s="12" cm="1">
        <f t="array" ref="U62">IFERROR(IF($D62 &lt;&gt;0,ResultValue($C62,COLUMN(V62)-COLUMN($C62))/$D62,""),"")</f>
        <v>0</v>
      </c>
      <c r="V62" s="12" cm="1">
        <f t="array" ref="V62">IFERROR(IF($D62 &lt;&gt;0,ResultValue($C62,COLUMN(W62)-COLUMN($C62))/$D62,""),"")</f>
        <v>0</v>
      </c>
      <c r="W62" s="12" cm="1">
        <f t="array" ref="W62">IFERROR(IF($D62 &lt;&gt;0,ResultValue($C62,COLUMN(X62)-COLUMN($C62))/$D62,""),"")</f>
        <v>0</v>
      </c>
      <c r="X62" s="12" cm="1">
        <f t="array" ref="X62">IFERROR(IF($D62 &lt;&gt;0,ResultValue($C62,COLUMN(Y62)-COLUMN($C62))/$D62,""),"")</f>
        <v>0</v>
      </c>
      <c r="Y62" s="12" cm="1">
        <f t="array" ref="Y62">IFERROR(IF($D62 &lt;&gt;0,ResultValue($C62,COLUMN(Z62)-COLUMN($C62))/$D62,""),"")</f>
        <v>0</v>
      </c>
    </row>
    <row r="63" spans="1:28" x14ac:dyDescent="0.25">
      <c r="A63" t="str">
        <v>Tillægsafgift</v>
      </c>
      <c r="B63" s="54"/>
      <c r="C63" t="str">
        <f>IF(ISBLANK(A25),"",A25)</f>
        <v>Leveret varme</v>
      </c>
      <c r="D63" s="44">
        <f>B25</f>
        <v>1</v>
      </c>
      <c r="E63" s="12" cm="1">
        <f t="array" ref="E63">IFERROR(IF($D63 &lt;&gt;0,ResultValue($C63,COLUMN(F63)-COLUMN($C63))/$D63,""),"")</f>
        <v>24000</v>
      </c>
      <c r="F63" s="12" cm="1">
        <f t="array" ref="F63">IFERROR(IF($D63 &lt;&gt;0,ResultValue($C63,COLUMN(G63)-COLUMN($C63))/$D63,""),"")</f>
        <v>24000</v>
      </c>
      <c r="G63" s="12" cm="1">
        <f t="array" ref="G63">IFERROR(IF($D63 &lt;&gt;0,ResultValue($C63,COLUMN(H63)-COLUMN($C63))/$D63,""),"")</f>
        <v>24000</v>
      </c>
      <c r="H63" s="12" cm="1">
        <f t="array" ref="H63">IFERROR(IF($D63 &lt;&gt;0,ResultValue($C63,COLUMN(I63)-COLUMN($C63))/$D63,""),"")</f>
        <v>24000</v>
      </c>
      <c r="I63" s="12" cm="1">
        <f t="array" ref="I63">IFERROR(IF($D63 &lt;&gt;0,ResultValue($C63,COLUMN(J63)-COLUMN($C63))/$D63,""),"")</f>
        <v>24000</v>
      </c>
      <c r="J63" s="12" cm="1">
        <f t="array" ref="J63">IFERROR(IF($D63 &lt;&gt;0,ResultValue($C63,COLUMN(K63)-COLUMN($C63))/$D63,""),"")</f>
        <v>24000</v>
      </c>
      <c r="K63" s="12" cm="1">
        <f t="array" ref="K63">IFERROR(IF($D63 &lt;&gt;0,ResultValue($C63,COLUMN(L63)-COLUMN($C63))/$D63,""),"")</f>
        <v>24000</v>
      </c>
      <c r="L63" s="12" cm="1">
        <f t="array" ref="L63">IFERROR(IF($D63 &lt;&gt;0,ResultValue($C63,COLUMN(M63)-COLUMN($C63))/$D63,""),"")</f>
        <v>24000</v>
      </c>
      <c r="M63" s="12" cm="1">
        <f t="array" ref="M63">IFERROR(IF($D63 &lt;&gt;0,ResultValue($C63,COLUMN(N63)-COLUMN($C63))/$D63,""),"")</f>
        <v>24000</v>
      </c>
      <c r="N63" s="12" cm="1">
        <f t="array" ref="N63">IFERROR(IF($D63 &lt;&gt;0,ResultValue($C63,COLUMN(O63)-COLUMN($C63))/$D63,""),"")</f>
        <v>24000</v>
      </c>
      <c r="O63" s="12" cm="1">
        <f t="array" ref="O63">IFERROR(IF($D63 &lt;&gt;0,ResultValue($C63,COLUMN(P63)-COLUMN($C63))/$D63,""),"")</f>
        <v>24000</v>
      </c>
      <c r="P63" s="12" cm="1">
        <f t="array" ref="P63">IFERROR(IF($D63 &lt;&gt;0,ResultValue($C63,COLUMN(Q63)-COLUMN($C63))/$D63,""),"")</f>
        <v>24000</v>
      </c>
      <c r="Q63" s="12" cm="1">
        <f t="array" ref="Q63">IFERROR(IF($D63 &lt;&gt;0,ResultValue($C63,COLUMN(R63)-COLUMN($C63))/$D63,""),"")</f>
        <v>24000</v>
      </c>
      <c r="R63" s="12" cm="1">
        <f t="array" ref="R63">IFERROR(IF($D63 &lt;&gt;0,ResultValue($C63,COLUMN(S63)-COLUMN($C63))/$D63,""),"")</f>
        <v>24000</v>
      </c>
      <c r="S63" s="12" cm="1">
        <f t="array" ref="S63">IFERROR(IF($D63 &lt;&gt;0,ResultValue($C63,COLUMN(T63)-COLUMN($C63))/$D63,""),"")</f>
        <v>24000</v>
      </c>
      <c r="T63" s="12" cm="1">
        <f t="array" ref="T63">IFERROR(IF($D63 &lt;&gt;0,ResultValue($C63,COLUMN(U63)-COLUMN($C63))/$D63,""),"")</f>
        <v>24000</v>
      </c>
      <c r="U63" s="12" cm="1">
        <f t="array" ref="U63">IFERROR(IF($D63 &lt;&gt;0,ResultValue($C63,COLUMN(V63)-COLUMN($C63))/$D63,""),"")</f>
        <v>24000</v>
      </c>
      <c r="V63" s="12" cm="1">
        <f t="array" ref="V63">IFERROR(IF($D63 &lt;&gt;0,ResultValue($C63,COLUMN(W63)-COLUMN($C63))/$D63,""),"")</f>
        <v>24000</v>
      </c>
      <c r="W63" s="12" cm="1">
        <f t="array" ref="W63">IFERROR(IF($D63 &lt;&gt;0,ResultValue($C63,COLUMN(X63)-COLUMN($C63))/$D63,""),"")</f>
        <v>24000</v>
      </c>
      <c r="X63" s="12" cm="1">
        <f t="array" ref="X63">IFERROR(IF($D63 &lt;&gt;0,ResultValue($C63,COLUMN(Y63)-COLUMN($C63))/$D63,""),"")</f>
        <v>24000</v>
      </c>
      <c r="Y63" s="12" cm="1">
        <f t="array" ref="Y63">IFERROR(IF($D63 &lt;&gt;0,ResultValue($C63,COLUMN(Z63)-COLUMN($C63))/$D63,""),"")</f>
        <v>24000</v>
      </c>
    </row>
    <row r="64" spans="1:28" x14ac:dyDescent="0.25">
      <c r="A64" t="str">
        <v>CO2-afgift</v>
      </c>
      <c r="B64" s="54"/>
      <c r="C64" t="str">
        <f>IF(ISBLANK(A26),"",A26)</f>
        <v>Spidslastvarme</v>
      </c>
      <c r="D64" s="44">
        <f>B26</f>
        <v>1</v>
      </c>
      <c r="E64" s="12" cm="1">
        <f t="array" ref="E64">IFERROR(IF($D64 &lt;&gt;0,ResultValue($C64,COLUMN(F64)-COLUMN($C64))/$D64,""),"")</f>
        <v>4000</v>
      </c>
      <c r="F64" s="12" cm="1">
        <f t="array" ref="F64">IFERROR(IF($D64 &lt;&gt;0,ResultValue($C64,COLUMN(G64)-COLUMN($C64))/$D64,""),"")</f>
        <v>4000</v>
      </c>
      <c r="G64" s="12" cm="1">
        <f t="array" ref="G64">IFERROR(IF($D64 &lt;&gt;0,ResultValue($C64,COLUMN(H64)-COLUMN($C64))/$D64,""),"")</f>
        <v>4000</v>
      </c>
      <c r="H64" s="12" cm="1">
        <f t="array" ref="H64">IFERROR(IF($D64 &lt;&gt;0,ResultValue($C64,COLUMN(I64)-COLUMN($C64))/$D64,""),"")</f>
        <v>4000</v>
      </c>
      <c r="I64" s="12" cm="1">
        <f t="array" ref="I64">IFERROR(IF($D64 &lt;&gt;0,ResultValue($C64,COLUMN(J64)-COLUMN($C64))/$D64,""),"")</f>
        <v>4000</v>
      </c>
      <c r="J64" s="12" cm="1">
        <f t="array" ref="J64">IFERROR(IF($D64 &lt;&gt;0,ResultValue($C64,COLUMN(K64)-COLUMN($C64))/$D64,""),"")</f>
        <v>4000</v>
      </c>
      <c r="K64" s="12" cm="1">
        <f t="array" ref="K64">IFERROR(IF($D64 &lt;&gt;0,ResultValue($C64,COLUMN(L64)-COLUMN($C64))/$D64,""),"")</f>
        <v>4000</v>
      </c>
      <c r="L64" s="12" cm="1">
        <f t="array" ref="L64">IFERROR(IF($D64 &lt;&gt;0,ResultValue($C64,COLUMN(M64)-COLUMN($C64))/$D64,""),"")</f>
        <v>4000</v>
      </c>
      <c r="M64" s="12" cm="1">
        <f t="array" ref="M64">IFERROR(IF($D64 &lt;&gt;0,ResultValue($C64,COLUMN(N64)-COLUMN($C64))/$D64,""),"")</f>
        <v>4000</v>
      </c>
      <c r="N64" s="12" cm="1">
        <f t="array" ref="N64">IFERROR(IF($D64 &lt;&gt;0,ResultValue($C64,COLUMN(O64)-COLUMN($C64))/$D64,""),"")</f>
        <v>4000</v>
      </c>
      <c r="O64" s="12" cm="1">
        <f t="array" ref="O64">IFERROR(IF($D64 &lt;&gt;0,ResultValue($C64,COLUMN(P64)-COLUMN($C64))/$D64,""),"")</f>
        <v>4000</v>
      </c>
      <c r="P64" s="12" cm="1">
        <f t="array" ref="P64">IFERROR(IF($D64 &lt;&gt;0,ResultValue($C64,COLUMN(Q64)-COLUMN($C64))/$D64,""),"")</f>
        <v>4000</v>
      </c>
      <c r="Q64" s="12" cm="1">
        <f t="array" ref="Q64">IFERROR(IF($D64 &lt;&gt;0,ResultValue($C64,COLUMN(R64)-COLUMN($C64))/$D64,""),"")</f>
        <v>4000</v>
      </c>
      <c r="R64" s="12" cm="1">
        <f t="array" ref="R64">IFERROR(IF($D64 &lt;&gt;0,ResultValue($C64,COLUMN(S64)-COLUMN($C64))/$D64,""),"")</f>
        <v>4000</v>
      </c>
      <c r="S64" s="12" cm="1">
        <f t="array" ref="S64">IFERROR(IF($D64 &lt;&gt;0,ResultValue($C64,COLUMN(T64)-COLUMN($C64))/$D64,""),"")</f>
        <v>4000</v>
      </c>
      <c r="T64" s="12" cm="1">
        <f t="array" ref="T64">IFERROR(IF($D64 &lt;&gt;0,ResultValue($C64,COLUMN(U64)-COLUMN($C64))/$D64,""),"")</f>
        <v>4000</v>
      </c>
      <c r="U64" s="12" cm="1">
        <f t="array" ref="U64">IFERROR(IF($D64 &lt;&gt;0,ResultValue($C64,COLUMN(V64)-COLUMN($C64))/$D64,""),"")</f>
        <v>4000</v>
      </c>
      <c r="V64" s="12" cm="1">
        <f t="array" ref="V64">IFERROR(IF($D64 &lt;&gt;0,ResultValue($C64,COLUMN(W64)-COLUMN($C64))/$D64,""),"")</f>
        <v>4000</v>
      </c>
      <c r="W64" s="12" cm="1">
        <f t="array" ref="W64">IFERROR(IF($D64 &lt;&gt;0,ResultValue($C64,COLUMN(X64)-COLUMN($C64))/$D64,""),"")</f>
        <v>4000</v>
      </c>
      <c r="X64" s="12" cm="1">
        <f t="array" ref="X64">IFERROR(IF($D64 &lt;&gt;0,ResultValue($C64,COLUMN(Y64)-COLUMN($C64))/$D64,""),"")</f>
        <v>4000</v>
      </c>
      <c r="Y64" s="12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54"/>
      <c r="C65" t="str">
        <f>IF(ISBLANK(A27),"",A27)</f>
        <v>Affaldsforbrug Ovn2</v>
      </c>
      <c r="D65" s="44">
        <f>B27</f>
        <v>1</v>
      </c>
      <c r="E65" s="12" cm="1">
        <f t="array" ref="E65">IFERROR(IF($D65 &lt;&gt;0,ResultValue($C65,COLUMN(F65)-COLUMN($C65))/$D65,""),"")</f>
        <v>1094.3867347062462</v>
      </c>
      <c r="F65" s="12" cm="1">
        <f t="array" ref="F65">IFERROR(IF($D65 &lt;&gt;0,ResultValue($C65,COLUMN(G65)-COLUMN($C65))/$D65,""),"")</f>
        <v>2919.670860050182</v>
      </c>
      <c r="G65" s="12" cm="1">
        <f t="array" ref="G65">IFERROR(IF($D65 &lt;&gt;0,ResultValue($C65,COLUMN(H65)-COLUMN($C65))/$D65,""),"")</f>
        <v>2805.7762998686553</v>
      </c>
      <c r="H65" s="12" cm="1">
        <f t="array" ref="H65">IFERROR(IF($D65 &lt;&gt;0,ResultValue($C65,COLUMN(I65)-COLUMN($C65))/$D65,""),"")</f>
        <v>2694.2061184663444</v>
      </c>
      <c r="I65" s="12" cm="1">
        <f t="array" ref="I65">IFERROR(IF($D65 &lt;&gt;0,ResultValue($C65,COLUMN(J65)-COLUMN($C65))/$D65,""),"")</f>
        <v>2584.8898801226651</v>
      </c>
      <c r="J65" s="12" cm="1">
        <f t="array" ref="J65">IFERROR(IF($D65 &lt;&gt;0,ResultValue($C65,COLUMN(K65)-COLUMN($C65))/$D65,""),"")</f>
        <v>2477.7599665458606</v>
      </c>
      <c r="K65" s="12" cm="1">
        <f t="array" ref="K65">IFERROR(IF($D65 &lt;&gt;0,ResultValue($C65,COLUMN(L65)-COLUMN($C65))/$D65,""),"")</f>
        <v>2372.751437396319</v>
      </c>
      <c r="L65" s="12" cm="1">
        <f t="array" ref="L65">IFERROR(IF($D65 &lt;&gt;0,ResultValue($C65,COLUMN(M65)-COLUMN($C65))/$D65,""),"")</f>
        <v>2269.8018990144151</v>
      </c>
      <c r="M65" s="12" cm="1">
        <f t="array" ref="M65">IFERROR(IF($D65 &lt;&gt;0,ResultValue($C65,COLUMN(N65)-COLUMN($C65))/$D65,""),"")</f>
        <v>2168.8513807952672</v>
      </c>
      <c r="N65" s="12" cm="1">
        <f t="array" ref="N65">IFERROR(IF($D65 &lt;&gt;0,ResultValue($C65,COLUMN(O65)-COLUMN($C65))/$D65,""),"")</f>
        <v>2069.8422186957168</v>
      </c>
      <c r="O65" s="12" cm="1">
        <f t="array" ref="O65">IFERROR(IF($D65 &lt;&gt;0,ResultValue($C65,COLUMN(P65)-COLUMN($C65))/$D65,""),"")</f>
        <v>1972.7189453980645</v>
      </c>
      <c r="P65" s="12" cm="1">
        <f t="array" ref="P65">IFERROR(IF($D65 &lt;&gt;0,ResultValue($C65,COLUMN(Q65)-COLUMN($C65))/$D65,""),"")</f>
        <v>1877.4281866909339</v>
      </c>
      <c r="Q65" s="12" cm="1">
        <f t="array" ref="Q65">IFERROR(IF($D65 &lt;&gt;0,ResultValue($C65,COLUMN(R65)-COLUMN($C65))/$D65,""),"")</f>
        <v>1783.9185636605707</v>
      </c>
      <c r="R65" s="12" cm="1">
        <f t="array" ref="R65">IFERROR(IF($D65 &lt;&gt;0,ResultValue($C65,COLUMN(S65)-COLUMN($C65))/$D65,""),"")</f>
        <v>1692.1406003159564</v>
      </c>
      <c r="S65" s="12" cm="1">
        <f t="array" ref="S65">IFERROR(IF($D65 &lt;&gt;0,ResultValue($C65,COLUMN(T65)-COLUMN($C65))/$D65,""),"")</f>
        <v>1602.0466362987647</v>
      </c>
      <c r="T65" s="12" cm="1">
        <f t="array" ref="T65">IFERROR(IF($D65 &lt;&gt;0,ResultValue($C65,COLUMN(U65)-COLUMN($C65))/$D65,""),"")</f>
        <v>1513.5907443546141</v>
      </c>
      <c r="U65" s="12" cm="1">
        <f t="array" ref="U65">IFERROR(IF($D65 &lt;&gt;0,ResultValue($C65,COLUMN(V65)-COLUMN($C65))/$D65,""),"")</f>
        <v>1426.728652265313</v>
      </c>
      <c r="V65" s="12" cm="1">
        <f t="array" ref="V65">IFERROR(IF($D65 &lt;&gt;0,ResultValue($C65,COLUMN(W65)-COLUMN($C65))/$D65,""),"")</f>
        <v>1341.41766896332</v>
      </c>
      <c r="W65" s="12" cm="1">
        <f t="array" ref="W65">IFERROR(IF($D65 &lt;&gt;0,ResultValue($C65,COLUMN(X65)-COLUMN($C65))/$D65,""),"")</f>
        <v>1257.6166145693278</v>
      </c>
      <c r="X65" s="12" cm="1">
        <f t="array" ref="X65">IFERROR(IF($D65 &lt;&gt;0,ResultValue($C65,COLUMN(Y65)-COLUMN($C65))/$D65,""),"")</f>
        <v>1175.2857541120711</v>
      </c>
      <c r="Y65" s="12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54"/>
      <c r="C66" t="str">
        <f>IF(ISBLANK(A28),"",A28)</f>
        <v>Affaldsforbrug Ovn3</v>
      </c>
      <c r="D66" s="44">
        <f>B28</f>
        <v>1</v>
      </c>
      <c r="E66" s="12" cm="1">
        <f t="array" ref="E66">IFERROR(IF($D66 &lt;&gt;0,ResultValue($C66,COLUMN(F66)-COLUMN($C66))/$D66,""),"")</f>
        <v>9006.456241033</v>
      </c>
      <c r="F66" s="12" cm="1">
        <f t="array" ref="F66">IFERROR(IF($D66 &lt;&gt;0,ResultValue($C66,COLUMN(G66)-COLUMN($C66))/$D66,""),"")</f>
        <v>9006.4562410329982</v>
      </c>
      <c r="G66" s="12" cm="1">
        <f t="array" ref="G66">IFERROR(IF($D66 &lt;&gt;0,ResultValue($C66,COLUMN(H66)-COLUMN($C66))/$D66,""),"")</f>
        <v>9006.456241033</v>
      </c>
      <c r="H66" s="12" cm="1">
        <f t="array" ref="H66">IFERROR(IF($D66 &lt;&gt;0,ResultValue($C66,COLUMN(I66)-COLUMN($C66))/$D66,""),"")</f>
        <v>9006.4562410329982</v>
      </c>
      <c r="I66" s="12" cm="1">
        <f t="array" ref="I66">IFERROR(IF($D66 &lt;&gt;0,ResultValue($C66,COLUMN(J66)-COLUMN($C66))/$D66,""),"")</f>
        <v>9006.456241033</v>
      </c>
      <c r="J66" s="12" cm="1">
        <f t="array" ref="J66">IFERROR(IF($D66 &lt;&gt;0,ResultValue($C66,COLUMN(K66)-COLUMN($C66))/$D66,""),"")</f>
        <v>9006.456241033</v>
      </c>
      <c r="K66" s="12" cm="1">
        <f t="array" ref="K66">IFERROR(IF($D66 &lt;&gt;0,ResultValue($C66,COLUMN(L66)-COLUMN($C66))/$D66,""),"")</f>
        <v>9006.456241033</v>
      </c>
      <c r="L66" s="12" cm="1">
        <f t="array" ref="L66">IFERROR(IF($D66 &lt;&gt;0,ResultValue($C66,COLUMN(M66)-COLUMN($C66))/$D66,""),"")</f>
        <v>9006.456241033</v>
      </c>
      <c r="M66" s="12" cm="1">
        <f t="array" ref="M66">IFERROR(IF($D66 &lt;&gt;0,ResultValue($C66,COLUMN(N66)-COLUMN($C66))/$D66,""),"")</f>
        <v>9006.456241033</v>
      </c>
      <c r="N66" s="12" cm="1">
        <f t="array" ref="N66">IFERROR(IF($D66 &lt;&gt;0,ResultValue($C66,COLUMN(O66)-COLUMN($C66))/$D66,""),"")</f>
        <v>9006.456241033</v>
      </c>
      <c r="O66" s="12" cm="1">
        <f t="array" ref="O66">IFERROR(IF($D66 &lt;&gt;0,ResultValue($C66,COLUMN(P66)-COLUMN($C66))/$D66,""),"")</f>
        <v>9006.456241033</v>
      </c>
      <c r="P66" s="12" cm="1">
        <f t="array" ref="P66">IFERROR(IF($D66 &lt;&gt;0,ResultValue($C66,COLUMN(Q66)-COLUMN($C66))/$D66,""),"")</f>
        <v>9006.4562410329982</v>
      </c>
      <c r="Q66" s="12" cm="1">
        <f t="array" ref="Q66">IFERROR(IF($D66 &lt;&gt;0,ResultValue($C66,COLUMN(R66)-COLUMN($C66))/$D66,""),"")</f>
        <v>9006.456241033</v>
      </c>
      <c r="R66" s="12" cm="1">
        <f t="array" ref="R66">IFERROR(IF($D66 &lt;&gt;0,ResultValue($C66,COLUMN(S66)-COLUMN($C66))/$D66,""),"")</f>
        <v>9006.456241033</v>
      </c>
      <c r="S66" s="12" cm="1">
        <f t="array" ref="S66">IFERROR(IF($D66 &lt;&gt;0,ResultValue($C66,COLUMN(T66)-COLUMN($C66))/$D66,""),"")</f>
        <v>9006.456241033</v>
      </c>
      <c r="T66" s="12" cm="1">
        <f t="array" ref="T66">IFERROR(IF($D66 &lt;&gt;0,ResultValue($C66,COLUMN(U66)-COLUMN($C66))/$D66,""),"")</f>
        <v>9006.456241033</v>
      </c>
      <c r="U66" s="12" cm="1">
        <f t="array" ref="U66">IFERROR(IF($D66 &lt;&gt;0,ResultValue($C66,COLUMN(V66)-COLUMN($C66))/$D66,""),"")</f>
        <v>9006.456241033</v>
      </c>
      <c r="V66" s="12" cm="1">
        <f t="array" ref="V66">IFERROR(IF($D66 &lt;&gt;0,ResultValue($C66,COLUMN(W66)-COLUMN($C66))/$D66,""),"")</f>
        <v>9006.456241033</v>
      </c>
      <c r="W66" s="12" cm="1">
        <f t="array" ref="W66">IFERROR(IF($D66 &lt;&gt;0,ResultValue($C66,COLUMN(X66)-COLUMN($C66))/$D66,""),"")</f>
        <v>9006.456241033</v>
      </c>
      <c r="X66" s="12" cm="1">
        <f t="array" ref="X66">IFERROR(IF($D66 &lt;&gt;0,ResultValue($C66,COLUMN(Y66)-COLUMN($C66))/$D66,""),"")</f>
        <v>9006.456241033</v>
      </c>
      <c r="Y66" s="12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54"/>
      <c r="C67" t="str">
        <f>IF(ISBLANK(A29),"",A29)</f>
        <v>Affaldsforbrug kølevarme Ovn2</v>
      </c>
      <c r="D67" s="44">
        <f>B29</f>
        <v>1</v>
      </c>
      <c r="E67" s="12" cm="1">
        <f t="array" ref="E67">IFERROR(IF($D67 &lt;&gt;0,ResultValue($C67,COLUMN(F67)-COLUMN($C67))/$D67,""),"")</f>
        <v>0</v>
      </c>
      <c r="F67" s="12" cm="1">
        <f t="array" ref="F67">IFERROR(IF($D67 &lt;&gt;0,ResultValue($C67,COLUMN(G67)-COLUMN($C67))/$D67,""),"")</f>
        <v>0</v>
      </c>
      <c r="G67" s="12" cm="1">
        <f t="array" ref="G67">IFERROR(IF($D67 &lt;&gt;0,ResultValue($C67,COLUMN(H67)-COLUMN($C67))/$D67,""),"")</f>
        <v>0</v>
      </c>
      <c r="H67" s="12" cm="1">
        <f t="array" ref="H67">IFERROR(IF($D67 &lt;&gt;0,ResultValue($C67,COLUMN(I67)-COLUMN($C67))/$D67,""),"")</f>
        <v>0</v>
      </c>
      <c r="I67" s="12" cm="1">
        <f t="array" ref="I67">IFERROR(IF($D67 &lt;&gt;0,ResultValue($C67,COLUMN(J67)-COLUMN($C67))/$D67,""),"")</f>
        <v>0</v>
      </c>
      <c r="J67" s="12" cm="1">
        <f t="array" ref="J67">IFERROR(IF($D67 &lt;&gt;0,ResultValue($C67,COLUMN(K67)-COLUMN($C67))/$D67,""),"")</f>
        <v>0</v>
      </c>
      <c r="K67" s="12" cm="1">
        <f t="array" ref="K67">IFERROR(IF($D67 &lt;&gt;0,ResultValue($C67,COLUMN(L67)-COLUMN($C67))/$D67,""),"")</f>
        <v>0</v>
      </c>
      <c r="L67" s="12" cm="1">
        <f t="array" ref="L67">IFERROR(IF($D67 &lt;&gt;0,ResultValue($C67,COLUMN(M67)-COLUMN($C67))/$D67,""),"")</f>
        <v>0</v>
      </c>
      <c r="M67" s="12" cm="1">
        <f t="array" ref="M67">IFERROR(IF($D67 &lt;&gt;0,ResultValue($C67,COLUMN(N67)-COLUMN($C67))/$D67,""),"")</f>
        <v>0</v>
      </c>
      <c r="N67" s="12" cm="1">
        <f t="array" ref="N67">IFERROR(IF($D67 &lt;&gt;0,ResultValue($C67,COLUMN(O67)-COLUMN($C67))/$D67,""),"")</f>
        <v>0</v>
      </c>
      <c r="O67" s="12" cm="1">
        <f t="array" ref="O67">IFERROR(IF($D67 &lt;&gt;0,ResultValue($C67,COLUMN(P67)-COLUMN($C67))/$D67,""),"")</f>
        <v>0</v>
      </c>
      <c r="P67" s="12" cm="1">
        <f t="array" ref="P67">IFERROR(IF($D67 &lt;&gt;0,ResultValue($C67,COLUMN(Q67)-COLUMN($C67))/$D67,""),"")</f>
        <v>0</v>
      </c>
      <c r="Q67" s="12" cm="1">
        <f t="array" ref="Q67">IFERROR(IF($D67 &lt;&gt;0,ResultValue($C67,COLUMN(R67)-COLUMN($C67))/$D67,""),"")</f>
        <v>0</v>
      </c>
      <c r="R67" s="12" cm="1">
        <f t="array" ref="R67">IFERROR(IF($D67 &lt;&gt;0,ResultValue($C67,COLUMN(S67)-COLUMN($C67))/$D67,""),"")</f>
        <v>0</v>
      </c>
      <c r="S67" s="12" cm="1">
        <f t="array" ref="S67">IFERROR(IF($D67 &lt;&gt;0,ResultValue($C67,COLUMN(T67)-COLUMN($C67))/$D67,""),"")</f>
        <v>0</v>
      </c>
      <c r="T67" s="12" cm="1">
        <f t="array" ref="T67">IFERROR(IF($D67 &lt;&gt;0,ResultValue($C67,COLUMN(U67)-COLUMN($C67))/$D67,""),"")</f>
        <v>0</v>
      </c>
      <c r="U67" s="12" cm="1">
        <f t="array" ref="U67">IFERROR(IF($D67 &lt;&gt;0,ResultValue($C67,COLUMN(V67)-COLUMN($C67))/$D67,""),"")</f>
        <v>0</v>
      </c>
      <c r="V67" s="12" cm="1">
        <f t="array" ref="V67">IFERROR(IF($D67 &lt;&gt;0,ResultValue($C67,COLUMN(W67)-COLUMN($C67))/$D67,""),"")</f>
        <v>0</v>
      </c>
      <c r="W67" s="12" cm="1">
        <f t="array" ref="W67">IFERROR(IF($D67 &lt;&gt;0,ResultValue($C67,COLUMN(X67)-COLUMN($C67))/$D67,""),"")</f>
        <v>0</v>
      </c>
      <c r="X67" s="12" cm="1">
        <f t="array" ref="X67">IFERROR(IF($D67 &lt;&gt;0,ResultValue($C67,COLUMN(Y67)-COLUMN($C67))/$D67,""),"")</f>
        <v>0</v>
      </c>
      <c r="Y67" s="12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54"/>
      <c r="C68" t="str">
        <f>IF(ISBLANK(A30),"",A30)</f>
        <v>Affaldsforbrug kølevarme Ovn3</v>
      </c>
      <c r="D68" s="44">
        <f>B30</f>
        <v>1</v>
      </c>
      <c r="E68" s="12" cm="1">
        <f t="array" ref="E68">IFERROR(IF($D68 &lt;&gt;0,ResultValue($C68,COLUMN(F68)-COLUMN($C68))/$D68,""),"")</f>
        <v>0</v>
      </c>
      <c r="F68" s="12" cm="1">
        <f t="array" ref="F68">IFERROR(IF($D68 &lt;&gt;0,ResultValue($C68,COLUMN(G68)-COLUMN($C68))/$D68,""),"")</f>
        <v>0</v>
      </c>
      <c r="G68" s="12" cm="1">
        <f t="array" ref="G68">IFERROR(IF($D68 &lt;&gt;0,ResultValue($C68,COLUMN(H68)-COLUMN($C68))/$D68,""),"")</f>
        <v>0</v>
      </c>
      <c r="H68" s="12" cm="1">
        <f t="array" ref="H68">IFERROR(IF($D68 &lt;&gt;0,ResultValue($C68,COLUMN(I68)-COLUMN($C68))/$D68,""),"")</f>
        <v>0</v>
      </c>
      <c r="I68" s="12" cm="1">
        <f t="array" ref="I68">IFERROR(IF($D68 &lt;&gt;0,ResultValue($C68,COLUMN(J68)-COLUMN($C68))/$D68,""),"")</f>
        <v>0</v>
      </c>
      <c r="J68" s="12" cm="1">
        <f t="array" ref="J68">IFERROR(IF($D68 &lt;&gt;0,ResultValue($C68,COLUMN(K68)-COLUMN($C68))/$D68,""),"")</f>
        <v>0</v>
      </c>
      <c r="K68" s="12" cm="1">
        <f t="array" ref="K68">IFERROR(IF($D68 &lt;&gt;0,ResultValue($C68,COLUMN(L68)-COLUMN($C68))/$D68,""),"")</f>
        <v>0</v>
      </c>
      <c r="L68" s="12" cm="1">
        <f t="array" ref="L68">IFERROR(IF($D68 &lt;&gt;0,ResultValue($C68,COLUMN(M68)-COLUMN($C68))/$D68,""),"")</f>
        <v>0</v>
      </c>
      <c r="M68" s="12" cm="1">
        <f t="array" ref="M68">IFERROR(IF($D68 &lt;&gt;0,ResultValue($C68,COLUMN(N68)-COLUMN($C68))/$D68,""),"")</f>
        <v>0</v>
      </c>
      <c r="N68" s="12" cm="1">
        <f t="array" ref="N68">IFERROR(IF($D68 &lt;&gt;0,ResultValue($C68,COLUMN(O68)-COLUMN($C68))/$D68,""),"")</f>
        <v>0</v>
      </c>
      <c r="O68" s="12" cm="1">
        <f t="array" ref="O68">IFERROR(IF($D68 &lt;&gt;0,ResultValue($C68,COLUMN(P68)-COLUMN($C68))/$D68,""),"")</f>
        <v>0</v>
      </c>
      <c r="P68" s="12" cm="1">
        <f t="array" ref="P68">IFERROR(IF($D68 &lt;&gt;0,ResultValue($C68,COLUMN(Q68)-COLUMN($C68))/$D68,""),"")</f>
        <v>0</v>
      </c>
      <c r="Q68" s="12" cm="1">
        <f t="array" ref="Q68">IFERROR(IF($D68 &lt;&gt;0,ResultValue($C68,COLUMN(R68)-COLUMN($C68))/$D68,""),"")</f>
        <v>0</v>
      </c>
      <c r="R68" s="12" cm="1">
        <f t="array" ref="R68">IFERROR(IF($D68 &lt;&gt;0,ResultValue($C68,COLUMN(S68)-COLUMN($C68))/$D68,""),"")</f>
        <v>0</v>
      </c>
      <c r="S68" s="12" cm="1">
        <f t="array" ref="S68">IFERROR(IF($D68 &lt;&gt;0,ResultValue($C68,COLUMN(T68)-COLUMN($C68))/$D68,""),"")</f>
        <v>0</v>
      </c>
      <c r="T68" s="12" cm="1">
        <f t="array" ref="T68">IFERROR(IF($D68 &lt;&gt;0,ResultValue($C68,COLUMN(U68)-COLUMN($C68))/$D68,""),"")</f>
        <v>0</v>
      </c>
      <c r="U68" s="12" cm="1">
        <f t="array" ref="U68">IFERROR(IF($D68 &lt;&gt;0,ResultValue($C68,COLUMN(V68)-COLUMN($C68))/$D68,""),"")</f>
        <v>0</v>
      </c>
      <c r="V68" s="12" cm="1">
        <f t="array" ref="V68">IFERROR(IF($D68 &lt;&gt;0,ResultValue($C68,COLUMN(W68)-COLUMN($C68))/$D68,""),"")</f>
        <v>0</v>
      </c>
      <c r="W68" s="12" cm="1">
        <f t="array" ref="W68">IFERROR(IF($D68 &lt;&gt;0,ResultValue($C68,COLUMN(X68)-COLUMN($C68))/$D68,""),"")</f>
        <v>0</v>
      </c>
      <c r="X68" s="12" cm="1">
        <f t="array" ref="X68">IFERROR(IF($D68 &lt;&gt;0,ResultValue($C68,COLUMN(Y68)-COLUMN($C68))/$D68,""),"")</f>
        <v>0</v>
      </c>
      <c r="Y68" s="12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54"/>
      <c r="C69" t="str">
        <f>IF(ISBLANK(A31),"",A31)</f>
        <v>Udnyttet affald</v>
      </c>
      <c r="D69" s="44">
        <f>B31</f>
        <v>1</v>
      </c>
      <c r="E69" s="12" cm="1">
        <f t="array" ref="E69">IFERROR(IF($D69 &lt;&gt;0,ResultValue($C69,COLUMN(F69)-COLUMN($C69))/$D69,""),"")</f>
        <v>10100.842975739246</v>
      </c>
      <c r="F69" s="12" cm="1">
        <f t="array" ref="F69">IFERROR(IF($D69 &lt;&gt;0,ResultValue($C69,COLUMN(G69)-COLUMN($C69))/$D69,""),"")</f>
        <v>11926.127101083181</v>
      </c>
      <c r="G69" s="12" cm="1">
        <f t="array" ref="G69">IFERROR(IF($D69 &lt;&gt;0,ResultValue($C69,COLUMN(H69)-COLUMN($C69))/$D69,""),"")</f>
        <v>11812.232540901656</v>
      </c>
      <c r="H69" s="12" cm="1">
        <f t="array" ref="H69">IFERROR(IF($D69 &lt;&gt;0,ResultValue($C69,COLUMN(I69)-COLUMN($C69))/$D69,""),"")</f>
        <v>11700.662359499343</v>
      </c>
      <c r="I69" s="12" cm="1">
        <f t="array" ref="I69">IFERROR(IF($D69 &lt;&gt;0,ResultValue($C69,COLUMN(J69)-COLUMN($C69))/$D69,""),"")</f>
        <v>11591.346121155664</v>
      </c>
      <c r="J69" s="12" cm="1">
        <f t="array" ref="J69">IFERROR(IF($D69 &lt;&gt;0,ResultValue($C69,COLUMN(K69)-COLUMN($C69))/$D69,""),"")</f>
        <v>11484.21620757886</v>
      </c>
      <c r="K69" s="12" cm="1">
        <f t="array" ref="K69">IFERROR(IF($D69 &lt;&gt;0,ResultValue($C69,COLUMN(L69)-COLUMN($C69))/$D69,""),"")</f>
        <v>11379.207678429319</v>
      </c>
      <c r="L69" s="12" cm="1">
        <f t="array" ref="L69">IFERROR(IF($D69 &lt;&gt;0,ResultValue($C69,COLUMN(M69)-COLUMN($C69))/$D69,""),"")</f>
        <v>11276.258140047416</v>
      </c>
      <c r="M69" s="12" cm="1">
        <f t="array" ref="M69">IFERROR(IF($D69 &lt;&gt;0,ResultValue($C69,COLUMN(N69)-COLUMN($C69))/$D69,""),"")</f>
        <v>11175.307621828268</v>
      </c>
      <c r="N69" s="12" cm="1">
        <f t="array" ref="N69">IFERROR(IF($D69 &lt;&gt;0,ResultValue($C69,COLUMN(O69)-COLUMN($C69))/$D69,""),"")</f>
        <v>11076.298459728718</v>
      </c>
      <c r="O69" s="12" cm="1">
        <f t="array" ref="O69">IFERROR(IF($D69 &lt;&gt;0,ResultValue($C69,COLUMN(P69)-COLUMN($C69))/$D69,""),"")</f>
        <v>10979.175186431065</v>
      </c>
      <c r="P69" s="12" cm="1">
        <f t="array" ref="P69">IFERROR(IF($D69 &lt;&gt;0,ResultValue($C69,COLUMN(Q69)-COLUMN($C69))/$D69,""),"")</f>
        <v>10883.884427723931</v>
      </c>
      <c r="Q69" s="12" cm="1">
        <f t="array" ref="Q69">IFERROR(IF($D69 &lt;&gt;0,ResultValue($C69,COLUMN(R69)-COLUMN($C69))/$D69,""),"")</f>
        <v>10790.374804693571</v>
      </c>
      <c r="R69" s="12" cm="1">
        <f t="array" ref="R69">IFERROR(IF($D69 &lt;&gt;0,ResultValue($C69,COLUMN(S69)-COLUMN($C69))/$D69,""),"")</f>
        <v>10698.596841348957</v>
      </c>
      <c r="S69" s="12" cm="1">
        <f t="array" ref="S69">IFERROR(IF($D69 &lt;&gt;0,ResultValue($C69,COLUMN(T69)-COLUMN($C69))/$D69,""),"")</f>
        <v>10608.502877331764</v>
      </c>
      <c r="T69" s="12" cm="1">
        <f t="array" ref="T69">IFERROR(IF($D69 &lt;&gt;0,ResultValue($C69,COLUMN(U69)-COLUMN($C69))/$D69,""),"")</f>
        <v>10520.046985387615</v>
      </c>
      <c r="U69" s="12" cm="1">
        <f t="array" ref="U69">IFERROR(IF($D69 &lt;&gt;0,ResultValue($C69,COLUMN(V69)-COLUMN($C69))/$D69,""),"")</f>
        <v>10433.184893298312</v>
      </c>
      <c r="V69" s="12" cm="1">
        <f t="array" ref="V69">IFERROR(IF($D69 &lt;&gt;0,ResultValue($C69,COLUMN(W69)-COLUMN($C69))/$D69,""),"")</f>
        <v>10347.87390999632</v>
      </c>
      <c r="W69" s="12" cm="1">
        <f t="array" ref="W69">IFERROR(IF($D69 &lt;&gt;0,ResultValue($C69,COLUMN(X69)-COLUMN($C69))/$D69,""),"")</f>
        <v>10264.072855602328</v>
      </c>
      <c r="X69" s="12" cm="1">
        <f t="array" ref="X69">IFERROR(IF($D69 &lt;&gt;0,ResultValue($C69,COLUMN(Y69)-COLUMN($C69))/$D69,""),"")</f>
        <v>10181.741995145072</v>
      </c>
      <c r="Y69" s="12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varme</v>
      </c>
      <c r="B70" s="54"/>
      <c r="C70" t="str">
        <f>IF(ISBLANK(A32),"",A32)</f>
        <v>Ikke-udnyttet affald</v>
      </c>
      <c r="D70" s="44">
        <f>B32</f>
        <v>1</v>
      </c>
      <c r="E70" s="12" cm="1">
        <f t="array" ref="E70">IFERROR(IF($D70 &lt;&gt;0,ResultValue($C70,COLUMN(F70)-COLUMN($C70))/$D70,""),"")</f>
        <v>1899.1570242607538</v>
      </c>
      <c r="F70" s="12" cm="1">
        <f t="array" ref="F70">IFERROR(IF($D70 &lt;&gt;0,ResultValue($C70,COLUMN(G70)-COLUMN($C70))/$D70,""),"")</f>
        <v>73.87289891681985</v>
      </c>
      <c r="G70" s="12" cm="1">
        <f t="array" ref="G70">IFERROR(IF($D70 &lt;&gt;0,ResultValue($C70,COLUMN(H70)-COLUMN($C70))/$D70,""),"")</f>
        <v>187.76745909834472</v>
      </c>
      <c r="H70" s="12" cm="1">
        <f t="array" ref="H70">IFERROR(IF($D70 &lt;&gt;0,ResultValue($C70,COLUMN(I70)-COLUMN($C70))/$D70,""),"")</f>
        <v>299.33764050065747</v>
      </c>
      <c r="I70" s="12" cm="1">
        <f t="array" ref="I70">IFERROR(IF($D70 &lt;&gt;0,ResultValue($C70,COLUMN(J70)-COLUMN($C70))/$D70,""),"")</f>
        <v>408.65387884433494</v>
      </c>
      <c r="J70" s="12" cm="1">
        <f t="array" ref="J70">IFERROR(IF($D70 &lt;&gt;0,ResultValue($C70,COLUMN(K70)-COLUMN($C70))/$D70,""),"")</f>
        <v>515.78379242113942</v>
      </c>
      <c r="K70" s="12" cm="1">
        <f t="array" ref="K70">IFERROR(IF($D70 &lt;&gt;0,ResultValue($C70,COLUMN(L70)-COLUMN($C70))/$D70,""),"")</f>
        <v>620.792321570681</v>
      </c>
      <c r="L70" s="12" cm="1">
        <f t="array" ref="L70">IFERROR(IF($D70 &lt;&gt;0,ResultValue($C70,COLUMN(M70)-COLUMN($C70))/$D70,""),"")</f>
        <v>723.74185995258495</v>
      </c>
      <c r="M70" s="12" cm="1">
        <f t="array" ref="M70">IFERROR(IF($D70 &lt;&gt;0,ResultValue($C70,COLUMN(N70)-COLUMN($C70))/$D70,""),"")</f>
        <v>824.6923781717328</v>
      </c>
      <c r="N70" s="12" cm="1">
        <f t="array" ref="N70">IFERROR(IF($D70 &lt;&gt;0,ResultValue($C70,COLUMN(O70)-COLUMN($C70))/$D70,""),"")</f>
        <v>923.70154027128319</v>
      </c>
      <c r="O70" s="12" cm="1">
        <f t="array" ref="O70">IFERROR(IF($D70 &lt;&gt;0,ResultValue($C70,COLUMN(P70)-COLUMN($C70))/$D70,""),"")</f>
        <v>1020.8248135689355</v>
      </c>
      <c r="P70" s="12" cm="1">
        <f t="array" ref="P70">IFERROR(IF($D70 &lt;&gt;0,ResultValue($C70,COLUMN(Q70)-COLUMN($C70))/$D70,""),"")</f>
        <v>1116.115572276068</v>
      </c>
      <c r="Q70" s="12" cm="1">
        <f t="array" ref="Q70">IFERROR(IF($D70 &lt;&gt;0,ResultValue($C70,COLUMN(R70)-COLUMN($C70))/$D70,""),"")</f>
        <v>1209.6251953064293</v>
      </c>
      <c r="R70" s="12" cm="1">
        <f t="array" ref="R70">IFERROR(IF($D70 &lt;&gt;0,ResultValue($C70,COLUMN(S70)-COLUMN($C70))/$D70,""),"")</f>
        <v>1301.4031586510437</v>
      </c>
      <c r="S70" s="12" cm="1">
        <f t="array" ref="S70">IFERROR(IF($D70 &lt;&gt;0,ResultValue($C70,COLUMN(T70)-COLUMN($C70))/$D70,""),"")</f>
        <v>1391.4971226682353</v>
      </c>
      <c r="T70" s="12" cm="1">
        <f t="array" ref="T70">IFERROR(IF($D70 &lt;&gt;0,ResultValue($C70,COLUMN(U70)-COLUMN($C70))/$D70,""),"")</f>
        <v>1479.9530146123859</v>
      </c>
      <c r="U70" s="12" cm="1">
        <f t="array" ref="U70">IFERROR(IF($D70 &lt;&gt;0,ResultValue($C70,COLUMN(V70)-COLUMN($C70))/$D70,""),"")</f>
        <v>1566.815106701687</v>
      </c>
      <c r="V70" s="12" cm="1">
        <f t="array" ref="V70">IFERROR(IF($D70 &lt;&gt;0,ResultValue($C70,COLUMN(W70)-COLUMN($C70))/$D70,""),"")</f>
        <v>1652.12609000368</v>
      </c>
      <c r="W70" s="12" cm="1">
        <f t="array" ref="W70">IFERROR(IF($D70 &lt;&gt;0,ResultValue($C70,COLUMN(X70)-COLUMN($C70))/$D70,""),"")</f>
        <v>1735.9271443976722</v>
      </c>
      <c r="X70" s="12" cm="1">
        <f t="array" ref="X70">IFERROR(IF($D70 &lt;&gt;0,ResultValue($C70,COLUMN(Y70)-COLUMN($C70))/$D70,""),"")</f>
        <v>1818.2580048549289</v>
      </c>
      <c r="Y70" s="12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54"/>
      <c r="C71" t="str">
        <f>IF(ISBLANK(A33),"",A33)</f>
        <v>Ovn2 tonnage</v>
      </c>
      <c r="D71" s="44">
        <f>B33</f>
        <v>1</v>
      </c>
      <c r="E71" s="12" t="str" cm="1">
        <f t="array" ref="E71">IFERROR(IF($D71 &lt;&gt;0,ResultValue($C71,COLUMN(F71)-COLUMN($C71))/$D71,""),"")</f>
        <v/>
      </c>
      <c r="F71" s="12" t="str" cm="1">
        <f t="array" ref="F71">IFERROR(IF($D71 &lt;&gt;0,ResultValue($C71,COLUMN(G71)-COLUMN($C71))/$D71,""),"")</f>
        <v/>
      </c>
      <c r="G71" s="12" t="str" cm="1">
        <f t="array" ref="G71">IFERROR(IF($D71 &lt;&gt;0,ResultValue($C71,COLUMN(H71)-COLUMN($C71))/$D71,""),"")</f>
        <v/>
      </c>
      <c r="H71" s="12" t="str" cm="1">
        <f t="array" ref="H71">IFERROR(IF($D71 &lt;&gt;0,ResultValue($C71,COLUMN(I71)-COLUMN($C71))/$D71,""),"")</f>
        <v/>
      </c>
      <c r="I71" s="12" t="str" cm="1">
        <f t="array" ref="I71">IFERROR(IF($D71 &lt;&gt;0,ResultValue($C71,COLUMN(J71)-COLUMN($C71))/$D71,""),"")</f>
        <v/>
      </c>
      <c r="J71" s="12" t="str" cm="1">
        <f t="array" ref="J71">IFERROR(IF($D71 &lt;&gt;0,ResultValue($C71,COLUMN(K71)-COLUMN($C71))/$D71,""),"")</f>
        <v/>
      </c>
      <c r="K71" s="12" t="str" cm="1">
        <f t="array" ref="K71">IFERROR(IF($D71 &lt;&gt;0,ResultValue($C71,COLUMN(L71)-COLUMN($C71))/$D71,""),"")</f>
        <v/>
      </c>
      <c r="L71" s="12" t="str" cm="1">
        <f t="array" ref="L71">IFERROR(IF($D71 &lt;&gt;0,ResultValue($C71,COLUMN(M71)-COLUMN($C71))/$D71,""),"")</f>
        <v/>
      </c>
      <c r="M71" s="12" t="str" cm="1">
        <f t="array" ref="M71">IFERROR(IF($D71 &lt;&gt;0,ResultValue($C71,COLUMN(N71)-COLUMN($C71))/$D71,""),"")</f>
        <v/>
      </c>
      <c r="N71" s="12" t="str" cm="1">
        <f t="array" ref="N71">IFERROR(IF($D71 &lt;&gt;0,ResultValue($C71,COLUMN(O71)-COLUMN($C71))/$D71,""),"")</f>
        <v/>
      </c>
      <c r="O71" s="12" t="str" cm="1">
        <f t="array" ref="O71">IFERROR(IF($D71 &lt;&gt;0,ResultValue($C71,COLUMN(P71)-COLUMN($C71))/$D71,""),"")</f>
        <v/>
      </c>
      <c r="P71" s="12" t="str" cm="1">
        <f t="array" ref="P71">IFERROR(IF($D71 &lt;&gt;0,ResultValue($C71,COLUMN(Q71)-COLUMN($C71))/$D71,""),"")</f>
        <v/>
      </c>
      <c r="Q71" s="12" t="str" cm="1">
        <f t="array" ref="Q71">IFERROR(IF($D71 &lt;&gt;0,ResultValue($C71,COLUMN(R71)-COLUMN($C71))/$D71,""),"")</f>
        <v/>
      </c>
      <c r="R71" s="12" t="str" cm="1">
        <f t="array" ref="R71">IFERROR(IF($D71 &lt;&gt;0,ResultValue($C71,COLUMN(S71)-COLUMN($C71))/$D71,""),"")</f>
        <v/>
      </c>
      <c r="S71" s="12" t="str" cm="1">
        <f t="array" ref="S71">IFERROR(IF($D71 &lt;&gt;0,ResultValue($C71,COLUMN(T71)-COLUMN($C71))/$D71,""),"")</f>
        <v/>
      </c>
      <c r="T71" s="12" t="str" cm="1">
        <f t="array" ref="T71">IFERROR(IF($D71 &lt;&gt;0,ResultValue($C71,COLUMN(U71)-COLUMN($C71))/$D71,""),"")</f>
        <v/>
      </c>
      <c r="U71" s="12" t="str" cm="1">
        <f t="array" ref="U71">IFERROR(IF($D71 &lt;&gt;0,ResultValue($C71,COLUMN(V71)-COLUMN($C71))/$D71,""),"")</f>
        <v/>
      </c>
      <c r="V71" s="12" t="str" cm="1">
        <f t="array" ref="V71">IFERROR(IF($D71 &lt;&gt;0,ResultValue($C71,COLUMN(W71)-COLUMN($C71))/$D71,""),"")</f>
        <v/>
      </c>
      <c r="W71" s="12" t="str" cm="1">
        <f t="array" ref="W71">IFERROR(IF($D71 &lt;&gt;0,ResultValue($C71,COLUMN(X71)-COLUMN($C71))/$D71,""),"")</f>
        <v/>
      </c>
      <c r="X71" s="12" t="str" cm="1">
        <f t="array" ref="X71">IFERROR(IF($D71 &lt;&gt;0,ResultValue($C71,COLUMN(Y71)-COLUMN($C71))/$D71,""),"")</f>
        <v/>
      </c>
      <c r="Y71" s="12" t="str" cm="1">
        <f t="array" ref="Y71">IFERROR(IF($D71 &lt;&gt;0,ResultValue($C71,COLUMN(Z71)-COLUMN($C71))/$D71,""),"")</f>
        <v/>
      </c>
    </row>
    <row r="72" spans="1:25" x14ac:dyDescent="0.25">
      <c r="A72" t="str">
        <v>Affaldsforbrug Ovn3</v>
      </c>
      <c r="B72" s="54"/>
      <c r="C72" t="str">
        <f>IF(ISBLANK(A34),"",A34)</f>
        <v>Ovn3 tonnage</v>
      </c>
      <c r="D72" s="44">
        <f>B34</f>
        <v>1</v>
      </c>
      <c r="E72" s="12" t="str" cm="1">
        <f t="array" ref="E72">IFERROR(IF($D72 &lt;&gt;0,ResultValue($C72,COLUMN(F72)-COLUMN($C72))/$D72,""),"")</f>
        <v/>
      </c>
      <c r="F72" s="12" t="str" cm="1">
        <f t="array" ref="F72">IFERROR(IF($D72 &lt;&gt;0,ResultValue($C72,COLUMN(G72)-COLUMN($C72))/$D72,""),"")</f>
        <v/>
      </c>
      <c r="G72" s="12" t="str" cm="1">
        <f t="array" ref="G72">IFERROR(IF($D72 &lt;&gt;0,ResultValue($C72,COLUMN(H72)-COLUMN($C72))/$D72,""),"")</f>
        <v/>
      </c>
      <c r="H72" s="12" t="str" cm="1">
        <f t="array" ref="H72">IFERROR(IF($D72 &lt;&gt;0,ResultValue($C72,COLUMN(I72)-COLUMN($C72))/$D72,""),"")</f>
        <v/>
      </c>
      <c r="I72" s="12" t="str" cm="1">
        <f t="array" ref="I72">IFERROR(IF($D72 &lt;&gt;0,ResultValue($C72,COLUMN(J72)-COLUMN($C72))/$D72,""),"")</f>
        <v/>
      </c>
      <c r="J72" s="12" t="str" cm="1">
        <f t="array" ref="J72">IFERROR(IF($D72 &lt;&gt;0,ResultValue($C72,COLUMN(K72)-COLUMN($C72))/$D72,""),"")</f>
        <v/>
      </c>
      <c r="K72" s="12" t="str" cm="1">
        <f t="array" ref="K72">IFERROR(IF($D72 &lt;&gt;0,ResultValue($C72,COLUMN(L72)-COLUMN($C72))/$D72,""),"")</f>
        <v/>
      </c>
      <c r="L72" s="12" t="str" cm="1">
        <f t="array" ref="L72">IFERROR(IF($D72 &lt;&gt;0,ResultValue($C72,COLUMN(M72)-COLUMN($C72))/$D72,""),"")</f>
        <v/>
      </c>
      <c r="M72" s="12" t="str" cm="1">
        <f t="array" ref="M72">IFERROR(IF($D72 &lt;&gt;0,ResultValue($C72,COLUMN(N72)-COLUMN($C72))/$D72,""),"")</f>
        <v/>
      </c>
      <c r="N72" s="12" t="str" cm="1">
        <f t="array" ref="N72">IFERROR(IF($D72 &lt;&gt;0,ResultValue($C72,COLUMN(O72)-COLUMN($C72))/$D72,""),"")</f>
        <v/>
      </c>
      <c r="O72" s="12" t="str" cm="1">
        <f t="array" ref="O72">IFERROR(IF($D72 &lt;&gt;0,ResultValue($C72,COLUMN(P72)-COLUMN($C72))/$D72,""),"")</f>
        <v/>
      </c>
      <c r="P72" s="12" t="str" cm="1">
        <f t="array" ref="P72">IFERROR(IF($D72 &lt;&gt;0,ResultValue($C72,COLUMN(Q72)-COLUMN($C72))/$D72,""),"")</f>
        <v/>
      </c>
      <c r="Q72" s="12" t="str" cm="1">
        <f t="array" ref="Q72">IFERROR(IF($D72 &lt;&gt;0,ResultValue($C72,COLUMN(R72)-COLUMN($C72))/$D72,""),"")</f>
        <v/>
      </c>
      <c r="R72" s="12" t="str" cm="1">
        <f t="array" ref="R72">IFERROR(IF($D72 &lt;&gt;0,ResultValue($C72,COLUMN(S72)-COLUMN($C72))/$D72,""),"")</f>
        <v/>
      </c>
      <c r="S72" s="12" t="str" cm="1">
        <f t="array" ref="S72">IFERROR(IF($D72 &lt;&gt;0,ResultValue($C72,COLUMN(T72)-COLUMN($C72))/$D72,""),"")</f>
        <v/>
      </c>
      <c r="T72" s="12" t="str" cm="1">
        <f t="array" ref="T72">IFERROR(IF($D72 &lt;&gt;0,ResultValue($C72,COLUMN(U72)-COLUMN($C72))/$D72,""),"")</f>
        <v/>
      </c>
      <c r="U72" s="12" t="str" cm="1">
        <f t="array" ref="U72">IFERROR(IF($D72 &lt;&gt;0,ResultValue($C72,COLUMN(V72)-COLUMN($C72))/$D72,""),"")</f>
        <v/>
      </c>
      <c r="V72" s="12" t="str" cm="1">
        <f t="array" ref="V72">IFERROR(IF($D72 &lt;&gt;0,ResultValue($C72,COLUMN(W72)-COLUMN($C72))/$D72,""),"")</f>
        <v/>
      </c>
      <c r="W72" s="12" t="str" cm="1">
        <f t="array" ref="W72">IFERROR(IF($D72 &lt;&gt;0,ResultValue($C72,COLUMN(X72)-COLUMN($C72))/$D72,""),"")</f>
        <v/>
      </c>
      <c r="X72" s="12" t="str" cm="1">
        <f t="array" ref="X72">IFERROR(IF($D72 &lt;&gt;0,ResultValue($C72,COLUMN(Y72)-COLUMN($C72))/$D72,""),"")</f>
        <v/>
      </c>
      <c r="Y72" s="12" t="str" cm="1">
        <f t="array" ref="Y72">IFERROR(IF($D72 &lt;&gt;0,ResultValue($C72,COLUMN(Z72)-COLUMN($C72))/$D72,""),"")</f>
        <v/>
      </c>
    </row>
    <row r="73" spans="1:25" x14ac:dyDescent="0.25">
      <c r="A73" t="str">
        <v>Nordic Sugar varme</v>
      </c>
      <c r="B73" s="54"/>
      <c r="C73" t="str">
        <f>IF(ISBLANK(A35),"",A35)</f>
        <v>Bortkøleanlæg varme</v>
      </c>
      <c r="D73" s="44">
        <f>B35</f>
        <v>1</v>
      </c>
      <c r="E73" s="12" cm="1">
        <f t="array" ref="E73">IFERROR(IF($D73 &lt;&gt;0,ResultValue($C73,COLUMN(F73)-COLUMN($C73))/$D73,""),"")</f>
        <v>0</v>
      </c>
      <c r="F73" s="12" cm="1">
        <f t="array" ref="F73">IFERROR(IF($D73 &lt;&gt;0,ResultValue($C73,COLUMN(G73)-COLUMN($C73))/$D73,""),"")</f>
        <v>0</v>
      </c>
      <c r="G73" s="12" cm="1">
        <f t="array" ref="G73">IFERROR(IF($D73 &lt;&gt;0,ResultValue($C73,COLUMN(H73)-COLUMN($C73))/$D73,""),"")</f>
        <v>0</v>
      </c>
      <c r="H73" s="12" cm="1">
        <f t="array" ref="H73">IFERROR(IF($D73 &lt;&gt;0,ResultValue($C73,COLUMN(I73)-COLUMN($C73))/$D73,""),"")</f>
        <v>0</v>
      </c>
      <c r="I73" s="12" cm="1">
        <f t="array" ref="I73">IFERROR(IF($D73 &lt;&gt;0,ResultValue($C73,COLUMN(J73)-COLUMN($C73))/$D73,""),"")</f>
        <v>0</v>
      </c>
      <c r="J73" s="12" cm="1">
        <f t="array" ref="J73">IFERROR(IF($D73 &lt;&gt;0,ResultValue($C73,COLUMN(K73)-COLUMN($C73))/$D73,""),"")</f>
        <v>0</v>
      </c>
      <c r="K73" s="12" cm="1">
        <f t="array" ref="K73">IFERROR(IF($D73 &lt;&gt;0,ResultValue($C73,COLUMN(L73)-COLUMN($C73))/$D73,""),"")</f>
        <v>0</v>
      </c>
      <c r="L73" s="12" cm="1">
        <f t="array" ref="L73">IFERROR(IF($D73 &lt;&gt;0,ResultValue($C73,COLUMN(M73)-COLUMN($C73))/$D73,""),"")</f>
        <v>0</v>
      </c>
      <c r="M73" s="12" cm="1">
        <f t="array" ref="M73">IFERROR(IF($D73 &lt;&gt;0,ResultValue($C73,COLUMN(N73)-COLUMN($C73))/$D73,""),"")</f>
        <v>0</v>
      </c>
      <c r="N73" s="12" cm="1">
        <f t="array" ref="N73">IFERROR(IF($D73 &lt;&gt;0,ResultValue($C73,COLUMN(O73)-COLUMN($C73))/$D73,""),"")</f>
        <v>0</v>
      </c>
      <c r="O73" s="12" cm="1">
        <f t="array" ref="O73">IFERROR(IF($D73 &lt;&gt;0,ResultValue($C73,COLUMN(P73)-COLUMN($C73))/$D73,""),"")</f>
        <v>0</v>
      </c>
      <c r="P73" s="12" cm="1">
        <f t="array" ref="P73">IFERROR(IF($D73 &lt;&gt;0,ResultValue($C73,COLUMN(Q73)-COLUMN($C73))/$D73,""),"")</f>
        <v>0</v>
      </c>
      <c r="Q73" s="12" cm="1">
        <f t="array" ref="Q73">IFERROR(IF($D73 &lt;&gt;0,ResultValue($C73,COLUMN(R73)-COLUMN($C73))/$D73,""),"")</f>
        <v>0</v>
      </c>
      <c r="R73" s="12" cm="1">
        <f t="array" ref="R73">IFERROR(IF($D73 &lt;&gt;0,ResultValue($C73,COLUMN(S73)-COLUMN($C73))/$D73,""),"")</f>
        <v>0</v>
      </c>
      <c r="S73" s="12" cm="1">
        <f t="array" ref="S73">IFERROR(IF($D73 &lt;&gt;0,ResultValue($C73,COLUMN(T73)-COLUMN($C73))/$D73,""),"")</f>
        <v>0</v>
      </c>
      <c r="T73" s="12" cm="1">
        <f t="array" ref="T73">IFERROR(IF($D73 &lt;&gt;0,ResultValue($C73,COLUMN(U73)-COLUMN($C73))/$D73,""),"")</f>
        <v>0</v>
      </c>
      <c r="U73" s="12" cm="1">
        <f t="array" ref="U73">IFERROR(IF($D73 &lt;&gt;0,ResultValue($C73,COLUMN(V73)-COLUMN($C73))/$D73,""),"")</f>
        <v>0</v>
      </c>
      <c r="V73" s="12" cm="1">
        <f t="array" ref="V73">IFERROR(IF($D73 &lt;&gt;0,ResultValue($C73,COLUMN(W73)-COLUMN($C73))/$D73,""),"")</f>
        <v>0</v>
      </c>
      <c r="W73" s="12" cm="1">
        <f t="array" ref="W73">IFERROR(IF($D73 &lt;&gt;0,ResultValue($C73,COLUMN(X73)-COLUMN($C73))/$D73,""),"")</f>
        <v>0</v>
      </c>
      <c r="X73" s="12" cm="1">
        <f t="array" ref="X73">IFERROR(IF($D73 &lt;&gt;0,ResultValue($C73,COLUMN(Y73)-COLUMN($C73))/$D73,""),"")</f>
        <v>0</v>
      </c>
      <c r="Y73" s="12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54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</row>
    <row r="75" spans="1:25" x14ac:dyDescent="0.25">
      <c r="A75" t="str">
        <v>Affaldsforbrug kølevarme Ovn3</v>
      </c>
      <c r="B75" s="54"/>
      <c r="C75" s="49" t="s">
        <v>240</v>
      </c>
      <c r="D75" s="50"/>
      <c r="E75" s="49" t="s">
        <v>212</v>
      </c>
      <c r="F75" s="51" t="str">
        <f>F53</f>
        <v>sc1</v>
      </c>
      <c r="G75" s="51" t="str">
        <f t="shared" ref="G75:Y75" si="0">G53</f>
        <v>sc2</v>
      </c>
      <c r="H75" s="51" t="str">
        <f t="shared" si="0"/>
        <v>sc3</v>
      </c>
      <c r="I75" s="51" t="str">
        <f t="shared" si="0"/>
        <v>sc4</v>
      </c>
      <c r="J75" s="51" t="str">
        <f t="shared" si="0"/>
        <v>sc5</v>
      </c>
      <c r="K75" s="51" t="str">
        <f t="shared" si="0"/>
        <v>sc6</v>
      </c>
      <c r="L75" s="51" t="str">
        <f t="shared" si="0"/>
        <v>sc7</v>
      </c>
      <c r="M75" s="51" t="str">
        <f t="shared" si="0"/>
        <v>sc8</v>
      </c>
      <c r="N75" s="51" t="str">
        <f t="shared" si="0"/>
        <v>sc9</v>
      </c>
      <c r="O75" s="51" t="str">
        <f t="shared" si="0"/>
        <v>sc10</v>
      </c>
      <c r="P75" s="51" t="str">
        <f t="shared" si="0"/>
        <v>sc11</v>
      </c>
      <c r="Q75" s="51" t="str">
        <f t="shared" si="0"/>
        <v>sc12</v>
      </c>
      <c r="R75" s="51" t="str">
        <f t="shared" si="0"/>
        <v>sc13</v>
      </c>
      <c r="S75" s="51" t="str">
        <f t="shared" si="0"/>
        <v>sc14</v>
      </c>
      <c r="T75" s="51" t="str">
        <f t="shared" si="0"/>
        <v>sc15</v>
      </c>
      <c r="U75" s="51" t="str">
        <f t="shared" si="0"/>
        <v>sc16</v>
      </c>
      <c r="V75" s="51" t="str">
        <f t="shared" si="0"/>
        <v>sc17</v>
      </c>
      <c r="W75" s="51" t="str">
        <f t="shared" si="0"/>
        <v>sc18</v>
      </c>
      <c r="X75" s="51" t="str">
        <f t="shared" si="0"/>
        <v>sc19</v>
      </c>
      <c r="Y75" s="51" t="str">
        <f t="shared" si="0"/>
        <v>sc20</v>
      </c>
    </row>
    <row r="76" spans="1:25" x14ac:dyDescent="0.25">
      <c r="A76" t="str">
        <v>Affaldsforbrug kølevarme Ovn2</v>
      </c>
      <c r="B76" s="54"/>
      <c r="C76" s="41" t="str">
        <f>IF(ISBLANK(A39),"X-værdi mangler",A39)</f>
        <v>RGK-udnyttelse</v>
      </c>
      <c r="D76" s="3" t="s">
        <v>243</v>
      </c>
      <c r="E76" s="22" cm="1">
        <f t="array" ref="E76">_xlfn.LET(_xlpm.inputName,$C76,_xlpm.icol,COLUMN(E54)-1,_xlpm.irow,MATCH(_xlpm.inputName,ranInputNames,0),INDEX(TabelScenInput[],_xlpm.irow+1,_xlpm.icol))</f>
        <v>0.05</v>
      </c>
      <c r="F76" s="22" cm="1">
        <f t="array" ref="F76">_xlfn.LET(_xlpm.inputName,$C76,_xlpm.icol,COLUMN(F54)-1,_xlpm.irow,MATCH(_xlpm.inputName,ranInputNames,0),INDEX(TabelScenInput[],_xlpm.irow+1,_xlpm.icol))</f>
        <v>0.1</v>
      </c>
      <c r="G76" s="22" cm="1">
        <f t="array" ref="G76">_xlfn.LET(_xlpm.inputName,$C76,_xlpm.icol,COLUMN(G54)-1,_xlpm.irow,MATCH(_xlpm.inputName,ranInputNames,0),INDEX(TabelScenInput[],_xlpm.irow+1,_xlpm.icol))</f>
        <v>0.15</v>
      </c>
      <c r="H76" s="22" cm="1">
        <f t="array" ref="H76">_xlfn.LET(_xlpm.inputName,$C76,_xlpm.icol,COLUMN(H54)-1,_xlpm.irow,MATCH(_xlpm.inputName,ranInputNames,0),INDEX(TabelScenInput[],_xlpm.irow+1,_xlpm.icol))</f>
        <v>0.2</v>
      </c>
      <c r="I76" s="22" cm="1">
        <f t="array" ref="I76">_xlfn.LET(_xlpm.inputName,$C76,_xlpm.icol,COLUMN(I54)-1,_xlpm.irow,MATCH(_xlpm.inputName,ranInputNames,0),INDEX(TabelScenInput[],_xlpm.irow+1,_xlpm.icol))</f>
        <v>0.25</v>
      </c>
      <c r="J76" s="22" cm="1">
        <f t="array" ref="J76">_xlfn.LET(_xlpm.inputName,$C76,_xlpm.icol,COLUMN(J54)-1,_xlpm.irow,MATCH(_xlpm.inputName,ranInputNames,0),INDEX(TabelScenInput[],_xlpm.irow+1,_xlpm.icol))</f>
        <v>0.3</v>
      </c>
      <c r="K76" s="22" cm="1">
        <f t="array" ref="K76">_xlfn.LET(_xlpm.inputName,$C76,_xlpm.icol,COLUMN(K54)-1,_xlpm.irow,MATCH(_xlpm.inputName,ranInputNames,0),INDEX(TabelScenInput[],_xlpm.irow+1,_xlpm.icol))</f>
        <v>0.35</v>
      </c>
      <c r="L76" s="22" cm="1">
        <f t="array" ref="L76">_xlfn.LET(_xlpm.inputName,$C76,_xlpm.icol,COLUMN(L54)-1,_xlpm.irow,MATCH(_xlpm.inputName,ranInputNames,0),INDEX(TabelScenInput[],_xlpm.irow+1,_xlpm.icol))</f>
        <v>0.4</v>
      </c>
      <c r="M76" s="22" cm="1">
        <f t="array" ref="M76">_xlfn.LET(_xlpm.inputName,$C76,_xlpm.icol,COLUMN(M54)-1,_xlpm.irow,MATCH(_xlpm.inputName,ranInputNames,0),INDEX(TabelScenInput[],_xlpm.irow+1,_xlpm.icol))</f>
        <v>0.45</v>
      </c>
      <c r="N76" s="22" cm="1">
        <f t="array" ref="N76">_xlfn.LET(_xlpm.inputName,$C76,_xlpm.icol,COLUMN(N54)-1,_xlpm.irow,MATCH(_xlpm.inputName,ranInputNames,0),INDEX(TabelScenInput[],_xlpm.irow+1,_xlpm.icol))</f>
        <v>0.5</v>
      </c>
      <c r="O76" s="22" cm="1">
        <f t="array" ref="O76">_xlfn.LET(_xlpm.inputName,$C76,_xlpm.icol,COLUMN(O54)-1,_xlpm.irow,MATCH(_xlpm.inputName,ranInputNames,0),INDEX(TabelScenInput[],_xlpm.irow+1,_xlpm.icol))</f>
        <v>0.55000000000000004</v>
      </c>
      <c r="P76" s="22" cm="1">
        <f t="array" ref="P76">_xlfn.LET(_xlpm.inputName,$C76,_xlpm.icol,COLUMN(P54)-1,_xlpm.irow,MATCH(_xlpm.inputName,ranInputNames,0),INDEX(TabelScenInput[],_xlpm.irow+1,_xlpm.icol))</f>
        <v>0.6</v>
      </c>
      <c r="Q76" s="22" cm="1">
        <f t="array" ref="Q76">_xlfn.LET(_xlpm.inputName,$C76,_xlpm.icol,COLUMN(Q54)-1,_xlpm.irow,MATCH(_xlpm.inputName,ranInputNames,0),INDEX(TabelScenInput[],_xlpm.irow+1,_xlpm.icol))</f>
        <v>0.65</v>
      </c>
      <c r="R76" s="22" cm="1">
        <f t="array" ref="R76">_xlfn.LET(_xlpm.inputName,$C76,_xlpm.icol,COLUMN(R54)-1,_xlpm.irow,MATCH(_xlpm.inputName,ranInputNames,0),INDEX(TabelScenInput[],_xlpm.irow+1,_xlpm.icol))</f>
        <v>0.7</v>
      </c>
      <c r="S76" s="22" cm="1">
        <f t="array" ref="S76">_xlfn.LET(_xlpm.inputName,$C76,_xlpm.icol,COLUMN(S54)-1,_xlpm.irow,MATCH(_xlpm.inputName,ranInputNames,0),INDEX(TabelScenInput[],_xlpm.irow+1,_xlpm.icol))</f>
        <v>0.75</v>
      </c>
      <c r="T76" s="22" cm="1">
        <f t="array" ref="T76">_xlfn.LET(_xlpm.inputName,$C76,_xlpm.icol,COLUMN(T54)-1,_xlpm.irow,MATCH(_xlpm.inputName,ranInputNames,0),INDEX(TabelScenInput[],_xlpm.irow+1,_xlpm.icol))</f>
        <v>0.8</v>
      </c>
      <c r="U76" s="22" cm="1">
        <f t="array" ref="U76">_xlfn.LET(_xlpm.inputName,$C76,_xlpm.icol,COLUMN(U54)-1,_xlpm.irow,MATCH(_xlpm.inputName,ranInputNames,0),INDEX(TabelScenInput[],_xlpm.irow+1,_xlpm.icol))</f>
        <v>0.85</v>
      </c>
      <c r="V76" s="22" cm="1">
        <f t="array" ref="V76">_xlfn.LET(_xlpm.inputName,$C76,_xlpm.icol,COLUMN(V54)-1,_xlpm.irow,MATCH(_xlpm.inputName,ranInputNames,0),INDEX(TabelScenInput[],_xlpm.irow+1,_xlpm.icol))</f>
        <v>0.9</v>
      </c>
      <c r="W76" s="22" cm="1">
        <f t="array" ref="W76">_xlfn.LET(_xlpm.inputName,$C76,_xlpm.icol,COLUMN(W54)-1,_xlpm.irow,MATCH(_xlpm.inputName,ranInputNames,0),INDEX(TabelScenInput[],_xlpm.irow+1,_xlpm.icol))</f>
        <v>0.95</v>
      </c>
      <c r="X76" s="22" cm="1">
        <f t="array" ref="X76">_xlfn.LET(_xlpm.inputName,$C76,_xlpm.icol,COLUMN(X54)-1,_xlpm.irow,MATCH(_xlpm.inputName,ranInputNames,0),INDEX(TabelScenInput[],_xlpm.irow+1,_xlpm.icol))</f>
        <v>1</v>
      </c>
      <c r="Y76" s="22" t="e" cm="1">
        <f t="array" ref="Y76">_xlfn.LET(_xlpm.inputName,$C76,_xlpm.icol,COLUMN(Y54)-1,_xlpm.irow,MATCH(_xlpm.inputName,ranInputNames,0),INDEX(TabelScenInput[],_xlpm.irow+1,_xlpm.icol))</f>
        <v>#REF!</v>
      </c>
    </row>
    <row r="77" spans="1:25" x14ac:dyDescent="0.25">
      <c r="A77" t="str">
        <v>Udnyttet affald</v>
      </c>
      <c r="B77" s="54"/>
      <c r="C77" s="48" t="str">
        <f>IF(ISBLANK(A40),"",A40)</f>
        <v>RGK-rabat</v>
      </c>
      <c r="D77" s="44">
        <f t="shared" ref="C77:D82" si="1">B40</f>
        <v>1000</v>
      </c>
      <c r="E77" s="12" cm="1">
        <f t="array" ref="E77">IF($D77 &lt;&gt;0,ResultValue($C77,COLUMN(F77)-COLUMN($C77))/$D77,"")</f>
        <v>200.59380181097563</v>
      </c>
      <c r="F77" s="12" cm="1">
        <f t="array" ref="F77">IF($D77 &lt;&gt;0,ResultValue($C77,COLUMN(G77)-COLUMN($C77))/$D77,"")</f>
        <v>0</v>
      </c>
      <c r="G77" s="12" cm="1">
        <f t="array" ref="G77">IF($D77 &lt;&gt;0,ResultValue($C77,COLUMN(H77)-COLUMN($C77))/$D77,"")</f>
        <v>0</v>
      </c>
      <c r="H77" s="12" cm="1">
        <f t="array" ref="H77">IF($D77 &lt;&gt;0,ResultValue($C77,COLUMN(I77)-COLUMN($C77))/$D77,"")</f>
        <v>0</v>
      </c>
      <c r="I77" s="12" cm="1">
        <f t="array" ref="I77">IF($D77 &lt;&gt;0,ResultValue($C77,COLUMN(J77)-COLUMN($C77))/$D77,"")</f>
        <v>0</v>
      </c>
      <c r="J77" s="12" cm="1">
        <f t="array" ref="J77">IF($D77 &lt;&gt;0,ResultValue($C77,COLUMN(K77)-COLUMN($C77))/$D77,"")</f>
        <v>0</v>
      </c>
      <c r="K77" s="12" cm="1">
        <f t="array" ref="K77">IF($D77 &lt;&gt;0,ResultValue($C77,COLUMN(L77)-COLUMN($C77))/$D77,"")</f>
        <v>0</v>
      </c>
      <c r="L77" s="12" cm="1">
        <f t="array" ref="L77">IF($D77 &lt;&gt;0,ResultValue($C77,COLUMN(M77)-COLUMN($C77))/$D77,"")</f>
        <v>0</v>
      </c>
      <c r="M77" s="12" cm="1">
        <f t="array" ref="M77">IF($D77 &lt;&gt;0,ResultValue($C77,COLUMN(N77)-COLUMN($C77))/$D77,"")</f>
        <v>200.59380181097563</v>
      </c>
      <c r="N77" s="12" cm="1">
        <f t="array" ref="N77">IF($D77 &lt;&gt;0,ResultValue($C77,COLUMN(O77)-COLUMN($C77))/$D77,"")</f>
        <v>200.59380181097563</v>
      </c>
      <c r="O77" s="12" cm="1">
        <f t="array" ref="O77">IF($D77 &lt;&gt;0,ResultValue($C77,COLUMN(P77)-COLUMN($C77))/$D77,"")</f>
        <v>200.59380181097563</v>
      </c>
      <c r="P77" s="12" cm="1">
        <f t="array" ref="P77">IF($D77 &lt;&gt;0,ResultValue($C77,COLUMN(Q77)-COLUMN($C77))/$D77,"")</f>
        <v>200.59380181097563</v>
      </c>
      <c r="Q77" s="12" cm="1">
        <f t="array" ref="Q77">IF($D77 &lt;&gt;0,ResultValue($C77,COLUMN(R77)-COLUMN($C77))/$D77,"")</f>
        <v>200.59380181097563</v>
      </c>
      <c r="R77" s="12" cm="1">
        <f t="array" ref="R77">IF($D77 &lt;&gt;0,ResultValue($C77,COLUMN(S77)-COLUMN($C77))/$D77,"")</f>
        <v>200.59380181097563</v>
      </c>
      <c r="S77" s="12" cm="1">
        <f t="array" ref="S77">IF($D77 &lt;&gt;0,ResultValue($C77,COLUMN(T77)-COLUMN($C77))/$D77,"")</f>
        <v>200.59380181097563</v>
      </c>
      <c r="T77" s="12" cm="1">
        <f t="array" ref="T77">IF($D77 &lt;&gt;0,ResultValue($C77,COLUMN(U77)-COLUMN($C77))/$D77,"")</f>
        <v>200.59380181097563</v>
      </c>
      <c r="U77" s="12" cm="1">
        <f t="array" ref="U77">IF($D77 &lt;&gt;0,ResultValue($C77,COLUMN(V77)-COLUMN($C77))/$D77,"")</f>
        <v>200.59380181097563</v>
      </c>
      <c r="V77" s="12" cm="1">
        <f t="array" ref="V77">IF($D77 &lt;&gt;0,ResultValue($C77,COLUMN(W77)-COLUMN($C77))/$D77,"")</f>
        <v>200.59380181097563</v>
      </c>
      <c r="W77" s="12" cm="1">
        <f t="array" ref="W77">IF($D77 &lt;&gt;0,ResultValue($C77,COLUMN(X77)-COLUMN($C77))/$D77,"")</f>
        <v>200.59380181097563</v>
      </c>
      <c r="X77" s="12" cm="1">
        <f t="array" ref="X77">IF($D77 &lt;&gt;0,ResultValue($C77,COLUMN(Y77)-COLUMN($C77))/$D77,"")</f>
        <v>200.59380181097563</v>
      </c>
      <c r="Y77" s="12" cm="1">
        <f t="array" ref="Y77">IF($D77 &lt;&gt;0,ResultValue($C77,COLUMN(Z78)-COLUMN($C77))/$D77,"")</f>
        <v>200.59380181097563</v>
      </c>
    </row>
    <row r="78" spans="1:25" x14ac:dyDescent="0.25">
      <c r="A78" t="str">
        <v>Ikke-udnyttet affald</v>
      </c>
      <c r="B78" s="54"/>
      <c r="C78" s="48" t="str">
        <f t="shared" ref="C78:C86" si="2">IF(ISBLANK(A41),"",A41)</f>
        <v>Modtagebetaling affald</v>
      </c>
      <c r="D78" s="44">
        <f t="shared" si="1"/>
        <v>1000</v>
      </c>
      <c r="E78" s="12" cm="1">
        <f t="array" ref="E78">IF($D78 &lt;&gt;0,ResultValue($C78,COLUMN(F78)-COLUMN($C78))/$D78,"")</f>
        <v>4040.3371902956987</v>
      </c>
      <c r="F78" s="12" cm="1">
        <f t="array" ref="F78">IF($D78 &lt;&gt;0,ResultValue($C78,COLUMN(G78)-COLUMN($C78))/$D78,"")</f>
        <v>4770.4508404332728</v>
      </c>
      <c r="G78" s="12" cm="1">
        <f t="array" ref="G78">IF($D78 &lt;&gt;0,ResultValue($C78,COLUMN(H78)-COLUMN($C78))/$D78,"")</f>
        <v>4724.8930163606619</v>
      </c>
      <c r="H78" s="12" cm="1">
        <f t="array" ref="H78">IF($D78 &lt;&gt;0,ResultValue($C78,COLUMN(I78)-COLUMN($C78))/$D78,"")</f>
        <v>4680.2649437997379</v>
      </c>
      <c r="I78" s="12" cm="1">
        <f t="array" ref="I78">IF($D78 &lt;&gt;0,ResultValue($C78,COLUMN(J78)-COLUMN($C78))/$D78,"")</f>
        <v>4636.5384484622655</v>
      </c>
      <c r="J78" s="12" cm="1">
        <f t="array" ref="J78">IF($D78 &lt;&gt;0,ResultValue($C78,COLUMN(K78)-COLUMN($C78))/$D78,"")</f>
        <v>4593.6864830315435</v>
      </c>
      <c r="K78" s="12" cm="1">
        <f t="array" ref="K78">IF($D78 &lt;&gt;0,ResultValue($C78,COLUMN(L78)-COLUMN($C78))/$D78,"")</f>
        <v>4551.6830713717272</v>
      </c>
      <c r="L78" s="12" cm="1">
        <f t="array" ref="L78">IF($D78 &lt;&gt;0,ResultValue($C78,COLUMN(M78)-COLUMN($C78))/$D78,"")</f>
        <v>4510.5032560189666</v>
      </c>
      <c r="M78" s="12" cm="1">
        <f t="array" ref="M78">IF($D78 &lt;&gt;0,ResultValue($C78,COLUMN(N78)-COLUMN($C78))/$D78,"")</f>
        <v>4470.1230487313078</v>
      </c>
      <c r="N78" s="12" cm="1">
        <f t="array" ref="N78">IF($D78 &lt;&gt;0,ResultValue($C78,COLUMN(O78)-COLUMN($C78))/$D78,"")</f>
        <v>4430.5193838914875</v>
      </c>
      <c r="O78" s="12" cm="1">
        <f t="array" ref="O78">IF($D78 &lt;&gt;0,ResultValue($C78,COLUMN(P78)-COLUMN($C78))/$D78,"")</f>
        <v>4391.6700745724256</v>
      </c>
      <c r="P78" s="12" cm="1">
        <f t="array" ref="P78">IF($D78 &lt;&gt;0,ResultValue($C78,COLUMN(Q78)-COLUMN($C78))/$D78,"")</f>
        <v>4353.5537710895724</v>
      </c>
      <c r="Q78" s="12" cm="1">
        <f t="array" ref="Q78">IF($D78 &lt;&gt;0,ResultValue($C78,COLUMN(R78)-COLUMN($C78))/$D78,"")</f>
        <v>4316.1499218774279</v>
      </c>
      <c r="R78" s="12" cm="1">
        <f t="array" ref="R78">IF($D78 &lt;&gt;0,ResultValue($C78,COLUMN(S78)-COLUMN($C78))/$D78,"")</f>
        <v>4279.4387365395824</v>
      </c>
      <c r="S78" s="12" cm="1">
        <f t="array" ref="S78">IF($D78 &lt;&gt;0,ResultValue($C78,COLUMN(T78)-COLUMN($C78))/$D78,"")</f>
        <v>4243.4011509327056</v>
      </c>
      <c r="T78" s="12" cm="1">
        <f t="array" ref="T78">IF($D78 &lt;&gt;0,ResultValue($C78,COLUMN(U78)-COLUMN($C78))/$D78,"")</f>
        <v>4208.0187941550466</v>
      </c>
      <c r="U78" s="12" cm="1">
        <f t="array" ref="U78">IF($D78 &lt;&gt;0,ResultValue($C78,COLUMN(V78)-COLUMN($C78))/$D78,"")</f>
        <v>4173.2739573193248</v>
      </c>
      <c r="V78" s="12" cm="1">
        <f t="array" ref="V78">IF($D78 &lt;&gt;0,ResultValue($C78,COLUMN(W78)-COLUMN($C78))/$D78,"")</f>
        <v>4139.1495639985287</v>
      </c>
      <c r="W78" s="12" cm="1">
        <f t="array" ref="W78">IF($D78 &lt;&gt;0,ResultValue($C78,COLUMN(X78)-COLUMN($C78))/$D78,"")</f>
        <v>4105.6291422409313</v>
      </c>
      <c r="X78" s="12" cm="1">
        <f t="array" ref="X78">IF($D78 &lt;&gt;0,ResultValue($C78,COLUMN(Y78)-COLUMN($C78))/$D78,"")</f>
        <v>4072.6967980580289</v>
      </c>
      <c r="Y78" s="12" cm="1">
        <f t="array" ref="Y78">IF($D78 &lt;&gt;0,ResultValue($C78,COLUMN(Z79)-COLUMN($C78))/$D78,"")</f>
        <v>4040.3371902956987</v>
      </c>
    </row>
    <row r="79" spans="1:25" x14ac:dyDescent="0.25">
      <c r="A79" t="str">
        <v>Ovn3 tonnagebasis</v>
      </c>
      <c r="B79" s="54"/>
      <c r="C79" s="48" t="str">
        <f t="shared" si="2"/>
        <v/>
      </c>
      <c r="D79" s="44">
        <f t="shared" si="1"/>
        <v>0</v>
      </c>
      <c r="E79" s="12" t="str" cm="1">
        <f t="array" ref="E79">IF($D79 &lt;&gt;0,ResultValue($C79,COLUMN(F79)-COLUMN($C79))/$D79,"")</f>
        <v/>
      </c>
      <c r="F79" s="12" t="str" cm="1">
        <f t="array" ref="F79">IF($D79 &lt;&gt;0,ResultValue($C79,COLUMN(G79)-COLUMN($C79))/$D79,"")</f>
        <v/>
      </c>
      <c r="G79" s="12" t="str" cm="1">
        <f t="array" ref="G79">IF($D79 &lt;&gt;0,ResultValue($C79,COLUMN(H79)-COLUMN($C79))/$D79,"")</f>
        <v/>
      </c>
      <c r="H79" s="12" t="str" cm="1">
        <f t="array" ref="H79">IF($D79 &lt;&gt;0,ResultValue($C79,COLUMN(I79)-COLUMN($C79))/$D79,"")</f>
        <v/>
      </c>
      <c r="I79" s="12" t="str" cm="1">
        <f t="array" ref="I79">IF($D79 &lt;&gt;0,ResultValue($C79,COLUMN(J79)-COLUMN($C79))/$D79,"")</f>
        <v/>
      </c>
      <c r="J79" s="12" t="str" cm="1">
        <f t="array" ref="J79">IF($D79 &lt;&gt;0,ResultValue($C79,COLUMN(K79)-COLUMN($C79))/$D79,"")</f>
        <v/>
      </c>
      <c r="K79" s="12" t="str" cm="1">
        <f t="array" ref="K79">IF($D79 &lt;&gt;0,ResultValue($C79,COLUMN(L79)-COLUMN($C79))/$D79,"")</f>
        <v/>
      </c>
      <c r="L79" s="12" t="str" cm="1">
        <f t="array" ref="L79">IF($D79 &lt;&gt;0,ResultValue($C79,COLUMN(M79)-COLUMN($C79))/$D79,"")</f>
        <v/>
      </c>
      <c r="M79" s="12" t="str" cm="1">
        <f t="array" ref="M79">IF($D79 &lt;&gt;0,ResultValue($C79,COLUMN(N79)-COLUMN($C79))/$D79,"")</f>
        <v/>
      </c>
      <c r="N79" s="12" t="str" cm="1">
        <f t="array" ref="N79">IF($D79 &lt;&gt;0,ResultValue($C79,COLUMN(O79)-COLUMN($C79))/$D79,"")</f>
        <v/>
      </c>
      <c r="O79" s="12" t="str" cm="1">
        <f t="array" ref="O79">IF($D79 &lt;&gt;0,ResultValue($C79,COLUMN(P79)-COLUMN($C79))/$D79,"")</f>
        <v/>
      </c>
      <c r="P79" s="12" t="str" cm="1">
        <f t="array" ref="P79">IF($D79 &lt;&gt;0,ResultValue($C79,COLUMN(Q79)-COLUMN($C79))/$D79,"")</f>
        <v/>
      </c>
      <c r="Q79" s="12" t="str" cm="1">
        <f t="array" ref="Q79">IF($D79 &lt;&gt;0,ResultValue($C79,COLUMN(R79)-COLUMN($C79))/$D79,"")</f>
        <v/>
      </c>
      <c r="R79" s="12" t="str" cm="1">
        <f t="array" ref="R79">IF($D79 &lt;&gt;0,ResultValue($C79,COLUMN(S79)-COLUMN($C79))/$D79,"")</f>
        <v/>
      </c>
      <c r="S79" s="12" t="str" cm="1">
        <f t="array" ref="S79">IF($D79 &lt;&gt;0,ResultValue($C79,COLUMN(T79)-COLUMN($C79))/$D79,"")</f>
        <v/>
      </c>
      <c r="T79" s="12" t="str" cm="1">
        <f t="array" ref="T79">IF($D79 &lt;&gt;0,ResultValue($C79,COLUMN(U79)-COLUMN($C79))/$D79,"")</f>
        <v/>
      </c>
      <c r="U79" s="12" t="str" cm="1">
        <f t="array" ref="U79">IF($D79 &lt;&gt;0,ResultValue($C79,COLUMN(V79)-COLUMN($C79))/$D79,"")</f>
        <v/>
      </c>
      <c r="V79" s="12" t="str" cm="1">
        <f t="array" ref="V79">IF($D79 &lt;&gt;0,ResultValue($C79,COLUMN(W79)-COLUMN($C79))/$D79,"")</f>
        <v/>
      </c>
      <c r="W79" s="12" t="str" cm="1">
        <f t="array" ref="W79">IF($D79 &lt;&gt;0,ResultValue($C79,COLUMN(X79)-COLUMN($C79))/$D79,"")</f>
        <v/>
      </c>
      <c r="X79" s="12" t="str" cm="1">
        <f t="array" ref="X79">IF($D79 &lt;&gt;0,ResultValue($C79,COLUMN(Y79)-COLUMN($C79))/$D79,"")</f>
        <v/>
      </c>
      <c r="Y79" s="12" t="str" cm="1">
        <f t="array" ref="Y79">IF($D79 &lt;&gt;0,ResultValue($C79,COLUMN(Z80)-COLUMN($C79))/$D79,"")</f>
        <v/>
      </c>
    </row>
    <row r="80" spans="1:25" x14ac:dyDescent="0.25">
      <c r="A80" t="str">
        <v>Ovn2 tonnagebasis</v>
      </c>
      <c r="B80" s="54"/>
      <c r="C80" s="48" t="str">
        <f t="shared" si="2"/>
        <v/>
      </c>
      <c r="D80" s="44">
        <f t="shared" si="1"/>
        <v>0</v>
      </c>
      <c r="E80" s="12" t="str" cm="1">
        <f t="array" ref="E80">IF($D80 &lt;&gt;0,ResultValue($C80,COLUMN(F80)-COLUMN($C80))/$D80,"")</f>
        <v/>
      </c>
      <c r="F80" s="12" t="str" cm="1">
        <f t="array" ref="F80">IF($D80 &lt;&gt;0,ResultValue($C80,COLUMN(G80)-COLUMN($C80))/$D80,"")</f>
        <v/>
      </c>
      <c r="G80" s="12" t="str" cm="1">
        <f t="array" ref="G80">IF($D80 &lt;&gt;0,ResultValue($C80,COLUMN(H80)-COLUMN($C80))/$D80,"")</f>
        <v/>
      </c>
      <c r="H80" s="12" t="str" cm="1">
        <f t="array" ref="H80">IF($D80 &lt;&gt;0,ResultValue($C80,COLUMN(I80)-COLUMN($C80))/$D80,"")</f>
        <v/>
      </c>
      <c r="I80" s="12" t="str" cm="1">
        <f t="array" ref="I80">IF($D80 &lt;&gt;0,ResultValue($C80,COLUMN(J80)-COLUMN($C80))/$D80,"")</f>
        <v/>
      </c>
      <c r="J80" s="12" t="str" cm="1">
        <f t="array" ref="J80">IF($D80 &lt;&gt;0,ResultValue($C80,COLUMN(K80)-COLUMN($C80))/$D80,"")</f>
        <v/>
      </c>
      <c r="K80" s="12" t="str" cm="1">
        <f t="array" ref="K80">IF($D80 &lt;&gt;0,ResultValue($C80,COLUMN(L80)-COLUMN($C80))/$D80,"")</f>
        <v/>
      </c>
      <c r="L80" s="12" t="str" cm="1">
        <f t="array" ref="L80">IF($D80 &lt;&gt;0,ResultValue($C80,COLUMN(M80)-COLUMN($C80))/$D80,"")</f>
        <v/>
      </c>
      <c r="M80" s="12" t="str" cm="1">
        <f t="array" ref="M80">IF($D80 &lt;&gt;0,ResultValue($C80,COLUMN(N80)-COLUMN($C80))/$D80,"")</f>
        <v/>
      </c>
      <c r="N80" s="12" t="str" cm="1">
        <f t="array" ref="N80">IF($D80 &lt;&gt;0,ResultValue($C80,COLUMN(O80)-COLUMN($C80))/$D80,"")</f>
        <v/>
      </c>
      <c r="O80" s="12" t="str" cm="1">
        <f t="array" ref="O80">IF($D80 &lt;&gt;0,ResultValue($C80,COLUMN(P80)-COLUMN($C80))/$D80,"")</f>
        <v/>
      </c>
      <c r="P80" s="12" t="str" cm="1">
        <f t="array" ref="P80">IF($D80 &lt;&gt;0,ResultValue($C80,COLUMN(Q80)-COLUMN($C80))/$D80,"")</f>
        <v/>
      </c>
      <c r="Q80" s="12" t="str" cm="1">
        <f t="array" ref="Q80">IF($D80 &lt;&gt;0,ResultValue($C80,COLUMN(R80)-COLUMN($C80))/$D80,"")</f>
        <v/>
      </c>
      <c r="R80" s="12" t="str" cm="1">
        <f t="array" ref="R80">IF($D80 &lt;&gt;0,ResultValue($C80,COLUMN(S80)-COLUMN($C80))/$D80,"")</f>
        <v/>
      </c>
      <c r="S80" s="12" t="str" cm="1">
        <f t="array" ref="S80">IF($D80 &lt;&gt;0,ResultValue($C80,COLUMN(T80)-COLUMN($C80))/$D80,"")</f>
        <v/>
      </c>
      <c r="T80" s="12" t="str" cm="1">
        <f t="array" ref="T80">IF($D80 &lt;&gt;0,ResultValue($C80,COLUMN(U80)-COLUMN($C80))/$D80,"")</f>
        <v/>
      </c>
      <c r="U80" s="12" t="str" cm="1">
        <f t="array" ref="U80">IF($D80 &lt;&gt;0,ResultValue($C80,COLUMN(V80)-COLUMN($C80))/$D80,"")</f>
        <v/>
      </c>
      <c r="V80" s="12" t="str" cm="1">
        <f t="array" ref="V80">IF($D80 &lt;&gt;0,ResultValue($C80,COLUMN(W80)-COLUMN($C80))/$D80,"")</f>
        <v/>
      </c>
      <c r="W80" s="12" t="str" cm="1">
        <f t="array" ref="W80">IF($D80 &lt;&gt;0,ResultValue($C80,COLUMN(X80)-COLUMN($C80))/$D80,"")</f>
        <v/>
      </c>
      <c r="X80" s="12" t="str" cm="1">
        <f t="array" ref="X80">IF($D80 &lt;&gt;0,ResultValue($C80,COLUMN(Y80)-COLUMN($C80))/$D80,"")</f>
        <v/>
      </c>
      <c r="Y80" s="12" t="str" cm="1">
        <f t="array" ref="Y80">IF($D80 &lt;&gt;0,ResultValue($C80,COLUMN(Z81)-COLUMN($C80))/$D80,"")</f>
        <v/>
      </c>
    </row>
    <row r="81" spans="1:25" x14ac:dyDescent="0.25">
      <c r="A81" t="str">
        <v>Bortkøleanlæg varme</v>
      </c>
      <c r="B81" s="54"/>
      <c r="C81" s="48" t="str">
        <f t="shared" si="2"/>
        <v/>
      </c>
      <c r="D81" s="44">
        <f t="shared" si="1"/>
        <v>0</v>
      </c>
      <c r="E81" s="12" t="str" cm="1">
        <f t="array" ref="E81">IF($D81 &lt;&gt;0,ResultValue($C81,COLUMN(F81)-COLUMN($C81))/$D81,"")</f>
        <v/>
      </c>
      <c r="F81" s="12" t="str" cm="1">
        <f t="array" ref="F81">IF($D81 &lt;&gt;0,ResultValue($C81,COLUMN(G81)-COLUMN($C81))/$D81,"")</f>
        <v/>
      </c>
      <c r="G81" s="12" t="str" cm="1">
        <f t="array" ref="G81">IF($D81 &lt;&gt;0,ResultValue($C81,COLUMN(H81)-COLUMN($C81))/$D81,"")</f>
        <v/>
      </c>
      <c r="H81" s="12" t="str" cm="1">
        <f t="array" ref="H81">IF($D81 &lt;&gt;0,ResultValue($C81,COLUMN(I81)-COLUMN($C81))/$D81,"")</f>
        <v/>
      </c>
      <c r="I81" s="12" t="str" cm="1">
        <f t="array" ref="I81">IF($D81 &lt;&gt;0,ResultValue($C81,COLUMN(J81)-COLUMN($C81))/$D81,"")</f>
        <v/>
      </c>
      <c r="J81" s="12" t="str" cm="1">
        <f t="array" ref="J81">IF($D81 &lt;&gt;0,ResultValue($C81,COLUMN(K81)-COLUMN($C81))/$D81,"")</f>
        <v/>
      </c>
      <c r="K81" s="12" t="str" cm="1">
        <f t="array" ref="K81">IF($D81 &lt;&gt;0,ResultValue($C81,COLUMN(L81)-COLUMN($C81))/$D81,"")</f>
        <v/>
      </c>
      <c r="L81" s="12" t="str" cm="1">
        <f t="array" ref="L81">IF($D81 &lt;&gt;0,ResultValue($C81,COLUMN(M81)-COLUMN($C81))/$D81,"")</f>
        <v/>
      </c>
      <c r="M81" s="12" t="str" cm="1">
        <f t="array" ref="M81">IF($D81 &lt;&gt;0,ResultValue($C81,COLUMN(N81)-COLUMN($C81))/$D81,"")</f>
        <v/>
      </c>
      <c r="N81" s="12" t="str" cm="1">
        <f t="array" ref="N81">IF($D81 &lt;&gt;0,ResultValue($C81,COLUMN(O81)-COLUMN($C81))/$D81,"")</f>
        <v/>
      </c>
      <c r="O81" s="12" t="str" cm="1">
        <f t="array" ref="O81">IF($D81 &lt;&gt;0,ResultValue($C81,COLUMN(P81)-COLUMN($C81))/$D81,"")</f>
        <v/>
      </c>
      <c r="P81" s="12" t="str" cm="1">
        <f t="array" ref="P81">IF($D81 &lt;&gt;0,ResultValue($C81,COLUMN(Q81)-COLUMN($C81))/$D81,"")</f>
        <v/>
      </c>
      <c r="Q81" s="12" t="str" cm="1">
        <f t="array" ref="Q81">IF($D81 &lt;&gt;0,ResultValue($C81,COLUMN(R81)-COLUMN($C81))/$D81,"")</f>
        <v/>
      </c>
      <c r="R81" s="12" t="str" cm="1">
        <f t="array" ref="R81">IF($D81 &lt;&gt;0,ResultValue($C81,COLUMN(S81)-COLUMN($C81))/$D81,"")</f>
        <v/>
      </c>
      <c r="S81" s="12" t="str" cm="1">
        <f t="array" ref="S81">IF($D81 &lt;&gt;0,ResultValue($C81,COLUMN(T81)-COLUMN($C81))/$D81,"")</f>
        <v/>
      </c>
      <c r="T81" s="12" t="str" cm="1">
        <f t="array" ref="T81">IF($D81 &lt;&gt;0,ResultValue($C81,COLUMN(U81)-COLUMN($C81))/$D81,"")</f>
        <v/>
      </c>
      <c r="U81" s="12" t="str" cm="1">
        <f t="array" ref="U81">IF($D81 &lt;&gt;0,ResultValue($C81,COLUMN(V81)-COLUMN($C81))/$D81,"")</f>
        <v/>
      </c>
      <c r="V81" s="12" t="str" cm="1">
        <f t="array" ref="V81">IF($D81 &lt;&gt;0,ResultValue($C81,COLUMN(W81)-COLUMN($C81))/$D81,"")</f>
        <v/>
      </c>
      <c r="W81" s="12" t="str" cm="1">
        <f t="array" ref="W81">IF($D81 &lt;&gt;0,ResultValue($C81,COLUMN(X81)-COLUMN($C81))/$D81,"")</f>
        <v/>
      </c>
      <c r="X81" s="12" t="str" cm="1">
        <f t="array" ref="X81">IF($D81 &lt;&gt;0,ResultValue($C81,COLUMN(Y81)-COLUMN($C81))/$D81,"")</f>
        <v/>
      </c>
      <c r="Y81" s="12" t="str" cm="1">
        <f t="array" ref="Y81">IF($D81 &lt;&gt;0,ResultValue($C81,COLUMN(Z82)-COLUMN($C81))/$D81,"")</f>
        <v/>
      </c>
    </row>
    <row r="82" spans="1:25" x14ac:dyDescent="0.25">
      <c r="A82" s="54"/>
      <c r="B82" s="54"/>
      <c r="C82" s="48" t="str">
        <f t="shared" si="2"/>
        <v/>
      </c>
      <c r="D82" s="44">
        <f t="shared" si="1"/>
        <v>0</v>
      </c>
      <c r="E82" s="12" t="str" cm="1">
        <f t="array" ref="E82">IF($D82 &lt;&gt;0,ResultValue($C82,COLUMN(F82)-COLUMN($C82))/$D82,"")</f>
        <v/>
      </c>
      <c r="F82" s="12" t="str" cm="1">
        <f t="array" ref="F82">IF($D82 &lt;&gt;0,ResultValue($C82,COLUMN(G82)-COLUMN($C82))/$D82,"")</f>
        <v/>
      </c>
      <c r="G82" s="12" t="str" cm="1">
        <f t="array" ref="G82">IF($D82 &lt;&gt;0,ResultValue($C82,COLUMN(H82)-COLUMN($C82))/$D82,"")</f>
        <v/>
      </c>
      <c r="H82" s="12" t="str" cm="1">
        <f t="array" ref="H82">IF($D82 &lt;&gt;0,ResultValue($C82,COLUMN(I82)-COLUMN($C82))/$D82,"")</f>
        <v/>
      </c>
      <c r="I82" s="12" t="str" cm="1">
        <f t="array" ref="I82">IF($D82 &lt;&gt;0,ResultValue($C82,COLUMN(J82)-COLUMN($C82))/$D82,"")</f>
        <v/>
      </c>
      <c r="J82" s="12" t="str" cm="1">
        <f t="array" ref="J82">IF($D82 &lt;&gt;0,ResultValue($C82,COLUMN(K82)-COLUMN($C82))/$D82,"")</f>
        <v/>
      </c>
      <c r="K82" s="12" t="str" cm="1">
        <f t="array" ref="K82">IF($D82 &lt;&gt;0,ResultValue($C82,COLUMN(L82)-COLUMN($C82))/$D82,"")</f>
        <v/>
      </c>
      <c r="L82" s="12" t="str" cm="1">
        <f t="array" ref="L82">IF($D82 &lt;&gt;0,ResultValue($C82,COLUMN(M82)-COLUMN($C82))/$D82,"")</f>
        <v/>
      </c>
      <c r="M82" s="12" t="str" cm="1">
        <f t="array" ref="M82">IF($D82 &lt;&gt;0,ResultValue($C82,COLUMN(N82)-COLUMN($C82))/$D82,"")</f>
        <v/>
      </c>
      <c r="N82" s="12" t="str" cm="1">
        <f t="array" ref="N82">IF($D82 &lt;&gt;0,ResultValue($C82,COLUMN(O82)-COLUMN($C82))/$D82,"")</f>
        <v/>
      </c>
      <c r="O82" s="12" t="str" cm="1">
        <f t="array" ref="O82">IF($D82 &lt;&gt;0,ResultValue($C82,COLUMN(P82)-COLUMN($C82))/$D82,"")</f>
        <v/>
      </c>
      <c r="P82" s="12" t="str" cm="1">
        <f t="array" ref="P82">IF($D82 &lt;&gt;0,ResultValue($C82,COLUMN(Q82)-COLUMN($C82))/$D82,"")</f>
        <v/>
      </c>
      <c r="Q82" s="12" t="str" cm="1">
        <f t="array" ref="Q82">IF($D82 &lt;&gt;0,ResultValue($C82,COLUMN(R82)-COLUMN($C82))/$D82,"")</f>
        <v/>
      </c>
      <c r="R82" s="12" t="str" cm="1">
        <f t="array" ref="R82">IF($D82 &lt;&gt;0,ResultValue($C82,COLUMN(S82)-COLUMN($C82))/$D82,"")</f>
        <v/>
      </c>
      <c r="S82" s="12" t="str" cm="1">
        <f t="array" ref="S82">IF($D82 &lt;&gt;0,ResultValue($C82,COLUMN(T82)-COLUMN($C82))/$D82,"")</f>
        <v/>
      </c>
      <c r="T82" s="12" t="str" cm="1">
        <f t="array" ref="T82">IF($D82 &lt;&gt;0,ResultValue($C82,COLUMN(U82)-COLUMN($C82))/$D82,"")</f>
        <v/>
      </c>
      <c r="U82" s="12" t="str" cm="1">
        <f t="array" ref="U82">IF($D82 &lt;&gt;0,ResultValue($C82,COLUMN(V82)-COLUMN($C82))/$D82,"")</f>
        <v/>
      </c>
      <c r="V82" s="12" t="str" cm="1">
        <f t="array" ref="V82">IF($D82 &lt;&gt;0,ResultValue($C82,COLUMN(W82)-COLUMN($C82))/$D82,"")</f>
        <v/>
      </c>
      <c r="W82" s="12" t="str" cm="1">
        <f t="array" ref="W82">IF($D82 &lt;&gt;0,ResultValue($C82,COLUMN(X82)-COLUMN($C82))/$D82,"")</f>
        <v/>
      </c>
      <c r="X82" s="12" t="str" cm="1">
        <f t="array" ref="X82">IF($D82 &lt;&gt;0,ResultValue($C82,COLUMN(Y82)-COLUMN($C82))/$D82,"")</f>
        <v/>
      </c>
      <c r="Y82" s="12" t="str" cm="1">
        <f t="array" ref="Y82">IF($D82 &lt;&gt;0,ResultValue($C82,COLUMN(Z83)-COLUMN($C82))/$D82,"")</f>
        <v/>
      </c>
    </row>
    <row r="83" spans="1:25" x14ac:dyDescent="0.25">
      <c r="A83" s="54"/>
      <c r="B83" s="54"/>
      <c r="C83" s="48" t="str">
        <f t="shared" si="2"/>
        <v/>
      </c>
      <c r="D83" s="44">
        <f t="shared" ref="D83:D86" si="3">B46</f>
        <v>0</v>
      </c>
      <c r="E83" s="12" t="str" cm="1">
        <f t="array" ref="E83">IF($D83 &lt;&gt;0,ResultValue($C83,COLUMN(F83)-COLUMN($C83))/$D83,"")</f>
        <v/>
      </c>
      <c r="F83" s="12" t="str" cm="1">
        <f t="array" ref="F83">IF($D83 &lt;&gt;0,ResultValue($C83,COLUMN(G83)-COLUMN($C83))/$D83,"")</f>
        <v/>
      </c>
      <c r="G83" s="12" t="str" cm="1">
        <f t="array" ref="G83">IF($D83 &lt;&gt;0,ResultValue($C83,COLUMN(H83)-COLUMN($C83))/$D83,"")</f>
        <v/>
      </c>
      <c r="H83" s="12" t="str" cm="1">
        <f t="array" ref="H83">IF($D83 &lt;&gt;0,ResultValue($C83,COLUMN(I83)-COLUMN($C83))/$D83,"")</f>
        <v/>
      </c>
      <c r="I83" s="12" t="str" cm="1">
        <f t="array" ref="I83">IF($D83 &lt;&gt;0,ResultValue($C83,COLUMN(J83)-COLUMN($C83))/$D83,"")</f>
        <v/>
      </c>
      <c r="J83" s="12" t="str" cm="1">
        <f t="array" ref="J83">IF($D83 &lt;&gt;0,ResultValue($C83,COLUMN(K83)-COLUMN($C83))/$D83,"")</f>
        <v/>
      </c>
      <c r="K83" s="12" t="str" cm="1">
        <f t="array" ref="K83">IF($D83 &lt;&gt;0,ResultValue($C83,COLUMN(L83)-COLUMN($C83))/$D83,"")</f>
        <v/>
      </c>
      <c r="L83" s="12" t="str" cm="1">
        <f t="array" ref="L83">IF($D83 &lt;&gt;0,ResultValue($C83,COLUMN(M83)-COLUMN($C83))/$D83,"")</f>
        <v/>
      </c>
      <c r="M83" s="12" t="str" cm="1">
        <f t="array" ref="M83">IF($D83 &lt;&gt;0,ResultValue($C83,COLUMN(N83)-COLUMN($C83))/$D83,"")</f>
        <v/>
      </c>
      <c r="N83" s="12" t="str" cm="1">
        <f t="array" ref="N83">IF($D83 &lt;&gt;0,ResultValue($C83,COLUMN(O83)-COLUMN($C83))/$D83,"")</f>
        <v/>
      </c>
      <c r="O83" s="12" t="str" cm="1">
        <f t="array" ref="O83">IF($D83 &lt;&gt;0,ResultValue($C83,COLUMN(P83)-COLUMN($C83))/$D83,"")</f>
        <v/>
      </c>
      <c r="P83" s="12" t="str" cm="1">
        <f t="array" ref="P83">IF($D83 &lt;&gt;0,ResultValue($C83,COLUMN(Q83)-COLUMN($C83))/$D83,"")</f>
        <v/>
      </c>
      <c r="Q83" s="12" t="str" cm="1">
        <f t="array" ref="Q83">IF($D83 &lt;&gt;0,ResultValue($C83,COLUMN(R83)-COLUMN($C83))/$D83,"")</f>
        <v/>
      </c>
      <c r="R83" s="12" t="str" cm="1">
        <f t="array" ref="R83">IF($D83 &lt;&gt;0,ResultValue($C83,COLUMN(S83)-COLUMN($C83))/$D83,"")</f>
        <v/>
      </c>
      <c r="S83" s="12" t="str" cm="1">
        <f t="array" ref="S83">IF($D83 &lt;&gt;0,ResultValue($C83,COLUMN(T83)-COLUMN($C83))/$D83,"")</f>
        <v/>
      </c>
      <c r="T83" s="12" t="str" cm="1">
        <f t="array" ref="T83">IF($D83 &lt;&gt;0,ResultValue($C83,COLUMN(U83)-COLUMN($C83))/$D83,"")</f>
        <v/>
      </c>
      <c r="U83" s="12" t="str" cm="1">
        <f t="array" ref="U83">IF($D83 &lt;&gt;0,ResultValue($C83,COLUMN(V83)-COLUMN($C83))/$D83,"")</f>
        <v/>
      </c>
      <c r="V83" s="12" t="str" cm="1">
        <f t="array" ref="V83">IF($D83 &lt;&gt;0,ResultValue($C83,COLUMN(W83)-COLUMN($C83))/$D83,"")</f>
        <v/>
      </c>
      <c r="W83" s="12" t="str" cm="1">
        <f t="array" ref="W83">IF($D83 &lt;&gt;0,ResultValue($C83,COLUMN(X83)-COLUMN($C83))/$D83,"")</f>
        <v/>
      </c>
      <c r="X83" s="12" t="str" cm="1">
        <f t="array" ref="X83">IF($D83 &lt;&gt;0,ResultValue($C83,COLUMN(Y83)-COLUMN($C83))/$D83,"")</f>
        <v/>
      </c>
      <c r="Y83" s="12" t="str" cm="1">
        <f t="array" ref="Y83">IF($D83 &lt;&gt;0,ResultValue($C83,COLUMN(Z84)-COLUMN($C83))/$D83,"")</f>
        <v/>
      </c>
    </row>
    <row r="84" spans="1:25" x14ac:dyDescent="0.25">
      <c r="A84" s="54"/>
      <c r="B84" s="54"/>
      <c r="C84" s="48" t="str">
        <f t="shared" si="2"/>
        <v/>
      </c>
      <c r="D84" s="44">
        <f t="shared" si="3"/>
        <v>0</v>
      </c>
      <c r="E84" s="12" t="str" cm="1">
        <f t="array" ref="E84">IF($D84 &lt;&gt;0,ResultValue($C84,COLUMN(F84)-COLUMN($C84))/$D84,"")</f>
        <v/>
      </c>
      <c r="F84" s="12" t="str" cm="1">
        <f t="array" ref="F84">IF($D84 &lt;&gt;0,ResultValue($C84,COLUMN(G84)-COLUMN($C84))/$D84,"")</f>
        <v/>
      </c>
      <c r="G84" s="12" t="str" cm="1">
        <f t="array" ref="G84">IF($D84 &lt;&gt;0,ResultValue($C84,COLUMN(H84)-COLUMN($C84))/$D84,"")</f>
        <v/>
      </c>
      <c r="H84" s="12" t="str" cm="1">
        <f t="array" ref="H84">IF($D84 &lt;&gt;0,ResultValue($C84,COLUMN(I84)-COLUMN($C84))/$D84,"")</f>
        <v/>
      </c>
      <c r="I84" s="12" t="str" cm="1">
        <f t="array" ref="I84">IF($D84 &lt;&gt;0,ResultValue($C84,COLUMN(J84)-COLUMN($C84))/$D84,"")</f>
        <v/>
      </c>
      <c r="J84" s="12" t="str" cm="1">
        <f t="array" ref="J84">IF($D84 &lt;&gt;0,ResultValue($C84,COLUMN(K84)-COLUMN($C84))/$D84,"")</f>
        <v/>
      </c>
      <c r="K84" s="12" t="str" cm="1">
        <f t="array" ref="K84">IF($D84 &lt;&gt;0,ResultValue($C84,COLUMN(L84)-COLUMN($C84))/$D84,"")</f>
        <v/>
      </c>
      <c r="L84" s="12" t="str" cm="1">
        <f t="array" ref="L84">IF($D84 &lt;&gt;0,ResultValue($C84,COLUMN(M84)-COLUMN($C84))/$D84,"")</f>
        <v/>
      </c>
      <c r="M84" s="12" t="str" cm="1">
        <f t="array" ref="M84">IF($D84 &lt;&gt;0,ResultValue($C84,COLUMN(N84)-COLUMN($C84))/$D84,"")</f>
        <v/>
      </c>
      <c r="N84" s="12" t="str" cm="1">
        <f t="array" ref="N84">IF($D84 &lt;&gt;0,ResultValue($C84,COLUMN(O84)-COLUMN($C84))/$D84,"")</f>
        <v/>
      </c>
      <c r="O84" s="12" t="str" cm="1">
        <f t="array" ref="O84">IF($D84 &lt;&gt;0,ResultValue($C84,COLUMN(P84)-COLUMN($C84))/$D84,"")</f>
        <v/>
      </c>
      <c r="P84" s="12" t="str" cm="1">
        <f t="array" ref="P84">IF($D84 &lt;&gt;0,ResultValue($C84,COLUMN(Q84)-COLUMN($C84))/$D84,"")</f>
        <v/>
      </c>
      <c r="Q84" s="12" t="str" cm="1">
        <f t="array" ref="Q84">IF($D84 &lt;&gt;0,ResultValue($C84,COLUMN(R84)-COLUMN($C84))/$D84,"")</f>
        <v/>
      </c>
      <c r="R84" s="12" t="str" cm="1">
        <f t="array" ref="R84">IF($D84 &lt;&gt;0,ResultValue($C84,COLUMN(S84)-COLUMN($C84))/$D84,"")</f>
        <v/>
      </c>
      <c r="S84" s="12" t="str" cm="1">
        <f t="array" ref="S84">IF($D84 &lt;&gt;0,ResultValue($C84,COLUMN(T84)-COLUMN($C84))/$D84,"")</f>
        <v/>
      </c>
      <c r="T84" s="12" t="str" cm="1">
        <f t="array" ref="T84">IF($D84 &lt;&gt;0,ResultValue($C84,COLUMN(U84)-COLUMN($C84))/$D84,"")</f>
        <v/>
      </c>
      <c r="U84" s="12" t="str" cm="1">
        <f t="array" ref="U84">IF($D84 &lt;&gt;0,ResultValue($C84,COLUMN(V84)-COLUMN($C84))/$D84,"")</f>
        <v/>
      </c>
      <c r="V84" s="12" t="str" cm="1">
        <f t="array" ref="V84">IF($D84 &lt;&gt;0,ResultValue($C84,COLUMN(W84)-COLUMN($C84))/$D84,"")</f>
        <v/>
      </c>
      <c r="W84" s="12" t="str" cm="1">
        <f t="array" ref="W84">IF($D84 &lt;&gt;0,ResultValue($C84,COLUMN(X84)-COLUMN($C84))/$D84,"")</f>
        <v/>
      </c>
      <c r="X84" s="12" t="str" cm="1">
        <f t="array" ref="X84">IF($D84 &lt;&gt;0,ResultValue($C84,COLUMN(Y84)-COLUMN($C84))/$D84,"")</f>
        <v/>
      </c>
      <c r="Y84" s="12" t="str" cm="1">
        <f t="array" ref="Y84">IF($D84 &lt;&gt;0,ResultValue($C84,COLUMN(Z85)-COLUMN($C84))/$D84,"")</f>
        <v/>
      </c>
    </row>
    <row r="85" spans="1:25" x14ac:dyDescent="0.25">
      <c r="A85" s="54"/>
      <c r="B85" s="54"/>
      <c r="C85" s="48" t="str">
        <f t="shared" si="2"/>
        <v/>
      </c>
      <c r="D85" s="44">
        <f t="shared" si="3"/>
        <v>0</v>
      </c>
      <c r="E85" s="12" t="str" cm="1">
        <f t="array" ref="E85">IF($D85 &lt;&gt;0,ResultValue($C85,COLUMN(F85)-COLUMN($C85))/$D85,"")</f>
        <v/>
      </c>
      <c r="F85" s="12" t="str" cm="1">
        <f t="array" ref="F85">IF($D85 &lt;&gt;0,ResultValue($C85,COLUMN(G85)-COLUMN($C85))/$D85,"")</f>
        <v/>
      </c>
      <c r="G85" s="12" t="str" cm="1">
        <f t="array" ref="G85">IF($D85 &lt;&gt;0,ResultValue($C85,COLUMN(H85)-COLUMN($C85))/$D85,"")</f>
        <v/>
      </c>
      <c r="H85" s="12" t="str" cm="1">
        <f t="array" ref="H85">IF($D85 &lt;&gt;0,ResultValue($C85,COLUMN(I85)-COLUMN($C85))/$D85,"")</f>
        <v/>
      </c>
      <c r="I85" s="12" t="str" cm="1">
        <f t="array" ref="I85">IF($D85 &lt;&gt;0,ResultValue($C85,COLUMN(J85)-COLUMN($C85))/$D85,"")</f>
        <v/>
      </c>
      <c r="J85" s="12" t="str" cm="1">
        <f t="array" ref="J85">IF($D85 &lt;&gt;0,ResultValue($C85,COLUMN(K85)-COLUMN($C85))/$D85,"")</f>
        <v/>
      </c>
      <c r="K85" s="12" t="str" cm="1">
        <f t="array" ref="K85">IF($D85 &lt;&gt;0,ResultValue($C85,COLUMN(L85)-COLUMN($C85))/$D85,"")</f>
        <v/>
      </c>
      <c r="L85" s="12" t="str" cm="1">
        <f t="array" ref="L85">IF($D85 &lt;&gt;0,ResultValue($C85,COLUMN(M85)-COLUMN($C85))/$D85,"")</f>
        <v/>
      </c>
      <c r="M85" s="12" t="str" cm="1">
        <f t="array" ref="M85">IF($D85 &lt;&gt;0,ResultValue($C85,COLUMN(N85)-COLUMN($C85))/$D85,"")</f>
        <v/>
      </c>
      <c r="N85" s="12" t="str" cm="1">
        <f t="array" ref="N85">IF($D85 &lt;&gt;0,ResultValue($C85,COLUMN(O85)-COLUMN($C85))/$D85,"")</f>
        <v/>
      </c>
      <c r="O85" s="12" t="str" cm="1">
        <f t="array" ref="O85">IF($D85 &lt;&gt;0,ResultValue($C85,COLUMN(P85)-COLUMN($C85))/$D85,"")</f>
        <v/>
      </c>
      <c r="P85" s="12" t="str" cm="1">
        <f t="array" ref="P85">IF($D85 &lt;&gt;0,ResultValue($C85,COLUMN(Q85)-COLUMN($C85))/$D85,"")</f>
        <v/>
      </c>
      <c r="Q85" s="12" t="str" cm="1">
        <f t="array" ref="Q85">IF($D85 &lt;&gt;0,ResultValue($C85,COLUMN(R85)-COLUMN($C85))/$D85,"")</f>
        <v/>
      </c>
      <c r="R85" s="12" t="str" cm="1">
        <f t="array" ref="R85">IF($D85 &lt;&gt;0,ResultValue($C85,COLUMN(S85)-COLUMN($C85))/$D85,"")</f>
        <v/>
      </c>
      <c r="S85" s="12" t="str" cm="1">
        <f t="array" ref="S85">IF($D85 &lt;&gt;0,ResultValue($C85,COLUMN(T85)-COLUMN($C85))/$D85,"")</f>
        <v/>
      </c>
      <c r="T85" s="12" t="str" cm="1">
        <f t="array" ref="T85">IF($D85 &lt;&gt;0,ResultValue($C85,COLUMN(U85)-COLUMN($C85))/$D85,"")</f>
        <v/>
      </c>
      <c r="U85" s="12" t="str" cm="1">
        <f t="array" ref="U85">IF($D85 &lt;&gt;0,ResultValue($C85,COLUMN(V85)-COLUMN($C85))/$D85,"")</f>
        <v/>
      </c>
      <c r="V85" s="12" t="str" cm="1">
        <f t="array" ref="V85">IF($D85 &lt;&gt;0,ResultValue($C85,COLUMN(W85)-COLUMN($C85))/$D85,"")</f>
        <v/>
      </c>
      <c r="W85" s="12" t="str" cm="1">
        <f t="array" ref="W85">IF($D85 &lt;&gt;0,ResultValue($C85,COLUMN(X85)-COLUMN($C85))/$D85,"")</f>
        <v/>
      </c>
      <c r="X85" s="12" t="str" cm="1">
        <f t="array" ref="X85">IF($D85 &lt;&gt;0,ResultValue($C85,COLUMN(Y85)-COLUMN($C85))/$D85,"")</f>
        <v/>
      </c>
      <c r="Y85" s="12" t="str" cm="1">
        <f t="array" ref="Y85">IF($D85 &lt;&gt;0,ResultValue($C85,COLUMN(Z86)-COLUMN($C85))/$D85,"")</f>
        <v/>
      </c>
    </row>
    <row r="86" spans="1:25" x14ac:dyDescent="0.25">
      <c r="A86" s="54"/>
      <c r="B86" s="54"/>
      <c r="C86" s="48" t="str">
        <f t="shared" si="2"/>
        <v/>
      </c>
      <c r="D86" s="44">
        <f t="shared" si="3"/>
        <v>0</v>
      </c>
      <c r="E86" s="12" t="str" cm="1">
        <f t="array" ref="E86">IF($D86 &lt;&gt;0,ResultValue($C86,COLUMN(F86)-COLUMN($C86))/$D86,"")</f>
        <v/>
      </c>
      <c r="F86" s="12" t="str" cm="1">
        <f t="array" ref="F86">IF($D86 &lt;&gt;0,ResultValue($C86,COLUMN(G86)-COLUMN($C86))/$D86,"")</f>
        <v/>
      </c>
      <c r="G86" s="12" t="str" cm="1">
        <f t="array" ref="G86">IF($D86 &lt;&gt;0,ResultValue($C86,COLUMN(H86)-COLUMN($C86))/$D86,"")</f>
        <v/>
      </c>
      <c r="H86" s="12" t="str" cm="1">
        <f t="array" ref="H86">IF($D86 &lt;&gt;0,ResultValue($C86,COLUMN(I86)-COLUMN($C86))/$D86,"")</f>
        <v/>
      </c>
      <c r="I86" s="12" t="str" cm="1">
        <f t="array" ref="I86">IF($D86 &lt;&gt;0,ResultValue($C86,COLUMN(J86)-COLUMN($C86))/$D86,"")</f>
        <v/>
      </c>
      <c r="J86" s="12" t="str" cm="1">
        <f t="array" ref="J86">IF($D86 &lt;&gt;0,ResultValue($C86,COLUMN(K86)-COLUMN($C86))/$D86,"")</f>
        <v/>
      </c>
      <c r="K86" s="12" t="str" cm="1">
        <f t="array" ref="K86">IF($D86 &lt;&gt;0,ResultValue($C86,COLUMN(L86)-COLUMN($C86))/$D86,"")</f>
        <v/>
      </c>
      <c r="L86" s="12" t="str" cm="1">
        <f t="array" ref="L86">IF($D86 &lt;&gt;0,ResultValue($C86,COLUMN(M86)-COLUMN($C86))/$D86,"")</f>
        <v/>
      </c>
      <c r="M86" s="12" t="str" cm="1">
        <f t="array" ref="M86">IF($D86 &lt;&gt;0,ResultValue($C86,COLUMN(N86)-COLUMN($C86))/$D86,"")</f>
        <v/>
      </c>
      <c r="N86" s="12" t="str" cm="1">
        <f t="array" ref="N86">IF($D86 &lt;&gt;0,ResultValue($C86,COLUMN(O86)-COLUMN($C86))/$D86,"")</f>
        <v/>
      </c>
      <c r="O86" s="12" t="str" cm="1">
        <f t="array" ref="O86">IF($D86 &lt;&gt;0,ResultValue($C86,COLUMN(P86)-COLUMN($C86))/$D86,"")</f>
        <v/>
      </c>
      <c r="P86" s="12" t="str" cm="1">
        <f t="array" ref="P86">IF($D86 &lt;&gt;0,ResultValue($C86,COLUMN(Q86)-COLUMN($C86))/$D86,"")</f>
        <v/>
      </c>
      <c r="Q86" s="12" t="str" cm="1">
        <f t="array" ref="Q86">IF($D86 &lt;&gt;0,ResultValue($C86,COLUMN(R86)-COLUMN($C86))/$D86,"")</f>
        <v/>
      </c>
      <c r="R86" s="12" t="str" cm="1">
        <f t="array" ref="R86">IF($D86 &lt;&gt;0,ResultValue($C86,COLUMN(S86)-COLUMN($C86))/$D86,"")</f>
        <v/>
      </c>
      <c r="S86" s="12" t="str" cm="1">
        <f t="array" ref="S86">IF($D86 &lt;&gt;0,ResultValue($C86,COLUMN(T86)-COLUMN($C86))/$D86,"")</f>
        <v/>
      </c>
      <c r="T86" s="12" t="str" cm="1">
        <f t="array" ref="T86">IF($D86 &lt;&gt;0,ResultValue($C86,COLUMN(U86)-COLUMN($C86))/$D86,"")</f>
        <v/>
      </c>
      <c r="U86" s="12" t="str" cm="1">
        <f t="array" ref="U86">IF($D86 &lt;&gt;0,ResultValue($C86,COLUMN(V86)-COLUMN($C86))/$D86,"")</f>
        <v/>
      </c>
      <c r="V86" s="12" t="str" cm="1">
        <f t="array" ref="V86">IF($D86 &lt;&gt;0,ResultValue($C86,COLUMN(W86)-COLUMN($C86))/$D86,"")</f>
        <v/>
      </c>
      <c r="W86" s="12" t="str" cm="1">
        <f t="array" ref="W86">IF($D86 &lt;&gt;0,ResultValue($C86,COLUMN(X86)-COLUMN($C86))/$D86,"")</f>
        <v/>
      </c>
      <c r="X86" s="12" t="str" cm="1">
        <f t="array" ref="X86">IF($D86 &lt;&gt;0,ResultValue($C86,COLUMN(Y86)-COLUMN($C86))/$D86,"")</f>
        <v/>
      </c>
      <c r="Y86" s="12" t="str" cm="1">
        <f t="array" ref="Y86">IF($D86 &lt;&gt;0,ResultValue($C86,COLUMN(Z87)-COLUMN($C86))/$D86,"")</f>
        <v/>
      </c>
    </row>
    <row r="87" spans="1:25" x14ac:dyDescent="0.25">
      <c r="A87" s="54"/>
      <c r="B87" s="54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</row>
    <row r="88" spans="1:25" x14ac:dyDescent="0.25">
      <c r="A88" s="54"/>
      <c r="B88" s="54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</row>
    <row r="89" spans="1:25" x14ac:dyDescent="0.25">
      <c r="A89" s="54"/>
      <c r="B89" s="54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25">
      <c r="A90" s="54"/>
      <c r="B90" s="54"/>
    </row>
    <row r="91" spans="1:25" x14ac:dyDescent="0.25">
      <c r="A91" s="54"/>
      <c r="B91" s="54"/>
      <c r="C91" s="10" t="s">
        <v>234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54"/>
      <c r="B92" s="54"/>
      <c r="C92" s="3" t="str">
        <f>Model!N48</f>
        <v>Økonomi:</v>
      </c>
      <c r="D92" s="8" t="str">
        <f>Model!O48</f>
        <v>Enhed</v>
      </c>
      <c r="E92" s="15" t="str">
        <f>E6</f>
        <v>Nominelt</v>
      </c>
      <c r="F92" s="15" t="str">
        <f>F6</f>
        <v>sc1</v>
      </c>
      <c r="G92" s="15" t="str">
        <f>G6</f>
        <v>sc2</v>
      </c>
      <c r="H92" s="15" t="str">
        <f>H6</f>
        <v>sc3</v>
      </c>
      <c r="I92" s="15" t="str">
        <f>I6</f>
        <v>sc4</v>
      </c>
      <c r="J92" s="15" t="str">
        <f>J6</f>
        <v>sc5</v>
      </c>
      <c r="K92" s="15" t="str">
        <f>K6</f>
        <v>sc6</v>
      </c>
      <c r="L92" s="15" t="str">
        <f>L6</f>
        <v>sc7</v>
      </c>
      <c r="M92" s="15" t="str">
        <f>M6</f>
        <v>sc8</v>
      </c>
      <c r="N92" s="15" t="str">
        <f>N6</f>
        <v>sc9</v>
      </c>
      <c r="O92" s="15" t="str">
        <f>O6</f>
        <v>sc10</v>
      </c>
      <c r="P92" s="15" t="str">
        <f>P6</f>
        <v>sc11</v>
      </c>
      <c r="Q92" s="15" t="str">
        <f>Q6</f>
        <v>sc12</v>
      </c>
      <c r="R92" s="15" t="str">
        <f>R6</f>
        <v>sc13</v>
      </c>
      <c r="S92" s="15" t="str">
        <f>S6</f>
        <v>sc14</v>
      </c>
      <c r="T92" s="15" t="str">
        <f>T6</f>
        <v>sc15</v>
      </c>
      <c r="U92" s="15" t="str">
        <f>U6</f>
        <v>sc16</v>
      </c>
      <c r="V92" s="15" t="str">
        <f>V6</f>
        <v>sc17</v>
      </c>
      <c r="W92" s="15" t="str">
        <f>W6</f>
        <v>sc18</v>
      </c>
      <c r="X92" s="15" t="str">
        <f>X6</f>
        <v>sc19</v>
      </c>
      <c r="Y92" s="15" t="str">
        <f>Y6</f>
        <v>sc20</v>
      </c>
    </row>
    <row r="93" spans="1:25" x14ac:dyDescent="0.25">
      <c r="A93" s="54"/>
      <c r="B93" s="54"/>
      <c r="C93" s="14" t="str">
        <f>Model!N49</f>
        <v>Indtægter total</v>
      </c>
      <c r="D93" s="14" t="str">
        <f>Model!O49</f>
        <v>tkr</v>
      </c>
      <c r="E93" s="19">
        <v>15652263.443326186</v>
      </c>
      <c r="F93" s="19">
        <v>16181783.291652784</v>
      </c>
      <c r="G93" s="19">
        <v>16136225.467580173</v>
      </c>
      <c r="H93" s="19">
        <v>16091597.39501925</v>
      </c>
      <c r="I93" s="19">
        <v>16047870.899681777</v>
      </c>
      <c r="J93" s="19">
        <v>16005018.934251055</v>
      </c>
      <c r="K93" s="19">
        <v>15963015.522591241</v>
      </c>
      <c r="L93" s="19">
        <v>15921835.707238479</v>
      </c>
      <c r="M93" s="19">
        <v>16082049.301761795</v>
      </c>
      <c r="N93" s="19">
        <v>16042445.636921976</v>
      </c>
      <c r="O93" s="19">
        <v>16003596.327602914</v>
      </c>
      <c r="P93" s="19">
        <v>15965480.024120061</v>
      </c>
      <c r="Q93" s="19">
        <v>15928076.174907915</v>
      </c>
      <c r="R93" s="19">
        <v>15891364.98957007</v>
      </c>
      <c r="S93" s="19">
        <v>15855327.403963193</v>
      </c>
      <c r="T93" s="19">
        <v>15819945.047185535</v>
      </c>
      <c r="U93" s="19">
        <v>15785200.210349813</v>
      </c>
      <c r="V93" s="19">
        <v>15751075.817029016</v>
      </c>
      <c r="W93" s="19">
        <v>15717555.39527142</v>
      </c>
      <c r="X93" s="19">
        <v>15684623.051088518</v>
      </c>
      <c r="Y93" s="19">
        <v>15652263.443326186</v>
      </c>
    </row>
    <row r="94" spans="1:25" x14ac:dyDescent="0.25">
      <c r="A94" s="54"/>
      <c r="B94" s="54"/>
      <c r="C94" s="14" t="str">
        <f>Model!N50</f>
        <v>Omkostninger total</v>
      </c>
      <c r="D94" s="14" t="str">
        <f>Model!O50</f>
        <v>tkr</v>
      </c>
      <c r="E94" s="19">
        <v>7571194.7616575705</v>
      </c>
      <c r="F94" s="19">
        <v>7852727.10090937</v>
      </c>
      <c r="G94" s="19">
        <v>7835081.9157811292</v>
      </c>
      <c r="H94" s="19">
        <v>7817805.4208600298</v>
      </c>
      <c r="I94" s="19">
        <v>7800886.4437155491</v>
      </c>
      <c r="J94" s="19">
        <v>7784314.2588143907</v>
      </c>
      <c r="K94" s="19">
        <v>7768078.5653968509</v>
      </c>
      <c r="L94" s="19">
        <v>7752169.4666545894</v>
      </c>
      <c r="M94" s="19">
        <v>7736577.4501213348</v>
      </c>
      <c r="N94" s="19">
        <v>7721293.3691949034</v>
      </c>
      <c r="O94" s="19">
        <v>7706308.4257151028</v>
      </c>
      <c r="P94" s="19">
        <v>7691614.1535277804</v>
      </c>
      <c r="Q94" s="19">
        <v>7677202.4029705329</v>
      </c>
      <c r="R94" s="19">
        <v>7663065.326220301</v>
      </c>
      <c r="S94" s="19">
        <v>7649195.3634475321</v>
      </c>
      <c r="T94" s="19">
        <v>7635585.2297255732</v>
      </c>
      <c r="U94" s="19">
        <v>7622227.9026476396</v>
      </c>
      <c r="V94" s="19">
        <v>7609116.6106071994</v>
      </c>
      <c r="W94" s="19">
        <v>7596244.8217006</v>
      </c>
      <c r="X94" s="19">
        <v>7583606.2332137935</v>
      </c>
      <c r="Y94" s="19">
        <v>7571194.7616575705</v>
      </c>
    </row>
    <row r="95" spans="1:25" x14ac:dyDescent="0.25">
      <c r="A95" s="54"/>
      <c r="B95" s="54"/>
      <c r="C95" s="14" t="str">
        <f>Model!N51</f>
        <v>Dækningsbidrag</v>
      </c>
      <c r="D95" s="14" t="str">
        <f>Model!O51</f>
        <v>tkr</v>
      </c>
      <c r="E95" s="19">
        <v>8081068.6816686159</v>
      </c>
      <c r="F95" s="19">
        <v>8329056.1907434138</v>
      </c>
      <c r="G95" s="19">
        <v>8301143.551799044</v>
      </c>
      <c r="H95" s="19">
        <v>8273791.9741592202</v>
      </c>
      <c r="I95" s="19">
        <v>8246984.4559662277</v>
      </c>
      <c r="J95" s="19">
        <v>8220704.6754366644</v>
      </c>
      <c r="K95" s="19">
        <v>8194936.9571943898</v>
      </c>
      <c r="L95" s="19">
        <v>8169666.2405838892</v>
      </c>
      <c r="M95" s="19">
        <v>8345471.8516404601</v>
      </c>
      <c r="N95" s="19">
        <v>8321152.2677270724</v>
      </c>
      <c r="O95" s="19">
        <v>8297287.9018878108</v>
      </c>
      <c r="P95" s="19">
        <v>8273865.8705922803</v>
      </c>
      <c r="Q95" s="19">
        <v>8250873.7719373824</v>
      </c>
      <c r="R95" s="19">
        <v>8228299.6633497691</v>
      </c>
      <c r="S95" s="19">
        <v>8206132.0405156612</v>
      </c>
      <c r="T95" s="19">
        <v>8184359.8174599614</v>
      </c>
      <c r="U95" s="19">
        <v>8162972.3077021735</v>
      </c>
      <c r="V95" s="19">
        <v>8141959.2064218167</v>
      </c>
      <c r="W95" s="19">
        <v>8121310.5735708205</v>
      </c>
      <c r="X95" s="19">
        <v>8101016.817874724</v>
      </c>
      <c r="Y95" s="19">
        <v>8081068.6816686159</v>
      </c>
    </row>
    <row r="96" spans="1:25" x14ac:dyDescent="0.25">
      <c r="C96" s="3"/>
      <c r="D96" s="8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</row>
    <row r="97" spans="1:26" x14ac:dyDescent="0.25">
      <c r="C97" s="14" t="str">
        <f>Model!N53</f>
        <v>Varmesalg</v>
      </c>
      <c r="D97" s="14" t="str">
        <f>Model!O53</f>
        <v>tkr</v>
      </c>
      <c r="E97" s="18">
        <v>7464000</v>
      </c>
      <c r="F97" s="18">
        <v>7464000</v>
      </c>
      <c r="G97" s="18">
        <v>7464000</v>
      </c>
      <c r="H97" s="18">
        <v>7464000</v>
      </c>
      <c r="I97" s="18">
        <v>7464000</v>
      </c>
      <c r="J97" s="18">
        <v>7464000</v>
      </c>
      <c r="K97" s="18">
        <v>7464000</v>
      </c>
      <c r="L97" s="18">
        <v>7464000</v>
      </c>
      <c r="M97" s="18">
        <v>7464000</v>
      </c>
      <c r="N97" s="18">
        <v>7464000</v>
      </c>
      <c r="O97" s="18">
        <v>7464000</v>
      </c>
      <c r="P97" s="18">
        <v>7464000</v>
      </c>
      <c r="Q97" s="18">
        <v>7464000</v>
      </c>
      <c r="R97" s="18">
        <v>7464000</v>
      </c>
      <c r="S97" s="18">
        <v>7464000</v>
      </c>
      <c r="T97" s="18">
        <v>7464000</v>
      </c>
      <c r="U97" s="18">
        <v>7464000</v>
      </c>
      <c r="V97" s="18">
        <v>7464000</v>
      </c>
      <c r="W97" s="18">
        <v>7464000</v>
      </c>
      <c r="X97" s="18">
        <v>7464000</v>
      </c>
      <c r="Y97" s="18">
        <v>7464000</v>
      </c>
    </row>
    <row r="98" spans="1:26" x14ac:dyDescent="0.25">
      <c r="C98" s="14" t="str">
        <f>Model!N54</f>
        <v>Elsalg</v>
      </c>
      <c r="D98" s="14" t="str">
        <f>Model!O54</f>
        <v>tkr</v>
      </c>
      <c r="E98" s="18">
        <v>3947332.4512195126</v>
      </c>
      <c r="F98" s="18">
        <v>3947332.4512195117</v>
      </c>
      <c r="G98" s="18">
        <v>3947332.4512195126</v>
      </c>
      <c r="H98" s="18">
        <v>3947332.4512195117</v>
      </c>
      <c r="I98" s="18">
        <v>3947332.4512195126</v>
      </c>
      <c r="J98" s="18">
        <v>3947332.4512195126</v>
      </c>
      <c r="K98" s="18">
        <v>3947332.4512195126</v>
      </c>
      <c r="L98" s="18">
        <v>3947332.4512195126</v>
      </c>
      <c r="M98" s="18">
        <v>3947332.4512195126</v>
      </c>
      <c r="N98" s="18">
        <v>3947332.4512195126</v>
      </c>
      <c r="O98" s="18">
        <v>3947332.4512195126</v>
      </c>
      <c r="P98" s="18">
        <v>3947332.4512195117</v>
      </c>
      <c r="Q98" s="18">
        <v>3947332.4512195126</v>
      </c>
      <c r="R98" s="18">
        <v>3947332.4512195126</v>
      </c>
      <c r="S98" s="18">
        <v>3947332.4512195126</v>
      </c>
      <c r="T98" s="18">
        <v>3947332.4512195126</v>
      </c>
      <c r="U98" s="18">
        <v>3947332.4512195126</v>
      </c>
      <c r="V98" s="18">
        <v>3947332.4512195126</v>
      </c>
      <c r="W98" s="18">
        <v>3947332.4512195126</v>
      </c>
      <c r="X98" s="18">
        <v>3947332.4512195126</v>
      </c>
      <c r="Y98" s="18">
        <v>3947332.4512195126</v>
      </c>
    </row>
    <row r="99" spans="1:26" x14ac:dyDescent="0.25">
      <c r="C99" s="14" t="str">
        <f>Model!N55</f>
        <v>RGK-rabat</v>
      </c>
      <c r="D99" s="14" t="str">
        <f>Model!O55</f>
        <v>tkr</v>
      </c>
      <c r="E99" s="18">
        <v>200593.80181097562</v>
      </c>
      <c r="F99" s="18">
        <v>0</v>
      </c>
      <c r="G99" s="18">
        <v>0</v>
      </c>
      <c r="H99" s="18">
        <v>0</v>
      </c>
      <c r="I99" s="18">
        <v>0</v>
      </c>
      <c r="J99" s="18">
        <v>0</v>
      </c>
      <c r="K99" s="18">
        <v>0</v>
      </c>
      <c r="L99" s="18">
        <v>0</v>
      </c>
      <c r="M99" s="18">
        <v>200593.80181097562</v>
      </c>
      <c r="N99" s="18">
        <v>200593.80181097562</v>
      </c>
      <c r="O99" s="18">
        <v>200593.80181097562</v>
      </c>
      <c r="P99" s="18">
        <v>200593.80181097562</v>
      </c>
      <c r="Q99" s="18">
        <v>200593.80181097562</v>
      </c>
      <c r="R99" s="18">
        <v>200593.80181097562</v>
      </c>
      <c r="S99" s="18">
        <v>200593.80181097562</v>
      </c>
      <c r="T99" s="18">
        <v>200593.80181097562</v>
      </c>
      <c r="U99" s="18">
        <v>200593.80181097562</v>
      </c>
      <c r="V99" s="18">
        <v>200593.80181097562</v>
      </c>
      <c r="W99" s="18">
        <v>200593.80181097562</v>
      </c>
      <c r="X99" s="18">
        <v>200593.80181097562</v>
      </c>
      <c r="Y99" s="18">
        <v>200593.80181097562</v>
      </c>
    </row>
    <row r="100" spans="1:26" x14ac:dyDescent="0.25">
      <c r="C100" s="14" t="str">
        <f>Model!N56</f>
        <v>Modtagebetaling affald</v>
      </c>
      <c r="D100" s="14" t="str">
        <f>Model!O56</f>
        <v>tkr</v>
      </c>
      <c r="E100" s="18">
        <v>4040337.1902956986</v>
      </c>
      <c r="F100" s="18">
        <v>4770450.8404332725</v>
      </c>
      <c r="G100" s="18">
        <v>4724893.0163606619</v>
      </c>
      <c r="H100" s="18">
        <v>4680264.9437997378</v>
      </c>
      <c r="I100" s="18">
        <v>4636538.4484622655</v>
      </c>
      <c r="J100" s="18">
        <v>4593686.4830315439</v>
      </c>
      <c r="K100" s="18">
        <v>4551683.0713717276</v>
      </c>
      <c r="L100" s="18">
        <v>4510503.2560189664</v>
      </c>
      <c r="M100" s="18">
        <v>4470123.0487313075</v>
      </c>
      <c r="N100" s="18">
        <v>4430519.3838914875</v>
      </c>
      <c r="O100" s="18">
        <v>4391670.0745724253</v>
      </c>
      <c r="P100" s="18">
        <v>4353553.7710895725</v>
      </c>
      <c r="Q100" s="18">
        <v>4316149.921877428</v>
      </c>
      <c r="R100" s="18">
        <v>4279438.7365395827</v>
      </c>
      <c r="S100" s="18">
        <v>4243401.150932706</v>
      </c>
      <c r="T100" s="18">
        <v>4208018.7941550463</v>
      </c>
      <c r="U100" s="18">
        <v>4173273.9573193248</v>
      </c>
      <c r="V100" s="18">
        <v>4139149.5639985283</v>
      </c>
      <c r="W100" s="18">
        <v>4105629.1422409313</v>
      </c>
      <c r="X100" s="18">
        <v>4072696.7980580288</v>
      </c>
      <c r="Y100" s="18">
        <v>4040337.1902956986</v>
      </c>
    </row>
    <row r="101" spans="1:26" x14ac:dyDescent="0.25">
      <c r="C101" s="14"/>
      <c r="D101" s="14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1:26" x14ac:dyDescent="0.25">
      <c r="C102" s="14" t="str">
        <f>Model!N58</f>
        <v>Betaling bioaffald</v>
      </c>
      <c r="D102" s="14" t="str">
        <f>Model!O58</f>
        <v>tkr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19">
        <v>0</v>
      </c>
    </row>
    <row r="103" spans="1:26" x14ac:dyDescent="0.25">
      <c r="C103" s="14" t="str">
        <f>Model!N59</f>
        <v>DV-omkostninger</v>
      </c>
      <c r="D103" s="14" t="str">
        <f>Model!O59</f>
        <v>tkr</v>
      </c>
      <c r="E103" s="18">
        <v>1099354.221690486</v>
      </c>
      <c r="F103" s="18">
        <v>1051970.3615553097</v>
      </c>
      <c r="G103" s="18">
        <v>1054848.9761717804</v>
      </c>
      <c r="H103" s="18">
        <v>1057677.4279393763</v>
      </c>
      <c r="I103" s="18">
        <v>1060457.236944427</v>
      </c>
      <c r="J103" s="18">
        <v>1063189.8624698089</v>
      </c>
      <c r="K103" s="18">
        <v>1065876.7060050168</v>
      </c>
      <c r="L103" s="18">
        <v>1068519.1140791739</v>
      </c>
      <c r="M103" s="18">
        <v>1071118.3809290098</v>
      </c>
      <c r="N103" s="18">
        <v>1073675.7510129178</v>
      </c>
      <c r="O103" s="18">
        <v>1076192.4213813539</v>
      </c>
      <c r="P103" s="18">
        <v>1078669.5439130571</v>
      </c>
      <c r="Q103" s="18">
        <v>1081108.22742588</v>
      </c>
      <c r="R103" s="18">
        <v>1083509.5396703472</v>
      </c>
      <c r="S103" s="18">
        <v>1085874.5092134776</v>
      </c>
      <c r="T103" s="18">
        <v>1088204.127219853</v>
      </c>
      <c r="U103" s="18">
        <v>1090499.3491364126</v>
      </c>
      <c r="V103" s="18">
        <v>1092761.0962869911</v>
      </c>
      <c r="W103" s="18">
        <v>1094990.2573821894</v>
      </c>
      <c r="X103" s="18">
        <v>1097187.6899497809</v>
      </c>
      <c r="Y103" s="18">
        <v>1099354.221690486</v>
      </c>
    </row>
    <row r="104" spans="1:26" x14ac:dyDescent="0.25">
      <c r="C104" s="14" t="str">
        <f>Model!N60</f>
        <v>Affaldvarme-afgift</v>
      </c>
      <c r="D104" s="14" t="str">
        <f>Model!O60</f>
        <v>tkr</v>
      </c>
      <c r="E104" s="18">
        <v>2229120</v>
      </c>
      <c r="F104" s="18">
        <v>2229120</v>
      </c>
      <c r="G104" s="18">
        <v>2229120</v>
      </c>
      <c r="H104" s="18">
        <v>2229120</v>
      </c>
      <c r="I104" s="18">
        <v>2229120</v>
      </c>
      <c r="J104" s="18">
        <v>2229120</v>
      </c>
      <c r="K104" s="18">
        <v>2229120</v>
      </c>
      <c r="L104" s="18">
        <v>2229120</v>
      </c>
      <c r="M104" s="18">
        <v>2229120</v>
      </c>
      <c r="N104" s="18">
        <v>2229120</v>
      </c>
      <c r="O104" s="18">
        <v>2229120</v>
      </c>
      <c r="P104" s="18">
        <v>2229120</v>
      </c>
      <c r="Q104" s="18">
        <v>2229120</v>
      </c>
      <c r="R104" s="18">
        <v>2229120</v>
      </c>
      <c r="S104" s="18">
        <v>2229120</v>
      </c>
      <c r="T104" s="18">
        <v>2229120</v>
      </c>
      <c r="U104" s="18">
        <v>2229120</v>
      </c>
      <c r="V104" s="18">
        <v>2229120</v>
      </c>
      <c r="W104" s="18">
        <v>2229120</v>
      </c>
      <c r="X104" s="18">
        <v>2229120</v>
      </c>
      <c r="Y104" s="18">
        <v>2229120</v>
      </c>
    </row>
    <row r="105" spans="1:26" x14ac:dyDescent="0.25">
      <c r="C105" s="14" t="str">
        <f>Model!N61</f>
        <v>Tillægsafgift</v>
      </c>
      <c r="D105" s="14" t="str">
        <f>Model!O61</f>
        <v>tkr</v>
      </c>
      <c r="E105" s="19">
        <v>2005938.0181097561</v>
      </c>
      <c r="F105" s="19">
        <v>2005938.0181097561</v>
      </c>
      <c r="G105" s="19">
        <v>2005938.0181097561</v>
      </c>
      <c r="H105" s="19">
        <v>2005938.0181097561</v>
      </c>
      <c r="I105" s="19">
        <v>2005938.0181097561</v>
      </c>
      <c r="J105" s="19">
        <v>2005938.0181097561</v>
      </c>
      <c r="K105" s="19">
        <v>2005938.0181097561</v>
      </c>
      <c r="L105" s="19">
        <v>2005938.0181097561</v>
      </c>
      <c r="M105" s="19">
        <v>2005938.0181097561</v>
      </c>
      <c r="N105" s="19">
        <v>2005938.0181097561</v>
      </c>
      <c r="O105" s="19">
        <v>2005938.0181097561</v>
      </c>
      <c r="P105" s="19">
        <v>2005938.0181097561</v>
      </c>
      <c r="Q105" s="19">
        <v>2005938.0181097561</v>
      </c>
      <c r="R105" s="19">
        <v>2005938.0181097561</v>
      </c>
      <c r="S105" s="19">
        <v>2005938.0181097561</v>
      </c>
      <c r="T105" s="19">
        <v>2005938.0181097561</v>
      </c>
      <c r="U105" s="19">
        <v>2005938.0181097561</v>
      </c>
      <c r="V105" s="19">
        <v>2005938.0181097561</v>
      </c>
      <c r="W105" s="19">
        <v>2005938.0181097561</v>
      </c>
      <c r="X105" s="19">
        <v>2005938.0181097561</v>
      </c>
      <c r="Y105" s="19">
        <v>2005938.0181097561</v>
      </c>
    </row>
    <row r="106" spans="1:26" x14ac:dyDescent="0.25">
      <c r="C106" s="14" t="str">
        <f>Model!N62</f>
        <v>CO2-afgift</v>
      </c>
      <c r="D106" s="14" t="str">
        <f>Model!O62</f>
        <v>tkr</v>
      </c>
      <c r="E106" s="19">
        <v>416610.61762911582</v>
      </c>
      <c r="F106" s="19">
        <v>416610.61762911582</v>
      </c>
      <c r="G106" s="19">
        <v>416610.61762911582</v>
      </c>
      <c r="H106" s="19">
        <v>416610.61762911582</v>
      </c>
      <c r="I106" s="19">
        <v>416610.61762911582</v>
      </c>
      <c r="J106" s="19">
        <v>416610.61762911582</v>
      </c>
      <c r="K106" s="19">
        <v>416610.61762911582</v>
      </c>
      <c r="L106" s="19">
        <v>416610.61762911582</v>
      </c>
      <c r="M106" s="19">
        <v>416610.61762911582</v>
      </c>
      <c r="N106" s="19">
        <v>416610.61762911582</v>
      </c>
      <c r="O106" s="19">
        <v>416610.61762911582</v>
      </c>
      <c r="P106" s="19">
        <v>416610.61762911582</v>
      </c>
      <c r="Q106" s="19">
        <v>416610.61762911582</v>
      </c>
      <c r="R106" s="19">
        <v>416610.61762911582</v>
      </c>
      <c r="S106" s="19">
        <v>416610.61762911582</v>
      </c>
      <c r="T106" s="19">
        <v>416610.61762911582</v>
      </c>
      <c r="U106" s="19">
        <v>416610.61762911582</v>
      </c>
      <c r="V106" s="19">
        <v>416610.61762911582</v>
      </c>
      <c r="W106" s="19">
        <v>416610.61762911582</v>
      </c>
      <c r="X106" s="19">
        <v>416610.61762911582</v>
      </c>
      <c r="Y106" s="19">
        <v>416610.61762911582</v>
      </c>
    </row>
    <row r="107" spans="1:26" x14ac:dyDescent="0.25">
      <c r="C107" s="14" t="str">
        <f>Model!N63</f>
        <v>Kvote-omkostning</v>
      </c>
      <c r="D107" s="14" t="str">
        <f>Model!O63</f>
        <v>tkr</v>
      </c>
      <c r="E107" s="19">
        <v>1820171.9042282121</v>
      </c>
      <c r="F107" s="19">
        <v>2149088.103615189</v>
      </c>
      <c r="G107" s="19">
        <v>2128564.3038704782</v>
      </c>
      <c r="H107" s="19">
        <v>2108459.3571817814</v>
      </c>
      <c r="I107" s="19">
        <v>2088760.5710322505</v>
      </c>
      <c r="J107" s="19">
        <v>2069455.7606057106</v>
      </c>
      <c r="K107" s="19">
        <v>2050533.2236529631</v>
      </c>
      <c r="L107" s="19">
        <v>2031981.7168365442</v>
      </c>
      <c r="M107" s="19">
        <v>2013790.4334534537</v>
      </c>
      <c r="N107" s="19">
        <v>1995948.9824431147</v>
      </c>
      <c r="O107" s="19">
        <v>1978447.3685948777</v>
      </c>
      <c r="P107" s="19">
        <v>1961275.9738758523</v>
      </c>
      <c r="Q107" s="19">
        <v>1944425.5398057813</v>
      </c>
      <c r="R107" s="19">
        <v>1927887.150811082</v>
      </c>
      <c r="S107" s="19">
        <v>1911652.2184951839</v>
      </c>
      <c r="T107" s="19">
        <v>1895712.466766848</v>
      </c>
      <c r="U107" s="19">
        <v>1880059.9177723557</v>
      </c>
      <c r="V107" s="19">
        <v>1864686.8785813369</v>
      </c>
      <c r="W107" s="19">
        <v>1849585.9285795393</v>
      </c>
      <c r="X107" s="19">
        <v>1834749.907525142</v>
      </c>
      <c r="Y107" s="19">
        <v>1820171.9042282121</v>
      </c>
    </row>
    <row r="108" spans="1:26" x14ac:dyDescent="0.25">
      <c r="C108" s="14"/>
      <c r="D108" s="14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1:26" x14ac:dyDescent="0.25">
      <c r="C109" s="7" t="str">
        <f>Model!N65</f>
        <v>Varmemængder:</v>
      </c>
      <c r="D109" s="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</row>
    <row r="110" spans="1:26" x14ac:dyDescent="0.25">
      <c r="C110" s="5" t="str">
        <f>Model!N66</f>
        <v>Varmeproduktion Ovn2</v>
      </c>
      <c r="D110" s="5" t="str">
        <f>Model!O66</f>
        <v>MWhq</v>
      </c>
      <c r="E110" s="12">
        <v>3168</v>
      </c>
      <c r="F110" s="12">
        <v>7055.4000000000015</v>
      </c>
      <c r="G110" s="12">
        <v>6850.7999999999993</v>
      </c>
      <c r="H110" s="12">
        <v>6646.2000000000007</v>
      </c>
      <c r="I110" s="12">
        <v>6441.5999999999985</v>
      </c>
      <c r="J110" s="12">
        <v>6237</v>
      </c>
      <c r="K110" s="12">
        <v>6032.4000000000015</v>
      </c>
      <c r="L110" s="12">
        <v>5827.7999999999993</v>
      </c>
      <c r="M110" s="12">
        <v>5623.2000000000007</v>
      </c>
      <c r="N110" s="12">
        <v>5418.5999999999985</v>
      </c>
      <c r="O110" s="12">
        <v>5214</v>
      </c>
      <c r="P110" s="12">
        <v>5009.4000000000015</v>
      </c>
      <c r="Q110" s="12">
        <v>4804.7999999999993</v>
      </c>
      <c r="R110" s="12">
        <v>4600.2000000000007</v>
      </c>
      <c r="S110" s="12">
        <v>4395.5999999999985</v>
      </c>
      <c r="T110" s="12">
        <v>4191</v>
      </c>
      <c r="U110" s="12">
        <v>3986.4000000000015</v>
      </c>
      <c r="V110" s="12">
        <v>3781.7999999999993</v>
      </c>
      <c r="W110" s="12">
        <v>3577.2000000000007</v>
      </c>
      <c r="X110" s="12">
        <v>3372.5999999999985</v>
      </c>
      <c r="Y110" s="12">
        <v>3168</v>
      </c>
      <c r="Z110" s="19"/>
    </row>
    <row r="111" spans="1:26" x14ac:dyDescent="0.25">
      <c r="C111" s="5" t="str">
        <f>Model!N67</f>
        <v>Varmeproduktion Ovn3</v>
      </c>
      <c r="D111" s="5" t="str">
        <f>Model!O67</f>
        <v>MWhq</v>
      </c>
      <c r="E111" s="12">
        <v>20832</v>
      </c>
      <c r="F111" s="12">
        <v>16944.599999999999</v>
      </c>
      <c r="G111" s="12">
        <v>17149.2</v>
      </c>
      <c r="H111" s="12">
        <v>17353.8</v>
      </c>
      <c r="I111" s="12">
        <v>17558.400000000001</v>
      </c>
      <c r="J111" s="12">
        <v>17763</v>
      </c>
      <c r="K111" s="12">
        <v>17967.599999999999</v>
      </c>
      <c r="L111" s="12">
        <v>18172.2</v>
      </c>
      <c r="M111" s="12">
        <v>18376.8</v>
      </c>
      <c r="N111" s="12">
        <v>18581.400000000001</v>
      </c>
      <c r="O111" s="12">
        <v>18786</v>
      </c>
      <c r="P111" s="12">
        <v>18990.599999999999</v>
      </c>
      <c r="Q111" s="12">
        <v>19195.2</v>
      </c>
      <c r="R111" s="12">
        <v>19399.8</v>
      </c>
      <c r="S111" s="12">
        <v>19604.400000000001</v>
      </c>
      <c r="T111" s="12">
        <v>19809</v>
      </c>
      <c r="U111" s="12">
        <v>20013.599999999999</v>
      </c>
      <c r="V111" s="12">
        <v>20218.2</v>
      </c>
      <c r="W111" s="12">
        <v>20422.8</v>
      </c>
      <c r="X111" s="12">
        <v>20627.400000000001</v>
      </c>
      <c r="Y111" s="12">
        <v>20832</v>
      </c>
      <c r="Z111" s="19"/>
    </row>
    <row r="112" spans="1:26" x14ac:dyDescent="0.25">
      <c r="A112" s="42"/>
      <c r="B112" s="42"/>
      <c r="C112" s="5" t="str">
        <f>Model!N68</f>
        <v>Heraf RGK-varme</v>
      </c>
      <c r="D112" s="5" t="str">
        <f>Model!O68</f>
        <v>MWhq</v>
      </c>
      <c r="E112" s="12">
        <v>5031.4221690485911</v>
      </c>
      <c r="F112" s="12">
        <v>293.03615553098348</v>
      </c>
      <c r="G112" s="12">
        <v>580.89761717804538</v>
      </c>
      <c r="H112" s="12">
        <v>863.74279393763243</v>
      </c>
      <c r="I112" s="12">
        <v>1141.7236944426982</v>
      </c>
      <c r="J112" s="12">
        <v>1414.9862469808784</v>
      </c>
      <c r="K112" s="12">
        <v>1683.6706005016847</v>
      </c>
      <c r="L112" s="12">
        <v>1947.9114079173924</v>
      </c>
      <c r="M112" s="12">
        <v>2207.8380929009663</v>
      </c>
      <c r="N112" s="12">
        <v>2463.5751012917935</v>
      </c>
      <c r="O112" s="12">
        <v>2715.242138135382</v>
      </c>
      <c r="P112" s="12">
        <v>2962.95439130571</v>
      </c>
      <c r="Q112" s="12">
        <v>3206.8227425880104</v>
      </c>
      <c r="R112" s="12">
        <v>3446.9539670347258</v>
      </c>
      <c r="S112" s="12">
        <v>3683.4509213477545</v>
      </c>
      <c r="T112" s="12">
        <v>3916.4127219852894</v>
      </c>
      <c r="U112" s="12">
        <v>4145.9349136412611</v>
      </c>
      <c r="V112" s="12">
        <v>4372.1096286991033</v>
      </c>
      <c r="W112" s="12">
        <v>4595.0257382189448</v>
      </c>
      <c r="X112" s="12">
        <v>4814.7689949781015</v>
      </c>
      <c r="Y112" s="12">
        <v>5031.4221690485911</v>
      </c>
      <c r="Z112" s="19"/>
    </row>
    <row r="113" spans="1:26" x14ac:dyDescent="0.25">
      <c r="C113" s="5" t="str">
        <f>Model!N69</f>
        <v>Bortkølet varme</v>
      </c>
      <c r="D113" s="5" t="str">
        <f>Model!O69</f>
        <v>MWhq</v>
      </c>
      <c r="E113" s="12">
        <v>0</v>
      </c>
      <c r="F113" s="12">
        <v>0</v>
      </c>
      <c r="G113" s="12">
        <v>0</v>
      </c>
      <c r="H113" s="12">
        <v>0</v>
      </c>
      <c r="I113" s="12">
        <v>0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12">
        <v>0</v>
      </c>
      <c r="P113" s="12">
        <v>0</v>
      </c>
      <c r="Q113" s="12">
        <v>0</v>
      </c>
      <c r="R113" s="12">
        <v>0</v>
      </c>
      <c r="S113" s="12">
        <v>0</v>
      </c>
      <c r="T113" s="12">
        <v>0</v>
      </c>
      <c r="U113" s="12">
        <v>0</v>
      </c>
      <c r="V113" s="12">
        <v>0</v>
      </c>
      <c r="W113" s="12">
        <v>0</v>
      </c>
      <c r="X113" s="12">
        <v>0</v>
      </c>
      <c r="Y113" s="12">
        <v>0</v>
      </c>
      <c r="Z113" s="15"/>
    </row>
    <row r="114" spans="1:26" x14ac:dyDescent="0.25">
      <c r="C114" s="5" t="str">
        <f>Model!N70</f>
        <v>Leveret varme</v>
      </c>
      <c r="D114" s="5" t="str">
        <f>Model!O70</f>
        <v>MWhq</v>
      </c>
      <c r="E114" s="12">
        <v>24000</v>
      </c>
      <c r="F114" s="12">
        <v>24000</v>
      </c>
      <c r="G114" s="12">
        <v>24000</v>
      </c>
      <c r="H114" s="12">
        <v>24000</v>
      </c>
      <c r="I114" s="12">
        <v>24000</v>
      </c>
      <c r="J114" s="12">
        <v>24000</v>
      </c>
      <c r="K114" s="12">
        <v>24000</v>
      </c>
      <c r="L114" s="12">
        <v>24000</v>
      </c>
      <c r="M114" s="12">
        <v>24000</v>
      </c>
      <c r="N114" s="12">
        <v>24000</v>
      </c>
      <c r="O114" s="12">
        <v>24000</v>
      </c>
      <c r="P114" s="12">
        <v>24000</v>
      </c>
      <c r="Q114" s="12">
        <v>24000</v>
      </c>
      <c r="R114" s="12">
        <v>24000</v>
      </c>
      <c r="S114" s="12">
        <v>24000</v>
      </c>
      <c r="T114" s="12">
        <v>24000</v>
      </c>
      <c r="U114" s="12">
        <v>24000</v>
      </c>
      <c r="V114" s="12">
        <v>24000</v>
      </c>
      <c r="W114" s="12">
        <v>24000</v>
      </c>
      <c r="X114" s="12">
        <v>24000</v>
      </c>
      <c r="Y114" s="12">
        <v>24000</v>
      </c>
      <c r="Z114" s="18"/>
    </row>
    <row r="115" spans="1:26" x14ac:dyDescent="0.25">
      <c r="C115" s="5" t="str">
        <f>Model!N71</f>
        <v>Spidslastvarme</v>
      </c>
      <c r="D115" s="5" t="str">
        <f>Model!O71</f>
        <v>MWhq</v>
      </c>
      <c r="E115" s="12">
        <v>4000</v>
      </c>
      <c r="F115" s="12">
        <v>4000</v>
      </c>
      <c r="G115" s="12">
        <v>4000</v>
      </c>
      <c r="H115" s="12">
        <v>4000</v>
      </c>
      <c r="I115" s="12">
        <v>4000</v>
      </c>
      <c r="J115" s="12">
        <v>4000</v>
      </c>
      <c r="K115" s="12">
        <v>4000</v>
      </c>
      <c r="L115" s="12">
        <v>4000</v>
      </c>
      <c r="M115" s="12">
        <v>4000</v>
      </c>
      <c r="N115" s="12">
        <v>4000</v>
      </c>
      <c r="O115" s="12">
        <v>4000</v>
      </c>
      <c r="P115" s="12">
        <v>4000</v>
      </c>
      <c r="Q115" s="12">
        <v>4000</v>
      </c>
      <c r="R115" s="12">
        <v>4000</v>
      </c>
      <c r="S115" s="12">
        <v>4000</v>
      </c>
      <c r="T115" s="12">
        <v>4000</v>
      </c>
      <c r="U115" s="12">
        <v>4000</v>
      </c>
      <c r="V115" s="12">
        <v>4000</v>
      </c>
      <c r="W115" s="12">
        <v>4000</v>
      </c>
      <c r="X115" s="12">
        <v>4000</v>
      </c>
      <c r="Y115" s="12">
        <v>4000</v>
      </c>
      <c r="Z115" s="18"/>
    </row>
    <row r="116" spans="1:26" x14ac:dyDescent="0.25">
      <c r="C116" s="5"/>
      <c r="D116" s="5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8"/>
    </row>
    <row r="117" spans="1:26" x14ac:dyDescent="0.25">
      <c r="A117" s="42"/>
      <c r="B117" s="42"/>
      <c r="C117" s="7" t="str">
        <f>Model!N73</f>
        <v>Brændselsmængder:</v>
      </c>
      <c r="D117" s="5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8"/>
    </row>
    <row r="118" spans="1:26" x14ac:dyDescent="0.25">
      <c r="C118" s="5" t="str">
        <f>Model!N74</f>
        <v>Affaldsforbrug Ovn3</v>
      </c>
      <c r="D118" s="5" t="str">
        <f>Model!O74</f>
        <v>ton</v>
      </c>
      <c r="E118" s="12">
        <v>9006.456241033</v>
      </c>
      <c r="F118" s="12">
        <v>9006.4562410329982</v>
      </c>
      <c r="G118" s="12">
        <v>9006.456241033</v>
      </c>
      <c r="H118" s="12">
        <v>9006.4562410329982</v>
      </c>
      <c r="I118" s="12">
        <v>9006.456241033</v>
      </c>
      <c r="J118" s="12">
        <v>9006.456241033</v>
      </c>
      <c r="K118" s="12">
        <v>9006.456241033</v>
      </c>
      <c r="L118" s="12">
        <v>9006.456241033</v>
      </c>
      <c r="M118" s="12">
        <v>9006.456241033</v>
      </c>
      <c r="N118" s="12">
        <v>9006.456241033</v>
      </c>
      <c r="O118" s="12">
        <v>9006.456241033</v>
      </c>
      <c r="P118" s="12">
        <v>9006.4562410329982</v>
      </c>
      <c r="Q118" s="12">
        <v>9006.456241033</v>
      </c>
      <c r="R118" s="12">
        <v>9006.456241033</v>
      </c>
      <c r="S118" s="12">
        <v>9006.456241033</v>
      </c>
      <c r="T118" s="12">
        <v>9006.456241033</v>
      </c>
      <c r="U118" s="12">
        <v>9006.456241033</v>
      </c>
      <c r="V118" s="12">
        <v>9006.456241033</v>
      </c>
      <c r="W118" s="12">
        <v>9006.456241033</v>
      </c>
      <c r="X118" s="12">
        <v>9006.456241033</v>
      </c>
      <c r="Y118" s="12">
        <v>9006.456241033</v>
      </c>
      <c r="Z118" s="19"/>
    </row>
    <row r="119" spans="1:26" x14ac:dyDescent="0.25">
      <c r="C119" s="5" t="str">
        <f>Model!N75</f>
        <v>Nordic Sugar varme</v>
      </c>
      <c r="D119" s="5" t="str">
        <f>Model!O75</f>
        <v>MWhq</v>
      </c>
      <c r="E119" s="12">
        <v>4000</v>
      </c>
      <c r="F119" s="12">
        <v>4000</v>
      </c>
      <c r="G119" s="12">
        <v>4000</v>
      </c>
      <c r="H119" s="12">
        <v>4000</v>
      </c>
      <c r="I119" s="12">
        <v>4000</v>
      </c>
      <c r="J119" s="12">
        <v>4000</v>
      </c>
      <c r="K119" s="12">
        <v>4000</v>
      </c>
      <c r="L119" s="12">
        <v>4000</v>
      </c>
      <c r="M119" s="12">
        <v>4000</v>
      </c>
      <c r="N119" s="12">
        <v>4000</v>
      </c>
      <c r="O119" s="12">
        <v>4000</v>
      </c>
      <c r="P119" s="12">
        <v>4000</v>
      </c>
      <c r="Q119" s="12">
        <v>4000</v>
      </c>
      <c r="R119" s="12">
        <v>4000</v>
      </c>
      <c r="S119" s="12">
        <v>4000</v>
      </c>
      <c r="T119" s="12">
        <v>4000</v>
      </c>
      <c r="U119" s="12">
        <v>4000</v>
      </c>
      <c r="V119" s="12">
        <v>4000</v>
      </c>
      <c r="W119" s="12">
        <v>4000</v>
      </c>
      <c r="X119" s="12">
        <v>4000</v>
      </c>
      <c r="Y119" s="12">
        <v>4000</v>
      </c>
      <c r="Z119" s="19"/>
    </row>
    <row r="120" spans="1:26" x14ac:dyDescent="0.25">
      <c r="C120" s="5" t="str">
        <f>Model!N76</f>
        <v>Affaldsforbrug Ovn2</v>
      </c>
      <c r="D120" s="5" t="str">
        <f>Model!O76</f>
        <v>ton</v>
      </c>
      <c r="E120" s="12">
        <v>1094.3867347062462</v>
      </c>
      <c r="F120" s="12">
        <v>2919.670860050182</v>
      </c>
      <c r="G120" s="12">
        <v>2805.7762998686553</v>
      </c>
      <c r="H120" s="12">
        <v>2694.2061184663444</v>
      </c>
      <c r="I120" s="12">
        <v>2584.8898801226651</v>
      </c>
      <c r="J120" s="12">
        <v>2477.7599665458606</v>
      </c>
      <c r="K120" s="12">
        <v>2372.751437396319</v>
      </c>
      <c r="L120" s="12">
        <v>2269.8018990144151</v>
      </c>
      <c r="M120" s="12">
        <v>2168.8513807952672</v>
      </c>
      <c r="N120" s="12">
        <v>2069.8422186957168</v>
      </c>
      <c r="O120" s="12">
        <v>1972.7189453980645</v>
      </c>
      <c r="P120" s="12">
        <v>1877.4281866909339</v>
      </c>
      <c r="Q120" s="12">
        <v>1783.9185636605707</v>
      </c>
      <c r="R120" s="12">
        <v>1692.1406003159564</v>
      </c>
      <c r="S120" s="12">
        <v>1602.0466362987647</v>
      </c>
      <c r="T120" s="12">
        <v>1513.5907443546141</v>
      </c>
      <c r="U120" s="12">
        <v>1426.728652265313</v>
      </c>
      <c r="V120" s="12">
        <v>1341.41766896332</v>
      </c>
      <c r="W120" s="12">
        <v>1257.6166145693278</v>
      </c>
      <c r="X120" s="12">
        <v>1175.2857541120711</v>
      </c>
      <c r="Y120" s="12">
        <v>1094.3867347062462</v>
      </c>
      <c r="Z120" s="18"/>
    </row>
    <row r="121" spans="1:26" x14ac:dyDescent="0.25">
      <c r="C121" s="5" t="str">
        <f>Model!N77</f>
        <v>Affaldsforbrug kølevarme Ovn3</v>
      </c>
      <c r="D121" s="5" t="str">
        <f>Model!O77</f>
        <v>ton</v>
      </c>
      <c r="E121" s="12">
        <v>0</v>
      </c>
      <c r="F121" s="12">
        <v>0</v>
      </c>
      <c r="G121" s="12">
        <v>0</v>
      </c>
      <c r="H121" s="12">
        <v>0</v>
      </c>
      <c r="I121" s="12">
        <v>0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12">
        <v>0</v>
      </c>
      <c r="P121" s="12">
        <v>0</v>
      </c>
      <c r="Q121" s="12">
        <v>0</v>
      </c>
      <c r="R121" s="12">
        <v>0</v>
      </c>
      <c r="S121" s="12">
        <v>0</v>
      </c>
      <c r="T121" s="12">
        <v>0</v>
      </c>
      <c r="U121" s="12">
        <v>0</v>
      </c>
      <c r="V121" s="12">
        <v>0</v>
      </c>
      <c r="W121" s="12">
        <v>0</v>
      </c>
      <c r="X121" s="12">
        <v>0</v>
      </c>
      <c r="Y121" s="12">
        <v>0</v>
      </c>
      <c r="Z121" s="18"/>
    </row>
    <row r="122" spans="1:26" x14ac:dyDescent="0.25">
      <c r="C122" s="5" t="str">
        <f>Model!N78</f>
        <v>Affaldsforbrug kølevarme Ovn2</v>
      </c>
      <c r="D122" s="5" t="str">
        <f>Model!O78</f>
        <v>ton</v>
      </c>
      <c r="E122" s="12">
        <v>0</v>
      </c>
      <c r="F122" s="12">
        <v>0</v>
      </c>
      <c r="G122" s="12">
        <v>0</v>
      </c>
      <c r="H122" s="12">
        <v>0</v>
      </c>
      <c r="I122" s="12">
        <v>0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12">
        <v>0</v>
      </c>
      <c r="P122" s="12">
        <v>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  <c r="V122" s="12">
        <v>0</v>
      </c>
      <c r="W122" s="12">
        <v>0</v>
      </c>
      <c r="X122" s="12">
        <v>0</v>
      </c>
      <c r="Y122" s="12">
        <v>0</v>
      </c>
      <c r="Z122" s="19"/>
    </row>
    <row r="123" spans="1:26" x14ac:dyDescent="0.25">
      <c r="C123" s="5" t="str">
        <f>Model!N79</f>
        <v>Udnyttet affald</v>
      </c>
      <c r="D123" s="5" t="str">
        <f>Model!O79</f>
        <v>ton</v>
      </c>
      <c r="E123" s="12">
        <v>10100.842975739246</v>
      </c>
      <c r="F123" s="12">
        <v>11926.127101083181</v>
      </c>
      <c r="G123" s="12">
        <v>11812.232540901656</v>
      </c>
      <c r="H123" s="12">
        <v>11700.662359499343</v>
      </c>
      <c r="I123" s="12">
        <v>11591.346121155664</v>
      </c>
      <c r="J123" s="12">
        <v>11484.21620757886</v>
      </c>
      <c r="K123" s="12">
        <v>11379.207678429319</v>
      </c>
      <c r="L123" s="12">
        <v>11276.258140047416</v>
      </c>
      <c r="M123" s="12">
        <v>11175.307621828268</v>
      </c>
      <c r="N123" s="12">
        <v>11076.298459728718</v>
      </c>
      <c r="O123" s="12">
        <v>10979.175186431065</v>
      </c>
      <c r="P123" s="12">
        <v>10883.884427723931</v>
      </c>
      <c r="Q123" s="12">
        <v>10790.374804693571</v>
      </c>
      <c r="R123" s="12">
        <v>10698.596841348957</v>
      </c>
      <c r="S123" s="12">
        <v>10608.502877331764</v>
      </c>
      <c r="T123" s="12">
        <v>10520.046985387615</v>
      </c>
      <c r="U123" s="12">
        <v>10433.184893298312</v>
      </c>
      <c r="V123" s="12">
        <v>10347.87390999632</v>
      </c>
      <c r="W123" s="12">
        <v>10264.072855602328</v>
      </c>
      <c r="X123" s="12">
        <v>10181.741995145072</v>
      </c>
      <c r="Y123" s="12">
        <v>10100.842975739246</v>
      </c>
      <c r="Z123" s="19"/>
    </row>
    <row r="124" spans="1:26" x14ac:dyDescent="0.25">
      <c r="A124" s="43"/>
      <c r="B124" s="43"/>
      <c r="C124" s="5" t="str">
        <f>Model!N80</f>
        <v>Ikke-udnyttet affald</v>
      </c>
      <c r="D124" s="5" t="str">
        <f>Model!O80</f>
        <v>ton</v>
      </c>
      <c r="E124" s="16">
        <v>1899.1570242607538</v>
      </c>
      <c r="F124" s="16">
        <v>73.87289891681985</v>
      </c>
      <c r="G124" s="16">
        <v>187.76745909834472</v>
      </c>
      <c r="H124" s="16">
        <v>299.33764050065747</v>
      </c>
      <c r="I124" s="16">
        <v>408.65387884433494</v>
      </c>
      <c r="J124" s="16">
        <v>515.78379242113942</v>
      </c>
      <c r="K124" s="16">
        <v>620.792321570681</v>
      </c>
      <c r="L124" s="16">
        <v>723.74185995258495</v>
      </c>
      <c r="M124" s="16">
        <v>824.6923781717328</v>
      </c>
      <c r="N124" s="16">
        <v>923.70154027128319</v>
      </c>
      <c r="O124" s="16">
        <v>1020.8248135689355</v>
      </c>
      <c r="P124" s="16">
        <v>1116.115572276068</v>
      </c>
      <c r="Q124" s="16">
        <v>1209.6251953064293</v>
      </c>
      <c r="R124" s="16">
        <v>1301.4031586510437</v>
      </c>
      <c r="S124" s="16">
        <v>1391.4971226682353</v>
      </c>
      <c r="T124" s="16">
        <v>1479.9530146123859</v>
      </c>
      <c r="U124" s="16">
        <v>1566.815106701687</v>
      </c>
      <c r="V124" s="16">
        <v>1652.12609000368</v>
      </c>
      <c r="W124" s="16">
        <v>1735.9271443976722</v>
      </c>
      <c r="X124" s="16">
        <v>1818.2580048549289</v>
      </c>
      <c r="Y124" s="16">
        <v>1899.1570242607538</v>
      </c>
      <c r="Z124" s="19"/>
    </row>
    <row r="125" spans="1:26" x14ac:dyDescent="0.25">
      <c r="A125" s="43"/>
      <c r="B125" s="43"/>
      <c r="D125" s="5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9"/>
    </row>
    <row r="126" spans="1:26" x14ac:dyDescent="0.25">
      <c r="C126" s="7" t="str">
        <f>Model!N82</f>
        <v>Kapacitetsudnyttelse:</v>
      </c>
      <c r="D126" s="5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5"/>
    </row>
    <row r="127" spans="1:26" x14ac:dyDescent="0.25">
      <c r="C127" s="5" t="str">
        <f>Model!N83</f>
        <v>Ovn3 tonnagebasis</v>
      </c>
      <c r="D127" s="5">
        <f>Model!O83</f>
        <v>0</v>
      </c>
      <c r="E127" s="2">
        <v>1</v>
      </c>
      <c r="F127" s="2">
        <v>0.99999999999999978</v>
      </c>
      <c r="G127" s="2">
        <v>1</v>
      </c>
      <c r="H127" s="2">
        <v>0.99999999999999978</v>
      </c>
      <c r="I127" s="2">
        <v>1</v>
      </c>
      <c r="J127" s="2">
        <v>1</v>
      </c>
      <c r="K127" s="2">
        <v>1</v>
      </c>
      <c r="L127" s="2">
        <v>1</v>
      </c>
      <c r="M127" s="2">
        <v>1</v>
      </c>
      <c r="N127" s="2">
        <v>1</v>
      </c>
      <c r="O127" s="2">
        <v>1</v>
      </c>
      <c r="P127" s="2">
        <v>0.99999999999999978</v>
      </c>
      <c r="Q127" s="2">
        <v>1</v>
      </c>
      <c r="R127" s="2">
        <v>1</v>
      </c>
      <c r="S127" s="2">
        <v>1</v>
      </c>
      <c r="T127" s="2">
        <v>1</v>
      </c>
      <c r="U127" s="2">
        <v>1</v>
      </c>
      <c r="V127" s="2">
        <v>1</v>
      </c>
      <c r="W127" s="2">
        <v>1</v>
      </c>
      <c r="X127" s="2">
        <v>1</v>
      </c>
      <c r="Y127" s="2">
        <v>1</v>
      </c>
      <c r="Z127" s="12"/>
    </row>
    <row r="128" spans="1:26" x14ac:dyDescent="0.25">
      <c r="C128" s="5" t="str">
        <f>Model!N84</f>
        <v>Ovn2 tonnagebasis</v>
      </c>
      <c r="D128" s="5">
        <f>Model!O84</f>
        <v>0</v>
      </c>
      <c r="E128" s="2">
        <v>0.3702664796633941</v>
      </c>
      <c r="F128" s="2">
        <v>0.98781922043010761</v>
      </c>
      <c r="G128" s="2">
        <v>0.94928500166278673</v>
      </c>
      <c r="H128" s="2">
        <v>0.91153719552337065</v>
      </c>
      <c r="I128" s="2">
        <v>0.87455197132616469</v>
      </c>
      <c r="J128" s="2">
        <v>0.83830645161290329</v>
      </c>
      <c r="K128" s="2">
        <v>0.80277866496327055</v>
      </c>
      <c r="L128" s="2">
        <v>0.76794750158127767</v>
      </c>
      <c r="M128" s="2">
        <v>0.7337926714688382</v>
      </c>
      <c r="N128" s="2">
        <v>0.70029466501240667</v>
      </c>
      <c r="O128" s="2">
        <v>0.66743471582181246</v>
      </c>
      <c r="P128" s="2">
        <v>0.63519476567255029</v>
      </c>
      <c r="Q128" s="2">
        <v>0.60355743141392815</v>
      </c>
      <c r="R128" s="2">
        <v>0.57250597371565126</v>
      </c>
      <c r="S128" s="2">
        <v>0.5420242675347734</v>
      </c>
      <c r="T128" s="2">
        <v>0.51209677419354838</v>
      </c>
      <c r="U128" s="2">
        <v>0.48270851496657963</v>
      </c>
      <c r="V128" s="2">
        <v>0.45384504608294923</v>
      </c>
      <c r="W128" s="2">
        <v>0.4254924350556667</v>
      </c>
      <c r="X128" s="2">
        <v>0.39763723825693248</v>
      </c>
      <c r="Y128" s="2">
        <v>0.3702664796633941</v>
      </c>
      <c r="Z128" s="12"/>
    </row>
    <row r="129" spans="1:26" x14ac:dyDescent="0.25">
      <c r="C129" s="5" t="str">
        <f>Model!N85</f>
        <v>Bortkøleanlæg varme</v>
      </c>
      <c r="D129" s="5">
        <f>Model!O85</f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2"/>
    </row>
    <row r="130" spans="1:26" x14ac:dyDescent="0.25">
      <c r="Z130" s="12"/>
    </row>
    <row r="131" spans="1:26" x14ac:dyDescent="0.25">
      <c r="Z131" s="12"/>
    </row>
    <row r="132" spans="1:26" x14ac:dyDescent="0.25">
      <c r="A132" s="43"/>
      <c r="B132" s="43"/>
      <c r="Z132" s="12"/>
    </row>
    <row r="133" spans="1:26" x14ac:dyDescent="0.25">
      <c r="A133" s="43"/>
      <c r="B133" s="43"/>
      <c r="Z133" s="19"/>
    </row>
    <row r="134" spans="1:26" x14ac:dyDescent="0.25">
      <c r="Z134" s="12"/>
    </row>
    <row r="135" spans="1:26" x14ac:dyDescent="0.25">
      <c r="Z135" s="12"/>
    </row>
    <row r="136" spans="1:26" x14ac:dyDescent="0.25">
      <c r="Z136" s="12"/>
    </row>
    <row r="137" spans="1:26" x14ac:dyDescent="0.25">
      <c r="Z137" s="12"/>
    </row>
    <row r="138" spans="1:26" x14ac:dyDescent="0.25">
      <c r="Z138" s="12"/>
    </row>
    <row r="139" spans="1:26" x14ac:dyDescent="0.25">
      <c r="Z139" s="12"/>
    </row>
    <row r="140" spans="1:26" x14ac:dyDescent="0.25">
      <c r="Z140" s="12"/>
    </row>
    <row r="141" spans="1:26" x14ac:dyDescent="0.25">
      <c r="A141" s="43"/>
      <c r="B141" s="43"/>
      <c r="Z141" s="16"/>
    </row>
    <row r="142" spans="1:26" x14ac:dyDescent="0.25">
      <c r="A142" s="43"/>
      <c r="B142" s="43"/>
      <c r="Z142" s="12"/>
    </row>
    <row r="143" spans="1:26" x14ac:dyDescent="0.25">
      <c r="Z143" s="12"/>
    </row>
    <row r="144" spans="1:26" x14ac:dyDescent="0.25">
      <c r="Z144" s="2"/>
    </row>
    <row r="145" spans="26:26" x14ac:dyDescent="0.25">
      <c r="Z145" s="2"/>
    </row>
    <row r="146" spans="26:26" x14ac:dyDescent="0.25">
      <c r="Z146" s="2"/>
    </row>
  </sheetData>
  <phoneticPr fontId="14" type="noConversion"/>
  <conditionalFormatting sqref="E7:Y7">
    <cfRule type="cellIs" dxfId="5" priority="5" operator="greaterThan">
      <formula>0</formula>
    </cfRule>
  </conditionalFormatting>
  <conditionalFormatting sqref="D77:D86">
    <cfRule type="cellIs" dxfId="4" priority="4" operator="notEqual">
      <formula>0</formula>
    </cfRule>
  </conditionalFormatting>
  <conditionalFormatting sqref="D54:D73">
    <cfRule type="cellIs" dxfId="3" priority="3" operator="notEqual">
      <formula>0</formula>
    </cfRule>
  </conditionalFormatting>
  <conditionalFormatting sqref="B16:B35">
    <cfRule type="cellIs" dxfId="2" priority="2" operator="notEqual">
      <formula>0</formula>
    </cfRule>
  </conditionalFormatting>
  <conditionalFormatting sqref="B40:B49">
    <cfRule type="cellIs" dxfId="1" priority="1" operator="notEqual">
      <formula>0</formula>
    </cfRule>
  </conditionalFormatting>
  <dataValidations count="2">
    <dataValidation type="list" allowBlank="1" showInputMessage="1" showErrorMessage="1" sqref="A16:A33 A40:A49 C54:D73 C77:C87" xr:uid="{1E94A7E2-205B-4EB1-8F0B-15D4AD919DF3}">
      <formula1>ranResultNames</formula1>
    </dataValidation>
    <dataValidation type="list" allowBlank="1" showInputMessage="1" showErrorMessage="1" sqref="D77:D86 A39 C76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E03995E-3471-4356-8735-C83153B972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Scenarier!E127:Y127</xm:f>
              <xm:sqref>A143</xm:sqref>
            </x14:sparkline>
            <x14:sparkline>
              <xm:f>Scenarier!F127:Z127</xm:f>
              <xm:sqref>B143</xm:sqref>
            </x14:sparkline>
            <x14:sparkline>
              <xm:f>Scenarier!E128:Y128</xm:f>
              <xm:sqref>A144</xm:sqref>
            </x14:sparkline>
            <x14:sparkline>
              <xm:f>Scenarier!F128:Z128</xm:f>
              <xm:sqref>B144</xm:sqref>
            </x14:sparkline>
            <x14:sparkline>
              <xm:f>Scenarier!E129:Y129</xm:f>
              <xm:sqref>A145</xm:sqref>
            </x14:sparkline>
            <x14:sparkline>
              <xm:f>Scenarier!F129:Z129</xm:f>
              <xm:sqref>B145</xm:sqref>
            </x14:sparkline>
          </x14:sparklines>
        </x14:sparklineGroup>
        <x14:sparklineGroup displayEmptyCellsAs="gap" xr2:uid="{0D4B8EA4-0655-49EB-9CD2-BA2FEFAE45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Scenarier!E118:Y118</xm:f>
              <xm:sqref>A134</xm:sqref>
            </x14:sparkline>
            <x14:sparkline>
              <xm:f>Scenarier!F118:Z118</xm:f>
              <xm:sqref>B134</xm:sqref>
            </x14:sparkline>
            <x14:sparkline>
              <xm:f>Scenarier!E119:Y119</xm:f>
              <xm:sqref>A135</xm:sqref>
            </x14:sparkline>
            <x14:sparkline>
              <xm:f>Scenarier!F119:Z119</xm:f>
              <xm:sqref>B135</xm:sqref>
            </x14:sparkline>
            <x14:sparkline>
              <xm:f>Scenarier!E120:Y120</xm:f>
              <xm:sqref>A136</xm:sqref>
            </x14:sparkline>
            <x14:sparkline>
              <xm:f>Scenarier!F120:Z120</xm:f>
              <xm:sqref>B136</xm:sqref>
            </x14:sparkline>
            <x14:sparkline>
              <xm:f>Scenarier!E121:Y121</xm:f>
              <xm:sqref>A137</xm:sqref>
            </x14:sparkline>
            <x14:sparkline>
              <xm:f>Scenarier!F121:Z121</xm:f>
              <xm:sqref>B137</xm:sqref>
            </x14:sparkline>
            <x14:sparkline>
              <xm:f>Scenarier!E122:Y122</xm:f>
              <xm:sqref>A138</xm:sqref>
            </x14:sparkline>
            <x14:sparkline>
              <xm:f>Scenarier!F122:Z122</xm:f>
              <xm:sqref>B138</xm:sqref>
            </x14:sparkline>
            <x14:sparkline>
              <xm:f>Scenarier!E123:Y123</xm:f>
              <xm:sqref>A139</xm:sqref>
            </x14:sparkline>
            <x14:sparkline>
              <xm:f>Scenarier!F123:Z123</xm:f>
              <xm:sqref>B139</xm:sqref>
            </x14:sparkline>
            <x14:sparkline>
              <xm:f>Scenarier!E124:Y124</xm:f>
              <xm:sqref>A140</xm:sqref>
            </x14:sparkline>
            <x14:sparkline>
              <xm:f>Scenarier!F124:Z124</xm:f>
              <xm:sqref>B140</xm:sqref>
            </x14:sparkline>
          </x14:sparklines>
        </x14:sparklineGroup>
        <x14:sparklineGroup displayEmptyCellsAs="gap" xr2:uid="{B8629B82-7D09-4B3B-BDD2-41802311B9C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Scenarier!E110:Y110</xm:f>
              <xm:sqref>A126</xm:sqref>
            </x14:sparkline>
            <x14:sparkline>
              <xm:f>Scenarier!F110:Z110</xm:f>
              <xm:sqref>B126</xm:sqref>
            </x14:sparkline>
            <x14:sparkline>
              <xm:f>Scenarier!E111:Y111</xm:f>
              <xm:sqref>A127</xm:sqref>
            </x14:sparkline>
            <x14:sparkline>
              <xm:f>Scenarier!F111:Z111</xm:f>
              <xm:sqref>B127</xm:sqref>
            </x14:sparkline>
            <x14:sparkline>
              <xm:f>Scenarier!E112:Y112</xm:f>
              <xm:sqref>A128</xm:sqref>
            </x14:sparkline>
            <x14:sparkline>
              <xm:f>Scenarier!F112:Z112</xm:f>
              <xm:sqref>B128</xm:sqref>
            </x14:sparkline>
            <x14:sparkline>
              <xm:f>Scenarier!E113:Y113</xm:f>
              <xm:sqref>A129</xm:sqref>
            </x14:sparkline>
            <x14:sparkline>
              <xm:f>Scenarier!F113:Z113</xm:f>
              <xm:sqref>B129</xm:sqref>
            </x14:sparkline>
            <x14:sparkline>
              <xm:f>Scenarier!E114:Y114</xm:f>
              <xm:sqref>A130</xm:sqref>
            </x14:sparkline>
            <x14:sparkline>
              <xm:f>Scenarier!F114:Z114</xm:f>
              <xm:sqref>B130</xm:sqref>
            </x14:sparkline>
            <x14:sparkline>
              <xm:f>Scenarier!E115:Y115</xm:f>
              <xm:sqref>A131</xm:sqref>
            </x14:sparkline>
            <x14:sparkline>
              <xm:f>Scenarier!F115:Z115</xm:f>
              <xm:sqref>B131</xm:sqref>
            </x14:sparkline>
          </x14:sparklines>
        </x14:sparklineGroup>
        <x14:sparklineGroup displayEmptyCellsAs="gap" xr2:uid="{0EEAFD3A-9982-4344-9C28-68B58FC0F45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Scenarier!E102:Y102</xm:f>
              <xm:sqref>A118</xm:sqref>
            </x14:sparkline>
            <x14:sparkline>
              <xm:f>Scenarier!F102:Z102</xm:f>
              <xm:sqref>B118</xm:sqref>
            </x14:sparkline>
            <x14:sparkline>
              <xm:f>Scenarier!E103:Y103</xm:f>
              <xm:sqref>A119</xm:sqref>
            </x14:sparkline>
            <x14:sparkline>
              <xm:f>Scenarier!F103:Z103</xm:f>
              <xm:sqref>B119</xm:sqref>
            </x14:sparkline>
            <x14:sparkline>
              <xm:f>Scenarier!E104:Y104</xm:f>
              <xm:sqref>A120</xm:sqref>
            </x14:sparkline>
            <x14:sparkline>
              <xm:f>Scenarier!F104:Z104</xm:f>
              <xm:sqref>B120</xm:sqref>
            </x14:sparkline>
            <x14:sparkline>
              <xm:f>Scenarier!E105:Y105</xm:f>
              <xm:sqref>A121</xm:sqref>
            </x14:sparkline>
            <x14:sparkline>
              <xm:f>Scenarier!F105:Z105</xm:f>
              <xm:sqref>B121</xm:sqref>
            </x14:sparkline>
            <x14:sparkline>
              <xm:f>Scenarier!E106:Y106</xm:f>
              <xm:sqref>A122</xm:sqref>
            </x14:sparkline>
            <x14:sparkline>
              <xm:f>Scenarier!F106:Z106</xm:f>
              <xm:sqref>B122</xm:sqref>
            </x14:sparkline>
            <x14:sparkline>
              <xm:f>Scenarier!E107:Y107</xm:f>
              <xm:sqref>A123</xm:sqref>
            </x14:sparkline>
            <x14:sparkline>
              <xm:f>Scenarier!F107:Z107</xm:f>
              <xm:sqref>B123</xm:sqref>
            </x14:sparkline>
          </x14:sparklines>
        </x14:sparklineGroup>
        <x14:sparklineGroup displayEmptyCellsAs="gap" xr2:uid="{5CBA3426-1E87-4A46-95D9-C9FCFCA25B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Scenarier!E93:Y93</xm:f>
              <xm:sqref>A109</xm:sqref>
            </x14:sparkline>
            <x14:sparkline>
              <xm:f>Scenarier!F93:Z93</xm:f>
              <xm:sqref>B109</xm:sqref>
            </x14:sparkline>
            <x14:sparkline>
              <xm:f>Scenarier!E94:Y94</xm:f>
              <xm:sqref>A110</xm:sqref>
            </x14:sparkline>
            <x14:sparkline>
              <xm:f>Scenarier!F94:Z94</xm:f>
              <xm:sqref>B110</xm:sqref>
            </x14:sparkline>
            <x14:sparkline>
              <xm:f>Scenarier!E95:Y95</xm:f>
              <xm:sqref>A111</xm:sqref>
            </x14:sparkline>
            <x14:sparkline>
              <xm:f>Scenarier!F95:Z95</xm:f>
              <xm:sqref>B111</xm:sqref>
            </x14:sparkline>
          </x14:sparklines>
        </x14:sparklineGroup>
        <x14:sparklineGroup displayEmptyCellsAs="gap" xr2:uid="{BDB21E43-4F15-48D7-B5EB-8CE9545726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Scenarier!E97:Y97</xm:f>
              <xm:sqref>A113</xm:sqref>
            </x14:sparkline>
            <x14:sparkline>
              <xm:f>Scenarier!F97:Z97</xm:f>
              <xm:sqref>B113</xm:sqref>
            </x14:sparkline>
            <x14:sparkline>
              <xm:f>Scenarier!E98:Y98</xm:f>
              <xm:sqref>A114</xm:sqref>
            </x14:sparkline>
            <x14:sparkline>
              <xm:f>Scenarier!F98:Z98</xm:f>
              <xm:sqref>B114</xm:sqref>
            </x14:sparkline>
            <x14:sparkline>
              <xm:f>Scenarier!E99:Y99</xm:f>
              <xm:sqref>A115</xm:sqref>
            </x14:sparkline>
            <x14:sparkline>
              <xm:f>Scenarier!F99:Z99</xm:f>
              <xm:sqref>B115</xm:sqref>
            </x14:sparkline>
            <x14:sparkline>
              <xm:f>Scenarier!E100:Y100</xm:f>
              <xm:sqref>A116</xm:sqref>
            </x14:sparkline>
            <x14:sparkline>
              <xm:f>Scenarier!F100:Z100</xm:f>
              <xm:sqref>B116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C120"/>
  <sheetViews>
    <sheetView tabSelected="1" topLeftCell="C1" zoomScale="85" zoomScaleNormal="85" workbookViewId="0">
      <selection activeCell="Y4" sqref="Y4"/>
    </sheetView>
  </sheetViews>
  <sheetFormatPr defaultRowHeight="15" x14ac:dyDescent="0.25"/>
  <cols>
    <col min="1" max="1" width="28.5703125" customWidth="1"/>
    <col min="2" max="2" width="12.28515625" style="5" customWidth="1"/>
    <col min="3" max="5" width="9.140625" customWidth="1"/>
    <col min="6" max="6" width="9.42578125" customWidth="1"/>
    <col min="7" max="7" width="2.85546875" style="53" customWidth="1"/>
    <col min="8" max="8" width="34.28515625" customWidth="1"/>
    <col min="9" max="9" width="11" style="5" customWidth="1"/>
    <col min="10" max="10" width="13.28515625" style="12" customWidth="1"/>
    <col min="11" max="11" width="14.42578125" style="12" customWidth="1"/>
    <col min="12" max="12" width="14.42578125" customWidth="1"/>
    <col min="13" max="13" width="2.85546875" style="53" customWidth="1"/>
    <col min="14" max="14" width="30.7109375" bestFit="1" customWidth="1"/>
    <col min="15" max="15" width="8.42578125" style="96" bestFit="1" customWidth="1"/>
    <col min="16" max="16" width="10" style="12" bestFit="1" customWidth="1"/>
    <col min="17" max="17" width="14.42578125" style="12" bestFit="1" customWidth="1"/>
    <col min="18" max="18" width="15.7109375" bestFit="1" customWidth="1"/>
    <col min="19" max="19" width="4.140625" customWidth="1"/>
    <col min="20" max="20" width="29.7109375" style="5" customWidth="1"/>
    <col min="21" max="22" width="13" customWidth="1"/>
  </cols>
  <sheetData>
    <row r="1" spans="1:29" ht="33.75" customHeight="1" x14ac:dyDescent="0.25">
      <c r="A1" s="89" t="s">
        <v>247</v>
      </c>
      <c r="B1" s="90"/>
      <c r="C1" s="90"/>
      <c r="D1" s="90"/>
      <c r="E1" s="90"/>
      <c r="F1" s="91"/>
      <c r="G1" s="59"/>
      <c r="H1" s="100" t="str">
        <f>"Resultat for "&amp;C5&amp;" ton affald, "&amp;C6&amp;" ton bioaffald, Varmebehov "&amp;TEXT(Qdemand,"#.##0")&amp;" MWh, NS-varme "&amp;TEXT(NSvarme,"#.##0")&amp;" MWh, RGK-grad "&amp;TEXT(RGKudnyttelse,"0 %")</f>
        <v>Resultat for 12000 ton affald, 0 ton bioaffald, Varmebehov 28.000 MWh, NS-varme 4.000 MWh, RGK-grad 38 %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59"/>
      <c r="Z1" s="59"/>
      <c r="AA1" s="59"/>
      <c r="AB1" s="59"/>
    </row>
    <row r="2" spans="1:29" x14ac:dyDescent="0.25">
      <c r="A2" s="64"/>
      <c r="B2" s="65"/>
      <c r="C2" s="66"/>
      <c r="D2" s="66"/>
      <c r="E2" s="66"/>
      <c r="F2" s="67"/>
      <c r="G2" s="59"/>
      <c r="H2" s="59"/>
      <c r="I2" s="60"/>
      <c r="J2" s="61"/>
      <c r="K2" s="61"/>
      <c r="L2" s="59"/>
      <c r="M2" s="59"/>
      <c r="N2" s="59"/>
      <c r="O2" s="95"/>
      <c r="P2" s="61"/>
      <c r="Q2" s="61"/>
      <c r="R2" s="59"/>
      <c r="S2" s="59"/>
      <c r="T2" s="63"/>
      <c r="V2" s="63"/>
      <c r="W2" s="63"/>
      <c r="X2" s="63"/>
      <c r="Y2" s="63"/>
      <c r="Z2" s="63"/>
      <c r="AA2" s="59"/>
      <c r="AB2" s="59"/>
      <c r="AC2" s="92" t="str">
        <f>"Økonomiske nøgletal "</f>
        <v xml:space="preserve">Økonomiske nøgletal </v>
      </c>
    </row>
    <row r="3" spans="1:29" x14ac:dyDescent="0.25">
      <c r="A3" s="68" t="s">
        <v>133</v>
      </c>
      <c r="B3" s="69" t="s">
        <v>49</v>
      </c>
      <c r="C3" s="70" t="s">
        <v>211</v>
      </c>
      <c r="D3" s="70"/>
      <c r="E3" s="70"/>
      <c r="F3" s="71"/>
      <c r="G3" s="59"/>
      <c r="H3" s="59"/>
      <c r="I3" s="60"/>
      <c r="J3" s="61"/>
      <c r="K3" s="61"/>
      <c r="L3" s="59"/>
      <c r="M3" s="59"/>
      <c r="N3" s="59"/>
      <c r="O3" s="95"/>
      <c r="P3" s="61"/>
      <c r="Q3" s="61"/>
      <c r="R3" s="59"/>
      <c r="S3" s="59"/>
      <c r="T3" s="60"/>
      <c r="V3" s="59"/>
      <c r="W3" s="59"/>
      <c r="X3" s="59"/>
      <c r="Y3" s="59"/>
      <c r="Z3" s="59"/>
      <c r="AA3" s="59"/>
      <c r="AB3" s="59"/>
      <c r="AC3" s="93" t="str">
        <f>"Økonomi: RGK ift. Nominel"</f>
        <v>Økonomi: RGK ift. Nominel</v>
      </c>
    </row>
    <row r="4" spans="1:29" x14ac:dyDescent="0.25">
      <c r="A4" s="72" t="s">
        <v>207</v>
      </c>
      <c r="B4" s="65" t="s">
        <v>43</v>
      </c>
      <c r="C4" s="73">
        <v>28000</v>
      </c>
      <c r="D4" s="66"/>
      <c r="E4" s="66"/>
      <c r="F4" s="67"/>
      <c r="G4" s="59"/>
      <c r="H4" s="59"/>
      <c r="I4" s="60"/>
      <c r="J4" s="61"/>
      <c r="K4" s="61"/>
      <c r="L4" s="59"/>
      <c r="M4" s="59"/>
      <c r="N4" s="59"/>
      <c r="O4" s="95"/>
      <c r="P4" s="61"/>
      <c r="Q4" s="61"/>
      <c r="R4" s="59"/>
      <c r="S4" s="59"/>
      <c r="V4" s="59"/>
      <c r="W4" s="59"/>
      <c r="X4" s="59"/>
      <c r="Y4" s="59"/>
      <c r="Z4" s="59"/>
      <c r="AA4" s="59"/>
      <c r="AB4" s="59"/>
      <c r="AC4" s="93" t="str">
        <f>"Varmemængder"</f>
        <v>Varmemængder</v>
      </c>
    </row>
    <row r="5" spans="1:29" x14ac:dyDescent="0.25">
      <c r="A5" s="72" t="s">
        <v>208</v>
      </c>
      <c r="B5" s="65" t="s">
        <v>17</v>
      </c>
      <c r="C5" s="73">
        <v>12000</v>
      </c>
      <c r="D5" s="66"/>
      <c r="E5" s="66"/>
      <c r="F5" s="67"/>
      <c r="G5" s="59"/>
      <c r="H5" s="59"/>
      <c r="I5" s="60"/>
      <c r="J5" s="61"/>
      <c r="K5" s="61"/>
      <c r="L5" s="59"/>
      <c r="M5" s="59"/>
      <c r="N5" s="59"/>
      <c r="O5" s="95"/>
      <c r="P5" s="61"/>
      <c r="Q5" s="61"/>
      <c r="R5" s="59"/>
      <c r="S5" s="59"/>
      <c r="T5" s="60"/>
      <c r="V5" s="59"/>
      <c r="W5" s="59"/>
      <c r="X5" s="59"/>
      <c r="Y5" s="59"/>
      <c r="Z5" s="59"/>
      <c r="AA5" s="59"/>
      <c r="AB5" s="59"/>
      <c r="AC5" s="93" t="s">
        <v>150</v>
      </c>
    </row>
    <row r="6" spans="1:29" x14ac:dyDescent="0.25">
      <c r="A6" s="72" t="s">
        <v>209</v>
      </c>
      <c r="B6" s="65" t="s">
        <v>17</v>
      </c>
      <c r="C6" s="73">
        <v>0</v>
      </c>
      <c r="D6" s="66"/>
      <c r="E6" s="66"/>
      <c r="F6" s="67"/>
      <c r="G6" s="59"/>
      <c r="H6" s="59"/>
      <c r="I6" s="60"/>
      <c r="J6" s="61"/>
      <c r="K6" s="61"/>
      <c r="L6" s="59"/>
      <c r="M6" s="59"/>
      <c r="N6" s="59"/>
      <c r="O6" s="95"/>
      <c r="P6" s="61"/>
      <c r="Q6" s="61"/>
      <c r="R6" s="59"/>
      <c r="S6" s="59"/>
      <c r="T6" s="60"/>
      <c r="V6" s="59"/>
      <c r="W6" s="59"/>
      <c r="X6" s="59"/>
      <c r="Y6" s="59"/>
      <c r="Z6" s="59"/>
      <c r="AA6" s="59"/>
      <c r="AB6" s="59"/>
      <c r="AC6" t="s">
        <v>251</v>
      </c>
    </row>
    <row r="7" spans="1:29" x14ac:dyDescent="0.25">
      <c r="A7" s="72" t="s">
        <v>132</v>
      </c>
      <c r="B7" s="65" t="s">
        <v>134</v>
      </c>
      <c r="C7" s="74">
        <v>0.38</v>
      </c>
      <c r="D7" s="66"/>
      <c r="E7" s="66"/>
      <c r="F7" s="67"/>
      <c r="G7" s="59"/>
      <c r="H7" s="59"/>
      <c r="I7" s="60"/>
      <c r="J7" s="61"/>
      <c r="K7" s="61"/>
      <c r="L7" s="59"/>
      <c r="M7" s="59"/>
      <c r="N7" s="59"/>
      <c r="O7" s="95"/>
      <c r="P7" s="61"/>
      <c r="Q7" s="61"/>
      <c r="R7" s="59"/>
      <c r="S7" s="59"/>
      <c r="T7" s="60"/>
      <c r="U7" s="59"/>
      <c r="V7" s="59"/>
      <c r="W7" s="59"/>
      <c r="X7" s="59"/>
      <c r="Y7" s="59"/>
      <c r="Z7" s="59"/>
      <c r="AA7" s="59"/>
      <c r="AB7" s="59"/>
      <c r="AC7" s="59" t="s">
        <v>151</v>
      </c>
    </row>
    <row r="8" spans="1:29" x14ac:dyDescent="0.25">
      <c r="A8" s="72" t="s">
        <v>210</v>
      </c>
      <c r="B8" s="65" t="s">
        <v>43</v>
      </c>
      <c r="C8" s="73">
        <v>4000</v>
      </c>
      <c r="D8" s="66"/>
      <c r="E8" s="66"/>
      <c r="F8" s="67"/>
      <c r="G8" s="59"/>
      <c r="H8" s="59"/>
      <c r="I8" s="60"/>
      <c r="J8" s="61"/>
      <c r="K8" s="61"/>
      <c r="L8" s="59"/>
      <c r="M8" s="59"/>
      <c r="N8" s="59"/>
      <c r="O8" s="95"/>
      <c r="P8" s="61"/>
      <c r="Q8" s="61"/>
      <c r="R8" s="59"/>
      <c r="S8" s="59"/>
      <c r="T8" s="60"/>
      <c r="U8" s="59"/>
      <c r="V8" s="59"/>
      <c r="W8" s="59"/>
      <c r="X8" s="59"/>
      <c r="Y8" s="59"/>
      <c r="Z8" s="59"/>
      <c r="AA8" s="59"/>
      <c r="AB8" s="59"/>
    </row>
    <row r="9" spans="1:29" x14ac:dyDescent="0.25">
      <c r="A9" s="72"/>
      <c r="B9" s="65"/>
      <c r="C9" s="66"/>
      <c r="D9" s="66"/>
      <c r="E9" s="66"/>
      <c r="F9" s="67"/>
      <c r="G9" s="59"/>
      <c r="H9" s="59"/>
      <c r="I9" s="60"/>
      <c r="J9" s="61"/>
      <c r="K9" s="61"/>
      <c r="L9" s="59"/>
      <c r="M9" s="59"/>
      <c r="N9" s="59"/>
      <c r="O9" s="95"/>
      <c r="P9" s="61"/>
      <c r="Q9" s="61"/>
      <c r="R9" s="59"/>
      <c r="S9" s="59"/>
      <c r="T9" s="60"/>
      <c r="U9" s="59"/>
      <c r="V9" s="59"/>
      <c r="W9" s="59"/>
      <c r="X9" s="59"/>
      <c r="Y9" s="59"/>
      <c r="Z9" s="59"/>
      <c r="AA9" s="59"/>
      <c r="AB9" s="59"/>
    </row>
    <row r="10" spans="1:29" x14ac:dyDescent="0.25">
      <c r="A10" s="68" t="s">
        <v>14</v>
      </c>
      <c r="B10" s="69"/>
      <c r="C10" s="70" t="s">
        <v>0</v>
      </c>
      <c r="D10" s="70" t="s">
        <v>1</v>
      </c>
      <c r="E10" s="70" t="s">
        <v>7</v>
      </c>
      <c r="F10" s="75" t="s">
        <v>143</v>
      </c>
      <c r="G10" s="59"/>
      <c r="H10" s="59"/>
      <c r="I10" s="60"/>
      <c r="J10" s="61"/>
      <c r="K10" s="61"/>
      <c r="L10" s="59"/>
      <c r="M10" s="59"/>
      <c r="N10" s="59"/>
      <c r="O10" s="95"/>
      <c r="P10" s="61"/>
      <c r="Q10" s="61"/>
      <c r="R10" s="59"/>
      <c r="S10" s="59"/>
      <c r="T10" s="60"/>
      <c r="U10" s="59"/>
      <c r="V10" s="59"/>
      <c r="W10" s="59"/>
      <c r="X10" s="59"/>
      <c r="Y10" s="59"/>
      <c r="Z10" s="59"/>
      <c r="AA10" s="59"/>
      <c r="AB10" s="59"/>
    </row>
    <row r="11" spans="1:29" x14ac:dyDescent="0.25">
      <c r="A11" s="72" t="s">
        <v>12</v>
      </c>
      <c r="B11" s="65"/>
      <c r="C11" s="66">
        <v>31</v>
      </c>
      <c r="D11" s="66">
        <v>31</v>
      </c>
      <c r="E11" s="66">
        <v>31</v>
      </c>
      <c r="F11" s="67"/>
      <c r="G11" s="59"/>
      <c r="H11" s="59"/>
      <c r="I11" s="60"/>
      <c r="J11" s="61"/>
      <c r="K11" s="61"/>
      <c r="L11" s="59"/>
      <c r="M11" s="59"/>
      <c r="N11" s="59"/>
      <c r="O11" s="95"/>
      <c r="P11" s="61"/>
      <c r="Q11" s="61"/>
      <c r="R11" s="59"/>
      <c r="S11" s="59"/>
      <c r="T11" s="60"/>
      <c r="U11" s="59"/>
      <c r="V11" s="59"/>
      <c r="W11" s="59"/>
      <c r="X11" s="59"/>
      <c r="Y11" s="59"/>
      <c r="Z11" s="59"/>
      <c r="AA11" s="59"/>
      <c r="AB11" s="59"/>
    </row>
    <row r="12" spans="1:29" x14ac:dyDescent="0.25">
      <c r="A12" s="72" t="s">
        <v>2</v>
      </c>
      <c r="B12" s="65" t="s">
        <v>3</v>
      </c>
      <c r="C12" s="66">
        <v>9.5</v>
      </c>
      <c r="D12" s="66">
        <v>22.5</v>
      </c>
      <c r="E12" s="66">
        <v>15</v>
      </c>
      <c r="F12" s="67"/>
      <c r="G12" s="59"/>
      <c r="H12" s="59"/>
      <c r="I12" s="60"/>
      <c r="J12" s="61"/>
      <c r="K12" s="61"/>
      <c r="L12" s="59"/>
      <c r="M12" s="59"/>
      <c r="N12" s="59"/>
      <c r="O12" s="95"/>
      <c r="P12" s="61"/>
      <c r="Q12" s="61"/>
      <c r="R12" s="59"/>
      <c r="S12" s="59"/>
      <c r="T12" s="60"/>
      <c r="U12" s="59"/>
      <c r="V12" s="59"/>
      <c r="W12" s="59"/>
      <c r="X12" s="59"/>
      <c r="Y12" s="59"/>
      <c r="Z12" s="59"/>
      <c r="AA12" s="59"/>
      <c r="AB12" s="59"/>
    </row>
    <row r="13" spans="1:29" x14ac:dyDescent="0.25">
      <c r="A13" s="72" t="s">
        <v>8</v>
      </c>
      <c r="B13" s="65" t="s">
        <v>3</v>
      </c>
      <c r="C13" s="66">
        <v>2</v>
      </c>
      <c r="D13" s="66">
        <v>5.5</v>
      </c>
      <c r="E13" s="66"/>
      <c r="F13" s="67"/>
      <c r="G13" s="59"/>
      <c r="H13" s="59"/>
      <c r="I13" s="60"/>
      <c r="J13" s="61"/>
      <c r="K13" s="61"/>
      <c r="L13" s="59"/>
      <c r="M13" s="59"/>
      <c r="N13" s="59"/>
      <c r="O13" s="95"/>
      <c r="P13" s="61"/>
      <c r="Q13" s="61"/>
      <c r="R13" s="59"/>
      <c r="S13" s="59"/>
      <c r="T13" s="60"/>
      <c r="U13" s="59"/>
      <c r="V13" s="59"/>
      <c r="W13" s="59"/>
      <c r="X13" s="59"/>
      <c r="Y13" s="59"/>
      <c r="Z13" s="59"/>
      <c r="AA13" s="59"/>
      <c r="AB13" s="59"/>
    </row>
    <row r="14" spans="1:29" x14ac:dyDescent="0.25">
      <c r="A14" s="72" t="s">
        <v>4</v>
      </c>
      <c r="B14" s="65" t="s">
        <v>5</v>
      </c>
      <c r="C14" s="66"/>
      <c r="D14" s="66">
        <v>8</v>
      </c>
      <c r="E14" s="66"/>
      <c r="F14" s="67"/>
      <c r="G14" s="59"/>
      <c r="H14" s="59"/>
      <c r="I14" s="60"/>
      <c r="J14" s="61"/>
      <c r="K14" s="61"/>
      <c r="L14" s="59"/>
      <c r="M14" s="59"/>
      <c r="N14" s="59"/>
      <c r="O14" s="95"/>
      <c r="P14" s="61"/>
      <c r="Q14" s="61"/>
      <c r="R14" s="59"/>
      <c r="S14" s="59"/>
      <c r="T14" s="60"/>
      <c r="U14" s="59"/>
      <c r="V14" s="59"/>
      <c r="W14" s="59"/>
      <c r="X14" s="59"/>
      <c r="Y14" s="59"/>
      <c r="Z14" s="59"/>
      <c r="AA14" s="59"/>
      <c r="AB14" s="59"/>
    </row>
    <row r="15" spans="1:29" x14ac:dyDescent="0.25">
      <c r="A15" s="72" t="s">
        <v>6</v>
      </c>
      <c r="B15" s="65" t="s">
        <v>13</v>
      </c>
      <c r="C15" s="66"/>
      <c r="D15" s="66">
        <v>25</v>
      </c>
      <c r="E15" s="66"/>
      <c r="F15" s="67"/>
      <c r="G15" s="59"/>
      <c r="H15" s="59"/>
      <c r="I15" s="60"/>
      <c r="J15" s="61"/>
      <c r="K15" s="61"/>
      <c r="L15" s="59"/>
      <c r="M15" s="59"/>
      <c r="N15" s="59"/>
      <c r="O15" s="95"/>
      <c r="P15" s="61"/>
      <c r="Q15" s="61"/>
      <c r="R15" s="59"/>
      <c r="S15" s="59"/>
      <c r="T15" s="60"/>
      <c r="U15" s="59"/>
      <c r="V15" s="59"/>
      <c r="W15" s="59"/>
      <c r="X15" s="59"/>
      <c r="Y15" s="59"/>
      <c r="Z15" s="59"/>
      <c r="AA15" s="59"/>
      <c r="AB15" s="59"/>
    </row>
    <row r="16" spans="1:29" x14ac:dyDescent="0.25">
      <c r="A16" s="72" t="s">
        <v>9</v>
      </c>
      <c r="B16" s="65"/>
      <c r="C16" s="76">
        <v>0.84399999999999997</v>
      </c>
      <c r="D16" s="76">
        <v>0.65600000000000003</v>
      </c>
      <c r="E16" s="66"/>
      <c r="F16" s="67"/>
      <c r="G16" s="59"/>
      <c r="H16" s="59"/>
      <c r="I16" s="60"/>
      <c r="J16" s="61"/>
      <c r="K16" s="61"/>
      <c r="L16" s="59"/>
      <c r="M16" s="59"/>
      <c r="N16" s="59"/>
      <c r="O16" s="95"/>
      <c r="P16" s="61"/>
      <c r="Q16" s="61"/>
      <c r="R16" s="59"/>
      <c r="S16" s="59"/>
      <c r="T16" s="60"/>
      <c r="U16" s="59"/>
      <c r="V16" s="59"/>
      <c r="W16" s="59"/>
      <c r="X16" s="59"/>
      <c r="Y16" s="59"/>
      <c r="Z16" s="59"/>
      <c r="AA16" s="59"/>
      <c r="AB16" s="59"/>
    </row>
    <row r="17" spans="1:28" x14ac:dyDescent="0.25">
      <c r="A17" s="72" t="s">
        <v>10</v>
      </c>
      <c r="B17" s="65"/>
      <c r="C17" s="77">
        <f>$C$7*C13/C12*C16</f>
        <v>6.7519999999999997E-2</v>
      </c>
      <c r="D17" s="77">
        <f>$C$7*D13/D12*D16</f>
        <v>6.0935111111111107E-2</v>
      </c>
      <c r="E17" s="66"/>
      <c r="F17" s="67"/>
      <c r="G17" s="59"/>
      <c r="H17" s="59"/>
      <c r="I17" s="60"/>
      <c r="J17" s="61"/>
      <c r="K17" s="61"/>
      <c r="L17" s="59"/>
      <c r="M17" s="59"/>
      <c r="N17" s="59"/>
      <c r="O17" s="95"/>
      <c r="P17" s="61"/>
      <c r="Q17" s="61"/>
      <c r="R17" s="59"/>
      <c r="S17" s="59"/>
      <c r="T17" s="60"/>
      <c r="U17" s="59"/>
      <c r="V17" s="59"/>
      <c r="W17" s="59"/>
      <c r="X17" s="59"/>
      <c r="Y17" s="59"/>
      <c r="Z17" s="59"/>
      <c r="AA17" s="59"/>
      <c r="AB17" s="59"/>
    </row>
    <row r="18" spans="1:28" x14ac:dyDescent="0.25">
      <c r="A18" s="72" t="s">
        <v>69</v>
      </c>
      <c r="B18" s="65"/>
      <c r="C18" s="77">
        <f>SUM(C16:C17)</f>
        <v>0.91152</v>
      </c>
      <c r="D18" s="77">
        <f>SUM(D16:D17)</f>
        <v>0.71693511111111108</v>
      </c>
      <c r="E18" s="66"/>
      <c r="F18" s="67"/>
      <c r="G18" s="59"/>
      <c r="H18" s="59"/>
      <c r="I18" s="60"/>
      <c r="J18" s="61"/>
      <c r="K18" s="61"/>
      <c r="L18" s="59"/>
      <c r="M18" s="59"/>
      <c r="N18" s="59"/>
      <c r="O18" s="95"/>
      <c r="P18" s="61"/>
      <c r="Q18" s="61"/>
      <c r="R18" s="59"/>
      <c r="S18" s="59"/>
      <c r="T18" s="60"/>
      <c r="U18" s="59"/>
      <c r="V18" s="59"/>
      <c r="W18" s="59"/>
      <c r="X18" s="59"/>
      <c r="Y18" s="59"/>
      <c r="Z18" s="59"/>
      <c r="AA18" s="59"/>
      <c r="AB18" s="59"/>
    </row>
    <row r="19" spans="1:28" x14ac:dyDescent="0.25">
      <c r="A19" s="72" t="s">
        <v>11</v>
      </c>
      <c r="B19" s="65"/>
      <c r="C19" s="66"/>
      <c r="D19" s="78">
        <v>0.22470000000000001</v>
      </c>
      <c r="E19" s="66"/>
      <c r="F19" s="67"/>
      <c r="G19" s="59"/>
      <c r="H19" s="59"/>
      <c r="I19" s="60"/>
      <c r="J19" s="61"/>
      <c r="K19" s="61"/>
      <c r="L19" s="59"/>
      <c r="M19" s="59"/>
      <c r="N19" s="59"/>
      <c r="O19" s="95"/>
      <c r="P19" s="61"/>
      <c r="Q19" s="61"/>
      <c r="R19" s="59"/>
      <c r="S19" s="59"/>
      <c r="T19" s="60"/>
      <c r="U19" s="59"/>
      <c r="V19" s="59"/>
      <c r="W19" s="59"/>
      <c r="X19" s="59"/>
      <c r="Y19" s="59"/>
      <c r="Z19" s="59"/>
      <c r="AA19" s="59"/>
      <c r="AB19" s="59"/>
    </row>
    <row r="20" spans="1:28" x14ac:dyDescent="0.25">
      <c r="A20" s="72" t="s">
        <v>20</v>
      </c>
      <c r="B20" s="65" t="s">
        <v>21</v>
      </c>
      <c r="C20" s="66">
        <v>30</v>
      </c>
      <c r="D20" s="66">
        <v>50</v>
      </c>
      <c r="E20" s="66">
        <v>10</v>
      </c>
      <c r="F20" s="67">
        <v>10</v>
      </c>
      <c r="G20" s="59"/>
      <c r="H20" s="59"/>
      <c r="I20" s="60"/>
      <c r="J20" s="61"/>
      <c r="K20" s="61"/>
      <c r="L20" s="59"/>
      <c r="M20" s="59"/>
      <c r="N20" s="59"/>
      <c r="O20" s="95"/>
      <c r="P20" s="61"/>
      <c r="Q20" s="61"/>
      <c r="R20" s="59"/>
      <c r="S20" s="59"/>
      <c r="T20" s="60"/>
      <c r="U20" s="59"/>
      <c r="V20" s="59"/>
      <c r="W20" s="59"/>
      <c r="X20" s="59"/>
      <c r="Y20" s="59"/>
      <c r="Z20" s="59"/>
      <c r="AA20" s="59"/>
      <c r="AB20" s="59"/>
    </row>
    <row r="21" spans="1:28" x14ac:dyDescent="0.25">
      <c r="A21" s="72"/>
      <c r="B21" s="65"/>
      <c r="C21" s="66"/>
      <c r="D21" s="66"/>
      <c r="E21" s="66"/>
      <c r="F21" s="67"/>
      <c r="G21" s="59"/>
      <c r="H21" s="59"/>
      <c r="I21" s="60"/>
      <c r="J21" s="61"/>
      <c r="K21" s="61"/>
      <c r="L21" s="59"/>
      <c r="M21" s="59"/>
      <c r="N21" s="59"/>
      <c r="O21" s="95"/>
      <c r="P21" s="61"/>
      <c r="Q21" s="61"/>
      <c r="R21" s="59"/>
      <c r="S21" s="59"/>
      <c r="T21" s="60"/>
      <c r="U21" s="59"/>
      <c r="V21" s="59"/>
      <c r="W21" s="59"/>
      <c r="X21" s="59"/>
      <c r="Y21" s="59"/>
      <c r="Z21" s="59"/>
      <c r="AA21" s="59"/>
      <c r="AB21" s="59"/>
    </row>
    <row r="22" spans="1:28" x14ac:dyDescent="0.25">
      <c r="A22" s="79" t="s">
        <v>15</v>
      </c>
      <c r="B22" s="65"/>
      <c r="C22" s="70" t="s">
        <v>16</v>
      </c>
      <c r="D22" s="70" t="s">
        <v>18</v>
      </c>
      <c r="E22" s="70" t="s">
        <v>22</v>
      </c>
      <c r="F22" s="67"/>
      <c r="G22" s="59"/>
      <c r="H22" s="59"/>
      <c r="I22" s="60"/>
      <c r="J22" s="61"/>
      <c r="K22" s="61"/>
      <c r="L22" s="59"/>
      <c r="M22" s="59"/>
      <c r="N22" s="59"/>
      <c r="O22" s="95"/>
      <c r="P22" s="61"/>
      <c r="Q22" s="61"/>
      <c r="R22" s="59"/>
      <c r="S22" s="59"/>
      <c r="T22" s="60"/>
      <c r="U22" s="59"/>
      <c r="V22" s="59"/>
      <c r="W22" s="59"/>
      <c r="X22" s="59"/>
      <c r="Y22" s="59"/>
      <c r="Z22" s="59"/>
      <c r="AA22" s="59"/>
      <c r="AB22" s="59"/>
    </row>
    <row r="23" spans="1:28" x14ac:dyDescent="0.25">
      <c r="A23" s="72" t="s">
        <v>19</v>
      </c>
      <c r="B23" s="65" t="s">
        <v>17</v>
      </c>
      <c r="C23" s="66"/>
      <c r="D23" s="66"/>
      <c r="E23" s="66"/>
      <c r="F23" s="67"/>
      <c r="G23" s="59"/>
      <c r="H23" s="59"/>
      <c r="I23" s="60"/>
      <c r="J23" s="61"/>
      <c r="K23" s="61"/>
      <c r="L23" s="59"/>
      <c r="M23" s="59"/>
      <c r="N23" s="59"/>
      <c r="O23" s="95"/>
      <c r="P23" s="61"/>
      <c r="Q23" s="61"/>
      <c r="R23" s="59"/>
      <c r="S23" s="59"/>
      <c r="T23" s="60"/>
      <c r="U23" s="59"/>
      <c r="V23" s="59"/>
      <c r="W23" s="59"/>
      <c r="X23" s="59"/>
      <c r="Y23" s="59"/>
      <c r="Z23" s="59"/>
      <c r="AA23" s="59"/>
      <c r="AB23" s="59"/>
    </row>
    <row r="24" spans="1:28" x14ac:dyDescent="0.25">
      <c r="A24" s="72" t="s">
        <v>56</v>
      </c>
      <c r="B24" s="65"/>
      <c r="C24" s="80">
        <f>C5/SUM(C5:C6)</f>
        <v>1</v>
      </c>
      <c r="D24" s="80">
        <f>1-AndelAffald</f>
        <v>0</v>
      </c>
      <c r="E24" s="66"/>
      <c r="F24" s="67"/>
      <c r="G24" s="59"/>
      <c r="H24" s="59"/>
      <c r="I24" s="60"/>
      <c r="J24" s="61"/>
      <c r="K24" s="61"/>
      <c r="L24" s="59"/>
      <c r="M24" s="59"/>
      <c r="N24" s="59"/>
      <c r="O24" s="95"/>
      <c r="P24" s="61"/>
      <c r="Q24" s="61"/>
      <c r="R24" s="59"/>
      <c r="S24" s="59"/>
      <c r="T24" s="60"/>
      <c r="U24" s="59"/>
      <c r="V24" s="59"/>
      <c r="W24" s="59"/>
      <c r="X24" s="59"/>
      <c r="Y24" s="59"/>
      <c r="Z24" s="59"/>
      <c r="AA24" s="59"/>
      <c r="AB24" s="59"/>
    </row>
    <row r="25" spans="1:28" x14ac:dyDescent="0.25">
      <c r="A25" s="72" t="s">
        <v>62</v>
      </c>
      <c r="B25" s="65" t="s">
        <v>17</v>
      </c>
      <c r="C25" s="81">
        <f>SUM(C5:C6)</f>
        <v>12000</v>
      </c>
      <c r="D25" s="66"/>
      <c r="E25" s="66"/>
      <c r="F25" s="67"/>
      <c r="G25" s="59"/>
      <c r="H25" s="59"/>
      <c r="I25" s="60"/>
      <c r="J25" s="61"/>
      <c r="K25" s="61"/>
      <c r="L25" s="59"/>
      <c r="M25" s="59"/>
      <c r="N25" s="59"/>
      <c r="O25" s="95"/>
      <c r="P25" s="61"/>
      <c r="Q25" s="61"/>
      <c r="R25" s="59"/>
      <c r="S25" s="59"/>
      <c r="U25" s="62"/>
      <c r="V25" s="62"/>
      <c r="W25" s="62"/>
      <c r="X25" s="62"/>
      <c r="Y25" s="62"/>
      <c r="Z25" s="62"/>
      <c r="AA25" s="59"/>
      <c r="AB25" s="59"/>
    </row>
    <row r="26" spans="1:28" x14ac:dyDescent="0.25">
      <c r="A26" s="72" t="s">
        <v>61</v>
      </c>
      <c r="B26" s="65" t="s">
        <v>32</v>
      </c>
      <c r="C26" s="82">
        <f>(C5*LHVaffald+C6*LHVbioaffald)/Ftotal</f>
        <v>10.199999999999999</v>
      </c>
      <c r="D26" s="83">
        <f>Htotal/3.6</f>
        <v>2.833333333333333</v>
      </c>
      <c r="E26" s="66"/>
      <c r="F26" s="67"/>
      <c r="G26" s="59"/>
      <c r="H26" s="59"/>
      <c r="I26" s="60"/>
      <c r="J26" s="61"/>
      <c r="K26" s="61"/>
      <c r="L26" s="59"/>
      <c r="M26" s="59"/>
      <c r="N26" s="59"/>
      <c r="O26" s="95"/>
      <c r="P26" s="61"/>
      <c r="Q26" s="61"/>
      <c r="R26" s="59"/>
      <c r="S26" s="59"/>
      <c r="T26" s="60"/>
      <c r="U26" s="59"/>
      <c r="V26" s="59"/>
      <c r="W26" s="59"/>
      <c r="X26" s="59"/>
      <c r="Y26" s="59"/>
      <c r="Z26" s="59"/>
      <c r="AA26" s="59"/>
      <c r="AB26" s="59"/>
    </row>
    <row r="27" spans="1:28" x14ac:dyDescent="0.25">
      <c r="A27" s="72" t="s">
        <v>41</v>
      </c>
      <c r="B27" s="65" t="s">
        <v>26</v>
      </c>
      <c r="C27" s="66">
        <v>400</v>
      </c>
      <c r="D27" s="66">
        <f>-6.5*3.6</f>
        <v>-23.400000000000002</v>
      </c>
      <c r="E27" s="66">
        <v>0</v>
      </c>
      <c r="F27" s="67"/>
      <c r="G27" s="59"/>
      <c r="H27" s="59"/>
      <c r="I27" s="60"/>
      <c r="J27" s="61"/>
      <c r="K27" s="61"/>
      <c r="L27" s="59"/>
      <c r="M27" s="59"/>
      <c r="N27" s="59"/>
      <c r="O27" s="95"/>
      <c r="P27" s="61"/>
      <c r="Q27" s="61"/>
      <c r="R27" s="59"/>
      <c r="S27" s="59"/>
      <c r="T27" s="60"/>
      <c r="U27" s="59"/>
      <c r="V27" s="59"/>
      <c r="W27" s="59"/>
      <c r="X27" s="59"/>
      <c r="Y27" s="59"/>
      <c r="Z27" s="59"/>
      <c r="AA27" s="59"/>
      <c r="AB27" s="59"/>
    </row>
    <row r="28" spans="1:28" x14ac:dyDescent="0.25">
      <c r="A28" s="72" t="s">
        <v>31</v>
      </c>
      <c r="B28" s="65" t="s">
        <v>32</v>
      </c>
      <c r="C28" s="66">
        <v>10.199999999999999</v>
      </c>
      <c r="D28" s="66">
        <v>14</v>
      </c>
      <c r="E28" s="66">
        <v>3.6</v>
      </c>
      <c r="F28" s="67"/>
      <c r="G28" s="59"/>
      <c r="H28" s="59"/>
      <c r="I28" s="60"/>
      <c r="J28" s="61"/>
      <c r="K28" s="61"/>
      <c r="L28" s="59"/>
      <c r="M28" s="59"/>
      <c r="N28" s="59"/>
      <c r="O28" s="95"/>
      <c r="P28" s="61"/>
      <c r="Q28" s="61"/>
      <c r="R28" s="59"/>
      <c r="S28" s="59"/>
      <c r="T28" s="60"/>
      <c r="U28" s="59"/>
      <c r="V28" s="59"/>
      <c r="W28" s="59"/>
      <c r="X28" s="59"/>
      <c r="Y28" s="59"/>
      <c r="Z28" s="59"/>
      <c r="AA28" s="59"/>
      <c r="AB28" s="59"/>
    </row>
    <row r="29" spans="1:28" x14ac:dyDescent="0.25">
      <c r="A29" s="72" t="s">
        <v>38</v>
      </c>
      <c r="B29" s="65" t="s">
        <v>36</v>
      </c>
      <c r="C29" s="66">
        <v>37</v>
      </c>
      <c r="D29" s="66">
        <v>0</v>
      </c>
      <c r="E29" s="66">
        <v>0</v>
      </c>
      <c r="F29" s="67"/>
      <c r="G29" s="59"/>
      <c r="H29" s="59"/>
      <c r="I29" s="60"/>
      <c r="J29" s="61"/>
      <c r="K29" s="61"/>
      <c r="L29" s="59"/>
      <c r="M29" s="59"/>
      <c r="N29" s="59"/>
      <c r="O29" s="95"/>
      <c r="P29" s="61"/>
      <c r="Q29" s="61"/>
      <c r="R29" s="59"/>
      <c r="S29" s="59"/>
      <c r="T29" s="60"/>
      <c r="U29" s="59"/>
      <c r="V29" s="59"/>
      <c r="W29" s="59"/>
      <c r="X29" s="59"/>
      <c r="Y29" s="59"/>
      <c r="Z29" s="59"/>
      <c r="AA29" s="59"/>
      <c r="AB29" s="59"/>
    </row>
    <row r="30" spans="1:28" x14ac:dyDescent="0.25">
      <c r="A30" s="72" t="s">
        <v>39</v>
      </c>
      <c r="B30" s="65" t="s">
        <v>36</v>
      </c>
      <c r="C30" s="66">
        <v>42.5</v>
      </c>
      <c r="D30" s="66">
        <v>0</v>
      </c>
      <c r="E30" s="66">
        <v>0</v>
      </c>
      <c r="F30" s="67"/>
      <c r="G30" s="59"/>
      <c r="H30" s="59"/>
      <c r="I30" s="60"/>
      <c r="J30" s="61"/>
      <c r="K30" s="61"/>
      <c r="L30" s="59"/>
      <c r="M30" s="59"/>
      <c r="N30" s="59"/>
      <c r="O30" s="95"/>
      <c r="P30" s="61"/>
      <c r="Q30" s="61"/>
      <c r="R30" s="59"/>
      <c r="S30" s="59"/>
      <c r="T30" s="60"/>
      <c r="U30" s="59"/>
      <c r="V30" s="59"/>
      <c r="W30" s="59"/>
      <c r="X30" s="59"/>
      <c r="Y30" s="59"/>
      <c r="Z30" s="59"/>
      <c r="AA30" s="59"/>
      <c r="AB30" s="59"/>
    </row>
    <row r="31" spans="1:28" x14ac:dyDescent="0.25">
      <c r="A31" s="72" t="s">
        <v>139</v>
      </c>
      <c r="B31" s="65" t="s">
        <v>32</v>
      </c>
      <c r="C31" s="66">
        <v>10.6</v>
      </c>
      <c r="D31" s="66">
        <v>0</v>
      </c>
      <c r="E31" s="66">
        <v>0</v>
      </c>
      <c r="F31" s="67"/>
      <c r="G31" s="59"/>
      <c r="H31" s="59"/>
      <c r="I31" s="60"/>
      <c r="J31" s="61"/>
      <c r="K31" s="61"/>
      <c r="L31" s="59"/>
      <c r="M31" s="59"/>
      <c r="N31" s="59"/>
      <c r="O31" s="95"/>
      <c r="P31" s="61"/>
      <c r="Q31" s="61"/>
      <c r="R31" s="59"/>
      <c r="S31" s="59"/>
      <c r="T31" s="60"/>
      <c r="U31" s="59"/>
      <c r="V31" s="59"/>
      <c r="W31" s="59"/>
      <c r="X31" s="59"/>
      <c r="Y31" s="59"/>
      <c r="Z31" s="59"/>
      <c r="AA31" s="59"/>
      <c r="AB31" s="59"/>
    </row>
    <row r="32" spans="1:28" x14ac:dyDescent="0.25">
      <c r="A32" s="79" t="s">
        <v>23</v>
      </c>
      <c r="B32" s="65"/>
      <c r="C32" s="66"/>
      <c r="D32" s="66"/>
      <c r="E32" s="66"/>
      <c r="F32" s="67"/>
      <c r="G32" s="59"/>
      <c r="H32" s="59"/>
      <c r="I32" s="60"/>
      <c r="J32" s="61"/>
      <c r="K32" s="61"/>
      <c r="L32" s="59"/>
      <c r="M32" s="59"/>
      <c r="N32" s="59"/>
      <c r="O32" s="95"/>
      <c r="P32" s="61"/>
      <c r="Q32" s="61"/>
      <c r="R32" s="59"/>
      <c r="S32" s="59"/>
      <c r="T32" s="60"/>
      <c r="U32" s="59"/>
      <c r="V32" s="59"/>
      <c r="W32" s="59"/>
      <c r="X32" s="59"/>
      <c r="Y32" s="59"/>
      <c r="Z32" s="59"/>
      <c r="AA32" s="59"/>
      <c r="AB32" s="59"/>
    </row>
    <row r="33" spans="1:28" x14ac:dyDescent="0.25">
      <c r="A33" s="72" t="s">
        <v>30</v>
      </c>
      <c r="B33" s="65" t="s">
        <v>25</v>
      </c>
      <c r="C33" s="66">
        <v>311</v>
      </c>
      <c r="D33" s="66"/>
      <c r="E33" s="66"/>
      <c r="F33" s="67"/>
      <c r="G33" s="59"/>
      <c r="H33" s="59"/>
      <c r="I33" s="60"/>
      <c r="J33" s="61"/>
      <c r="K33" s="61"/>
      <c r="L33" s="59"/>
      <c r="M33" s="59"/>
      <c r="N33" s="59"/>
      <c r="O33" s="95"/>
      <c r="P33" s="61"/>
      <c r="Q33" s="61"/>
      <c r="R33" s="59"/>
      <c r="S33" s="59"/>
      <c r="T33" s="60"/>
      <c r="U33" s="59"/>
      <c r="V33" s="59"/>
      <c r="W33" s="59"/>
      <c r="X33" s="59"/>
      <c r="Y33" s="59"/>
      <c r="Z33" s="59"/>
      <c r="AA33" s="59"/>
      <c r="AB33" s="59"/>
    </row>
    <row r="34" spans="1:28" x14ac:dyDescent="0.25">
      <c r="A34" s="72" t="s">
        <v>27</v>
      </c>
      <c r="B34" s="65" t="s">
        <v>28</v>
      </c>
      <c r="C34" s="66">
        <v>800</v>
      </c>
      <c r="D34" s="66"/>
      <c r="E34" s="66"/>
      <c r="F34" s="67"/>
      <c r="G34" s="59"/>
      <c r="H34" s="59"/>
      <c r="I34" s="60"/>
      <c r="J34" s="61"/>
      <c r="K34" s="61"/>
      <c r="L34" s="59"/>
      <c r="M34" s="59"/>
      <c r="N34" s="59"/>
      <c r="O34" s="95"/>
      <c r="P34" s="61"/>
      <c r="Q34" s="61"/>
      <c r="R34" s="59"/>
      <c r="S34" s="59"/>
      <c r="T34" s="60"/>
      <c r="U34" s="59"/>
      <c r="V34" s="59"/>
      <c r="W34" s="59"/>
      <c r="X34" s="59"/>
      <c r="Y34" s="59"/>
      <c r="Z34" s="59"/>
      <c r="AA34" s="59"/>
      <c r="AB34" s="59"/>
    </row>
    <row r="35" spans="1:28" x14ac:dyDescent="0.25">
      <c r="A35" s="72" t="s">
        <v>42</v>
      </c>
      <c r="B35" s="65" t="s">
        <v>28</v>
      </c>
      <c r="C35" s="66">
        <v>4</v>
      </c>
      <c r="D35" s="66"/>
      <c r="E35" s="66"/>
      <c r="F35" s="67"/>
      <c r="G35" s="59"/>
      <c r="H35" s="59"/>
      <c r="I35" s="60"/>
      <c r="J35" s="61"/>
      <c r="K35" s="61"/>
      <c r="L35" s="59"/>
      <c r="M35" s="59"/>
      <c r="N35" s="59"/>
      <c r="O35" s="95"/>
      <c r="P35" s="61"/>
      <c r="Q35" s="61"/>
      <c r="R35" s="59"/>
      <c r="S35" s="59"/>
      <c r="T35" s="60"/>
      <c r="U35" s="59"/>
      <c r="V35" s="59"/>
      <c r="W35" s="59"/>
      <c r="X35" s="59"/>
      <c r="Y35" s="59"/>
      <c r="Z35" s="59"/>
      <c r="AA35" s="59"/>
      <c r="AB35" s="59"/>
    </row>
    <row r="36" spans="1:28" x14ac:dyDescent="0.25">
      <c r="A36" s="72" t="s">
        <v>29</v>
      </c>
      <c r="B36" s="65" t="s">
        <v>40</v>
      </c>
      <c r="C36" s="66">
        <v>400</v>
      </c>
      <c r="D36" s="66"/>
      <c r="E36" s="66"/>
      <c r="F36" s="67"/>
      <c r="G36" s="59"/>
      <c r="H36" s="59"/>
      <c r="I36" s="60"/>
      <c r="J36" s="61"/>
      <c r="K36" s="61"/>
      <c r="L36" s="59"/>
      <c r="M36" s="59"/>
      <c r="N36" s="59"/>
      <c r="O36" s="95"/>
      <c r="P36" s="61"/>
      <c r="Q36" s="61"/>
      <c r="R36" s="59"/>
      <c r="S36" s="59"/>
      <c r="T36" s="60"/>
      <c r="U36" s="59"/>
      <c r="V36" s="59"/>
      <c r="W36" s="59"/>
      <c r="X36" s="59"/>
      <c r="Y36" s="59"/>
      <c r="Z36" s="59"/>
      <c r="AA36" s="59"/>
      <c r="AB36" s="59"/>
    </row>
    <row r="37" spans="1:28" x14ac:dyDescent="0.25">
      <c r="A37" s="72" t="s">
        <v>33</v>
      </c>
      <c r="B37" s="65" t="s">
        <v>37</v>
      </c>
      <c r="C37" s="66">
        <v>25.8</v>
      </c>
      <c r="D37" s="66"/>
      <c r="E37" s="66"/>
      <c r="F37" s="67"/>
      <c r="G37" s="59"/>
      <c r="H37" s="59"/>
      <c r="I37" s="60"/>
      <c r="J37" s="61"/>
      <c r="K37" s="61"/>
      <c r="L37" s="59"/>
      <c r="M37" s="59"/>
      <c r="N37" s="59"/>
      <c r="O37" s="95"/>
      <c r="P37" s="61"/>
      <c r="Q37" s="61"/>
      <c r="R37" s="59"/>
      <c r="S37" s="59"/>
      <c r="T37" s="60"/>
      <c r="U37" s="59"/>
      <c r="V37" s="59"/>
      <c r="W37" s="59"/>
      <c r="X37" s="59"/>
      <c r="Y37" s="59"/>
      <c r="Z37" s="59"/>
      <c r="AA37" s="59"/>
      <c r="AB37" s="59"/>
    </row>
    <row r="38" spans="1:28" x14ac:dyDescent="0.25">
      <c r="A38" s="72" t="s">
        <v>34</v>
      </c>
      <c r="B38" s="65" t="s">
        <v>37</v>
      </c>
      <c r="C38" s="66">
        <v>31.8</v>
      </c>
      <c r="D38" s="66"/>
      <c r="E38" s="66"/>
      <c r="F38" s="67"/>
      <c r="G38" s="59"/>
      <c r="H38" s="59"/>
      <c r="I38" s="60"/>
      <c r="J38" s="61"/>
      <c r="K38" s="61"/>
      <c r="L38" s="59"/>
      <c r="M38" s="59"/>
      <c r="N38" s="59"/>
      <c r="O38" s="95"/>
      <c r="P38" s="61"/>
      <c r="Q38" s="61"/>
      <c r="R38" s="59"/>
      <c r="S38" s="59"/>
      <c r="T38" s="60"/>
      <c r="U38" s="59"/>
      <c r="V38" s="59"/>
      <c r="W38" s="59"/>
      <c r="X38" s="59"/>
      <c r="Y38" s="59"/>
      <c r="Z38" s="59"/>
      <c r="AA38" s="59"/>
      <c r="AB38" s="59"/>
    </row>
    <row r="39" spans="1:28" x14ac:dyDescent="0.25">
      <c r="A39" s="84" t="s">
        <v>35</v>
      </c>
      <c r="B39" s="85" t="s">
        <v>40</v>
      </c>
      <c r="C39" s="57">
        <v>178.5</v>
      </c>
      <c r="D39" s="57"/>
      <c r="E39" s="57"/>
      <c r="F39" s="86"/>
      <c r="G39" s="59"/>
      <c r="H39" s="59"/>
      <c r="I39" s="60"/>
      <c r="J39" s="61"/>
      <c r="K39" s="61"/>
      <c r="L39" s="59"/>
      <c r="M39" s="59"/>
      <c r="N39" s="59"/>
      <c r="O39" s="95"/>
      <c r="P39" s="61"/>
      <c r="Q39" s="61"/>
      <c r="R39" s="59"/>
      <c r="S39" s="59"/>
      <c r="T39" s="60"/>
      <c r="U39" s="59"/>
      <c r="V39" s="59"/>
      <c r="W39" s="59"/>
      <c r="X39" s="59"/>
      <c r="Y39" s="59"/>
      <c r="Z39" s="59"/>
      <c r="AA39" s="59"/>
      <c r="AB39" s="59"/>
    </row>
    <row r="40" spans="1:28" x14ac:dyDescent="0.25">
      <c r="A40" s="59"/>
      <c r="B40" s="60"/>
      <c r="C40" s="59"/>
      <c r="D40" s="59"/>
      <c r="E40" s="59"/>
      <c r="F40" s="59"/>
      <c r="G40" s="59"/>
      <c r="H40" s="59"/>
      <c r="I40" s="60"/>
      <c r="J40" s="61"/>
      <c r="K40" s="61"/>
      <c r="L40" s="59"/>
      <c r="M40" s="59"/>
      <c r="N40" s="59"/>
      <c r="O40" s="95"/>
      <c r="P40" s="61"/>
      <c r="Q40" s="61"/>
      <c r="R40" s="59"/>
      <c r="S40" s="59"/>
      <c r="T40" s="60"/>
      <c r="U40" s="59"/>
      <c r="V40" s="59"/>
      <c r="W40" s="59"/>
      <c r="X40" s="59"/>
      <c r="Y40" s="59"/>
      <c r="Z40" s="59"/>
      <c r="AA40" s="59"/>
      <c r="AB40" s="59"/>
    </row>
    <row r="41" spans="1:28" x14ac:dyDescent="0.25">
      <c r="A41" s="87"/>
      <c r="B41" s="60"/>
      <c r="C41" s="59"/>
      <c r="D41" s="59"/>
      <c r="E41" s="59"/>
      <c r="F41" s="59"/>
      <c r="G41" s="59"/>
      <c r="H41" s="59"/>
      <c r="I41" s="60"/>
      <c r="J41" s="61"/>
      <c r="K41" s="61"/>
      <c r="L41" s="59"/>
      <c r="M41" s="59"/>
      <c r="N41" s="59"/>
      <c r="O41" s="95"/>
      <c r="P41" s="61"/>
      <c r="Q41" s="61"/>
      <c r="R41" s="59"/>
      <c r="S41" s="59"/>
      <c r="T41" s="60"/>
      <c r="U41" s="59"/>
      <c r="V41" s="59"/>
      <c r="W41" s="59"/>
      <c r="X41" s="59"/>
      <c r="Y41" s="59"/>
      <c r="Z41" s="59"/>
      <c r="AA41" s="59"/>
      <c r="AB41" s="59"/>
    </row>
    <row r="42" spans="1:28" x14ac:dyDescent="0.25">
      <c r="A42" s="60"/>
      <c r="B42" s="60"/>
      <c r="C42" s="59"/>
      <c r="D42" s="59"/>
      <c r="E42" s="59"/>
      <c r="F42" s="59"/>
      <c r="G42" s="59"/>
      <c r="H42" s="59"/>
      <c r="I42" s="60"/>
      <c r="J42" s="61"/>
      <c r="K42" s="61"/>
      <c r="L42" s="59"/>
      <c r="M42" s="59"/>
      <c r="N42" s="59"/>
      <c r="O42" s="95"/>
      <c r="P42" s="61"/>
      <c r="Q42" s="61"/>
      <c r="R42" s="59"/>
      <c r="S42" s="59"/>
      <c r="T42" s="60"/>
      <c r="U42" s="59"/>
      <c r="V42" s="59"/>
      <c r="W42" s="59"/>
      <c r="X42" s="59"/>
      <c r="Y42" s="59"/>
      <c r="Z42" s="59"/>
      <c r="AA42" s="59"/>
      <c r="AB42" s="59"/>
    </row>
    <row r="43" spans="1:28" x14ac:dyDescent="0.25">
      <c r="A43" s="60"/>
      <c r="B43" s="60"/>
      <c r="C43" s="59"/>
      <c r="D43" s="59"/>
      <c r="E43" s="59"/>
      <c r="F43" s="59"/>
      <c r="G43" s="59"/>
      <c r="H43" s="59"/>
      <c r="I43" s="60"/>
      <c r="J43" s="61"/>
      <c r="K43" s="61"/>
      <c r="L43" s="59"/>
      <c r="M43" s="59"/>
      <c r="N43" s="59"/>
      <c r="O43" s="95"/>
      <c r="P43" s="61"/>
      <c r="Q43" s="61"/>
      <c r="R43" s="59"/>
      <c r="S43" s="59"/>
      <c r="T43" s="60"/>
      <c r="U43" s="59"/>
      <c r="V43" s="59"/>
      <c r="W43" s="59"/>
      <c r="X43" s="59"/>
      <c r="Y43" s="59"/>
      <c r="Z43" s="59"/>
      <c r="AA43" s="59"/>
      <c r="AB43" s="59"/>
    </row>
    <row r="44" spans="1:28" x14ac:dyDescent="0.25">
      <c r="A44" s="59"/>
      <c r="B44" s="60"/>
      <c r="C44" s="59"/>
      <c r="D44" s="59"/>
      <c r="E44" s="59"/>
      <c r="F44" s="59"/>
      <c r="G44" s="59"/>
      <c r="H44" s="59"/>
      <c r="I44" s="60"/>
      <c r="J44" s="61"/>
      <c r="K44" s="61"/>
      <c r="L44" s="59"/>
      <c r="M44" s="59"/>
      <c r="N44" s="59"/>
      <c r="O44" s="95"/>
      <c r="P44" s="61"/>
      <c r="Q44" s="61"/>
      <c r="R44" s="59"/>
      <c r="S44" s="59"/>
      <c r="T44" s="60"/>
      <c r="U44" s="59"/>
      <c r="V44" s="59"/>
      <c r="W44" s="59"/>
      <c r="X44" s="59"/>
      <c r="Y44" s="59"/>
      <c r="Z44" s="59"/>
      <c r="AA44" s="59"/>
      <c r="AB44" s="59"/>
    </row>
    <row r="45" spans="1:28" x14ac:dyDescent="0.25">
      <c r="G45" s="59"/>
      <c r="H45" s="59"/>
      <c r="I45" s="60"/>
      <c r="J45" s="61"/>
      <c r="K45" s="61"/>
      <c r="L45" s="59"/>
      <c r="M45" s="59"/>
      <c r="N45" s="59"/>
      <c r="O45" s="95"/>
      <c r="P45" s="61"/>
      <c r="Q45" s="61"/>
      <c r="R45" s="59"/>
      <c r="S45" s="59"/>
      <c r="T45" s="60"/>
      <c r="U45" s="59"/>
      <c r="V45" s="59"/>
      <c r="W45" s="59"/>
      <c r="X45" s="59"/>
      <c r="Y45" s="59"/>
      <c r="Z45" s="59"/>
      <c r="AA45" s="59"/>
      <c r="AB45" s="59"/>
    </row>
    <row r="46" spans="1:28" x14ac:dyDescent="0.25">
      <c r="H46" s="21" t="s">
        <v>144</v>
      </c>
      <c r="I46" s="21"/>
      <c r="J46" s="21"/>
      <c r="K46" s="21"/>
      <c r="L46" s="21"/>
      <c r="N46" s="20" t="s">
        <v>44</v>
      </c>
      <c r="O46" s="20"/>
      <c r="P46" s="20"/>
      <c r="Q46" s="20"/>
      <c r="R46" s="20"/>
      <c r="T46" s="60"/>
      <c r="U46" s="59"/>
      <c r="V46" s="59"/>
      <c r="W46" s="59"/>
      <c r="X46" s="59"/>
      <c r="Y46" s="59"/>
      <c r="Z46" s="59"/>
      <c r="AA46" s="59"/>
      <c r="AB46" s="59"/>
    </row>
    <row r="47" spans="1:28" x14ac:dyDescent="0.25">
      <c r="T47" s="60"/>
      <c r="U47" s="59"/>
      <c r="V47" s="59"/>
      <c r="W47" s="59"/>
      <c r="X47" s="59"/>
      <c r="Y47" s="59"/>
      <c r="Z47" s="59"/>
      <c r="AA47" s="59"/>
      <c r="AB47" s="59"/>
    </row>
    <row r="48" spans="1:28" x14ac:dyDescent="0.25">
      <c r="I48" s="8" t="s">
        <v>49</v>
      </c>
      <c r="J48" s="15"/>
      <c r="K48" s="15"/>
      <c r="L48" s="3"/>
      <c r="N48" s="3" t="s">
        <v>235</v>
      </c>
      <c r="O48" s="7" t="s">
        <v>49</v>
      </c>
      <c r="P48" s="15" t="str">
        <f>J101</f>
        <v>Uden RGK</v>
      </c>
      <c r="Q48" s="15" t="str">
        <f t="shared" ref="Q48:R48" si="0">K101</f>
        <v>Med 38% RGK</v>
      </c>
      <c r="R48" s="15" t="str">
        <f t="shared" si="0"/>
        <v>RGK ift. nominel</v>
      </c>
      <c r="T48" s="60"/>
      <c r="U48" s="59"/>
      <c r="V48" s="59"/>
      <c r="W48" s="59"/>
      <c r="X48" s="59"/>
      <c r="Y48" s="59"/>
      <c r="Z48" s="59"/>
      <c r="AA48" s="59"/>
      <c r="AB48" s="59"/>
    </row>
    <row r="49" spans="8:28" x14ac:dyDescent="0.25">
      <c r="H49" s="3" t="s">
        <v>137</v>
      </c>
      <c r="I49" s="8"/>
      <c r="J49" s="15" t="s">
        <v>0</v>
      </c>
      <c r="K49" s="15" t="s">
        <v>1</v>
      </c>
      <c r="L49" s="4" t="s">
        <v>155</v>
      </c>
      <c r="N49" s="14" t="str">
        <f>H114</f>
        <v>Indtægter total</v>
      </c>
      <c r="O49" s="99" t="str">
        <f>I114</f>
        <v>tkr</v>
      </c>
      <c r="P49" s="19">
        <f>J114</f>
        <v>16136472.253459308</v>
      </c>
      <c r="Q49" s="19">
        <f>K114</f>
        <v>16098106.928051624</v>
      </c>
      <c r="R49" s="19">
        <f>L114</f>
        <v>-38365.325407683849</v>
      </c>
      <c r="T49" s="60"/>
      <c r="U49" s="59"/>
      <c r="V49" s="59"/>
      <c r="W49" s="59"/>
      <c r="X49" s="59"/>
      <c r="Y49" s="59"/>
      <c r="Z49" s="59"/>
      <c r="AA49" s="59"/>
      <c r="AB49" s="59"/>
    </row>
    <row r="50" spans="8:28" x14ac:dyDescent="0.25">
      <c r="H50" s="6" t="s">
        <v>51</v>
      </c>
      <c r="I50" s="8"/>
      <c r="J50" s="12">
        <f>24*C$11</f>
        <v>744</v>
      </c>
      <c r="K50" s="12">
        <f>24*D$11</f>
        <v>744</v>
      </c>
      <c r="N50" s="14" t="str">
        <f>H115</f>
        <v>Omkostninger total</v>
      </c>
      <c r="O50" s="99" t="str">
        <f>I115</f>
        <v>tkr</v>
      </c>
      <c r="P50" s="19">
        <f>J115</f>
        <v>8158905.7849090286</v>
      </c>
      <c r="Q50" s="19">
        <f>K115</f>
        <v>7742776.8002397716</v>
      </c>
      <c r="R50" s="19">
        <f>L115</f>
        <v>-416128.98466925696</v>
      </c>
      <c r="T50" s="60"/>
      <c r="U50" s="59"/>
      <c r="V50" s="59"/>
      <c r="W50" s="59"/>
      <c r="X50" s="59"/>
      <c r="Y50" s="59"/>
      <c r="Z50" s="59"/>
      <c r="AA50" s="59"/>
      <c r="AB50" s="59"/>
    </row>
    <row r="51" spans="8:28" x14ac:dyDescent="0.25">
      <c r="H51" s="6" t="s">
        <v>52</v>
      </c>
      <c r="I51" s="5" t="s">
        <v>43</v>
      </c>
      <c r="J51" s="16">
        <f>J50*C12</f>
        <v>7068</v>
      </c>
      <c r="K51" s="16">
        <f>K50*D12</f>
        <v>16740</v>
      </c>
      <c r="L51" s="16">
        <f>SUM(J51:K51)</f>
        <v>23808</v>
      </c>
      <c r="N51" s="14" t="str">
        <f>H116</f>
        <v>Dækningsbidrag</v>
      </c>
      <c r="O51" s="99" t="str">
        <f>I116</f>
        <v>tkr</v>
      </c>
      <c r="P51" s="19">
        <f>J116</f>
        <v>7977566.4685502797</v>
      </c>
      <c r="Q51" s="19">
        <f>K116</f>
        <v>8355330.1278118528</v>
      </c>
      <c r="R51" s="19">
        <f>L116</f>
        <v>377763.65926157311</v>
      </c>
      <c r="T51" s="60"/>
      <c r="U51" s="59"/>
      <c r="V51" s="59"/>
      <c r="W51" s="59"/>
      <c r="X51" s="59"/>
      <c r="Y51" s="59"/>
      <c r="Z51" s="59"/>
      <c r="AA51" s="59"/>
      <c r="AB51" s="59"/>
    </row>
    <row r="52" spans="8:28" x14ac:dyDescent="0.25">
      <c r="H52" s="6" t="s">
        <v>65</v>
      </c>
      <c r="I52" s="14" t="s">
        <v>43</v>
      </c>
      <c r="J52" s="16">
        <f>EtaRgkOvn2/EtaQNomOvn2*J51</f>
        <v>565.44000000000005</v>
      </c>
      <c r="K52" s="16">
        <f>EtaRgkOvn3/EtaQNomOvn3*K51</f>
        <v>1554.9599999999998</v>
      </c>
      <c r="L52" s="16">
        <f t="shared" ref="L52:L55" si="1">SUM(J52:K52)</f>
        <v>2120.3999999999996</v>
      </c>
      <c r="N52" s="3"/>
      <c r="O52" s="7"/>
      <c r="P52" s="15"/>
      <c r="Q52" s="15"/>
      <c r="R52" s="15"/>
      <c r="T52" s="60"/>
      <c r="U52" s="59"/>
      <c r="V52" s="59"/>
      <c r="W52" s="59"/>
      <c r="X52" s="59"/>
      <c r="Y52" s="59"/>
      <c r="Z52" s="59"/>
      <c r="AA52" s="59"/>
      <c r="AB52" s="59"/>
    </row>
    <row r="53" spans="8:28" x14ac:dyDescent="0.25">
      <c r="H53" s="6" t="s">
        <v>66</v>
      </c>
      <c r="I53" s="14" t="s">
        <v>43</v>
      </c>
      <c r="J53" s="16">
        <f>SUM(J51:J52)</f>
        <v>7633.4400000000005</v>
      </c>
      <c r="K53" s="16">
        <f>SUM(K51:K52)</f>
        <v>18294.96</v>
      </c>
      <c r="L53" s="16">
        <f t="shared" si="1"/>
        <v>25928.400000000001</v>
      </c>
      <c r="N53" s="14" t="str">
        <f>H102</f>
        <v>Varmesalg</v>
      </c>
      <c r="O53" s="99" t="str">
        <f t="shared" ref="O53:R56" si="2">I102</f>
        <v>tkr</v>
      </c>
      <c r="P53" s="18">
        <f t="shared" si="2"/>
        <v>7404288</v>
      </c>
      <c r="Q53" s="18">
        <f t="shared" si="2"/>
        <v>7464000</v>
      </c>
      <c r="R53" s="19">
        <f t="shared" si="2"/>
        <v>59712</v>
      </c>
      <c r="T53" s="60"/>
      <c r="U53" s="59"/>
      <c r="V53" s="59"/>
      <c r="W53" s="59"/>
      <c r="X53" s="59"/>
      <c r="Y53" s="59"/>
      <c r="Z53" s="59"/>
      <c r="AA53" s="59"/>
      <c r="AB53" s="59"/>
    </row>
    <row r="54" spans="8:28" x14ac:dyDescent="0.25">
      <c r="H54" s="6" t="s">
        <v>53</v>
      </c>
      <c r="I54" s="5" t="s">
        <v>54</v>
      </c>
      <c r="J54" s="12">
        <f>J51/EtaQNomOvn2</f>
        <v>8374.4075829383892</v>
      </c>
      <c r="K54" s="12">
        <f>K51/EtaQNomOvn3</f>
        <v>25518.292682926829</v>
      </c>
      <c r="L54" s="16">
        <f t="shared" si="1"/>
        <v>33892.70026586522</v>
      </c>
      <c r="N54" s="14" t="str">
        <f>H103</f>
        <v>Elsalg</v>
      </c>
      <c r="O54" s="99" t="str">
        <f t="shared" si="2"/>
        <v>tkr</v>
      </c>
      <c r="P54" s="18">
        <f t="shared" si="2"/>
        <v>3947332.4512195126</v>
      </c>
      <c r="Q54" s="18">
        <f t="shared" si="2"/>
        <v>3947332.4512195126</v>
      </c>
      <c r="R54" s="19">
        <f t="shared" si="2"/>
        <v>0</v>
      </c>
      <c r="T54" s="60"/>
      <c r="U54" s="59"/>
      <c r="V54" s="59"/>
      <c r="W54" s="59"/>
      <c r="X54" s="59"/>
      <c r="Y54" s="59"/>
      <c r="Z54" s="59"/>
      <c r="AA54" s="59"/>
      <c r="AB54" s="59"/>
    </row>
    <row r="55" spans="8:28" x14ac:dyDescent="0.25">
      <c r="H55" s="6" t="s">
        <v>55</v>
      </c>
      <c r="I55" s="14" t="s">
        <v>17</v>
      </c>
      <c r="J55" s="16">
        <f>J54*3.6/Htotal</f>
        <v>2955.6732645664906</v>
      </c>
      <c r="K55" s="16">
        <f>K54/(Htotal/3.6)</f>
        <v>9006.456241033</v>
      </c>
      <c r="L55" s="16">
        <f t="shared" si="1"/>
        <v>11962.129505599491</v>
      </c>
      <c r="N55" s="14" t="str">
        <f>H104</f>
        <v>RGK-rabat</v>
      </c>
      <c r="O55" s="99" t="str">
        <f t="shared" si="2"/>
        <v>tkr</v>
      </c>
      <c r="P55" s="18">
        <f t="shared" si="2"/>
        <v>0</v>
      </c>
      <c r="Q55" s="18">
        <f t="shared" si="2"/>
        <v>200593.80181097562</v>
      </c>
      <c r="R55" s="19">
        <f t="shared" si="2"/>
        <v>200593.80181097562</v>
      </c>
      <c r="T55" s="60"/>
      <c r="U55" s="59"/>
      <c r="V55" s="59"/>
      <c r="W55" s="59"/>
      <c r="X55" s="59"/>
      <c r="Y55" s="59"/>
      <c r="Z55" s="59"/>
      <c r="AA55" s="59"/>
      <c r="AB55" s="59"/>
    </row>
    <row r="56" spans="8:28" x14ac:dyDescent="0.25">
      <c r="H56" s="5"/>
      <c r="J56" s="16"/>
      <c r="K56" s="16"/>
      <c r="N56" s="14" t="str">
        <f>H105</f>
        <v>Modtagebetaling affald</v>
      </c>
      <c r="O56" s="99" t="str">
        <f t="shared" si="2"/>
        <v>tkr</v>
      </c>
      <c r="P56" s="18">
        <f t="shared" si="2"/>
        <v>4784851.8022397961</v>
      </c>
      <c r="Q56" s="18">
        <f t="shared" si="2"/>
        <v>4486180.6750211362</v>
      </c>
      <c r="R56" s="19">
        <f t="shared" si="2"/>
        <v>-298671.12721865997</v>
      </c>
      <c r="T56" s="60"/>
      <c r="U56" s="59"/>
      <c r="V56" s="59"/>
      <c r="W56" s="59"/>
      <c r="X56" s="59"/>
      <c r="Y56" s="59"/>
      <c r="Z56" s="59"/>
      <c r="AA56" s="59"/>
      <c r="AB56" s="59"/>
    </row>
    <row r="57" spans="8:28" x14ac:dyDescent="0.25">
      <c r="H57" s="7" t="s">
        <v>138</v>
      </c>
      <c r="J57" s="15" t="s">
        <v>45</v>
      </c>
      <c r="K57" s="15" t="str">
        <f>"Med "&amp;TEXT(RGKudnyttelse,"0%")&amp;" RGK"</f>
        <v>Med 38% RGK</v>
      </c>
      <c r="L57" s="3" t="s">
        <v>141</v>
      </c>
      <c r="N57" s="14"/>
      <c r="O57" s="99"/>
      <c r="P57" s="19"/>
      <c r="Q57" s="19"/>
      <c r="R57" s="19"/>
      <c r="T57" s="60"/>
      <c r="U57" s="59"/>
      <c r="V57" s="59"/>
      <c r="W57" s="59"/>
      <c r="X57" s="59"/>
      <c r="Y57" s="59"/>
      <c r="Z57" s="59"/>
      <c r="AA57" s="59"/>
      <c r="AB57" s="59"/>
    </row>
    <row r="58" spans="8:28" x14ac:dyDescent="0.25">
      <c r="H58" s="6" t="s">
        <v>57</v>
      </c>
      <c r="I58" s="5" t="s">
        <v>43</v>
      </c>
      <c r="J58" s="16">
        <f>MIN(Qdemand,K51,EtaQNomOvn3*Ftotal*Htotal/3.6)</f>
        <v>16740</v>
      </c>
      <c r="K58" s="16">
        <f>MIN(Qdemand,K53,EtaQmaxOvn3*Ftotal*Htotal/3.6)</f>
        <v>18294.96</v>
      </c>
      <c r="L58" s="12">
        <f>K58-J58</f>
        <v>1554.9599999999991</v>
      </c>
      <c r="N58" s="14" t="str">
        <f>H107</f>
        <v>Betaling bioaffald</v>
      </c>
      <c r="O58" s="99" t="str">
        <f t="shared" ref="O58:O63" si="3">I107</f>
        <v>tkr</v>
      </c>
      <c r="P58" s="19">
        <f t="shared" ref="P58:P63" si="4">J107</f>
        <v>0</v>
      </c>
      <c r="Q58" s="19">
        <f t="shared" ref="Q58:Q63" si="5">K107</f>
        <v>0</v>
      </c>
      <c r="R58" s="19">
        <f t="shared" ref="R58:R63" si="6">L107</f>
        <v>0</v>
      </c>
      <c r="T58" s="60"/>
      <c r="U58" s="59"/>
      <c r="V58" s="59"/>
      <c r="W58" s="59"/>
      <c r="X58" s="59"/>
      <c r="Y58" s="59"/>
      <c r="Z58" s="59"/>
      <c r="AA58" s="59"/>
      <c r="AB58" s="59"/>
    </row>
    <row r="59" spans="8:28" x14ac:dyDescent="0.25">
      <c r="H59" s="5" t="s">
        <v>60</v>
      </c>
      <c r="I59" s="5" t="s">
        <v>17</v>
      </c>
      <c r="J59" s="12">
        <f>$J$58/EtaQNomOvn3/(Htotal/3.6)</f>
        <v>9006.456241033</v>
      </c>
      <c r="K59" s="12">
        <f>$K$58/EtaQmaxOvn3/(Htotal/3.6)</f>
        <v>9006.456241033</v>
      </c>
      <c r="L59" s="12">
        <f t="shared" ref="L59:L99" si="7">K59-J59</f>
        <v>0</v>
      </c>
      <c r="N59" s="14" t="str">
        <f>H108</f>
        <v>DV-omkostninger</v>
      </c>
      <c r="O59" s="99" t="str">
        <f t="shared" si="3"/>
        <v>tkr</v>
      </c>
      <c r="P59" s="18">
        <f t="shared" si="4"/>
        <v>1049040</v>
      </c>
      <c r="Q59" s="18">
        <f t="shared" si="5"/>
        <v>1070083.7704038783</v>
      </c>
      <c r="R59" s="19">
        <f t="shared" si="6"/>
        <v>21043.770403878298</v>
      </c>
      <c r="T59" s="60"/>
      <c r="U59" s="59"/>
      <c r="V59" s="59"/>
      <c r="W59" s="59"/>
      <c r="X59" s="59"/>
      <c r="Y59" s="59"/>
      <c r="Z59" s="59"/>
      <c r="AA59" s="59"/>
      <c r="AB59" s="59"/>
    </row>
    <row r="60" spans="8:28" x14ac:dyDescent="0.25">
      <c r="H60" s="5" t="s">
        <v>58</v>
      </c>
      <c r="I60" s="5" t="s">
        <v>43</v>
      </c>
      <c r="J60" s="16">
        <f>Qdemand-J58</f>
        <v>11260</v>
      </c>
      <c r="K60" s="16">
        <f>Qdemand-K58</f>
        <v>9705.0400000000009</v>
      </c>
      <c r="L60" s="12">
        <f t="shared" si="7"/>
        <v>-1554.9599999999991</v>
      </c>
      <c r="N60" s="14" t="str">
        <f>H109</f>
        <v>Affaldvarme-afgift</v>
      </c>
      <c r="O60" s="99" t="str">
        <f t="shared" si="3"/>
        <v>tkr</v>
      </c>
      <c r="P60" s="18">
        <f t="shared" si="4"/>
        <v>2211287.04</v>
      </c>
      <c r="Q60" s="18">
        <f t="shared" si="5"/>
        <v>2229120</v>
      </c>
      <c r="R60" s="19">
        <f t="shared" si="6"/>
        <v>17832.959999999963</v>
      </c>
      <c r="T60" s="60"/>
      <c r="U60" s="59"/>
      <c r="V60" s="59"/>
      <c r="W60" s="59"/>
      <c r="X60" s="59"/>
      <c r="Y60" s="59"/>
      <c r="Z60" s="59"/>
      <c r="AA60" s="59"/>
      <c r="AB60" s="59"/>
    </row>
    <row r="61" spans="8:28" x14ac:dyDescent="0.25">
      <c r="H61" s="5" t="s">
        <v>59</v>
      </c>
      <c r="I61" s="5" t="s">
        <v>17</v>
      </c>
      <c r="J61" s="16">
        <f>Ftotal-J59</f>
        <v>2993.543758967</v>
      </c>
      <c r="K61" s="16">
        <f>Ftotal-K59</f>
        <v>2993.543758967</v>
      </c>
      <c r="L61" s="12">
        <f t="shared" si="7"/>
        <v>0</v>
      </c>
      <c r="N61" s="14" t="str">
        <f>H110</f>
        <v>Tillægsafgift</v>
      </c>
      <c r="O61" s="99" t="str">
        <f t="shared" si="3"/>
        <v>tkr</v>
      </c>
      <c r="P61" s="19">
        <f t="shared" si="4"/>
        <v>2271283.2000000002</v>
      </c>
      <c r="Q61" s="19">
        <f t="shared" si="5"/>
        <v>2005938.0181097561</v>
      </c>
      <c r="R61" s="19">
        <f t="shared" si="6"/>
        <v>-265345.18189024413</v>
      </c>
      <c r="T61" s="60"/>
      <c r="U61" s="59"/>
      <c r="V61" s="59"/>
      <c r="W61" s="59"/>
      <c r="X61" s="59"/>
      <c r="Y61" s="59"/>
      <c r="Z61" s="59"/>
      <c r="AA61" s="59"/>
      <c r="AB61" s="59"/>
    </row>
    <row r="62" spans="8:28" x14ac:dyDescent="0.25">
      <c r="H62" s="6" t="s">
        <v>63</v>
      </c>
      <c r="I62" s="5" t="s">
        <v>43</v>
      </c>
      <c r="J62" s="16">
        <f>MIN(J60,NSvarme)</f>
        <v>4000</v>
      </c>
      <c r="K62" s="16">
        <f>MIN(K60,NSvarme)</f>
        <v>4000</v>
      </c>
      <c r="L62" s="12">
        <f t="shared" si="7"/>
        <v>0</v>
      </c>
      <c r="N62" s="14" t="str">
        <f>H111</f>
        <v>CO2-afgift</v>
      </c>
      <c r="O62" s="99" t="str">
        <f t="shared" si="3"/>
        <v>tkr</v>
      </c>
      <c r="P62" s="19">
        <f t="shared" si="4"/>
        <v>471719.80799999996</v>
      </c>
      <c r="Q62" s="19">
        <f t="shared" si="5"/>
        <v>416610.61762911582</v>
      </c>
      <c r="R62" s="19">
        <f t="shared" si="6"/>
        <v>-55109.190370884142</v>
      </c>
      <c r="T62" s="60"/>
      <c r="U62" s="59"/>
      <c r="V62" s="59"/>
      <c r="W62" s="59"/>
      <c r="X62" s="59"/>
      <c r="Y62" s="59"/>
      <c r="Z62" s="59"/>
      <c r="AA62" s="59"/>
      <c r="AB62" s="59"/>
    </row>
    <row r="63" spans="8:28" x14ac:dyDescent="0.25">
      <c r="H63" s="5" t="s">
        <v>58</v>
      </c>
      <c r="I63" s="5" t="s">
        <v>43</v>
      </c>
      <c r="J63" s="16">
        <f>J60-J62</f>
        <v>7260</v>
      </c>
      <c r="K63" s="16">
        <f>K60-K62</f>
        <v>5705.0400000000009</v>
      </c>
      <c r="L63" s="12">
        <f t="shared" si="7"/>
        <v>-1554.9599999999991</v>
      </c>
      <c r="N63" s="14" t="str">
        <f>H112</f>
        <v>Kvote-omkostning</v>
      </c>
      <c r="O63" s="99" t="str">
        <f t="shared" si="3"/>
        <v>tkr</v>
      </c>
      <c r="P63" s="19">
        <f t="shared" si="4"/>
        <v>2155575.7369090281</v>
      </c>
      <c r="Q63" s="19">
        <f t="shared" si="5"/>
        <v>2021024.3940970218</v>
      </c>
      <c r="R63" s="19">
        <f t="shared" si="6"/>
        <v>-134551.34281200636</v>
      </c>
      <c r="T63" s="60"/>
      <c r="U63" s="59"/>
      <c r="V63" s="59"/>
      <c r="W63" s="59"/>
      <c r="X63" s="59"/>
      <c r="Y63" s="59"/>
      <c r="Z63" s="59"/>
      <c r="AA63" s="59"/>
      <c r="AB63" s="59"/>
    </row>
    <row r="64" spans="8:28" x14ac:dyDescent="0.25">
      <c r="H64" s="6" t="s">
        <v>64</v>
      </c>
      <c r="I64" s="5" t="s">
        <v>43</v>
      </c>
      <c r="J64" s="16">
        <f>MIN($J$63,J51,EtaQNomOvn2*(J61*Htotal)/3.6)</f>
        <v>7068</v>
      </c>
      <c r="K64" s="16">
        <f>MIN($K$63,J53,EtaQmaxOvn2*(K61*Htotal)/3.6)</f>
        <v>5705.0400000000009</v>
      </c>
      <c r="L64" s="12">
        <f t="shared" si="7"/>
        <v>-1362.9599999999991</v>
      </c>
      <c r="N64" s="14"/>
      <c r="O64" s="99"/>
      <c r="P64" s="19"/>
      <c r="Q64" s="19"/>
      <c r="R64" s="19"/>
      <c r="T64" s="60"/>
      <c r="U64" s="59"/>
      <c r="V64" s="59"/>
      <c r="W64" s="59"/>
      <c r="X64" s="59"/>
      <c r="Y64" s="59"/>
      <c r="Z64" s="59"/>
      <c r="AA64" s="59"/>
      <c r="AB64" s="59"/>
    </row>
    <row r="65" spans="8:28" x14ac:dyDescent="0.25">
      <c r="H65" s="5" t="s">
        <v>60</v>
      </c>
      <c r="I65" s="5" t="s">
        <v>17</v>
      </c>
      <c r="J65" s="16">
        <f>$J$64/EtaQNomOvn2/(Htotal/3.6)</f>
        <v>2955.6732645664906</v>
      </c>
      <c r="K65" s="16">
        <f>$K$64/EtaQmaxOvn2/(Htotal/3.6)</f>
        <v>2208.9954465198407</v>
      </c>
      <c r="L65" s="12">
        <f t="shared" si="7"/>
        <v>-746.67781804664992</v>
      </c>
      <c r="N65" s="7" t="s">
        <v>236</v>
      </c>
      <c r="O65" s="6"/>
      <c r="P65" s="15" t="str">
        <f>P48</f>
        <v>Uden RGK</v>
      </c>
      <c r="Q65" s="15" t="str">
        <f>Q48</f>
        <v>Med 38% RGK</v>
      </c>
      <c r="R65" s="12"/>
      <c r="T65" s="60"/>
      <c r="U65" s="59"/>
      <c r="V65" s="59"/>
      <c r="W65" s="59"/>
      <c r="X65" s="59"/>
      <c r="Y65" s="59"/>
      <c r="Z65" s="59"/>
      <c r="AA65" s="59"/>
      <c r="AB65" s="59"/>
    </row>
    <row r="66" spans="8:28" x14ac:dyDescent="0.25">
      <c r="H66" s="5" t="s">
        <v>58</v>
      </c>
      <c r="I66" s="5" t="s">
        <v>43</v>
      </c>
      <c r="J66" s="16">
        <f>J63-J64</f>
        <v>192</v>
      </c>
      <c r="K66" s="16">
        <f>K63-K64</f>
        <v>0</v>
      </c>
      <c r="L66" s="12">
        <f t="shared" si="7"/>
        <v>-192</v>
      </c>
      <c r="N66" s="5" t="str">
        <f>H84</f>
        <v>Varmeproduktion Ovn2</v>
      </c>
      <c r="O66" s="6" t="s">
        <v>43</v>
      </c>
      <c r="P66" s="12">
        <f>J84</f>
        <v>7068</v>
      </c>
      <c r="Q66" s="12">
        <f>K84</f>
        <v>5705.0400000000009</v>
      </c>
      <c r="R66" s="12">
        <f>Q66-P66</f>
        <v>-1362.9599999999991</v>
      </c>
      <c r="T66" s="60"/>
      <c r="U66" s="59"/>
      <c r="V66" s="59"/>
      <c r="W66" s="59"/>
      <c r="X66" s="59"/>
      <c r="Y66" s="59"/>
      <c r="Z66" s="59"/>
      <c r="AA66" s="59"/>
      <c r="AB66" s="59"/>
    </row>
    <row r="67" spans="8:28" x14ac:dyDescent="0.25">
      <c r="H67" s="5" t="s">
        <v>59</v>
      </c>
      <c r="I67" s="5" t="s">
        <v>17</v>
      </c>
      <c r="J67" s="16">
        <f>J61-J65</f>
        <v>37.870494400509415</v>
      </c>
      <c r="K67" s="16">
        <f>K61-K65</f>
        <v>784.54831244715933</v>
      </c>
      <c r="L67" s="12">
        <f t="shared" si="7"/>
        <v>746.67781804664992</v>
      </c>
      <c r="N67" s="5" t="str">
        <f>H85</f>
        <v>Varmeproduktion Ovn3</v>
      </c>
      <c r="O67" s="6" t="s">
        <v>43</v>
      </c>
      <c r="P67" s="12">
        <f>J85</f>
        <v>16740</v>
      </c>
      <c r="Q67" s="12">
        <f>K85</f>
        <v>18294.96</v>
      </c>
      <c r="R67" s="12">
        <f t="shared" ref="R67:R71" si="8">Q67-P67</f>
        <v>1554.9599999999991</v>
      </c>
      <c r="T67" s="60"/>
      <c r="U67" s="59"/>
      <c r="V67" s="59"/>
      <c r="W67" s="59"/>
      <c r="X67" s="59"/>
      <c r="Y67" s="59"/>
      <c r="Z67" s="59"/>
      <c r="AA67" s="59"/>
      <c r="AB67" s="59"/>
    </row>
    <row r="68" spans="8:28" x14ac:dyDescent="0.25">
      <c r="H68" s="6" t="s">
        <v>67</v>
      </c>
      <c r="I68" s="5" t="s">
        <v>43</v>
      </c>
      <c r="J68" s="16">
        <f>J58+J64</f>
        <v>23808</v>
      </c>
      <c r="K68" s="16">
        <f>K58+K64</f>
        <v>24000</v>
      </c>
      <c r="L68" s="12">
        <f t="shared" si="7"/>
        <v>192</v>
      </c>
      <c r="N68" s="5" t="str">
        <f>H87</f>
        <v>Heraf RGK-varme</v>
      </c>
      <c r="O68" s="6" t="s">
        <v>43</v>
      </c>
      <c r="P68" s="12">
        <f>J87</f>
        <v>0</v>
      </c>
      <c r="Q68" s="12">
        <f>K87</f>
        <v>2104.3770403878234</v>
      </c>
      <c r="R68" s="12">
        <f t="shared" si="8"/>
        <v>2104.3770403878234</v>
      </c>
      <c r="T68" s="60"/>
      <c r="U68" s="59"/>
      <c r="V68" s="59"/>
      <c r="W68" s="59"/>
      <c r="X68" s="59"/>
      <c r="Y68" s="59"/>
      <c r="Z68" s="59"/>
      <c r="AA68" s="59"/>
      <c r="AB68" s="59"/>
    </row>
    <row r="69" spans="8:28" x14ac:dyDescent="0.25">
      <c r="H69" s="6" t="s">
        <v>68</v>
      </c>
      <c r="I69" s="5" t="s">
        <v>43</v>
      </c>
      <c r="J69" s="16">
        <f>J66</f>
        <v>192</v>
      </c>
      <c r="K69" s="16">
        <f>K66</f>
        <v>0</v>
      </c>
      <c r="L69" s="12">
        <f t="shared" si="7"/>
        <v>-192</v>
      </c>
      <c r="N69" s="5" t="str">
        <f>H78</f>
        <v>Bortkølet varme</v>
      </c>
      <c r="O69" s="6" t="s">
        <v>43</v>
      </c>
      <c r="P69" s="12">
        <f>J78</f>
        <v>0</v>
      </c>
      <c r="Q69" s="12">
        <f>K78</f>
        <v>0</v>
      </c>
      <c r="R69" s="12">
        <f t="shared" si="8"/>
        <v>0</v>
      </c>
      <c r="T69" s="60"/>
      <c r="U69" s="59"/>
      <c r="V69" s="59"/>
      <c r="W69" s="59"/>
      <c r="X69" s="59"/>
      <c r="Y69" s="59"/>
      <c r="Z69" s="59"/>
      <c r="AA69" s="59"/>
      <c r="AB69" s="59"/>
    </row>
    <row r="70" spans="8:28" x14ac:dyDescent="0.25">
      <c r="H70" s="5" t="s">
        <v>98</v>
      </c>
      <c r="I70" s="5" t="s">
        <v>43</v>
      </c>
      <c r="J70" s="12">
        <f>$J$51-$J$64</f>
        <v>0</v>
      </c>
      <c r="K70" s="12">
        <f>J70</f>
        <v>0</v>
      </c>
      <c r="L70" s="12">
        <f t="shared" si="7"/>
        <v>0</v>
      </c>
      <c r="N70" s="5" t="str">
        <f>H90</f>
        <v>Leveret varme</v>
      </c>
      <c r="O70" s="6" t="s">
        <v>43</v>
      </c>
      <c r="P70" s="12">
        <f>J90</f>
        <v>23808</v>
      </c>
      <c r="Q70" s="12">
        <f>K90</f>
        <v>24000</v>
      </c>
      <c r="R70" s="12">
        <f t="shared" si="8"/>
        <v>192</v>
      </c>
      <c r="T70" s="60"/>
      <c r="U70" s="59"/>
      <c r="V70" s="59"/>
      <c r="W70" s="59"/>
      <c r="X70" s="59"/>
      <c r="Y70" s="59"/>
      <c r="Z70" s="59"/>
      <c r="AA70" s="59"/>
      <c r="AB70" s="59"/>
    </row>
    <row r="71" spans="8:28" x14ac:dyDescent="0.25">
      <c r="H71" s="5" t="s">
        <v>99</v>
      </c>
      <c r="I71" s="5" t="s">
        <v>43</v>
      </c>
      <c r="J71" s="12">
        <f>$K$51-$J$58</f>
        <v>0</v>
      </c>
      <c r="K71" s="12">
        <f>J71</f>
        <v>0</v>
      </c>
      <c r="L71" s="12">
        <f t="shared" si="7"/>
        <v>0</v>
      </c>
      <c r="N71" s="5" t="str">
        <f>H91</f>
        <v>Spidslastvarme</v>
      </c>
      <c r="O71" s="6" t="s">
        <v>43</v>
      </c>
      <c r="P71" s="12">
        <f>J91</f>
        <v>4192</v>
      </c>
      <c r="Q71" s="12">
        <f>K91</f>
        <v>4000</v>
      </c>
      <c r="R71" s="12">
        <f t="shared" si="8"/>
        <v>-192</v>
      </c>
      <c r="T71" s="60"/>
      <c r="U71" s="59"/>
      <c r="V71" s="59"/>
      <c r="W71" s="59"/>
      <c r="X71" s="59"/>
      <c r="Y71" s="59"/>
      <c r="Z71" s="59"/>
      <c r="AA71" s="59"/>
      <c r="AB71" s="59"/>
    </row>
    <row r="72" spans="8:28" x14ac:dyDescent="0.25">
      <c r="H72" s="5" t="s">
        <v>101</v>
      </c>
      <c r="I72" s="5" t="s">
        <v>43</v>
      </c>
      <c r="J72" s="12">
        <f>MIN(J71,EtaQNomOvn3*J67*Htotal/3.6,24*E11*KapQcool)</f>
        <v>0</v>
      </c>
      <c r="K72" s="12">
        <f>MIN(K71,EtaQNomOvn3*K67*Htotal/3.6,24*E11*KapQcool)</f>
        <v>0</v>
      </c>
      <c r="L72" s="12">
        <f t="shared" si="7"/>
        <v>0</v>
      </c>
      <c r="N72" s="5"/>
      <c r="O72" s="6"/>
      <c r="P72" s="19"/>
      <c r="Q72" s="19"/>
      <c r="R72" s="12"/>
      <c r="T72" s="60"/>
      <c r="U72" s="59"/>
      <c r="V72" s="59"/>
      <c r="W72" s="59"/>
      <c r="X72" s="59"/>
      <c r="Y72" s="59"/>
      <c r="Z72" s="59"/>
      <c r="AA72" s="59"/>
      <c r="AB72" s="59"/>
    </row>
    <row r="73" spans="8:28" x14ac:dyDescent="0.25">
      <c r="H73" s="5" t="s">
        <v>102</v>
      </c>
      <c r="I73" s="5" t="s">
        <v>17</v>
      </c>
      <c r="J73" s="12">
        <f>J72/EtaQNomOvn3/(Htotal/3.6)</f>
        <v>0</v>
      </c>
      <c r="K73" s="12">
        <f>K72/EtaQNomOvn3/(Htotal/3.6)</f>
        <v>0</v>
      </c>
      <c r="L73" s="12">
        <f t="shared" si="7"/>
        <v>0</v>
      </c>
      <c r="N73" s="7" t="s">
        <v>237</v>
      </c>
      <c r="O73" s="6"/>
      <c r="P73" s="88" t="str">
        <f>P48</f>
        <v>Uden RGK</v>
      </c>
      <c r="Q73" s="88" t="str">
        <f>Q48</f>
        <v>Med 38% RGK</v>
      </c>
      <c r="R73" s="12"/>
      <c r="T73" s="60"/>
      <c r="U73" s="59"/>
      <c r="V73" s="59"/>
      <c r="W73" s="59"/>
      <c r="X73" s="59"/>
      <c r="Y73" s="59"/>
      <c r="Z73" s="59"/>
      <c r="AA73" s="59"/>
      <c r="AB73" s="59"/>
    </row>
    <row r="74" spans="8:28" x14ac:dyDescent="0.25">
      <c r="H74" s="5" t="s">
        <v>59</v>
      </c>
      <c r="I74" s="5" t="s">
        <v>17</v>
      </c>
      <c r="J74" s="12">
        <f>J67-J73</f>
        <v>37.870494400509415</v>
      </c>
      <c r="K74" s="12">
        <f>K67-K73</f>
        <v>784.54831244715933</v>
      </c>
      <c r="L74" s="12">
        <f t="shared" si="7"/>
        <v>746.67781804664992</v>
      </c>
      <c r="N74" s="5" t="s">
        <v>145</v>
      </c>
      <c r="O74" s="6" t="s">
        <v>17</v>
      </c>
      <c r="P74" s="12">
        <f>J59</f>
        <v>9006.456241033</v>
      </c>
      <c r="Q74" s="12">
        <f>K59</f>
        <v>9006.456241033</v>
      </c>
      <c r="R74" s="12">
        <f>Q74-P74</f>
        <v>0</v>
      </c>
      <c r="T74" s="60"/>
      <c r="U74" s="59"/>
      <c r="V74" s="59"/>
      <c r="W74" s="59"/>
      <c r="X74" s="59"/>
      <c r="Y74" s="59"/>
      <c r="Z74" s="59"/>
      <c r="AA74" s="59"/>
      <c r="AB74" s="59"/>
    </row>
    <row r="75" spans="8:28" x14ac:dyDescent="0.25">
      <c r="H75" s="5" t="s">
        <v>100</v>
      </c>
      <c r="I75" s="5" t="s">
        <v>43</v>
      </c>
      <c r="J75" s="12">
        <f>MIN(J70,EtaQNomOvn3*J74*Htotal/3.6,24*E11*KapQcool-J72)</f>
        <v>0</v>
      </c>
      <c r="K75" s="12">
        <f>MIN(K70,EtaQNomOvn3*K74*Htotal/3.6,24*E11*KapQcool-K72)</f>
        <v>0</v>
      </c>
      <c r="L75" s="12">
        <f t="shared" si="7"/>
        <v>0</v>
      </c>
      <c r="N75" s="5" t="s">
        <v>146</v>
      </c>
      <c r="O75" s="6" t="s">
        <v>43</v>
      </c>
      <c r="P75" s="12">
        <f>J62</f>
        <v>4000</v>
      </c>
      <c r="Q75" s="12">
        <f>K62</f>
        <v>4000</v>
      </c>
      <c r="R75" s="12">
        <f t="shared" ref="R75:R80" si="9">Q75-P75</f>
        <v>0</v>
      </c>
      <c r="T75" s="60"/>
      <c r="U75" s="59"/>
      <c r="V75" s="59"/>
      <c r="W75" s="59"/>
      <c r="X75" s="59"/>
      <c r="Y75" s="59"/>
      <c r="Z75" s="59"/>
      <c r="AA75" s="59"/>
      <c r="AB75" s="59"/>
    </row>
    <row r="76" spans="8:28" x14ac:dyDescent="0.25">
      <c r="H76" s="5" t="s">
        <v>103</v>
      </c>
      <c r="I76" s="5" t="s">
        <v>17</v>
      </c>
      <c r="J76" s="12">
        <f>J75/EtaQNomOvn2/(Htotal/3.6)</f>
        <v>0</v>
      </c>
      <c r="K76" s="12">
        <f>K75/EtaQNomOvn2/(Htotal/3.6)</f>
        <v>0</v>
      </c>
      <c r="L76" s="12">
        <f t="shared" si="7"/>
        <v>0</v>
      </c>
      <c r="N76" s="5" t="s">
        <v>147</v>
      </c>
      <c r="O76" s="6" t="s">
        <v>17</v>
      </c>
      <c r="P76" s="12">
        <f>J65</f>
        <v>2955.6732645664906</v>
      </c>
      <c r="Q76" s="12">
        <f>K65</f>
        <v>2208.9954465198407</v>
      </c>
      <c r="R76" s="12">
        <f t="shared" si="9"/>
        <v>-746.67781804664992</v>
      </c>
      <c r="T76" s="60"/>
      <c r="U76" s="59"/>
      <c r="V76" s="59"/>
      <c r="W76" s="59"/>
      <c r="X76" s="59"/>
      <c r="Y76" s="59"/>
      <c r="Z76" s="59"/>
      <c r="AA76" s="59"/>
      <c r="AB76" s="59"/>
    </row>
    <row r="77" spans="8:28" x14ac:dyDescent="0.25">
      <c r="H77" s="5" t="s">
        <v>59</v>
      </c>
      <c r="I77" s="5" t="s">
        <v>17</v>
      </c>
      <c r="J77" s="12">
        <f>J74-J76</f>
        <v>37.870494400509415</v>
      </c>
      <c r="K77" s="12">
        <f>K74-K76</f>
        <v>784.54831244715933</v>
      </c>
      <c r="L77" s="12">
        <f t="shared" si="7"/>
        <v>746.67781804664992</v>
      </c>
      <c r="N77" s="5" t="s">
        <v>102</v>
      </c>
      <c r="O77" s="6" t="s">
        <v>17</v>
      </c>
      <c r="P77" s="12">
        <f>J73</f>
        <v>0</v>
      </c>
      <c r="Q77" s="12">
        <f>K73</f>
        <v>0</v>
      </c>
      <c r="R77" s="12">
        <f t="shared" si="9"/>
        <v>0</v>
      </c>
      <c r="T77" s="60"/>
      <c r="U77" s="59"/>
      <c r="V77" s="59"/>
      <c r="W77" s="59"/>
      <c r="X77" s="59"/>
      <c r="Y77" s="59"/>
      <c r="Z77" s="59"/>
      <c r="AA77" s="59"/>
      <c r="AB77" s="59"/>
    </row>
    <row r="78" spans="8:28" x14ac:dyDescent="0.25">
      <c r="H78" s="5" t="s">
        <v>46</v>
      </c>
      <c r="I78" s="5" t="s">
        <v>43</v>
      </c>
      <c r="J78" s="12">
        <f>J72+J75</f>
        <v>0</v>
      </c>
      <c r="K78" s="12">
        <f>K72+K75</f>
        <v>0</v>
      </c>
      <c r="L78" s="12">
        <f t="shared" si="7"/>
        <v>0</v>
      </c>
      <c r="N78" s="5" t="s">
        <v>103</v>
      </c>
      <c r="O78" s="6" t="s">
        <v>17</v>
      </c>
      <c r="P78" s="12">
        <f>J76</f>
        <v>0</v>
      </c>
      <c r="Q78" s="12">
        <f>K76</f>
        <v>0</v>
      </c>
      <c r="R78" s="12">
        <f t="shared" si="9"/>
        <v>0</v>
      </c>
      <c r="T78" s="60"/>
      <c r="U78" s="59"/>
      <c r="V78" s="59"/>
      <c r="W78" s="59"/>
      <c r="X78" s="59"/>
      <c r="Y78" s="59"/>
      <c r="Z78" s="59"/>
      <c r="AA78" s="59"/>
      <c r="AB78" s="59"/>
    </row>
    <row r="79" spans="8:28" x14ac:dyDescent="0.25">
      <c r="H79" s="5" t="s">
        <v>118</v>
      </c>
      <c r="I79" s="5" t="s">
        <v>17</v>
      </c>
      <c r="J79" s="12">
        <f>Ftotal-J80</f>
        <v>11962.129505599491</v>
      </c>
      <c r="K79" s="12">
        <f>Ftotal-K80</f>
        <v>11215.451687552841</v>
      </c>
      <c r="L79" s="12">
        <f t="shared" si="7"/>
        <v>-746.67781804664992</v>
      </c>
      <c r="N79" s="5" t="s">
        <v>149</v>
      </c>
      <c r="O79" s="6" t="s">
        <v>17</v>
      </c>
      <c r="P79" s="12">
        <f>P74+SUM(P76:P78)</f>
        <v>11962.129505599491</v>
      </c>
      <c r="Q79" s="12">
        <f>Q74+SUM(Q76:Q78)</f>
        <v>11215.451687552841</v>
      </c>
      <c r="R79" s="12">
        <f t="shared" si="9"/>
        <v>-746.67781804664992</v>
      </c>
      <c r="T79" s="60"/>
      <c r="U79" s="59"/>
      <c r="V79" s="59"/>
      <c r="W79" s="59"/>
      <c r="X79" s="59"/>
      <c r="Y79" s="59"/>
      <c r="Z79" s="59"/>
      <c r="AA79" s="59"/>
      <c r="AB79" s="59"/>
    </row>
    <row r="80" spans="8:28" x14ac:dyDescent="0.25">
      <c r="H80" s="5" t="s">
        <v>119</v>
      </c>
      <c r="I80" s="5" t="s">
        <v>17</v>
      </c>
      <c r="J80" s="16">
        <f>J67</f>
        <v>37.870494400509415</v>
      </c>
      <c r="K80" s="16">
        <f>K67</f>
        <v>784.54831244715933</v>
      </c>
      <c r="L80" s="12">
        <f t="shared" si="7"/>
        <v>746.67781804664992</v>
      </c>
      <c r="N80" s="5" t="s">
        <v>148</v>
      </c>
      <c r="O80" s="6" t="s">
        <v>17</v>
      </c>
      <c r="P80" s="16">
        <f>J80</f>
        <v>37.870494400509415</v>
      </c>
      <c r="Q80" s="16">
        <f>K80</f>
        <v>784.54831244715933</v>
      </c>
      <c r="R80" s="12">
        <f t="shared" si="9"/>
        <v>746.67781804664992</v>
      </c>
      <c r="T80" s="60"/>
      <c r="U80" s="59"/>
      <c r="V80" s="59"/>
      <c r="W80" s="59"/>
      <c r="X80" s="59"/>
      <c r="Y80" s="59"/>
      <c r="Z80" s="59"/>
      <c r="AA80" s="59"/>
      <c r="AB80" s="59"/>
    </row>
    <row r="81" spans="8:28" x14ac:dyDescent="0.25">
      <c r="H81" t="s">
        <v>47</v>
      </c>
      <c r="I81" s="5" t="s">
        <v>50</v>
      </c>
      <c r="J81" s="12">
        <f>EtaE*(J59+J73)*Htotal/3.6</f>
        <v>5733.9603658536589</v>
      </c>
      <c r="K81" s="12">
        <f>EtaE*(K59+K73)*Htotal/3.6</f>
        <v>5733.9603658536589</v>
      </c>
      <c r="L81" s="12">
        <f t="shared" si="7"/>
        <v>0</v>
      </c>
      <c r="O81" s="6"/>
      <c r="R81" s="12"/>
      <c r="T81" s="60"/>
      <c r="U81" s="59"/>
      <c r="V81" s="59"/>
      <c r="W81" s="59"/>
      <c r="X81" s="59"/>
      <c r="Y81" s="59"/>
      <c r="Z81" s="59"/>
      <c r="AA81" s="59"/>
      <c r="AB81" s="59"/>
    </row>
    <row r="82" spans="8:28" x14ac:dyDescent="0.25">
      <c r="H82" t="s">
        <v>6</v>
      </c>
      <c r="I82" s="5" t="s">
        <v>50</v>
      </c>
      <c r="J82" s="12">
        <f>$D$11*$D$15</f>
        <v>775</v>
      </c>
      <c r="K82" s="12">
        <f>$D$11*$D$15</f>
        <v>775</v>
      </c>
      <c r="L82" s="12">
        <f t="shared" si="7"/>
        <v>0</v>
      </c>
      <c r="N82" s="7" t="s">
        <v>238</v>
      </c>
      <c r="O82" s="6"/>
      <c r="P82" s="88" t="str">
        <f>P48</f>
        <v>Uden RGK</v>
      </c>
      <c r="Q82" s="88" t="str">
        <f>Q48</f>
        <v>Med 38% RGK</v>
      </c>
      <c r="R82" s="12"/>
      <c r="T82" s="60"/>
      <c r="U82" s="59"/>
      <c r="V82" s="59"/>
      <c r="W82" s="59"/>
      <c r="X82" s="59"/>
      <c r="Y82" s="59"/>
      <c r="Z82" s="59"/>
      <c r="AA82" s="59"/>
      <c r="AB82" s="59"/>
    </row>
    <row r="83" spans="8:28" x14ac:dyDescent="0.25">
      <c r="H83" t="s">
        <v>48</v>
      </c>
      <c r="I83" s="5" t="s">
        <v>50</v>
      </c>
      <c r="J83" s="12">
        <f>J81-J82</f>
        <v>4958.9603658536589</v>
      </c>
      <c r="K83" s="12">
        <f>K81-K82</f>
        <v>4958.9603658536589</v>
      </c>
      <c r="L83" s="12">
        <f t="shared" si="7"/>
        <v>0</v>
      </c>
      <c r="N83" s="5" t="s">
        <v>248</v>
      </c>
      <c r="O83" s="6"/>
      <c r="P83" s="2">
        <f>(P74+P77)/$K$55</f>
        <v>1</v>
      </c>
      <c r="Q83" s="2">
        <f>(Q74+Q77)/$K$55</f>
        <v>1</v>
      </c>
      <c r="R83" s="2">
        <f>Q83-P83</f>
        <v>0</v>
      </c>
      <c r="T83" s="60"/>
      <c r="U83" s="59"/>
      <c r="V83" s="59"/>
      <c r="W83" s="59"/>
      <c r="X83" s="59"/>
      <c r="Y83" s="59"/>
      <c r="Z83" s="59"/>
      <c r="AA83" s="59"/>
      <c r="AB83" s="59"/>
    </row>
    <row r="84" spans="8:28" x14ac:dyDescent="0.25">
      <c r="H84" t="s">
        <v>114</v>
      </c>
      <c r="I84" s="5" t="s">
        <v>43</v>
      </c>
      <c r="J84" s="12">
        <f>J64+J75</f>
        <v>7068</v>
      </c>
      <c r="K84" s="12">
        <f>K64+K75</f>
        <v>5705.0400000000009</v>
      </c>
      <c r="L84" s="12">
        <f t="shared" si="7"/>
        <v>-1362.9599999999991</v>
      </c>
      <c r="N84" s="5" t="s">
        <v>249</v>
      </c>
      <c r="O84" s="6"/>
      <c r="P84" s="2">
        <f>(P76+P78)/$J$55</f>
        <v>1</v>
      </c>
      <c r="Q84" s="2">
        <f>(Q76+Q78)/$J$55</f>
        <v>0.74737470917436966</v>
      </c>
      <c r="R84" s="2">
        <f t="shared" ref="R84:R87" si="10">Q84-P84</f>
        <v>-0.25262529082563034</v>
      </c>
      <c r="T84" s="60"/>
      <c r="U84" s="59"/>
      <c r="V84" s="59"/>
      <c r="W84" s="59"/>
      <c r="X84" s="59"/>
      <c r="Y84" s="59"/>
      <c r="Z84" s="59"/>
      <c r="AA84" s="59"/>
      <c r="AB84" s="59"/>
    </row>
    <row r="85" spans="8:28" x14ac:dyDescent="0.25">
      <c r="H85" t="s">
        <v>115</v>
      </c>
      <c r="I85" s="5" t="s">
        <v>43</v>
      </c>
      <c r="J85" s="12">
        <f>J58+J72</f>
        <v>16740</v>
      </c>
      <c r="K85" s="12">
        <f>K58+K72</f>
        <v>18294.96</v>
      </c>
      <c r="L85" s="12">
        <f t="shared" si="7"/>
        <v>1554.9599999999991</v>
      </c>
      <c r="N85" s="5" t="s">
        <v>154</v>
      </c>
      <c r="O85" s="6"/>
      <c r="P85" s="2">
        <f>P69/(24*$E$11*KapQcool)</f>
        <v>0</v>
      </c>
      <c r="Q85" s="2">
        <f>Q69/(24*$E$11*KapQcool)</f>
        <v>0</v>
      </c>
      <c r="R85" s="2">
        <f t="shared" si="10"/>
        <v>0</v>
      </c>
      <c r="T85" s="60"/>
      <c r="U85" s="59"/>
      <c r="V85" s="59"/>
      <c r="W85" s="59"/>
      <c r="X85" s="59"/>
      <c r="Y85" s="59"/>
      <c r="Z85" s="59"/>
      <c r="AA85" s="59"/>
      <c r="AB85" s="59"/>
    </row>
    <row r="86" spans="8:28" x14ac:dyDescent="0.25">
      <c r="H86" t="s">
        <v>110</v>
      </c>
      <c r="I86" s="5" t="s">
        <v>43</v>
      </c>
      <c r="J86" s="12">
        <f>SUM(J84:J85)</f>
        <v>23808</v>
      </c>
      <c r="K86" s="12">
        <f>SUM(K84:K85)</f>
        <v>24000</v>
      </c>
      <c r="L86" s="12">
        <f t="shared" si="7"/>
        <v>192</v>
      </c>
      <c r="N86" s="5" t="s">
        <v>146</v>
      </c>
      <c r="O86" s="6"/>
      <c r="P86" s="2">
        <f>P75/NSvarme</f>
        <v>1</v>
      </c>
      <c r="Q86" s="2">
        <f>Q75/NSvarme</f>
        <v>1</v>
      </c>
      <c r="R86" s="2">
        <f t="shared" si="10"/>
        <v>0</v>
      </c>
      <c r="T86" s="60"/>
      <c r="U86" s="59"/>
      <c r="V86" s="59"/>
      <c r="W86" s="59"/>
      <c r="X86" s="59"/>
      <c r="Y86" s="59"/>
      <c r="Z86" s="59"/>
      <c r="AA86" s="59"/>
      <c r="AB86" s="59"/>
    </row>
    <row r="87" spans="8:28" x14ac:dyDescent="0.25">
      <c r="H87" s="5" t="s">
        <v>116</v>
      </c>
      <c r="I87" s="5" t="s">
        <v>43</v>
      </c>
      <c r="J87" s="12">
        <v>0</v>
      </c>
      <c r="K87" s="12">
        <f>(EtaRgkOvn2*K59+EtaRgkOvn3*K65)*Htotal/3.6</f>
        <v>2104.3770403878234</v>
      </c>
      <c r="L87" s="12">
        <f t="shared" si="7"/>
        <v>2104.3770403878234</v>
      </c>
      <c r="N87" s="5" t="s">
        <v>250</v>
      </c>
      <c r="O87" s="6" t="s">
        <v>25</v>
      </c>
      <c r="P87" s="11">
        <f>(SUM(P58:P63)-SUM(P54:P56))/P70</f>
        <v>-24.079236750263767</v>
      </c>
      <c r="Q87" s="11">
        <f>(SUM(Q58:Q63)-SUM(Q54:Q56))/Q70</f>
        <v>-37.138755325493868</v>
      </c>
      <c r="R87" s="94">
        <f t="shared" si="10"/>
        <v>-13.059518575230101</v>
      </c>
      <c r="T87" s="60"/>
      <c r="U87" s="59"/>
      <c r="V87" s="59"/>
      <c r="W87" s="59"/>
      <c r="X87" s="59"/>
      <c r="Y87" s="59"/>
      <c r="Z87" s="59"/>
      <c r="AA87" s="59"/>
      <c r="AB87" s="59"/>
    </row>
    <row r="88" spans="8:28" x14ac:dyDescent="0.25">
      <c r="H88" s="5" t="s">
        <v>129</v>
      </c>
      <c r="J88" s="12">
        <v>0</v>
      </c>
      <c r="K88" s="2">
        <f>K87/K89</f>
        <v>7.0773520059052755E-2</v>
      </c>
      <c r="L88" s="12">
        <f t="shared" si="7"/>
        <v>7.0773520059052755E-2</v>
      </c>
      <c r="N88" s="6"/>
      <c r="Q88" s="2"/>
      <c r="R88" s="12"/>
      <c r="T88" s="60"/>
      <c r="U88" s="59"/>
      <c r="V88" s="59"/>
      <c r="W88" s="59"/>
      <c r="X88" s="59"/>
      <c r="Y88" s="59"/>
      <c r="Z88" s="59"/>
      <c r="AA88" s="59"/>
      <c r="AB88" s="59"/>
    </row>
    <row r="89" spans="8:28" x14ac:dyDescent="0.25">
      <c r="H89" t="s">
        <v>108</v>
      </c>
      <c r="I89" s="5" t="s">
        <v>109</v>
      </c>
      <c r="J89" s="12">
        <f>J86+J81</f>
        <v>29541.960365853658</v>
      </c>
      <c r="K89" s="12">
        <f>K86+K81</f>
        <v>29733.960365853658</v>
      </c>
      <c r="L89" s="12">
        <f t="shared" si="7"/>
        <v>192</v>
      </c>
      <c r="R89" s="12"/>
      <c r="T89" s="60"/>
      <c r="U89" s="59"/>
      <c r="V89" s="59"/>
      <c r="W89" s="59"/>
      <c r="X89" s="59"/>
      <c r="Y89" s="59"/>
      <c r="Z89" s="59"/>
      <c r="AA89" s="59"/>
      <c r="AB89" s="59"/>
    </row>
    <row r="90" spans="8:28" x14ac:dyDescent="0.25">
      <c r="H90" t="s">
        <v>111</v>
      </c>
      <c r="I90" s="5" t="s">
        <v>43</v>
      </c>
      <c r="J90" s="12">
        <f>J86-J78</f>
        <v>23808</v>
      </c>
      <c r="K90" s="12">
        <f>K86-K78</f>
        <v>24000</v>
      </c>
      <c r="L90" s="12">
        <f t="shared" si="7"/>
        <v>192</v>
      </c>
      <c r="R90" s="12"/>
      <c r="T90" s="60"/>
      <c r="U90" s="59"/>
      <c r="V90" s="59"/>
      <c r="W90" s="59"/>
      <c r="X90" s="59"/>
      <c r="Y90" s="59"/>
      <c r="Z90" s="59"/>
      <c r="AA90" s="59"/>
      <c r="AB90" s="59"/>
    </row>
    <row r="91" spans="8:28" x14ac:dyDescent="0.25">
      <c r="H91" t="s">
        <v>135</v>
      </c>
      <c r="I91" s="5" t="s">
        <v>43</v>
      </c>
      <c r="J91" s="12">
        <f>Qdemand-J90</f>
        <v>4192</v>
      </c>
      <c r="K91" s="12">
        <f>Qdemand-K90</f>
        <v>4000</v>
      </c>
      <c r="L91" s="12">
        <f t="shared" si="7"/>
        <v>-192</v>
      </c>
      <c r="R91" s="12"/>
      <c r="T91" s="60"/>
      <c r="U91" s="59"/>
      <c r="V91" s="59"/>
      <c r="W91" s="59"/>
      <c r="X91" s="59"/>
      <c r="Y91" s="59"/>
      <c r="Z91" s="59"/>
      <c r="AA91" s="59"/>
      <c r="AB91" s="59"/>
    </row>
    <row r="92" spans="8:28" x14ac:dyDescent="0.25">
      <c r="H92" s="3" t="s">
        <v>123</v>
      </c>
      <c r="L92" s="12"/>
      <c r="N92" s="3"/>
      <c r="R92" s="12"/>
      <c r="T92" s="60"/>
      <c r="U92" s="59"/>
      <c r="V92" s="59"/>
      <c r="W92" s="59"/>
      <c r="X92" s="59"/>
      <c r="Y92" s="59"/>
      <c r="Z92" s="59"/>
      <c r="AA92" s="59"/>
      <c r="AB92" s="59"/>
    </row>
    <row r="93" spans="8:28" x14ac:dyDescent="0.25">
      <c r="H93" t="s">
        <v>125</v>
      </c>
      <c r="I93" s="5" t="s">
        <v>54</v>
      </c>
      <c r="J93" s="12">
        <f>J$79*$C$24*LHVaffald/3.6</f>
        <v>33892.70026586522</v>
      </c>
      <c r="K93" s="12">
        <f>K$79*$C$24*LHVaffald/3.6</f>
        <v>31777.113114733045</v>
      </c>
      <c r="L93" s="12">
        <f t="shared" si="7"/>
        <v>-2115.5871511321748</v>
      </c>
      <c r="R93" s="12"/>
      <c r="T93" s="60"/>
      <c r="U93" s="59"/>
      <c r="V93" s="59"/>
      <c r="W93" s="59"/>
      <c r="X93" s="59"/>
      <c r="Y93" s="59"/>
      <c r="Z93" s="59"/>
      <c r="AA93" s="59"/>
      <c r="AB93" s="59"/>
    </row>
    <row r="94" spans="8:28" x14ac:dyDescent="0.25">
      <c r="H94" t="s">
        <v>126</v>
      </c>
      <c r="I94" s="5" t="s">
        <v>54</v>
      </c>
      <c r="J94" s="12">
        <f>J$79*AndelBioaffald*LHVbioaffald/3.6</f>
        <v>0</v>
      </c>
      <c r="K94" s="12">
        <f>K$79*AndelBioaffald*LHVbioaffald/3.6</f>
        <v>0</v>
      </c>
      <c r="L94" s="12">
        <f t="shared" si="7"/>
        <v>0</v>
      </c>
      <c r="R94" s="12"/>
      <c r="T94" s="60"/>
      <c r="U94" s="59"/>
      <c r="V94" s="59"/>
      <c r="W94" s="59"/>
      <c r="X94" s="59"/>
      <c r="Y94" s="59"/>
      <c r="Z94" s="59"/>
      <c r="AA94" s="59"/>
      <c r="AB94" s="59"/>
    </row>
    <row r="95" spans="8:28" x14ac:dyDescent="0.25">
      <c r="H95" t="s">
        <v>124</v>
      </c>
      <c r="I95" s="5" t="s">
        <v>109</v>
      </c>
      <c r="J95" s="12">
        <f>J89/0.85 - J94</f>
        <v>34755.247489239599</v>
      </c>
      <c r="K95" s="12">
        <f>IF(RGKudnyttelse&gt;0,K89/0.95 - K94,J95)</f>
        <v>31298.905648267009</v>
      </c>
      <c r="L95" s="12">
        <f t="shared" si="7"/>
        <v>-3456.3418409725891</v>
      </c>
      <c r="R95" s="12"/>
      <c r="T95" s="60"/>
      <c r="U95" s="59"/>
      <c r="V95" s="59"/>
      <c r="W95" s="59"/>
      <c r="X95" s="59"/>
      <c r="Y95" s="59"/>
      <c r="Z95" s="59"/>
      <c r="AA95" s="59"/>
      <c r="AB95" s="59"/>
    </row>
    <row r="96" spans="8:28" x14ac:dyDescent="0.25">
      <c r="H96" t="s">
        <v>130</v>
      </c>
      <c r="I96" s="5" t="s">
        <v>43</v>
      </c>
      <c r="J96" s="12">
        <f>J86*J95/(J95+J94)</f>
        <v>23808</v>
      </c>
      <c r="K96" s="12">
        <f>K86*K95/(K95+K94)</f>
        <v>24000</v>
      </c>
      <c r="L96" s="12">
        <f t="shared" si="7"/>
        <v>192</v>
      </c>
      <c r="R96" s="12"/>
      <c r="T96" s="60"/>
      <c r="U96" s="59"/>
      <c r="V96" s="59"/>
      <c r="W96" s="59"/>
      <c r="X96" s="59"/>
      <c r="Y96" s="59"/>
      <c r="Z96" s="59"/>
      <c r="AA96" s="59"/>
      <c r="AB96" s="59"/>
    </row>
    <row r="97" spans="8:28" x14ac:dyDescent="0.25">
      <c r="H97" t="s">
        <v>127</v>
      </c>
      <c r="I97" s="5" t="s">
        <v>50</v>
      </c>
      <c r="J97" s="12">
        <f>J81*J95/(J95+J94)</f>
        <v>5733.9603658536589</v>
      </c>
      <c r="K97" s="12">
        <f>K81*K95/(K95+K94)</f>
        <v>5733.9603658536589</v>
      </c>
      <c r="L97" s="12">
        <f t="shared" si="7"/>
        <v>0</v>
      </c>
      <c r="R97" s="12"/>
      <c r="T97" s="60"/>
      <c r="U97" s="59"/>
      <c r="V97" s="59"/>
      <c r="W97" s="59"/>
      <c r="X97" s="59"/>
      <c r="Y97" s="59"/>
      <c r="Z97" s="59"/>
      <c r="AA97" s="59"/>
      <c r="AB97" s="59"/>
    </row>
    <row r="98" spans="8:28" x14ac:dyDescent="0.25">
      <c r="H98" t="s">
        <v>128</v>
      </c>
      <c r="I98" s="5" t="s">
        <v>43</v>
      </c>
      <c r="J98" s="12">
        <f>J96/1.2</f>
        <v>19840</v>
      </c>
      <c r="K98" s="12">
        <f>IF(RGKudnyttelse&gt;0,(K96-0.1*(K96+K97))/1.2,J98)</f>
        <v>17522.169969512193</v>
      </c>
      <c r="L98" s="12">
        <f t="shared" si="7"/>
        <v>-2317.8300304878067</v>
      </c>
      <c r="R98" s="12"/>
      <c r="T98" s="60"/>
      <c r="U98" s="59"/>
      <c r="V98" s="59"/>
      <c r="W98" s="59"/>
      <c r="X98" s="59"/>
      <c r="Y98" s="59"/>
      <c r="Z98" s="59"/>
      <c r="AA98" s="59"/>
      <c r="AB98" s="59"/>
    </row>
    <row r="99" spans="8:28" x14ac:dyDescent="0.25">
      <c r="H99" t="s">
        <v>131</v>
      </c>
      <c r="I99" s="5" t="s">
        <v>43</v>
      </c>
      <c r="J99" s="12">
        <f>J98</f>
        <v>19840</v>
      </c>
      <c r="K99" s="12">
        <f>K98</f>
        <v>17522.169969512193</v>
      </c>
      <c r="L99" s="12">
        <f t="shared" si="7"/>
        <v>-2317.8300304878067</v>
      </c>
      <c r="R99" s="12"/>
      <c r="T99" s="60"/>
      <c r="U99" s="59"/>
      <c r="V99" s="59"/>
      <c r="W99" s="59"/>
      <c r="X99" s="59"/>
      <c r="Y99" s="59"/>
      <c r="Z99" s="59"/>
      <c r="AA99" s="59"/>
      <c r="AB99" s="59"/>
    </row>
    <row r="100" spans="8:28" x14ac:dyDescent="0.25">
      <c r="T100" s="60"/>
      <c r="U100" s="59"/>
      <c r="V100" s="59"/>
      <c r="W100" s="59"/>
      <c r="X100" s="59"/>
      <c r="Y100" s="59"/>
      <c r="Z100" s="59"/>
      <c r="AA100" s="59"/>
      <c r="AB100" s="59"/>
    </row>
    <row r="101" spans="8:28" x14ac:dyDescent="0.25">
      <c r="H101" s="3" t="s">
        <v>104</v>
      </c>
      <c r="I101" s="8"/>
      <c r="J101" s="15" t="str">
        <f>J57</f>
        <v>Uden RGK</v>
      </c>
      <c r="K101" s="15" t="str">
        <f>K57</f>
        <v>Med 38% RGK</v>
      </c>
      <c r="L101" s="3" t="s">
        <v>141</v>
      </c>
      <c r="N101" s="3"/>
      <c r="O101" s="97"/>
      <c r="P101" s="15"/>
      <c r="Q101" s="15"/>
      <c r="R101" s="3"/>
      <c r="T101" s="60"/>
      <c r="U101" s="59"/>
      <c r="V101" s="59"/>
      <c r="W101" s="59"/>
      <c r="X101" s="59"/>
      <c r="Y101" s="59"/>
      <c r="Z101" s="59"/>
      <c r="AA101" s="59"/>
      <c r="AB101" s="59"/>
    </row>
    <row r="102" spans="8:28" x14ac:dyDescent="0.25">
      <c r="H102" s="14" t="s">
        <v>24</v>
      </c>
      <c r="I102" s="14" t="s">
        <v>140</v>
      </c>
      <c r="J102" s="18">
        <f>Varmesalgspris*J90</f>
        <v>7404288</v>
      </c>
      <c r="K102" s="18">
        <f>Varmesalgspris*K90</f>
        <v>7464000</v>
      </c>
      <c r="L102" s="19">
        <f>K102-J102</f>
        <v>59712</v>
      </c>
      <c r="N102" s="14"/>
      <c r="O102" s="98"/>
      <c r="P102" s="18"/>
      <c r="Q102" s="18"/>
      <c r="R102" s="19"/>
      <c r="T102" s="60"/>
      <c r="U102" s="59"/>
      <c r="V102" s="59"/>
      <c r="W102" s="59"/>
      <c r="X102" s="59"/>
      <c r="Y102" s="59"/>
      <c r="Z102" s="59"/>
      <c r="AA102" s="59"/>
      <c r="AB102" s="59"/>
    </row>
    <row r="103" spans="8:28" x14ac:dyDescent="0.25">
      <c r="H103" s="14" t="s">
        <v>106</v>
      </c>
      <c r="I103" s="14" t="s">
        <v>140</v>
      </c>
      <c r="J103" s="18">
        <f>(Elpris-ElprodTarif)*J83</f>
        <v>3947332.4512195126</v>
      </c>
      <c r="K103" s="18">
        <f>(Elpris-ElprodTarif)*K83</f>
        <v>3947332.4512195126</v>
      </c>
      <c r="L103" s="19">
        <f t="shared" ref="L103:L116" si="11">K103-J103</f>
        <v>0</v>
      </c>
      <c r="N103" s="14"/>
      <c r="O103" s="98"/>
      <c r="P103" s="18"/>
      <c r="Q103" s="18"/>
      <c r="R103" s="19"/>
      <c r="T103" s="60"/>
      <c r="U103" s="59"/>
      <c r="V103" s="59"/>
      <c r="W103" s="59"/>
      <c r="X103" s="59"/>
      <c r="Y103" s="59"/>
      <c r="Z103" s="59"/>
      <c r="AA103" s="59"/>
      <c r="AB103" s="59"/>
    </row>
    <row r="104" spans="8:28" x14ac:dyDescent="0.25">
      <c r="H104" s="14" t="s">
        <v>107</v>
      </c>
      <c r="I104" s="14" t="s">
        <v>140</v>
      </c>
      <c r="J104" s="18">
        <v>0</v>
      </c>
      <c r="K104" s="18">
        <f>IF(K87&lt;7%*K89,0,10%)*K110</f>
        <v>200593.80181097562</v>
      </c>
      <c r="L104" s="19">
        <f t="shared" si="11"/>
        <v>200593.80181097562</v>
      </c>
      <c r="N104" s="14"/>
      <c r="O104" s="98"/>
      <c r="P104" s="18"/>
      <c r="Q104" s="18"/>
      <c r="R104" s="19"/>
      <c r="T104" s="60"/>
      <c r="U104" s="59"/>
      <c r="V104" s="59"/>
      <c r="W104" s="59"/>
      <c r="X104" s="59"/>
      <c r="Y104" s="59"/>
      <c r="Z104" s="59"/>
      <c r="AA104" s="59"/>
      <c r="AB104" s="59"/>
    </row>
    <row r="105" spans="8:28" x14ac:dyDescent="0.25">
      <c r="H105" s="14" t="s">
        <v>105</v>
      </c>
      <c r="I105" s="14" t="s">
        <v>140</v>
      </c>
      <c r="J105" s="18">
        <f>$C$27*($C$5-J80*$C$24)</f>
        <v>4784851.8022397961</v>
      </c>
      <c r="K105" s="18">
        <f>$C$27*($C$5-K80*$C$24)</f>
        <v>4486180.6750211362</v>
      </c>
      <c r="L105" s="19">
        <f t="shared" si="11"/>
        <v>-298671.12721865997</v>
      </c>
      <c r="N105" s="14"/>
      <c r="O105" s="98"/>
      <c r="P105" s="18"/>
      <c r="Q105" s="18"/>
      <c r="R105" s="19"/>
      <c r="T105" s="60"/>
      <c r="U105" s="59"/>
      <c r="V105" s="59"/>
      <c r="W105" s="59"/>
      <c r="X105" s="59"/>
      <c r="Y105" s="59"/>
      <c r="Z105" s="59"/>
      <c r="AA105" s="59"/>
      <c r="AB105" s="59"/>
    </row>
    <row r="106" spans="8:28" x14ac:dyDescent="0.25">
      <c r="I106" s="14"/>
      <c r="J106" s="19"/>
      <c r="K106" s="19"/>
      <c r="L106" s="19"/>
      <c r="O106" s="98"/>
      <c r="P106" s="19"/>
      <c r="Q106" s="19"/>
      <c r="R106" s="19"/>
      <c r="T106" s="60"/>
      <c r="U106" s="59"/>
      <c r="V106" s="59"/>
      <c r="W106" s="59"/>
      <c r="X106" s="59"/>
      <c r="Y106" s="59"/>
      <c r="Z106" s="59"/>
      <c r="AA106" s="59"/>
      <c r="AB106" s="59"/>
    </row>
    <row r="107" spans="8:28" x14ac:dyDescent="0.25">
      <c r="H107" s="14" t="s">
        <v>112</v>
      </c>
      <c r="I107" s="14" t="s">
        <v>140</v>
      </c>
      <c r="J107" s="19">
        <f>$D$27*($C$6-J80*AndelBioaffald)</f>
        <v>0</v>
      </c>
      <c r="K107" s="19">
        <f>$D$27*($C$6-K80*AndelBioaffald)</f>
        <v>0</v>
      </c>
      <c r="L107" s="19">
        <f t="shared" si="11"/>
        <v>0</v>
      </c>
      <c r="N107" s="14"/>
      <c r="O107" s="98"/>
      <c r="P107" s="19"/>
      <c r="Q107" s="19"/>
      <c r="R107" s="19"/>
      <c r="T107" s="60"/>
      <c r="U107" s="59"/>
      <c r="V107" s="59"/>
      <c r="W107" s="59"/>
      <c r="X107" s="59"/>
      <c r="Y107" s="59"/>
      <c r="Z107" s="59"/>
      <c r="AA107" s="59"/>
      <c r="AB107" s="59"/>
    </row>
    <row r="108" spans="8:28" x14ac:dyDescent="0.25">
      <c r="H108" s="14" t="s">
        <v>113</v>
      </c>
      <c r="I108" s="14" t="s">
        <v>140</v>
      </c>
      <c r="J108" s="18">
        <f>$C$20*J84+$D$20*J85+$E$20*J78</f>
        <v>1049040</v>
      </c>
      <c r="K108" s="18">
        <f>J108+$F$20*$K$87</f>
        <v>1070083.7704038783</v>
      </c>
      <c r="L108" s="19">
        <f t="shared" si="11"/>
        <v>21043.770403878298</v>
      </c>
      <c r="N108" s="14"/>
      <c r="O108" s="98"/>
      <c r="P108" s="18"/>
      <c r="Q108" s="18"/>
      <c r="R108" s="19"/>
      <c r="T108" s="60"/>
      <c r="U108" s="59"/>
      <c r="V108" s="59"/>
      <c r="W108" s="59"/>
      <c r="X108" s="59"/>
      <c r="Y108" s="59"/>
      <c r="Z108" s="59"/>
      <c r="AA108" s="59"/>
      <c r="AB108" s="59"/>
    </row>
    <row r="109" spans="8:28" x14ac:dyDescent="0.25">
      <c r="H109" s="14" t="s">
        <v>33</v>
      </c>
      <c r="I109" s="14" t="s">
        <v>140</v>
      </c>
      <c r="J109" s="18">
        <f>AFV*3.6*J90</f>
        <v>2211287.04</v>
      </c>
      <c r="K109" s="18">
        <f>AFV*3.6*K90</f>
        <v>2229120</v>
      </c>
      <c r="L109" s="19">
        <f t="shared" si="11"/>
        <v>17832.959999999963</v>
      </c>
      <c r="N109" s="14"/>
      <c r="O109" s="98"/>
      <c r="P109" s="18"/>
      <c r="Q109" s="18"/>
      <c r="R109" s="19"/>
      <c r="T109" s="60"/>
      <c r="U109" s="59"/>
      <c r="V109" s="59"/>
      <c r="W109" s="59"/>
      <c r="X109" s="59"/>
      <c r="Y109" s="59"/>
      <c r="Z109" s="59"/>
      <c r="AA109" s="59"/>
      <c r="AB109" s="59"/>
    </row>
    <row r="110" spans="8:28" x14ac:dyDescent="0.25">
      <c r="H110" s="14" t="s">
        <v>34</v>
      </c>
      <c r="I110" s="14" t="s">
        <v>140</v>
      </c>
      <c r="J110" s="19">
        <f>ATL*3.6*J98</f>
        <v>2271283.2000000002</v>
      </c>
      <c r="K110" s="19">
        <f>ATL*3.6*K98</f>
        <v>2005938.0181097561</v>
      </c>
      <c r="L110" s="19">
        <f t="shared" si="11"/>
        <v>-265345.18189024413</v>
      </c>
      <c r="N110" s="14"/>
      <c r="O110" s="98"/>
      <c r="P110" s="19"/>
      <c r="Q110" s="19"/>
      <c r="R110" s="19"/>
      <c r="T110" s="60"/>
      <c r="U110" s="59"/>
      <c r="V110" s="59"/>
      <c r="W110" s="59"/>
      <c r="X110" s="59"/>
      <c r="Y110" s="59"/>
      <c r="Z110" s="59"/>
      <c r="AA110" s="59"/>
      <c r="AB110" s="59"/>
    </row>
    <row r="111" spans="8:28" x14ac:dyDescent="0.25">
      <c r="H111" s="14" t="s">
        <v>35</v>
      </c>
      <c r="I111" s="14" t="s">
        <v>140</v>
      </c>
      <c r="J111" s="19">
        <f>CO2afgift*$C$29 /1000 *3.6*J98</f>
        <v>471719.80799999996</v>
      </c>
      <c r="K111" s="19">
        <f>CO2afgift*$C$29 /1000 *3.6*K98</f>
        <v>416610.61762911582</v>
      </c>
      <c r="L111" s="19">
        <f t="shared" si="11"/>
        <v>-55109.190370884142</v>
      </c>
      <c r="N111" s="14"/>
      <c r="O111" s="98"/>
      <c r="P111" s="19"/>
      <c r="Q111" s="19"/>
      <c r="R111" s="19"/>
      <c r="T111" s="60"/>
      <c r="U111" s="59"/>
      <c r="V111" s="59"/>
      <c r="W111" s="59"/>
      <c r="X111" s="59"/>
      <c r="Y111" s="59"/>
      <c r="Z111" s="59"/>
      <c r="AA111" s="59"/>
      <c r="AB111" s="59"/>
    </row>
    <row r="112" spans="8:28" x14ac:dyDescent="0.25">
      <c r="H112" s="14" t="s">
        <v>117</v>
      </c>
      <c r="I112" s="14" t="s">
        <v>140</v>
      </c>
      <c r="J112" s="19">
        <f>Kvotepris*$C$30/1000*C31*J79</f>
        <v>2155575.7369090281</v>
      </c>
      <c r="K112" s="19">
        <f>Kvotepris*$C$30/1000*10.6*K79</f>
        <v>2021024.3940970218</v>
      </c>
      <c r="L112" s="19">
        <f t="shared" si="11"/>
        <v>-134551.34281200636</v>
      </c>
      <c r="N112" s="14"/>
      <c r="O112" s="98"/>
      <c r="P112" s="19"/>
      <c r="Q112" s="19"/>
      <c r="R112" s="19"/>
      <c r="T112" s="60"/>
      <c r="U112" s="59"/>
      <c r="V112" s="59"/>
      <c r="W112" s="59"/>
      <c r="X112" s="59"/>
      <c r="Y112" s="59"/>
      <c r="Z112" s="59"/>
      <c r="AA112" s="59"/>
      <c r="AB112" s="59"/>
    </row>
    <row r="113" spans="8:28" x14ac:dyDescent="0.25">
      <c r="I113" s="14"/>
      <c r="J113" s="19"/>
      <c r="K113" s="19"/>
      <c r="L113" s="19"/>
      <c r="O113" s="98"/>
      <c r="P113" s="19"/>
      <c r="Q113" s="19"/>
      <c r="R113" s="19"/>
      <c r="T113" s="60"/>
      <c r="U113" s="59"/>
      <c r="V113" s="59"/>
      <c r="W113" s="59"/>
      <c r="X113" s="59"/>
      <c r="Y113" s="59"/>
      <c r="Z113" s="59"/>
      <c r="AA113" s="59"/>
      <c r="AB113" s="59"/>
    </row>
    <row r="114" spans="8:28" x14ac:dyDescent="0.25">
      <c r="H114" s="14" t="s">
        <v>120</v>
      </c>
      <c r="I114" s="14" t="s">
        <v>140</v>
      </c>
      <c r="J114" s="19">
        <f>SUM(J102:J105)</f>
        <v>16136472.253459308</v>
      </c>
      <c r="K114" s="19">
        <f>SUM(K102:K105)</f>
        <v>16098106.928051624</v>
      </c>
      <c r="L114" s="19">
        <f t="shared" si="11"/>
        <v>-38365.325407683849</v>
      </c>
      <c r="N114" s="14"/>
      <c r="O114" s="98"/>
      <c r="P114" s="19"/>
      <c r="Q114" s="19"/>
      <c r="R114" s="19"/>
      <c r="T114" s="60"/>
      <c r="U114" s="59"/>
      <c r="V114" s="59"/>
      <c r="W114" s="59"/>
      <c r="X114" s="59"/>
      <c r="Y114" s="59"/>
      <c r="Z114" s="59"/>
      <c r="AA114" s="59"/>
      <c r="AB114" s="59"/>
    </row>
    <row r="115" spans="8:28" x14ac:dyDescent="0.25">
      <c r="H115" s="14" t="s">
        <v>121</v>
      </c>
      <c r="I115" s="14" t="s">
        <v>140</v>
      </c>
      <c r="J115" s="19">
        <f>SUM(J107:J112)</f>
        <v>8158905.7849090286</v>
      </c>
      <c r="K115" s="19">
        <f>SUM(K107:K112)</f>
        <v>7742776.8002397716</v>
      </c>
      <c r="L115" s="19">
        <f t="shared" si="11"/>
        <v>-416128.98466925696</v>
      </c>
      <c r="N115" s="14"/>
      <c r="O115" s="98"/>
      <c r="P115" s="19"/>
      <c r="Q115" s="19"/>
      <c r="R115" s="19"/>
      <c r="T115" s="60"/>
      <c r="U115" s="59"/>
      <c r="V115" s="59"/>
      <c r="W115" s="59"/>
      <c r="X115" s="59"/>
      <c r="Y115" s="59"/>
      <c r="Z115" s="59"/>
      <c r="AA115" s="59"/>
      <c r="AB115" s="59"/>
    </row>
    <row r="116" spans="8:28" x14ac:dyDescent="0.25">
      <c r="H116" s="14" t="s">
        <v>122</v>
      </c>
      <c r="I116" s="14" t="s">
        <v>140</v>
      </c>
      <c r="J116" s="19">
        <f>J114-J115</f>
        <v>7977566.4685502797</v>
      </c>
      <c r="K116" s="19">
        <f>K114-K115</f>
        <v>8355330.1278118528</v>
      </c>
      <c r="L116" s="19">
        <f t="shared" si="11"/>
        <v>377763.65926157311</v>
      </c>
      <c r="N116" s="14"/>
      <c r="O116" s="98"/>
      <c r="P116" s="19"/>
      <c r="Q116" s="19"/>
      <c r="R116" s="19"/>
      <c r="T116" s="60"/>
      <c r="U116" s="59"/>
      <c r="V116" s="59"/>
      <c r="W116" s="59"/>
      <c r="X116" s="59"/>
      <c r="Y116" s="59"/>
      <c r="Z116" s="59"/>
      <c r="AA116" s="59"/>
      <c r="AB116" s="59"/>
    </row>
    <row r="117" spans="8:28" x14ac:dyDescent="0.25">
      <c r="T117" s="60"/>
      <c r="U117" s="59"/>
      <c r="V117" s="59"/>
      <c r="W117" s="59"/>
      <c r="X117" s="59"/>
      <c r="Y117" s="59"/>
      <c r="Z117" s="59"/>
      <c r="AA117" s="59"/>
      <c r="AB117" s="59"/>
    </row>
    <row r="118" spans="8:28" x14ac:dyDescent="0.25">
      <c r="T118" s="60"/>
      <c r="U118" s="59"/>
      <c r="V118" s="59"/>
      <c r="W118" s="59"/>
      <c r="X118" s="59"/>
      <c r="Y118" s="59"/>
      <c r="Z118" s="59"/>
      <c r="AA118" s="59"/>
      <c r="AB118" s="59"/>
    </row>
    <row r="119" spans="8:28" x14ac:dyDescent="0.25">
      <c r="T119" s="60"/>
      <c r="U119" s="59"/>
      <c r="V119" s="59"/>
      <c r="W119" s="59"/>
      <c r="X119" s="59"/>
      <c r="Y119" s="59"/>
      <c r="Z119" s="59"/>
      <c r="AA119" s="59"/>
      <c r="AB119" s="59"/>
    </row>
    <row r="120" spans="8:28" x14ac:dyDescent="0.25">
      <c r="T120" s="60"/>
      <c r="U120" s="59"/>
      <c r="V120" s="59"/>
      <c r="W120" s="59"/>
      <c r="X120" s="59"/>
      <c r="Y120" s="59"/>
      <c r="Z120" s="59"/>
      <c r="AA120" s="59"/>
      <c r="AB120" s="59"/>
    </row>
  </sheetData>
  <scenarios current="9" show="9" sqref="Q5:Q36">
    <scenario name="RGK 10 %" locked="1" count="1" user="Mogens Bech Laursen" comment="Created by Mogens Bech Laursen on 16-03-2022">
      <inputCells r="C7" val="0,1" numFmtId="9"/>
    </scenario>
    <scenario name="RGK 20 %" locked="1" count="1" user="Mogens Bech Laursen" comment="Created by Mogens Bech Laursen on 16-03-2022">
      <inputCells r="C7" val="0,2" numFmtId="9"/>
    </scenario>
    <scenario name="RGK 30 %" locked="1" count="1" user="Mogens Bech Laursen" comment="Created by Mogens Bech Laursen on 16-03-2022">
      <inputCells r="C7" val="0,3" numFmtId="9"/>
    </scenario>
    <scenario name="RGK 40 %" locked="1" count="1" user="Mogens Bech Laursen" comment="Created by Mogens Bech Laursen on 16-03-2022">
      <inputCells r="C7" val="0,4" numFmtId="9"/>
    </scenario>
    <scenario name="RGK 50 %" locked="1" count="1" user="Mogens Bech Laursen" comment="Created by Mogens Bech Laursen on 16-03-2022">
      <inputCells r="C7" val="0,5" numFmtId="9"/>
    </scenario>
    <scenario name="RGK 60 %" locked="1" count="1" user="Mogens Bech Laursen" comment="Created by Mogens Bech Laursen on 16-03-2022">
      <inputCells r="C7" val="0,6" numFmtId="9"/>
    </scenario>
    <scenario name="RGK 70 %" locked="1" count="1" user="Mogens Bech Laursen" comment="Created by Mogens Bech Laursen on 16-03-2022">
      <inputCells r="C7" val="0,7" numFmtId="9"/>
    </scenario>
    <scenario name="RGK 80 %" locked="1" count="1" user="Mogens Bech Laursen" comment="Created by Mogens Bech Laursen on 16-03-2022">
      <inputCells r="C7" val="0,8" numFmtId="9"/>
    </scenario>
    <scenario name="RGK 90 %" locked="1" count="1" user="Mogens Bech Laursen" comment="Created by Mogens Bech Laursen on 16-03-2022">
      <inputCells r="C7" val="0,9" numFmtId="9"/>
    </scenario>
    <scenario name="RGK 100 %" locked="1" count="1" user="Mogens Bech Laursen" comment="Created by Mogens Bech Laursen on 16-03-2022">
      <inputCells r="C7" val="1" numFmtId="9"/>
    </scenario>
  </scenarios>
  <mergeCells count="4">
    <mergeCell ref="H46:L46"/>
    <mergeCell ref="N46:R46"/>
    <mergeCell ref="A1:F1"/>
    <mergeCell ref="H1:X1"/>
  </mergeCells>
  <conditionalFormatting sqref="J58:K11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9" t="s">
        <v>200</v>
      </c>
      <c r="C2" s="29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</row>
    <row r="3" spans="1:14" ht="15.75" collapsed="1" x14ac:dyDescent="0.25">
      <c r="B3" s="28"/>
      <c r="C3" s="28"/>
      <c r="D3" s="35" t="s">
        <v>202</v>
      </c>
      <c r="E3" s="35" t="s">
        <v>189</v>
      </c>
      <c r="F3" s="35" t="s">
        <v>191</v>
      </c>
      <c r="G3" s="35" t="s">
        <v>192</v>
      </c>
      <c r="H3" s="35" t="s">
        <v>193</v>
      </c>
      <c r="I3" s="35" t="s">
        <v>194</v>
      </c>
      <c r="J3" s="35" t="s">
        <v>195</v>
      </c>
      <c r="K3" s="35" t="s">
        <v>196</v>
      </c>
      <c r="L3" s="35" t="s">
        <v>197</v>
      </c>
      <c r="M3" s="35" t="s">
        <v>198</v>
      </c>
      <c r="N3" s="35" t="s">
        <v>199</v>
      </c>
    </row>
    <row r="4" spans="1:14" ht="45" hidden="1" outlineLevel="1" x14ac:dyDescent="0.25">
      <c r="B4" s="31"/>
      <c r="C4" s="31"/>
      <c r="D4" s="23"/>
      <c r="E4" s="37" t="s">
        <v>190</v>
      </c>
      <c r="F4" s="37" t="s">
        <v>190</v>
      </c>
      <c r="G4" s="37" t="s">
        <v>190</v>
      </c>
      <c r="H4" s="37" t="s">
        <v>190</v>
      </c>
      <c r="I4" s="37" t="s">
        <v>190</v>
      </c>
      <c r="J4" s="37" t="s">
        <v>190</v>
      </c>
      <c r="K4" s="37" t="s">
        <v>190</v>
      </c>
      <c r="L4" s="37" t="s">
        <v>190</v>
      </c>
      <c r="M4" s="37" t="s">
        <v>190</v>
      </c>
      <c r="N4" s="37" t="s">
        <v>190</v>
      </c>
    </row>
    <row r="5" spans="1:14" x14ac:dyDescent="0.25">
      <c r="B5" s="32" t="s">
        <v>201</v>
      </c>
      <c r="C5" s="32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outlineLevel="1" x14ac:dyDescent="0.25">
      <c r="B6" s="31"/>
      <c r="C6" s="31" t="s">
        <v>156</v>
      </c>
      <c r="D6" s="24">
        <v>1</v>
      </c>
      <c r="E6" s="36">
        <v>0.1</v>
      </c>
      <c r="F6" s="36">
        <v>0.2</v>
      </c>
      <c r="G6" s="36">
        <v>0.3</v>
      </c>
      <c r="H6" s="36">
        <v>0.4</v>
      </c>
      <c r="I6" s="36">
        <v>0.5</v>
      </c>
      <c r="J6" s="36">
        <v>0.6</v>
      </c>
      <c r="K6" s="36">
        <v>0.7</v>
      </c>
      <c r="L6" s="36">
        <v>0.8</v>
      </c>
      <c r="M6" s="36">
        <v>0.9</v>
      </c>
      <c r="N6" s="36">
        <v>1</v>
      </c>
    </row>
    <row r="7" spans="1:14" x14ac:dyDescent="0.25">
      <c r="B7" s="32" t="s">
        <v>203</v>
      </c>
      <c r="C7" s="32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outlineLevel="1" x14ac:dyDescent="0.25">
      <c r="A8" s="5" t="str">
        <f>Model!N49</f>
        <v>Indtægter total</v>
      </c>
      <c r="B8" s="31"/>
      <c r="C8" s="31" t="s">
        <v>157</v>
      </c>
      <c r="D8" s="25">
        <v>6959978.0260043005</v>
      </c>
      <c r="E8" s="25">
        <v>7549301.93019199</v>
      </c>
      <c r="F8" s="25">
        <v>7471613.2799224304</v>
      </c>
      <c r="G8" s="25">
        <v>7397463.2431226997</v>
      </c>
      <c r="H8" s="25">
        <v>7326615.4346824698</v>
      </c>
      <c r="I8" s="25">
        <v>7258854.0654218197</v>
      </c>
      <c r="J8" s="25">
        <v>7193981.7467885604</v>
      </c>
      <c r="K8" s="25">
        <v>7131817.5704891402</v>
      </c>
      <c r="L8" s="25">
        <v>7072195.4237038204</v>
      </c>
      <c r="M8" s="25">
        <v>7014962.5068443203</v>
      </c>
      <c r="N8" s="25">
        <v>6959978.0260043005</v>
      </c>
    </row>
    <row r="9" spans="1:14" outlineLevel="1" x14ac:dyDescent="0.25">
      <c r="A9" s="5" t="str">
        <f>Model!N50</f>
        <v>Omkostninger total</v>
      </c>
      <c r="B9" s="31"/>
      <c r="C9" s="31" t="s">
        <v>158</v>
      </c>
      <c r="D9" s="25">
        <v>4024359.2875764999</v>
      </c>
      <c r="E9" s="25">
        <v>4123321.3703158302</v>
      </c>
      <c r="F9" s="25">
        <v>4110275.5213671499</v>
      </c>
      <c r="G9" s="25">
        <v>4097823.8932815501</v>
      </c>
      <c r="H9" s="25">
        <v>4085926.79114307</v>
      </c>
      <c r="I9" s="25">
        <v>4074547.97860272</v>
      </c>
      <c r="J9" s="25">
        <v>4063654.3092326801</v>
      </c>
      <c r="K9" s="25">
        <v>4053215.4040488801</v>
      </c>
      <c r="L9" s="25">
        <v>4043203.3685937799</v>
      </c>
      <c r="M9" s="25">
        <v>4033592.5440312298</v>
      </c>
      <c r="N9" s="25">
        <v>4024359.2875764999</v>
      </c>
    </row>
    <row r="10" spans="1:14" outlineLevel="1" x14ac:dyDescent="0.25">
      <c r="A10" s="5" t="str">
        <f>Model!N51</f>
        <v>Dækningsbidrag</v>
      </c>
      <c r="B10" s="31"/>
      <c r="C10" s="31" t="s">
        <v>159</v>
      </c>
      <c r="D10" s="25">
        <v>2935618.7384278099</v>
      </c>
      <c r="E10" s="25">
        <v>3425980.5598761602</v>
      </c>
      <c r="F10" s="25">
        <v>3361337.75855528</v>
      </c>
      <c r="G10" s="25">
        <v>3299639.34984115</v>
      </c>
      <c r="H10" s="25">
        <v>3240688.6435393998</v>
      </c>
      <c r="I10" s="25">
        <v>3184306.0868191002</v>
      </c>
      <c r="J10" s="25">
        <v>3130327.4375558798</v>
      </c>
      <c r="K10" s="25">
        <v>3078602.1664402601</v>
      </c>
      <c r="L10" s="25">
        <v>3028992.0551100401</v>
      </c>
      <c r="M10" s="25">
        <v>2981369.9628130901</v>
      </c>
      <c r="N10" s="25">
        <v>2935618.7384278099</v>
      </c>
    </row>
    <row r="11" spans="1:14" outlineLevel="1" x14ac:dyDescent="0.25">
      <c r="A11" s="5">
        <f>Model!N52</f>
        <v>0</v>
      </c>
      <c r="B11" s="31"/>
      <c r="C11" s="31" t="s">
        <v>160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</row>
    <row r="12" spans="1:14" outlineLevel="1" x14ac:dyDescent="0.25">
      <c r="A12" s="5" t="str">
        <f>Model!N53</f>
        <v>Varmesalg</v>
      </c>
      <c r="B12" s="31"/>
      <c r="C12" s="31" t="s">
        <v>161</v>
      </c>
      <c r="D12" s="25">
        <v>2177000</v>
      </c>
      <c r="E12" s="25">
        <v>2177000</v>
      </c>
      <c r="F12" s="25">
        <v>2177000</v>
      </c>
      <c r="G12" s="25">
        <v>2177000</v>
      </c>
      <c r="H12" s="25">
        <v>2177000</v>
      </c>
      <c r="I12" s="25">
        <v>2177000</v>
      </c>
      <c r="J12" s="25">
        <v>2177000</v>
      </c>
      <c r="K12" s="25">
        <v>2177000</v>
      </c>
      <c r="L12" s="25">
        <v>2177000</v>
      </c>
      <c r="M12" s="25">
        <v>2177000</v>
      </c>
      <c r="N12" s="25">
        <v>2177000</v>
      </c>
    </row>
    <row r="13" spans="1:14" outlineLevel="1" x14ac:dyDescent="0.25">
      <c r="A13" s="5" t="str">
        <f>Model!N54</f>
        <v>Elsalg</v>
      </c>
      <c r="B13" s="31"/>
      <c r="C13" s="31" t="s">
        <v>162</v>
      </c>
      <c r="D13" s="25">
        <v>3572432.8323170701</v>
      </c>
      <c r="E13" s="25">
        <v>3901791.4996825601</v>
      </c>
      <c r="F13" s="25">
        <v>3858373.21961554</v>
      </c>
      <c r="G13" s="25">
        <v>3816932.5837751902</v>
      </c>
      <c r="H13" s="25">
        <v>3777337.4823244801</v>
      </c>
      <c r="I13" s="25">
        <v>3739467.3159864801</v>
      </c>
      <c r="J13" s="25">
        <v>3703211.7691435101</v>
      </c>
      <c r="K13" s="25">
        <v>3668469.7365899901</v>
      </c>
      <c r="L13" s="25">
        <v>3635148.38194759</v>
      </c>
      <c r="M13" s="25">
        <v>3603162.3092762898</v>
      </c>
      <c r="N13" s="25">
        <v>3572432.8323170701</v>
      </c>
    </row>
    <row r="14" spans="1:14" outlineLevel="1" x14ac:dyDescent="0.25">
      <c r="A14" s="5" t="str">
        <f>Model!N55</f>
        <v>RGK-rabat</v>
      </c>
      <c r="B14" s="31"/>
      <c r="C14" s="31" t="s">
        <v>163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5">
        <v>0</v>
      </c>
      <c r="L14" s="25">
        <v>0</v>
      </c>
      <c r="M14" s="25">
        <v>0</v>
      </c>
      <c r="N14" s="25">
        <v>0</v>
      </c>
    </row>
    <row r="15" spans="1:14" outlineLevel="1" x14ac:dyDescent="0.25">
      <c r="A15" s="5" t="str">
        <f>Model!N56</f>
        <v>Modtagebetaling affald</v>
      </c>
      <c r="B15" s="31"/>
      <c r="C15" s="31" t="s">
        <v>164</v>
      </c>
      <c r="D15" s="25">
        <v>1210545.1936872301</v>
      </c>
      <c r="E15" s="25">
        <v>1470510.4305094299</v>
      </c>
      <c r="F15" s="25">
        <v>1436240.0603068799</v>
      </c>
      <c r="G15" s="25">
        <v>1403530.65934751</v>
      </c>
      <c r="H15" s="25">
        <v>1372277.95235799</v>
      </c>
      <c r="I15" s="25">
        <v>1342386.7494353401</v>
      </c>
      <c r="J15" s="25">
        <v>1313769.97764506</v>
      </c>
      <c r="K15" s="25">
        <v>1286347.8338991499</v>
      </c>
      <c r="L15" s="25">
        <v>1260047.0417562299</v>
      </c>
      <c r="M15" s="25">
        <v>1234800.1975680301</v>
      </c>
      <c r="N15" s="25">
        <v>1210545.1936872301</v>
      </c>
    </row>
    <row r="16" spans="1:14" outlineLevel="1" x14ac:dyDescent="0.25">
      <c r="A16" s="5">
        <f>Model!N57</f>
        <v>0</v>
      </c>
      <c r="B16" s="31"/>
      <c r="C16" s="31" t="s">
        <v>165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  <row r="17" spans="1:14" outlineLevel="1" x14ac:dyDescent="0.25">
      <c r="A17" s="5" t="str">
        <f>Model!N58</f>
        <v>Betaling bioaffald</v>
      </c>
      <c r="B17" s="31"/>
      <c r="C17" s="31" t="s">
        <v>166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</row>
    <row r="18" spans="1:14" outlineLevel="1" x14ac:dyDescent="0.25">
      <c r="A18" s="5" t="str">
        <f>Model!N59</f>
        <v>DV-omkostninger</v>
      </c>
      <c r="B18" s="31"/>
      <c r="C18" s="31" t="s">
        <v>167</v>
      </c>
      <c r="D18" s="25">
        <v>1006435.87933248</v>
      </c>
      <c r="E18" s="25">
        <v>993050.77926815301</v>
      </c>
      <c r="F18" s="25">
        <v>994815.29340092698</v>
      </c>
      <c r="G18" s="25">
        <v>996499.43628955702</v>
      </c>
      <c r="H18" s="25">
        <v>998108.57686330995</v>
      </c>
      <c r="I18" s="25">
        <v>999647.61626355199</v>
      </c>
      <c r="J18" s="25">
        <v>1001121.03770487</v>
      </c>
      <c r="K18" s="25">
        <v>1002532.95009171</v>
      </c>
      <c r="L18" s="25">
        <v>1003887.12628429</v>
      </c>
      <c r="M18" s="25">
        <v>1005187.03676424</v>
      </c>
      <c r="N18" s="25">
        <v>1006435.87933248</v>
      </c>
    </row>
    <row r="19" spans="1:14" outlineLevel="1" x14ac:dyDescent="0.25">
      <c r="A19" s="5" t="str">
        <f>Model!N60</f>
        <v>Affaldvarme-afgift</v>
      </c>
      <c r="B19" s="31"/>
      <c r="C19" s="31" t="s">
        <v>168</v>
      </c>
      <c r="D19" s="25">
        <v>650160</v>
      </c>
      <c r="E19" s="25">
        <v>650160</v>
      </c>
      <c r="F19" s="25">
        <v>650160</v>
      </c>
      <c r="G19" s="25">
        <v>650160</v>
      </c>
      <c r="H19" s="25">
        <v>650160</v>
      </c>
      <c r="I19" s="25">
        <v>650160</v>
      </c>
      <c r="J19" s="25">
        <v>650160</v>
      </c>
      <c r="K19" s="25">
        <v>650160</v>
      </c>
      <c r="L19" s="25">
        <v>650160</v>
      </c>
      <c r="M19" s="25">
        <v>650160</v>
      </c>
      <c r="N19" s="25">
        <v>650160</v>
      </c>
    </row>
    <row r="20" spans="1:14" outlineLevel="1" x14ac:dyDescent="0.25">
      <c r="A20" s="5" t="str">
        <f>Model!N61</f>
        <v>Tillægsafgift</v>
      </c>
      <c r="B20" s="31"/>
      <c r="C20" s="31" t="s">
        <v>169</v>
      </c>
      <c r="D20" s="25">
        <v>1509008.76178354</v>
      </c>
      <c r="E20" s="25">
        <v>1505061.42298119</v>
      </c>
      <c r="F20" s="25">
        <v>1505581.7877950601</v>
      </c>
      <c r="G20" s="25">
        <v>1506078.45069194</v>
      </c>
      <c r="H20" s="25">
        <v>1506552.9949982699</v>
      </c>
      <c r="I20" s="25">
        <v>1507006.8660873</v>
      </c>
      <c r="J20" s="25">
        <v>1507441.3860833801</v>
      </c>
      <c r="K20" s="25">
        <v>1507857.76672479</v>
      </c>
      <c r="L20" s="25">
        <v>1508257.1206485201</v>
      </c>
      <c r="M20" s="25">
        <v>1508640.4713184701</v>
      </c>
      <c r="N20" s="25">
        <v>1509008.76178354</v>
      </c>
    </row>
    <row r="21" spans="1:14" outlineLevel="1" x14ac:dyDescent="0.25">
      <c r="A21" s="5" t="str">
        <f>Model!N62</f>
        <v>CO2-afgift</v>
      </c>
      <c r="B21" s="31"/>
      <c r="C21" s="31" t="s">
        <v>170</v>
      </c>
      <c r="D21" s="25">
        <v>313404.03670438298</v>
      </c>
      <c r="E21" s="25">
        <v>312584.21912199003</v>
      </c>
      <c r="F21" s="25">
        <v>312692.293002908</v>
      </c>
      <c r="G21" s="25">
        <v>312795.44426399103</v>
      </c>
      <c r="H21" s="25">
        <v>312894.00174421701</v>
      </c>
      <c r="I21" s="25">
        <v>312988.26563124399</v>
      </c>
      <c r="J21" s="25">
        <v>313078.51051533601</v>
      </c>
      <c r="K21" s="25">
        <v>313164.98806081299</v>
      </c>
      <c r="L21" s="25">
        <v>313247.92934978398</v>
      </c>
      <c r="M21" s="25">
        <v>313327.54694411502</v>
      </c>
      <c r="N21" s="25">
        <v>313404.03670438298</v>
      </c>
    </row>
    <row r="22" spans="1:14" outlineLevel="1" x14ac:dyDescent="0.25">
      <c r="A22" s="5" t="str">
        <f>Model!N63</f>
        <v>Kvote-omkostning</v>
      </c>
      <c r="B22" s="31"/>
      <c r="C22" s="31" t="s">
        <v>171</v>
      </c>
      <c r="D22" s="25">
        <v>545350.60975609801</v>
      </c>
      <c r="E22" s="25">
        <v>662464.94894449995</v>
      </c>
      <c r="F22" s="25">
        <v>647026.14716825099</v>
      </c>
      <c r="G22" s="25">
        <v>632290.56203605502</v>
      </c>
      <c r="H22" s="25">
        <v>618211.21753727703</v>
      </c>
      <c r="I22" s="25">
        <v>604745.23062062298</v>
      </c>
      <c r="J22" s="25">
        <v>591853.37492909795</v>
      </c>
      <c r="K22" s="25">
        <v>579499.69917156501</v>
      </c>
      <c r="L22" s="25">
        <v>567651.19231118006</v>
      </c>
      <c r="M22" s="25">
        <v>556277.489004398</v>
      </c>
      <c r="N22" s="25">
        <v>545350.60975609801</v>
      </c>
    </row>
    <row r="23" spans="1:14" outlineLevel="1" x14ac:dyDescent="0.25">
      <c r="A23" s="5">
        <f>Model!N64</f>
        <v>0</v>
      </c>
      <c r="B23" s="31"/>
      <c r="C23" s="31" t="s">
        <v>172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outlineLevel="1" x14ac:dyDescent="0.25">
      <c r="A24" s="5" t="str">
        <f>Model!N65</f>
        <v>Varmemængder:</v>
      </c>
      <c r="B24" s="31"/>
      <c r="C24" s="31" t="s">
        <v>173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outlineLevel="1" x14ac:dyDescent="0.25">
      <c r="A25" s="5" t="str">
        <f>Model!N66</f>
        <v>Varmeproduktion Ovn2</v>
      </c>
      <c r="B25" s="31"/>
      <c r="C25" s="31" t="s">
        <v>174</v>
      </c>
      <c r="D25" s="26">
        <v>1420</v>
      </c>
      <c r="E25" s="26">
        <v>1420</v>
      </c>
      <c r="F25" s="26">
        <v>1420</v>
      </c>
      <c r="G25" s="26">
        <v>1420</v>
      </c>
      <c r="H25" s="26">
        <v>1420</v>
      </c>
      <c r="I25" s="26">
        <v>1420</v>
      </c>
      <c r="J25" s="26">
        <v>1420</v>
      </c>
      <c r="K25" s="26">
        <v>1420</v>
      </c>
      <c r="L25" s="26">
        <v>1420</v>
      </c>
      <c r="M25" s="26">
        <v>1420</v>
      </c>
      <c r="N25" s="26">
        <v>1420</v>
      </c>
    </row>
    <row r="26" spans="1:14" outlineLevel="1" x14ac:dyDescent="0.25">
      <c r="A26" s="5" t="str">
        <f>Model!N67</f>
        <v>Varmeproduktion Ovn3</v>
      </c>
      <c r="B26" s="31"/>
      <c r="C26" s="31" t="s">
        <v>175</v>
      </c>
      <c r="D26" s="26">
        <v>16740</v>
      </c>
      <c r="E26" s="26">
        <v>16740</v>
      </c>
      <c r="F26" s="26">
        <v>16740</v>
      </c>
      <c r="G26" s="26">
        <v>16740</v>
      </c>
      <c r="H26" s="26">
        <v>16740</v>
      </c>
      <c r="I26" s="26">
        <v>16740</v>
      </c>
      <c r="J26" s="26">
        <v>16740</v>
      </c>
      <c r="K26" s="26">
        <v>16740</v>
      </c>
      <c r="L26" s="26">
        <v>16740</v>
      </c>
      <c r="M26" s="26">
        <v>16740</v>
      </c>
      <c r="N26" s="26">
        <v>16740</v>
      </c>
    </row>
    <row r="27" spans="1:14" outlineLevel="1" x14ac:dyDescent="0.25">
      <c r="A27" s="5" t="str">
        <f>Model!N68</f>
        <v>Heraf RGK-varme</v>
      </c>
      <c r="B27" s="31"/>
      <c r="C27" s="31" t="s">
        <v>176</v>
      </c>
      <c r="D27" s="26">
        <v>1523.58793324775</v>
      </c>
      <c r="E27" s="26">
        <v>185.07792681534499</v>
      </c>
      <c r="F27" s="26">
        <v>361.52934009268699</v>
      </c>
      <c r="G27" s="26">
        <v>529.94362895574</v>
      </c>
      <c r="H27" s="26">
        <v>690.85768633096495</v>
      </c>
      <c r="I27" s="26">
        <v>844.76162635518995</v>
      </c>
      <c r="J27" s="26">
        <v>992.10377048690896</v>
      </c>
      <c r="K27" s="26">
        <v>1133.2950091709999</v>
      </c>
      <c r="L27" s="26">
        <v>1268.7126284293599</v>
      </c>
      <c r="M27" s="26">
        <v>1398.70367642417</v>
      </c>
      <c r="N27" s="26">
        <v>1523.58793324775</v>
      </c>
    </row>
    <row r="28" spans="1:14" outlineLevel="1" x14ac:dyDescent="0.25">
      <c r="A28" s="5" t="str">
        <f>Model!N69</f>
        <v>Bortkølet varme</v>
      </c>
      <c r="B28" s="31"/>
      <c r="C28" s="31" t="s">
        <v>177</v>
      </c>
      <c r="D28" s="26">
        <v>11160</v>
      </c>
      <c r="E28" s="26">
        <v>11160</v>
      </c>
      <c r="F28" s="26">
        <v>11160</v>
      </c>
      <c r="G28" s="26">
        <v>11160</v>
      </c>
      <c r="H28" s="26">
        <v>11160</v>
      </c>
      <c r="I28" s="26">
        <v>11160</v>
      </c>
      <c r="J28" s="26">
        <v>11160</v>
      </c>
      <c r="K28" s="26">
        <v>11160</v>
      </c>
      <c r="L28" s="26">
        <v>11160</v>
      </c>
      <c r="M28" s="26">
        <v>11160</v>
      </c>
      <c r="N28" s="26">
        <v>11160</v>
      </c>
    </row>
    <row r="29" spans="1:14" outlineLevel="1" x14ac:dyDescent="0.25">
      <c r="A29" s="5" t="str">
        <f>Model!N70</f>
        <v>Leveret varme</v>
      </c>
      <c r="B29" s="31"/>
      <c r="C29" s="31" t="s">
        <v>178</v>
      </c>
      <c r="D29" s="26">
        <v>7000</v>
      </c>
      <c r="E29" s="26">
        <v>7000</v>
      </c>
      <c r="F29" s="26">
        <v>7000</v>
      </c>
      <c r="G29" s="26">
        <v>7000</v>
      </c>
      <c r="H29" s="26">
        <v>7000</v>
      </c>
      <c r="I29" s="26">
        <v>7000</v>
      </c>
      <c r="J29" s="26">
        <v>7000</v>
      </c>
      <c r="K29" s="26">
        <v>7000</v>
      </c>
      <c r="L29" s="26">
        <v>7000</v>
      </c>
      <c r="M29" s="26">
        <v>7000</v>
      </c>
      <c r="N29" s="26">
        <v>7000</v>
      </c>
    </row>
    <row r="30" spans="1:14" outlineLevel="1" x14ac:dyDescent="0.25">
      <c r="A30" s="5" t="str">
        <f>Model!N71</f>
        <v>Spidslastvarme</v>
      </c>
      <c r="B30" s="31"/>
      <c r="C30" s="31" t="s">
        <v>179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</row>
    <row r="31" spans="1:14" outlineLevel="1" x14ac:dyDescent="0.25">
      <c r="A31" s="5">
        <f>Model!N72</f>
        <v>0</v>
      </c>
      <c r="B31" s="31"/>
      <c r="C31" s="31" t="s">
        <v>180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1:14" outlineLevel="1" x14ac:dyDescent="0.25">
      <c r="A32" s="5" t="str">
        <f>Model!N73</f>
        <v>Brændselsmængder:</v>
      </c>
      <c r="B32" s="31"/>
      <c r="C32" s="31" t="s">
        <v>181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outlineLevel="1" x14ac:dyDescent="0.25">
      <c r="A33" s="5" t="str">
        <f>Model!N74</f>
        <v>Affaldsforbrug Ovn3</v>
      </c>
      <c r="B33" s="31"/>
      <c r="C33" s="31" t="s">
        <v>182</v>
      </c>
      <c r="D33" s="26">
        <v>3026.3629842180799</v>
      </c>
      <c r="E33" s="26">
        <v>3676.2760762735902</v>
      </c>
      <c r="F33" s="26">
        <v>3590.6001507672099</v>
      </c>
      <c r="G33" s="26">
        <v>3508.8266483687898</v>
      </c>
      <c r="H33" s="26">
        <v>3430.6948808949901</v>
      </c>
      <c r="I33" s="26">
        <v>3355.9668735883602</v>
      </c>
      <c r="J33" s="26">
        <v>3284.4249441126399</v>
      </c>
      <c r="K33" s="26">
        <v>3215.8695847478598</v>
      </c>
      <c r="L33" s="26">
        <v>3150.1176043905598</v>
      </c>
      <c r="M33" s="26">
        <v>3087.0004939200799</v>
      </c>
      <c r="N33" s="26">
        <v>3026.3629842180799</v>
      </c>
    </row>
    <row r="34" spans="1:14" outlineLevel="1" x14ac:dyDescent="0.25">
      <c r="A34" s="5" t="str">
        <f>Model!N75</f>
        <v>Nordic Sugar varme</v>
      </c>
      <c r="B34" s="31"/>
      <c r="C34" s="31" t="s">
        <v>183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</row>
    <row r="35" spans="1:14" outlineLevel="1" x14ac:dyDescent="0.25">
      <c r="A35" s="5" t="str">
        <f>Model!N76</f>
        <v>Affaldsforbrug Ovn2</v>
      </c>
      <c r="B35" s="31"/>
      <c r="C35" s="31" t="s">
        <v>184</v>
      </c>
      <c r="D35" s="26">
        <v>0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</row>
    <row r="36" spans="1:14" outlineLevel="1" x14ac:dyDescent="0.25">
      <c r="A36" s="5" t="str">
        <f>Model!N77</f>
        <v>Affaldsforbrug kølevarme Ovn3</v>
      </c>
      <c r="B36" s="31"/>
      <c r="C36" s="31" t="s">
        <v>185</v>
      </c>
      <c r="D36" s="26">
        <v>5240.3156384505</v>
      </c>
      <c r="E36" s="26">
        <v>5240.3156384505</v>
      </c>
      <c r="F36" s="26">
        <v>5240.3156384505</v>
      </c>
      <c r="G36" s="26">
        <v>5240.3156384505</v>
      </c>
      <c r="H36" s="26">
        <v>5240.3156384505</v>
      </c>
      <c r="I36" s="26">
        <v>5240.3156384505</v>
      </c>
      <c r="J36" s="26">
        <v>5240.3156384505</v>
      </c>
      <c r="K36" s="26">
        <v>5240.3156384505</v>
      </c>
      <c r="L36" s="26">
        <v>5240.3156384505</v>
      </c>
      <c r="M36" s="26">
        <v>5240.3156384505</v>
      </c>
      <c r="N36" s="26">
        <v>5240.3156384505</v>
      </c>
    </row>
    <row r="37" spans="1:14" outlineLevel="1" x14ac:dyDescent="0.25">
      <c r="A37" s="5" t="str">
        <f>Model!N78</f>
        <v>Affaldsforbrug kølevarme Ovn2</v>
      </c>
      <c r="B37" s="31"/>
      <c r="C37" s="31" t="s">
        <v>186</v>
      </c>
      <c r="D37" s="26">
        <v>593.81098410928405</v>
      </c>
      <c r="E37" s="26">
        <v>593.81098410928405</v>
      </c>
      <c r="F37" s="26">
        <v>593.81098410928405</v>
      </c>
      <c r="G37" s="26">
        <v>593.81098410928405</v>
      </c>
      <c r="H37" s="26">
        <v>593.81098410928405</v>
      </c>
      <c r="I37" s="26">
        <v>593.81098410928405</v>
      </c>
      <c r="J37" s="26">
        <v>593.81098410928405</v>
      </c>
      <c r="K37" s="26">
        <v>593.81098410928405</v>
      </c>
      <c r="L37" s="26">
        <v>593.81098410928405</v>
      </c>
      <c r="M37" s="26">
        <v>593.81098410928405</v>
      </c>
      <c r="N37" s="26">
        <v>593.81098410928405</v>
      </c>
    </row>
    <row r="38" spans="1:14" outlineLevel="1" x14ac:dyDescent="0.25">
      <c r="A38" s="5" t="str">
        <f>Model!N79</f>
        <v>Udnyttet affald</v>
      </c>
      <c r="B38" s="31"/>
      <c r="C38" s="31" t="s">
        <v>187</v>
      </c>
      <c r="D38" s="26">
        <v>8860.4896067778609</v>
      </c>
      <c r="E38" s="26">
        <v>9510.4026988333699</v>
      </c>
      <c r="F38" s="26">
        <v>9424.726773327</v>
      </c>
      <c r="G38" s="26">
        <v>9342.9532709285704</v>
      </c>
      <c r="H38" s="26">
        <v>9264.8215034547702</v>
      </c>
      <c r="I38" s="26">
        <v>9190.0934961481507</v>
      </c>
      <c r="J38" s="26">
        <v>9118.5515666724295</v>
      </c>
      <c r="K38" s="26">
        <v>9049.9962073076495</v>
      </c>
      <c r="L38" s="26">
        <v>8984.2442269503499</v>
      </c>
      <c r="M38" s="26">
        <v>8921.12711647986</v>
      </c>
      <c r="N38" s="26">
        <v>8860.4896067778609</v>
      </c>
    </row>
    <row r="39" spans="1:14" ht="15.75" outlineLevel="1" thickBot="1" x14ac:dyDescent="0.3">
      <c r="A39" s="5" t="str">
        <f>Model!N80</f>
        <v>Ikke-udnyttet affald</v>
      </c>
      <c r="B39" s="33"/>
      <c r="C39" s="33" t="s">
        <v>188</v>
      </c>
      <c r="D39" s="27">
        <v>8973.6370157819201</v>
      </c>
      <c r="E39" s="27">
        <v>8323.7239237264093</v>
      </c>
      <c r="F39" s="27">
        <v>8409.3998492327901</v>
      </c>
      <c r="G39" s="27">
        <v>8491.1733516312106</v>
      </c>
      <c r="H39" s="27">
        <v>8569.3051191050108</v>
      </c>
      <c r="I39" s="27">
        <v>8644.0331264116394</v>
      </c>
      <c r="J39" s="27">
        <v>8715.5750558873606</v>
      </c>
      <c r="K39" s="27">
        <v>8784.1304152521407</v>
      </c>
      <c r="L39" s="27">
        <v>8849.8823956094293</v>
      </c>
      <c r="M39" s="27">
        <v>8912.9995060799192</v>
      </c>
      <c r="N39" s="27">
        <v>8973.6370157819201</v>
      </c>
    </row>
    <row r="40" spans="1:14" x14ac:dyDescent="0.25">
      <c r="B40" t="s">
        <v>204</v>
      </c>
    </row>
    <row r="41" spans="1:14" x14ac:dyDescent="0.25">
      <c r="B41" t="s">
        <v>205</v>
      </c>
    </row>
    <row r="42" spans="1:14" x14ac:dyDescent="0.25">
      <c r="B42" t="s">
        <v>206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5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9" t="s">
        <v>200</v>
      </c>
      <c r="C2" s="29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</row>
    <row r="3" spans="1:14" ht="15.75" collapsed="1" x14ac:dyDescent="0.25">
      <c r="B3" s="28"/>
      <c r="C3" s="28"/>
      <c r="D3" s="35" t="s">
        <v>202</v>
      </c>
      <c r="E3" s="35" t="s">
        <v>189</v>
      </c>
      <c r="F3" s="35" t="s">
        <v>191</v>
      </c>
      <c r="G3" s="35" t="s">
        <v>192</v>
      </c>
      <c r="H3" s="35" t="s">
        <v>193</v>
      </c>
      <c r="I3" s="35" t="s">
        <v>194</v>
      </c>
      <c r="J3" s="35" t="s">
        <v>195</v>
      </c>
      <c r="K3" s="35" t="s">
        <v>196</v>
      </c>
      <c r="L3" s="35" t="s">
        <v>197</v>
      </c>
      <c r="M3" s="35" t="s">
        <v>198</v>
      </c>
      <c r="N3" s="35" t="s">
        <v>199</v>
      </c>
    </row>
    <row r="4" spans="1:14" ht="45" hidden="1" outlineLevel="1" x14ac:dyDescent="0.25">
      <c r="B4" s="31"/>
      <c r="C4" s="31"/>
      <c r="D4" s="23"/>
      <c r="E4" s="37" t="s">
        <v>190</v>
      </c>
      <c r="F4" s="37" t="s">
        <v>190</v>
      </c>
      <c r="G4" s="37" t="s">
        <v>190</v>
      </c>
      <c r="H4" s="37" t="s">
        <v>190</v>
      </c>
      <c r="I4" s="37" t="s">
        <v>190</v>
      </c>
      <c r="J4" s="37" t="s">
        <v>190</v>
      </c>
      <c r="K4" s="37" t="s">
        <v>190</v>
      </c>
      <c r="L4" s="37" t="s">
        <v>190</v>
      </c>
      <c r="M4" s="37" t="s">
        <v>190</v>
      </c>
      <c r="N4" s="37" t="s">
        <v>190</v>
      </c>
    </row>
    <row r="5" spans="1:14" x14ac:dyDescent="0.25">
      <c r="B5" s="32" t="s">
        <v>201</v>
      </c>
      <c r="C5" s="32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outlineLevel="1" x14ac:dyDescent="0.25">
      <c r="B6" s="31"/>
      <c r="C6" s="31" t="s">
        <v>156</v>
      </c>
      <c r="D6" s="24">
        <v>1</v>
      </c>
      <c r="E6" s="36">
        <v>0.1</v>
      </c>
      <c r="F6" s="36">
        <v>0.2</v>
      </c>
      <c r="G6" s="36">
        <v>0.3</v>
      </c>
      <c r="H6" s="36">
        <v>0.4</v>
      </c>
      <c r="I6" s="36">
        <v>0.5</v>
      </c>
      <c r="J6" s="36">
        <v>0.6</v>
      </c>
      <c r="K6" s="36">
        <v>0.7</v>
      </c>
      <c r="L6" s="36">
        <v>0.8</v>
      </c>
      <c r="M6" s="36">
        <v>0.9</v>
      </c>
      <c r="N6" s="36">
        <v>1</v>
      </c>
    </row>
    <row r="7" spans="1:14" x14ac:dyDescent="0.25">
      <c r="B7" s="32" t="s">
        <v>203</v>
      </c>
      <c r="C7" s="32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outlineLevel="1" x14ac:dyDescent="0.25">
      <c r="A8" s="5" t="str">
        <f>Model!N49</f>
        <v>Indtægter total</v>
      </c>
      <c r="B8" s="31"/>
      <c r="C8" s="31" t="s">
        <v>157</v>
      </c>
      <c r="D8" s="25">
        <v>15704906.5498023</v>
      </c>
      <c r="E8" s="25">
        <v>16190829.9768045</v>
      </c>
      <c r="F8" s="25">
        <v>16102094.8127602</v>
      </c>
      <c r="G8" s="25">
        <v>16016873.9126384</v>
      </c>
      <c r="H8" s="25">
        <v>16136543.7538468</v>
      </c>
      <c r="I8" s="25">
        <v>16057752.8356482</v>
      </c>
      <c r="J8" s="25">
        <v>15981907.3723356</v>
      </c>
      <c r="K8" s="25">
        <v>15908845.2287775</v>
      </c>
      <c r="L8" s="25">
        <v>15838415.9552575</v>
      </c>
      <c r="M8" s="25">
        <v>15770479.753366601</v>
      </c>
      <c r="N8" s="25">
        <v>15704906.5498023</v>
      </c>
    </row>
    <row r="9" spans="1:14" outlineLevel="1" x14ac:dyDescent="0.25">
      <c r="A9" s="5" t="str">
        <f>Model!N50</f>
        <v>Omkostninger total</v>
      </c>
      <c r="B9" s="31"/>
      <c r="C9" s="31" t="s">
        <v>158</v>
      </c>
      <c r="D9" s="25">
        <v>7601139.8216774501</v>
      </c>
      <c r="E9" s="25">
        <v>7866196.3108281298</v>
      </c>
      <c r="F9" s="25">
        <v>7831849.9144885596</v>
      </c>
      <c r="G9" s="25">
        <v>7798897.0890948502</v>
      </c>
      <c r="H9" s="25">
        <v>7767256.6557569401</v>
      </c>
      <c r="I9" s="25">
        <v>7736853.6206430802</v>
      </c>
      <c r="J9" s="25">
        <v>7707618.5969369598</v>
      </c>
      <c r="K9" s="25">
        <v>7679487.2904326404</v>
      </c>
      <c r="L9" s="25">
        <v>7652400.0407408504</v>
      </c>
      <c r="M9" s="25">
        <v>7626301.4112166697</v>
      </c>
      <c r="N9" s="25">
        <v>7601139.8216774501</v>
      </c>
    </row>
    <row r="10" spans="1:14" outlineLevel="1" x14ac:dyDescent="0.25">
      <c r="A10" s="5" t="str">
        <f>Model!N51</f>
        <v>Dækningsbidrag</v>
      </c>
      <c r="B10" s="31"/>
      <c r="C10" s="31" t="s">
        <v>159</v>
      </c>
      <c r="D10" s="25">
        <v>8103766.7281248998</v>
      </c>
      <c r="E10" s="25">
        <v>8324633.6659763698</v>
      </c>
      <c r="F10" s="25">
        <v>8270244.8982715895</v>
      </c>
      <c r="G10" s="25">
        <v>8217976.8235435002</v>
      </c>
      <c r="H10" s="25">
        <v>8369287.0980898896</v>
      </c>
      <c r="I10" s="25">
        <v>8320899.2150051603</v>
      </c>
      <c r="J10" s="25">
        <v>8274288.7753986102</v>
      </c>
      <c r="K10" s="25">
        <v>8229357.9383448502</v>
      </c>
      <c r="L10" s="25">
        <v>8186015.9145167004</v>
      </c>
      <c r="M10" s="25">
        <v>8144178.3421499496</v>
      </c>
      <c r="N10" s="25">
        <v>8103766.7281248998</v>
      </c>
    </row>
    <row r="11" spans="1:14" outlineLevel="1" x14ac:dyDescent="0.25">
      <c r="A11" s="5">
        <f>Model!N52</f>
        <v>0</v>
      </c>
      <c r="B11" s="31"/>
      <c r="C11" s="31" t="s">
        <v>160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</row>
    <row r="12" spans="1:14" outlineLevel="1" x14ac:dyDescent="0.25">
      <c r="A12" s="5" t="str">
        <f>Model!N53</f>
        <v>Varmesalg</v>
      </c>
      <c r="B12" s="31"/>
      <c r="C12" s="31" t="s">
        <v>161</v>
      </c>
      <c r="D12" s="25">
        <v>7499765</v>
      </c>
      <c r="E12" s="25">
        <v>7499765</v>
      </c>
      <c r="F12" s="25">
        <v>7499765</v>
      </c>
      <c r="G12" s="25">
        <v>7499765</v>
      </c>
      <c r="H12" s="25">
        <v>7499765</v>
      </c>
      <c r="I12" s="25">
        <v>7499765</v>
      </c>
      <c r="J12" s="25">
        <v>7499765</v>
      </c>
      <c r="K12" s="25">
        <v>7499765</v>
      </c>
      <c r="L12" s="25">
        <v>7499765</v>
      </c>
      <c r="M12" s="25">
        <v>7499765</v>
      </c>
      <c r="N12" s="25">
        <v>7499765</v>
      </c>
    </row>
    <row r="13" spans="1:14" outlineLevel="1" x14ac:dyDescent="0.25">
      <c r="A13" s="5" t="str">
        <f>Model!N54</f>
        <v>Elsalg</v>
      </c>
      <c r="B13" s="31"/>
      <c r="C13" s="31" t="s">
        <v>162</v>
      </c>
      <c r="D13" s="25">
        <v>3947332.4512195098</v>
      </c>
      <c r="E13" s="25">
        <v>3947332.4512195098</v>
      </c>
      <c r="F13" s="25">
        <v>3947332.4512195098</v>
      </c>
      <c r="G13" s="25">
        <v>3947332.4512195098</v>
      </c>
      <c r="H13" s="25">
        <v>3947332.4512195098</v>
      </c>
      <c r="I13" s="25">
        <v>3947332.4512195098</v>
      </c>
      <c r="J13" s="25">
        <v>3947332.4512195098</v>
      </c>
      <c r="K13" s="25">
        <v>3947332.4512195098</v>
      </c>
      <c r="L13" s="25">
        <v>3947332.4512195098</v>
      </c>
      <c r="M13" s="25">
        <v>3947332.4512195098</v>
      </c>
      <c r="N13" s="25">
        <v>3947332.4512195098</v>
      </c>
    </row>
    <row r="14" spans="1:14" outlineLevel="1" x14ac:dyDescent="0.25">
      <c r="A14" s="5" t="str">
        <f>Model!N55</f>
        <v>RGK-rabat</v>
      </c>
      <c r="B14" s="31"/>
      <c r="C14" s="31" t="s">
        <v>163</v>
      </c>
      <c r="D14" s="25">
        <v>201581.19181097599</v>
      </c>
      <c r="E14" s="25">
        <v>0</v>
      </c>
      <c r="F14" s="25">
        <v>0</v>
      </c>
      <c r="G14" s="25">
        <v>0</v>
      </c>
      <c r="H14" s="25">
        <v>201581.19181097599</v>
      </c>
      <c r="I14" s="25">
        <v>201581.19181097599</v>
      </c>
      <c r="J14" s="25">
        <v>201581.19181097599</v>
      </c>
      <c r="K14" s="25">
        <v>201581.19181097599</v>
      </c>
      <c r="L14" s="25">
        <v>201581.19181097599</v>
      </c>
      <c r="M14" s="25">
        <v>201581.19181097599</v>
      </c>
      <c r="N14" s="25">
        <v>201581.19181097599</v>
      </c>
    </row>
    <row r="15" spans="1:14" outlineLevel="1" x14ac:dyDescent="0.25">
      <c r="A15" s="5" t="str">
        <f>Model!N56</f>
        <v>Modtagebetaling affald</v>
      </c>
      <c r="B15" s="31"/>
      <c r="C15" s="31" t="s">
        <v>164</v>
      </c>
      <c r="D15" s="25">
        <v>4056227.9067718601</v>
      </c>
      <c r="E15" s="25">
        <v>4743732.5255849799</v>
      </c>
      <c r="F15" s="25">
        <v>4654997.3615406398</v>
      </c>
      <c r="G15" s="25">
        <v>4569776.4614188401</v>
      </c>
      <c r="H15" s="25">
        <v>4487865.11081634</v>
      </c>
      <c r="I15" s="25">
        <v>4409074.1926177498</v>
      </c>
      <c r="J15" s="25">
        <v>4333228.7293050801</v>
      </c>
      <c r="K15" s="25">
        <v>4260166.5857470101</v>
      </c>
      <c r="L15" s="25">
        <v>4189737.3122270601</v>
      </c>
      <c r="M15" s="25">
        <v>4121801.1103361398</v>
      </c>
      <c r="N15" s="25">
        <v>4056227.9067718601</v>
      </c>
    </row>
    <row r="16" spans="1:14" outlineLevel="1" x14ac:dyDescent="0.25">
      <c r="A16" s="5">
        <f>Model!N57</f>
        <v>0</v>
      </c>
      <c r="B16" s="31"/>
      <c r="C16" s="31" t="s">
        <v>165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  <row r="17" spans="1:14" outlineLevel="1" x14ac:dyDescent="0.25">
      <c r="A17" s="5" t="str">
        <f>Model!N58</f>
        <v>Betaling bioaffald</v>
      </c>
      <c r="B17" s="31"/>
      <c r="C17" s="31" t="s">
        <v>166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</row>
    <row r="18" spans="1:14" outlineLevel="1" x14ac:dyDescent="0.25">
      <c r="A18" s="5" t="str">
        <f>Model!N59</f>
        <v>DV-omkostninger</v>
      </c>
      <c r="B18" s="31"/>
      <c r="C18" s="31" t="s">
        <v>167</v>
      </c>
      <c r="D18" s="25">
        <v>1099534.71668785</v>
      </c>
      <c r="E18" s="25">
        <v>1054870.37506322</v>
      </c>
      <c r="F18" s="25">
        <v>1060499.17012563</v>
      </c>
      <c r="G18" s="25">
        <v>1065938.36023679</v>
      </c>
      <c r="H18" s="25">
        <v>1071198.99034531</v>
      </c>
      <c r="I18" s="25">
        <v>1076291.2638799101</v>
      </c>
      <c r="J18" s="25">
        <v>1081224.62139614</v>
      </c>
      <c r="K18" s="25">
        <v>1086007.8105647401</v>
      </c>
      <c r="L18" s="25">
        <v>1090648.9485936901</v>
      </c>
      <c r="M18" s="25">
        <v>1095155.5780213701</v>
      </c>
      <c r="N18" s="25">
        <v>1099534.71668785</v>
      </c>
    </row>
    <row r="19" spans="1:14" outlineLevel="1" x14ac:dyDescent="0.25">
      <c r="A19" s="5" t="str">
        <f>Model!N60</f>
        <v>Affaldvarme-afgift</v>
      </c>
      <c r="B19" s="31"/>
      <c r="C19" s="31" t="s">
        <v>168</v>
      </c>
      <c r="D19" s="25">
        <v>2239801.2000000002</v>
      </c>
      <c r="E19" s="25">
        <v>2239801.2000000002</v>
      </c>
      <c r="F19" s="25">
        <v>2239801.2000000002</v>
      </c>
      <c r="G19" s="25">
        <v>2239801.2000000002</v>
      </c>
      <c r="H19" s="25">
        <v>2239801.2000000002</v>
      </c>
      <c r="I19" s="25">
        <v>2239801.2000000002</v>
      </c>
      <c r="J19" s="25">
        <v>2239801.2000000002</v>
      </c>
      <c r="K19" s="25">
        <v>2239801.2000000002</v>
      </c>
      <c r="L19" s="25">
        <v>2239801.2000000002</v>
      </c>
      <c r="M19" s="25">
        <v>2239801.2000000002</v>
      </c>
      <c r="N19" s="25">
        <v>2239801.2000000002</v>
      </c>
    </row>
    <row r="20" spans="1:14" outlineLevel="1" x14ac:dyDescent="0.25">
      <c r="A20" s="5" t="str">
        <f>Model!N61</f>
        <v>Tillægsafgift</v>
      </c>
      <c r="B20" s="31"/>
      <c r="C20" s="31" t="s">
        <v>169</v>
      </c>
      <c r="D20" s="25">
        <v>2015811.9181097599</v>
      </c>
      <c r="E20" s="25">
        <v>2015811.9181097599</v>
      </c>
      <c r="F20" s="25">
        <v>2015811.9181097599</v>
      </c>
      <c r="G20" s="25">
        <v>2015811.9181097599</v>
      </c>
      <c r="H20" s="25">
        <v>2015811.9181097599</v>
      </c>
      <c r="I20" s="25">
        <v>2015811.9181097599</v>
      </c>
      <c r="J20" s="25">
        <v>2015811.9181097599</v>
      </c>
      <c r="K20" s="25">
        <v>2015811.9181097599</v>
      </c>
      <c r="L20" s="25">
        <v>2015811.9181097599</v>
      </c>
      <c r="M20" s="25">
        <v>2015811.9181097599</v>
      </c>
      <c r="N20" s="25">
        <v>2015811.9181097599</v>
      </c>
    </row>
    <row r="21" spans="1:14" outlineLevel="1" x14ac:dyDescent="0.25">
      <c r="A21" s="5" t="str">
        <f>Model!N62</f>
        <v>CO2-afgift</v>
      </c>
      <c r="B21" s="31"/>
      <c r="C21" s="31" t="s">
        <v>170</v>
      </c>
      <c r="D21" s="25">
        <v>418661.31487911602</v>
      </c>
      <c r="E21" s="25">
        <v>418661.31487911602</v>
      </c>
      <c r="F21" s="25">
        <v>418661.31487911602</v>
      </c>
      <c r="G21" s="25">
        <v>418661.31487911602</v>
      </c>
      <c r="H21" s="25">
        <v>418661.31487911602</v>
      </c>
      <c r="I21" s="25">
        <v>418661.31487911602</v>
      </c>
      <c r="J21" s="25">
        <v>418661.31487911602</v>
      </c>
      <c r="K21" s="25">
        <v>418661.31487911602</v>
      </c>
      <c r="L21" s="25">
        <v>418661.31487911602</v>
      </c>
      <c r="M21" s="25">
        <v>418661.31487911602</v>
      </c>
      <c r="N21" s="25">
        <v>418661.31487911602</v>
      </c>
    </row>
    <row r="22" spans="1:14" outlineLevel="1" x14ac:dyDescent="0.25">
      <c r="A22" s="5" t="str">
        <f>Model!N63</f>
        <v>Kvote-omkostning</v>
      </c>
      <c r="B22" s="31"/>
      <c r="C22" s="31" t="s">
        <v>171</v>
      </c>
      <c r="D22" s="25">
        <v>1827330.6720007199</v>
      </c>
      <c r="E22" s="25">
        <v>2137051.50277603</v>
      </c>
      <c r="F22" s="25">
        <v>2097076.3113740601</v>
      </c>
      <c r="G22" s="25">
        <v>2058684.29586919</v>
      </c>
      <c r="H22" s="25">
        <v>2021783.23242276</v>
      </c>
      <c r="I22" s="25">
        <v>1986287.9237742999</v>
      </c>
      <c r="J22" s="25">
        <v>1952119.5425519401</v>
      </c>
      <c r="K22" s="25">
        <v>1919205.0468790301</v>
      </c>
      <c r="L22" s="25">
        <v>1887476.6591582899</v>
      </c>
      <c r="M22" s="25">
        <v>1856871.4002064299</v>
      </c>
      <c r="N22" s="25">
        <v>1827330.6720007199</v>
      </c>
    </row>
    <row r="23" spans="1:14" outlineLevel="1" x14ac:dyDescent="0.25">
      <c r="A23" s="5">
        <f>Model!N64</f>
        <v>0</v>
      </c>
      <c r="B23" s="31"/>
      <c r="C23" s="31" t="s">
        <v>172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outlineLevel="1" x14ac:dyDescent="0.25">
      <c r="A24" s="5" t="str">
        <f>Model!N65</f>
        <v>Varmemængder:</v>
      </c>
      <c r="B24" s="31"/>
      <c r="C24" s="31" t="s">
        <v>173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outlineLevel="1" x14ac:dyDescent="0.25">
      <c r="A25" s="5" t="str">
        <f>Model!N66</f>
        <v>Varmeproduktion Ovn2</v>
      </c>
      <c r="B25" s="31"/>
      <c r="C25" s="31" t="s">
        <v>174</v>
      </c>
      <c r="D25" s="26">
        <v>3283</v>
      </c>
      <c r="E25" s="26">
        <v>6965.8</v>
      </c>
      <c r="F25" s="26">
        <v>6556.6</v>
      </c>
      <c r="G25" s="26">
        <v>6147.4</v>
      </c>
      <c r="H25" s="26">
        <v>5738.2</v>
      </c>
      <c r="I25" s="26">
        <v>5329</v>
      </c>
      <c r="J25" s="26">
        <v>4919.8</v>
      </c>
      <c r="K25" s="26">
        <v>4510.6000000000004</v>
      </c>
      <c r="L25" s="26">
        <v>4101.3999999999996</v>
      </c>
      <c r="M25" s="26">
        <v>3692.2</v>
      </c>
      <c r="N25" s="26">
        <v>3283</v>
      </c>
    </row>
    <row r="26" spans="1:14" outlineLevel="1" x14ac:dyDescent="0.25">
      <c r="A26" s="5" t="str">
        <f>Model!N67</f>
        <v>Varmeproduktion Ovn3</v>
      </c>
      <c r="B26" s="31"/>
      <c r="C26" s="31" t="s">
        <v>175</v>
      </c>
      <c r="D26" s="26">
        <v>20832</v>
      </c>
      <c r="E26" s="26">
        <v>17149.2</v>
      </c>
      <c r="F26" s="26">
        <v>17558.400000000001</v>
      </c>
      <c r="G26" s="26">
        <v>17967.599999999999</v>
      </c>
      <c r="H26" s="26">
        <v>18376.8</v>
      </c>
      <c r="I26" s="26">
        <v>18786</v>
      </c>
      <c r="J26" s="26">
        <v>19195.2</v>
      </c>
      <c r="K26" s="26">
        <v>19604.400000000001</v>
      </c>
      <c r="L26" s="26">
        <v>20013.599999999999</v>
      </c>
      <c r="M26" s="26">
        <v>20422.8</v>
      </c>
      <c r="N26" s="26">
        <v>20832</v>
      </c>
    </row>
    <row r="27" spans="1:14" outlineLevel="1" x14ac:dyDescent="0.25">
      <c r="A27" s="5" t="str">
        <f>Model!N68</f>
        <v>Heraf RGK-varme</v>
      </c>
      <c r="B27" s="31"/>
      <c r="C27" s="31" t="s">
        <v>176</v>
      </c>
      <c r="D27" s="26">
        <v>5049.4716687852897</v>
      </c>
      <c r="E27" s="26">
        <v>583.03750632208801</v>
      </c>
      <c r="F27" s="26">
        <v>1145.91701256335</v>
      </c>
      <c r="G27" s="26">
        <v>1689.83602367907</v>
      </c>
      <c r="H27" s="26">
        <v>2215.8990345309498</v>
      </c>
      <c r="I27" s="26">
        <v>2725.1263879911999</v>
      </c>
      <c r="J27" s="26">
        <v>3218.4621396144798</v>
      </c>
      <c r="K27" s="26">
        <v>3696.7810564744</v>
      </c>
      <c r="L27" s="26">
        <v>4160.8948593689802</v>
      </c>
      <c r="M27" s="26">
        <v>4611.5578021370802</v>
      </c>
      <c r="N27" s="26">
        <v>5049.4716687852897</v>
      </c>
    </row>
    <row r="28" spans="1:14" outlineLevel="1" x14ac:dyDescent="0.25">
      <c r="A28" s="5" t="str">
        <f>Model!N69</f>
        <v>Bortkølet varme</v>
      </c>
      <c r="B28" s="31"/>
      <c r="C28" s="31" t="s">
        <v>177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</row>
    <row r="29" spans="1:14" outlineLevel="1" x14ac:dyDescent="0.25">
      <c r="A29" s="5" t="str">
        <f>Model!N70</f>
        <v>Leveret varme</v>
      </c>
      <c r="B29" s="31"/>
      <c r="C29" s="31" t="s">
        <v>178</v>
      </c>
      <c r="D29" s="26">
        <v>24115</v>
      </c>
      <c r="E29" s="26">
        <v>24115</v>
      </c>
      <c r="F29" s="26">
        <v>24115</v>
      </c>
      <c r="G29" s="26">
        <v>24115</v>
      </c>
      <c r="H29" s="26">
        <v>24115</v>
      </c>
      <c r="I29" s="26">
        <v>24115</v>
      </c>
      <c r="J29" s="26">
        <v>24115</v>
      </c>
      <c r="K29" s="26">
        <v>24115</v>
      </c>
      <c r="L29" s="26">
        <v>24115</v>
      </c>
      <c r="M29" s="26">
        <v>24115</v>
      </c>
      <c r="N29" s="26">
        <v>24115</v>
      </c>
    </row>
    <row r="30" spans="1:14" outlineLevel="1" x14ac:dyDescent="0.25">
      <c r="A30" s="5" t="str">
        <f>Model!N71</f>
        <v>Spidslastvarme</v>
      </c>
      <c r="B30" s="31"/>
      <c r="C30" s="31" t="s">
        <v>179</v>
      </c>
      <c r="D30" s="26">
        <v>4000</v>
      </c>
      <c r="E30" s="26">
        <v>4000</v>
      </c>
      <c r="F30" s="26">
        <v>4000</v>
      </c>
      <c r="G30" s="26">
        <v>4000</v>
      </c>
      <c r="H30" s="26">
        <v>4000</v>
      </c>
      <c r="I30" s="26">
        <v>4000</v>
      </c>
      <c r="J30" s="26">
        <v>4000</v>
      </c>
      <c r="K30" s="26">
        <v>4000</v>
      </c>
      <c r="L30" s="26">
        <v>4000</v>
      </c>
      <c r="M30" s="26">
        <v>4000</v>
      </c>
      <c r="N30" s="26">
        <v>4000</v>
      </c>
    </row>
    <row r="31" spans="1:14" outlineLevel="1" x14ac:dyDescent="0.25">
      <c r="A31" s="5">
        <f>Model!N72</f>
        <v>0</v>
      </c>
      <c r="B31" s="31"/>
      <c r="C31" s="31" t="s">
        <v>180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1:14" outlineLevel="1" x14ac:dyDescent="0.25">
      <c r="A32" s="5" t="str">
        <f>Model!N73</f>
        <v>Brændselsmængder:</v>
      </c>
      <c r="B32" s="31"/>
      <c r="C32" s="31" t="s">
        <v>181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outlineLevel="1" x14ac:dyDescent="0.25">
      <c r="A33" s="5" t="str">
        <f>Model!N74</f>
        <v>Affaldsforbrug Ovn3</v>
      </c>
      <c r="B33" s="31"/>
      <c r="C33" s="31" t="s">
        <v>182</v>
      </c>
      <c r="D33" s="26">
        <v>9006.456241033</v>
      </c>
      <c r="E33" s="26">
        <v>9006.456241033</v>
      </c>
      <c r="F33" s="26">
        <v>9006.456241033</v>
      </c>
      <c r="G33" s="26">
        <v>9006.456241033</v>
      </c>
      <c r="H33" s="26">
        <v>9006.456241033</v>
      </c>
      <c r="I33" s="26">
        <v>9006.456241033</v>
      </c>
      <c r="J33" s="26">
        <v>9006.456241033</v>
      </c>
      <c r="K33" s="26">
        <v>9006.456241033</v>
      </c>
      <c r="L33" s="26">
        <v>9006.456241033</v>
      </c>
      <c r="M33" s="26">
        <v>9006.456241033</v>
      </c>
      <c r="N33" s="26">
        <v>9006.456241033</v>
      </c>
    </row>
    <row r="34" spans="1:14" outlineLevel="1" x14ac:dyDescent="0.25">
      <c r="A34" s="5" t="str">
        <f>Model!N75</f>
        <v>Nordic Sugar varme</v>
      </c>
      <c r="B34" s="31"/>
      <c r="C34" s="31" t="s">
        <v>183</v>
      </c>
      <c r="D34" s="26">
        <v>4000</v>
      </c>
      <c r="E34" s="26">
        <v>4000</v>
      </c>
      <c r="F34" s="26">
        <v>4000</v>
      </c>
      <c r="G34" s="26">
        <v>4000</v>
      </c>
      <c r="H34" s="26">
        <v>4000</v>
      </c>
      <c r="I34" s="26">
        <v>4000</v>
      </c>
      <c r="J34" s="26">
        <v>4000</v>
      </c>
      <c r="K34" s="26">
        <v>4000</v>
      </c>
      <c r="L34" s="26">
        <v>4000</v>
      </c>
      <c r="M34" s="26">
        <v>4000</v>
      </c>
      <c r="N34" s="26">
        <v>4000</v>
      </c>
    </row>
    <row r="35" spans="1:14" outlineLevel="1" x14ac:dyDescent="0.25">
      <c r="A35" s="5" t="str">
        <f>Model!N76</f>
        <v>Affaldsforbrug Ovn2</v>
      </c>
      <c r="B35" s="31"/>
      <c r="C35" s="31" t="s">
        <v>184</v>
      </c>
      <c r="D35" s="26">
        <v>1134.1135258966599</v>
      </c>
      <c r="E35" s="26">
        <v>2852.8750729294502</v>
      </c>
      <c r="F35" s="26">
        <v>2631.0371628185999</v>
      </c>
      <c r="G35" s="26">
        <v>2417.98491251411</v>
      </c>
      <c r="H35" s="26">
        <v>2213.20653600786</v>
      </c>
      <c r="I35" s="26">
        <v>2016.2292405113701</v>
      </c>
      <c r="J35" s="26">
        <v>1826.6155822297001</v>
      </c>
      <c r="K35" s="26">
        <v>1643.9602233345199</v>
      </c>
      <c r="L35" s="26">
        <v>1467.8870395346601</v>
      </c>
      <c r="M35" s="26">
        <v>1298.0465348073601</v>
      </c>
      <c r="N35" s="26">
        <v>1134.1135258966599</v>
      </c>
    </row>
    <row r="36" spans="1:14" outlineLevel="1" x14ac:dyDescent="0.25">
      <c r="A36" s="5" t="str">
        <f>Model!N77</f>
        <v>Affaldsforbrug kølevarme Ovn3</v>
      </c>
      <c r="B36" s="31"/>
      <c r="C36" s="31" t="s">
        <v>185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</row>
    <row r="37" spans="1:14" outlineLevel="1" x14ac:dyDescent="0.25">
      <c r="A37" s="5" t="str">
        <f>Model!N78</f>
        <v>Affaldsforbrug kølevarme Ovn2</v>
      </c>
      <c r="B37" s="31"/>
      <c r="C37" s="31" t="s">
        <v>186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</row>
    <row r="38" spans="1:14" outlineLevel="1" x14ac:dyDescent="0.25">
      <c r="A38" s="5" t="str">
        <f>Model!N79</f>
        <v>Udnyttet affald</v>
      </c>
      <c r="B38" s="31"/>
      <c r="C38" s="31" t="s">
        <v>187</v>
      </c>
      <c r="D38" s="26">
        <v>10140.569766929701</v>
      </c>
      <c r="E38" s="26">
        <v>11859.331313962501</v>
      </c>
      <c r="F38" s="26">
        <v>11637.4934038516</v>
      </c>
      <c r="G38" s="26">
        <v>11424.441153547101</v>
      </c>
      <c r="H38" s="26">
        <v>11219.6627770409</v>
      </c>
      <c r="I38" s="26">
        <v>11022.6854815444</v>
      </c>
      <c r="J38" s="26">
        <v>10833.0718232627</v>
      </c>
      <c r="K38" s="26">
        <v>10650.416464367499</v>
      </c>
      <c r="L38" s="26">
        <v>10474.3432805677</v>
      </c>
      <c r="M38" s="26">
        <v>10304.502775840399</v>
      </c>
      <c r="N38" s="26">
        <v>10140.569766929701</v>
      </c>
    </row>
    <row r="39" spans="1:14" ht="15.75" outlineLevel="1" thickBot="1" x14ac:dyDescent="0.3">
      <c r="A39" s="5" t="str">
        <f>Model!N80</f>
        <v>Ikke-udnyttet affald</v>
      </c>
      <c r="B39" s="33"/>
      <c r="C39" s="33" t="s">
        <v>188</v>
      </c>
      <c r="D39" s="27">
        <v>1859.4302330703399</v>
      </c>
      <c r="E39" s="38">
        <v>140.66868603754901</v>
      </c>
      <c r="F39" s="38">
        <v>362.50659614840498</v>
      </c>
      <c r="G39" s="38">
        <v>575.558846452887</v>
      </c>
      <c r="H39" s="38">
        <v>780.33722295914004</v>
      </c>
      <c r="I39" s="38">
        <v>977.31451845562901</v>
      </c>
      <c r="J39" s="38">
        <v>1166.9281767373</v>
      </c>
      <c r="K39" s="38">
        <v>1349.5835356324801</v>
      </c>
      <c r="L39" s="38">
        <v>1525.65671943234</v>
      </c>
      <c r="M39" s="38">
        <v>1695.4972241596399</v>
      </c>
      <c r="N39" s="38">
        <v>1859.4302330703399</v>
      </c>
    </row>
    <row r="40" spans="1:14" x14ac:dyDescent="0.25">
      <c r="B40" t="s">
        <v>204</v>
      </c>
    </row>
    <row r="41" spans="1:14" x14ac:dyDescent="0.25">
      <c r="B41" t="s">
        <v>205</v>
      </c>
    </row>
    <row r="42" spans="1:14" x14ac:dyDescent="0.25">
      <c r="B42" t="s">
        <v>206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9" t="s">
        <v>200</v>
      </c>
      <c r="C2" s="29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</row>
    <row r="3" spans="1:14" ht="15.75" collapsed="1" x14ac:dyDescent="0.25">
      <c r="B3" s="28"/>
      <c r="C3" s="28"/>
      <c r="D3" s="35" t="s">
        <v>202</v>
      </c>
      <c r="E3" s="35" t="s">
        <v>189</v>
      </c>
      <c r="F3" s="35" t="s">
        <v>191</v>
      </c>
      <c r="G3" s="35" t="s">
        <v>192</v>
      </c>
      <c r="H3" s="35" t="s">
        <v>193</v>
      </c>
      <c r="I3" s="35" t="s">
        <v>194</v>
      </c>
      <c r="J3" s="35" t="s">
        <v>195</v>
      </c>
      <c r="K3" s="35" t="s">
        <v>196</v>
      </c>
      <c r="L3" s="35" t="s">
        <v>197</v>
      </c>
      <c r="M3" s="35" t="s">
        <v>198</v>
      </c>
      <c r="N3" s="35" t="s">
        <v>199</v>
      </c>
    </row>
    <row r="4" spans="1:14" ht="45" hidden="1" outlineLevel="1" x14ac:dyDescent="0.25">
      <c r="B4" s="31"/>
      <c r="C4" s="31"/>
      <c r="D4" s="23"/>
      <c r="E4" s="37" t="s">
        <v>190</v>
      </c>
      <c r="F4" s="37" t="s">
        <v>190</v>
      </c>
      <c r="G4" s="37" t="s">
        <v>190</v>
      </c>
      <c r="H4" s="37" t="s">
        <v>190</v>
      </c>
      <c r="I4" s="37" t="s">
        <v>190</v>
      </c>
      <c r="J4" s="37" t="s">
        <v>190</v>
      </c>
      <c r="K4" s="37" t="s">
        <v>190</v>
      </c>
      <c r="L4" s="37" t="s">
        <v>190</v>
      </c>
      <c r="M4" s="37" t="s">
        <v>190</v>
      </c>
      <c r="N4" s="37" t="s">
        <v>190</v>
      </c>
    </row>
    <row r="5" spans="1:14" x14ac:dyDescent="0.25">
      <c r="B5" s="32" t="s">
        <v>201</v>
      </c>
      <c r="C5" s="32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outlineLevel="1" x14ac:dyDescent="0.25">
      <c r="B6" s="31"/>
      <c r="C6" s="31" t="s">
        <v>156</v>
      </c>
      <c r="D6" s="24">
        <v>1</v>
      </c>
      <c r="E6" s="36">
        <v>0.1</v>
      </c>
      <c r="F6" s="36">
        <v>0.2</v>
      </c>
      <c r="G6" s="36">
        <v>0.3</v>
      </c>
      <c r="H6" s="36">
        <v>0.4</v>
      </c>
      <c r="I6" s="36">
        <v>0.5</v>
      </c>
      <c r="J6" s="36">
        <v>0.6</v>
      </c>
      <c r="K6" s="36">
        <v>0.7</v>
      </c>
      <c r="L6" s="36">
        <v>0.8</v>
      </c>
      <c r="M6" s="36">
        <v>0.9</v>
      </c>
      <c r="N6" s="36">
        <v>1</v>
      </c>
    </row>
    <row r="7" spans="1:14" x14ac:dyDescent="0.25">
      <c r="B7" s="32" t="s">
        <v>203</v>
      </c>
      <c r="C7" s="32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outlineLevel="1" x14ac:dyDescent="0.25">
      <c r="A8" s="5" t="str">
        <f>Model!N49</f>
        <v>Indtægter total</v>
      </c>
      <c r="B8" s="31"/>
      <c r="C8" s="31" t="s">
        <v>157</v>
      </c>
      <c r="D8" s="25">
        <v>18118707.4232703</v>
      </c>
      <c r="E8" s="25">
        <v>16310010.253459301</v>
      </c>
      <c r="F8" s="25">
        <v>16483548.253459301</v>
      </c>
      <c r="G8" s="25">
        <v>16657086.253459301</v>
      </c>
      <c r="H8" s="25">
        <v>17048733.495270301</v>
      </c>
      <c r="I8" s="25">
        <v>17227062.483270299</v>
      </c>
      <c r="J8" s="25">
        <v>17405391.4712703</v>
      </c>
      <c r="K8" s="25">
        <v>17583720.459270298</v>
      </c>
      <c r="L8" s="25">
        <v>17762049.4472703</v>
      </c>
      <c r="M8" s="25">
        <v>17940378.435270298</v>
      </c>
      <c r="N8" s="25">
        <v>18118707.4232703</v>
      </c>
    </row>
    <row r="9" spans="1:14" outlineLevel="1" x14ac:dyDescent="0.25">
      <c r="A9" s="5" t="str">
        <f>Model!N50</f>
        <v>Omkostninger total</v>
      </c>
      <c r="B9" s="31"/>
      <c r="C9" s="31" t="s">
        <v>158</v>
      </c>
      <c r="D9" s="25">
        <v>8974185.9215454608</v>
      </c>
      <c r="E9" s="25">
        <v>7934106.8600176601</v>
      </c>
      <c r="F9" s="25">
        <v>8049671.2001874102</v>
      </c>
      <c r="G9" s="25">
        <v>8165235.5403571697</v>
      </c>
      <c r="H9" s="25">
        <v>8280799.8805269198</v>
      </c>
      <c r="I9" s="25">
        <v>8396364.2206966802</v>
      </c>
      <c r="J9" s="25">
        <v>8511928.5608664397</v>
      </c>
      <c r="K9" s="25">
        <v>8627492.9010361899</v>
      </c>
      <c r="L9" s="25">
        <v>8743057.2412059493</v>
      </c>
      <c r="M9" s="25">
        <v>8858621.5813757107</v>
      </c>
      <c r="N9" s="25">
        <v>8974185.9215454608</v>
      </c>
    </row>
    <row r="10" spans="1:14" outlineLevel="1" x14ac:dyDescent="0.25">
      <c r="A10" s="5" t="str">
        <f>Model!N51</f>
        <v>Dækningsbidrag</v>
      </c>
      <c r="B10" s="31"/>
      <c r="C10" s="31" t="s">
        <v>159</v>
      </c>
      <c r="D10" s="25">
        <v>9144521.5017248206</v>
      </c>
      <c r="E10" s="25">
        <v>8375903.3934416501</v>
      </c>
      <c r="F10" s="25">
        <v>8433877.0532719009</v>
      </c>
      <c r="G10" s="25">
        <v>8491850.7131021395</v>
      </c>
      <c r="H10" s="25">
        <v>8767933.6147433594</v>
      </c>
      <c r="I10" s="25">
        <v>8830698.2625735998</v>
      </c>
      <c r="J10" s="25">
        <v>8893462.9104038496</v>
      </c>
      <c r="K10" s="25">
        <v>8956227.55823409</v>
      </c>
      <c r="L10" s="25">
        <v>9018992.2060643304</v>
      </c>
      <c r="M10" s="25">
        <v>9081756.8538945802</v>
      </c>
      <c r="N10" s="25">
        <v>9144521.5017248206</v>
      </c>
    </row>
    <row r="11" spans="1:14" outlineLevel="1" x14ac:dyDescent="0.25">
      <c r="A11" s="5">
        <f>Model!N52</f>
        <v>0</v>
      </c>
      <c r="B11" s="31"/>
      <c r="C11" s="31" t="s">
        <v>160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</row>
    <row r="12" spans="1:14" outlineLevel="1" x14ac:dyDescent="0.25">
      <c r="A12" s="5" t="str">
        <f>Model!N53</f>
        <v>Varmesalg</v>
      </c>
      <c r="B12" s="31"/>
      <c r="C12" s="31" t="s">
        <v>161</v>
      </c>
      <c r="D12" s="25">
        <v>9139668</v>
      </c>
      <c r="E12" s="25">
        <v>7577826</v>
      </c>
      <c r="F12" s="25">
        <v>7751364</v>
      </c>
      <c r="G12" s="25">
        <v>7924902</v>
      </c>
      <c r="H12" s="25">
        <v>8098440</v>
      </c>
      <c r="I12" s="25">
        <v>8271978</v>
      </c>
      <c r="J12" s="25">
        <v>8445516</v>
      </c>
      <c r="K12" s="25">
        <v>8619054</v>
      </c>
      <c r="L12" s="25">
        <v>8792592</v>
      </c>
      <c r="M12" s="25">
        <v>8966130</v>
      </c>
      <c r="N12" s="25">
        <v>9139668</v>
      </c>
    </row>
    <row r="13" spans="1:14" outlineLevel="1" x14ac:dyDescent="0.25">
      <c r="A13" s="5" t="str">
        <f>Model!N54</f>
        <v>Elsalg</v>
      </c>
      <c r="B13" s="31"/>
      <c r="C13" s="31" t="s">
        <v>162</v>
      </c>
      <c r="D13" s="25">
        <v>3947332.4512195098</v>
      </c>
      <c r="E13" s="25">
        <v>3947332.4512195098</v>
      </c>
      <c r="F13" s="25">
        <v>3947332.4512195098</v>
      </c>
      <c r="G13" s="25">
        <v>3947332.4512195098</v>
      </c>
      <c r="H13" s="25">
        <v>3947332.4512195098</v>
      </c>
      <c r="I13" s="25">
        <v>3947332.4512195098</v>
      </c>
      <c r="J13" s="25">
        <v>3947332.4512195098</v>
      </c>
      <c r="K13" s="25">
        <v>3947332.4512195098</v>
      </c>
      <c r="L13" s="25">
        <v>3947332.4512195098</v>
      </c>
      <c r="M13" s="25">
        <v>3947332.4512195098</v>
      </c>
      <c r="N13" s="25">
        <v>3947332.4512195098</v>
      </c>
    </row>
    <row r="14" spans="1:14" outlineLevel="1" x14ac:dyDescent="0.25">
      <c r="A14" s="5" t="str">
        <f>Model!N55</f>
        <v>RGK-rabat</v>
      </c>
      <c r="B14" s="31"/>
      <c r="C14" s="31" t="s">
        <v>163</v>
      </c>
      <c r="D14" s="25">
        <v>246855.16981097599</v>
      </c>
      <c r="E14" s="25">
        <v>0</v>
      </c>
      <c r="F14" s="25">
        <v>0</v>
      </c>
      <c r="G14" s="25">
        <v>0</v>
      </c>
      <c r="H14" s="25">
        <v>218109.241810976</v>
      </c>
      <c r="I14" s="25">
        <v>222900.22981097599</v>
      </c>
      <c r="J14" s="25">
        <v>227691.217810976</v>
      </c>
      <c r="K14" s="25">
        <v>232482.20581097601</v>
      </c>
      <c r="L14" s="25">
        <v>237273.19381097599</v>
      </c>
      <c r="M14" s="25">
        <v>242064.18181097601</v>
      </c>
      <c r="N14" s="25">
        <v>246855.16981097599</v>
      </c>
    </row>
    <row r="15" spans="1:14" outlineLevel="1" x14ac:dyDescent="0.25">
      <c r="A15" s="5" t="str">
        <f>Model!N56</f>
        <v>Modtagebetaling affald</v>
      </c>
      <c r="B15" s="31"/>
      <c r="C15" s="31" t="s">
        <v>164</v>
      </c>
      <c r="D15" s="25">
        <v>4784851.8022397999</v>
      </c>
      <c r="E15" s="25">
        <v>4784851.8022397999</v>
      </c>
      <c r="F15" s="25">
        <v>4784851.8022397999</v>
      </c>
      <c r="G15" s="25">
        <v>4784851.8022397999</v>
      </c>
      <c r="H15" s="25">
        <v>4784851.8022397999</v>
      </c>
      <c r="I15" s="25">
        <v>4784851.8022397999</v>
      </c>
      <c r="J15" s="25">
        <v>4784851.8022397999</v>
      </c>
      <c r="K15" s="25">
        <v>4784851.8022397999</v>
      </c>
      <c r="L15" s="25">
        <v>4784851.8022397999</v>
      </c>
      <c r="M15" s="25">
        <v>4784851.8022397999</v>
      </c>
      <c r="N15" s="25">
        <v>4784851.8022397999</v>
      </c>
    </row>
    <row r="16" spans="1:14" outlineLevel="1" x14ac:dyDescent="0.25">
      <c r="A16" s="5">
        <f>Model!N57</f>
        <v>0</v>
      </c>
      <c r="B16" s="31"/>
      <c r="C16" s="31" t="s">
        <v>165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  <row r="17" spans="1:14" outlineLevel="1" x14ac:dyDescent="0.25">
      <c r="A17" s="5" t="str">
        <f>Model!N58</f>
        <v>Betaling bioaffald</v>
      </c>
      <c r="B17" s="31"/>
      <c r="C17" s="31" t="s">
        <v>166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</row>
    <row r="18" spans="1:14" outlineLevel="1" x14ac:dyDescent="0.25">
      <c r="A18" s="5" t="str">
        <f>Model!N59</f>
        <v>DV-omkostninger</v>
      </c>
      <c r="B18" s="31"/>
      <c r="C18" s="31" t="s">
        <v>167</v>
      </c>
      <c r="D18" s="25">
        <v>1107810.8046975599</v>
      </c>
      <c r="E18" s="25">
        <v>1054917.0804697601</v>
      </c>
      <c r="F18" s="25">
        <v>1060794.16093951</v>
      </c>
      <c r="G18" s="25">
        <v>1066671.2414092701</v>
      </c>
      <c r="H18" s="25">
        <v>1072548.32187902</v>
      </c>
      <c r="I18" s="25">
        <v>1078425.4023487801</v>
      </c>
      <c r="J18" s="25">
        <v>1084302.48281854</v>
      </c>
      <c r="K18" s="25">
        <v>1090179.5632882901</v>
      </c>
      <c r="L18" s="25">
        <v>1096056.6437580499</v>
      </c>
      <c r="M18" s="25">
        <v>1101933.7242278</v>
      </c>
      <c r="N18" s="25">
        <v>1107810.8046975599</v>
      </c>
    </row>
    <row r="19" spans="1:14" outlineLevel="1" x14ac:dyDescent="0.25">
      <c r="A19" s="5" t="str">
        <f>Model!N60</f>
        <v>Affaldvarme-afgift</v>
      </c>
      <c r="B19" s="31"/>
      <c r="C19" s="31" t="s">
        <v>168</v>
      </c>
      <c r="D19" s="25">
        <v>2729557.44</v>
      </c>
      <c r="E19" s="25">
        <v>2263114.08</v>
      </c>
      <c r="F19" s="25">
        <v>2314941.12</v>
      </c>
      <c r="G19" s="25">
        <v>2366768.16</v>
      </c>
      <c r="H19" s="25">
        <v>2418595.2000000002</v>
      </c>
      <c r="I19" s="25">
        <v>2470422.2400000002</v>
      </c>
      <c r="J19" s="25">
        <v>2522249.2799999998</v>
      </c>
      <c r="K19" s="25">
        <v>2574076.3199999998</v>
      </c>
      <c r="L19" s="25">
        <v>2625903.36</v>
      </c>
      <c r="M19" s="25">
        <v>2677730.4</v>
      </c>
      <c r="N19" s="25">
        <v>2729557.44</v>
      </c>
    </row>
    <row r="20" spans="1:14" outlineLevel="1" x14ac:dyDescent="0.25">
      <c r="A20" s="5" t="str">
        <f>Model!N61</f>
        <v>Tillægsafgift</v>
      </c>
      <c r="B20" s="31"/>
      <c r="C20" s="31" t="s">
        <v>169</v>
      </c>
      <c r="D20" s="25">
        <v>2468551.6981097599</v>
      </c>
      <c r="E20" s="25">
        <v>2037362.77810976</v>
      </c>
      <c r="F20" s="25">
        <v>2085272.6581097599</v>
      </c>
      <c r="G20" s="25">
        <v>2133182.5381097598</v>
      </c>
      <c r="H20" s="25">
        <v>2181092.4181097602</v>
      </c>
      <c r="I20" s="25">
        <v>2229002.29810976</v>
      </c>
      <c r="J20" s="25">
        <v>2276912.1781097599</v>
      </c>
      <c r="K20" s="25">
        <v>2324822.0581097598</v>
      </c>
      <c r="L20" s="25">
        <v>2372731.9381097602</v>
      </c>
      <c r="M20" s="25">
        <v>2420641.8181097601</v>
      </c>
      <c r="N20" s="25">
        <v>2468551.6981097599</v>
      </c>
    </row>
    <row r="21" spans="1:14" outlineLevel="1" x14ac:dyDescent="0.25">
      <c r="A21" s="5" t="str">
        <f>Model!N62</f>
        <v>CO2-afgift</v>
      </c>
      <c r="B21" s="31"/>
      <c r="C21" s="31" t="s">
        <v>170</v>
      </c>
      <c r="D21" s="25">
        <v>512690.24182911601</v>
      </c>
      <c r="E21" s="25">
        <v>423137.18452911603</v>
      </c>
      <c r="F21" s="25">
        <v>433087.52422911598</v>
      </c>
      <c r="G21" s="25">
        <v>443037.86392911599</v>
      </c>
      <c r="H21" s="25">
        <v>452988.203629116</v>
      </c>
      <c r="I21" s="25">
        <v>462938.54332911602</v>
      </c>
      <c r="J21" s="25">
        <v>472888.88302911603</v>
      </c>
      <c r="K21" s="25">
        <v>482839.22272911598</v>
      </c>
      <c r="L21" s="25">
        <v>492789.56242911599</v>
      </c>
      <c r="M21" s="25">
        <v>502739.902129116</v>
      </c>
      <c r="N21" s="25">
        <v>512690.24182911601</v>
      </c>
    </row>
    <row r="22" spans="1:14" outlineLevel="1" x14ac:dyDescent="0.25">
      <c r="A22" s="5" t="str">
        <f>Model!N63</f>
        <v>Kvote-omkostning</v>
      </c>
      <c r="B22" s="31"/>
      <c r="C22" s="31" t="s">
        <v>171</v>
      </c>
      <c r="D22" s="25">
        <v>2155575.73690903</v>
      </c>
      <c r="E22" s="25">
        <v>2155575.73690903</v>
      </c>
      <c r="F22" s="25">
        <v>2155575.73690903</v>
      </c>
      <c r="G22" s="25">
        <v>2155575.73690903</v>
      </c>
      <c r="H22" s="25">
        <v>2155575.73690903</v>
      </c>
      <c r="I22" s="25">
        <v>2155575.73690903</v>
      </c>
      <c r="J22" s="25">
        <v>2155575.73690903</v>
      </c>
      <c r="K22" s="25">
        <v>2155575.73690903</v>
      </c>
      <c r="L22" s="25">
        <v>2155575.73690903</v>
      </c>
      <c r="M22" s="25">
        <v>2155575.73690903</v>
      </c>
      <c r="N22" s="25">
        <v>2155575.73690903</v>
      </c>
    </row>
    <row r="23" spans="1:14" outlineLevel="1" x14ac:dyDescent="0.25">
      <c r="A23" s="5">
        <f>Model!N64</f>
        <v>0</v>
      </c>
      <c r="B23" s="31"/>
      <c r="C23" s="31" t="s">
        <v>172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outlineLevel="1" x14ac:dyDescent="0.25">
      <c r="A24" s="5" t="str">
        <f>Model!N65</f>
        <v>Varmemængder:</v>
      </c>
      <c r="B24" s="31"/>
      <c r="C24" s="31" t="s">
        <v>173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outlineLevel="1" x14ac:dyDescent="0.25">
      <c r="A25" s="5" t="str">
        <f>Model!N66</f>
        <v>Varmeproduktion Ovn2</v>
      </c>
      <c r="B25" s="31"/>
      <c r="C25" s="31" t="s">
        <v>174</v>
      </c>
      <c r="D25" s="26">
        <v>8556</v>
      </c>
      <c r="E25" s="26">
        <v>7216.8</v>
      </c>
      <c r="F25" s="26">
        <v>7365.6</v>
      </c>
      <c r="G25" s="26">
        <v>7514.4</v>
      </c>
      <c r="H25" s="26">
        <v>7663.2</v>
      </c>
      <c r="I25" s="26">
        <v>7812</v>
      </c>
      <c r="J25" s="26">
        <v>7960.8</v>
      </c>
      <c r="K25" s="26">
        <v>8109.6</v>
      </c>
      <c r="L25" s="26">
        <v>8258.4</v>
      </c>
      <c r="M25" s="26">
        <v>8407.2000000000007</v>
      </c>
      <c r="N25" s="26">
        <v>8556</v>
      </c>
    </row>
    <row r="26" spans="1:14" outlineLevel="1" x14ac:dyDescent="0.25">
      <c r="A26" s="5" t="str">
        <f>Model!N67</f>
        <v>Varmeproduktion Ovn3</v>
      </c>
      <c r="B26" s="31"/>
      <c r="C26" s="31" t="s">
        <v>175</v>
      </c>
      <c r="D26" s="26">
        <v>20832</v>
      </c>
      <c r="E26" s="26">
        <v>17149.2</v>
      </c>
      <c r="F26" s="26">
        <v>17558.400000000001</v>
      </c>
      <c r="G26" s="26">
        <v>17967.599999999999</v>
      </c>
      <c r="H26" s="26">
        <v>18376.8</v>
      </c>
      <c r="I26" s="26">
        <v>18786</v>
      </c>
      <c r="J26" s="26">
        <v>19195.2</v>
      </c>
      <c r="K26" s="26">
        <v>19604.400000000001</v>
      </c>
      <c r="L26" s="26">
        <v>20013.599999999999</v>
      </c>
      <c r="M26" s="26">
        <v>20422.8</v>
      </c>
      <c r="N26" s="26">
        <v>20832</v>
      </c>
    </row>
    <row r="27" spans="1:14" outlineLevel="1" x14ac:dyDescent="0.25">
      <c r="A27" s="5" t="str">
        <f>Model!N68</f>
        <v>Heraf RGK-varme</v>
      </c>
      <c r="B27" s="31"/>
      <c r="C27" s="31" t="s">
        <v>176</v>
      </c>
      <c r="D27" s="26">
        <v>5877.0804697560598</v>
      </c>
      <c r="E27" s="26">
        <v>587.70804697560595</v>
      </c>
      <c r="F27" s="26">
        <v>1175.4160939512101</v>
      </c>
      <c r="G27" s="26">
        <v>1763.12414092682</v>
      </c>
      <c r="H27" s="26">
        <v>2350.8321879024202</v>
      </c>
      <c r="I27" s="26">
        <v>2938.5402348780299</v>
      </c>
      <c r="J27" s="26">
        <v>3526.24828185363</v>
      </c>
      <c r="K27" s="26">
        <v>4113.9563288292402</v>
      </c>
      <c r="L27" s="26">
        <v>4701.6643758048504</v>
      </c>
      <c r="M27" s="26">
        <v>5289.3724227804496</v>
      </c>
      <c r="N27" s="26">
        <v>5877.0804697560598</v>
      </c>
    </row>
    <row r="28" spans="1:14" outlineLevel="1" x14ac:dyDescent="0.25">
      <c r="A28" s="5" t="str">
        <f>Model!N69</f>
        <v>Bortkølet varme</v>
      </c>
      <c r="B28" s="31"/>
      <c r="C28" s="31" t="s">
        <v>177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</row>
    <row r="29" spans="1:14" outlineLevel="1" x14ac:dyDescent="0.25">
      <c r="A29" s="5" t="str">
        <f>Model!N70</f>
        <v>Leveret varme</v>
      </c>
      <c r="B29" s="31"/>
      <c r="C29" s="31" t="s">
        <v>178</v>
      </c>
      <c r="D29" s="26">
        <v>29388</v>
      </c>
      <c r="E29" s="26">
        <v>24366</v>
      </c>
      <c r="F29" s="26">
        <v>24924</v>
      </c>
      <c r="G29" s="26">
        <v>25482</v>
      </c>
      <c r="H29" s="26">
        <v>26040</v>
      </c>
      <c r="I29" s="26">
        <v>26598</v>
      </c>
      <c r="J29" s="26">
        <v>27156</v>
      </c>
      <c r="K29" s="26">
        <v>27714</v>
      </c>
      <c r="L29" s="26">
        <v>28272</v>
      </c>
      <c r="M29" s="26">
        <v>28830</v>
      </c>
      <c r="N29" s="26">
        <v>29388</v>
      </c>
    </row>
    <row r="30" spans="1:14" outlineLevel="1" x14ac:dyDescent="0.25">
      <c r="A30" s="5" t="str">
        <f>Model!N71</f>
        <v>Spidslastvarme</v>
      </c>
      <c r="B30" s="31"/>
      <c r="C30" s="31" t="s">
        <v>179</v>
      </c>
      <c r="D30" s="26">
        <v>5612</v>
      </c>
      <c r="E30" s="26">
        <v>10634</v>
      </c>
      <c r="F30" s="26">
        <v>10076</v>
      </c>
      <c r="G30" s="26">
        <v>9518</v>
      </c>
      <c r="H30" s="26">
        <v>8960</v>
      </c>
      <c r="I30" s="26">
        <v>8402</v>
      </c>
      <c r="J30" s="26">
        <v>7844</v>
      </c>
      <c r="K30" s="26">
        <v>7286</v>
      </c>
      <c r="L30" s="26">
        <v>6728</v>
      </c>
      <c r="M30" s="26">
        <v>6170</v>
      </c>
      <c r="N30" s="26">
        <v>5612</v>
      </c>
    </row>
    <row r="31" spans="1:14" outlineLevel="1" x14ac:dyDescent="0.25">
      <c r="A31" s="5">
        <f>Model!N72</f>
        <v>0</v>
      </c>
      <c r="B31" s="31"/>
      <c r="C31" s="31" t="s">
        <v>180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1:14" outlineLevel="1" x14ac:dyDescent="0.25">
      <c r="A32" s="5" t="str">
        <f>Model!N73</f>
        <v>Brændselsmængder:</v>
      </c>
      <c r="B32" s="31"/>
      <c r="C32" s="31" t="s">
        <v>181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outlineLevel="1" x14ac:dyDescent="0.25">
      <c r="A33" s="5" t="str">
        <f>Model!N74</f>
        <v>Affaldsforbrug Ovn3</v>
      </c>
      <c r="B33" s="31"/>
      <c r="C33" s="31" t="s">
        <v>182</v>
      </c>
      <c r="D33" s="26">
        <v>9006.456241033</v>
      </c>
      <c r="E33" s="26">
        <v>9006.456241033</v>
      </c>
      <c r="F33" s="26">
        <v>9006.456241033</v>
      </c>
      <c r="G33" s="26">
        <v>9006.456241033</v>
      </c>
      <c r="H33" s="26">
        <v>9006.456241033</v>
      </c>
      <c r="I33" s="26">
        <v>9006.456241033</v>
      </c>
      <c r="J33" s="26">
        <v>9006.456241033</v>
      </c>
      <c r="K33" s="26">
        <v>9006.456241033</v>
      </c>
      <c r="L33" s="26">
        <v>9006.456241033</v>
      </c>
      <c r="M33" s="26">
        <v>9006.456241033</v>
      </c>
      <c r="N33" s="26">
        <v>9006.456241033</v>
      </c>
    </row>
    <row r="34" spans="1:14" outlineLevel="1" x14ac:dyDescent="0.25">
      <c r="A34" s="5" t="str">
        <f>Model!N75</f>
        <v>Nordic Sugar varme</v>
      </c>
      <c r="B34" s="31"/>
      <c r="C34" s="31" t="s">
        <v>183</v>
      </c>
      <c r="D34" s="26">
        <v>4000</v>
      </c>
      <c r="E34" s="26">
        <v>4000</v>
      </c>
      <c r="F34" s="26">
        <v>4000</v>
      </c>
      <c r="G34" s="26">
        <v>4000</v>
      </c>
      <c r="H34" s="26">
        <v>4000</v>
      </c>
      <c r="I34" s="26">
        <v>4000</v>
      </c>
      <c r="J34" s="26">
        <v>4000</v>
      </c>
      <c r="K34" s="26">
        <v>4000</v>
      </c>
      <c r="L34" s="26">
        <v>4000</v>
      </c>
      <c r="M34" s="26">
        <v>4000</v>
      </c>
      <c r="N34" s="26">
        <v>4000</v>
      </c>
    </row>
    <row r="35" spans="1:14" outlineLevel="1" x14ac:dyDescent="0.25">
      <c r="A35" s="5" t="str">
        <f>Model!N76</f>
        <v>Affaldsforbrug Ovn2</v>
      </c>
      <c r="B35" s="31"/>
      <c r="C35" s="31" t="s">
        <v>184</v>
      </c>
      <c r="D35" s="26">
        <v>2955.6732645664902</v>
      </c>
      <c r="E35" s="26">
        <v>2955.6732645664902</v>
      </c>
      <c r="F35" s="26">
        <v>2955.6732645664902</v>
      </c>
      <c r="G35" s="26">
        <v>2955.6732645664902</v>
      </c>
      <c r="H35" s="26">
        <v>2955.6732645664902</v>
      </c>
      <c r="I35" s="26">
        <v>2955.6732645664902</v>
      </c>
      <c r="J35" s="26">
        <v>2955.6732645664902</v>
      </c>
      <c r="K35" s="26">
        <v>2955.6732645664902</v>
      </c>
      <c r="L35" s="26">
        <v>2955.6732645664902</v>
      </c>
      <c r="M35" s="26">
        <v>2955.6732645664902</v>
      </c>
      <c r="N35" s="26">
        <v>2955.6732645664902</v>
      </c>
    </row>
    <row r="36" spans="1:14" outlineLevel="1" x14ac:dyDescent="0.25">
      <c r="A36" s="5" t="str">
        <f>Model!N77</f>
        <v>Affaldsforbrug kølevarme Ovn3</v>
      </c>
      <c r="B36" s="31"/>
      <c r="C36" s="31" t="s">
        <v>185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</row>
    <row r="37" spans="1:14" outlineLevel="1" x14ac:dyDescent="0.25">
      <c r="A37" s="5" t="str">
        <f>Model!N78</f>
        <v>Affaldsforbrug kølevarme Ovn2</v>
      </c>
      <c r="B37" s="31"/>
      <c r="C37" s="31" t="s">
        <v>186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</row>
    <row r="38" spans="1:14" outlineLevel="1" x14ac:dyDescent="0.25">
      <c r="A38" s="5" t="str">
        <f>Model!N79</f>
        <v>Udnyttet affald</v>
      </c>
      <c r="B38" s="31"/>
      <c r="C38" s="31" t="s">
        <v>187</v>
      </c>
      <c r="D38" s="26">
        <v>11962.1295055995</v>
      </c>
      <c r="E38" s="26">
        <v>11962.1295055995</v>
      </c>
      <c r="F38" s="26">
        <v>11962.1295055995</v>
      </c>
      <c r="G38" s="26">
        <v>11962.1295055995</v>
      </c>
      <c r="H38" s="26">
        <v>11962.1295055995</v>
      </c>
      <c r="I38" s="26">
        <v>11962.1295055995</v>
      </c>
      <c r="J38" s="26">
        <v>11962.1295055995</v>
      </c>
      <c r="K38" s="26">
        <v>11962.1295055995</v>
      </c>
      <c r="L38" s="26">
        <v>11962.1295055995</v>
      </c>
      <c r="M38" s="26">
        <v>11962.1295055995</v>
      </c>
      <c r="N38" s="26">
        <v>11962.1295055995</v>
      </c>
    </row>
    <row r="39" spans="1:14" ht="15.75" outlineLevel="1" thickBot="1" x14ac:dyDescent="0.3">
      <c r="A39" s="5" t="str">
        <f>Model!N80</f>
        <v>Ikke-udnyttet affald</v>
      </c>
      <c r="B39" s="33"/>
      <c r="C39" s="33" t="s">
        <v>188</v>
      </c>
      <c r="D39" s="27">
        <v>37.870494400509401</v>
      </c>
      <c r="E39" s="27">
        <v>37.870494400509401</v>
      </c>
      <c r="F39" s="27">
        <v>37.870494400509401</v>
      </c>
      <c r="G39" s="27">
        <v>37.870494400509401</v>
      </c>
      <c r="H39" s="27">
        <v>37.870494400509401</v>
      </c>
      <c r="I39" s="27">
        <v>37.870494400509401</v>
      </c>
      <c r="J39" s="27">
        <v>37.870494400509401</v>
      </c>
      <c r="K39" s="27">
        <v>37.870494400509401</v>
      </c>
      <c r="L39" s="27">
        <v>37.870494400509898</v>
      </c>
      <c r="M39" s="27">
        <v>37.870494400509003</v>
      </c>
      <c r="N39" s="27">
        <v>37.870494400509401</v>
      </c>
    </row>
    <row r="40" spans="1:14" x14ac:dyDescent="0.25">
      <c r="B40" t="s">
        <v>204</v>
      </c>
    </row>
    <row r="41" spans="1:14" x14ac:dyDescent="0.25">
      <c r="B41" t="s">
        <v>205</v>
      </c>
    </row>
    <row r="42" spans="1:14" x14ac:dyDescent="0.25">
      <c r="B42" t="s">
        <v>206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33" sqref="I3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92</v>
      </c>
      <c r="F2" t="s">
        <v>136</v>
      </c>
      <c r="M2" t="s">
        <v>54</v>
      </c>
      <c r="N2" t="s">
        <v>54</v>
      </c>
    </row>
    <row r="3" spans="3:14" x14ac:dyDescent="0.25">
      <c r="D3" t="s">
        <v>70</v>
      </c>
      <c r="G3" t="s">
        <v>0</v>
      </c>
      <c r="H3" t="s">
        <v>1</v>
      </c>
      <c r="K3" t="s">
        <v>93</v>
      </c>
      <c r="M3" t="s">
        <v>0</v>
      </c>
      <c r="N3" t="s">
        <v>1</v>
      </c>
    </row>
    <row r="4" spans="3:14" x14ac:dyDescent="0.25">
      <c r="C4" t="s">
        <v>71</v>
      </c>
      <c r="D4" s="12">
        <v>11400.2114002</v>
      </c>
      <c r="F4" t="s">
        <v>71</v>
      </c>
      <c r="G4" s="12">
        <v>1382.27949725194</v>
      </c>
      <c r="H4" s="12">
        <v>2526.36441138806</v>
      </c>
      <c r="J4" t="s">
        <v>71</v>
      </c>
      <c r="K4" s="13">
        <v>10.5</v>
      </c>
      <c r="M4" s="12">
        <f>G4*$K4/3.6</f>
        <v>4031.6485336514916</v>
      </c>
      <c r="N4" s="12">
        <f>H4*$K4/3.6</f>
        <v>7368.5628665485083</v>
      </c>
    </row>
    <row r="5" spans="3:14" x14ac:dyDescent="0.25">
      <c r="C5" t="s">
        <v>72</v>
      </c>
      <c r="D5" s="12">
        <v>0</v>
      </c>
      <c r="F5" t="s">
        <v>72</v>
      </c>
      <c r="G5" s="12">
        <v>0</v>
      </c>
      <c r="H5" s="12">
        <v>0</v>
      </c>
      <c r="J5" t="s">
        <v>72</v>
      </c>
      <c r="K5" s="13">
        <v>10.5</v>
      </c>
      <c r="M5" s="12">
        <f t="shared" ref="M5:M24" si="0">G5*$K5/3.6</f>
        <v>0</v>
      </c>
      <c r="N5" s="12">
        <f t="shared" ref="N5:N24" si="1">H5*$K5/3.6</f>
        <v>0</v>
      </c>
    </row>
    <row r="6" spans="3:14" x14ac:dyDescent="0.25">
      <c r="C6" t="s">
        <v>73</v>
      </c>
      <c r="D6" s="12">
        <v>0</v>
      </c>
      <c r="F6" t="s">
        <v>73</v>
      </c>
      <c r="G6" s="12">
        <v>0</v>
      </c>
      <c r="H6" s="12">
        <v>0</v>
      </c>
      <c r="J6" t="s">
        <v>73</v>
      </c>
      <c r="K6" s="13">
        <v>10.5</v>
      </c>
      <c r="M6" s="12">
        <f t="shared" si="0"/>
        <v>0</v>
      </c>
      <c r="N6" s="12">
        <f t="shared" si="1"/>
        <v>0</v>
      </c>
    </row>
    <row r="7" spans="3:14" x14ac:dyDescent="0.25">
      <c r="C7" t="s">
        <v>74</v>
      </c>
      <c r="D7" s="12">
        <v>6154.3428210033298</v>
      </c>
      <c r="F7" t="s">
        <v>74</v>
      </c>
      <c r="G7" s="12">
        <v>0</v>
      </c>
      <c r="H7" s="12">
        <v>2356.9823569800001</v>
      </c>
      <c r="J7" t="s">
        <v>74</v>
      </c>
      <c r="K7" s="13">
        <v>9.4</v>
      </c>
      <c r="M7" s="12">
        <f t="shared" si="0"/>
        <v>0</v>
      </c>
      <c r="N7" s="12">
        <f t="shared" si="1"/>
        <v>6154.3428210033335</v>
      </c>
    </row>
    <row r="8" spans="3:14" x14ac:dyDescent="0.25">
      <c r="C8" t="s">
        <v>75</v>
      </c>
      <c r="D8" s="12">
        <v>1276.2179428833299</v>
      </c>
      <c r="F8" t="s">
        <v>75</v>
      </c>
      <c r="G8" s="12">
        <v>437.56043756000003</v>
      </c>
      <c r="H8" s="12">
        <v>0</v>
      </c>
      <c r="J8" t="s">
        <v>75</v>
      </c>
      <c r="K8" s="13">
        <v>10.5</v>
      </c>
      <c r="M8" s="12">
        <f t="shared" si="0"/>
        <v>1276.2179428833335</v>
      </c>
      <c r="N8" s="12">
        <f t="shared" si="1"/>
        <v>0</v>
      </c>
    </row>
    <row r="9" spans="3:14" x14ac:dyDescent="0.25">
      <c r="C9" t="s">
        <v>76</v>
      </c>
      <c r="D9" s="12">
        <v>0</v>
      </c>
      <c r="F9" t="s">
        <v>76</v>
      </c>
      <c r="G9" s="12">
        <v>0</v>
      </c>
      <c r="H9" s="12">
        <v>0</v>
      </c>
      <c r="J9" t="s">
        <v>76</v>
      </c>
      <c r="K9" s="13">
        <v>14.5</v>
      </c>
      <c r="M9" s="12">
        <f t="shared" si="0"/>
        <v>0</v>
      </c>
      <c r="N9" s="12">
        <f t="shared" si="1"/>
        <v>0</v>
      </c>
    </row>
    <row r="10" spans="3:14" x14ac:dyDescent="0.25">
      <c r="C10" t="s">
        <v>77</v>
      </c>
      <c r="D10" s="12">
        <v>972.20097220000002</v>
      </c>
      <c r="F10" t="s">
        <v>77</v>
      </c>
      <c r="G10" s="12">
        <v>291.66029165999998</v>
      </c>
      <c r="H10" s="12">
        <v>0</v>
      </c>
      <c r="J10" t="s">
        <v>77</v>
      </c>
      <c r="K10" s="13">
        <v>12</v>
      </c>
      <c r="M10" s="12">
        <f t="shared" si="0"/>
        <v>972.20097219999991</v>
      </c>
      <c r="N10" s="12">
        <f t="shared" si="1"/>
        <v>0</v>
      </c>
    </row>
    <row r="11" spans="3:14" x14ac:dyDescent="0.25">
      <c r="C11" t="s">
        <v>78</v>
      </c>
      <c r="D11" s="12">
        <v>15.375015375</v>
      </c>
      <c r="F11" t="s">
        <v>78</v>
      </c>
      <c r="G11" s="12">
        <v>6.1500061500000003</v>
      </c>
      <c r="H11" s="12">
        <v>0</v>
      </c>
      <c r="J11" t="s">
        <v>78</v>
      </c>
      <c r="K11" s="13">
        <v>9</v>
      </c>
      <c r="M11" s="12">
        <f t="shared" si="0"/>
        <v>15.375015375</v>
      </c>
      <c r="N11" s="12">
        <f t="shared" si="1"/>
        <v>0</v>
      </c>
    </row>
    <row r="12" spans="3:14" x14ac:dyDescent="0.25">
      <c r="C12" t="s">
        <v>79</v>
      </c>
      <c r="D12" s="12">
        <v>785.27856305555599</v>
      </c>
      <c r="F12" t="s">
        <v>79</v>
      </c>
      <c r="G12" s="12">
        <v>257.00025699999998</v>
      </c>
      <c r="H12" s="12">
        <v>0</v>
      </c>
      <c r="J12" t="s">
        <v>79</v>
      </c>
      <c r="K12" s="13">
        <v>11</v>
      </c>
      <c r="M12" s="12">
        <f t="shared" si="0"/>
        <v>785.27856305555542</v>
      </c>
      <c r="N12" s="12">
        <f t="shared" si="1"/>
        <v>0</v>
      </c>
    </row>
    <row r="13" spans="3:14" x14ac:dyDescent="0.25">
      <c r="C13" t="s">
        <v>80</v>
      </c>
      <c r="D13" s="12">
        <v>60.1667268333333</v>
      </c>
      <c r="F13" t="s">
        <v>80</v>
      </c>
      <c r="G13" s="12">
        <v>22.800022800000001</v>
      </c>
      <c r="H13" s="12">
        <v>0</v>
      </c>
      <c r="J13" t="s">
        <v>80</v>
      </c>
      <c r="K13" s="13">
        <v>9.5</v>
      </c>
      <c r="M13" s="12">
        <f t="shared" si="0"/>
        <v>60.166726833333335</v>
      </c>
      <c r="N13" s="12">
        <f t="shared" si="1"/>
        <v>0</v>
      </c>
    </row>
    <row r="14" spans="3:14" x14ac:dyDescent="0.25">
      <c r="C14" t="s">
        <v>81</v>
      </c>
      <c r="D14" s="12">
        <v>2540.00254</v>
      </c>
      <c r="F14" t="s">
        <v>81</v>
      </c>
      <c r="G14" s="12">
        <v>0</v>
      </c>
      <c r="H14" s="12">
        <v>1016.001016</v>
      </c>
      <c r="J14" t="s">
        <v>81</v>
      </c>
      <c r="K14" s="13">
        <v>9</v>
      </c>
      <c r="M14" s="12">
        <f t="shared" si="0"/>
        <v>0</v>
      </c>
      <c r="N14" s="12">
        <f t="shared" si="1"/>
        <v>2540.00254</v>
      </c>
    </row>
    <row r="15" spans="3:14" x14ac:dyDescent="0.25">
      <c r="C15" t="s">
        <v>82</v>
      </c>
      <c r="D15" s="12">
        <v>45.100045100000003</v>
      </c>
      <c r="F15" t="s">
        <v>82</v>
      </c>
      <c r="G15" s="12">
        <v>0</v>
      </c>
      <c r="H15" s="12">
        <v>13.53001353</v>
      </c>
      <c r="J15" t="s">
        <v>82</v>
      </c>
      <c r="K15" s="13">
        <v>12</v>
      </c>
      <c r="M15" s="12">
        <f t="shared" si="0"/>
        <v>0</v>
      </c>
      <c r="N15" s="12">
        <f t="shared" si="1"/>
        <v>45.100045100000003</v>
      </c>
    </row>
    <row r="16" spans="3:14" x14ac:dyDescent="0.25">
      <c r="C16" t="s">
        <v>83</v>
      </c>
      <c r="D16" s="12">
        <v>18.861129972222201</v>
      </c>
      <c r="F16" t="s">
        <v>83</v>
      </c>
      <c r="G16" s="12">
        <v>6.7900067899999996</v>
      </c>
      <c r="H16" s="12">
        <v>0</v>
      </c>
      <c r="J16" t="s">
        <v>83</v>
      </c>
      <c r="K16" s="13">
        <v>10</v>
      </c>
      <c r="M16" s="12">
        <f t="shared" si="0"/>
        <v>18.861129972222219</v>
      </c>
      <c r="N16" s="12">
        <f t="shared" si="1"/>
        <v>0</v>
      </c>
    </row>
    <row r="17" spans="3:16" x14ac:dyDescent="0.25">
      <c r="C17" t="s">
        <v>84</v>
      </c>
      <c r="D17" s="12">
        <v>0</v>
      </c>
      <c r="F17" t="s">
        <v>84</v>
      </c>
      <c r="G17" s="12">
        <v>0</v>
      </c>
      <c r="H17" s="12">
        <v>0</v>
      </c>
      <c r="J17" t="s">
        <v>84</v>
      </c>
      <c r="K17" s="13">
        <v>11</v>
      </c>
      <c r="M17" s="12">
        <f t="shared" si="0"/>
        <v>0</v>
      </c>
      <c r="N17" s="12">
        <f t="shared" si="1"/>
        <v>0</v>
      </c>
    </row>
    <row r="18" spans="3:16" x14ac:dyDescent="0.25">
      <c r="C18" t="s">
        <v>85</v>
      </c>
      <c r="D18" s="12">
        <v>9410.2844102750005</v>
      </c>
      <c r="F18" t="s">
        <v>85</v>
      </c>
      <c r="G18" s="12">
        <v>0</v>
      </c>
      <c r="H18" s="12">
        <v>3226.38322638</v>
      </c>
      <c r="J18" t="s">
        <v>85</v>
      </c>
      <c r="K18" s="13">
        <v>10.5</v>
      </c>
      <c r="M18" s="12">
        <f t="shared" si="0"/>
        <v>0</v>
      </c>
      <c r="N18" s="12">
        <f t="shared" si="1"/>
        <v>9410.2844102750005</v>
      </c>
    </row>
    <row r="19" spans="3:16" x14ac:dyDescent="0.25">
      <c r="C19" t="s">
        <v>86</v>
      </c>
      <c r="D19" s="12">
        <v>0</v>
      </c>
      <c r="F19" t="s">
        <v>86</v>
      </c>
      <c r="G19" s="12">
        <v>0</v>
      </c>
      <c r="H19" s="12">
        <v>0</v>
      </c>
      <c r="J19" t="s">
        <v>86</v>
      </c>
      <c r="K19" s="13">
        <v>10.5</v>
      </c>
      <c r="M19" s="12">
        <f t="shared" si="0"/>
        <v>0</v>
      </c>
      <c r="N19" s="12">
        <f t="shared" si="1"/>
        <v>0</v>
      </c>
    </row>
    <row r="20" spans="3:16" x14ac:dyDescent="0.25">
      <c r="C20" t="s">
        <v>87</v>
      </c>
      <c r="D20" s="12">
        <v>0</v>
      </c>
      <c r="F20" t="s">
        <v>87</v>
      </c>
      <c r="G20" s="12">
        <v>0</v>
      </c>
      <c r="H20" s="12">
        <v>0</v>
      </c>
      <c r="J20" t="s">
        <v>87</v>
      </c>
      <c r="K20" s="13">
        <v>13</v>
      </c>
      <c r="M20" s="12">
        <f t="shared" si="0"/>
        <v>0</v>
      </c>
      <c r="N20" s="12">
        <f t="shared" si="1"/>
        <v>0</v>
      </c>
    </row>
    <row r="21" spans="3:16" x14ac:dyDescent="0.25">
      <c r="C21" t="s">
        <v>88</v>
      </c>
      <c r="D21" s="12">
        <v>231.59745381944401</v>
      </c>
      <c r="F21" t="s">
        <v>88</v>
      </c>
      <c r="G21" s="12">
        <v>57.500057499999997</v>
      </c>
      <c r="H21" s="12">
        <v>0</v>
      </c>
      <c r="J21" t="s">
        <v>88</v>
      </c>
      <c r="K21" s="13">
        <v>14.5</v>
      </c>
      <c r="M21" s="12">
        <f t="shared" si="0"/>
        <v>231.59745381944444</v>
      </c>
      <c r="N21" s="12">
        <f t="shared" si="1"/>
        <v>0</v>
      </c>
    </row>
    <row r="22" spans="3:16" x14ac:dyDescent="0.25">
      <c r="C22" t="s">
        <v>89</v>
      </c>
      <c r="D22" s="12">
        <v>0</v>
      </c>
      <c r="F22" t="s">
        <v>89</v>
      </c>
      <c r="G22" s="12">
        <v>0</v>
      </c>
      <c r="H22" s="12">
        <v>0</v>
      </c>
      <c r="J22" t="s">
        <v>89</v>
      </c>
      <c r="K22" s="13">
        <v>14.7</v>
      </c>
      <c r="M22" s="12">
        <f t="shared" si="0"/>
        <v>0</v>
      </c>
      <c r="N22" s="12">
        <f t="shared" si="1"/>
        <v>0</v>
      </c>
    </row>
    <row r="23" spans="3:16" x14ac:dyDescent="0.25">
      <c r="C23" t="s">
        <v>90</v>
      </c>
      <c r="D23" s="12">
        <v>41.300041299999997</v>
      </c>
      <c r="F23" t="s">
        <v>90</v>
      </c>
      <c r="G23" s="12">
        <v>10.62001062</v>
      </c>
      <c r="H23" s="12">
        <v>0</v>
      </c>
      <c r="J23" t="s">
        <v>90</v>
      </c>
      <c r="K23" s="13">
        <v>14</v>
      </c>
      <c r="M23" s="12">
        <f t="shared" si="0"/>
        <v>41.300041299999997</v>
      </c>
      <c r="N23" s="12">
        <f t="shared" si="1"/>
        <v>0</v>
      </c>
    </row>
    <row r="24" spans="3:16" x14ac:dyDescent="0.25">
      <c r="C24" t="s">
        <v>91</v>
      </c>
      <c r="D24" s="12">
        <v>37.975037974999999</v>
      </c>
      <c r="F24" t="s">
        <v>91</v>
      </c>
      <c r="G24" s="12">
        <v>15.19001519</v>
      </c>
      <c r="H24" s="12">
        <v>0</v>
      </c>
      <c r="J24" t="s">
        <v>91</v>
      </c>
      <c r="K24" s="13">
        <v>9</v>
      </c>
      <c r="M24" s="12">
        <f t="shared" si="0"/>
        <v>37.975037974999999</v>
      </c>
      <c r="N24" s="12">
        <f t="shared" si="1"/>
        <v>0</v>
      </c>
    </row>
    <row r="25" spans="3:16" x14ac:dyDescent="0.25">
      <c r="D25" s="12">
        <f>SUM(D4:D24)</f>
        <v>32988.914099992209</v>
      </c>
      <c r="K25" s="12"/>
      <c r="L25" t="s">
        <v>96</v>
      </c>
      <c r="M25" s="12">
        <f>SUM(M4:M24)</f>
        <v>7470.6214170653802</v>
      </c>
      <c r="N25" s="12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95</v>
      </c>
      <c r="M27" s="12">
        <f>M25*0.844</f>
        <v>6305.2044760031804</v>
      </c>
      <c r="N27" s="12">
        <f>N25*0.656</f>
        <v>16740.000000000007</v>
      </c>
    </row>
    <row r="28" spans="3:16" x14ac:dyDescent="0.25">
      <c r="D28" s="12">
        <f>SUMPRODUCT(G4:G24,K4:K24)+SUMPRODUCT(H4:H24,K4:K24)</f>
        <v>118760.09075997199</v>
      </c>
      <c r="E28" t="s">
        <v>97</v>
      </c>
    </row>
    <row r="29" spans="3:16" x14ac:dyDescent="0.25">
      <c r="D29" s="11">
        <f>D28/SUM(G4:H24)</f>
        <v>10.214329996215641</v>
      </c>
      <c r="E29" t="s">
        <v>32</v>
      </c>
      <c r="M29" t="s">
        <v>0</v>
      </c>
      <c r="N29" t="s">
        <v>1</v>
      </c>
      <c r="O29" t="s">
        <v>22</v>
      </c>
      <c r="P29" t="s">
        <v>94</v>
      </c>
    </row>
    <row r="30" spans="3:16" x14ac:dyDescent="0.25">
      <c r="L30" t="s">
        <v>70</v>
      </c>
      <c r="M30" s="12">
        <v>6305.2044760031904</v>
      </c>
      <c r="N30" s="12">
        <v>16740</v>
      </c>
      <c r="O30" s="12">
        <v>4000</v>
      </c>
      <c r="P30" s="12">
        <v>1069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Scenarier</vt:lpstr>
      <vt:lpstr>Model</vt:lpstr>
      <vt:lpstr>Scenario 7 GWh</vt:lpstr>
      <vt:lpstr>Scenario 28 GWh</vt:lpstr>
      <vt:lpstr>Scenario 35 GWh</vt:lpstr>
      <vt:lpstr>Affald2021</vt:lpstr>
      <vt:lpstr>AFV</vt:lpstr>
      <vt:lpstr>AndelAffald</vt:lpstr>
      <vt:lpstr>AndelBioaffald</vt:lpstr>
      <vt:lpstr>ATL</vt:lpstr>
      <vt:lpstr>BioAffaldTonnage</vt:lpstr>
      <vt:lpstr>BioTonnage</vt:lpstr>
      <vt:lpstr>CO2afgift</vt:lpstr>
      <vt:lpstr>CO2indholdAfgift</vt:lpstr>
      <vt:lpstr>CO2indholdKvote</vt:lpstr>
      <vt:lpstr>DBmedRGK</vt:lpstr>
      <vt:lpstr>DBudenRGK</vt:lpstr>
      <vt:lpstr>Elpris</vt:lpstr>
      <vt:lpstr>ElprodTarif</vt:lpstr>
      <vt:lpstr>ENSkvoteLHV</vt:lpstr>
      <vt:lpstr>EtaE</vt:lpstr>
      <vt:lpstr>EtaQmaxOvn2</vt:lpstr>
      <vt:lpstr>EtaQmaxOvn3</vt:lpstr>
      <vt:lpstr>EtaQNomOvn2</vt:lpstr>
      <vt:lpstr>EtaQNomOvn3</vt:lpstr>
      <vt:lpstr>EtaRgkOvn2</vt:lpstr>
      <vt:lpstr>EtaRgkOvn3</vt:lpstr>
      <vt:lpstr>Ftotal</vt:lpstr>
      <vt:lpstr>Htotal</vt:lpstr>
      <vt:lpstr>KapQcool</vt:lpstr>
      <vt:lpstr>KapQnomOvn2</vt:lpstr>
      <vt:lpstr>KapQnomOvn3</vt:lpstr>
      <vt:lpstr>Kvotepris</vt:lpstr>
      <vt:lpstr>LHVaffald</vt:lpstr>
      <vt:lpstr>LHVbioaffald</vt:lpstr>
      <vt:lpstr>NSvarme</vt:lpstr>
      <vt:lpstr>Qdemand</vt:lpstr>
      <vt:lpstr>ranCtrlParms</vt:lpstr>
      <vt:lpstr>ranInputNames</vt:lpstr>
      <vt:lpstr>ranModelResult</vt:lpstr>
      <vt:lpstr>ranResultNames</vt:lpstr>
      <vt:lpstr>ranScenOutput</vt:lpstr>
      <vt:lpstr>ranScenOutputRowHeader</vt:lpstr>
      <vt:lpstr>RGKudnyttelse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2022-03-18T09:40:43Z</dcterms:modified>
</cp:coreProperties>
</file>