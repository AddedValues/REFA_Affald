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4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"/>
    </mc:Choice>
  </mc:AlternateContent>
  <xr:revisionPtr revIDLastSave="0" documentId="13_ncr:1_{A8B2C315-77EC-4E44-BC60-9506E4DA1766}" xr6:coauthVersionLast="47" xr6:coauthVersionMax="47" xr10:uidLastSave="{00000000-0000-0000-0000-000000000000}"/>
  <bookViews>
    <workbookView xWindow="-120" yWindow="-120" windowWidth="29040" windowHeight="15720" activeTab="1" xr2:uid="{858EECC8-30FB-4D42-A70B-DA5455FDD71D}"/>
  </bookViews>
  <sheets>
    <sheet name="ModelOpt" sheetId="11" r:id="rId1"/>
    <sheet name="Model" sheetId="12" r:id="rId2"/>
    <sheet name="Scenarier" sheetId="13" r:id="rId3"/>
    <sheet name="Affald2021" sheetId="14" r:id="rId4"/>
  </sheets>
  <externalReferences>
    <externalReference r:id="rId5"/>
    <externalReference r:id="rId6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col" hidden="1" xlm="1">#NAME?</definedName>
    <definedName name="_xlpm.d" hidden="1" xlm="1">#NAME?</definedName>
    <definedName name="_xlpm.icol" hidden="1" xlm="1">#NAME?</definedName>
    <definedName name="_xlpm.inputName" hidden="1" xlm="1">#NAME?</definedName>
    <definedName name="_xlpm.irow" hidden="1" xlm="1">#NAME?</definedName>
    <definedName name="_xlpm.label" hidden="1" xlm="1">#NAME?</definedName>
    <definedName name="_xlpm.ow" hidden="1" xlm="1">#NAME?</definedName>
    <definedName name="_xlpm.pmax" hidden="1" xlm="1">#NAME?</definedName>
    <definedName name="_xlpm.ran" hidden="1" xlm="1">#NAME?</definedName>
    <definedName name="_xlpm.reirow" hidden="1" xlm="1">#NAME?</definedName>
    <definedName name="_xlpm.resirow" hidden="1" xlm="1">#NAME?</definedName>
    <definedName name="_xlpm.resuirow" hidden="1" xlm="1">#NAME?</definedName>
    <definedName name="_xlpm.resulirow" hidden="1" xlm="1">#NAME?</definedName>
    <definedName name="_xlpm.result" hidden="1" xlm="1">#NAME?</definedName>
    <definedName name="_xlpm.resultirow" hidden="1" xlm="1">#NAME?</definedName>
    <definedName name="_xlpm.resultNairow" hidden="1" xlm="1">#NAME?</definedName>
    <definedName name="_xlpm.resultName" hidden="1" xlm="1">#NAME?</definedName>
    <definedName name="_xlpm.resultNameirow" hidden="1" xlm="1">#NAME?</definedName>
    <definedName name="_xlpm.resultNameow" hidden="1" xlm="1">#NAME?</definedName>
    <definedName name="_xlpm.resultNamerow" hidden="1" xlm="1">#NAME?</definedName>
    <definedName name="_xlpm.resultNamew" hidden="1" xlm="1">#NAME?</definedName>
    <definedName name="_xlpm.resultNamirow" hidden="1" xlm="1">#NAME?</definedName>
    <definedName name="_xlpm.resultNirow" hidden="1" xlm="1">#NAME?</definedName>
    <definedName name="_xlpm.rirow" hidden="1" xlm="1">#NAME?</definedName>
    <definedName name="_xlpm.row" hidden="1" xlm="1">#NAME?</definedName>
    <definedName name="_xlpm.w" hidden="1" xlm="1">#NAME?</definedName>
    <definedName name="Affaldsfraktioner">[2]DataFuel!$C$5:$C$30</definedName>
    <definedName name="AFV" localSheetId="1">Model!$C$47</definedName>
    <definedName name="AFV" localSheetId="0">ModelOpt!$C$35</definedName>
    <definedName name="AFV">#REF!</definedName>
    <definedName name="AndelAffald" localSheetId="0">ModelOpt!#REF!</definedName>
    <definedName name="AndelBioaffald" localSheetId="1">Model!$E$32</definedName>
    <definedName name="AndelBioaffald" localSheetId="0">ModelOpt!#REF!</definedName>
    <definedName name="AndelBioaffald">#REF!</definedName>
    <definedName name="AndelFossilFast" localSheetId="1">Model!$C$32</definedName>
    <definedName name="AndelFossilFast">#REF!</definedName>
    <definedName name="AndelFossilFri" localSheetId="1">Model!$D$32</definedName>
    <definedName name="AndelFossilFri">#REF!</definedName>
    <definedName name="arrNiv2">[2]Lister!$A$39:$AL$44</definedName>
    <definedName name="arrNiv3">[2]Lister!$A$48:$AJ$53</definedName>
    <definedName name="ATL" localSheetId="1">Model!$C$48</definedName>
    <definedName name="ATL" localSheetId="0">ModelOpt!$C$36</definedName>
    <definedName name="ATL">#REF!</definedName>
    <definedName name="AvailDaysCooler">ModelOpt!$E$11</definedName>
    <definedName name="BALANCE" hidden="1">" "</definedName>
    <definedName name="BCONCERN" hidden="1">FALSE</definedName>
    <definedName name="bFossilFriOverBiogen">Model!$C$10</definedName>
    <definedName name="BioAffaldTonnage">#REF!</definedName>
    <definedName name="BioTonnage" localSheetId="0">ModelOpt!$J$8</definedName>
    <definedName name="BioTonnage">#REF!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2afgift" localSheetId="1">Model!$C$49</definedName>
    <definedName name="CO2afgift" localSheetId="0">ModelOpt!$C$37</definedName>
    <definedName name="CO2afgift">#REF!</definedName>
    <definedName name="CO2indholdAfgift" localSheetId="1">Model!$C$37</definedName>
    <definedName name="CO2indholdAfgift" localSheetId="0">ModelOpt!$C$27</definedName>
    <definedName name="CO2indholdAfgift">#REF!</definedName>
    <definedName name="CO2indholdKvote" localSheetId="1">Model!$C$38</definedName>
    <definedName name="CO2indholdKvote" localSheetId="0">ModelOpt!$C$28</definedName>
    <definedName name="CO2indholdKvote">#REF!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BmedRGK" localSheetId="1">Model!$K$162</definedName>
    <definedName name="DBmedRGK" localSheetId="0">ModelOpt!$J$117</definedName>
    <definedName name="DBmedRGK">#REF!</definedName>
    <definedName name="DBudenRGK" localSheetId="1">Model!$J$162</definedName>
    <definedName name="DBudenRGK" localSheetId="0">ModelOpt!$L$117</definedName>
    <definedName name="DBudenRGK">#REF!</definedName>
    <definedName name="dFilter">" "</definedName>
    <definedName name="dFilterStart">" "</definedName>
    <definedName name="DoOptim">Model!$C$56</definedName>
    <definedName name="DoOptimOpt">ModelOpt!$B$4</definedName>
    <definedName name="DropDown2">_xlfn.LET(_xlpm.icol,MATCH([2]Lister!$R1&amp;"2",listHeaders,0)-1,_xlpm.ran,OFFSET([2]Lister!$B$3,1,_xlpm.icol,40,1),OFFSET([2]Lister!$B$3,1,_xlpm.icol,COUNTA(_xlpm.ran)-COUNTIF(_xlpm.ran,"=0"),1))</definedName>
    <definedName name="DropDown3">_xlfn.LET(_xlpm.icol,MATCH([2]Lister!$R1&amp;"3",listHeaders,0)-1,_xlpm.ran,OFFSET([2]Lister!$B$3,1,_xlpm.icol,40,1),OFFSET([2]Lister!$B$3,1,_xlpm.icol,COUNTA(_xlpm.ran)-COUNTIF(_xlpm.ran,"=0"),1))</definedName>
    <definedName name="DropDownLevel2">[2]Lister!$A$5=_xlfn.LET(_xlpm.a,MATCH([2]Lister!$R1&amp;"2",listHeaders,0)-1,_xlpm.b,OFFSET([2]Lister!$B$3,1,_xlpm.a,40,1),OFFSET([2]Lister!$B$3,1,_xlpm.a,COUNTA(_xlpm.b)-COUNTIF(_xlpm.b,"=0"),1))</definedName>
    <definedName name="DropDownScen2">_xlfn.LET(_xlpm.icol,MATCH([2]Scen!$E1&amp;"2",listHeaders,0)-1,_xlpm.ran,OFFSET([2]Lister!$B$3,1,_xlpm.icol,40,1),OFFSET([2]Lister!$B$3,1,_xlpm.icol,COUNTA(_xlpm.ran)-COUNTIF(_xlpm.ran,"=0"),1))</definedName>
    <definedName name="DropDownScen3">_xlfn.LET(_xlpm.icol,MATCH([2]Scen!$E1&amp;"3",listHeaders,0)-1,_xlpm.ran,OFFSET([2]Lister!$B$3,1,_xlpm.icol,40,1),OFFSET([2]Lister!$B$3,1,_xlpm.icol,COUNTA(_xlpm.ran)-COUNTIF(_xlpm.ran,"=0"),1))</definedName>
    <definedName name="DSN" hidden="1">" "</definedName>
    <definedName name="Elpris" localSheetId="1">Model!$C$44</definedName>
    <definedName name="Elpris">#REF!</definedName>
    <definedName name="ElprodTarif" localSheetId="1">Model!$C$45</definedName>
    <definedName name="ElProdTarif" localSheetId="0">ModelOpt!$C$34</definedName>
    <definedName name="ElprodTarif">#REF!</definedName>
    <definedName name="ENDDATE" hidden="1">" "</definedName>
    <definedName name="ENSkvoteLHV" localSheetId="1">Model!$C$39</definedName>
    <definedName name="ENSkvoteLHV" localSheetId="0">ModelOpt!$C$29</definedName>
    <definedName name="ENSkvoteLHV">#REF!</definedName>
    <definedName name="EtaE" localSheetId="1">Model!$D$28</definedName>
    <definedName name="EtaE" localSheetId="0">ModelOpt!$D$19</definedName>
    <definedName name="EtaE">#REF!</definedName>
    <definedName name="EtaQmaxOvn2" localSheetId="1">Model!$C$27</definedName>
    <definedName name="EtaQmaxOvn2" localSheetId="0">ModelOpt!$C$18</definedName>
    <definedName name="EtaQmaxOvn2">#REF!</definedName>
    <definedName name="EtaQmaxOvn3" localSheetId="1">Model!$D$27</definedName>
    <definedName name="EtaQmaxOvn3" localSheetId="0">ModelOpt!$D$18</definedName>
    <definedName name="EtaQmaxOvn3">#REF!</definedName>
    <definedName name="EtaQNomOvn2" localSheetId="1">Model!$C$25</definedName>
    <definedName name="EtaQNomOvn2" localSheetId="0">ModelOpt!$C$16</definedName>
    <definedName name="EtaQNomOvn2">#REF!</definedName>
    <definedName name="EtaQNomOvn3" localSheetId="1">Model!$D$25</definedName>
    <definedName name="EtaQNomOvn3" localSheetId="0">ModelOpt!$D$16</definedName>
    <definedName name="EtaQNomOvn3">#REF!</definedName>
    <definedName name="EtaRgkOvn2" localSheetId="1">Model!$C$26</definedName>
    <definedName name="EtaRgkOvn2" localSheetId="0">ModelOpt!$C$17</definedName>
    <definedName name="EtaRgkOvn2">#REF!</definedName>
    <definedName name="EtaRgkOvn3" localSheetId="1">Model!$D$26</definedName>
    <definedName name="EtaRgkOvn3" localSheetId="0">ModelOpt!$D$17</definedName>
    <definedName name="EtaRgkOvn3">#REF!</definedName>
    <definedName name="FastFossilUudnyttet">Model!$Q$90</definedName>
    <definedName name="FBiogenFri" localSheetId="1">Model!$C$9</definedName>
    <definedName name="FbiogenMax">Model!$E$9</definedName>
    <definedName name="FbiogenMin">Model!$D$9</definedName>
    <definedName name="FbiogenOvn2">Model!$V$55</definedName>
    <definedName name="FbiogenOvn3">Model!$V$58</definedName>
    <definedName name="FbioMaxÅr">ModelOpt!$E$24</definedName>
    <definedName name="FbioMinÅr">ModelOpt!$E$23</definedName>
    <definedName name="FfastFossilOvn2">Model!$V$53</definedName>
    <definedName name="FfastFossilOvn3">Model!$V$56</definedName>
    <definedName name="FfastMaxÅr">ModelOpt!$C$24</definedName>
    <definedName name="FfastMinÅr">ModelOpt!$C$23</definedName>
    <definedName name="FFossilFast" localSheetId="1">Model!$C$7</definedName>
    <definedName name="FFossilFri">Model!$C$8</definedName>
    <definedName name="Ffrak1">Model!$J$63</definedName>
    <definedName name="Ffrak2">Model!$J$64</definedName>
    <definedName name="Ffrak3">Model!$J$65</definedName>
    <definedName name="FfriFossilMax">Model!$E$8</definedName>
    <definedName name="FfriFossilMin">Model!$D$8</definedName>
    <definedName name="FfriFossilOvn2">Model!$V$54</definedName>
    <definedName name="FfriFossilOvn3">Model!$V$57</definedName>
    <definedName name="FfriMaxÅr">ModelOpt!$D$24</definedName>
    <definedName name="FfriMinÅr">ModelOpt!$D$23</definedName>
    <definedName name="FixAffald2021">[2]DataCtrl!$C$9</definedName>
    <definedName name="ForbrugInfeasVarme">Model!$V$61</definedName>
    <definedName name="ForbrugNSvarme">Model!$V$59</definedName>
    <definedName name="ForbrugSRvarme">Model!$V$60</definedName>
    <definedName name="Ftotal" localSheetId="1">Model!$C$33</definedName>
    <definedName name="Ftotal" localSheetId="0">ModelOpt!#REF!</definedName>
    <definedName name="Ftotal">#REF!</definedName>
    <definedName name="HBiogenFri" localSheetId="1">Model!$E$36</definedName>
    <definedName name="HfossilFast" localSheetId="1">Model!$C$36</definedName>
    <definedName name="HfossilFri" localSheetId="1">Model!$D$36</definedName>
    <definedName name="Hfrak1">Model!$K$63</definedName>
    <definedName name="Hfrak2">Model!$K$64</definedName>
    <definedName name="Hfrak3">Model!$K$65</definedName>
    <definedName name="Htotal" localSheetId="1">Model!$C$34</definedName>
    <definedName name="Htotal" localSheetId="0">ModelOpt!#REF!</definedName>
    <definedName name="Htotal">#REF!</definedName>
    <definedName name="INCOME" hidden="1">" "</definedName>
    <definedName name="KapQcool" localSheetId="1">Model!$E$21</definedName>
    <definedName name="KapQcool" localSheetId="0">ModelOpt!$E$12</definedName>
    <definedName name="KapQcool">#REF!</definedName>
    <definedName name="KapQnomOvn2" localSheetId="1">Model!$C$21</definedName>
    <definedName name="KapQnomOvn2" localSheetId="0">ModelOpt!$C$12</definedName>
    <definedName name="KapQnomOvn2">#REF!</definedName>
    <definedName name="KapQnomOvn3" localSheetId="1">Model!$D$21</definedName>
    <definedName name="KapQnomOvn3" localSheetId="0">ModelOpt!$D$12</definedName>
    <definedName name="KapQnomOvn3">#REF!</definedName>
    <definedName name="KIBS_DIMREP" hidden="1">" "</definedName>
    <definedName name="KIBSBUDGET" hidden="1">TRUE</definedName>
    <definedName name="KIBSCASHFLOW" hidden="1">TRUE</definedName>
    <definedName name="Kvotepris" localSheetId="1">Model!$C$46</definedName>
    <definedName name="Kvotepris">#REF!</definedName>
    <definedName name="LHVbiogent" localSheetId="0">ModelOpt!$E$26</definedName>
    <definedName name="LHVbiogent">#REF!</definedName>
    <definedName name="LHVFossilFast" localSheetId="0">ModelOpt!$C$26</definedName>
    <definedName name="LHVfossilFast">#REF!</definedName>
    <definedName name="LHVfossilFri">#REF!</definedName>
    <definedName name="lindex">" "</definedName>
    <definedName name="listDataCtrl">[2]DataCtrl!$B$4:$B$20</definedName>
    <definedName name="listFuelAttr">[2]DataFuel!$D$4:$T$4</definedName>
    <definedName name="listFuelName">[2]DataFuel!$C$5:$C$33</definedName>
    <definedName name="listHeaders">[2]Lister!$B$3:$P$3</definedName>
    <definedName name="listPrognosisAttr">[2]DataU!$E$22:$AC$22</definedName>
    <definedName name="listRoot">[2]Lister!$B$4:$B$9</definedName>
    <definedName name="listStorageAttr">[2]DataU!$S$11:$AD$11</definedName>
    <definedName name="listStorageName">[2]DataU!$R$12:$R$17</definedName>
    <definedName name="listUnitAttr">[2]DataU!$B$11:$P$11</definedName>
    <definedName name="listUnitsName">[2]DataU!$A$12:$A$17</definedName>
    <definedName name="MANREP_KIBS" hidden="1">"MANREP_KIBS"</definedName>
    <definedName name="ModtageprisBiogent">ModelOpt!$E$25</definedName>
    <definedName name="ModtageprisFastFossil">ModelOpt!$C$25</definedName>
    <definedName name="MONTH" hidden="1">"januar"</definedName>
    <definedName name="MONTHNUMBER">1</definedName>
    <definedName name="MONTHVAT" hidden="1">TRUE</definedName>
    <definedName name="NaN">[2]DataCtrl!$J$4</definedName>
    <definedName name="NdageKøler">Model!$E$20</definedName>
    <definedName name="NdageOvn2">Model!$C$20</definedName>
    <definedName name="NdageOvn3">Model!$D$20</definedName>
    <definedName name="nFuelA">[2]ModelParms!#REF!</definedName>
    <definedName name="NSvarme" localSheetId="1">Model!$C$12</definedName>
    <definedName name="NSvarme" localSheetId="0">ModelOpt!$J$14</definedName>
    <definedName name="NSvarme">#REF!</definedName>
    <definedName name="NSvarmeMax">Model!$E$12</definedName>
    <definedName name="NUMBERFACTOR" hidden="1">1</definedName>
    <definedName name="NyAff1Tonnage">[2]DataCtrl!$C$18</definedName>
    <definedName name="OfzNiveau2">[2]Lister!$B$38</definedName>
    <definedName name="OfzNiveau3">[2]Lister!$B$47</definedName>
    <definedName name="PenaltyInfeasVarme">Model!$C$55</definedName>
    <definedName name="PenaltyUbrugtFastFossil">Model!$C$54</definedName>
    <definedName name="PerDataFirst">[2]DataU!$B$6</definedName>
    <definedName name="PerDataLast">[2]DataU!$C$6</definedName>
    <definedName name="PeriodRange">[2]DataU!$C$23:$C$58</definedName>
    <definedName name="PerSlut">[2]DataU!$E$6</definedName>
    <definedName name="PerStart">[2]DataU!$D$6</definedName>
    <definedName name="PrisBiogent">Model!$E$35</definedName>
    <definedName name="PrisFossilFast">Model!$C$35</definedName>
    <definedName name="PrisFossilFri">Model!$D$35</definedName>
    <definedName name="PROTECT" hidden="1">FALSE</definedName>
    <definedName name="Qdemand" localSheetId="1">Model!$C$4</definedName>
    <definedName name="Qdemand">#REF!</definedName>
    <definedName name="QUATERVAT" hidden="1">FALSE</definedName>
    <definedName name="ranCtrlParms" localSheetId="1">Model!$C$4:$C$17</definedName>
    <definedName name="ranCtrlParms">#REF!</definedName>
    <definedName name="ranInputNames" localSheetId="2">Scenarier!$C$8:$C$21</definedName>
    <definedName name="ranInputNames">#REF!</definedName>
    <definedName name="ranModelResult" localSheetId="1">Model!$Q$55:$Q$101</definedName>
    <definedName name="ranModelResult" localSheetId="0">ModelOpt!$AF$51:$AF$89</definedName>
    <definedName name="ranModelResult">#REF!</definedName>
    <definedName name="ranResultNames" localSheetId="2">Scenarier!$A$62:$A$100</definedName>
    <definedName name="ranResultNames">#REF!</definedName>
    <definedName name="ranScenOutput" localSheetId="2">Scenarier!$C$104:$Y$150</definedName>
    <definedName name="ranScenOutput">#REF!</definedName>
    <definedName name="ranScenOutputRowHeader" localSheetId="2">Scenarier!$C$104:$C$150</definedName>
    <definedName name="ranScenOutputRowHeader">#REF!</definedName>
    <definedName name="ResultRow" localSheetId="2">_xlfn.LAMBDA(_xlpm.resultName, MATCH(_xlpm.resultName,Scenarier!ranScenOutputRowHeader,0))</definedName>
    <definedName name="ResultRow">_xlfn.LAMBDA(_xlpm.resultName, MATCH(_xlpm.resultName,ranScenOutputRowHeader,0))</definedName>
    <definedName name="ResultValue" localSheetId="2">_xlfn.LAMBDA(_xlpm.resultName,_xlpm.icol,_xlfn.LET(_xlpm.irow,Scenarier!ResultRow(_xlpm.resultName),INDEX(Scenarier!ranScenOutput,_xlpm.irow,_xlpm.icol)))</definedName>
    <definedName name="ResultValue">_xlfn.LAMBDA(_xlpm.resultName,_xlpm.icol,_xlfn.LET(_xlpm.irow,ResultRow(_xlpm.resultName),INDEX(ranScenOutput,_xlpm.irow,_xlpm.icol)))</definedName>
    <definedName name="RGKudnyttelse" localSheetId="1">Model!$C$11</definedName>
    <definedName name="RGKudnyttelse">#REF!</definedName>
    <definedName name="SCDim">" "</definedName>
    <definedName name="ScenProtoTHIS">!A1</definedName>
    <definedName name="solver_adj" localSheetId="0" hidden="1">ModelOpt!$J$13</definedName>
    <definedName name="solver_cvg" localSheetId="1" hidden="1">0.0001</definedName>
    <definedName name="solver_cvg" localSheetId="0" hidden="1">0.0001</definedName>
    <definedName name="solver_drv" localSheetId="1" hidden="1">1</definedName>
    <definedName name="solver_drv" localSheetId="0" hidden="1">1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est" localSheetId="0" hidden="1">1</definedName>
    <definedName name="solver_itr" localSheetId="1" hidden="1">2147483647</definedName>
    <definedName name="solver_itr" localSheetId="0" hidden="1">2147483647</definedName>
    <definedName name="solver_lhs1" localSheetId="1" hidden="1">Model!$C$11</definedName>
    <definedName name="solver_lhs1" localSheetId="0" hidden="1">ModelOpt!$J$13</definedName>
    <definedName name="solver_lhs2" localSheetId="1" hidden="1">Model!$C$11</definedName>
    <definedName name="solver_lhs2" localSheetId="0" hidden="1">ModelOpt!$J$13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od" localSheetId="0" hidden="1">2147483647</definedName>
    <definedName name="solver_num" localSheetId="1" hidden="1">2</definedName>
    <definedName name="solver_num" localSheetId="0" hidden="1">2</definedName>
    <definedName name="solver_nwt" localSheetId="1" hidden="1">1</definedName>
    <definedName name="solver_nwt" localSheetId="0" hidden="1">1</definedName>
    <definedName name="solver_opt" localSheetId="1" hidden="1">Model!$K$162</definedName>
    <definedName name="solver_opt" localSheetId="0" hidden="1">ModelOpt!$J$117</definedName>
    <definedName name="solver_pre" localSheetId="1" hidden="1">0.000001</definedName>
    <definedName name="solver_pre" localSheetId="0" hidden="1">0.000001</definedName>
    <definedName name="solver_rbv" localSheetId="1" hidden="1">1</definedName>
    <definedName name="solver_rbv" localSheetId="0" hidden="1">1</definedName>
    <definedName name="solver_rel1" localSheetId="1" hidden="1">1</definedName>
    <definedName name="solver_rel1" localSheetId="0" hidden="1">1</definedName>
    <definedName name="solver_rel2" localSheetId="1" hidden="1">3</definedName>
    <definedName name="solver_rel2" localSheetId="0" hidden="1">3</definedName>
    <definedName name="solver_rhs1" localSheetId="1" hidden="1">1</definedName>
    <definedName name="solver_rhs1" localSheetId="0" hidden="1">1</definedName>
    <definedName name="solver_rhs2" localSheetId="1" hidden="1">0</definedName>
    <definedName name="solver_rhs2" localSheetId="0" hidden="1">0</definedName>
    <definedName name="solver_rlx" localSheetId="1" hidden="1">2</definedName>
    <definedName name="solver_rlx" localSheetId="0" hidden="1">2</definedName>
    <definedName name="solver_rsd" localSheetId="1" hidden="1">0</definedName>
    <definedName name="solver_rsd" localSheetId="0" hidden="1">0</definedName>
    <definedName name="solver_scl" localSheetId="1" hidden="1">1</definedName>
    <definedName name="solver_scl" localSheetId="0" hidden="1">1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2147483647</definedName>
    <definedName name="solver_tim" localSheetId="0" hidden="1">2147483647</definedName>
    <definedName name="solver_tol" localSheetId="1" hidden="1">0.01</definedName>
    <definedName name="solver_tol" localSheetId="0" hidden="1">0.01</definedName>
    <definedName name="solver_typ" localSheetId="1" hidden="1">1</definedName>
    <definedName name="solver_typ" localSheetId="0" hidden="1">1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  <definedName name="STARTDATE" hidden="1">" "</definedName>
    <definedName name="TabelScenInput" localSheetId="2">Scenarier!$C$7:$Y$21</definedName>
    <definedName name="TabelScenInput">#REF!</definedName>
    <definedName name="TEMPLATE" hidden="1">"Budget"</definedName>
    <definedName name="USEBORDERS" hidden="1">"ON"</definedName>
    <definedName name="USENEXTYEAR">!A1</definedName>
    <definedName name="Varmesalgspris" localSheetId="1">Model!$C$42</definedName>
    <definedName name="Varmesalgspris" localSheetId="0">ModelOpt!$C$32</definedName>
    <definedName name="Varmesalgspris">#REF!</definedName>
    <definedName name="VCONSOLID" hidden="1">TRUE</definedName>
    <definedName name="VEXPORT" hidden="1">TRUE</definedName>
    <definedName name="VPO_Spidslast">ModelOpt!$C$33</definedName>
    <definedName name="YEAR">2022</definedName>
    <definedName name="Z_01B8EE19_BF49_4F3C_9D6B_CD607AE52779_.wvu.Rows" localSheetId="2" hidden="1">Scenarier!$1:$4</definedName>
    <definedName name="Z_2B82E035_636B_4F9F_846A_FEE8C149952C_.wvu.Rows" localSheetId="2" hidden="1">Scenarier!$1:$4</definedName>
    <definedName name="Z_B8935784_587B_4D0A_AED7_A4A9B4EF97F4_.wvu.Cols" localSheetId="1" hidden="1">Model!$A:$F</definedName>
    <definedName name="Z_B8935784_587B_4D0A_AED7_A4A9B4EF97F4_.wvu.Cols" localSheetId="0" hidden="1">ModelOpt!$H:$M</definedName>
    <definedName name="Z_B8935784_587B_4D0A_AED7_A4A9B4EF97F4_.wvu.Rows" localSheetId="2" hidden="1">Scenarier!$1:$4</definedName>
    <definedName name="Z_D61959C2_356A_4414_A70C_587540F5DA06_.wvu.Cols" localSheetId="1" hidden="1">Model!$A:$F</definedName>
    <definedName name="Z_D61959C2_356A_4414_A70C_587540F5DA06_.wvu.Rows" localSheetId="2" hidden="1">Scenarier!$1:$4</definedName>
    <definedName name="Z_EEB625C4_AF57_4951_B4C5_8C71271FF126_.wvu.Rows" localSheetId="2" hidden="1">Scenarier!$1:$4</definedName>
    <definedName name="ØvrigeBrændsler">[2]DataFuel!$C$31:$C$33</definedName>
  </definedNames>
  <calcPr calcId="191029"/>
  <customWorkbookViews>
    <customWorkbookView name="MedInput" guid="{EEB625C4-AF57-4951-B4C5-8C71271FF126}" maximized="1" xWindow="-8" yWindow="-8" windowWidth="1936" windowHeight="1048" activeSheetId="1"/>
    <customWorkbookView name="Dashboard" guid="{B8935784-587B-4D0A-AED7-A4A9B4EF97F4}" maximized="1" xWindow="-8" yWindow="-8" windowWidth="1936" windowHeight="1048" activeSheetId="1" showFormulaBar="0"/>
    <customWorkbookView name="All" guid="{2B82E035-636B-4F9F-846A-FEE8C149952C}" maximized="1" xWindow="-8" yWindow="-8" windowWidth="1936" windowHeight="1048" activeSheetId="1"/>
    <customWorkbookView name="MedInput-Model-1B" guid="{01B8EE19-BF49-4F3C-9D6B-CD607AE52779}" maximized="1" xWindow="-8" yWindow="-8" windowWidth="1936" windowHeight="1048" activeSheetId="12"/>
    <customWorkbookView name="Dashboard-Model-1B" guid="{D61959C2-356A-4414-A70C-587540F5DA06}" maximized="1" xWindow="-8" yWindow="-8" windowWidth="1936" windowHeight="1048" activeSheetId="12" showFormulaBar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153" i="12" l="1"/>
  <c r="K108" i="12"/>
  <c r="J108" i="12"/>
  <c r="K105" i="12"/>
  <c r="K104" i="12"/>
  <c r="K103" i="12"/>
  <c r="J105" i="12"/>
  <c r="J72" i="12"/>
  <c r="K72" i="12"/>
  <c r="J86" i="12"/>
  <c r="A2" i="12"/>
  <c r="K86" i="12"/>
  <c r="K84" i="12"/>
  <c r="K79" i="12"/>
  <c r="K74" i="12"/>
  <c r="J79" i="12"/>
  <c r="J74" i="12"/>
  <c r="J69" i="12"/>
  <c r="K69" i="12"/>
  <c r="V73" i="12"/>
  <c r="W72" i="12"/>
  <c r="V69" i="12"/>
  <c r="W67" i="12"/>
  <c r="V65" i="12"/>
  <c r="V66" i="12"/>
  <c r="E12" i="12"/>
  <c r="V72" i="12" s="1"/>
  <c r="X72" i="12" s="1"/>
  <c r="E9" i="12"/>
  <c r="E8" i="12"/>
  <c r="V68" i="12" s="1"/>
  <c r="J121" i="11"/>
  <c r="F15" i="13"/>
  <c r="G15" i="13"/>
  <c r="H15" i="13"/>
  <c r="I15" i="13"/>
  <c r="J15" i="13"/>
  <c r="K15" i="13"/>
  <c r="L15" i="13"/>
  <c r="M15" i="13"/>
  <c r="N15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E10" i="13"/>
  <c r="E9" i="13"/>
  <c r="D20" i="12"/>
  <c r="K56" i="12" s="1"/>
  <c r="C20" i="12"/>
  <c r="J56" i="12" s="1"/>
  <c r="H1" i="12"/>
  <c r="K68" i="12"/>
  <c r="C44" i="12"/>
  <c r="C46" i="12"/>
  <c r="D142" i="13"/>
  <c r="D143" i="13"/>
  <c r="D144" i="13"/>
  <c r="D145" i="13"/>
  <c r="D146" i="13"/>
  <c r="D147" i="13"/>
  <c r="D148" i="13"/>
  <c r="D149" i="13"/>
  <c r="D150" i="13"/>
  <c r="C143" i="13"/>
  <c r="C144" i="13"/>
  <c r="C145" i="13"/>
  <c r="C146" i="13"/>
  <c r="C147" i="13"/>
  <c r="C148" i="13"/>
  <c r="C149" i="13"/>
  <c r="C150" i="13"/>
  <c r="C135" i="13"/>
  <c r="D135" i="13"/>
  <c r="C136" i="13"/>
  <c r="D136" i="13"/>
  <c r="C137" i="13"/>
  <c r="D137" i="13"/>
  <c r="C138" i="13"/>
  <c r="D138" i="13"/>
  <c r="C139" i="13"/>
  <c r="D139" i="13"/>
  <c r="C140" i="13"/>
  <c r="D140" i="13"/>
  <c r="C141" i="13"/>
  <c r="D141" i="13"/>
  <c r="C120" i="13"/>
  <c r="C128" i="13"/>
  <c r="C129" i="13"/>
  <c r="C130" i="13"/>
  <c r="C131" i="13"/>
  <c r="C132" i="13"/>
  <c r="C133" i="13"/>
  <c r="C134" i="13"/>
  <c r="D127" i="13"/>
  <c r="D128" i="13"/>
  <c r="D129" i="13"/>
  <c r="D130" i="13"/>
  <c r="D131" i="13"/>
  <c r="D132" i="13"/>
  <c r="D133" i="13"/>
  <c r="D134" i="13"/>
  <c r="D107" i="13"/>
  <c r="D112" i="13"/>
  <c r="D119" i="13"/>
  <c r="D120" i="13"/>
  <c r="D121" i="13"/>
  <c r="D122" i="13"/>
  <c r="D123" i="13"/>
  <c r="D124" i="13"/>
  <c r="D125" i="13"/>
  <c r="D126" i="13"/>
  <c r="D103" i="13"/>
  <c r="C103" i="13"/>
  <c r="E11" i="13"/>
  <c r="E12" i="13"/>
  <c r="E13" i="13"/>
  <c r="E14" i="13"/>
  <c r="E15" i="13"/>
  <c r="E16" i="13"/>
  <c r="E17" i="13"/>
  <c r="E18" i="13"/>
  <c r="E19" i="13"/>
  <c r="E20" i="13"/>
  <c r="E21" i="13"/>
  <c r="E8" i="13"/>
  <c r="D8" i="13"/>
  <c r="C8" i="13"/>
  <c r="I65" i="12"/>
  <c r="I64" i="12"/>
  <c r="E35" i="12"/>
  <c r="D35" i="12"/>
  <c r="K65" i="12"/>
  <c r="J65" i="12"/>
  <c r="K64" i="12"/>
  <c r="J64" i="12"/>
  <c r="U30" i="11"/>
  <c r="T30" i="11"/>
  <c r="S30" i="11"/>
  <c r="R30" i="11"/>
  <c r="Q30" i="11"/>
  <c r="P30" i="11"/>
  <c r="O30" i="11"/>
  <c r="N30" i="11"/>
  <c r="M30" i="11"/>
  <c r="L30" i="11"/>
  <c r="K30" i="11"/>
  <c r="J30" i="11"/>
  <c r="K63" i="12"/>
  <c r="J63" i="12"/>
  <c r="L33" i="14"/>
  <c r="I33" i="14"/>
  <c r="H33" i="14"/>
  <c r="G33" i="14"/>
  <c r="F33" i="14"/>
  <c r="M32" i="14"/>
  <c r="H32" i="14"/>
  <c r="G32" i="14"/>
  <c r="Q26" i="14"/>
  <c r="P26" i="14"/>
  <c r="S26" i="14" s="1" a="1"/>
  <c r="S26" i="14" s="1"/>
  <c r="T26" i="14" s="1"/>
  <c r="Q25" i="14"/>
  <c r="P25" i="14"/>
  <c r="S25" i="14" s="1" a="1"/>
  <c r="S25" i="14" s="1"/>
  <c r="Q24" i="14"/>
  <c r="P24" i="14"/>
  <c r="S24" i="14" s="1" a="1"/>
  <c r="S24" i="14" s="1"/>
  <c r="Q23" i="14"/>
  <c r="P23" i="14"/>
  <c r="S23" i="14" s="1" a="1"/>
  <c r="S23" i="14" s="1"/>
  <c r="Q22" i="14"/>
  <c r="P22" i="14"/>
  <c r="R22" i="14" s="1"/>
  <c r="Q21" i="14"/>
  <c r="P21" i="14"/>
  <c r="Q19" i="14"/>
  <c r="P19" i="14"/>
  <c r="S19" i="14" s="1" a="1"/>
  <c r="S19" i="14" s="1"/>
  <c r="Q18" i="14"/>
  <c r="P18" i="14"/>
  <c r="Q17" i="14"/>
  <c r="P17" i="14"/>
  <c r="Q16" i="14"/>
  <c r="P16" i="14"/>
  <c r="Q15" i="14"/>
  <c r="P15" i="14"/>
  <c r="Q14" i="14"/>
  <c r="P14" i="14"/>
  <c r="Q13" i="14"/>
  <c r="P13" i="14"/>
  <c r="Q12" i="14"/>
  <c r="P12" i="14"/>
  <c r="S12" i="14" s="1" a="1"/>
  <c r="S12" i="14" s="1"/>
  <c r="T12" i="14" s="1"/>
  <c r="Q11" i="14"/>
  <c r="P11" i="14"/>
  <c r="S11" i="14" s="1" a="1"/>
  <c r="S11" i="14" s="1"/>
  <c r="Q10" i="14"/>
  <c r="P10" i="14"/>
  <c r="S10" i="14" s="1" a="1"/>
  <c r="S10" i="14" s="1"/>
  <c r="Q9" i="14"/>
  <c r="P9" i="14"/>
  <c r="S9" i="14" s="1" a="1"/>
  <c r="S9" i="14" s="1"/>
  <c r="T9" i="14" s="1"/>
  <c r="Q8" i="14"/>
  <c r="P8" i="14"/>
  <c r="R8" i="14" s="1"/>
  <c r="Q7" i="14"/>
  <c r="P7" i="14"/>
  <c r="Q6" i="14"/>
  <c r="P6" i="14"/>
  <c r="J125" i="12" l="1"/>
  <c r="K125" i="12"/>
  <c r="R25" i="14"/>
  <c r="R18" i="14"/>
  <c r="R26" i="14"/>
  <c r="R13" i="14"/>
  <c r="S16" i="14" a="1"/>
  <c r="S16" i="14" s="1"/>
  <c r="T16" i="14" s="1"/>
  <c r="R24" i="14"/>
  <c r="S13" i="14" a="1"/>
  <c r="S13" i="14" s="1"/>
  <c r="T13" i="14" s="1"/>
  <c r="B35" i="14" a="1"/>
  <c r="B35" i="14" s="1"/>
  <c r="T8" i="14"/>
  <c r="S8" i="14" a="1"/>
  <c r="S8" i="14" s="1"/>
  <c r="R17" i="14"/>
  <c r="R21" i="14"/>
  <c r="T24" i="14"/>
  <c r="S18" i="14" a="1"/>
  <c r="S18" i="14" s="1"/>
  <c r="T18" i="14" s="1"/>
  <c r="S22" i="14" a="1"/>
  <c r="S22" i="14" s="1"/>
  <c r="S6" i="14" a="1"/>
  <c r="S6" i="14" s="1"/>
  <c r="T6" i="14" s="1"/>
  <c r="R16" i="14"/>
  <c r="T25" i="14"/>
  <c r="R6" i="14"/>
  <c r="R14" i="14"/>
  <c r="R9" i="14"/>
  <c r="S14" i="14" a="1"/>
  <c r="S14" i="14" s="1"/>
  <c r="T14" i="14" s="1"/>
  <c r="R12" i="14"/>
  <c r="R10" i="14"/>
  <c r="E27" i="14"/>
  <c r="M27" i="14"/>
  <c r="L27" i="14"/>
  <c r="T11" i="14"/>
  <c r="S17" i="14" a="1"/>
  <c r="S17" i="14" s="1"/>
  <c r="T17" i="14" s="1"/>
  <c r="T19" i="14"/>
  <c r="S21" i="14" a="1"/>
  <c r="S21" i="14" s="1"/>
  <c r="T21" i="14" s="1"/>
  <c r="T23" i="14"/>
  <c r="T10" i="14"/>
  <c r="R15" i="14"/>
  <c r="T22" i="14"/>
  <c r="R7" i="14"/>
  <c r="S7" i="14" a="1"/>
  <c r="S7" i="14" s="1"/>
  <c r="S15" i="14" a="1"/>
  <c r="S15" i="14" s="1"/>
  <c r="T15" i="14" s="1"/>
  <c r="T7" i="14"/>
  <c r="R11" i="14"/>
  <c r="R19" i="14"/>
  <c r="R23" i="14"/>
  <c r="G27" i="14" l="1"/>
  <c r="N27" i="14"/>
  <c r="J27" i="14"/>
  <c r="D27" i="14" l="1"/>
  <c r="F27" i="14"/>
  <c r="K27" i="14"/>
  <c r="I27" i="14"/>
  <c r="H27" i="14"/>
  <c r="P20" i="14" l="1"/>
  <c r="C27" i="14"/>
  <c r="Q20" i="14"/>
  <c r="S20" i="14" l="1" a="1"/>
  <c r="S20" i="14" s="1"/>
  <c r="T20" i="14" s="1"/>
  <c r="R20" i="14"/>
  <c r="P27" i="14"/>
  <c r="Y103" i="13" l="1"/>
  <c r="X103" i="13"/>
  <c r="W103" i="13"/>
  <c r="V103" i="13"/>
  <c r="U103" i="13"/>
  <c r="T103" i="13"/>
  <c r="S103" i="13"/>
  <c r="R103" i="13"/>
  <c r="Q103" i="13"/>
  <c r="P103" i="13"/>
  <c r="O103" i="13"/>
  <c r="N103" i="13"/>
  <c r="M103" i="13"/>
  <c r="L103" i="13"/>
  <c r="K103" i="13"/>
  <c r="J103" i="13"/>
  <c r="I103" i="13"/>
  <c r="H103" i="13"/>
  <c r="G103" i="13"/>
  <c r="F103" i="13"/>
  <c r="E103" i="13"/>
  <c r="D97" i="13"/>
  <c r="Y97" i="13" s="1" a="1"/>
  <c r="Y97" i="13" s="1"/>
  <c r="C97" i="13"/>
  <c r="D96" i="13"/>
  <c r="U96" i="13" s="1" a="1"/>
  <c r="U96" i="13" s="1"/>
  <c r="C96" i="13"/>
  <c r="D95" i="13"/>
  <c r="U95" i="13" s="1" a="1"/>
  <c r="U95" i="13" s="1"/>
  <c r="C95" i="13"/>
  <c r="D94" i="13"/>
  <c r="U94" i="13" s="1" a="1"/>
  <c r="U94" i="13" s="1"/>
  <c r="C94" i="13"/>
  <c r="D93" i="13"/>
  <c r="T93" i="13" s="1" a="1"/>
  <c r="T93" i="13" s="1"/>
  <c r="C93" i="13"/>
  <c r="D92" i="13"/>
  <c r="S92" i="13" s="1" a="1"/>
  <c r="S92" i="13" s="1"/>
  <c r="C92" i="13"/>
  <c r="D91" i="13"/>
  <c r="R91" i="13" s="1" a="1"/>
  <c r="R91" i="13" s="1"/>
  <c r="C91" i="13"/>
  <c r="D90" i="13"/>
  <c r="Y90" i="13" s="1" a="1"/>
  <c r="Y90" i="13" s="1"/>
  <c r="C90" i="13"/>
  <c r="D89" i="13"/>
  <c r="C89" i="13"/>
  <c r="D88" i="13"/>
  <c r="C88" i="13"/>
  <c r="C87" i="13"/>
  <c r="D84" i="13"/>
  <c r="D83" i="13"/>
  <c r="C83" i="13"/>
  <c r="D82" i="13"/>
  <c r="C82" i="13"/>
  <c r="D81" i="13"/>
  <c r="D80" i="13"/>
  <c r="D79" i="13"/>
  <c r="C79" i="13"/>
  <c r="D78" i="13"/>
  <c r="C78" i="13"/>
  <c r="D77" i="13"/>
  <c r="C77" i="13"/>
  <c r="D76" i="13"/>
  <c r="C76" i="13"/>
  <c r="D75" i="13"/>
  <c r="C75" i="13"/>
  <c r="D74" i="13"/>
  <c r="C74" i="13"/>
  <c r="D73" i="13"/>
  <c r="C73" i="13"/>
  <c r="D72" i="13"/>
  <c r="C72" i="13"/>
  <c r="D71" i="13"/>
  <c r="C71" i="13"/>
  <c r="D70" i="13"/>
  <c r="C70" i="13"/>
  <c r="D69" i="13"/>
  <c r="C69" i="13"/>
  <c r="D68" i="13"/>
  <c r="C68" i="13"/>
  <c r="D67" i="13"/>
  <c r="C67" i="13"/>
  <c r="D66" i="13"/>
  <c r="C66" i="13"/>
  <c r="D65" i="13"/>
  <c r="C65" i="13"/>
  <c r="D64" i="13"/>
  <c r="C64" i="13"/>
  <c r="D63" i="13"/>
  <c r="C63" i="13"/>
  <c r="Y62" i="13"/>
  <c r="Y86" i="13" s="1"/>
  <c r="X62" i="13"/>
  <c r="X86" i="13" s="1"/>
  <c r="W62" i="13"/>
  <c r="W86" i="13" s="1"/>
  <c r="V62" i="13"/>
  <c r="V86" i="13" s="1"/>
  <c r="U62" i="13"/>
  <c r="U86" i="13" s="1"/>
  <c r="T62" i="13"/>
  <c r="T86" i="13" s="1"/>
  <c r="S62" i="13"/>
  <c r="S86" i="13" s="1"/>
  <c r="R62" i="13"/>
  <c r="R86" i="13" s="1"/>
  <c r="Q62" i="13"/>
  <c r="Q86" i="13" s="1"/>
  <c r="P62" i="13"/>
  <c r="P86" i="13" s="1"/>
  <c r="O62" i="13"/>
  <c r="O86" i="13" s="1"/>
  <c r="N62" i="13"/>
  <c r="N86" i="13" s="1"/>
  <c r="M62" i="13"/>
  <c r="M86" i="13" s="1"/>
  <c r="L62" i="13"/>
  <c r="L86" i="13" s="1"/>
  <c r="K62" i="13"/>
  <c r="K86" i="13" s="1"/>
  <c r="J62" i="13"/>
  <c r="J86" i="13" s="1"/>
  <c r="I62" i="13"/>
  <c r="I86" i="13" s="1"/>
  <c r="H62" i="13"/>
  <c r="H86" i="13" s="1"/>
  <c r="G62" i="13"/>
  <c r="G86" i="13" s="1"/>
  <c r="F62" i="13"/>
  <c r="F86" i="13" s="1"/>
  <c r="E62" i="13"/>
  <c r="J147" i="12"/>
  <c r="P54" i="12" s="1"/>
  <c r="P79" i="12" s="1"/>
  <c r="N77" i="12"/>
  <c r="N76" i="12"/>
  <c r="N75" i="12"/>
  <c r="P74" i="12"/>
  <c r="N74" i="12"/>
  <c r="N73" i="12"/>
  <c r="N72" i="12"/>
  <c r="O69" i="12"/>
  <c r="N69" i="12"/>
  <c r="O68" i="12"/>
  <c r="N68" i="12"/>
  <c r="O67" i="12"/>
  <c r="N67" i="12"/>
  <c r="O66" i="12"/>
  <c r="N66" i="12"/>
  <c r="O65" i="12"/>
  <c r="N65" i="12"/>
  <c r="O64" i="12"/>
  <c r="N64" i="12"/>
  <c r="K147" i="12"/>
  <c r="Q54" i="12" s="1"/>
  <c r="O62" i="12"/>
  <c r="N62" i="12"/>
  <c r="P61" i="12"/>
  <c r="O61" i="12"/>
  <c r="N61" i="12"/>
  <c r="O60" i="12"/>
  <c r="N60" i="12"/>
  <c r="O59" i="12"/>
  <c r="N59" i="12"/>
  <c r="O57" i="12"/>
  <c r="N57" i="12"/>
  <c r="O56" i="12"/>
  <c r="N56" i="12"/>
  <c r="K57" i="12"/>
  <c r="V71" i="12" s="1"/>
  <c r="J57" i="12"/>
  <c r="V70" i="12" s="1"/>
  <c r="O55" i="12"/>
  <c r="N55" i="12"/>
  <c r="C33" i="12"/>
  <c r="C34" i="12" s="1"/>
  <c r="D32" i="12"/>
  <c r="C32" i="12"/>
  <c r="D26" i="12"/>
  <c r="C26" i="12"/>
  <c r="AL4" i="12"/>
  <c r="AL3" i="12"/>
  <c r="AL2" i="12"/>
  <c r="K37" i="11"/>
  <c r="L37" i="11"/>
  <c r="M37" i="11"/>
  <c r="N37" i="11"/>
  <c r="O37" i="11"/>
  <c r="P37" i="11"/>
  <c r="Q37" i="11"/>
  <c r="R37" i="11"/>
  <c r="S37" i="11"/>
  <c r="T37" i="11"/>
  <c r="U37" i="11"/>
  <c r="J37" i="11"/>
  <c r="J36" i="11"/>
  <c r="K20" i="11"/>
  <c r="L20" i="11"/>
  <c r="M20" i="11"/>
  <c r="N20" i="11"/>
  <c r="N31" i="11" s="1"/>
  <c r="O20" i="11"/>
  <c r="O31" i="11" s="1"/>
  <c r="O34" i="11" s="1"/>
  <c r="P20" i="11"/>
  <c r="Q20" i="11"/>
  <c r="R20" i="11"/>
  <c r="S20" i="11"/>
  <c r="T20" i="11"/>
  <c r="U20" i="11"/>
  <c r="J20" i="11"/>
  <c r="K42" i="11"/>
  <c r="K43" i="11" s="1"/>
  <c r="L42" i="11"/>
  <c r="L43" i="11" s="1"/>
  <c r="L46" i="11" s="1"/>
  <c r="M42" i="11"/>
  <c r="M43" i="11" s="1"/>
  <c r="M46" i="11" s="1"/>
  <c r="N42" i="11"/>
  <c r="N43" i="11" s="1"/>
  <c r="O42" i="11"/>
  <c r="O43" i="11" s="1"/>
  <c r="O46" i="11" s="1"/>
  <c r="P42" i="11"/>
  <c r="P43" i="11" s="1"/>
  <c r="P46" i="11" s="1"/>
  <c r="Q42" i="11"/>
  <c r="Q43" i="11" s="1"/>
  <c r="Q46" i="11" s="1"/>
  <c r="R42" i="11"/>
  <c r="R43" i="11" s="1"/>
  <c r="S42" i="11"/>
  <c r="S43" i="11" s="1"/>
  <c r="T42" i="11"/>
  <c r="T43" i="11" s="1"/>
  <c r="T46" i="11" s="1"/>
  <c r="U42" i="11"/>
  <c r="U43" i="11" s="1"/>
  <c r="U46" i="11" s="1"/>
  <c r="K49" i="11"/>
  <c r="K50" i="11" s="1"/>
  <c r="K53" i="11" s="1"/>
  <c r="L49" i="11"/>
  <c r="L50" i="11" s="1"/>
  <c r="M49" i="11"/>
  <c r="M50" i="11" s="1"/>
  <c r="N49" i="11"/>
  <c r="N50" i="11" s="1"/>
  <c r="N53" i="11" s="1"/>
  <c r="O49" i="11"/>
  <c r="O50" i="11" s="1"/>
  <c r="P49" i="11"/>
  <c r="P50" i="11" s="1"/>
  <c r="Q49" i="11"/>
  <c r="Q50" i="11" s="1"/>
  <c r="R49" i="11"/>
  <c r="R50" i="11" s="1"/>
  <c r="S49" i="11"/>
  <c r="S50" i="11" s="1"/>
  <c r="S53" i="11" s="1"/>
  <c r="T49" i="11"/>
  <c r="T50" i="11" s="1"/>
  <c r="U49" i="11"/>
  <c r="U50" i="11" s="1"/>
  <c r="U53" i="11" s="1"/>
  <c r="K18" i="11"/>
  <c r="L18" i="11"/>
  <c r="M18" i="11"/>
  <c r="N18" i="11"/>
  <c r="O18" i="11"/>
  <c r="P18" i="11"/>
  <c r="Q18" i="11"/>
  <c r="R18" i="11"/>
  <c r="S18" i="11"/>
  <c r="T18" i="11"/>
  <c r="U18" i="11"/>
  <c r="J18" i="11"/>
  <c r="V7" i="11"/>
  <c r="V8" i="11"/>
  <c r="K119" i="11"/>
  <c r="L119" i="11"/>
  <c r="M119" i="11"/>
  <c r="N119" i="11"/>
  <c r="O119" i="11"/>
  <c r="P119" i="11"/>
  <c r="Q119" i="11"/>
  <c r="R119" i="11"/>
  <c r="S119" i="11"/>
  <c r="T119" i="11"/>
  <c r="U119" i="11"/>
  <c r="J119" i="11"/>
  <c r="J126" i="11"/>
  <c r="J125" i="11"/>
  <c r="C24" i="11"/>
  <c r="K82" i="11"/>
  <c r="L82" i="11"/>
  <c r="M82" i="11"/>
  <c r="N82" i="11"/>
  <c r="O82" i="11"/>
  <c r="P82" i="11"/>
  <c r="Q82" i="11"/>
  <c r="R82" i="11"/>
  <c r="S82" i="11"/>
  <c r="T82" i="11"/>
  <c r="U82" i="11"/>
  <c r="J60" i="12" l="1"/>
  <c r="I87" i="13" a="1"/>
  <c r="I87" i="13" s="1"/>
  <c r="G87" i="13" a="1"/>
  <c r="G87" i="13" s="1"/>
  <c r="L87" i="13" a="1"/>
  <c r="L87" i="13" s="1"/>
  <c r="K87" i="13" a="1"/>
  <c r="K87" i="13" s="1"/>
  <c r="V87" i="13" a="1"/>
  <c r="V87" i="13" s="1"/>
  <c r="S87" i="13" a="1"/>
  <c r="S87" i="13" s="1"/>
  <c r="Q87" i="13" a="1"/>
  <c r="Q87" i="13" s="1"/>
  <c r="N87" i="13" a="1"/>
  <c r="N87" i="13" s="1"/>
  <c r="W87" i="13" a="1"/>
  <c r="W87" i="13" s="1"/>
  <c r="J87" i="13" a="1"/>
  <c r="J87" i="13" s="1"/>
  <c r="T87" i="13" a="1"/>
  <c r="T87" i="13" s="1"/>
  <c r="X87" i="13" a="1"/>
  <c r="X87" i="13" s="1"/>
  <c r="F87" i="13" a="1"/>
  <c r="F87" i="13" s="1"/>
  <c r="P87" i="13" a="1"/>
  <c r="P87" i="13" s="1"/>
  <c r="U87" i="13" a="1"/>
  <c r="U87" i="13" s="1"/>
  <c r="R87" i="13" a="1"/>
  <c r="R87" i="13" s="1"/>
  <c r="H87" i="13" a="1"/>
  <c r="H87" i="13" s="1"/>
  <c r="M87" i="13" a="1"/>
  <c r="M87" i="13" s="1"/>
  <c r="Y87" i="13" a="1"/>
  <c r="Y87" i="13" s="1"/>
  <c r="E87" i="13" a="1"/>
  <c r="E87" i="13" s="1"/>
  <c r="O87" i="13" a="1"/>
  <c r="O87" i="13" s="1"/>
  <c r="K93" i="13" a="1"/>
  <c r="K93" i="13" s="1"/>
  <c r="C105" i="13"/>
  <c r="D105" i="13"/>
  <c r="D110" i="13"/>
  <c r="D114" i="13"/>
  <c r="D118" i="13"/>
  <c r="C110" i="13"/>
  <c r="C118" i="13"/>
  <c r="C126" i="13"/>
  <c r="C106" i="13"/>
  <c r="C115" i="13"/>
  <c r="C121" i="13"/>
  <c r="C114" i="13"/>
  <c r="D106" i="13"/>
  <c r="C111" i="13"/>
  <c r="D115" i="13"/>
  <c r="C122" i="13"/>
  <c r="C104" i="13"/>
  <c r="O63" i="13" s="1" a="1"/>
  <c r="O63" i="13" s="1"/>
  <c r="D111" i="13"/>
  <c r="D104" i="13"/>
  <c r="D108" i="13"/>
  <c r="D116" i="13"/>
  <c r="C108" i="13"/>
  <c r="C123" i="13"/>
  <c r="C109" i="13"/>
  <c r="C113" i="13"/>
  <c r="C117" i="13"/>
  <c r="C124" i="13"/>
  <c r="C116" i="13"/>
  <c r="D109" i="13"/>
  <c r="D113" i="13"/>
  <c r="D117" i="13"/>
  <c r="C125" i="13"/>
  <c r="R93" i="13" a="1"/>
  <c r="R93" i="13" s="1"/>
  <c r="P95" i="13" a="1"/>
  <c r="P95" i="13" s="1"/>
  <c r="L91" i="13" a="1"/>
  <c r="L91" i="13" s="1"/>
  <c r="N94" i="13" a="1"/>
  <c r="N94" i="13" s="1"/>
  <c r="G96" i="13" a="1"/>
  <c r="G96" i="13" s="1"/>
  <c r="W94" i="13" a="1"/>
  <c r="W94" i="13" s="1"/>
  <c r="T96" i="13" a="1"/>
  <c r="T96" i="13" s="1"/>
  <c r="U93" i="13" a="1"/>
  <c r="U93" i="13" s="1"/>
  <c r="W95" i="13" a="1"/>
  <c r="W95" i="13" s="1"/>
  <c r="M93" i="13" a="1"/>
  <c r="M93" i="13" s="1"/>
  <c r="V94" i="13" a="1"/>
  <c r="V94" i="13" s="1"/>
  <c r="T95" i="13" a="1"/>
  <c r="T95" i="13" s="1"/>
  <c r="O90" i="13" a="1"/>
  <c r="O90" i="13" s="1"/>
  <c r="V93" i="13" a="1"/>
  <c r="V93" i="13" s="1"/>
  <c r="G97" i="13" a="1"/>
  <c r="G97" i="13" s="1"/>
  <c r="E93" i="13" a="1"/>
  <c r="E93" i="13" s="1"/>
  <c r="E95" i="13" a="1"/>
  <c r="E95" i="13" s="1"/>
  <c r="M97" i="13" a="1"/>
  <c r="M97" i="13" s="1"/>
  <c r="E97" i="13" a="1"/>
  <c r="E97" i="13" s="1"/>
  <c r="F93" i="13" a="1"/>
  <c r="F93" i="13" s="1"/>
  <c r="H95" i="13" a="1"/>
  <c r="H95" i="13" s="1"/>
  <c r="L96" i="13" a="1"/>
  <c r="L96" i="13" s="1"/>
  <c r="K91" i="13" a="1"/>
  <c r="K91" i="13" s="1"/>
  <c r="J93" i="13" a="1"/>
  <c r="J93" i="13" s="1"/>
  <c r="F94" i="13" a="1"/>
  <c r="F94" i="13" s="1"/>
  <c r="O95" i="13" a="1"/>
  <c r="O95" i="13" s="1"/>
  <c r="N96" i="13" a="1"/>
  <c r="N96" i="13" s="1"/>
  <c r="P90" i="13" a="1"/>
  <c r="P90" i="13" s="1"/>
  <c r="R90" i="13" a="1"/>
  <c r="R90" i="13" s="1"/>
  <c r="S91" i="13" a="1"/>
  <c r="S91" i="13" s="1"/>
  <c r="V95" i="13" a="1"/>
  <c r="V95" i="13" s="1"/>
  <c r="O96" i="13" a="1"/>
  <c r="O96" i="13" s="1"/>
  <c r="H97" i="13" a="1"/>
  <c r="H97" i="13" s="1"/>
  <c r="S90" i="13" a="1"/>
  <c r="S90" i="13" s="1"/>
  <c r="G90" i="13" a="1"/>
  <c r="G90" i="13" s="1"/>
  <c r="W90" i="13" a="1"/>
  <c r="W90" i="13" s="1"/>
  <c r="N93" i="13" a="1"/>
  <c r="N93" i="13" s="1"/>
  <c r="G94" i="13" a="1"/>
  <c r="G94" i="13" s="1"/>
  <c r="G95" i="13" a="1"/>
  <c r="G95" i="13" s="1"/>
  <c r="V96" i="13" a="1"/>
  <c r="V96" i="13" s="1"/>
  <c r="O97" i="13" a="1"/>
  <c r="O97" i="13" s="1"/>
  <c r="H90" i="13" a="1"/>
  <c r="H90" i="13" s="1"/>
  <c r="X90" i="13" a="1"/>
  <c r="X90" i="13" s="1"/>
  <c r="W96" i="13" a="1"/>
  <c r="W96" i="13" s="1"/>
  <c r="P97" i="13" a="1"/>
  <c r="P97" i="13" s="1"/>
  <c r="J90" i="13" a="1"/>
  <c r="J90" i="13" s="1"/>
  <c r="S93" i="13" a="1"/>
  <c r="S93" i="13" s="1"/>
  <c r="O94" i="13" a="1"/>
  <c r="O94" i="13" s="1"/>
  <c r="M95" i="13" a="1"/>
  <c r="M95" i="13" s="1"/>
  <c r="E96" i="13" a="1"/>
  <c r="E96" i="13" s="1"/>
  <c r="K90" i="13" a="1"/>
  <c r="K90" i="13" s="1"/>
  <c r="T92" i="13" a="1"/>
  <c r="T92" i="13" s="1"/>
  <c r="T91" i="13" a="1"/>
  <c r="T91" i="13" s="1"/>
  <c r="U92" i="13" a="1"/>
  <c r="U92" i="13" s="1"/>
  <c r="L90" i="13" a="1"/>
  <c r="L90" i="13" s="1"/>
  <c r="T90" i="13" a="1"/>
  <c r="T90" i="13" s="1"/>
  <c r="E91" i="13" a="1"/>
  <c r="E91" i="13" s="1"/>
  <c r="M91" i="13" a="1"/>
  <c r="M91" i="13" s="1"/>
  <c r="U91" i="13" a="1"/>
  <c r="U91" i="13" s="1"/>
  <c r="F92" i="13" a="1"/>
  <c r="F92" i="13" s="1"/>
  <c r="N92" i="13" a="1"/>
  <c r="N92" i="13" s="1"/>
  <c r="V92" i="13" a="1"/>
  <c r="V92" i="13" s="1"/>
  <c r="G93" i="13" a="1"/>
  <c r="G93" i="13" s="1"/>
  <c r="O93" i="13" a="1"/>
  <c r="O93" i="13" s="1"/>
  <c r="W93" i="13" a="1"/>
  <c r="W93" i="13" s="1"/>
  <c r="H94" i="13" a="1"/>
  <c r="H94" i="13" s="1"/>
  <c r="P94" i="13" a="1"/>
  <c r="P94" i="13" s="1"/>
  <c r="X94" i="13" a="1"/>
  <c r="X94" i="13" s="1"/>
  <c r="I95" i="13" a="1"/>
  <c r="I95" i="13" s="1"/>
  <c r="Q95" i="13" a="1"/>
  <c r="Q95" i="13" s="1"/>
  <c r="X95" i="13" a="1"/>
  <c r="X95" i="13" s="1"/>
  <c r="H96" i="13" a="1"/>
  <c r="H96" i="13" s="1"/>
  <c r="P96" i="13" a="1"/>
  <c r="P96" i="13" s="1"/>
  <c r="X96" i="13" a="1"/>
  <c r="X96" i="13" s="1"/>
  <c r="I97" i="13" a="1"/>
  <c r="I97" i="13" s="1"/>
  <c r="R97" i="13" a="1"/>
  <c r="R97" i="13" s="1"/>
  <c r="M92" i="13" a="1"/>
  <c r="M92" i="13" s="1"/>
  <c r="E90" i="13" a="1"/>
  <c r="E90" i="13" s="1"/>
  <c r="M90" i="13" a="1"/>
  <c r="M90" i="13" s="1"/>
  <c r="U90" i="13" a="1"/>
  <c r="U90" i="13" s="1"/>
  <c r="F91" i="13" a="1"/>
  <c r="F91" i="13" s="1"/>
  <c r="N91" i="13" a="1"/>
  <c r="N91" i="13" s="1"/>
  <c r="V91" i="13" a="1"/>
  <c r="V91" i="13" s="1"/>
  <c r="G92" i="13" a="1"/>
  <c r="G92" i="13" s="1"/>
  <c r="O92" i="13" a="1"/>
  <c r="O92" i="13" s="1"/>
  <c r="W92" i="13" a="1"/>
  <c r="W92" i="13" s="1"/>
  <c r="H93" i="13" a="1"/>
  <c r="H93" i="13" s="1"/>
  <c r="P93" i="13" a="1"/>
  <c r="P93" i="13" s="1"/>
  <c r="X93" i="13" a="1"/>
  <c r="X93" i="13" s="1"/>
  <c r="I94" i="13" a="1"/>
  <c r="I94" i="13" s="1"/>
  <c r="Q94" i="13" a="1"/>
  <c r="Q94" i="13" s="1"/>
  <c r="Y94" i="13" a="1"/>
  <c r="Y94" i="13" s="1"/>
  <c r="J95" i="13" a="1"/>
  <c r="J95" i="13" s="1"/>
  <c r="Y95" i="13" a="1"/>
  <c r="Y95" i="13" s="1"/>
  <c r="I96" i="13" a="1"/>
  <c r="I96" i="13" s="1"/>
  <c r="Q96" i="13" a="1"/>
  <c r="Q96" i="13" s="1"/>
  <c r="Y96" i="13" a="1"/>
  <c r="Y96" i="13" s="1"/>
  <c r="J97" i="13" a="1"/>
  <c r="J97" i="13" s="1"/>
  <c r="S97" i="13" a="1"/>
  <c r="S97" i="13" s="1"/>
  <c r="E92" i="13" a="1"/>
  <c r="E92" i="13" s="1"/>
  <c r="F90" i="13" a="1"/>
  <c r="F90" i="13" s="1"/>
  <c r="N90" i="13" a="1"/>
  <c r="N90" i="13" s="1"/>
  <c r="V90" i="13" a="1"/>
  <c r="V90" i="13" s="1"/>
  <c r="G91" i="13" a="1"/>
  <c r="G91" i="13" s="1"/>
  <c r="O91" i="13" a="1"/>
  <c r="O91" i="13" s="1"/>
  <c r="W91" i="13" a="1"/>
  <c r="W91" i="13" s="1"/>
  <c r="H92" i="13" a="1"/>
  <c r="H92" i="13" s="1"/>
  <c r="P92" i="13" a="1"/>
  <c r="P92" i="13" s="1"/>
  <c r="X92" i="13" a="1"/>
  <c r="X92" i="13" s="1"/>
  <c r="I93" i="13" a="1"/>
  <c r="I93" i="13" s="1"/>
  <c r="Q93" i="13" a="1"/>
  <c r="Q93" i="13" s="1"/>
  <c r="Y93" i="13" a="1"/>
  <c r="Y93" i="13" s="1"/>
  <c r="J94" i="13" a="1"/>
  <c r="J94" i="13" s="1"/>
  <c r="R94" i="13" a="1"/>
  <c r="R94" i="13" s="1"/>
  <c r="K95" i="13" a="1"/>
  <c r="K95" i="13" s="1"/>
  <c r="R95" i="13" a="1"/>
  <c r="R95" i="13" s="1"/>
  <c r="J96" i="13" a="1"/>
  <c r="J96" i="13" s="1"/>
  <c r="R96" i="13" a="1"/>
  <c r="R96" i="13" s="1"/>
  <c r="K97" i="13" a="1"/>
  <c r="K97" i="13" s="1"/>
  <c r="V97" i="13" a="1"/>
  <c r="V97" i="13" s="1"/>
  <c r="H91" i="13" a="1"/>
  <c r="H91" i="13" s="1"/>
  <c r="P91" i="13" a="1"/>
  <c r="P91" i="13" s="1"/>
  <c r="X91" i="13" a="1"/>
  <c r="X91" i="13" s="1"/>
  <c r="I92" i="13" a="1"/>
  <c r="I92" i="13" s="1"/>
  <c r="Q92" i="13" a="1"/>
  <c r="Q92" i="13" s="1"/>
  <c r="Y92" i="13" a="1"/>
  <c r="Y92" i="13" s="1"/>
  <c r="K94" i="13" a="1"/>
  <c r="K94" i="13" s="1"/>
  <c r="S94" i="13" a="1"/>
  <c r="S94" i="13" s="1"/>
  <c r="L95" i="13" a="1"/>
  <c r="L95" i="13" s="1"/>
  <c r="S95" i="13" a="1"/>
  <c r="S95" i="13" s="1"/>
  <c r="K96" i="13" a="1"/>
  <c r="K96" i="13" s="1"/>
  <c r="S96" i="13" a="1"/>
  <c r="S96" i="13" s="1"/>
  <c r="L97" i="13" a="1"/>
  <c r="L97" i="13" s="1"/>
  <c r="W97" i="13" a="1"/>
  <c r="W97" i="13" s="1"/>
  <c r="L92" i="13" a="1"/>
  <c r="L92" i="13" s="1"/>
  <c r="Y91" i="13" a="1"/>
  <c r="Y91" i="13" s="1"/>
  <c r="R92" i="13" a="1"/>
  <c r="R92" i="13" s="1"/>
  <c r="T94" i="13" a="1"/>
  <c r="T94" i="13" s="1"/>
  <c r="I91" i="13" a="1"/>
  <c r="I91" i="13" s="1"/>
  <c r="Q91" i="13" a="1"/>
  <c r="Q91" i="13" s="1"/>
  <c r="J92" i="13" a="1"/>
  <c r="J92" i="13" s="1"/>
  <c r="L94" i="13" a="1"/>
  <c r="L94" i="13" s="1"/>
  <c r="I90" i="13" a="1"/>
  <c r="I90" i="13" s="1"/>
  <c r="Q90" i="13" a="1"/>
  <c r="Q90" i="13" s="1"/>
  <c r="J91" i="13" a="1"/>
  <c r="J91" i="13" s="1"/>
  <c r="K92" i="13" a="1"/>
  <c r="K92" i="13" s="1"/>
  <c r="L93" i="13" a="1"/>
  <c r="L93" i="13" s="1"/>
  <c r="E94" i="13" a="1"/>
  <c r="E94" i="13" s="1"/>
  <c r="M94" i="13" a="1"/>
  <c r="M94" i="13" s="1"/>
  <c r="F95" i="13" a="1"/>
  <c r="F95" i="13" s="1"/>
  <c r="N95" i="13" a="1"/>
  <c r="N95" i="13" s="1"/>
  <c r="F96" i="13" a="1"/>
  <c r="F96" i="13" s="1"/>
  <c r="M96" i="13" a="1"/>
  <c r="M96" i="13" s="1"/>
  <c r="F97" i="13" a="1"/>
  <c r="F97" i="13" s="1"/>
  <c r="N97" i="13" a="1"/>
  <c r="N97" i="13" s="1"/>
  <c r="V89" i="13" a="1"/>
  <c r="V89" i="13" s="1"/>
  <c r="T97" i="13" a="1"/>
  <c r="T97" i="13" s="1"/>
  <c r="X97" i="13" a="1"/>
  <c r="X97" i="13" s="1"/>
  <c r="Q97" i="13" a="1"/>
  <c r="Q97" i="13" s="1"/>
  <c r="U97" i="13" a="1"/>
  <c r="U97" i="13" s="1"/>
  <c r="L64" i="12"/>
  <c r="L65" i="12"/>
  <c r="L63" i="12"/>
  <c r="K58" i="12"/>
  <c r="K59" i="12" s="1"/>
  <c r="L125" i="12"/>
  <c r="J58" i="12"/>
  <c r="J59" i="12" s="1"/>
  <c r="D27" i="12"/>
  <c r="E32" i="12"/>
  <c r="K60" i="12"/>
  <c r="K61" i="12" s="1"/>
  <c r="J61" i="12"/>
  <c r="Q71" i="12"/>
  <c r="Q94" i="12"/>
  <c r="Q79" i="12"/>
  <c r="C27" i="12"/>
  <c r="L57" i="12"/>
  <c r="P94" i="12"/>
  <c r="P71" i="12"/>
  <c r="O36" i="11"/>
  <c r="N36" i="11"/>
  <c r="Q36" i="11"/>
  <c r="U36" i="11"/>
  <c r="M36" i="11"/>
  <c r="T36" i="11"/>
  <c r="L36" i="11"/>
  <c r="P36" i="11"/>
  <c r="S36" i="11"/>
  <c r="K36" i="11"/>
  <c r="R36" i="11"/>
  <c r="L31" i="11"/>
  <c r="L35" i="11" s="1"/>
  <c r="J31" i="11"/>
  <c r="J33" i="11" s="1"/>
  <c r="U31" i="11"/>
  <c r="U33" i="11" s="1"/>
  <c r="T31" i="11"/>
  <c r="T35" i="11" s="1"/>
  <c r="M31" i="11"/>
  <c r="M34" i="11" s="1"/>
  <c r="N34" i="11"/>
  <c r="N33" i="11"/>
  <c r="N35" i="11"/>
  <c r="U54" i="11"/>
  <c r="L47" i="11"/>
  <c r="K54" i="11"/>
  <c r="R31" i="11"/>
  <c r="R33" i="11" s="1"/>
  <c r="O32" i="11"/>
  <c r="S31" i="11"/>
  <c r="S33" i="11" s="1"/>
  <c r="Q31" i="11"/>
  <c r="N32" i="11"/>
  <c r="R32" i="11"/>
  <c r="K31" i="11"/>
  <c r="T47" i="11"/>
  <c r="P31" i="11"/>
  <c r="S54" i="11"/>
  <c r="U34" i="11"/>
  <c r="O33" i="11"/>
  <c r="O35" i="11"/>
  <c r="Q47" i="11"/>
  <c r="P47" i="11"/>
  <c r="U47" i="11"/>
  <c r="M47" i="11"/>
  <c r="O53" i="11"/>
  <c r="M53" i="11"/>
  <c r="M54" i="11" s="1"/>
  <c r="P53" i="11"/>
  <c r="P54" i="11" s="1"/>
  <c r="K46" i="11"/>
  <c r="K47" i="11" s="1"/>
  <c r="R46" i="11"/>
  <c r="R47" i="11" s="1"/>
  <c r="Q53" i="11"/>
  <c r="Q54" i="11" s="1"/>
  <c r="S46" i="11"/>
  <c r="S47" i="11" s="1"/>
  <c r="T53" i="11"/>
  <c r="T54" i="11" s="1"/>
  <c r="L53" i="11"/>
  <c r="L54" i="11" s="1"/>
  <c r="N46" i="11"/>
  <c r="R53" i="11"/>
  <c r="R54" i="11" s="1"/>
  <c r="V6" i="11"/>
  <c r="K28" i="11"/>
  <c r="L28" i="11"/>
  <c r="M28" i="11"/>
  <c r="N28" i="11"/>
  <c r="O28" i="11"/>
  <c r="P28" i="11"/>
  <c r="Q28" i="11"/>
  <c r="R28" i="11"/>
  <c r="S28" i="11"/>
  <c r="T28" i="11"/>
  <c r="U28" i="11"/>
  <c r="J28" i="11"/>
  <c r="K55" i="11"/>
  <c r="K92" i="11" s="1"/>
  <c r="L55" i="11"/>
  <c r="L92" i="11" s="1"/>
  <c r="M55" i="11"/>
  <c r="M92" i="11" s="1"/>
  <c r="N55" i="11"/>
  <c r="N92" i="11" s="1"/>
  <c r="O55" i="11"/>
  <c r="O41" i="11" s="1"/>
  <c r="P55" i="11"/>
  <c r="P41" i="11" s="1"/>
  <c r="Q55" i="11"/>
  <c r="Q92" i="11" s="1"/>
  <c r="R55" i="11"/>
  <c r="R102" i="11" s="1"/>
  <c r="S55" i="11"/>
  <c r="S92" i="11" s="1"/>
  <c r="T55" i="11"/>
  <c r="T102" i="11" s="1"/>
  <c r="U55" i="11"/>
  <c r="U92" i="11" s="1"/>
  <c r="J55" i="11"/>
  <c r="J102" i="11" s="1"/>
  <c r="AF50" i="11" s="1"/>
  <c r="J12" i="11"/>
  <c r="J42" i="11"/>
  <c r="J43" i="11" s="1"/>
  <c r="C17" i="11"/>
  <c r="D17" i="11"/>
  <c r="E25" i="11"/>
  <c r="AC73" i="11"/>
  <c r="AC72" i="11"/>
  <c r="AC71" i="11"/>
  <c r="AC70" i="11"/>
  <c r="AC69" i="11"/>
  <c r="AC68" i="11"/>
  <c r="AD65" i="11"/>
  <c r="AC65" i="11"/>
  <c r="AD64" i="11"/>
  <c r="AC64" i="11"/>
  <c r="AD63" i="11"/>
  <c r="AC63" i="11"/>
  <c r="AD62" i="11"/>
  <c r="AC62" i="11"/>
  <c r="AD61" i="11"/>
  <c r="AC61" i="11"/>
  <c r="AD60" i="11"/>
  <c r="AC60" i="11"/>
  <c r="AD58" i="11"/>
  <c r="AC58" i="11"/>
  <c r="AD57" i="11"/>
  <c r="AC57" i="11"/>
  <c r="AD56" i="11"/>
  <c r="AC56" i="11"/>
  <c r="AD55" i="11"/>
  <c r="AC55" i="11"/>
  <c r="AD53" i="11"/>
  <c r="AC53" i="11"/>
  <c r="AD52" i="11"/>
  <c r="AC52" i="11"/>
  <c r="AD51" i="11"/>
  <c r="AC51" i="11"/>
  <c r="AG50" i="11"/>
  <c r="BA4" i="11"/>
  <c r="BA3" i="11"/>
  <c r="BA2" i="11"/>
  <c r="W1" i="11"/>
  <c r="I63" i="13" l="1" a="1"/>
  <c r="I63" i="13" s="1"/>
  <c r="O68" i="13" a="1"/>
  <c r="O68" i="13" s="1"/>
  <c r="L68" i="13" a="1"/>
  <c r="L68" i="13" s="1"/>
  <c r="N64" i="13" a="1"/>
  <c r="N64" i="13" s="1"/>
  <c r="O65" i="13" a="1"/>
  <c r="O65" i="13" s="1"/>
  <c r="K67" i="13" a="1"/>
  <c r="K67" i="13" s="1"/>
  <c r="N66" i="13" a="1"/>
  <c r="N66" i="13" s="1"/>
  <c r="T88" i="13" a="1"/>
  <c r="T88" i="13" s="1"/>
  <c r="W68" i="13" a="1"/>
  <c r="W68" i="13" s="1"/>
  <c r="E68" i="13" a="1"/>
  <c r="E68" i="13" s="1"/>
  <c r="R89" i="13" a="1"/>
  <c r="R89" i="13" s="1"/>
  <c r="P66" i="13" a="1"/>
  <c r="P66" i="13" s="1"/>
  <c r="P88" i="13" a="1"/>
  <c r="P88" i="13" s="1"/>
  <c r="T64" i="13" a="1"/>
  <c r="T64" i="13" s="1"/>
  <c r="E64" i="13" a="1"/>
  <c r="E64" i="13" s="1"/>
  <c r="E67" i="13" a="1"/>
  <c r="E67" i="13" s="1"/>
  <c r="L89" i="13" a="1"/>
  <c r="L89" i="13" s="1"/>
  <c r="N88" i="13" a="1"/>
  <c r="N88" i="13" s="1"/>
  <c r="L88" i="13" a="1"/>
  <c r="L88" i="13" s="1"/>
  <c r="J89" i="13" a="1"/>
  <c r="J89" i="13" s="1"/>
  <c r="H88" i="13" a="1"/>
  <c r="H88" i="13" s="1"/>
  <c r="W66" i="13" a="1"/>
  <c r="W66" i="13" s="1"/>
  <c r="M68" i="13" a="1"/>
  <c r="M68" i="13" s="1"/>
  <c r="J66" i="13" a="1"/>
  <c r="J66" i="13" s="1"/>
  <c r="T63" i="13" a="1"/>
  <c r="T63" i="13" s="1"/>
  <c r="G67" i="13" a="1"/>
  <c r="G67" i="13" s="1"/>
  <c r="P68" i="13" a="1"/>
  <c r="P68" i="13" s="1"/>
  <c r="L66" i="13" a="1"/>
  <c r="L66" i="13" s="1"/>
  <c r="P64" i="13" a="1"/>
  <c r="P64" i="13" s="1"/>
  <c r="E89" i="13" a="1"/>
  <c r="E89" i="13" s="1"/>
  <c r="V68" i="13" a="1"/>
  <c r="V68" i="13" s="1"/>
  <c r="U64" i="13" a="1"/>
  <c r="U64" i="13" s="1"/>
  <c r="W65" i="13" a="1"/>
  <c r="W65" i="13" s="1"/>
  <c r="S65" i="13" a="1"/>
  <c r="S65" i="13" s="1"/>
  <c r="Q63" i="13" a="1"/>
  <c r="Q63" i="13" s="1"/>
  <c r="U63" i="13" a="1"/>
  <c r="U63" i="13" s="1"/>
  <c r="P89" i="13" a="1"/>
  <c r="P89" i="13" s="1"/>
  <c r="N89" i="13" a="1"/>
  <c r="N89" i="13" s="1"/>
  <c r="S88" i="13" a="1"/>
  <c r="S88" i="13" s="1"/>
  <c r="Y88" i="13" a="1"/>
  <c r="Y88" i="13" s="1"/>
  <c r="H89" i="13" a="1"/>
  <c r="H89" i="13" s="1"/>
  <c r="S66" i="13" a="1"/>
  <c r="S66" i="13" s="1"/>
  <c r="G68" i="13" a="1"/>
  <c r="G68" i="13" s="1"/>
  <c r="F66" i="13" a="1"/>
  <c r="F66" i="13" s="1"/>
  <c r="P63" i="13" a="1"/>
  <c r="P63" i="13" s="1"/>
  <c r="Q66" i="13" a="1"/>
  <c r="Q66" i="13" s="1"/>
  <c r="J68" i="13" a="1"/>
  <c r="J68" i="13" s="1"/>
  <c r="V65" i="13" a="1"/>
  <c r="V65" i="13" s="1"/>
  <c r="H64" i="13" a="1"/>
  <c r="H64" i="13" s="1"/>
  <c r="F89" i="13" a="1"/>
  <c r="F89" i="13" s="1"/>
  <c r="F68" i="13" a="1"/>
  <c r="F68" i="13" s="1"/>
  <c r="Y63" i="13" a="1"/>
  <c r="Y63" i="13" s="1"/>
  <c r="I65" i="13" a="1"/>
  <c r="I65" i="13" s="1"/>
  <c r="R68" i="13" a="1"/>
  <c r="R68" i="13" s="1"/>
  <c r="E65" i="13" a="1"/>
  <c r="E65" i="13" s="1"/>
  <c r="E63" i="13" a="1"/>
  <c r="E63" i="13" s="1"/>
  <c r="Y64" i="13" a="1"/>
  <c r="Y64" i="13" s="1"/>
  <c r="U88" i="13" a="1"/>
  <c r="U88" i="13" s="1"/>
  <c r="O66" i="13" a="1"/>
  <c r="O66" i="13" s="1"/>
  <c r="T67" i="13" a="1"/>
  <c r="T67" i="13" s="1"/>
  <c r="T65" i="13" a="1"/>
  <c r="T65" i="13" s="1"/>
  <c r="H63" i="13" a="1"/>
  <c r="H63" i="13" s="1"/>
  <c r="M66" i="13" a="1"/>
  <c r="M66" i="13" s="1"/>
  <c r="V67" i="13" a="1"/>
  <c r="V67" i="13" s="1"/>
  <c r="R65" i="13" a="1"/>
  <c r="R65" i="13" s="1"/>
  <c r="V63" i="13" a="1"/>
  <c r="V63" i="13" s="1"/>
  <c r="W89" i="13" a="1"/>
  <c r="W89" i="13" s="1"/>
  <c r="K65" i="13" a="1"/>
  <c r="K65" i="13" s="1"/>
  <c r="S63" i="13" a="1"/>
  <c r="S63" i="13" s="1"/>
  <c r="M63" i="13" a="1"/>
  <c r="M63" i="13" s="1"/>
  <c r="T68" i="13" a="1"/>
  <c r="T68" i="13" s="1"/>
  <c r="Q64" i="13" a="1"/>
  <c r="Q64" i="13" s="1"/>
  <c r="V64" i="13" a="1"/>
  <c r="V64" i="13" s="1"/>
  <c r="O64" i="13" a="1"/>
  <c r="O64" i="13" s="1"/>
  <c r="X68" i="13" a="1"/>
  <c r="X68" i="13" s="1"/>
  <c r="I68" i="13" a="1"/>
  <c r="I68" i="13" s="1"/>
  <c r="M88" i="13" a="1"/>
  <c r="M88" i="13" s="1"/>
  <c r="S89" i="13" a="1"/>
  <c r="S89" i="13" s="1"/>
  <c r="I88" i="13" a="1"/>
  <c r="I88" i="13" s="1"/>
  <c r="U67" i="13" a="1"/>
  <c r="U67" i="13" s="1"/>
  <c r="K66" i="13" a="1"/>
  <c r="K66" i="13" s="1"/>
  <c r="P67" i="13" a="1"/>
  <c r="P67" i="13" s="1"/>
  <c r="P65" i="13" a="1"/>
  <c r="P65" i="13" s="1"/>
  <c r="W88" i="13" a="1"/>
  <c r="W88" i="13" s="1"/>
  <c r="I66" i="13" a="1"/>
  <c r="I66" i="13" s="1"/>
  <c r="R67" i="13" a="1"/>
  <c r="R67" i="13" s="1"/>
  <c r="N65" i="13" a="1"/>
  <c r="N65" i="13" s="1"/>
  <c r="R63" i="13" a="1"/>
  <c r="R63" i="13" s="1"/>
  <c r="L64" i="13" a="1"/>
  <c r="L64" i="13" s="1"/>
  <c r="K63" i="13" a="1"/>
  <c r="K63" i="13" s="1"/>
  <c r="S68" i="13" a="1"/>
  <c r="S68" i="13" s="1"/>
  <c r="U65" i="13" a="1"/>
  <c r="U65" i="13" s="1"/>
  <c r="G63" i="13" a="1"/>
  <c r="G63" i="13" s="1"/>
  <c r="Q88" i="13" a="1"/>
  <c r="Q88" i="13" s="1"/>
  <c r="E88" i="13" a="1"/>
  <c r="E88" i="13" s="1"/>
  <c r="K89" i="13" a="1"/>
  <c r="K89" i="13" s="1"/>
  <c r="Y89" i="13" a="1"/>
  <c r="Y89" i="13" s="1"/>
  <c r="Q67" i="13" a="1"/>
  <c r="Q67" i="13" s="1"/>
  <c r="G66" i="13" a="1"/>
  <c r="G66" i="13" s="1"/>
  <c r="L67" i="13" a="1"/>
  <c r="L67" i="13" s="1"/>
  <c r="L65" i="13" a="1"/>
  <c r="L65" i="13" s="1"/>
  <c r="W67" i="13" a="1"/>
  <c r="W67" i="13" s="1"/>
  <c r="G88" i="13" a="1"/>
  <c r="G88" i="13" s="1"/>
  <c r="N67" i="13" a="1"/>
  <c r="N67" i="13" s="1"/>
  <c r="J65" i="13" a="1"/>
  <c r="J65" i="13" s="1"/>
  <c r="N63" i="13" a="1"/>
  <c r="N63" i="13" s="1"/>
  <c r="G65" i="13" a="1"/>
  <c r="G65" i="13" s="1"/>
  <c r="S64" i="13" a="1"/>
  <c r="S64" i="13" s="1"/>
  <c r="Q65" i="13" a="1"/>
  <c r="Q65" i="13" s="1"/>
  <c r="Y67" i="13" a="1"/>
  <c r="Y67" i="13" s="1"/>
  <c r="U89" i="13" a="1"/>
  <c r="U89" i="13" s="1"/>
  <c r="R88" i="13" a="1"/>
  <c r="R88" i="13" s="1"/>
  <c r="Q89" i="13" a="1"/>
  <c r="Q89" i="13" s="1"/>
  <c r="M67" i="13" a="1"/>
  <c r="M67" i="13" s="1"/>
  <c r="N68" i="13" a="1"/>
  <c r="N68" i="13" s="1"/>
  <c r="H67" i="13" a="1"/>
  <c r="H67" i="13" s="1"/>
  <c r="H65" i="13" a="1"/>
  <c r="H65" i="13" s="1"/>
  <c r="S67" i="13" a="1"/>
  <c r="S67" i="13" s="1"/>
  <c r="K68" i="13" a="1"/>
  <c r="K68" i="13" s="1"/>
  <c r="J67" i="13" a="1"/>
  <c r="J67" i="13" s="1"/>
  <c r="F65" i="13" a="1"/>
  <c r="F65" i="13" s="1"/>
  <c r="J63" i="13" a="1"/>
  <c r="J63" i="13" s="1"/>
  <c r="I64" i="13" a="1"/>
  <c r="I64" i="13" s="1"/>
  <c r="G64" i="13" a="1"/>
  <c r="G64" i="13" s="1"/>
  <c r="K88" i="13" a="1"/>
  <c r="K88" i="13" s="1"/>
  <c r="M89" i="13" a="1"/>
  <c r="M89" i="13" s="1"/>
  <c r="J88" i="13" a="1"/>
  <c r="J88" i="13" s="1"/>
  <c r="X88" i="13" a="1"/>
  <c r="X88" i="13" s="1"/>
  <c r="I67" i="13" a="1"/>
  <c r="I67" i="13" s="1"/>
  <c r="L63" i="13" a="1"/>
  <c r="L63" i="13" s="1"/>
  <c r="R66" i="13" a="1"/>
  <c r="R66" i="13" s="1"/>
  <c r="R64" i="13" a="1"/>
  <c r="R64" i="13" s="1"/>
  <c r="O67" i="13" a="1"/>
  <c r="O67" i="13" s="1"/>
  <c r="F63" i="13" a="1"/>
  <c r="F63" i="13" s="1"/>
  <c r="T66" i="13" a="1"/>
  <c r="T66" i="13" s="1"/>
  <c r="X64" i="13" a="1"/>
  <c r="X64" i="13" s="1"/>
  <c r="I89" i="13" a="1"/>
  <c r="I89" i="13" s="1"/>
  <c r="U68" i="13" a="1"/>
  <c r="U68" i="13" s="1"/>
  <c r="W63" i="13" a="1"/>
  <c r="W63" i="13" s="1"/>
  <c r="Y65" i="13" a="1"/>
  <c r="Y65" i="13" s="1"/>
  <c r="R75" i="13" a="1"/>
  <c r="R75" i="13" s="1"/>
  <c r="H66" i="13" a="1"/>
  <c r="H66" i="13" s="1"/>
  <c r="T89" i="13" a="1"/>
  <c r="T89" i="13" s="1"/>
  <c r="O79" i="13" a="1"/>
  <c r="O79" i="13" s="1"/>
  <c r="V66" i="13" a="1"/>
  <c r="V66" i="13" s="1"/>
  <c r="E66" i="13" a="1"/>
  <c r="E66" i="13" s="1"/>
  <c r="Y66" i="13" a="1"/>
  <c r="Y66" i="13" s="1"/>
  <c r="X89" i="13" a="1"/>
  <c r="X89" i="13" s="1"/>
  <c r="F67" i="13" a="1"/>
  <c r="F67" i="13" s="1"/>
  <c r="U83" i="13" a="1"/>
  <c r="U83" i="13" s="1"/>
  <c r="N84" i="13" a="1"/>
  <c r="N84" i="13" s="1"/>
  <c r="E83" i="13" a="1"/>
  <c r="E83" i="13" s="1"/>
  <c r="O88" i="13" a="1"/>
  <c r="O88" i="13" s="1"/>
  <c r="U66" i="13" a="1"/>
  <c r="U66" i="13" s="1"/>
  <c r="X66" i="13" a="1"/>
  <c r="X66" i="13" s="1"/>
  <c r="F88" i="13" a="1"/>
  <c r="F88" i="13" s="1"/>
  <c r="H84" i="13" a="1"/>
  <c r="H84" i="13" s="1"/>
  <c r="P75" i="13" a="1"/>
  <c r="P75" i="13" s="1"/>
  <c r="G89" i="13" a="1"/>
  <c r="G89" i="13" s="1"/>
  <c r="O89" i="13" a="1"/>
  <c r="O89" i="13" s="1"/>
  <c r="V88" i="13" a="1"/>
  <c r="V88" i="13" s="1"/>
  <c r="X67" i="13" a="1"/>
  <c r="X67" i="13" s="1"/>
  <c r="U84" i="13" a="1"/>
  <c r="U84" i="13" s="1"/>
  <c r="O80" i="13" a="1"/>
  <c r="O80" i="13" s="1"/>
  <c r="S77" i="13" a="1"/>
  <c r="S77" i="13" s="1"/>
  <c r="O83" i="13" a="1"/>
  <c r="O83" i="13" s="1"/>
  <c r="M79" i="13" a="1"/>
  <c r="M79" i="13" s="1"/>
  <c r="T71" i="13" a="1"/>
  <c r="T71" i="13" s="1"/>
  <c r="E75" i="13" a="1"/>
  <c r="E75" i="13" s="1"/>
  <c r="Q82" i="13" a="1"/>
  <c r="Q82" i="13" s="1"/>
  <c r="E76" i="13" a="1"/>
  <c r="E76" i="13" s="1"/>
  <c r="T82" i="13" a="1"/>
  <c r="T82" i="13" s="1"/>
  <c r="T77" i="13" a="1"/>
  <c r="T77" i="13" s="1"/>
  <c r="I75" i="13" a="1"/>
  <c r="I75" i="13" s="1"/>
  <c r="F83" i="13" a="1"/>
  <c r="F83" i="13" s="1"/>
  <c r="I74" i="13" a="1"/>
  <c r="I74" i="13" s="1"/>
  <c r="F81" i="13" a="1"/>
  <c r="F81" i="13" s="1"/>
  <c r="X73" i="13" a="1"/>
  <c r="X73" i="13" s="1"/>
  <c r="N71" i="13" a="1"/>
  <c r="N71" i="13" s="1"/>
  <c r="X82" i="13" a="1"/>
  <c r="X82" i="13" s="1"/>
  <c r="M72" i="13" a="1"/>
  <c r="M72" i="13" s="1"/>
  <c r="P82" i="13" a="1"/>
  <c r="P82" i="13" s="1"/>
  <c r="J75" i="13" a="1"/>
  <c r="J75" i="13" s="1"/>
  <c r="Y70" i="13" a="1"/>
  <c r="Y70" i="13" s="1"/>
  <c r="P77" i="13" a="1"/>
  <c r="P77" i="13" s="1"/>
  <c r="X69" i="13" a="1"/>
  <c r="X69" i="13" s="1"/>
  <c r="O78" i="13" a="1"/>
  <c r="O78" i="13" s="1"/>
  <c r="M70" i="13" a="1"/>
  <c r="M70" i="13" s="1"/>
  <c r="R73" i="13" a="1"/>
  <c r="R73" i="13" s="1"/>
  <c r="Y77" i="13" a="1"/>
  <c r="Y77" i="13" s="1"/>
  <c r="T73" i="13" a="1"/>
  <c r="T73" i="13" s="1"/>
  <c r="R69" i="13" a="1"/>
  <c r="R69" i="13" s="1"/>
  <c r="I81" i="13" a="1"/>
  <c r="I81" i="13" s="1"/>
  <c r="K74" i="13" a="1"/>
  <c r="K74" i="13" s="1"/>
  <c r="F74" i="13" a="1"/>
  <c r="F74" i="13" s="1"/>
  <c r="I70" i="13" a="1"/>
  <c r="I70" i="13" s="1"/>
  <c r="T81" i="13" a="1"/>
  <c r="T81" i="13" s="1"/>
  <c r="Q83" i="13" a="1"/>
  <c r="Q83" i="13" s="1"/>
  <c r="N70" i="13" a="1"/>
  <c r="N70" i="13" s="1"/>
  <c r="L79" i="13" a="1"/>
  <c r="L79" i="13" s="1"/>
  <c r="P70" i="13" a="1"/>
  <c r="P70" i="13" s="1"/>
  <c r="L84" i="13" a="1"/>
  <c r="L84" i="13" s="1"/>
  <c r="N82" i="13" a="1"/>
  <c r="N82" i="13" s="1"/>
  <c r="E74" i="13" a="1"/>
  <c r="E74" i="13" s="1"/>
  <c r="M82" i="13" a="1"/>
  <c r="M82" i="13" s="1"/>
  <c r="X72" i="13" a="1"/>
  <c r="X72" i="13" s="1"/>
  <c r="K69" i="13" a="1"/>
  <c r="K69" i="13" s="1"/>
  <c r="N79" i="13" a="1"/>
  <c r="N79" i="13" s="1"/>
  <c r="R74" i="13" a="1"/>
  <c r="R74" i="13" s="1"/>
  <c r="G70" i="13" a="1"/>
  <c r="G70" i="13" s="1"/>
  <c r="L82" i="13" a="1"/>
  <c r="L82" i="13" s="1"/>
  <c r="L77" i="13" a="1"/>
  <c r="L77" i="13" s="1"/>
  <c r="P73" i="13" a="1"/>
  <c r="P73" i="13" s="1"/>
  <c r="S70" i="13" a="1"/>
  <c r="S70" i="13" s="1"/>
  <c r="E79" i="13" a="1"/>
  <c r="E79" i="13" s="1"/>
  <c r="V73" i="13" a="1"/>
  <c r="V73" i="13" s="1"/>
  <c r="H71" i="13" a="1"/>
  <c r="H71" i="13" s="1"/>
  <c r="W79" i="13" a="1"/>
  <c r="W79" i="13" s="1"/>
  <c r="H75" i="13" a="1"/>
  <c r="H75" i="13" s="1"/>
  <c r="G71" i="13" a="1"/>
  <c r="G71" i="13" s="1"/>
  <c r="Q77" i="13" a="1"/>
  <c r="Q77" i="13" s="1"/>
  <c r="U73" i="13" a="1"/>
  <c r="U73" i="13" s="1"/>
  <c r="J70" i="13" a="1"/>
  <c r="J70" i="13" s="1"/>
  <c r="L81" i="13" a="1"/>
  <c r="L81" i="13" s="1"/>
  <c r="H77" i="13" a="1"/>
  <c r="H77" i="13" s="1"/>
  <c r="L73" i="13" a="1"/>
  <c r="L73" i="13" s="1"/>
  <c r="S69" i="13" a="1"/>
  <c r="S69" i="13" s="1"/>
  <c r="L83" i="13" a="1"/>
  <c r="L83" i="13" s="1"/>
  <c r="G83" i="13" a="1"/>
  <c r="G83" i="13" s="1"/>
  <c r="A62" i="13" a="1"/>
  <c r="A62" i="13" s="1"/>
  <c r="I79" i="13" a="1"/>
  <c r="I79" i="13" s="1"/>
  <c r="F76" i="13" a="1"/>
  <c r="F76" i="13" s="1"/>
  <c r="H70" i="13" a="1"/>
  <c r="H70" i="13" s="1"/>
  <c r="R84" i="13" a="1"/>
  <c r="R84" i="13" s="1"/>
  <c r="J80" i="13" a="1"/>
  <c r="J80" i="13" s="1"/>
  <c r="O77" i="13" a="1"/>
  <c r="O77" i="13" s="1"/>
  <c r="Y81" i="13" a="1"/>
  <c r="Y81" i="13" s="1"/>
  <c r="V84" i="13" a="1"/>
  <c r="V84" i="13" s="1"/>
  <c r="P84" i="13" a="1"/>
  <c r="P84" i="13" s="1"/>
  <c r="M83" i="13" a="1"/>
  <c r="M83" i="13" s="1"/>
  <c r="O82" i="13" a="1"/>
  <c r="O82" i="13" s="1"/>
  <c r="H82" i="13" a="1"/>
  <c r="H82" i="13" s="1"/>
  <c r="G79" i="13" a="1"/>
  <c r="G79" i="13" s="1"/>
  <c r="K77" i="13" a="1"/>
  <c r="K77" i="13" s="1"/>
  <c r="O75" i="13" a="1"/>
  <c r="O75" i="13" s="1"/>
  <c r="S73" i="13" a="1"/>
  <c r="S73" i="13" s="1"/>
  <c r="G82" i="13" a="1"/>
  <c r="G82" i="13" s="1"/>
  <c r="H81" i="13" a="1"/>
  <c r="H81" i="13" s="1"/>
  <c r="T76" i="13" a="1"/>
  <c r="T76" i="13" s="1"/>
  <c r="P72" i="13" a="1"/>
  <c r="P72" i="13" s="1"/>
  <c r="E69" i="13" a="1"/>
  <c r="E69" i="13" s="1"/>
  <c r="F79" i="13" a="1"/>
  <c r="F79" i="13" s="1"/>
  <c r="J74" i="13" a="1"/>
  <c r="J74" i="13" s="1"/>
  <c r="W69" i="13" a="1"/>
  <c r="W69" i="13" s="1"/>
  <c r="U81" i="13" a="1"/>
  <c r="U81" i="13" s="1"/>
  <c r="W77" i="13" a="1"/>
  <c r="W77" i="13" s="1"/>
  <c r="H73" i="13" a="1"/>
  <c r="H73" i="13" s="1"/>
  <c r="L70" i="13" a="1"/>
  <c r="L70" i="13" s="1"/>
  <c r="I83" i="13" a="1"/>
  <c r="I83" i="13" s="1"/>
  <c r="R77" i="13" a="1"/>
  <c r="R77" i="13" s="1"/>
  <c r="N73" i="13" a="1"/>
  <c r="N73" i="13" s="1"/>
  <c r="X70" i="13" a="1"/>
  <c r="X70" i="13" s="1"/>
  <c r="F82" i="13" a="1"/>
  <c r="F82" i="13" s="1"/>
  <c r="S78" i="13" a="1"/>
  <c r="S78" i="13" s="1"/>
  <c r="W74" i="13" a="1"/>
  <c r="W74" i="13" s="1"/>
  <c r="Q70" i="13" a="1"/>
  <c r="Q70" i="13" s="1"/>
  <c r="S83" i="13" a="1"/>
  <c r="S83" i="13" s="1"/>
  <c r="I77" i="13" a="1"/>
  <c r="I77" i="13" s="1"/>
  <c r="M73" i="13" a="1"/>
  <c r="M73" i="13" s="1"/>
  <c r="T69" i="13" a="1"/>
  <c r="T69" i="13" s="1"/>
  <c r="X80" i="13" a="1"/>
  <c r="X80" i="13" s="1"/>
  <c r="W76" i="13" a="1"/>
  <c r="W76" i="13" s="1"/>
  <c r="W73" i="13" a="1"/>
  <c r="W73" i="13" s="1"/>
  <c r="M69" i="13" a="1"/>
  <c r="M69" i="13" s="1"/>
  <c r="Y83" i="13" a="1"/>
  <c r="Y83" i="13" s="1"/>
  <c r="N83" i="13" a="1"/>
  <c r="N83" i="13" s="1"/>
  <c r="M75" i="13" a="1"/>
  <c r="M75" i="13" s="1"/>
  <c r="W78" i="13" a="1"/>
  <c r="W78" i="13" s="1"/>
  <c r="K82" i="13" a="1"/>
  <c r="K82" i="13" s="1"/>
  <c r="U82" i="13" a="1"/>
  <c r="U82" i="13" s="1"/>
  <c r="S75" i="13" a="1"/>
  <c r="S75" i="13" s="1"/>
  <c r="G84" i="13" a="1"/>
  <c r="G84" i="13" s="1"/>
  <c r="T84" i="13" a="1"/>
  <c r="T84" i="13" s="1"/>
  <c r="W82" i="13" a="1"/>
  <c r="W82" i="13" s="1"/>
  <c r="X81" i="13" a="1"/>
  <c r="X81" i="13" s="1"/>
  <c r="W81" i="13" a="1"/>
  <c r="W81" i="13" s="1"/>
  <c r="U78" i="13" a="1"/>
  <c r="U78" i="13" s="1"/>
  <c r="G77" i="13" a="1"/>
  <c r="G77" i="13" s="1"/>
  <c r="K75" i="13" a="1"/>
  <c r="K75" i="13" s="1"/>
  <c r="O73" i="13" a="1"/>
  <c r="O73" i="13" s="1"/>
  <c r="P81" i="13" a="1"/>
  <c r="P81" i="13" s="1"/>
  <c r="S80" i="13" a="1"/>
  <c r="S80" i="13" s="1"/>
  <c r="L76" i="13" a="1"/>
  <c r="L76" i="13" s="1"/>
  <c r="H72" i="13" a="1"/>
  <c r="H72" i="13" s="1"/>
  <c r="V78" i="13" a="1"/>
  <c r="V78" i="13" s="1"/>
  <c r="Q73" i="13" a="1"/>
  <c r="Q73" i="13" s="1"/>
  <c r="Q69" i="13" a="1"/>
  <c r="Q69" i="13" s="1"/>
  <c r="Q80" i="13" a="1"/>
  <c r="Q80" i="13" s="1"/>
  <c r="S76" i="13" a="1"/>
  <c r="S76" i="13" s="1"/>
  <c r="W72" i="13" a="1"/>
  <c r="W72" i="13" s="1"/>
  <c r="F70" i="13" a="1"/>
  <c r="F70" i="13" s="1"/>
  <c r="I82" i="13" a="1"/>
  <c r="I82" i="13" s="1"/>
  <c r="J77" i="13" a="1"/>
  <c r="J77" i="13" s="1"/>
  <c r="F73" i="13" a="1"/>
  <c r="F73" i="13" s="1"/>
  <c r="R70" i="13" a="1"/>
  <c r="R70" i="13" s="1"/>
  <c r="O81" i="13" a="1"/>
  <c r="O81" i="13" s="1"/>
  <c r="K78" i="13" a="1"/>
  <c r="K78" i="13" s="1"/>
  <c r="O74" i="13" a="1"/>
  <c r="O74" i="13" s="1"/>
  <c r="K70" i="13" a="1"/>
  <c r="K70" i="13" s="1"/>
  <c r="E82" i="13" a="1"/>
  <c r="E82" i="13" s="1"/>
  <c r="V75" i="13" a="1"/>
  <c r="V75" i="13" s="1"/>
  <c r="E73" i="13" a="1"/>
  <c r="E73" i="13" s="1"/>
  <c r="G69" i="13" a="1"/>
  <c r="G69" i="13" s="1"/>
  <c r="L80" i="13" a="1"/>
  <c r="L80" i="13" s="1"/>
  <c r="O76" i="13" a="1"/>
  <c r="O76" i="13" s="1"/>
  <c r="S72" i="13" a="1"/>
  <c r="S72" i="13" s="1"/>
  <c r="F69" i="13" a="1"/>
  <c r="F69" i="13" s="1"/>
  <c r="T83" i="13" a="1"/>
  <c r="T83" i="13" s="1"/>
  <c r="R80" i="13" a="1"/>
  <c r="R80" i="13" s="1"/>
  <c r="S71" i="13" a="1"/>
  <c r="S71" i="13" s="1"/>
  <c r="U77" i="13" a="1"/>
  <c r="U77" i="13" s="1"/>
  <c r="Y84" i="13" a="1"/>
  <c r="Y84" i="13" s="1"/>
  <c r="K79" i="13" a="1"/>
  <c r="K79" i="13" s="1"/>
  <c r="G78" i="13" a="1"/>
  <c r="G78" i="13" s="1"/>
  <c r="K84" i="13" a="1"/>
  <c r="K84" i="13" s="1"/>
  <c r="X84" i="13" a="1"/>
  <c r="X84" i="13" s="1"/>
  <c r="J82" i="13" a="1"/>
  <c r="J82" i="13" s="1"/>
  <c r="R81" i="13" a="1"/>
  <c r="R81" i="13" s="1"/>
  <c r="Q81" i="13" a="1"/>
  <c r="Q81" i="13" s="1"/>
  <c r="Q78" i="13" a="1"/>
  <c r="Q78" i="13" s="1"/>
  <c r="U76" i="13" a="1"/>
  <c r="U76" i="13" s="1"/>
  <c r="G75" i="13" a="1"/>
  <c r="G75" i="13" s="1"/>
  <c r="K73" i="13" a="1"/>
  <c r="K73" i="13" s="1"/>
  <c r="J81" i="13" a="1"/>
  <c r="J81" i="13" s="1"/>
  <c r="H80" i="13" a="1"/>
  <c r="H80" i="13" s="1"/>
  <c r="Y76" i="13" a="1"/>
  <c r="Y76" i="13" s="1"/>
  <c r="X71" i="13" a="1"/>
  <c r="X71" i="13" s="1"/>
  <c r="N78" i="13" a="1"/>
  <c r="N78" i="13" s="1"/>
  <c r="I73" i="13" a="1"/>
  <c r="I73" i="13" s="1"/>
  <c r="J69" i="13" a="1"/>
  <c r="J69" i="13" s="1"/>
  <c r="G80" i="13" a="1"/>
  <c r="G80" i="13" s="1"/>
  <c r="K76" i="13" a="1"/>
  <c r="K76" i="13" s="1"/>
  <c r="O72" i="13" a="1"/>
  <c r="O72" i="13" s="1"/>
  <c r="V69" i="13" a="1"/>
  <c r="V69" i="13" s="1"/>
  <c r="S81" i="13" a="1"/>
  <c r="S81" i="13" s="1"/>
  <c r="R76" i="13" a="1"/>
  <c r="R76" i="13" s="1"/>
  <c r="V72" i="13" a="1"/>
  <c r="V72" i="13" s="1"/>
  <c r="E70" i="13" a="1"/>
  <c r="E70" i="13" s="1"/>
  <c r="Y80" i="13" a="1"/>
  <c r="Y80" i="13" s="1"/>
  <c r="X76" i="13" a="1"/>
  <c r="X76" i="13" s="1"/>
  <c r="G74" i="13" a="1"/>
  <c r="G74" i="13" s="1"/>
  <c r="U69" i="13" a="1"/>
  <c r="U69" i="13" s="1"/>
  <c r="R79" i="13" a="1"/>
  <c r="R79" i="13" s="1"/>
  <c r="N75" i="13" a="1"/>
  <c r="N75" i="13" s="1"/>
  <c r="E72" i="13" a="1"/>
  <c r="E72" i="13" s="1"/>
  <c r="X78" i="13" a="1"/>
  <c r="X78" i="13" s="1"/>
  <c r="G76" i="13" a="1"/>
  <c r="G76" i="13" s="1"/>
  <c r="K72" i="13" a="1"/>
  <c r="K72" i="13" s="1"/>
  <c r="E84" i="13" a="1"/>
  <c r="E84" i="13" s="1"/>
  <c r="S74" i="13" a="1"/>
  <c r="S74" i="13" s="1"/>
  <c r="Q79" i="13" a="1"/>
  <c r="Q79" i="13" s="1"/>
  <c r="L69" i="13" a="1"/>
  <c r="L69" i="13" s="1"/>
  <c r="U70" i="13" a="1"/>
  <c r="U70" i="13" s="1"/>
  <c r="O84" i="13" a="1"/>
  <c r="O84" i="13" s="1"/>
  <c r="I84" i="13" a="1"/>
  <c r="I84" i="13" s="1"/>
  <c r="M81" i="13" a="1"/>
  <c r="M81" i="13" s="1"/>
  <c r="X83" i="13" a="1"/>
  <c r="X83" i="13" s="1"/>
  <c r="K81" i="13" a="1"/>
  <c r="K81" i="13" s="1"/>
  <c r="I80" i="13" a="1"/>
  <c r="I80" i="13" s="1"/>
  <c r="M78" i="13" a="1"/>
  <c r="M78" i="13" s="1"/>
  <c r="Q76" i="13" a="1"/>
  <c r="Q76" i="13" s="1"/>
  <c r="U74" i="13" a="1"/>
  <c r="U74" i="13" s="1"/>
  <c r="G73" i="13" a="1"/>
  <c r="G73" i="13" s="1"/>
  <c r="T80" i="13" a="1"/>
  <c r="T80" i="13" s="1"/>
  <c r="X79" i="13" a="1"/>
  <c r="X79" i="13" s="1"/>
  <c r="T75" i="13" a="1"/>
  <c r="T75" i="13" s="1"/>
  <c r="Q71" i="13" a="1"/>
  <c r="Q71" i="13" s="1"/>
  <c r="F78" i="13" a="1"/>
  <c r="F78" i="13" s="1"/>
  <c r="V71" i="13" a="1"/>
  <c r="V71" i="13" s="1"/>
  <c r="T78" i="13" a="1"/>
  <c r="T78" i="13" s="1"/>
  <c r="X74" i="13" a="1"/>
  <c r="X74" i="13" s="1"/>
  <c r="G72" i="13" a="1"/>
  <c r="G72" i="13" s="1"/>
  <c r="P69" i="13" a="1"/>
  <c r="P69" i="13" s="1"/>
  <c r="P80" i="13" a="1"/>
  <c r="P80" i="13" s="1"/>
  <c r="J76" i="13" a="1"/>
  <c r="J76" i="13" s="1"/>
  <c r="N72" i="13" a="1"/>
  <c r="N72" i="13" s="1"/>
  <c r="O69" i="13" a="1"/>
  <c r="O69" i="13" s="1"/>
  <c r="M80" i="13" a="1"/>
  <c r="M80" i="13" s="1"/>
  <c r="P76" i="13" a="1"/>
  <c r="P76" i="13" s="1"/>
  <c r="T72" i="13" a="1"/>
  <c r="T72" i="13" s="1"/>
  <c r="N69" i="13" a="1"/>
  <c r="N69" i="13" s="1"/>
  <c r="J79" i="13" a="1"/>
  <c r="J79" i="13" s="1"/>
  <c r="F75" i="13" a="1"/>
  <c r="F75" i="13" s="1"/>
  <c r="I72" i="13" a="1"/>
  <c r="I72" i="13" s="1"/>
  <c r="P78" i="13" a="1"/>
  <c r="P78" i="13" s="1"/>
  <c r="T74" i="13" a="1"/>
  <c r="T74" i="13" s="1"/>
  <c r="R71" i="13" a="1"/>
  <c r="R71" i="13" s="1"/>
  <c r="J73" i="13" a="1"/>
  <c r="J73" i="13" s="1"/>
  <c r="W70" i="13" a="1"/>
  <c r="W70" i="13" s="1"/>
  <c r="N77" i="13" a="1"/>
  <c r="N77" i="13" s="1"/>
  <c r="F77" i="13" a="1"/>
  <c r="F77" i="13" s="1"/>
  <c r="N76" i="13" a="1"/>
  <c r="N76" i="13" s="1"/>
  <c r="F84" i="13" a="1"/>
  <c r="F84" i="13" s="1"/>
  <c r="S84" i="13" a="1"/>
  <c r="S84" i="13" s="1"/>
  <c r="M84" i="13" a="1"/>
  <c r="M84" i="13" s="1"/>
  <c r="K80" i="13" a="1"/>
  <c r="K80" i="13" s="1"/>
  <c r="R83" i="13" a="1"/>
  <c r="R83" i="13" s="1"/>
  <c r="E81" i="13" a="1"/>
  <c r="E81" i="13" s="1"/>
  <c r="E80" i="13" a="1"/>
  <c r="E80" i="13" s="1"/>
  <c r="I78" i="13" a="1"/>
  <c r="I78" i="13" s="1"/>
  <c r="M76" i="13" a="1"/>
  <c r="M76" i="13" s="1"/>
  <c r="Q74" i="13" a="1"/>
  <c r="Q74" i="13" s="1"/>
  <c r="U72" i="13" a="1"/>
  <c r="U72" i="13" s="1"/>
  <c r="P83" i="13" a="1"/>
  <c r="P83" i="13" s="1"/>
  <c r="N80" i="13" a="1"/>
  <c r="N80" i="13" s="1"/>
  <c r="P79" i="13" a="1"/>
  <c r="P79" i="13" s="1"/>
  <c r="L75" i="13" a="1"/>
  <c r="L75" i="13" s="1"/>
  <c r="J71" i="13" a="1"/>
  <c r="J71" i="13" s="1"/>
  <c r="V83" i="13" a="1"/>
  <c r="V83" i="13" s="1"/>
  <c r="M77" i="13" a="1"/>
  <c r="M77" i="13" s="1"/>
  <c r="P71" i="13" a="1"/>
  <c r="P71" i="13" s="1"/>
  <c r="L78" i="13" a="1"/>
  <c r="L78" i="13" s="1"/>
  <c r="P74" i="13" a="1"/>
  <c r="P74" i="13" s="1"/>
  <c r="O71" i="13" a="1"/>
  <c r="O71" i="13" s="1"/>
  <c r="F80" i="13" a="1"/>
  <c r="F80" i="13" s="1"/>
  <c r="Y75" i="13" a="1"/>
  <c r="Y75" i="13" s="1"/>
  <c r="F72" i="13" a="1"/>
  <c r="F72" i="13" s="1"/>
  <c r="I69" i="13" a="1"/>
  <c r="I69" i="13" s="1"/>
  <c r="W80" i="13" a="1"/>
  <c r="W80" i="13" s="1"/>
  <c r="H76" i="13" a="1"/>
  <c r="H76" i="13" s="1"/>
  <c r="L72" i="13" a="1"/>
  <c r="L72" i="13" s="1"/>
  <c r="H69" i="13" a="1"/>
  <c r="H69" i="13" s="1"/>
  <c r="R78" i="13" a="1"/>
  <c r="R78" i="13" s="1"/>
  <c r="V74" i="13" a="1"/>
  <c r="V74" i="13" s="1"/>
  <c r="M71" i="13" a="1"/>
  <c r="M71" i="13" s="1"/>
  <c r="H78" i="13" a="1"/>
  <c r="H78" i="13" s="1"/>
  <c r="L74" i="13" a="1"/>
  <c r="L74" i="13" s="1"/>
  <c r="L71" i="13" a="1"/>
  <c r="L71" i="13" s="1"/>
  <c r="G81" i="13" a="1"/>
  <c r="G81" i="13" s="1"/>
  <c r="R82" i="13" a="1"/>
  <c r="R82" i="13" s="1"/>
  <c r="E71" i="13" a="1"/>
  <c r="E71" i="13" s="1"/>
  <c r="U75" i="13" a="1"/>
  <c r="U75" i="13" s="1"/>
  <c r="V79" i="13" a="1"/>
  <c r="V79" i="13" s="1"/>
  <c r="R72" i="13" a="1"/>
  <c r="R72" i="13" s="1"/>
  <c r="J84" i="13" a="1"/>
  <c r="J84" i="13" s="1"/>
  <c r="W84" i="13" a="1"/>
  <c r="W84" i="13" s="1"/>
  <c r="Q84" i="13" a="1"/>
  <c r="Q84" i="13" s="1"/>
  <c r="K83" i="13" a="1"/>
  <c r="K83" i="13" s="1"/>
  <c r="U80" i="13" a="1"/>
  <c r="U80" i="13" s="1"/>
  <c r="W83" i="13" a="1"/>
  <c r="W83" i="13" s="1"/>
  <c r="S79" i="13" a="1"/>
  <c r="S79" i="13" s="1"/>
  <c r="E78" i="13" a="1"/>
  <c r="E78" i="13" s="1"/>
  <c r="I76" i="13" a="1"/>
  <c r="I76" i="13" s="1"/>
  <c r="M74" i="13" a="1"/>
  <c r="M74" i="13" s="1"/>
  <c r="Q72" i="13" a="1"/>
  <c r="Q72" i="13" s="1"/>
  <c r="J83" i="13" a="1"/>
  <c r="J83" i="13" s="1"/>
  <c r="H79" i="13" a="1"/>
  <c r="H79" i="13" s="1"/>
  <c r="W75" i="13" a="1"/>
  <c r="W75" i="13" s="1"/>
  <c r="T70" i="13" a="1"/>
  <c r="T70" i="13" s="1"/>
  <c r="V81" i="13" a="1"/>
  <c r="V81" i="13" s="1"/>
  <c r="E77" i="13" a="1"/>
  <c r="E77" i="13" s="1"/>
  <c r="W71" i="13" a="1"/>
  <c r="W71" i="13" s="1"/>
  <c r="Y78" i="13" a="1"/>
  <c r="Y78" i="13" s="1"/>
  <c r="H74" i="13" a="1"/>
  <c r="H74" i="13" s="1"/>
  <c r="I71" i="13" a="1"/>
  <c r="I71" i="13" s="1"/>
  <c r="U79" i="13" a="1"/>
  <c r="U79" i="13" s="1"/>
  <c r="Q75" i="13" a="1"/>
  <c r="Q75" i="13" s="1"/>
  <c r="U71" i="13" a="1"/>
  <c r="U71" i="13" s="1"/>
  <c r="T79" i="13" a="1"/>
  <c r="T79" i="13" s="1"/>
  <c r="X75" i="13" a="1"/>
  <c r="X75" i="13" s="1"/>
  <c r="Y72" i="13" a="1"/>
  <c r="Y72" i="13" s="1"/>
  <c r="J78" i="13" a="1"/>
  <c r="J78" i="13" s="1"/>
  <c r="N74" i="13" a="1"/>
  <c r="N74" i="13" s="1"/>
  <c r="F71" i="13" a="1"/>
  <c r="F71" i="13" s="1"/>
  <c r="Y82" i="13" a="1"/>
  <c r="Y82" i="13" s="1"/>
  <c r="X77" i="13" a="1"/>
  <c r="X77" i="13" s="1"/>
  <c r="Y74" i="13" a="1"/>
  <c r="Y74" i="13" s="1"/>
  <c r="V70" i="13" a="1"/>
  <c r="V70" i="13" s="1"/>
  <c r="V82" i="13" a="1"/>
  <c r="V82" i="13" s="1"/>
  <c r="N81" i="13" a="1"/>
  <c r="N81" i="13" s="1"/>
  <c r="H83" i="13" a="1"/>
  <c r="H83" i="13" s="1"/>
  <c r="Y73" i="13" a="1"/>
  <c r="Y73" i="13" s="1"/>
  <c r="O70" i="13" a="1"/>
  <c r="O70" i="13" s="1"/>
  <c r="V76" i="13" a="1"/>
  <c r="V76" i="13" s="1"/>
  <c r="Y71" i="13" a="1"/>
  <c r="Y71" i="13" s="1"/>
  <c r="W64" i="13" a="1"/>
  <c r="W64" i="13" s="1"/>
  <c r="J72" i="13" a="1"/>
  <c r="J72" i="13" s="1"/>
  <c r="S82" i="13" a="1"/>
  <c r="S82" i="13" s="1"/>
  <c r="M64" i="13" a="1"/>
  <c r="M64" i="13" s="1"/>
  <c r="Y68" i="13" a="1"/>
  <c r="Y68" i="13" s="1"/>
  <c r="M65" i="13" a="1"/>
  <c r="M65" i="13" s="1"/>
  <c r="V77" i="13" a="1"/>
  <c r="V77" i="13" s="1"/>
  <c r="X65" i="13" a="1"/>
  <c r="X65" i="13" s="1"/>
  <c r="H68" i="13" a="1"/>
  <c r="H68" i="13" s="1"/>
  <c r="K64" i="13" a="1"/>
  <c r="K64" i="13" s="1"/>
  <c r="F64" i="13" a="1"/>
  <c r="F64" i="13" s="1"/>
  <c r="Q68" i="13" a="1"/>
  <c r="Q68" i="13" s="1"/>
  <c r="J64" i="13" a="1"/>
  <c r="J64" i="13" s="1"/>
  <c r="Y69" i="13" a="1"/>
  <c r="Y69" i="13" s="1"/>
  <c r="V80" i="13" a="1"/>
  <c r="V80" i="13" s="1"/>
  <c r="X63" i="13" a="1"/>
  <c r="X63" i="13" s="1"/>
  <c r="K71" i="13" a="1"/>
  <c r="K71" i="13" s="1"/>
  <c r="Y79" i="13" a="1"/>
  <c r="Y79" i="13" s="1"/>
  <c r="J70" i="12"/>
  <c r="J71" i="12"/>
  <c r="J73" i="12"/>
  <c r="L60" i="12"/>
  <c r="L61" i="12"/>
  <c r="L59" i="12"/>
  <c r="L58" i="12"/>
  <c r="J35" i="11"/>
  <c r="O54" i="11"/>
  <c r="J34" i="11"/>
  <c r="N51" i="11"/>
  <c r="N52" i="11" s="1"/>
  <c r="Q39" i="11"/>
  <c r="R39" i="11"/>
  <c r="K39" i="11"/>
  <c r="S39" i="11"/>
  <c r="L39" i="11"/>
  <c r="T39" i="11"/>
  <c r="J39" i="11"/>
  <c r="M39" i="11"/>
  <c r="U39" i="11"/>
  <c r="N39" i="11"/>
  <c r="N56" i="11" s="1"/>
  <c r="O39" i="11"/>
  <c r="P39" i="11"/>
  <c r="L38" i="11"/>
  <c r="T38" i="11"/>
  <c r="M38" i="11"/>
  <c r="U38" i="11"/>
  <c r="N38" i="11"/>
  <c r="O38" i="11"/>
  <c r="Q38" i="11"/>
  <c r="P38" i="11"/>
  <c r="R38" i="11"/>
  <c r="J38" i="11"/>
  <c r="K38" i="11"/>
  <c r="S38" i="11"/>
  <c r="U32" i="11"/>
  <c r="U35" i="11"/>
  <c r="O47" i="11"/>
  <c r="T33" i="11"/>
  <c r="T32" i="11"/>
  <c r="T34" i="11"/>
  <c r="M32" i="11"/>
  <c r="L32" i="11"/>
  <c r="L33" i="11"/>
  <c r="L34" i="11"/>
  <c r="M35" i="11"/>
  <c r="M33" i="11"/>
  <c r="K32" i="11"/>
  <c r="K34" i="11"/>
  <c r="K35" i="11"/>
  <c r="N47" i="11"/>
  <c r="N54" i="11"/>
  <c r="U51" i="11"/>
  <c r="U52" i="11" s="1"/>
  <c r="K33" i="11"/>
  <c r="Q32" i="11"/>
  <c r="Q34" i="11"/>
  <c r="Q35" i="11"/>
  <c r="S32" i="11"/>
  <c r="S34" i="11"/>
  <c r="S35" i="11"/>
  <c r="P32" i="11"/>
  <c r="P34" i="11"/>
  <c r="P35" i="11"/>
  <c r="P33" i="11"/>
  <c r="R44" i="11"/>
  <c r="R45" i="11" s="1"/>
  <c r="J44" i="11"/>
  <c r="R34" i="11"/>
  <c r="R35" i="11"/>
  <c r="Q33" i="11"/>
  <c r="P51" i="11"/>
  <c r="P52" i="11" s="1"/>
  <c r="T51" i="11"/>
  <c r="T52" i="11" s="1"/>
  <c r="Q51" i="11"/>
  <c r="Q52" i="11" s="1"/>
  <c r="O44" i="11"/>
  <c r="O45" i="11" s="1"/>
  <c r="S44" i="11"/>
  <c r="S45" i="11" s="1"/>
  <c r="K44" i="11"/>
  <c r="K45" i="11" s="1"/>
  <c r="P44" i="11"/>
  <c r="P45" i="11" s="1"/>
  <c r="N44" i="11"/>
  <c r="N45" i="11" s="1"/>
  <c r="S51" i="11"/>
  <c r="S52" i="11" s="1"/>
  <c r="R51" i="11"/>
  <c r="R52" i="11" s="1"/>
  <c r="O51" i="11"/>
  <c r="O52" i="11" s="1"/>
  <c r="K51" i="11"/>
  <c r="K52" i="11" s="1"/>
  <c r="L51" i="11"/>
  <c r="L52" i="11" s="1"/>
  <c r="M51" i="11"/>
  <c r="M52" i="11" s="1"/>
  <c r="L44" i="11"/>
  <c r="L45" i="11" s="1"/>
  <c r="M44" i="11"/>
  <c r="M45" i="11" s="1"/>
  <c r="U44" i="11"/>
  <c r="U45" i="11" s="1"/>
  <c r="Q44" i="11"/>
  <c r="Q45" i="11" s="1"/>
  <c r="T44" i="11"/>
  <c r="T45" i="11" s="1"/>
  <c r="D18" i="11"/>
  <c r="J32" i="11"/>
  <c r="U41" i="11"/>
  <c r="T41" i="11"/>
  <c r="K41" i="11"/>
  <c r="Q102" i="11"/>
  <c r="S41" i="11"/>
  <c r="P102" i="11"/>
  <c r="Q41" i="11"/>
  <c r="R92" i="11"/>
  <c r="N41" i="11"/>
  <c r="C18" i="11"/>
  <c r="M41" i="11"/>
  <c r="P92" i="11"/>
  <c r="L41" i="11"/>
  <c r="J49" i="11"/>
  <c r="J50" i="11" s="1"/>
  <c r="J51" i="11" s="1"/>
  <c r="J82" i="11"/>
  <c r="J41" i="11"/>
  <c r="O102" i="11"/>
  <c r="O92" i="11"/>
  <c r="N102" i="11"/>
  <c r="R41" i="11"/>
  <c r="U102" i="11"/>
  <c r="M102" i="11"/>
  <c r="L102" i="11"/>
  <c r="AE50" i="11" s="1"/>
  <c r="AE75" i="11" s="1"/>
  <c r="T92" i="11"/>
  <c r="S102" i="11"/>
  <c r="K102" i="11"/>
  <c r="J92" i="11"/>
  <c r="AF67" i="11"/>
  <c r="AF84" i="11"/>
  <c r="AF75" i="11"/>
  <c r="J46" i="11"/>
  <c r="J47" i="11" s="1"/>
  <c r="K73" i="12" l="1"/>
  <c r="K70" i="12"/>
  <c r="K71" i="12"/>
  <c r="L69" i="12"/>
  <c r="U56" i="11"/>
  <c r="U59" i="11" s="1"/>
  <c r="U61" i="11" s="1"/>
  <c r="U62" i="11" s="1"/>
  <c r="T56" i="11"/>
  <c r="L56" i="11"/>
  <c r="P56" i="11"/>
  <c r="S56" i="11"/>
  <c r="O56" i="11"/>
  <c r="K56" i="11"/>
  <c r="N58" i="11"/>
  <c r="N60" i="11" s="1"/>
  <c r="N59" i="11"/>
  <c r="N61" i="11" s="1"/>
  <c r="N62" i="11" s="1"/>
  <c r="N57" i="11"/>
  <c r="N124" i="11" s="1"/>
  <c r="R56" i="11"/>
  <c r="Q56" i="11"/>
  <c r="M56" i="11"/>
  <c r="J53" i="11"/>
  <c r="J54" i="11" s="1"/>
  <c r="J52" i="11"/>
  <c r="J56" i="11" s="1"/>
  <c r="AE84" i="11"/>
  <c r="AE67" i="11"/>
  <c r="J45" i="11"/>
  <c r="L72" i="12" l="1"/>
  <c r="J75" i="12"/>
  <c r="J76" i="12"/>
  <c r="J78" i="12"/>
  <c r="L71" i="12"/>
  <c r="L73" i="12"/>
  <c r="L70" i="12"/>
  <c r="N63" i="11"/>
  <c r="U58" i="11"/>
  <c r="U60" i="11" s="1"/>
  <c r="U63" i="11" s="1"/>
  <c r="U57" i="11"/>
  <c r="J58" i="11"/>
  <c r="J57" i="11"/>
  <c r="S57" i="11"/>
  <c r="S124" i="11" s="1"/>
  <c r="S58" i="11"/>
  <c r="S60" i="11" s="1"/>
  <c r="S59" i="11"/>
  <c r="S61" i="11" s="1"/>
  <c r="S62" i="11" s="1"/>
  <c r="P57" i="11"/>
  <c r="P124" i="11" s="1"/>
  <c r="P58" i="11"/>
  <c r="P60" i="11" s="1"/>
  <c r="P59" i="11"/>
  <c r="O58" i="11"/>
  <c r="O60" i="11" s="1"/>
  <c r="O59" i="11"/>
  <c r="O57" i="11"/>
  <c r="O124" i="11" s="1"/>
  <c r="R59" i="11"/>
  <c r="R61" i="11" s="1"/>
  <c r="R62" i="11" s="1"/>
  <c r="R58" i="11"/>
  <c r="R60" i="11" s="1"/>
  <c r="R57" i="11"/>
  <c r="R124" i="11" s="1"/>
  <c r="L59" i="11"/>
  <c r="L61" i="11" s="1"/>
  <c r="L62" i="11" s="1"/>
  <c r="L57" i="11"/>
  <c r="L58" i="11"/>
  <c r="L60" i="11" s="1"/>
  <c r="M59" i="11"/>
  <c r="M61" i="11" s="1"/>
  <c r="M62" i="11" s="1"/>
  <c r="M57" i="11"/>
  <c r="M124" i="11" s="1"/>
  <c r="M58" i="11"/>
  <c r="M60" i="11" s="1"/>
  <c r="T58" i="11"/>
  <c r="T60" i="11" s="1"/>
  <c r="T57" i="11"/>
  <c r="T124" i="11" s="1"/>
  <c r="T59" i="11"/>
  <c r="Q57" i="11"/>
  <c r="Q124" i="11" s="1"/>
  <c r="Q58" i="11"/>
  <c r="Q60" i="11" s="1"/>
  <c r="Q59" i="11"/>
  <c r="Q61" i="11" s="1"/>
  <c r="Q62" i="11" s="1"/>
  <c r="Q63" i="11" s="1"/>
  <c r="K57" i="11"/>
  <c r="K124" i="11" s="1"/>
  <c r="K58" i="11"/>
  <c r="K60" i="11" s="1"/>
  <c r="K59" i="11"/>
  <c r="K61" i="11" s="1"/>
  <c r="K62" i="11" s="1"/>
  <c r="N71" i="11"/>
  <c r="J59" i="11"/>
  <c r="J61" i="11" s="1"/>
  <c r="L124" i="11"/>
  <c r="U124" i="11"/>
  <c r="L74" i="12" l="1"/>
  <c r="K75" i="12"/>
  <c r="K78" i="12"/>
  <c r="L78" i="12" s="1"/>
  <c r="K76" i="12"/>
  <c r="J77" i="12"/>
  <c r="W71" i="12"/>
  <c r="X71" i="12" s="1"/>
  <c r="T71" i="11"/>
  <c r="M63" i="11"/>
  <c r="K63" i="11"/>
  <c r="K64" i="11" s="1"/>
  <c r="K123" i="11" s="1"/>
  <c r="R63" i="11"/>
  <c r="R65" i="11" s="1"/>
  <c r="S63" i="11"/>
  <c r="S64" i="11" s="1"/>
  <c r="S123" i="11" s="1"/>
  <c r="P61" i="11"/>
  <c r="P62" i="11" s="1"/>
  <c r="P63" i="11" s="1"/>
  <c r="P64" i="11" s="1"/>
  <c r="P123" i="11" s="1"/>
  <c r="T61" i="11"/>
  <c r="T62" i="11" s="1"/>
  <c r="T63" i="11" s="1"/>
  <c r="O61" i="11"/>
  <c r="O62" i="11" s="1"/>
  <c r="O63" i="11" s="1"/>
  <c r="O64" i="11" s="1"/>
  <c r="O123" i="11" s="1"/>
  <c r="L63" i="11"/>
  <c r="L64" i="11" s="1"/>
  <c r="L123" i="11" s="1"/>
  <c r="R71" i="11"/>
  <c r="M71" i="11"/>
  <c r="R127" i="11"/>
  <c r="U71" i="11"/>
  <c r="J127" i="11"/>
  <c r="S127" i="11"/>
  <c r="J71" i="11"/>
  <c r="L127" i="11"/>
  <c r="J124" i="11"/>
  <c r="U127" i="11"/>
  <c r="K127" i="11"/>
  <c r="M127" i="11"/>
  <c r="N127" i="11"/>
  <c r="S71" i="11"/>
  <c r="K71" i="11"/>
  <c r="L71" i="11"/>
  <c r="O71" i="11"/>
  <c r="P71" i="11"/>
  <c r="Q71" i="11"/>
  <c r="K77" i="12" l="1"/>
  <c r="L77" i="12" s="1"/>
  <c r="L75" i="12"/>
  <c r="L76" i="12"/>
  <c r="J80" i="12"/>
  <c r="P80" i="12" s="1"/>
  <c r="J81" i="12"/>
  <c r="J83" i="12"/>
  <c r="T127" i="11"/>
  <c r="O127" i="11"/>
  <c r="P127" i="11"/>
  <c r="N65" i="11"/>
  <c r="Q64" i="11"/>
  <c r="Q123" i="11" s="1"/>
  <c r="Q127" i="11"/>
  <c r="U66" i="11"/>
  <c r="U69" i="11" s="1"/>
  <c r="U64" i="11"/>
  <c r="U123" i="11" s="1"/>
  <c r="M65" i="11"/>
  <c r="M70" i="11" s="1"/>
  <c r="M64" i="11"/>
  <c r="M123" i="11" s="1"/>
  <c r="T66" i="11"/>
  <c r="T69" i="11" s="1"/>
  <c r="T64" i="11"/>
  <c r="T123" i="11" s="1"/>
  <c r="R68" i="11"/>
  <c r="R64" i="11"/>
  <c r="R123" i="11" s="1"/>
  <c r="R66" i="11"/>
  <c r="R69" i="11" s="1"/>
  <c r="M68" i="11"/>
  <c r="M66" i="11"/>
  <c r="M69" i="11" s="1"/>
  <c r="T65" i="11"/>
  <c r="T68" i="11"/>
  <c r="K65" i="11"/>
  <c r="K68" i="11"/>
  <c r="R67" i="11"/>
  <c r="R70" i="11"/>
  <c r="R87" i="11"/>
  <c r="P68" i="11"/>
  <c r="P65" i="11"/>
  <c r="U65" i="11"/>
  <c r="U68" i="11"/>
  <c r="O66" i="11"/>
  <c r="O69" i="11" s="1"/>
  <c r="O65" i="11"/>
  <c r="O68" i="11"/>
  <c r="L65" i="11"/>
  <c r="L68" i="11"/>
  <c r="P66" i="11"/>
  <c r="P69" i="11" s="1"/>
  <c r="S65" i="11"/>
  <c r="S68" i="11"/>
  <c r="L66" i="11"/>
  <c r="L69" i="11" s="1"/>
  <c r="K66" i="11"/>
  <c r="K69" i="11" s="1"/>
  <c r="S66" i="11"/>
  <c r="S69" i="11" s="1"/>
  <c r="L79" i="12" l="1"/>
  <c r="K80" i="12"/>
  <c r="Q80" i="12" s="1"/>
  <c r="R80" i="12" s="1"/>
  <c r="K81" i="12"/>
  <c r="K83" i="12"/>
  <c r="J82" i="12"/>
  <c r="J104" i="12"/>
  <c r="N64" i="11"/>
  <c r="N123" i="11" s="1"/>
  <c r="N66" i="11"/>
  <c r="N69" i="11" s="1"/>
  <c r="N68" i="11"/>
  <c r="M67" i="11"/>
  <c r="M80" i="11" s="1"/>
  <c r="M108" i="11" s="1"/>
  <c r="M87" i="11"/>
  <c r="T67" i="11"/>
  <c r="T70" i="11"/>
  <c r="T87" i="11"/>
  <c r="S67" i="11"/>
  <c r="S70" i="11"/>
  <c r="S87" i="11"/>
  <c r="U67" i="11"/>
  <c r="U70" i="11"/>
  <c r="U87" i="11"/>
  <c r="R80" i="11"/>
  <c r="R108" i="11" s="1"/>
  <c r="R72" i="11"/>
  <c r="L67" i="11"/>
  <c r="L70" i="11"/>
  <c r="L87" i="11"/>
  <c r="Q68" i="11"/>
  <c r="Q65" i="11"/>
  <c r="K67" i="11"/>
  <c r="K70" i="11"/>
  <c r="K87" i="11"/>
  <c r="N67" i="11"/>
  <c r="N70" i="11"/>
  <c r="N87" i="11"/>
  <c r="M72" i="11"/>
  <c r="P67" i="11"/>
  <c r="P70" i="11"/>
  <c r="P87" i="11"/>
  <c r="O67" i="11"/>
  <c r="O70" i="11"/>
  <c r="O87" i="11"/>
  <c r="Q66" i="11"/>
  <c r="Q69" i="11" s="1"/>
  <c r="P96" i="12" l="1"/>
  <c r="Q96" i="12"/>
  <c r="L81" i="12"/>
  <c r="K82" i="12"/>
  <c r="L82" i="12" s="1"/>
  <c r="L83" i="12"/>
  <c r="L80" i="12"/>
  <c r="L104" i="12"/>
  <c r="R79" i="11"/>
  <c r="R93" i="11" s="1"/>
  <c r="R106" i="11"/>
  <c r="AE70" i="11"/>
  <c r="M79" i="11"/>
  <c r="M93" i="11" s="1"/>
  <c r="M106" i="11"/>
  <c r="T72" i="11"/>
  <c r="T80" i="11"/>
  <c r="T108" i="11" s="1"/>
  <c r="U72" i="11"/>
  <c r="U80" i="11"/>
  <c r="U108" i="11" s="1"/>
  <c r="P72" i="11"/>
  <c r="P80" i="11"/>
  <c r="P108" i="11" s="1"/>
  <c r="N72" i="11"/>
  <c r="N80" i="11"/>
  <c r="N108" i="11" s="1"/>
  <c r="L80" i="11"/>
  <c r="L108" i="11" s="1"/>
  <c r="L72" i="11"/>
  <c r="K72" i="11"/>
  <c r="K80" i="11"/>
  <c r="K108" i="11" s="1"/>
  <c r="R73" i="11"/>
  <c r="R85" i="11"/>
  <c r="M73" i="11"/>
  <c r="M85" i="11"/>
  <c r="Q67" i="11"/>
  <c r="Q70" i="11"/>
  <c r="Q87" i="11"/>
  <c r="O80" i="11"/>
  <c r="O108" i="11" s="1"/>
  <c r="O72" i="11"/>
  <c r="S80" i="11"/>
  <c r="S108" i="11" s="1"/>
  <c r="S72" i="11"/>
  <c r="M95" i="11" l="1"/>
  <c r="M94" i="11"/>
  <c r="R113" i="11"/>
  <c r="R94" i="11"/>
  <c r="R95" i="11"/>
  <c r="M113" i="11"/>
  <c r="S79" i="11"/>
  <c r="S93" i="11" s="1"/>
  <c r="S106" i="11"/>
  <c r="P79" i="11"/>
  <c r="P93" i="11" s="1"/>
  <c r="P106" i="11"/>
  <c r="O79" i="11"/>
  <c r="O93" i="11" s="1"/>
  <c r="O106" i="11"/>
  <c r="K79" i="11"/>
  <c r="K93" i="11" s="1"/>
  <c r="K106" i="11"/>
  <c r="U79" i="11"/>
  <c r="U93" i="11" s="1"/>
  <c r="U106" i="11"/>
  <c r="T79" i="11"/>
  <c r="T93" i="11" s="1"/>
  <c r="T106" i="11"/>
  <c r="L79" i="11"/>
  <c r="L93" i="11" s="1"/>
  <c r="L106" i="11"/>
  <c r="N79" i="11"/>
  <c r="N93" i="11" s="1"/>
  <c r="N106" i="11"/>
  <c r="T73" i="11"/>
  <c r="T85" i="11"/>
  <c r="O73" i="11"/>
  <c r="O85" i="11"/>
  <c r="N73" i="11"/>
  <c r="N85" i="11"/>
  <c r="M81" i="11"/>
  <c r="M74" i="11"/>
  <c r="M75" i="11" s="1"/>
  <c r="K73" i="11"/>
  <c r="K85" i="11"/>
  <c r="P73" i="11"/>
  <c r="P85" i="11"/>
  <c r="R81" i="11"/>
  <c r="R83" i="11" s="1"/>
  <c r="R104" i="11" s="1"/>
  <c r="R74" i="11"/>
  <c r="R75" i="11" s="1"/>
  <c r="L73" i="11"/>
  <c r="L85" i="11"/>
  <c r="S73" i="11"/>
  <c r="S85" i="11"/>
  <c r="Q80" i="11"/>
  <c r="Q108" i="11" s="1"/>
  <c r="Q72" i="11"/>
  <c r="U73" i="11"/>
  <c r="U85" i="11"/>
  <c r="N95" i="11" l="1"/>
  <c r="N94" i="11"/>
  <c r="K94" i="11"/>
  <c r="K95" i="11"/>
  <c r="L95" i="11"/>
  <c r="L94" i="11"/>
  <c r="O113" i="11"/>
  <c r="O94" i="11"/>
  <c r="O95" i="11"/>
  <c r="T95" i="11"/>
  <c r="T94" i="11"/>
  <c r="P113" i="11"/>
  <c r="P94" i="11"/>
  <c r="P95" i="11"/>
  <c r="U113" i="11"/>
  <c r="U95" i="11"/>
  <c r="U94" i="11"/>
  <c r="S113" i="11"/>
  <c r="S94" i="11"/>
  <c r="S95" i="11"/>
  <c r="N113" i="11"/>
  <c r="K113" i="11"/>
  <c r="L113" i="11"/>
  <c r="T113" i="11"/>
  <c r="Q79" i="11"/>
  <c r="Q93" i="11" s="1"/>
  <c r="Q106" i="11"/>
  <c r="T81" i="11"/>
  <c r="T74" i="11"/>
  <c r="T75" i="11" s="1"/>
  <c r="M83" i="11"/>
  <c r="M104" i="11" s="1"/>
  <c r="M76" i="11"/>
  <c r="M77" i="11" s="1"/>
  <c r="M84" i="11"/>
  <c r="M78" i="11"/>
  <c r="M128" i="11" s="1"/>
  <c r="S81" i="11"/>
  <c r="S74" i="11"/>
  <c r="S75" i="11" s="1"/>
  <c r="U81" i="11"/>
  <c r="U74" i="11"/>
  <c r="U75" i="11" s="1"/>
  <c r="K81" i="11"/>
  <c r="K74" i="11"/>
  <c r="K75" i="11" s="1"/>
  <c r="P81" i="11"/>
  <c r="P74" i="11"/>
  <c r="P75" i="11" s="1"/>
  <c r="N81" i="11"/>
  <c r="N74" i="11"/>
  <c r="N75" i="11" s="1"/>
  <c r="R76" i="11"/>
  <c r="R77" i="11" s="1"/>
  <c r="R84" i="11"/>
  <c r="R78" i="11"/>
  <c r="R128" i="11" s="1"/>
  <c r="Q73" i="11"/>
  <c r="Q85" i="11"/>
  <c r="L81" i="11"/>
  <c r="L74" i="11"/>
  <c r="L75" i="11" s="1"/>
  <c r="O81" i="11"/>
  <c r="O74" i="11"/>
  <c r="O75" i="11" s="1"/>
  <c r="J60" i="11"/>
  <c r="Q94" i="11" l="1"/>
  <c r="Q95" i="11"/>
  <c r="M86" i="11"/>
  <c r="M89" i="11" s="1"/>
  <c r="M109" i="11"/>
  <c r="R86" i="11"/>
  <c r="R89" i="11" s="1"/>
  <c r="R109" i="11"/>
  <c r="Q113" i="11"/>
  <c r="P83" i="11"/>
  <c r="P104" i="11" s="1"/>
  <c r="S83" i="11"/>
  <c r="S104" i="11" s="1"/>
  <c r="K83" i="11"/>
  <c r="K104" i="11" s="1"/>
  <c r="T76" i="11"/>
  <c r="T77" i="11" s="1"/>
  <c r="T84" i="11"/>
  <c r="T78" i="11"/>
  <c r="T128" i="11" s="1"/>
  <c r="T83" i="11"/>
  <c r="T104" i="11" s="1"/>
  <c r="O83" i="11"/>
  <c r="O104" i="11" s="1"/>
  <c r="N83" i="11"/>
  <c r="N104" i="11" s="1"/>
  <c r="U83" i="11"/>
  <c r="U104" i="11" s="1"/>
  <c r="L83" i="11"/>
  <c r="L104" i="11" s="1"/>
  <c r="N76" i="11"/>
  <c r="N77" i="11" s="1"/>
  <c r="N84" i="11"/>
  <c r="N78" i="11"/>
  <c r="N128" i="11" s="1"/>
  <c r="S76" i="11"/>
  <c r="S77" i="11" s="1"/>
  <c r="S84" i="11"/>
  <c r="S78" i="11"/>
  <c r="S128" i="11" s="1"/>
  <c r="U76" i="11"/>
  <c r="U77" i="11" s="1"/>
  <c r="U84" i="11"/>
  <c r="U78" i="11"/>
  <c r="U128" i="11" s="1"/>
  <c r="Q81" i="11"/>
  <c r="Q74" i="11"/>
  <c r="Q75" i="11" s="1"/>
  <c r="L76" i="11"/>
  <c r="L77" i="11" s="1"/>
  <c r="L84" i="11"/>
  <c r="L78" i="11"/>
  <c r="L128" i="11" s="1"/>
  <c r="P76" i="11"/>
  <c r="P77" i="11" s="1"/>
  <c r="P84" i="11"/>
  <c r="P78" i="11"/>
  <c r="P128" i="11" s="1"/>
  <c r="O78" i="11"/>
  <c r="O128" i="11" s="1"/>
  <c r="O76" i="11"/>
  <c r="O77" i="11" s="1"/>
  <c r="O84" i="11"/>
  <c r="K76" i="11"/>
  <c r="K77" i="11" s="1"/>
  <c r="K84" i="11"/>
  <c r="K78" i="11"/>
  <c r="K128" i="11" s="1"/>
  <c r="AE76" i="11"/>
  <c r="AE77" i="11"/>
  <c r="AE88" i="11" s="1"/>
  <c r="AF76" i="11"/>
  <c r="R90" i="11" l="1"/>
  <c r="M90" i="11"/>
  <c r="O86" i="11"/>
  <c r="O90" i="11" s="1"/>
  <c r="O109" i="11"/>
  <c r="S86" i="11"/>
  <c r="S89" i="11" s="1"/>
  <c r="S109" i="11"/>
  <c r="N86" i="11"/>
  <c r="N89" i="11" s="1"/>
  <c r="N109" i="11"/>
  <c r="T86" i="11"/>
  <c r="T89" i="11" s="1"/>
  <c r="T109" i="11"/>
  <c r="L86" i="11"/>
  <c r="L89" i="11" s="1"/>
  <c r="L109" i="11"/>
  <c r="K86" i="11"/>
  <c r="K89" i="11" s="1"/>
  <c r="K109" i="11"/>
  <c r="P86" i="11"/>
  <c r="P89" i="11" s="1"/>
  <c r="P109" i="11"/>
  <c r="U86" i="11"/>
  <c r="U89" i="11" s="1"/>
  <c r="U109" i="11"/>
  <c r="Q83" i="11"/>
  <c r="Q104" i="11" s="1"/>
  <c r="M88" i="11"/>
  <c r="M96" i="11"/>
  <c r="R88" i="11"/>
  <c r="R96" i="11"/>
  <c r="Q78" i="11"/>
  <c r="Q128" i="11" s="1"/>
  <c r="Q76" i="11"/>
  <c r="Q77" i="11" s="1"/>
  <c r="Q84" i="11"/>
  <c r="AG76" i="11"/>
  <c r="J62" i="11"/>
  <c r="J63" i="11" s="1"/>
  <c r="AF77" i="11"/>
  <c r="J64" i="11" l="1"/>
  <c r="J65" i="11"/>
  <c r="O91" i="11"/>
  <c r="O121" i="11" s="1"/>
  <c r="M91" i="11"/>
  <c r="M121" i="11" s="1"/>
  <c r="R91" i="11"/>
  <c r="R121" i="11" s="1"/>
  <c r="M103" i="11"/>
  <c r="O89" i="11"/>
  <c r="O96" i="11" s="1"/>
  <c r="R103" i="11"/>
  <c r="M110" i="11"/>
  <c r="R110" i="11"/>
  <c r="J68" i="11"/>
  <c r="O110" i="11"/>
  <c r="S90" i="11"/>
  <c r="K90" i="11"/>
  <c r="T90" i="11"/>
  <c r="U90" i="11"/>
  <c r="P90" i="11"/>
  <c r="L90" i="11"/>
  <c r="Q86" i="11"/>
  <c r="Q89" i="11" s="1"/>
  <c r="Q109" i="11"/>
  <c r="N90" i="11"/>
  <c r="O103" i="11"/>
  <c r="R98" i="11"/>
  <c r="R97" i="11"/>
  <c r="M98" i="11"/>
  <c r="M97" i="11"/>
  <c r="N88" i="11"/>
  <c r="N96" i="11"/>
  <c r="P88" i="11"/>
  <c r="P96" i="11"/>
  <c r="S88" i="11"/>
  <c r="S96" i="11"/>
  <c r="T88" i="11"/>
  <c r="T96" i="11"/>
  <c r="U88" i="11"/>
  <c r="U96" i="11"/>
  <c r="K88" i="11"/>
  <c r="K96" i="11"/>
  <c r="L88" i="11"/>
  <c r="L96" i="11"/>
  <c r="AG77" i="11"/>
  <c r="AF88" i="11"/>
  <c r="AG88" i="11" s="1"/>
  <c r="N91" i="11" l="1"/>
  <c r="N121" i="11" s="1"/>
  <c r="S91" i="11"/>
  <c r="S121" i="11" s="1"/>
  <c r="J70" i="11"/>
  <c r="L91" i="11"/>
  <c r="L121" i="11" s="1"/>
  <c r="K91" i="11"/>
  <c r="K121" i="11" s="1"/>
  <c r="P91" i="11"/>
  <c r="P121" i="11" s="1"/>
  <c r="U91" i="11"/>
  <c r="U121" i="11" s="1"/>
  <c r="T91" i="11"/>
  <c r="T121" i="11" s="1"/>
  <c r="O88" i="11"/>
  <c r="S103" i="11"/>
  <c r="K103" i="11"/>
  <c r="J66" i="11"/>
  <c r="J69" i="11" s="1"/>
  <c r="J123" i="11"/>
  <c r="Q90" i="11"/>
  <c r="L110" i="11"/>
  <c r="P110" i="11"/>
  <c r="U110" i="11"/>
  <c r="T110" i="11"/>
  <c r="K110" i="11"/>
  <c r="N110" i="11"/>
  <c r="S110" i="11"/>
  <c r="T103" i="11"/>
  <c r="P103" i="11"/>
  <c r="U103" i="11"/>
  <c r="N103" i="11"/>
  <c r="R99" i="11"/>
  <c r="R100" i="11" s="1"/>
  <c r="L103" i="11"/>
  <c r="M99" i="11"/>
  <c r="N97" i="11"/>
  <c r="N98" i="11"/>
  <c r="T98" i="11"/>
  <c r="T97" i="11"/>
  <c r="O98" i="11"/>
  <c r="O97" i="11"/>
  <c r="L98" i="11"/>
  <c r="L97" i="11"/>
  <c r="K98" i="11"/>
  <c r="K97" i="11"/>
  <c r="S98" i="11"/>
  <c r="S97" i="11"/>
  <c r="Q88" i="11"/>
  <c r="Q96" i="11"/>
  <c r="U98" i="11"/>
  <c r="U97" i="11"/>
  <c r="P97" i="11"/>
  <c r="P98" i="11"/>
  <c r="R96" i="12" l="1"/>
  <c r="Q91" i="11"/>
  <c r="Q121" i="11" s="1"/>
  <c r="S99" i="11"/>
  <c r="S100" i="11" s="1"/>
  <c r="Q110" i="11"/>
  <c r="T99" i="11"/>
  <c r="T100" i="11" s="1"/>
  <c r="J67" i="11"/>
  <c r="J72" i="11" s="1"/>
  <c r="Q103" i="11"/>
  <c r="AF78" i="11"/>
  <c r="J87" i="11"/>
  <c r="AF70" i="11" s="1"/>
  <c r="AG70" i="11" s="1"/>
  <c r="R112" i="11"/>
  <c r="R111" i="11"/>
  <c r="P99" i="11"/>
  <c r="P111" i="11" s="1"/>
  <c r="K99" i="11"/>
  <c r="K100" i="11" s="1"/>
  <c r="N99" i="11"/>
  <c r="N100" i="11" s="1"/>
  <c r="O99" i="11"/>
  <c r="O100" i="11" s="1"/>
  <c r="M100" i="11"/>
  <c r="M112" i="11"/>
  <c r="M111" i="11"/>
  <c r="U99" i="11"/>
  <c r="L99" i="11"/>
  <c r="Q98" i="11"/>
  <c r="Q97" i="11"/>
  <c r="AE78" i="11"/>
  <c r="J73" i="11" l="1"/>
  <c r="S111" i="11"/>
  <c r="S112" i="11"/>
  <c r="T112" i="11"/>
  <c r="R116" i="11"/>
  <c r="T111" i="11"/>
  <c r="T105" i="11" s="1"/>
  <c r="T115" i="11" s="1"/>
  <c r="R105" i="11"/>
  <c r="R115" i="11" s="1"/>
  <c r="AG78" i="11"/>
  <c r="N112" i="11"/>
  <c r="N111" i="11"/>
  <c r="N105" i="11" s="1"/>
  <c r="N115" i="11" s="1"/>
  <c r="K112" i="11"/>
  <c r="K111" i="11"/>
  <c r="P100" i="11"/>
  <c r="P112" i="11"/>
  <c r="P116" i="11" s="1"/>
  <c r="O112" i="11"/>
  <c r="O111" i="11"/>
  <c r="Q99" i="11"/>
  <c r="Q100" i="11" s="1"/>
  <c r="U100" i="11"/>
  <c r="U111" i="11"/>
  <c r="U112" i="11"/>
  <c r="M105" i="11"/>
  <c r="M115" i="11" s="1"/>
  <c r="M116" i="11"/>
  <c r="P105" i="11"/>
  <c r="P115" i="11" s="1"/>
  <c r="L100" i="11"/>
  <c r="L111" i="11"/>
  <c r="L112" i="11"/>
  <c r="S116" i="11" l="1"/>
  <c r="S105" i="11"/>
  <c r="S115" i="11" s="1"/>
  <c r="J81" i="11"/>
  <c r="J85" i="11"/>
  <c r="AF69" i="11" s="1"/>
  <c r="N116" i="11"/>
  <c r="N117" i="11" s="1"/>
  <c r="T116" i="11"/>
  <c r="T117" i="11" s="1"/>
  <c r="R117" i="11"/>
  <c r="K116" i="11"/>
  <c r="K105" i="11"/>
  <c r="K115" i="11" s="1"/>
  <c r="O116" i="11"/>
  <c r="O105" i="11"/>
  <c r="O115" i="11" s="1"/>
  <c r="Q111" i="11"/>
  <c r="Q105" i="11" s="1"/>
  <c r="Q115" i="11" s="1"/>
  <c r="Q112" i="11"/>
  <c r="M117" i="11"/>
  <c r="U116" i="11"/>
  <c r="U105" i="11"/>
  <c r="U115" i="11" s="1"/>
  <c r="L105" i="11"/>
  <c r="L116" i="11"/>
  <c r="P117" i="11"/>
  <c r="AE58" i="11"/>
  <c r="AE82" i="11"/>
  <c r="AF79" i="11"/>
  <c r="J74" i="11"/>
  <c r="J75" i="11" s="1"/>
  <c r="AE69" i="11"/>
  <c r="S117" i="11" l="1"/>
  <c r="J76" i="11"/>
  <c r="J79" i="11" s="1"/>
  <c r="J93" i="11" s="1"/>
  <c r="K117" i="11"/>
  <c r="U117" i="11"/>
  <c r="O117" i="11"/>
  <c r="Q116" i="11"/>
  <c r="Q117" i="11" s="1"/>
  <c r="AE57" i="11"/>
  <c r="L115" i="11"/>
  <c r="L117" i="11" s="1"/>
  <c r="AG58" i="11"/>
  <c r="AF85" i="11"/>
  <c r="AG69" i="11"/>
  <c r="AE79" i="11"/>
  <c r="AG79" i="11" s="1"/>
  <c r="AE65" i="11"/>
  <c r="AE60" i="11"/>
  <c r="J83" i="11"/>
  <c r="J104" i="11" s="1"/>
  <c r="AG60" i="11"/>
  <c r="J95" i="11" l="1"/>
  <c r="J94" i="11"/>
  <c r="J122" i="11"/>
  <c r="J80" i="11"/>
  <c r="J113" i="11"/>
  <c r="AF65" i="11" s="1"/>
  <c r="AE56" i="11"/>
  <c r="J84" i="11"/>
  <c r="J78" i="11"/>
  <c r="J128" i="11" s="1"/>
  <c r="AE85" i="11"/>
  <c r="AG85" i="11" s="1"/>
  <c r="AG65" i="11"/>
  <c r="J106" i="11" l="1"/>
  <c r="AF58" i="11" s="1"/>
  <c r="AF82" i="11"/>
  <c r="AG82" i="11" s="1"/>
  <c r="J108" i="11"/>
  <c r="AF60" i="11" s="1"/>
  <c r="J109" i="11"/>
  <c r="AF56" i="11"/>
  <c r="AG56" i="11"/>
  <c r="AF71" i="11"/>
  <c r="J86" i="11"/>
  <c r="AF68" i="11"/>
  <c r="AE71" i="11"/>
  <c r="AE87" i="11" s="1"/>
  <c r="AF80" i="11"/>
  <c r="J77" i="11"/>
  <c r="J90" i="11" l="1"/>
  <c r="J89" i="11"/>
  <c r="J96" i="11" s="1"/>
  <c r="J97" i="11" s="1"/>
  <c r="AE68" i="11"/>
  <c r="AG68" i="11" s="1"/>
  <c r="AE80" i="11"/>
  <c r="AG80" i="11" s="1"/>
  <c r="AF87" i="11"/>
  <c r="AG87" i="11" s="1"/>
  <c r="AG71" i="11"/>
  <c r="AF86" i="11"/>
  <c r="AF81" i="11"/>
  <c r="J91" i="11" l="1"/>
  <c r="J110" i="11"/>
  <c r="J103" i="11"/>
  <c r="AF72" i="11"/>
  <c r="AE61" i="11"/>
  <c r="J88" i="11"/>
  <c r="AE86" i="11"/>
  <c r="AG86" i="11" s="1"/>
  <c r="AE81" i="11"/>
  <c r="AG81" i="11" s="1"/>
  <c r="AE63" i="11" l="1"/>
  <c r="AF61" i="11"/>
  <c r="AG61" i="11"/>
  <c r="AE73" i="11"/>
  <c r="AG55" i="11"/>
  <c r="AE72" i="11"/>
  <c r="AG72" i="11" s="1"/>
  <c r="AF73" i="11"/>
  <c r="AF55" i="11"/>
  <c r="AF62" i="11"/>
  <c r="J98" i="11"/>
  <c r="AE64" i="11" l="1"/>
  <c r="J99" i="11"/>
  <c r="AE62" i="11"/>
  <c r="AE52" i="11"/>
  <c r="AG73" i="11"/>
  <c r="AG62" i="11"/>
  <c r="AE55" i="11"/>
  <c r="AE89" i="11" l="1"/>
  <c r="J100" i="11"/>
  <c r="J112" i="11"/>
  <c r="J111" i="11"/>
  <c r="AE53" i="11"/>
  <c r="AE51" i="11"/>
  <c r="AF63" i="11" l="1"/>
  <c r="AG63" i="11"/>
  <c r="J105" i="11"/>
  <c r="J116" i="11"/>
  <c r="AF64" i="11"/>
  <c r="AG64" i="11"/>
  <c r="AG52" i="11" l="1"/>
  <c r="AF52" i="11"/>
  <c r="AG57" i="11"/>
  <c r="AF57" i="11"/>
  <c r="AF89" i="11" s="1"/>
  <c r="AG89" i="11" s="1"/>
  <c r="J115" i="11"/>
  <c r="J117" i="11" l="1"/>
  <c r="J120" i="11" s="1"/>
  <c r="AG51" i="11"/>
  <c r="AF51" i="11"/>
  <c r="AF53" i="11" l="1"/>
  <c r="AG53" i="11"/>
  <c r="J84" i="12"/>
  <c r="P81" i="12" s="1"/>
  <c r="K85" i="12"/>
  <c r="Q81" i="12"/>
  <c r="Q100" i="12" s="1"/>
  <c r="P100" i="12" l="1"/>
  <c r="R100" i="12" s="1"/>
  <c r="R81" i="12"/>
  <c r="L84" i="12"/>
  <c r="J85" i="12"/>
  <c r="K87" i="12" l="1"/>
  <c r="K90" i="12"/>
  <c r="K88" i="12"/>
  <c r="K91" i="12" s="1"/>
  <c r="K92" i="12" s="1"/>
  <c r="L86" i="12"/>
  <c r="L85" i="12"/>
  <c r="J88" i="12" l="1"/>
  <c r="K93" i="12"/>
  <c r="K94" i="12"/>
  <c r="J87" i="12"/>
  <c r="L87" i="12" s="1"/>
  <c r="J90" i="12"/>
  <c r="L90" i="12" s="1"/>
  <c r="K89" i="12"/>
  <c r="K96" i="12" l="1"/>
  <c r="L88" i="12"/>
  <c r="J91" i="12"/>
  <c r="K95" i="12"/>
  <c r="K116" i="12"/>
  <c r="J89" i="12"/>
  <c r="L89" i="12" s="1"/>
  <c r="L91" i="12" l="1"/>
  <c r="J92" i="12"/>
  <c r="K97" i="12"/>
  <c r="K101" i="12"/>
  <c r="Q98" i="12"/>
  <c r="K128" i="12"/>
  <c r="K106" i="12"/>
  <c r="L105" i="12"/>
  <c r="J93" i="12"/>
  <c r="J96" i="12" s="1"/>
  <c r="J95" i="12"/>
  <c r="K98" i="12"/>
  <c r="K100" i="12"/>
  <c r="K113" i="12"/>
  <c r="K122" i="12"/>
  <c r="J94" i="12" l="1"/>
  <c r="L92" i="12"/>
  <c r="K124" i="12"/>
  <c r="Q83" i="12"/>
  <c r="K107" i="12"/>
  <c r="L95" i="12"/>
  <c r="Q73" i="12"/>
  <c r="K102" i="12"/>
  <c r="J100" i="12"/>
  <c r="L93" i="12"/>
  <c r="Q91" i="12"/>
  <c r="K119" i="12"/>
  <c r="J106" i="12"/>
  <c r="J128" i="12"/>
  <c r="P73" i="12" s="1"/>
  <c r="P98" i="12"/>
  <c r="R98" i="12" s="1"/>
  <c r="K99" i="12"/>
  <c r="Q82" i="12"/>
  <c r="K130" i="12"/>
  <c r="J116" i="12" l="1"/>
  <c r="L94" i="12"/>
  <c r="J103" i="12"/>
  <c r="L103" i="12" s="1"/>
  <c r="L100" i="12"/>
  <c r="R73" i="12"/>
  <c r="L128" i="12"/>
  <c r="P83" i="12"/>
  <c r="R83" i="12" s="1"/>
  <c r="J124" i="12"/>
  <c r="J107" i="12"/>
  <c r="Q74" i="12"/>
  <c r="R74" i="12" s="1"/>
  <c r="L130" i="12"/>
  <c r="Q95" i="12"/>
  <c r="J98" i="12"/>
  <c r="J97" i="12"/>
  <c r="J101" i="12"/>
  <c r="L101" i="12" s="1"/>
  <c r="W70" i="12"/>
  <c r="X70" i="12" s="1"/>
  <c r="L96" i="12"/>
  <c r="L106" i="12"/>
  <c r="K117" i="12"/>
  <c r="Q88" i="12"/>
  <c r="K126" i="12"/>
  <c r="J113" i="12" l="1"/>
  <c r="J122" i="12"/>
  <c r="L116" i="12"/>
  <c r="J126" i="12"/>
  <c r="J149" i="12" s="1"/>
  <c r="P60" i="12" s="1"/>
  <c r="K109" i="12"/>
  <c r="K127" i="12"/>
  <c r="K111" i="12"/>
  <c r="V67" i="12"/>
  <c r="X67" i="12" s="1"/>
  <c r="W68" i="12"/>
  <c r="X68" i="12" s="1"/>
  <c r="K149" i="12"/>
  <c r="Q97" i="12"/>
  <c r="J102" i="12"/>
  <c r="L102" i="12" s="1"/>
  <c r="L98" i="12"/>
  <c r="J99" i="12"/>
  <c r="P82" i="12"/>
  <c r="R82" i="12" s="1"/>
  <c r="L97" i="12"/>
  <c r="L108" i="12"/>
  <c r="K114" i="12"/>
  <c r="K123" i="12"/>
  <c r="L124" i="12"/>
  <c r="L107" i="12"/>
  <c r="P95" i="12"/>
  <c r="R95" i="12" s="1"/>
  <c r="L126" i="12" l="1"/>
  <c r="P91" i="12"/>
  <c r="R91" i="12" s="1"/>
  <c r="L122" i="12"/>
  <c r="J119" i="12"/>
  <c r="L113" i="12"/>
  <c r="W73" i="12"/>
  <c r="X73" i="12" s="1"/>
  <c r="Q75" i="12"/>
  <c r="K120" i="12"/>
  <c r="Q72" i="12"/>
  <c r="K129" i="12"/>
  <c r="J117" i="12"/>
  <c r="L99" i="12"/>
  <c r="Q84" i="12"/>
  <c r="K110" i="12"/>
  <c r="P97" i="12"/>
  <c r="R97" i="12" s="1"/>
  <c r="J109" i="12"/>
  <c r="J111" i="12"/>
  <c r="P75" i="12" s="1"/>
  <c r="P99" i="12" s="1"/>
  <c r="J127" i="12"/>
  <c r="L127" i="12" s="1"/>
  <c r="Q92" i="12"/>
  <c r="Q60" i="12"/>
  <c r="L149" i="12"/>
  <c r="R60" i="12" s="1"/>
  <c r="P88" i="12" l="1"/>
  <c r="R88" i="12" s="1"/>
  <c r="L119" i="12"/>
  <c r="L111" i="12"/>
  <c r="P84" i="12"/>
  <c r="J110" i="12"/>
  <c r="J115" i="12" s="1"/>
  <c r="K132" i="12"/>
  <c r="K133" i="12"/>
  <c r="K134" i="12"/>
  <c r="K138" i="12"/>
  <c r="Q89" i="12"/>
  <c r="K142" i="12"/>
  <c r="K115" i="12"/>
  <c r="R84" i="12"/>
  <c r="L109" i="12"/>
  <c r="R75" i="12"/>
  <c r="Q99" i="12"/>
  <c r="R99" i="12" s="1"/>
  <c r="J129" i="12"/>
  <c r="L129" i="12" s="1"/>
  <c r="J154" i="12"/>
  <c r="P72" i="12"/>
  <c r="R72" i="12" s="1"/>
  <c r="J114" i="12"/>
  <c r="J123" i="12"/>
  <c r="L117" i="12"/>
  <c r="L110" i="12" l="1"/>
  <c r="K112" i="12"/>
  <c r="K121" i="12"/>
  <c r="L115" i="12"/>
  <c r="K154" i="12"/>
  <c r="P65" i="12"/>
  <c r="J120" i="12"/>
  <c r="L114" i="12"/>
  <c r="Q64" i="12"/>
  <c r="W69" i="12"/>
  <c r="X69" i="12" s="1"/>
  <c r="K139" i="12"/>
  <c r="K131" i="12"/>
  <c r="L131" i="12" s="1"/>
  <c r="J132" i="12"/>
  <c r="L132" i="12" s="1"/>
  <c r="J134" i="12"/>
  <c r="L134" i="12" s="1"/>
  <c r="J133" i="12"/>
  <c r="L133" i="12" s="1"/>
  <c r="J112" i="12"/>
  <c r="J118" i="12" s="1"/>
  <c r="J121" i="12"/>
  <c r="P90" i="12" s="1"/>
  <c r="K155" i="12"/>
  <c r="K135" i="12"/>
  <c r="W65" i="12" s="1"/>
  <c r="X65" i="12" s="1"/>
  <c r="K148" i="12"/>
  <c r="Q76" i="12"/>
  <c r="K143" i="12"/>
  <c r="P92" i="12"/>
  <c r="R92" i="12" s="1"/>
  <c r="L123" i="12"/>
  <c r="P86" i="12" l="1"/>
  <c r="J142" i="12"/>
  <c r="L142" i="12" s="1"/>
  <c r="J138" i="12"/>
  <c r="L138" i="12" s="1"/>
  <c r="P89" i="12"/>
  <c r="R89" i="12" s="1"/>
  <c r="J153" i="12"/>
  <c r="L120" i="12"/>
  <c r="L154" i="12"/>
  <c r="R65" i="12" s="1"/>
  <c r="Q65" i="12"/>
  <c r="K141" i="12"/>
  <c r="K140" i="12"/>
  <c r="P76" i="12"/>
  <c r="R76" i="12" s="1"/>
  <c r="J135" i="12"/>
  <c r="P77" i="12" s="1"/>
  <c r="J148" i="12"/>
  <c r="L148" i="12" s="1"/>
  <c r="R59" i="12" s="1"/>
  <c r="G143" i="12"/>
  <c r="Q77" i="12"/>
  <c r="Q90" i="12"/>
  <c r="L121" i="12"/>
  <c r="J158" i="12"/>
  <c r="P69" i="12" s="1"/>
  <c r="J151" i="12"/>
  <c r="P62" i="12" s="1"/>
  <c r="P87" i="12"/>
  <c r="P85" i="12" s="1"/>
  <c r="J137" i="12"/>
  <c r="Q59" i="12"/>
  <c r="Q66" i="12"/>
  <c r="K118" i="12"/>
  <c r="L112" i="12"/>
  <c r="J139" i="12" l="1"/>
  <c r="L139" i="12" s="1"/>
  <c r="J143" i="12"/>
  <c r="J155" i="12" s="1"/>
  <c r="P66" i="12" s="1"/>
  <c r="G139" i="12"/>
  <c r="R77" i="12"/>
  <c r="L135" i="12"/>
  <c r="P64" i="12"/>
  <c r="L153" i="12"/>
  <c r="R64" i="12" s="1"/>
  <c r="W66" i="12"/>
  <c r="X66" i="12" s="1"/>
  <c r="R90" i="12"/>
  <c r="Q86" i="12"/>
  <c r="R86" i="12" s="1"/>
  <c r="K144" i="12"/>
  <c r="K151" i="12"/>
  <c r="Q87" i="12"/>
  <c r="L118" i="12"/>
  <c r="K158" i="12"/>
  <c r="K137" i="12"/>
  <c r="L137" i="12" s="1"/>
  <c r="J160" i="12"/>
  <c r="P59" i="12"/>
  <c r="J140" i="12" l="1"/>
  <c r="J144" i="12" s="1"/>
  <c r="L144" i="12" s="1"/>
  <c r="J141" i="12"/>
  <c r="L141" i="12" s="1"/>
  <c r="L143" i="12"/>
  <c r="L155" i="12"/>
  <c r="R66" i="12" s="1"/>
  <c r="Q85" i="12"/>
  <c r="R85" i="12" s="1"/>
  <c r="R87" i="12"/>
  <c r="Q62" i="12"/>
  <c r="L151" i="12"/>
  <c r="R62" i="12" s="1"/>
  <c r="P55" i="12"/>
  <c r="K145" i="12"/>
  <c r="K156" i="12"/>
  <c r="K157" i="12"/>
  <c r="Q69" i="12"/>
  <c r="L158" i="12"/>
  <c r="R69" i="12" s="1"/>
  <c r="J157" i="12" l="1"/>
  <c r="P68" i="12" s="1"/>
  <c r="L140" i="12"/>
  <c r="J145" i="12"/>
  <c r="L145" i="12" s="1"/>
  <c r="J156" i="12"/>
  <c r="P67" i="12" s="1"/>
  <c r="Q68" i="12"/>
  <c r="Q67" i="12"/>
  <c r="K150" i="12"/>
  <c r="K161" i="12"/>
  <c r="L157" i="12" l="1"/>
  <c r="R68" i="12" s="1"/>
  <c r="P101" i="12"/>
  <c r="L156" i="12"/>
  <c r="R67" i="12" s="1"/>
  <c r="J161" i="12"/>
  <c r="L161" i="12" s="1"/>
  <c r="R56" i="12" s="1"/>
  <c r="Q56" i="12"/>
  <c r="Q61" i="12"/>
  <c r="Q101" i="12" s="1"/>
  <c r="R101" i="12" s="1"/>
  <c r="L150" i="12"/>
  <c r="R61" i="12" s="1"/>
  <c r="K160" i="12"/>
  <c r="J162" i="12"/>
  <c r="P57" i="12" s="1"/>
  <c r="P56" i="12" l="1"/>
  <c r="L160" i="12"/>
  <c r="R55" i="12" s="1"/>
  <c r="Q55" i="12"/>
  <c r="K162" i="12"/>
  <c r="L162" i="12" l="1"/>
  <c r="R57" i="12" s="1"/>
  <c r="Q57" i="12"/>
  <c r="V64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H6" authorId="0" shapeId="0" xr:uid="{24D7EB09-E685-46F7-AC91-A3FC2C9BB97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Denne tonnage ligger fast, dvs. mængden skal afbrændes i den pågældende måned.</t>
        </r>
      </text>
    </comment>
    <comment ref="H7" authorId="0" shapeId="0" xr:uid="{BAE2A4F9-51A6-4424-B5D7-29C10901E44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Tonnagen er fri, dvs. tonnagen angiver en øvre grænse for hver måned.</t>
        </r>
      </text>
    </comment>
    <comment ref="H8" authorId="0" shapeId="0" xr:uid="{66843D03-B08F-465B-A301-A0669EB3A65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Tonnagen er fri, dvs. tonnagen angiver en øvre grænse for hver måned.</t>
        </r>
      </text>
    </comment>
    <comment ref="H13" authorId="0" shapeId="0" xr:uid="{92473D5D-7359-495D-963A-5C7217C47F7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  <comment ref="F22" authorId="0" shapeId="0" xr:uid="{EF9D517D-E880-41FC-8342-B1708E01EE7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NS = Nordic Sugar</t>
        </r>
      </text>
    </comment>
    <comment ref="A27" authorId="0" shapeId="0" xr:uid="{237C4E21-54F6-4598-A653-0A5DC891F29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Anvendes kun ift. CO2-afgift, da Energistyrelsen har fastsat en administrativ sats for kvote-beregning.</t>
        </r>
      </text>
    </comment>
    <comment ref="A28" authorId="0" shapeId="0" xr:uid="{97747213-2C9B-48DC-8156-B92B0848285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Energistyrelsen har fastsat en administrativ sats for nedre brændværdi på 10,6 GJ/ton ved kvote-beregning.</t>
        </r>
      </text>
    </comment>
    <comment ref="H43" authorId="0" shapeId="0" xr:uid="{4CB677D0-B670-452C-9232-B4FAF32454D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modtryksvarmekapacitet.</t>
        </r>
      </text>
    </comment>
    <comment ref="H44" authorId="0" shapeId="0" xr:uid="{6AE30B97-927D-44C5-97FD-5857FA3064C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RGK-varmekapacitet</t>
        </r>
      </text>
    </comment>
    <comment ref="H45" authorId="0" shapeId="0" xr:uid="{EB7840DF-0173-4028-89D0-4C665A84C65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 af modtryks- og RGK-kapacitet</t>
        </r>
      </text>
    </comment>
    <comment ref="H46" authorId="0" shapeId="0" xr:uid="{AE7FE634-570B-4803-854E-70BD3B3B46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Tilbageregning fra modtryksvarmekapacitet til indfyret effekt.</t>
        </r>
      </text>
    </comment>
    <comment ref="H47" authorId="0" shapeId="0" xr:uid="{A9519F75-FED9-49AE-B28B-2692C49EFAD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Omregning fra indfyret effekt til indfyret tonnage.</t>
        </r>
      </text>
    </comment>
    <comment ref="H50" authorId="0" shapeId="0" xr:uid="{13319115-2FA1-4CEB-A4F8-A648CB87CA8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modtryksvarmekapacitet.</t>
        </r>
      </text>
    </comment>
    <comment ref="H51" authorId="0" shapeId="0" xr:uid="{A6477C5D-B1EA-4709-A579-69C20567AE6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RGK-varmekapacitet</t>
        </r>
      </text>
    </comment>
    <comment ref="H52" authorId="0" shapeId="0" xr:uid="{1BE7FFA4-2B57-495E-BD4A-7E503969417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 af modtryks- og RGK-kapacitet</t>
        </r>
      </text>
    </comment>
    <comment ref="H53" authorId="0" shapeId="0" xr:uid="{47A11DFF-8F11-420E-A776-7114AFC2859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Tilbageregning fra modtryksvarmekapacitet til indfyret effekt.</t>
        </r>
      </text>
    </comment>
    <comment ref="H54" authorId="0" shapeId="0" xr:uid="{E2CBAC6E-A1B3-4F2B-91AC-47D88BA4229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Omregning fra indfyret effekt til indfyret tonnage.</t>
        </r>
      </text>
    </comment>
    <comment ref="H70" authorId="0" shapeId="0" xr:uid="{0809D7D5-EEB6-47B2-BCEA-3187D84E309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Modtryksvarme-kapacitet, da restkapaciteten kun skal bruges til at producere bortkøle-varme.</t>
        </r>
      </text>
    </comment>
    <comment ref="H71" authorId="0" shapeId="0" xr:uid="{6C79A2E9-5C2A-4B12-A307-D92BD02F274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Modtryksvarme-kapacitet, da restkapaciteten kun skal bruges til at producere bortkøle-varme.</t>
        </r>
      </text>
    </comment>
    <comment ref="J96" authorId="0" shapeId="0" xr:uid="{35944CB2-93CC-4104-A43C-92622984A4B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Særtilfældet RKG=0 håndteres eksplicit her, idet afgiftsberegningen med RKG ikke konvergerer mod afgiftsberegningen uden RKG, når RKG-udnyttelsen går mod nul.</t>
        </r>
      </text>
    </comment>
    <comment ref="J99" authorId="0" shapeId="0" xr:uid="{C33DC7EB-36C2-497D-9768-C7E4139FA35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Særtilfældet RKG=0 håndteres eksplicit her, idet afgiftsberegningen med RKG ikke konvergerer mod afgiftsberegningen uden RKG, når RKG-udnyttelsen går mod nul.</t>
        </r>
      </text>
    </comment>
    <comment ref="H121" authorId="0" shapeId="0" xr:uid="{064554AD-25CF-4C0B-9093-18D08B29ECA1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Sum af Leveret affaldvarme, NS-varme og SR-varme skal være lig med varmebehovet.
Formuleret som sum(Q) - Qdemand = 0 </t>
        </r>
      </text>
    </comment>
    <comment ref="H122" authorId="0" shapeId="0" xr:uid="{98BFD696-F71C-4B71-A2AF-7DDD30EBE51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Max. årstonnage af biogent affald, formuleret som:
MaxBiogenTonnage - sum(måned, udnyttetAffald * biogenAndel) &gt; 0</t>
        </r>
      </text>
    </comment>
    <comment ref="H123" authorId="0" shapeId="0" xr:uid="{CCBC0C39-9950-4CD2-B51C-6104DFE6CF2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Max. modtryksvarmeproduktion fra Ovn2 formuleret som:
QmodtrykMax - QmodtrykProdueret &gt; 0</t>
        </r>
      </text>
    </comment>
    <comment ref="H124" authorId="0" shapeId="0" xr:uid="{A97E4654-BAF3-4F5A-A586-8F94940FD05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Max. modtryksvarmeproduktion fra Ovn3 formuleret som:
QmodtrykMax - QmodtrykProdueret &gt; 0</t>
        </r>
      </text>
    </comment>
    <comment ref="H125" authorId="0" shapeId="0" xr:uid="{476CEB3A-90F3-4A1D-B7F5-C5C781D8720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Fri fossil-tonnage skal opylde mindste årsmængde, formuleret som:
sum(mo, Ffri(mo)) - MindsteÅrsmængde &gt; 0</t>
        </r>
      </text>
    </comment>
    <comment ref="H126" authorId="0" shapeId="0" xr:uid="{DB074E5D-F04C-440B-81F3-5C2087404FD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Fri fossil-tonnage skal opylde mindste årsmængde, formuleret som:
StørsteÅrsmængde &gt; sum(mo, Ffri(mo)) </t>
        </r>
      </text>
    </comment>
    <comment ref="H127" authorId="0" shapeId="0" xr:uid="{173209EA-FE50-42D3-B8C1-80B908B9211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Forbruget af NS-varme er opadtil begrænset:
Qmax(NS,mo) - Q(NS, mo)  &gt;0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Mogens B. Laursen</author>
  </authors>
  <commentList>
    <comment ref="A10" authorId="0" shapeId="0" xr:uid="{145F3E9F-48F7-4B9C-B0FC-3F11C9EBB4C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(=1) at den frie fossile fraktion skal forbruges før den biogene fraktion.
Hvis =0, så anvendes den biogene før den fossile.</t>
        </r>
      </text>
    </comment>
    <comment ref="A11" authorId="0" shapeId="0" xr:uid="{28DEF063-E2E5-4D6A-91CD-DAFE916F4EC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  <comment ref="F31" authorId="0" shapeId="0" xr:uid="{3382A955-A510-4B12-A569-F7BBBFE656F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NS = Nordic Sugar</t>
        </r>
      </text>
    </comment>
    <comment ref="A37" authorId="0" shapeId="0" xr:uid="{C8DDD044-7962-4CA5-8F2E-F7906000607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Anvendes kun ift. CO2-afgift, da Energistyrelsen har fastsat en administrativ sats for kvote-beregning.</t>
        </r>
      </text>
    </comment>
    <comment ref="A38" authorId="0" shapeId="0" xr:uid="{09C72719-2649-4DBA-BDD5-5DDBC8CEE0A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Energistyrelsen har fastsat en administrativ sats for nedre brændværdi på 10,6 GJ/ton ved kvote-beregning.</t>
        </r>
      </text>
    </comment>
    <comment ref="H57" authorId="0" shapeId="0" xr:uid="{463B0F3D-081A-48A4-9521-58159B721CC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modtryksvarmekapacitet.</t>
        </r>
      </text>
    </comment>
    <comment ref="H58" authorId="0" shapeId="0" xr:uid="{1F39A44F-7173-4DA0-AC65-2A8D41C5D85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Bestemt af ovnenes RGK-varmekapacitet</t>
        </r>
      </text>
    </comment>
    <comment ref="H59" authorId="0" shapeId="0" xr:uid="{C81C4930-0673-4733-B600-A7D31E47CA3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 af modtryks- og RGK-kapacitet</t>
        </r>
      </text>
    </comment>
    <comment ref="H60" authorId="0" shapeId="0" xr:uid="{720A875F-3842-4650-9823-E171F007633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Tilbageregning fra modtryksvarmekapacitet til indfyret effekt.</t>
        </r>
      </text>
    </comment>
    <comment ref="H61" authorId="0" shapeId="0" xr:uid="{21E037F5-3534-4243-AB4A-E10B71E268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Omregning fra indfyret effekt til indfyret tonnage.baseret på fælles brændværdi</t>
        </r>
      </text>
    </comment>
    <comment ref="T64" authorId="0" shapeId="0" xr:uid="{5794A545-F764-406B-8225-A3867F11B0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Objective er lig med dækningsbidraget minus penalties.</t>
        </r>
      </text>
    </comment>
    <comment ref="T65" authorId="0" shapeId="0" xr:uid="{83814575-88BC-4FCA-81F9-1967D4FAAE55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Sum af Leveret affaldvarme, NS-varme og SR-varme skal være lig med varmebehovet.
Formuleret som sum(Q) - Qdemand = 0 </t>
        </r>
      </text>
    </comment>
    <comment ref="T66" authorId="0" shapeId="0" xr:uid="{2C45FEEF-ACC5-4C07-9711-C573C20156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Fast fossil tonnage skal matche sætpunktet, dog med mulighed for at anvende uudnyttet tonnage belagt med penalty:
FfastFossil = ForbrugFastFossil - FuudnyttetFastFossil </t>
        </r>
      </text>
    </comment>
    <comment ref="T67" authorId="0" shapeId="0" xr:uid="{0BF286AA-F437-423C-A9E9-CA67D36C326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Fri fossil-tonnage skal opfylde mindste mængde, formuleret som:
sum(mo, Ffri(mo)) - Mindstemængde &gt; 0</t>
        </r>
      </text>
    </comment>
    <comment ref="T68" authorId="0" shapeId="0" xr:uid="{A4A18294-0344-42A6-8C9E-65E7DB9CEE5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Fri fossil-tonnage skal opfylde mindste mængde, formuleret som:
StørsteMængde &gt; sum(mo, Ffri(mo)) </t>
        </r>
      </text>
    </comment>
    <comment ref="T69" authorId="0" shapeId="0" xr:uid="{FB3D5B6F-CF93-4888-A1F3-261B9D951CA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Max. årstonnage af biogent affald, formuleret som:
MaxBiogenTonnage - sum(måned, udnyttetAffald * biogenAndel) &gt; 0</t>
        </r>
      </text>
    </comment>
    <comment ref="T70" authorId="0" shapeId="0" xr:uid="{559162F4-D49B-478D-9E62-A055E2300F6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Max. modtryksvarmeproduktion fra Ovn2 formuleret som:
QmodtrykMax - QmodtrykProdueret &gt; 0</t>
        </r>
      </text>
    </comment>
    <comment ref="T71" authorId="0" shapeId="0" xr:uid="{35011799-B239-427D-8B9C-0CC177B4103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Max. modtryksvarmeproduktion fra Ovn3 formuleret som:
QmodtrykMax - QmodtrykProdueret &gt; 0</t>
        </r>
      </text>
    </comment>
    <comment ref="T72" authorId="0" shapeId="0" xr:uid="{7CEF8098-F85C-4FF2-BD5F-B36B1932269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Forbruget af NS-varme er opadtil begrænset:
Qmax(NS,mo) - Q(NS, mo)  &gt;0</t>
        </r>
      </text>
    </comment>
    <comment ref="H103" authorId="0" shapeId="0" xr:uid="{2E6DF1E6-A0F3-434A-A17D-FF38B56637C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Modtryksvarme-kapacitet, da restkapaciteten kun skal bruges til at producere bortkøle-varme.</t>
        </r>
      </text>
    </comment>
    <comment ref="H104" authorId="0" shapeId="0" xr:uid="{8097049C-762C-47B9-A2AD-DF833232568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Modtryksvarme-kapacitet, da restkapaciteten kun skal bruges til at producere bortkøle-varme.</t>
        </r>
      </text>
    </comment>
    <comment ref="H105" authorId="1" shapeId="0" xr:uid="{5AC40DF8-C2D0-4ABF-A6A5-E1610768A1B2}">
      <text>
        <r>
          <rPr>
            <b/>
            <sz val="9"/>
            <color indexed="81"/>
            <rFont val="Tahoma"/>
            <family val="2"/>
          </rPr>
          <t>Mogens B. Laursen:</t>
        </r>
        <r>
          <rPr>
            <sz val="9"/>
            <color indexed="81"/>
            <rFont val="Tahoma"/>
            <family val="2"/>
          </rPr>
          <t xml:space="preserve">
Kun modtryksdrift ifm. bortkøling.</t>
        </r>
      </text>
    </comment>
    <comment ref="K139" authorId="0" shapeId="0" xr:uid="{EF5997BB-C690-4227-B183-30E943FAB81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Særtilfældet RKG=0 håndteres eksplicit her, idet afgiftsberegningen med RKG ikke konvergerer mod afgiftsberegningen uden RKG, når RKG-udnyttelsen går mod nul.</t>
        </r>
      </text>
    </comment>
    <comment ref="K144" authorId="0" shapeId="0" xr:uid="{A4B02217-FC6C-43BE-BB7D-F352CB4BED7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Særtilfældet RKG=0 håndteres eksplicit her, idet afgiftsberegningen med RKG ikke konvergerer mod afgiftsberegningen uden RKG, når RKG-udnyttelsen går mod nul.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C7" authorId="0" shapeId="0" xr:uid="{FD7091C9-F105-4723-BE7A-DBCC4A176B6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Scenarier markeret med  værdien 0 (nul) i rækken Aktiv? bliver ikke beregnet</t>
        </r>
      </text>
    </comment>
    <comment ref="C15" authorId="0" shapeId="0" xr:uid="{D026D16C-C727-4B6D-8231-CF0E53A182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  <comment ref="C20" authorId="0" shapeId="0" xr:uid="{5FEE5D96-6594-4E53-9AE4-FA63E8F1737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RGK-udnyttelsen gælder RGK-varme for begge ovne.</t>
        </r>
      </text>
    </comment>
    <comment ref="B24" authorId="0" shapeId="0" xr:uid="{864D48EE-FB57-4DA3-BE43-8D3C2583FF7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B49" authorId="0" shapeId="0" xr:uid="{8950C917-A002-4560-9E55-803555765F7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D62" authorId="0" shapeId="0" xr:uid="{55D22865-8188-4C99-9487-B2E2B1B2A0C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  <comment ref="D87" authorId="0" shapeId="0" xr:uid="{33A39803-28C7-44AF-942A-DD320A12F75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divideres med skalafaktoren, medmindre den er nul, hvilket svarer til ikke at vise den pågældende kurve.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<sst xmlns="http://schemas.openxmlformats.org/spreadsheetml/2006/main" count="925" uniqueCount="367">
  <si>
    <t>Ovn2</t>
  </si>
  <si>
    <t>Ovn3</t>
  </si>
  <si>
    <t>Varmekapacitet</t>
  </si>
  <si>
    <t>MWq</t>
  </si>
  <si>
    <t>Elkapacitet</t>
  </si>
  <si>
    <t>MWe</t>
  </si>
  <si>
    <t>Egetforbrug</t>
  </si>
  <si>
    <t>Køler</t>
  </si>
  <si>
    <t>RGK-kapacitet</t>
  </si>
  <si>
    <t>Modtryksvarme-virkningsgrad</t>
  </si>
  <si>
    <t>RGK-varme-virkningsgrad</t>
  </si>
  <si>
    <t>El-virkningsgrad</t>
  </si>
  <si>
    <t>Antal rådige døgn</t>
  </si>
  <si>
    <t>MWhe/døgn</t>
  </si>
  <si>
    <t>Anlæg</t>
  </si>
  <si>
    <t>Brændsler</t>
  </si>
  <si>
    <t>ton</t>
  </si>
  <si>
    <t>DV-omk sats</t>
  </si>
  <si>
    <t>kr/MWhf</t>
  </si>
  <si>
    <t>NS</t>
  </si>
  <si>
    <t>Priser</t>
  </si>
  <si>
    <t>Varmesalg</t>
  </si>
  <si>
    <t>kr/MWhq</t>
  </si>
  <si>
    <t>kr/ton</t>
  </si>
  <si>
    <t>Elspotpris</t>
  </si>
  <si>
    <t>kr/MWhe</t>
  </si>
  <si>
    <t>CO2 kvotepris</t>
  </si>
  <si>
    <t>Varmesalgspris</t>
  </si>
  <si>
    <t>Nedre brændværdi</t>
  </si>
  <si>
    <t>GJ/ton</t>
  </si>
  <si>
    <t>Affaldvarme-afgift</t>
  </si>
  <si>
    <t>Tillægsafgift</t>
  </si>
  <si>
    <t>CO2-afgift</t>
  </si>
  <si>
    <t>kgCO2/GJ</t>
  </si>
  <si>
    <t>kr/GJq</t>
  </si>
  <si>
    <t>CO2-indhold ift. CO2-afgift</t>
  </si>
  <si>
    <t>CO2-indhold ift. CO2-kvote</t>
  </si>
  <si>
    <t>kr/tonCO2</t>
  </si>
  <si>
    <t>Modtagepris</t>
  </si>
  <si>
    <t>Elproduktions-tarif</t>
  </si>
  <si>
    <t>MWhq</t>
  </si>
  <si>
    <t>RESULTATER</t>
  </si>
  <si>
    <t>Uden RGK</t>
  </si>
  <si>
    <t>Bortkølet varme</t>
  </si>
  <si>
    <t>Brutto elproduktion</t>
  </si>
  <si>
    <t>Netto elproduktion</t>
  </si>
  <si>
    <t>Enhed</t>
  </si>
  <si>
    <t>MWhe</t>
  </si>
  <si>
    <t>Antal driftstimer</t>
  </si>
  <si>
    <t>Max modtryksvarme</t>
  </si>
  <si>
    <t>Max. indfyret effekt</t>
  </si>
  <si>
    <t>MWhf</t>
  </si>
  <si>
    <t>Max. affaldsmængde</t>
  </si>
  <si>
    <t>Mængdefordeling</t>
  </si>
  <si>
    <t>Max. varmeproduktion Ovn3</t>
  </si>
  <si>
    <t>Rest varmebehov</t>
  </si>
  <si>
    <t>Rest total affaldsmængde</t>
  </si>
  <si>
    <t>Affaldsmængde forbrug</t>
  </si>
  <si>
    <t>Nedre brændværdi affald ialt</t>
  </si>
  <si>
    <t>Affaldsmængde ialt</t>
  </si>
  <si>
    <t>Max. NS-varme</t>
  </si>
  <si>
    <t>Max. varmeproduktion Ovn2</t>
  </si>
  <si>
    <t>Max. RGK-varme</t>
  </si>
  <si>
    <t>Max. varmeproduktion affald</t>
  </si>
  <si>
    <t>Varmeproduktion affald ialt</t>
  </si>
  <si>
    <t>Udækket varmebehov</t>
  </si>
  <si>
    <t>Sum varmevirkningsgrad</t>
  </si>
  <si>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</si>
  <si>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</si>
  <si>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</si>
  <si>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</si>
  <si>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</si>
  <si>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</si>
  <si>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</si>
  <si>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</si>
  <si>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</si>
  <si>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</si>
  <si>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DagrenErhverv</t>
  </si>
  <si>
    <t>HandelKontor</t>
  </si>
  <si>
    <t>Privat</t>
  </si>
  <si>
    <t>TyskRest</t>
  </si>
  <si>
    <t>PolskRest</t>
  </si>
  <si>
    <t>PcbTrae</t>
  </si>
  <si>
    <t>TraeRekv</t>
  </si>
  <si>
    <t>Halm</t>
  </si>
  <si>
    <t>Pulver</t>
  </si>
  <si>
    <t>FlisAffald</t>
  </si>
  <si>
    <t>LHV</t>
  </si>
  <si>
    <t>Restvarmekapacitet Ovn2</t>
  </si>
  <si>
    <t>Restvarmekapacitet Ovn3</t>
  </si>
  <si>
    <t>Kølevarme Ovn2</t>
  </si>
  <si>
    <t>Kølevarme Ovn3</t>
  </si>
  <si>
    <t>Affaldsforbrug kølevarme Ovn3</t>
  </si>
  <si>
    <t>Affaldsforbrug kølevarme Ovn2</t>
  </si>
  <si>
    <t>Økonomi</t>
  </si>
  <si>
    <t>Modtagebetaling affald</t>
  </si>
  <si>
    <t>Elsalg</t>
  </si>
  <si>
    <t>RGK-rabat</t>
  </si>
  <si>
    <t>Energiproduktion</t>
  </si>
  <si>
    <t>MWh</t>
  </si>
  <si>
    <t>Varmeproduktion ialt affaldsovne</t>
  </si>
  <si>
    <t>Leveret varme</t>
  </si>
  <si>
    <t>Betaling bioaffald</t>
  </si>
  <si>
    <t>DV-omkostninger</t>
  </si>
  <si>
    <t>Varmeproduktion Ovn2</t>
  </si>
  <si>
    <t>Varmeproduktion Ovn3</t>
  </si>
  <si>
    <t>Heraf RGK-varme</t>
  </si>
  <si>
    <t>Kvote-omkostning</t>
  </si>
  <si>
    <t>Udnyttet affaldsmængde</t>
  </si>
  <si>
    <t>Ikke-udnyttet affaldsmængde</t>
  </si>
  <si>
    <t>Indtægter total</t>
  </si>
  <si>
    <t>Omkostninger total</t>
  </si>
  <si>
    <t>Dækningsbidrag</t>
  </si>
  <si>
    <t>Mellemregninger for afgifter</t>
  </si>
  <si>
    <t>Energiproduktion ATL</t>
  </si>
  <si>
    <t>Forbrugt bioaffald</t>
  </si>
  <si>
    <t>Fossil elproduktion ATL</t>
  </si>
  <si>
    <t>Varmegrundlag ATL</t>
  </si>
  <si>
    <t>RGK-andel af energiproduktion</t>
  </si>
  <si>
    <t>Fossil varmeproduktion ATL,CO2</t>
  </si>
  <si>
    <t>Varmegrundlag CO2</t>
  </si>
  <si>
    <t>RGK-udnyttelse</t>
  </si>
  <si>
    <t>Styringsparametre</t>
  </si>
  <si>
    <t>procent</t>
  </si>
  <si>
    <t>Spidslastvarme</t>
  </si>
  <si>
    <t>Ovnkapaciteter</t>
  </si>
  <si>
    <t>Realiseret energi og mængde</t>
  </si>
  <si>
    <t>Kvote brændværdi jf. ENS</t>
  </si>
  <si>
    <t>tkr</t>
  </si>
  <si>
    <t>RGK ift. nominel</t>
  </si>
  <si>
    <t>Varmemængder</t>
  </si>
  <si>
    <t>RGK</t>
  </si>
  <si>
    <t>MELLEMREGNINGER</t>
  </si>
  <si>
    <t>Affaldsforbrug Ovn3</t>
  </si>
  <si>
    <t>Nordic Sugar varme</t>
  </si>
  <si>
    <t>Affaldsforbrug Ovn2</t>
  </si>
  <si>
    <t>Ikke-udnyttet affald</t>
  </si>
  <si>
    <t>Udnyttet affald</t>
  </si>
  <si>
    <t>Brændselsmængder</t>
  </si>
  <si>
    <t>Kapacitetsudnyttelse</t>
  </si>
  <si>
    <t>SUM</t>
  </si>
  <si>
    <t>FJV-behov</t>
  </si>
  <si>
    <t>Affaldstonnage Biogen</t>
  </si>
  <si>
    <t>Værdi</t>
  </si>
  <si>
    <t>Nominelt</t>
  </si>
  <si>
    <t>sc1</t>
  </si>
  <si>
    <t>sc2</t>
  </si>
  <si>
    <t>sc3</t>
  </si>
  <si>
    <t>sc4</t>
  </si>
  <si>
    <t>sc5</t>
  </si>
  <si>
    <t>sc6</t>
  </si>
  <si>
    <t>sc7</t>
  </si>
  <si>
    <t>sc8</t>
  </si>
  <si>
    <t>sc9</t>
  </si>
  <si>
    <t>sc10</t>
  </si>
  <si>
    <t>sc11</t>
  </si>
  <si>
    <t>sc12</t>
  </si>
  <si>
    <t>sc13</t>
  </si>
  <si>
    <t>sc14</t>
  </si>
  <si>
    <t>sc15</t>
  </si>
  <si>
    <t>sc16</t>
  </si>
  <si>
    <t>sc17</t>
  </si>
  <si>
    <t>sc18</t>
  </si>
  <si>
    <t>sc19</t>
  </si>
  <si>
    <t>sc20</t>
  </si>
  <si>
    <t>Aktiv ?</t>
  </si>
  <si>
    <t xml:space="preserve"> RESULTATOMRÅDE</t>
  </si>
  <si>
    <t>Økonomi:</t>
  </si>
  <si>
    <t>Varmemængder:</t>
  </si>
  <si>
    <t>Brændselsmængder:</t>
  </si>
  <si>
    <t>Kapacitetsudnyttelse:</t>
  </si>
  <si>
    <t>Resultat-typer</t>
  </si>
  <si>
    <t>X-Y chart</t>
  </si>
  <si>
    <t>Titel:</t>
  </si>
  <si>
    <t>Modtagebetaling og RGK-rabat vs. RGK-udnyttelse</t>
  </si>
  <si>
    <t>Skalafaktor</t>
  </si>
  <si>
    <t xml:space="preserve"> INPUTOMRÅDE FOR SCENARIER</t>
  </si>
  <si>
    <t>Vælg resultat-type herunder</t>
  </si>
  <si>
    <t>Økonomiske nøgletal</t>
  </si>
  <si>
    <t>Input</t>
  </si>
  <si>
    <t>VPO affald</t>
  </si>
  <si>
    <t>Variabel varmeproduktionsomkostning</t>
  </si>
  <si>
    <t>Ovn3 tonnageudnyttelse</t>
  </si>
  <si>
    <t>Ovn2 tonnageudnyttelse</t>
  </si>
  <si>
    <t>Bortkøleanlæg udnyttelse</t>
  </si>
  <si>
    <t>NS-varme udnyttelse</t>
  </si>
  <si>
    <t>Variabel VPO for affaldsanlæg</t>
  </si>
  <si>
    <t>Rådige døgn Ovn2</t>
  </si>
  <si>
    <t>Rådige døgn Ovn3</t>
  </si>
  <si>
    <t>dage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</si>
  <si>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</si>
  <si>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</si>
  <si>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</si>
  <si>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</si>
  <si>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</si>
  <si>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</si>
  <si>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</si>
  <si>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</si>
  <si>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</si>
  <si>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</si>
  <si>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</si>
  <si>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</si>
  <si>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Htotal</t>
  </si>
  <si>
    <t>Biogent</t>
  </si>
  <si>
    <t>DV-omkostnings sats</t>
  </si>
  <si>
    <t>Ftotal</t>
  </si>
  <si>
    <t>Ptotal</t>
  </si>
  <si>
    <t>Antal dage</t>
  </si>
  <si>
    <t>BiogenAndel</t>
  </si>
  <si>
    <t>Brændværdi fri fossil fraktion</t>
  </si>
  <si>
    <t>Modtagepris fri fossil fraktion</t>
  </si>
  <si>
    <t>ton/år</t>
  </si>
  <si>
    <t>Priser og afgifter</t>
  </si>
  <si>
    <t>Fri fossil</t>
  </si>
  <si>
    <t>Fast fossil</t>
  </si>
  <si>
    <t>Mindste årsmængde</t>
  </si>
  <si>
    <t>Største årsmøngde</t>
  </si>
  <si>
    <t xml:space="preserve"> RESTRIKTIONER</t>
  </si>
  <si>
    <t>SR-varmeproduktionspris</t>
  </si>
  <si>
    <t>Fast fossil andel</t>
  </si>
  <si>
    <t>Fri fossil andel</t>
  </si>
  <si>
    <t>Forbrugt fossilt affald fast</t>
  </si>
  <si>
    <t>Forbrugt fossilt affald fri</t>
  </si>
  <si>
    <t>NPV (Objective)</t>
  </si>
  <si>
    <t>tkr/år</t>
  </si>
  <si>
    <t>FriFossil</t>
  </si>
  <si>
    <t>FastFossil</t>
  </si>
  <si>
    <t>Leveret affaldsvarme</t>
  </si>
  <si>
    <t>Med RGK ift.Uden RGK</t>
  </si>
  <si>
    <t>Heraf modtryksvarme</t>
  </si>
  <si>
    <t>EQ_Qdemand</t>
  </si>
  <si>
    <t xml:space="preserve">GE_MaxBiogenTonnage </t>
  </si>
  <si>
    <t>GE_MaxModtryksvarme_Ovn2</t>
  </si>
  <si>
    <t>GE_MaxModtryksvarme_Ovn3</t>
  </si>
  <si>
    <t>Input-parametre</t>
  </si>
  <si>
    <t>Modelstyring</t>
  </si>
  <si>
    <t>Optimering eller Konsekvens</t>
  </si>
  <si>
    <t>NordicSugar varme maksimum</t>
  </si>
  <si>
    <t>GE_NSvarme</t>
  </si>
  <si>
    <t xml:space="preserve">GE_FossilFriMax </t>
  </si>
  <si>
    <t>GE_FossilFriMin</t>
  </si>
  <si>
    <t>Optimeringsvariable</t>
  </si>
  <si>
    <t>NS-varme forbrugt</t>
  </si>
  <si>
    <t>RGK aktiv</t>
  </si>
  <si>
    <t>0/1</t>
  </si>
  <si>
    <t>GE_Cool</t>
  </si>
  <si>
    <t>HERTIL</t>
  </si>
  <si>
    <t>Bortkølet affaldsvarme</t>
  </si>
  <si>
    <t>=MIN(J64;EtaQNomOvn3*J60*J26/3,6;24*EtaQNomOvn3*KapQcool)</t>
  </si>
  <si>
    <t>=MIN(J63;EtaQNomOvn3*J67*J26/3,6;24*$E$11*KapQcool-J65)</t>
  </si>
  <si>
    <t>=J49+J65</t>
  </si>
  <si>
    <t xml:space="preserve">Aktiv måned </t>
  </si>
  <si>
    <t>Affaldsforbrug Biogen Fri Ovn3</t>
  </si>
  <si>
    <t>Affaldsforbrug Biogen Fri Ovn2</t>
  </si>
  <si>
    <t>Ftotal Ovn2</t>
  </si>
  <si>
    <t>Ftotal Ovn3</t>
  </si>
  <si>
    <t>EtaQmaxOvn3</t>
  </si>
  <si>
    <t>EtaQmaxOvn2</t>
  </si>
  <si>
    <t>NordicSugar varme max.</t>
  </si>
  <si>
    <t>FossilFri før Biogen</t>
  </si>
  <si>
    <t>Brændselsprioriteter</t>
  </si>
  <si>
    <t>Fraktion1</t>
  </si>
  <si>
    <t>Fraktion2</t>
  </si>
  <si>
    <t>Fraktion3</t>
  </si>
  <si>
    <t>Tonnage</t>
  </si>
  <si>
    <t>Varmeproduktion Ovn3 Fraktion1</t>
  </si>
  <si>
    <t>Rest varmebehov efter Fraktion1</t>
  </si>
  <si>
    <t>Forbrug Fraktion1</t>
  </si>
  <si>
    <t>Rest tonnage Fraktion1</t>
  </si>
  <si>
    <t>Varmeproduktion Ovn3 Fraktion2</t>
  </si>
  <si>
    <t>Forbrug Fraktion2</t>
  </si>
  <si>
    <t>Rest varmebehov efter Fraktion2</t>
  </si>
  <si>
    <t>Rest tonnage Fraktion2</t>
  </si>
  <si>
    <t>Rest varmeprod.kapacitet Fraktion1</t>
  </si>
  <si>
    <t>Rest varmeprod.kapacitet Fraktion2</t>
  </si>
  <si>
    <t>m/RGK</t>
  </si>
  <si>
    <t>Varmeproduktion Ovn3 Fraktion3</t>
  </si>
  <si>
    <t>Forbrug Fraktion3</t>
  </si>
  <si>
    <t>Rest varmebehov efter Fraktion3</t>
  </si>
  <si>
    <t>Rest tonnage Fraktion3</t>
  </si>
  <si>
    <t>Rest varmeprod.kapacitet Fraktion3</t>
  </si>
  <si>
    <t>Affaldsmængde forbrug Fraktion1</t>
  </si>
  <si>
    <t>Varmeproduktion Ovn2 Fraktion1</t>
  </si>
  <si>
    <t>NS-varmeleverance</t>
  </si>
  <si>
    <t>Max. varmeproduktion Ovn2 Fraktion2</t>
  </si>
  <si>
    <t>Affaldsmængde forbrug Fraktion2</t>
  </si>
  <si>
    <t>Affaldsmængde forbrug Fraktion3</t>
  </si>
  <si>
    <t>Max. varmeproduktion Ovn2 Fraktion3</t>
  </si>
  <si>
    <t>Kun FossilFast fraktion bortkøles</t>
  </si>
  <si>
    <t>Udnyttet tonnage Fraktion1</t>
  </si>
  <si>
    <t>Udnyttet tonnage Fraktion2</t>
  </si>
  <si>
    <t>Udnyttet tonnage Fraktion3</t>
  </si>
  <si>
    <t>Ikke-udnyttet tonnage Fraktion1</t>
  </si>
  <si>
    <t>Ikke-udnyttet tonnage Fraktion2</t>
  </si>
  <si>
    <t>Ikke-udnyttet tonnage Fraktion3</t>
  </si>
  <si>
    <t>Effekt</t>
  </si>
  <si>
    <t>Biogent udnyttet</t>
  </si>
  <si>
    <t>Frit Fossilt udnyttet</t>
  </si>
  <si>
    <t>Fast Fossilt udnyttet</t>
  </si>
  <si>
    <t>Fast Fossilt ikke-udnyttet</t>
  </si>
  <si>
    <t>Frit Fossilt ikke-udnyttet</t>
  </si>
  <si>
    <t>Biogent ikke-udnyttet</t>
  </si>
  <si>
    <t>Forbrugt bioaffald energi</t>
  </si>
  <si>
    <t>Forbrugt fossilt affald energi</t>
  </si>
  <si>
    <t>Varmegrundlag AFV</t>
  </si>
  <si>
    <t>Kraftvarmeandel</t>
  </si>
  <si>
    <t>Biogen varmeproduktion AFV</t>
  </si>
  <si>
    <t>OPGØRELSE FRA REFA PÅ FRAKTIONS-NIVEAU</t>
  </si>
  <si>
    <t>SDEV</t>
  </si>
  <si>
    <t>SDEV/SUM</t>
  </si>
  <si>
    <t>MaxDev</t>
  </si>
  <si>
    <t>MaxDev%</t>
  </si>
  <si>
    <t>Erhverv,brænd</t>
  </si>
  <si>
    <t>SumAffald</t>
  </si>
  <si>
    <t>Driftsdage</t>
  </si>
  <si>
    <t>Affaldstonnage Fast Fossil</t>
  </si>
  <si>
    <t>Affaldsforbrug Fast Fossil Ovn2</t>
  </si>
  <si>
    <t>Affaldsforbrug Fast Fossil Ovn3</t>
  </si>
  <si>
    <t>Affaldstonnage Fri Fossil</t>
  </si>
  <si>
    <t>Affaldsforbrug Fri Fossil Ovn2</t>
  </si>
  <si>
    <t>Affaldsforbrug Fri Fossil Ovn3</t>
  </si>
  <si>
    <t>Ovn3 udnyttelse</t>
  </si>
  <si>
    <t>Ovn2 udnyttelse</t>
  </si>
  <si>
    <t>Ovn2 udnyttelse efter køling</t>
  </si>
  <si>
    <t>Ovn3 udnyttelse efter køling</t>
  </si>
  <si>
    <t>Modtagepris Fri Fossil</t>
  </si>
  <si>
    <t>Brændværdi Fri Fossil</t>
  </si>
  <si>
    <t>Købspris biogent affald</t>
  </si>
  <si>
    <t>Fast Fossil</t>
  </si>
  <si>
    <t>kr/GJ</t>
  </si>
  <si>
    <t>OBS: Scenarier er indbyrdes u-afhængige og beregnes derfor individuelt</t>
  </si>
  <si>
    <t>100% RGK</t>
  </si>
  <si>
    <t>BESKRIVELSE:</t>
  </si>
  <si>
    <t>Antal rådige døgn Ovn2</t>
  </si>
  <si>
    <t>Antal rådige døgn Ovn3</t>
  </si>
  <si>
    <t>døgn</t>
  </si>
  <si>
    <t>ForbrugFriFossilOvn2</t>
  </si>
  <si>
    <t>ForbrugFriFossilOvn3</t>
  </si>
  <si>
    <t>ForbrugBiogentOvn3</t>
  </si>
  <si>
    <t>ForbrugBiogentOvn2</t>
  </si>
  <si>
    <t>ForbrugNSvarme</t>
  </si>
  <si>
    <t>ForbrugSRvarme</t>
  </si>
  <si>
    <t>VARIABLE</t>
  </si>
  <si>
    <t>Startgæt</t>
  </si>
  <si>
    <t xml:space="preserve">Optimerings-parametre </t>
  </si>
  <si>
    <t>Penalty_UudnyttetFastFossil</t>
  </si>
  <si>
    <t>timer</t>
  </si>
  <si>
    <t>Penalty_Infeas_Varme</t>
  </si>
  <si>
    <t>VPO-SRvarme</t>
  </si>
  <si>
    <t>Min</t>
  </si>
  <si>
    <t>Max</t>
  </si>
  <si>
    <t>EQ_FossilFast</t>
  </si>
  <si>
    <t>ForbrugFastFossilOvn2</t>
  </si>
  <si>
    <t>ForbrugFastFossilOvn3</t>
  </si>
  <si>
    <t>Optim</t>
  </si>
  <si>
    <t>OverskydendeInfeasVarme</t>
  </si>
  <si>
    <t>Grænse</t>
  </si>
  <si>
    <t>Slack</t>
  </si>
  <si>
    <t>Udfør optimering ?</t>
  </si>
  <si>
    <t>Restmodtryksvarmekapacitet Ovn2</t>
  </si>
  <si>
    <t>Restmodtryksvarmekapacitet Ovn3</t>
  </si>
  <si>
    <t>Udnyttet tonnage FriFossil</t>
  </si>
  <si>
    <t>Ikke-udnyttet tonnage FriFossil</t>
  </si>
  <si>
    <t>Udnyttet tonnage FastFossil</t>
  </si>
  <si>
    <t>Ikke-udnyttet tonnage FastFossil</t>
  </si>
  <si>
    <t>Udnyttet tonnage Biogen</t>
  </si>
  <si>
    <t>Ikke-udnyttet tonnage Biogen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</si>
</sst>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0.0"/>
    <numFmt numFmtId="166" formatCode="#,##0.0"/>
    <numFmt numFmtId="167" formatCode="#,##0,"/>
  </numFmts>
  <fonts count="20" x14ac:knownFonts="1"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3F3F76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0" tint="-0.14999847407452621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</patternFill>
    </fill>
    <fill>
      <patternFill patternType="solid">
        <fgColor theme="9"/>
        <bgColor theme="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theme="9"/>
      </top>
      <bottom style="thin">
        <color theme="9"/>
      </bottom>
      <diagonal/>
    </border>
    <border>
      <left/>
      <right style="thin">
        <color indexed="64"/>
      </right>
      <top style="thin">
        <color theme="9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/>
      <top/>
      <bottom style="thin">
        <color theme="0" tint="-0.24994659260841701"/>
      </bottom>
      <diagonal/>
    </border>
    <border diagonalUp="1">
      <left style="medium">
        <color indexed="64"/>
      </left>
      <right/>
      <top/>
      <bottom/>
      <diagonal style="thin">
        <color theme="0" tint="-0.14996795556505021"/>
      </diagonal>
    </border>
    <border diagonalUp="1">
      <left/>
      <right/>
      <top/>
      <bottom/>
      <diagonal style="thin">
        <color theme="0" tint="-0.14996795556505021"/>
      </diagonal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6" fillId="6" borderId="1" applyNumberFormat="0" applyAlignment="0" applyProtection="0"/>
    <xf numFmtId="0" fontId="13" fillId="10" borderId="0" applyNumberFormat="0" applyBorder="0" applyAlignment="0" applyProtection="0"/>
    <xf numFmtId="43" fontId="1" fillId="0" borderId="0" applyFont="0" applyFill="0" applyBorder="0" applyAlignment="0" applyProtection="0"/>
  </cellStyleXfs>
  <cellXfs count="195">
    <xf numFmtId="0" fontId="0" fillId="0" borderId="0" xfId="0"/>
    <xf numFmtId="164" fontId="0" fillId="0" borderId="0" xfId="1" applyNumberFormat="1" applyFont="1"/>
    <xf numFmtId="0" fontId="3" fillId="0" borderId="0" xfId="0" applyFont="1"/>
    <xf numFmtId="0" fontId="3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indent="1"/>
    </xf>
    <xf numFmtId="0" fontId="0" fillId="4" borderId="0" xfId="0" applyFill="1"/>
    <xf numFmtId="0" fontId="3" fillId="4" borderId="0" xfId="0" applyFont="1" applyFill="1"/>
    <xf numFmtId="2" fontId="0" fillId="0" borderId="0" xfId="0" applyNumberFormat="1"/>
    <xf numFmtId="3" fontId="0" fillId="0" borderId="0" xfId="0" applyNumberFormat="1"/>
    <xf numFmtId="0" fontId="0" fillId="0" borderId="0" xfId="0" applyFont="1" applyAlignment="1">
      <alignment horizontal="left" indent="1"/>
    </xf>
    <xf numFmtId="3" fontId="3" fillId="0" borderId="0" xfId="0" applyNumberFormat="1" applyFont="1" applyAlignment="1">
      <alignment horizontal="center"/>
    </xf>
    <xf numFmtId="3" fontId="0" fillId="0" borderId="0" xfId="0" applyNumberFormat="1" applyFont="1"/>
    <xf numFmtId="167" fontId="0" fillId="0" borderId="0" xfId="0" applyNumberFormat="1" applyFont="1"/>
    <xf numFmtId="167" fontId="0" fillId="0" borderId="0" xfId="0" applyNumberFormat="1"/>
    <xf numFmtId="0" fontId="3" fillId="7" borderId="0" xfId="0" applyFont="1" applyFill="1" applyAlignment="1">
      <alignment horizontal="center"/>
    </xf>
    <xf numFmtId="9" fontId="0" fillId="0" borderId="0" xfId="1" applyFont="1"/>
    <xf numFmtId="0" fontId="0" fillId="3" borderId="0" xfId="0" applyFill="1"/>
    <xf numFmtId="3" fontId="9" fillId="0" borderId="0" xfId="0" applyNumberFormat="1" applyFont="1"/>
    <xf numFmtId="0" fontId="0" fillId="0" borderId="0" xfId="0" applyFont="1" applyBorder="1" applyAlignment="1">
      <alignment horizontal="center"/>
    </xf>
    <xf numFmtId="0" fontId="0" fillId="5" borderId="0" xfId="0" applyFill="1"/>
    <xf numFmtId="0" fontId="3" fillId="5" borderId="5" xfId="0" applyFont="1" applyFill="1" applyBorder="1"/>
    <xf numFmtId="0" fontId="0" fillId="5" borderId="5" xfId="0" applyFill="1" applyBorder="1"/>
    <xf numFmtId="3" fontId="3" fillId="5" borderId="5" xfId="0" applyNumberFormat="1" applyFont="1" applyFill="1" applyBorder="1" applyAlignment="1">
      <alignment horizontal="center"/>
    </xf>
    <xf numFmtId="0" fontId="3" fillId="5" borderId="5" xfId="0" applyFont="1" applyFill="1" applyBorder="1" applyAlignment="1">
      <alignment horizontal="center"/>
    </xf>
    <xf numFmtId="0" fontId="0" fillId="0" borderId="0" xfId="0" applyFill="1"/>
    <xf numFmtId="0" fontId="9" fillId="0" borderId="0" xfId="0" applyFont="1"/>
    <xf numFmtId="0" fontId="10" fillId="0" borderId="0" xfId="0" applyFont="1"/>
    <xf numFmtId="0" fontId="7" fillId="0" borderId="0" xfId="0" applyFont="1"/>
    <xf numFmtId="0" fontId="0" fillId="8" borderId="0" xfId="0" applyFill="1"/>
    <xf numFmtId="0" fontId="0" fillId="8" borderId="0" xfId="0" applyFill="1" applyAlignment="1">
      <alignment horizontal="left" indent="1"/>
    </xf>
    <xf numFmtId="3" fontId="0" fillId="8" borderId="0" xfId="0" applyNumberFormat="1" applyFill="1"/>
    <xf numFmtId="0" fontId="3" fillId="8" borderId="0" xfId="0" applyFont="1" applyFill="1"/>
    <xf numFmtId="0" fontId="3" fillId="8" borderId="0" xfId="0" applyFont="1" applyFill="1" applyAlignment="1"/>
    <xf numFmtId="0" fontId="0" fillId="0" borderId="0" xfId="0" applyBorder="1" applyAlignment="1">
      <alignment horizontal="left" indent="1"/>
    </xf>
    <xf numFmtId="0" fontId="0" fillId="0" borderId="0" xfId="0" applyBorder="1"/>
    <xf numFmtId="0" fontId="0" fillId="0" borderId="10" xfId="0" applyBorder="1"/>
    <xf numFmtId="0" fontId="0" fillId="0" borderId="9" xfId="0" applyBorder="1" applyAlignment="1">
      <alignment horizontal="left" indent="1"/>
    </xf>
    <xf numFmtId="3" fontId="0" fillId="0" borderId="0" xfId="0" applyNumberFormat="1" applyBorder="1"/>
    <xf numFmtId="9" fontId="0" fillId="0" borderId="0" xfId="0" applyNumberFormat="1" applyBorder="1"/>
    <xf numFmtId="164" fontId="0" fillId="0" borderId="0" xfId="0" applyNumberFormat="1" applyBorder="1"/>
    <xf numFmtId="10" fontId="0" fillId="0" borderId="0" xfId="0" applyNumberFormat="1" applyBorder="1"/>
    <xf numFmtId="2" fontId="0" fillId="0" borderId="0" xfId="0" applyNumberFormat="1" applyBorder="1"/>
    <xf numFmtId="3" fontId="3" fillId="0" borderId="0" xfId="0" applyNumberFormat="1" applyFont="1"/>
    <xf numFmtId="0" fontId="0" fillId="0" borderId="0" xfId="0" applyFont="1" applyFill="1" applyAlignment="1">
      <alignment horizontal="left"/>
    </xf>
    <xf numFmtId="0" fontId="0" fillId="8" borderId="0" xfId="0" applyFont="1" applyFill="1" applyAlignment="1">
      <alignment horizontal="left"/>
    </xf>
    <xf numFmtId="2" fontId="0" fillId="0" borderId="0" xfId="1" applyNumberFormat="1" applyFont="1"/>
    <xf numFmtId="0" fontId="0" fillId="8" borderId="0" xfId="0" applyFill="1" applyAlignment="1">
      <alignment horizontal="left" indent="2"/>
    </xf>
    <xf numFmtId="0" fontId="0" fillId="0" borderId="0" xfId="0" applyAlignment="1">
      <alignment horizontal="left" indent="2"/>
    </xf>
    <xf numFmtId="0" fontId="3" fillId="0" borderId="0" xfId="0" applyFont="1" applyAlignment="1">
      <alignment horizontal="left" indent="2"/>
    </xf>
    <xf numFmtId="0" fontId="0" fillId="0" borderId="0" xfId="0" applyFont="1" applyAlignment="1">
      <alignment horizontal="left" indent="2"/>
    </xf>
    <xf numFmtId="0" fontId="0" fillId="0" borderId="0" xfId="0" applyFont="1" applyAlignment="1">
      <alignment horizontal="left"/>
    </xf>
    <xf numFmtId="0" fontId="12" fillId="9" borderId="0" xfId="0" applyFont="1" applyFill="1" applyBorder="1" applyAlignment="1">
      <alignment horizontal="center" vertical="center"/>
    </xf>
    <xf numFmtId="0" fontId="3" fillId="7" borderId="0" xfId="0" applyFont="1" applyFill="1" applyAlignment="1">
      <alignment horizontal="center"/>
    </xf>
    <xf numFmtId="0" fontId="14" fillId="11" borderId="11" xfId="0" applyFont="1" applyFill="1" applyBorder="1"/>
    <xf numFmtId="0" fontId="14" fillId="11" borderId="12" xfId="0" applyFont="1" applyFill="1" applyBorder="1" applyAlignment="1">
      <alignment horizontal="left" indent="1"/>
    </xf>
    <xf numFmtId="0" fontId="14" fillId="11" borderId="12" xfId="0" applyFont="1" applyFill="1" applyBorder="1" applyAlignment="1">
      <alignment horizontal="center"/>
    </xf>
    <xf numFmtId="0" fontId="14" fillId="11" borderId="13" xfId="0" applyFont="1" applyFill="1" applyBorder="1" applyAlignment="1">
      <alignment horizontal="center"/>
    </xf>
    <xf numFmtId="0" fontId="0" fillId="0" borderId="11" xfId="0" applyFont="1" applyBorder="1" applyAlignment="1">
      <alignment horizontal="left" indent="1"/>
    </xf>
    <xf numFmtId="0" fontId="3" fillId="0" borderId="12" xfId="0" applyFont="1" applyBorder="1" applyAlignment="1">
      <alignment horizontal="left" indent="1"/>
    </xf>
    <xf numFmtId="0" fontId="0" fillId="0" borderId="12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2" xfId="0" applyFont="1" applyBorder="1" applyAlignment="1">
      <alignment horizontal="left" indent="1"/>
    </xf>
    <xf numFmtId="3" fontId="0" fillId="0" borderId="12" xfId="0" applyNumberFormat="1" applyFont="1" applyBorder="1"/>
    <xf numFmtId="9" fontId="0" fillId="0" borderId="12" xfId="0" applyNumberFormat="1" applyFont="1" applyBorder="1"/>
    <xf numFmtId="0" fontId="0" fillId="0" borderId="14" xfId="0" applyFont="1" applyBorder="1" applyAlignment="1">
      <alignment horizontal="left" indent="1"/>
    </xf>
    <xf numFmtId="0" fontId="0" fillId="0" borderId="15" xfId="0" applyFont="1" applyBorder="1" applyAlignment="1">
      <alignment horizontal="left" indent="1"/>
    </xf>
    <xf numFmtId="3" fontId="0" fillId="0" borderId="15" xfId="0" applyNumberFormat="1" applyFont="1" applyBorder="1"/>
    <xf numFmtId="3" fontId="0" fillId="0" borderId="0" xfId="0" applyNumberFormat="1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3" fillId="8" borderId="6" xfId="0" applyFont="1" applyFill="1" applyBorder="1" applyAlignment="1">
      <alignment horizontal="right" indent="1"/>
    </xf>
    <xf numFmtId="0" fontId="6" fillId="8" borderId="6" xfId="3" applyFill="1" applyBorder="1"/>
    <xf numFmtId="3" fontId="6" fillId="8" borderId="6" xfId="3" applyNumberFormat="1" applyFill="1" applyBorder="1"/>
    <xf numFmtId="3" fontId="6" fillId="8" borderId="6" xfId="3" applyNumberFormat="1" applyFill="1" applyBorder="1" applyAlignment="1">
      <alignment horizontal="right"/>
    </xf>
    <xf numFmtId="0" fontId="0" fillId="8" borderId="4" xfId="0" applyFill="1" applyBorder="1"/>
    <xf numFmtId="0" fontId="0" fillId="8" borderId="16" xfId="0" applyFill="1" applyBorder="1"/>
    <xf numFmtId="0" fontId="3" fillId="0" borderId="17" xfId="0" applyFont="1" applyBorder="1"/>
    <xf numFmtId="0" fontId="3" fillId="0" borderId="2" xfId="0" applyFont="1" applyBorder="1" applyAlignment="1">
      <alignment horizontal="left" indent="1"/>
    </xf>
    <xf numFmtId="0" fontId="3" fillId="0" borderId="2" xfId="0" applyFont="1" applyBorder="1" applyAlignment="1">
      <alignment horizontal="center"/>
    </xf>
    <xf numFmtId="0" fontId="3" fillId="0" borderId="18" xfId="0" applyFont="1" applyBorder="1" applyAlignment="1">
      <alignment horizontal="left"/>
    </xf>
    <xf numFmtId="0" fontId="0" fillId="0" borderId="19" xfId="0" applyBorder="1" applyAlignment="1">
      <alignment horizontal="left" indent="1"/>
    </xf>
    <xf numFmtId="0" fontId="0" fillId="0" borderId="20" xfId="0" applyBorder="1"/>
    <xf numFmtId="0" fontId="0" fillId="0" borderId="21" xfId="0" applyBorder="1" applyAlignment="1">
      <alignment horizontal="left" indent="1"/>
    </xf>
    <xf numFmtId="0" fontId="0" fillId="0" borderId="3" xfId="0" applyBorder="1" applyAlignment="1">
      <alignment horizontal="left" indent="1"/>
    </xf>
    <xf numFmtId="3" fontId="0" fillId="0" borderId="3" xfId="0" applyNumberFormat="1" applyBorder="1"/>
    <xf numFmtId="0" fontId="0" fillId="0" borderId="3" xfId="0" applyBorder="1"/>
    <xf numFmtId="0" fontId="0" fillId="0" borderId="22" xfId="0" applyBorder="1"/>
    <xf numFmtId="0" fontId="3" fillId="0" borderId="18" xfId="0" applyFont="1" applyBorder="1" applyAlignment="1">
      <alignment horizontal="center"/>
    </xf>
    <xf numFmtId="164" fontId="2" fillId="2" borderId="0" xfId="2" applyNumberFormat="1" applyBorder="1"/>
    <xf numFmtId="0" fontId="3" fillId="0" borderId="17" xfId="0" applyFont="1" applyBorder="1" applyAlignment="1">
      <alignment horizontal="left"/>
    </xf>
    <xf numFmtId="0" fontId="0" fillId="0" borderId="2" xfId="0" applyBorder="1" applyAlignment="1">
      <alignment horizontal="left" indent="1"/>
    </xf>
    <xf numFmtId="0" fontId="0" fillId="0" borderId="18" xfId="0" applyBorder="1"/>
    <xf numFmtId="0" fontId="0" fillId="0" borderId="2" xfId="0" applyBorder="1"/>
    <xf numFmtId="0" fontId="0" fillId="0" borderId="23" xfId="0" applyBorder="1"/>
    <xf numFmtId="0" fontId="0" fillId="0" borderId="0" xfId="0" applyFill="1" applyBorder="1"/>
    <xf numFmtId="0" fontId="3" fillId="7" borderId="0" xfId="0" applyFont="1" applyFill="1" applyAlignment="1"/>
    <xf numFmtId="166" fontId="0" fillId="0" borderId="0" xfId="0" applyNumberFormat="1" applyFont="1" applyAlignment="1"/>
    <xf numFmtId="3" fontId="0" fillId="0" borderId="0" xfId="0" applyNumberFormat="1" applyFont="1" applyAlignment="1"/>
    <xf numFmtId="0" fontId="13" fillId="10" borderId="0" xfId="4"/>
    <xf numFmtId="164" fontId="0" fillId="0" borderId="0" xfId="1" applyNumberFormat="1" applyFont="1" applyAlignment="1"/>
    <xf numFmtId="9" fontId="0" fillId="0" borderId="0" xfId="1" applyFont="1" applyBorder="1"/>
    <xf numFmtId="9" fontId="0" fillId="0" borderId="20" xfId="1" applyFont="1" applyBorder="1"/>
    <xf numFmtId="166" fontId="0" fillId="0" borderId="0" xfId="0" applyNumberFormat="1" applyBorder="1"/>
    <xf numFmtId="166" fontId="0" fillId="0" borderId="0" xfId="0" applyNumberFormat="1" applyFill="1" applyBorder="1"/>
    <xf numFmtId="166" fontId="0" fillId="0" borderId="20" xfId="0" applyNumberFormat="1" applyBorder="1"/>
    <xf numFmtId="0" fontId="3" fillId="0" borderId="2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2" xfId="0" applyBorder="1" applyAlignment="1">
      <alignment horizontal="left"/>
    </xf>
    <xf numFmtId="0" fontId="2" fillId="2" borderId="1" xfId="2"/>
    <xf numFmtId="0" fontId="15" fillId="0" borderId="0" xfId="0" applyFont="1" applyBorder="1"/>
    <xf numFmtId="0" fontId="0" fillId="7" borderId="0" xfId="0" applyFill="1" applyAlignment="1">
      <alignment horizontal="left" indent="1"/>
    </xf>
    <xf numFmtId="0" fontId="3" fillId="7" borderId="0" xfId="0" applyFont="1" applyFill="1"/>
    <xf numFmtId="0" fontId="0" fillId="0" borderId="0" xfId="0" applyFill="1" applyBorder="1" applyAlignment="1">
      <alignment horizontal="left" indent="1"/>
    </xf>
    <xf numFmtId="0" fontId="0" fillId="12" borderId="0" xfId="0" applyFill="1"/>
    <xf numFmtId="164" fontId="2" fillId="2" borderId="1" xfId="2" applyNumberFormat="1"/>
    <xf numFmtId="165" fontId="2" fillId="2" borderId="1" xfId="2" applyNumberFormat="1"/>
    <xf numFmtId="3" fontId="3" fillId="0" borderId="0" xfId="0" applyNumberFormat="1" applyFont="1" applyAlignment="1"/>
    <xf numFmtId="0" fontId="0" fillId="13" borderId="0" xfId="0" applyFill="1"/>
    <xf numFmtId="3" fontId="0" fillId="0" borderId="20" xfId="0" applyNumberFormat="1" applyBorder="1"/>
    <xf numFmtId="0" fontId="0" fillId="0" borderId="19" xfId="0" applyBorder="1"/>
    <xf numFmtId="0" fontId="0" fillId="0" borderId="21" xfId="0" applyBorder="1"/>
    <xf numFmtId="0" fontId="3" fillId="7" borderId="0" xfId="0" applyFont="1" applyFill="1" applyAlignment="1">
      <alignment horizontal="left"/>
    </xf>
    <xf numFmtId="3" fontId="3" fillId="7" borderId="0" xfId="0" applyNumberFormat="1" applyFont="1" applyFill="1" applyAlignment="1">
      <alignment horizontal="center"/>
    </xf>
    <xf numFmtId="0" fontId="0" fillId="9" borderId="0" xfId="0" applyFill="1"/>
    <xf numFmtId="0" fontId="15" fillId="0" borderId="0" xfId="0" applyFont="1" applyFill="1" applyBorder="1" applyAlignment="1">
      <alignment horizontal="left" indent="1"/>
    </xf>
    <xf numFmtId="0" fontId="15" fillId="0" borderId="0" xfId="0" applyFont="1"/>
    <xf numFmtId="0" fontId="0" fillId="14" borderId="0" xfId="0" applyFill="1"/>
    <xf numFmtId="0" fontId="0" fillId="0" borderId="0" xfId="0" quotePrefix="1"/>
    <xf numFmtId="0" fontId="15" fillId="0" borderId="0" xfId="0" applyFont="1" applyAlignment="1">
      <alignment horizontal="left" indent="1"/>
    </xf>
    <xf numFmtId="0" fontId="0" fillId="0" borderId="19" xfId="0" applyFont="1" applyBorder="1" applyAlignment="1">
      <alignment horizontal="left" indent="1"/>
    </xf>
    <xf numFmtId="0" fontId="0" fillId="0" borderId="0" xfId="0" quotePrefix="1" applyFont="1" applyBorder="1" applyAlignment="1">
      <alignment horizontal="center"/>
    </xf>
    <xf numFmtId="0" fontId="0" fillId="0" borderId="20" xfId="0" applyFont="1" applyBorder="1" applyAlignment="1">
      <alignment horizontal="center"/>
    </xf>
    <xf numFmtId="0" fontId="3" fillId="7" borderId="0" xfId="0" applyFont="1" applyFill="1" applyAlignment="1">
      <alignment horizontal="left" indent="1"/>
    </xf>
    <xf numFmtId="3" fontId="2" fillId="2" borderId="1" xfId="2" applyNumberFormat="1"/>
    <xf numFmtId="0" fontId="10" fillId="14" borderId="0" xfId="0" applyFont="1" applyFill="1" applyAlignment="1">
      <alignment horizontal="center"/>
    </xf>
    <xf numFmtId="0" fontId="16" fillId="5" borderId="0" xfId="0" applyFont="1" applyFill="1" applyAlignment="1">
      <alignment horizontal="center"/>
    </xf>
    <xf numFmtId="3" fontId="16" fillId="5" borderId="0" xfId="0" applyNumberFormat="1" applyFont="1" applyFill="1"/>
    <xf numFmtId="3" fontId="17" fillId="5" borderId="0" xfId="0" applyNumberFormat="1" applyFont="1" applyFill="1"/>
    <xf numFmtId="3" fontId="0" fillId="0" borderId="0" xfId="0" applyNumberFormat="1" applyAlignment="1">
      <alignment horizontal="left"/>
    </xf>
    <xf numFmtId="3" fontId="0" fillId="0" borderId="0" xfId="0" applyNumberFormat="1" applyAlignment="1">
      <alignment horizontal="center"/>
    </xf>
    <xf numFmtId="3" fontId="0" fillId="0" borderId="0" xfId="0" quotePrefix="1" applyNumberFormat="1" applyAlignment="1">
      <alignment horizontal="left" indent="1"/>
    </xf>
    <xf numFmtId="3" fontId="0" fillId="0" borderId="16" xfId="5" applyNumberFormat="1" applyFont="1" applyBorder="1"/>
    <xf numFmtId="3" fontId="0" fillId="0" borderId="24" xfId="0" applyNumberFormat="1" applyBorder="1" applyAlignment="1">
      <alignment horizontal="left" indent="1"/>
    </xf>
    <xf numFmtId="3" fontId="0" fillId="0" borderId="24" xfId="0" applyNumberFormat="1" applyBorder="1"/>
    <xf numFmtId="3" fontId="0" fillId="0" borderId="0" xfId="0" applyNumberFormat="1" applyBorder="1" applyAlignment="1">
      <alignment horizontal="left" indent="1"/>
    </xf>
    <xf numFmtId="4" fontId="0" fillId="0" borderId="0" xfId="0" applyNumberFormat="1" applyBorder="1"/>
    <xf numFmtId="0" fontId="0" fillId="0" borderId="0" xfId="0" applyFont="1"/>
    <xf numFmtId="0" fontId="0" fillId="8" borderId="0" xfId="0" applyFill="1" applyBorder="1"/>
    <xf numFmtId="4" fontId="0" fillId="0" borderId="12" xfId="0" applyNumberFormat="1" applyFont="1" applyBorder="1"/>
    <xf numFmtId="3" fontId="0" fillId="0" borderId="12" xfId="0" applyNumberFormat="1" applyFont="1" applyBorder="1" applyAlignment="1">
      <alignment horizontal="center"/>
    </xf>
    <xf numFmtId="0" fontId="14" fillId="11" borderId="26" xfId="0" applyFont="1" applyFill="1" applyBorder="1" applyAlignment="1">
      <alignment horizontal="center"/>
    </xf>
    <xf numFmtId="0" fontId="3" fillId="0" borderId="26" xfId="0" applyFont="1" applyBorder="1" applyAlignment="1">
      <alignment horizontal="center"/>
    </xf>
    <xf numFmtId="3" fontId="3" fillId="0" borderId="26" xfId="0" applyNumberFormat="1" applyFont="1" applyBorder="1"/>
    <xf numFmtId="3" fontId="3" fillId="0" borderId="26" xfId="0" applyNumberFormat="1" applyFont="1" applyBorder="1" applyAlignment="1">
      <alignment horizontal="center"/>
    </xf>
    <xf numFmtId="9" fontId="3" fillId="0" borderId="26" xfId="0" applyNumberFormat="1" applyFont="1" applyBorder="1"/>
    <xf numFmtId="3" fontId="3" fillId="0" borderId="25" xfId="0" applyNumberFormat="1" applyFont="1" applyBorder="1"/>
    <xf numFmtId="4" fontId="3" fillId="0" borderId="26" xfId="0" applyNumberFormat="1" applyFont="1" applyBorder="1"/>
    <xf numFmtId="0" fontId="0" fillId="8" borderId="0" xfId="0" applyFill="1" applyAlignment="1">
      <alignment vertical="center"/>
    </xf>
    <xf numFmtId="0" fontId="11" fillId="8" borderId="0" xfId="0" applyFont="1" applyFill="1" applyAlignment="1">
      <alignment vertical="center"/>
    </xf>
    <xf numFmtId="2" fontId="0" fillId="0" borderId="3" xfId="0" applyNumberFormat="1" applyBorder="1"/>
    <xf numFmtId="0" fontId="0" fillId="0" borderId="28" xfId="0" applyBorder="1"/>
    <xf numFmtId="0" fontId="0" fillId="0" borderId="27" xfId="0" applyBorder="1"/>
    <xf numFmtId="0" fontId="0" fillId="0" borderId="29" xfId="0" applyBorder="1"/>
    <xf numFmtId="0" fontId="0" fillId="0" borderId="2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8" borderId="0" xfId="0" applyFill="1" applyBorder="1" applyAlignment="1">
      <alignment horizontal="left" indent="1"/>
    </xf>
    <xf numFmtId="2" fontId="0" fillId="8" borderId="0" xfId="0" applyNumberFormat="1" applyFill="1" applyBorder="1"/>
    <xf numFmtId="0" fontId="0" fillId="0" borderId="21" xfId="0" applyFill="1" applyBorder="1"/>
    <xf numFmtId="0" fontId="0" fillId="0" borderId="3" xfId="0" applyFill="1" applyBorder="1" applyAlignment="1">
      <alignment horizontal="left" indent="1"/>
    </xf>
    <xf numFmtId="0" fontId="0" fillId="0" borderId="3" xfId="0" applyFill="1" applyBorder="1"/>
    <xf numFmtId="0" fontId="0" fillId="0" borderId="22" xfId="0" applyFill="1" applyBorder="1"/>
    <xf numFmtId="0" fontId="12" fillId="9" borderId="7" xfId="0" applyFont="1" applyFill="1" applyBorder="1" applyAlignment="1">
      <alignment horizontal="center" vertical="center"/>
    </xf>
    <xf numFmtId="0" fontId="12" fillId="9" borderId="5" xfId="0" applyFont="1" applyFill="1" applyBorder="1" applyAlignment="1">
      <alignment horizontal="center" vertical="center"/>
    </xf>
    <xf numFmtId="0" fontId="12" fillId="9" borderId="9" xfId="0" applyFont="1" applyFill="1" applyBorder="1" applyAlignment="1">
      <alignment horizontal="center" vertical="center"/>
    </xf>
    <xf numFmtId="0" fontId="12" fillId="9" borderId="0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/>
    </xf>
    <xf numFmtId="0" fontId="12" fillId="9" borderId="8" xfId="0" applyFont="1" applyFill="1" applyBorder="1" applyAlignment="1">
      <alignment horizontal="center" vertical="center"/>
    </xf>
    <xf numFmtId="0" fontId="3" fillId="7" borderId="0" xfId="0" applyFont="1" applyFill="1" applyAlignment="1">
      <alignment horizontal="center"/>
    </xf>
    <xf numFmtId="0" fontId="3" fillId="15" borderId="0" xfId="0" applyFont="1" applyFill="1"/>
    <xf numFmtId="0" fontId="3" fillId="15" borderId="0" xfId="0" applyFont="1" applyFill="1" applyAlignment="1">
      <alignment horizontal="left" indent="1"/>
    </xf>
    <xf numFmtId="3" fontId="3" fillId="15" borderId="0" xfId="0" applyNumberFormat="1" applyFont="1" applyFill="1" applyAlignment="1">
      <alignment horizontal="center"/>
    </xf>
    <xf numFmtId="3" fontId="0" fillId="15" borderId="0" xfId="0" applyNumberFormat="1" applyFill="1"/>
    <xf numFmtId="3" fontId="0" fillId="15" borderId="0" xfId="0" applyNumberFormat="1" applyFill="1" applyAlignment="1">
      <alignment horizontal="right"/>
    </xf>
    <xf numFmtId="0" fontId="3" fillId="15" borderId="0" xfId="0" applyFont="1" applyFill="1" applyAlignment="1">
      <alignment horizontal="center"/>
    </xf>
    <xf numFmtId="0" fontId="19" fillId="0" borderId="0" xfId="0" applyFont="1" applyBorder="1"/>
    <xf numFmtId="0" fontId="19" fillId="0" borderId="20" xfId="0" applyFont="1" applyBorder="1"/>
    <xf numFmtId="0" fontId="19" fillId="0" borderId="30" xfId="0" applyFont="1" applyBorder="1" applyAlignment="1">
      <alignment horizontal="left" indent="1"/>
    </xf>
    <xf numFmtId="0" fontId="19" fillId="0" borderId="31" xfId="0" quotePrefix="1" applyFont="1" applyBorder="1" applyAlignment="1">
      <alignment horizontal="left" indent="1"/>
    </xf>
    <xf numFmtId="1" fontId="19" fillId="0" borderId="31" xfId="0" applyNumberFormat="1" applyFont="1" applyBorder="1" applyAlignment="1">
      <alignment horizontal="center"/>
    </xf>
    <xf numFmtId="3" fontId="18" fillId="0" borderId="0" xfId="0" applyNumberFormat="1" applyFont="1" applyAlignment="1">
      <alignment horizontal="center"/>
    </xf>
    <xf numFmtId="0" fontId="0" fillId="15" borderId="0" xfId="0" applyFill="1"/>
    <xf numFmtId="0" fontId="18" fillId="0" borderId="9" xfId="0" applyFont="1" applyBorder="1" applyAlignment="1">
      <alignment horizontal="center"/>
    </xf>
  </cellXfs>
  <cellStyles count="6">
    <cellStyle name="Calculation" xfId="2" builtinId="22"/>
    <cellStyle name="Comma" xfId="5" builtinId="3"/>
    <cellStyle name="Input" xfId="3" builtinId="20"/>
    <cellStyle name="Neutral" xfId="4" builtinId="28"/>
    <cellStyle name="Normal" xfId="0" builtinId="0" customBuiltin="1"/>
    <cellStyle name="Percent" xfId="1" builtinId="5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ECFF"/>
      <color rgb="FF00FFFF"/>
      <color rgb="FFFFCC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ModelOpt!$BA$2</c:f>
          <c:strCache>
            <c:ptCount val="1"/>
            <c:pt idx="0">
              <c:v>Økonomiske nøgletal 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3387206277309308"/>
          <c:y val="0.11305861111111111"/>
          <c:w val="0.71910013595718381"/>
          <c:h val="0.7967600000000000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ModelOpt!$AE$50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ModelOpt!$AC$51:$AC$65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ModelOpt!$AE$51:$AE$65</c:f>
              <c:numCache>
                <c:formatCode>#,##0,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7997392.6730004624</c:v>
                </c:pt>
                <c:pt idx="5">
                  <c:v>3947332.4512195117</c:v>
                </c:pt>
                <c:pt idx="6">
                  <c:v>0</c:v>
                </c:pt>
                <c:pt idx="7">
                  <c:v>5600000</c:v>
                </c:pt>
                <c:pt idx="9">
                  <c:v>0</c:v>
                </c:pt>
                <c:pt idx="10">
                  <c:v>1241098.7605122505</c:v>
                </c:pt>
                <c:pt idx="11">
                  <c:v>2388417.4645282412</c:v>
                </c:pt>
                <c:pt idx="12">
                  <c:v>0</c:v>
                </c:pt>
                <c:pt idx="13">
                  <c:v>0</c:v>
                </c:pt>
                <c:pt idx="14">
                  <c:v>2883200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0D-43ED-955C-B6E56812DFB1}"/>
            </c:ext>
          </c:extLst>
        </c:ser>
        <c:ser>
          <c:idx val="1"/>
          <c:order val="1"/>
          <c:tx>
            <c:strRef>
              <c:f>ModelOpt!$AF$50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ModelOpt!$AC$51:$AC$65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ModelOpt!$AF$51:$AF$65</c:f>
              <c:numCache>
                <c:formatCode>#,##0,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7499765</c:v>
                </c:pt>
                <c:pt idx="5">
                  <c:v>3947332.4512195126</c:v>
                </c:pt>
                <c:pt idx="6">
                  <c:v>0</c:v>
                </c:pt>
                <c:pt idx="7">
                  <c:v>4648001.7121823318</c:v>
                </c:pt>
                <c:pt idx="9">
                  <c:v>9281.9833062222588</c:v>
                </c:pt>
                <c:pt idx="10">
                  <c:v>1364822.9775574182</c:v>
                </c:pt>
                <c:pt idx="11">
                  <c:v>2239801.2000000002</c:v>
                </c:pt>
                <c:pt idx="12">
                  <c:v>0</c:v>
                </c:pt>
                <c:pt idx="13">
                  <c:v>0</c:v>
                </c:pt>
                <c:pt idx="14">
                  <c:v>2022445.5665611641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0D-43ED-955C-B6E56812D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907630911"/>
        <c:axId val="907631327"/>
      </c:barChart>
      <c:catAx>
        <c:axId val="9076309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1327"/>
        <c:crosses val="autoZero"/>
        <c:auto val="1"/>
        <c:lblAlgn val="ctr"/>
        <c:lblOffset val="100"/>
        <c:noMultiLvlLbl val="0"/>
      </c:catAx>
      <c:valAx>
        <c:axId val="907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tkr</a:t>
                </a:r>
              </a:p>
            </c:rich>
          </c:tx>
          <c:layout>
            <c:manualLayout>
              <c:xMode val="edge"/>
              <c:yMode val="edge"/>
              <c:x val="0.9569561876739372"/>
              <c:y val="0.84741666666666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0911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387743055555558"/>
          <c:y val="0.75349611111111114"/>
          <c:w val="0.16902422139559506"/>
          <c:h val="0.133614999999999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ModelOpt!$BA$4</c:f>
          <c:strCache>
            <c:ptCount val="1"/>
            <c:pt idx="0">
              <c:v>Varmemængder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4618680555555555"/>
          <c:y val="0.13084527777777777"/>
          <c:w val="0.70192187500000003"/>
          <c:h val="0.779968333333333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ModelOpt!$AE$67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ModelOpt!$AC$68:$AC$73</c:f>
              <c:strCache>
                <c:ptCount val="6"/>
                <c:pt idx="0">
                  <c:v>Varmeproduktion Ovn2</c:v>
                </c:pt>
                <c:pt idx="1">
                  <c:v>Varmeproduktion Ovn3</c:v>
                </c:pt>
                <c:pt idx="2">
                  <c:v>Heraf RGK-varme</c:v>
                </c:pt>
                <c:pt idx="3">
                  <c:v>Bortkølet varme</c:v>
                </c:pt>
                <c:pt idx="4">
                  <c:v>Leveret varme</c:v>
                </c:pt>
                <c:pt idx="5">
                  <c:v>Spidslastvarme</c:v>
                </c:pt>
              </c:strCache>
            </c:strRef>
          </c:cat>
          <c:val>
            <c:numRef>
              <c:f>ModelOpt!$AE$68:$AE$73</c:f>
              <c:numCache>
                <c:formatCode>#,##0</c:formatCode>
                <c:ptCount val="6"/>
                <c:pt idx="0">
                  <c:v>4883.0889807088834</c:v>
                </c:pt>
                <c:pt idx="1">
                  <c:v>20832</c:v>
                </c:pt>
                <c:pt idx="2">
                  <c:v>5300.6091090984</c:v>
                </c:pt>
                <c:pt idx="3">
                  <c:v>0</c:v>
                </c:pt>
                <c:pt idx="4">
                  <c:v>25715.088980708882</c:v>
                </c:pt>
                <c:pt idx="5">
                  <c:v>1639.9110192911176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8F-41FC-9A14-7E1800988E17}"/>
            </c:ext>
          </c:extLst>
        </c:ser>
        <c:ser>
          <c:idx val="1"/>
          <c:order val="1"/>
          <c:tx>
            <c:strRef>
              <c:f>ModelOpt!$AF$67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ModelOpt!$AC$68:$AC$73</c:f>
              <c:strCache>
                <c:ptCount val="6"/>
                <c:pt idx="0">
                  <c:v>Varmeproduktion Ovn2</c:v>
                </c:pt>
                <c:pt idx="1">
                  <c:v>Varmeproduktion Ovn3</c:v>
                </c:pt>
                <c:pt idx="2">
                  <c:v>Heraf RGK-varme</c:v>
                </c:pt>
                <c:pt idx="3">
                  <c:v>Bortkølet varme</c:v>
                </c:pt>
                <c:pt idx="4">
                  <c:v>Leveret varme</c:v>
                </c:pt>
                <c:pt idx="5">
                  <c:v>Spidslastvarme</c:v>
                </c:pt>
              </c:strCache>
            </c:strRef>
          </c:cat>
          <c:val>
            <c:numRef>
              <c:f>ModelOpt!$AF$68:$AF$73</c:f>
              <c:numCache>
                <c:formatCode>#,##0</c:formatCode>
                <c:ptCount val="6"/>
                <c:pt idx="0">
                  <c:v>7638.95652173913</c:v>
                </c:pt>
                <c:pt idx="1">
                  <c:v>20832</c:v>
                </c:pt>
                <c:pt idx="2">
                  <c:v>5049.4716687852942</c:v>
                </c:pt>
                <c:pt idx="3">
                  <c:v>4355.95652173913</c:v>
                </c:pt>
                <c:pt idx="4">
                  <c:v>24115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8F-41FC-9A14-7E1800988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795770207"/>
        <c:axId val="795780607"/>
      </c:barChart>
      <c:catAx>
        <c:axId val="79577020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80607"/>
        <c:crosses val="autoZero"/>
        <c:auto val="1"/>
        <c:lblAlgn val="ctr"/>
        <c:lblOffset val="100"/>
        <c:noMultiLvlLbl val="0"/>
      </c:catAx>
      <c:valAx>
        <c:axId val="795780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70207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859305555555557"/>
          <c:y val="2.2513055555555564E-2"/>
          <c:w val="0.19923732638888889"/>
          <c:h val="0.116709166666666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ModelOpt!$BA$3</c:f>
          <c:strCache>
            <c:ptCount val="1"/>
            <c:pt idx="0">
              <c:v>Økonomi: RGK ift. Nominel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5886580647107943"/>
          <c:y val="0.11305861111111111"/>
          <c:w val="0.6901163194444444"/>
          <c:h val="0.7897044444444444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,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ModelOpt!$AC$51:$AC$65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ModelOpt!$AG$51:$AG$65</c:f>
              <c:numCache>
                <c:formatCode>#,##0,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42-43AD-B48E-6049F8721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907630911"/>
        <c:axId val="907631327"/>
      </c:barChart>
      <c:catAx>
        <c:axId val="9076309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1327"/>
        <c:crosses val="autoZero"/>
        <c:auto val="1"/>
        <c:lblAlgn val="ctr"/>
        <c:lblOffset val="100"/>
        <c:noMultiLvlLbl val="0"/>
      </c:catAx>
      <c:valAx>
        <c:axId val="907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tkr</a:t>
                </a:r>
              </a:p>
            </c:rich>
          </c:tx>
          <c:layout>
            <c:manualLayout>
              <c:xMode val="edge"/>
              <c:yMode val="edge"/>
              <c:x val="0.96073802083333337"/>
              <c:y val="0.84741666666666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0911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ModelOpt!$BA$5</c:f>
          <c:strCache>
            <c:ptCount val="1"/>
            <c:pt idx="0">
              <c:v>Brændselsmængder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4618680555555555"/>
          <c:y val="0.13084527777777777"/>
          <c:w val="0.70192187500000003"/>
          <c:h val="0.779968333333333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ModelOpt!$AE$67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ModelOpt!$AC$76:$AC$82</c:f>
              <c:strCache>
                <c:ptCount val="7"/>
                <c:pt idx="0">
                  <c:v>Affaldsforbrug Ovn3</c:v>
                </c:pt>
                <c:pt idx="1">
                  <c:v>Nordic Sugar varme</c:v>
                </c:pt>
                <c:pt idx="2">
                  <c:v>Affaldsforbrug Ovn2</c:v>
                </c:pt>
                <c:pt idx="3">
                  <c:v>Affaldsforbrug kølevarme Ovn3</c:v>
                </c:pt>
                <c:pt idx="4">
                  <c:v>Affaldsforbrug kølevarme Ovn2</c:v>
                </c:pt>
                <c:pt idx="5">
                  <c:v>Udnyttet affald</c:v>
                </c:pt>
                <c:pt idx="6">
                  <c:v>Ikke-udnyttet affald</c:v>
                </c:pt>
              </c:strCache>
            </c:strRef>
          </c:cat>
          <c:val>
            <c:numRef>
              <c:f>ModelOpt!$AE$76:$AE$82</c:f>
              <c:numCache>
                <c:formatCode>#,##0</c:formatCode>
                <c:ptCount val="7"/>
                <c:pt idx="0">
                  <c:v>8001.3808303570249</c:v>
                </c:pt>
                <c:pt idx="1">
                  <c:v>0</c:v>
                </c:pt>
                <c:pt idx="2">
                  <c:v>1498.6191696429751</c:v>
                </c:pt>
                <c:pt idx="3">
                  <c:v>0</c:v>
                </c:pt>
                <c:pt idx="4">
                  <c:v>0</c:v>
                </c:pt>
                <c:pt idx="5">
                  <c:v>9500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EE-4CB8-B9B3-D8DE634DEA3D}"/>
            </c:ext>
          </c:extLst>
        </c:ser>
        <c:ser>
          <c:idx val="1"/>
          <c:order val="1"/>
          <c:tx>
            <c:strRef>
              <c:f>ModelOpt!$AF$67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ModelOpt!$AC$76:$AC$82</c:f>
              <c:strCache>
                <c:ptCount val="7"/>
                <c:pt idx="0">
                  <c:v>Affaldsforbrug Ovn3</c:v>
                </c:pt>
                <c:pt idx="1">
                  <c:v>Nordic Sugar varme</c:v>
                </c:pt>
                <c:pt idx="2">
                  <c:v>Affaldsforbrug Ovn2</c:v>
                </c:pt>
                <c:pt idx="3">
                  <c:v>Affaldsforbrug kølevarme Ovn3</c:v>
                </c:pt>
                <c:pt idx="4">
                  <c:v>Affaldsforbrug kølevarme Ovn2</c:v>
                </c:pt>
                <c:pt idx="5">
                  <c:v>Udnyttet affald</c:v>
                </c:pt>
                <c:pt idx="6">
                  <c:v>Ikke-udnyttet affald</c:v>
                </c:pt>
              </c:strCache>
            </c:strRef>
          </c:cat>
          <c:val>
            <c:numRef>
              <c:f>ModelOpt!$AF$76:$AF$82</c:f>
              <c:numCache>
                <c:formatCode>#,##0</c:formatCode>
                <c:ptCount val="7"/>
                <c:pt idx="0">
                  <c:v>8450.2099291689374</c:v>
                </c:pt>
                <c:pt idx="1">
                  <c:v>4000</c:v>
                </c:pt>
                <c:pt idx="2">
                  <c:v>1064.0697207492935</c:v>
                </c:pt>
                <c:pt idx="3">
                  <c:v>0</c:v>
                </c:pt>
                <c:pt idx="4">
                  <c:v>1709.0586772802387</c:v>
                </c:pt>
                <c:pt idx="5">
                  <c:v>11223.338327198469</c:v>
                </c:pt>
                <c:pt idx="6">
                  <c:v>2776.6616728015306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EE-4CB8-B9B3-D8DE634DE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795770207"/>
        <c:axId val="795780607"/>
      </c:barChart>
      <c:catAx>
        <c:axId val="79577020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80607"/>
        <c:crosses val="autoZero"/>
        <c:auto val="1"/>
        <c:lblAlgn val="ctr"/>
        <c:lblOffset val="100"/>
        <c:noMultiLvlLbl val="0"/>
      </c:catAx>
      <c:valAx>
        <c:axId val="795780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70207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859305555555557"/>
          <c:y val="2.2513055555555564E-2"/>
          <c:w val="0.19923732638888889"/>
          <c:h val="0.12023694444444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ModelOpt!$BA$9</c:f>
          <c:strCache>
            <c:ptCount val="1"/>
            <c:pt idx="0">
              <c:v>Kapacitetsudnyttelse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158114610673666"/>
          <c:y val="0.20370370370370369"/>
          <c:w val="0.84786329833770768"/>
          <c:h val="0.5321369203849517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ModelOpt!$AE$84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ModelOpt!$AC$85:$AC$88</c:f>
              <c:strCache>
                <c:ptCount val="4"/>
                <c:pt idx="0">
                  <c:v>Ovn3 tonnageudnyttelse</c:v>
                </c:pt>
                <c:pt idx="1">
                  <c:v>Ovn2 tonnageudnyttelse</c:v>
                </c:pt>
                <c:pt idx="2">
                  <c:v>Bortkøleanlæg udnyttelse</c:v>
                </c:pt>
                <c:pt idx="3">
                  <c:v>NS-varme udnyttelse</c:v>
                </c:pt>
              </c:strCache>
            </c:strRef>
          </c:cat>
          <c:val>
            <c:numRef>
              <c:f>ModelOpt!$AE$85:$AE$88</c:f>
              <c:numCache>
                <c:formatCode>0.0%</c:formatCode>
                <c:ptCount val="4"/>
                <c:pt idx="0">
                  <c:v>0.94688544987946188</c:v>
                </c:pt>
                <c:pt idx="1">
                  <c:v>0.54040742242870199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60-4E39-B61E-CD1A9A59E8D7}"/>
            </c:ext>
          </c:extLst>
        </c:ser>
        <c:ser>
          <c:idx val="2"/>
          <c:order val="2"/>
          <c:tx>
            <c:strRef>
              <c:f>ModelOpt!$AF$84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ModelOpt!$AC$85:$AC$88</c:f>
              <c:strCache>
                <c:ptCount val="4"/>
                <c:pt idx="0">
                  <c:v>Ovn3 tonnageudnyttelse</c:v>
                </c:pt>
                <c:pt idx="1">
                  <c:v>Ovn2 tonnageudnyttelse</c:v>
                </c:pt>
                <c:pt idx="2">
                  <c:v>Bortkøleanlæg udnyttelse</c:v>
                </c:pt>
                <c:pt idx="3">
                  <c:v>NS-varme udnyttelse</c:v>
                </c:pt>
              </c:strCache>
            </c:strRef>
          </c:cat>
          <c:val>
            <c:numRef>
              <c:f>ModelOpt!$AF$85:$AF$88</c:f>
              <c:numCache>
                <c:formatCode>0.0%</c:formatCode>
                <c:ptCount val="4"/>
                <c:pt idx="0">
                  <c:v>1</c:v>
                </c:pt>
                <c:pt idx="1">
                  <c:v>0.99999999999999989</c:v>
                </c:pt>
                <c:pt idx="2">
                  <c:v>0.39031868474364967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60-4E39-B61E-CD1A9A59E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0301712"/>
        <c:axId val="134030462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ModelOpt!$AD$84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ModelOpt!$AC$85:$AC$88</c15:sqref>
                        </c15:formulaRef>
                      </c:ext>
                    </c:extLst>
                    <c:strCache>
                      <c:ptCount val="4"/>
                      <c:pt idx="0">
                        <c:v>Ovn3 tonnageudnyttelse</c:v>
                      </c:pt>
                      <c:pt idx="1">
                        <c:v>Ovn2 tonnageudnyttelse</c:v>
                      </c:pt>
                      <c:pt idx="2">
                        <c:v>Bortkøleanlæg udnyttelse</c:v>
                      </c:pt>
                      <c:pt idx="3">
                        <c:v>NS-varme udnyttelse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ModelOpt!$AD$85:$AD$88</c15:sqref>
                        </c15:formulaRef>
                      </c:ext>
                    </c:extLst>
                    <c:numCache>
                      <c:formatCode>General</c:formatCode>
                      <c:ptCount val="4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2C60-4E39-B61E-CD1A9A59E8D7}"/>
                  </c:ext>
                </c:extLst>
              </c15:ser>
            </c15:filteredBarSeries>
          </c:ext>
        </c:extLst>
      </c:barChart>
      <c:catAx>
        <c:axId val="134030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4624"/>
        <c:crosses val="autoZero"/>
        <c:auto val="1"/>
        <c:lblAlgn val="ctr"/>
        <c:lblOffset val="100"/>
        <c:noMultiLvlLbl val="0"/>
      </c:catAx>
      <c:valAx>
        <c:axId val="134030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ModelOpt!$BA$6</c:f>
          <c:strCache>
            <c:ptCount val="1"/>
            <c:pt idx="0">
              <c:v>Variabel varmeproduktionsomkostning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158114610673666"/>
          <c:y val="0.14033011446914245"/>
          <c:w val="0.84786329833770768"/>
          <c:h val="0.70465430962141251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ModelOpt!$AE$84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ModelOpt!$AC$89</c:f>
              <c:strCache>
                <c:ptCount val="1"/>
                <c:pt idx="0">
                  <c:v>VPO affald</c:v>
                </c:pt>
              </c:strCache>
            </c:strRef>
          </c:cat>
          <c:val>
            <c:numRef>
              <c:f>ModelOpt!$AE$89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81-4D32-BB18-A8FA5E26F26E}"/>
            </c:ext>
          </c:extLst>
        </c:ser>
        <c:ser>
          <c:idx val="2"/>
          <c:order val="2"/>
          <c:tx>
            <c:strRef>
              <c:f>ModelOpt!$AF$84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ModelOpt!$AC$89</c:f>
              <c:strCache>
                <c:ptCount val="1"/>
                <c:pt idx="0">
                  <c:v>VPO affald</c:v>
                </c:pt>
              </c:strCache>
            </c:strRef>
          </c:cat>
          <c:val>
            <c:numRef>
              <c:f>ModelOpt!$AF$89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81-4D32-BB18-A8FA5E26F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80"/>
        <c:axId val="1340301712"/>
        <c:axId val="134030462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ModelOpt!$AD$84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ModelOpt!$AC$89</c15:sqref>
                        </c15:formulaRef>
                      </c:ext>
                    </c:extLst>
                    <c:strCache>
                      <c:ptCount val="1"/>
                      <c:pt idx="0">
                        <c:v>VPO affald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ModelOpt!$AD$89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5C81-4D32-BB18-A8FA5E26F26E}"/>
                  </c:ext>
                </c:extLst>
              </c15:ser>
            </c15:filteredBarSeries>
          </c:ext>
        </c:extLst>
      </c:barChart>
      <c:catAx>
        <c:axId val="13403017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40304624"/>
        <c:crosses val="autoZero"/>
        <c:auto val="1"/>
        <c:lblAlgn val="ctr"/>
        <c:lblOffset val="100"/>
        <c:noMultiLvlLbl val="0"/>
      </c:catAx>
      <c:valAx>
        <c:axId val="134030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kr/MWh</a:t>
                </a:r>
              </a:p>
            </c:rich>
          </c:tx>
          <c:layout>
            <c:manualLayout>
              <c:xMode val="edge"/>
              <c:yMode val="edge"/>
              <c:x val="1.6666666666666666E-2"/>
              <c:y val="6.452365883199942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Model!$AL$2</c:f>
          <c:strCache>
            <c:ptCount val="1"/>
            <c:pt idx="0">
              <c:v>Økonomiske nøgletal 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3387206277309308"/>
          <c:y val="0.11305861111111111"/>
          <c:w val="0.71910013595718381"/>
          <c:h val="0.7967600000000000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Model!$P$54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D8-44CB-BE92-7C12E3BEE3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Model!$N$55:$N$69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Model!$P$55:$P$69</c:f>
              <c:numCache>
                <c:formatCode>#,##0,</c:formatCode>
                <c:ptCount val="15"/>
                <c:pt idx="0">
                  <c:v>13828285.888888888</c:v>
                </c:pt>
                <c:pt idx="1">
                  <c:v>7739692.7196607143</c:v>
                </c:pt>
                <c:pt idx="2">
                  <c:v>6088593.1692281738</c:v>
                </c:pt>
                <c:pt idx="4">
                  <c:v>4164635.555555556</c:v>
                </c:pt>
                <c:pt idx="5">
                  <c:v>4401150.333333333</c:v>
                </c:pt>
                <c:pt idx="6">
                  <c:v>0</c:v>
                </c:pt>
                <c:pt idx="7">
                  <c:v>5262500</c:v>
                </c:pt>
                <c:pt idx="9">
                  <c:v>44455.247122545712</c:v>
                </c:pt>
                <c:pt idx="10">
                  <c:v>1253075.5555555555</c:v>
                </c:pt>
                <c:pt idx="11">
                  <c:v>776205.67609802901</c:v>
                </c:pt>
                <c:pt idx="12">
                  <c:v>1949824.7200231692</c:v>
                </c:pt>
                <c:pt idx="13">
                  <c:v>404956.52086141572</c:v>
                </c:pt>
                <c:pt idx="14">
                  <c:v>3311174.9999999995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D8-44CB-BE92-7C12E3BEE328}"/>
            </c:ext>
          </c:extLst>
        </c:ser>
        <c:ser>
          <c:idx val="1"/>
          <c:order val="1"/>
          <c:tx>
            <c:strRef>
              <c:f>Model!$Q$54</c:f>
              <c:strCache>
                <c:ptCount val="1"/>
                <c:pt idx="0">
                  <c:v>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D8-44CB-BE92-7C12E3BEE3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Model!$N$55:$N$69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Model!$Q$55:$Q$69</c:f>
              <c:numCache>
                <c:formatCode>#,##0,</c:formatCode>
                <c:ptCount val="15"/>
                <c:pt idx="0">
                  <c:v>14962353.645040672</c:v>
                </c:pt>
                <c:pt idx="1">
                  <c:v>8468016.8524424825</c:v>
                </c:pt>
                <c:pt idx="2">
                  <c:v>6494336.7925981898</c:v>
                </c:pt>
                <c:pt idx="4">
                  <c:v>5108100.5135802459</c:v>
                </c:pt>
                <c:pt idx="5">
                  <c:v>4401150.333333333</c:v>
                </c:pt>
                <c:pt idx="6">
                  <c:v>190602.798127093</c:v>
                </c:pt>
                <c:pt idx="7">
                  <c:v>5262500</c:v>
                </c:pt>
                <c:pt idx="9">
                  <c:v>44455.247122545712</c:v>
                </c:pt>
                <c:pt idx="10">
                  <c:v>1284966.4353476283</c:v>
                </c:pt>
                <c:pt idx="11">
                  <c:v>1525531.7546666665</c:v>
                </c:pt>
                <c:pt idx="12">
                  <c:v>1906027.98127093</c:v>
                </c:pt>
                <c:pt idx="13">
                  <c:v>395860.4340347125</c:v>
                </c:pt>
                <c:pt idx="14">
                  <c:v>3311174.9999999995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D8-44CB-BE92-7C12E3BEE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907630911"/>
        <c:axId val="907631327"/>
      </c:barChart>
      <c:catAx>
        <c:axId val="9076309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1327"/>
        <c:crosses val="autoZero"/>
        <c:auto val="1"/>
        <c:lblAlgn val="ctr"/>
        <c:lblOffset val="100"/>
        <c:noMultiLvlLbl val="0"/>
      </c:catAx>
      <c:valAx>
        <c:axId val="907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tkr</a:t>
                </a:r>
              </a:p>
            </c:rich>
          </c:tx>
          <c:layout>
            <c:manualLayout>
              <c:xMode val="edge"/>
              <c:yMode val="edge"/>
              <c:x val="0.9569561876739372"/>
              <c:y val="0.84741666666666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0911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387743055555558"/>
          <c:y val="0.75349611111111114"/>
          <c:w val="0.16902422139559506"/>
          <c:h val="0.105392777777777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Model!$AL$4</c:f>
          <c:strCache>
            <c:ptCount val="1"/>
            <c:pt idx="0">
              <c:v>Varmemængder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4618680555555555"/>
          <c:y val="0.13084527777777777"/>
          <c:w val="0.70192187500000003"/>
          <c:h val="0.779968333333333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Model!$P$71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Model!$N$72:$N$77</c:f>
              <c:strCache>
                <c:ptCount val="6"/>
                <c:pt idx="0">
                  <c:v>Varmeproduktion Ovn2</c:v>
                </c:pt>
                <c:pt idx="1">
                  <c:v>Varmeproduktion Ovn3</c:v>
                </c:pt>
                <c:pt idx="2">
                  <c:v>Heraf RGK-varme</c:v>
                </c:pt>
                <c:pt idx="3">
                  <c:v>Bortkølet varme</c:v>
                </c:pt>
                <c:pt idx="4">
                  <c:v>Leveret affaldsvarme</c:v>
                </c:pt>
                <c:pt idx="5">
                  <c:v>Spidslastvarme</c:v>
                </c:pt>
              </c:strCache>
            </c:strRef>
          </c:cat>
          <c:val>
            <c:numRef>
              <c:f>Model!$P$72:$P$77</c:f>
              <c:numCache>
                <c:formatCode>#,##0</c:formatCode>
                <c:ptCount val="6"/>
                <c:pt idx="0">
                  <c:v>7068</c:v>
                </c:pt>
                <c:pt idx="1">
                  <c:v>18404.444444444445</c:v>
                </c:pt>
                <c:pt idx="2">
                  <c:v>0</c:v>
                </c:pt>
                <c:pt idx="3">
                  <c:v>12081.333333333332</c:v>
                </c:pt>
                <c:pt idx="4">
                  <c:v>13391.111111111113</c:v>
                </c:pt>
                <c:pt idx="5">
                  <c:v>11608.888888888887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E3-4047-9AC4-E62B5F528598}"/>
            </c:ext>
          </c:extLst>
        </c:ser>
        <c:ser>
          <c:idx val="1"/>
          <c:order val="1"/>
          <c:tx>
            <c:strRef>
              <c:f>Model!$Q$71</c:f>
              <c:strCache>
                <c:ptCount val="1"/>
                <c:pt idx="0">
                  <c:v>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Model!$N$72:$N$77</c:f>
              <c:strCache>
                <c:ptCount val="6"/>
                <c:pt idx="0">
                  <c:v>Varmeproduktion Ovn2</c:v>
                </c:pt>
                <c:pt idx="1">
                  <c:v>Varmeproduktion Ovn3</c:v>
                </c:pt>
                <c:pt idx="2">
                  <c:v>Heraf RGK-varme</c:v>
                </c:pt>
                <c:pt idx="3">
                  <c:v>Bortkølet varme</c:v>
                </c:pt>
                <c:pt idx="4">
                  <c:v>Leveret affaldsvarme</c:v>
                </c:pt>
                <c:pt idx="5">
                  <c:v>Spidslastvarme</c:v>
                </c:pt>
              </c:strCache>
            </c:strRef>
          </c:cat>
          <c:val>
            <c:numRef>
              <c:f>Model!$Q$72:$Q$77</c:f>
              <c:numCache>
                <c:formatCode>#,##0</c:formatCode>
                <c:ptCount val="6"/>
                <c:pt idx="0">
                  <c:v>8556</c:v>
                </c:pt>
                <c:pt idx="1">
                  <c:v>19950.09382716049</c:v>
                </c:pt>
                <c:pt idx="2">
                  <c:v>3189.0879792072774</c:v>
                </c:pt>
                <c:pt idx="3">
                  <c:v>12081.333333333332</c:v>
                </c:pt>
                <c:pt idx="4">
                  <c:v>16424.760493827158</c:v>
                </c:pt>
                <c:pt idx="5">
                  <c:v>8575.2395061728421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E3-4047-9AC4-E62B5F5285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795770207"/>
        <c:axId val="795780607"/>
      </c:barChart>
      <c:catAx>
        <c:axId val="79577020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80607"/>
        <c:crosses val="autoZero"/>
        <c:auto val="1"/>
        <c:lblAlgn val="ctr"/>
        <c:lblOffset val="100"/>
        <c:noMultiLvlLbl val="0"/>
      </c:catAx>
      <c:valAx>
        <c:axId val="795780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70207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859305555555557"/>
          <c:y val="2.2513055555555564E-2"/>
          <c:w val="0.19923732638888889"/>
          <c:h val="9.55425000000000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Model!$AL$3</c:f>
          <c:strCache>
            <c:ptCount val="1"/>
            <c:pt idx="0">
              <c:v>Økonomi: Med RGK ift. Uden RGK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5886580647107943"/>
          <c:y val="0.11305861111111111"/>
          <c:w val="0.6901163194444444"/>
          <c:h val="0.7897044444444444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,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Model!$N$55:$N$69</c:f>
              <c:strCache>
                <c:ptCount val="15"/>
                <c:pt idx="0">
                  <c:v>Indtægter total</c:v>
                </c:pt>
                <c:pt idx="1">
                  <c:v>Omkostninger total</c:v>
                </c:pt>
                <c:pt idx="2">
                  <c:v>Dækningsbidrag</c:v>
                </c:pt>
                <c:pt idx="4">
                  <c:v>Varmesalg</c:v>
                </c:pt>
                <c:pt idx="5">
                  <c:v>Elsalg</c:v>
                </c:pt>
                <c:pt idx="6">
                  <c:v>RGK-rabat</c:v>
                </c:pt>
                <c:pt idx="7">
                  <c:v>Modtagebetaling affald</c:v>
                </c:pt>
                <c:pt idx="9">
                  <c:v>Betaling bioaffald</c:v>
                </c:pt>
                <c:pt idx="10">
                  <c:v>DV-omkostninger</c:v>
                </c:pt>
                <c:pt idx="11">
                  <c:v>Affaldvarme-afgift</c:v>
                </c:pt>
                <c:pt idx="12">
                  <c:v>Tillægsafgift</c:v>
                </c:pt>
                <c:pt idx="13">
                  <c:v>CO2-afgift</c:v>
                </c:pt>
                <c:pt idx="14">
                  <c:v>Kvote-omkostning</c:v>
                </c:pt>
              </c:strCache>
            </c:strRef>
          </c:cat>
          <c:val>
            <c:numRef>
              <c:f>Model!$R$55:$R$69</c:f>
              <c:numCache>
                <c:formatCode>#,##0,</c:formatCode>
                <c:ptCount val="15"/>
                <c:pt idx="0">
                  <c:v>1134067.7561517842</c:v>
                </c:pt>
                <c:pt idx="1">
                  <c:v>728324.13278176822</c:v>
                </c:pt>
                <c:pt idx="2">
                  <c:v>405743.62337001599</c:v>
                </c:pt>
                <c:pt idx="4">
                  <c:v>943464.95802468993</c:v>
                </c:pt>
                <c:pt idx="5">
                  <c:v>0</c:v>
                </c:pt>
                <c:pt idx="6">
                  <c:v>190602.798127093</c:v>
                </c:pt>
                <c:pt idx="7">
                  <c:v>0</c:v>
                </c:pt>
                <c:pt idx="9">
                  <c:v>0</c:v>
                </c:pt>
                <c:pt idx="10">
                  <c:v>31890.87979207281</c:v>
                </c:pt>
                <c:pt idx="11">
                  <c:v>749326.07856863749</c:v>
                </c:pt>
                <c:pt idx="12">
                  <c:v>-43796.738752239151</c:v>
                </c:pt>
                <c:pt idx="13">
                  <c:v>-9096.0868267032201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65-413D-BD84-2434BBCAC7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907630911"/>
        <c:axId val="907631327"/>
      </c:barChart>
      <c:catAx>
        <c:axId val="9076309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1327"/>
        <c:crosses val="autoZero"/>
        <c:auto val="1"/>
        <c:lblAlgn val="ctr"/>
        <c:lblOffset val="100"/>
        <c:noMultiLvlLbl val="0"/>
      </c:catAx>
      <c:valAx>
        <c:axId val="907631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tkr</a:t>
                </a:r>
              </a:p>
            </c:rich>
          </c:tx>
          <c:layout>
            <c:manualLayout>
              <c:xMode val="edge"/>
              <c:yMode val="edge"/>
              <c:x val="0.96073802083333337"/>
              <c:y val="0.84741666666666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7630911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Model!$AL$5</c:f>
          <c:strCache>
            <c:ptCount val="1"/>
            <c:pt idx="0">
              <c:v>Brændselsmængder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33853935002386726"/>
          <c:y val="0.13084527777777777"/>
          <c:w val="0.60956917867288218"/>
          <c:h val="0.779968333333333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Model!$P$71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6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6D1-45AF-9DB1-93E5E0E7B11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Model!$N$80:$N$92</c:f>
              <c:strCache>
                <c:ptCount val="13"/>
                <c:pt idx="0">
                  <c:v>Affaldsforbrug Ovn3</c:v>
                </c:pt>
                <c:pt idx="1">
                  <c:v>Nordic Sugar varme</c:v>
                </c:pt>
                <c:pt idx="2">
                  <c:v>Affaldsforbrug Ovn2</c:v>
                </c:pt>
                <c:pt idx="3">
                  <c:v>Affaldsforbrug kølevarme Ovn3</c:v>
                </c:pt>
                <c:pt idx="4">
                  <c:v>Affaldsforbrug kølevarme Ovn2</c:v>
                </c:pt>
                <c:pt idx="5">
                  <c:v>Udnyttet affald</c:v>
                </c:pt>
                <c:pt idx="6">
                  <c:v>Ikke-udnyttet affald</c:v>
                </c:pt>
                <c:pt idx="7">
                  <c:v>Fast Fossilt udnyttet</c:v>
                </c:pt>
                <c:pt idx="8">
                  <c:v>Frit Fossilt udnyttet</c:v>
                </c:pt>
                <c:pt idx="9">
                  <c:v>Biogent udnyttet</c:v>
                </c:pt>
                <c:pt idx="10">
                  <c:v>Fast Fossilt ikke-udnyttet</c:v>
                </c:pt>
                <c:pt idx="11">
                  <c:v>Frit Fossilt ikke-udnyttet</c:v>
                </c:pt>
                <c:pt idx="12">
                  <c:v>Biogent ikke-udnyttet</c:v>
                </c:pt>
              </c:strCache>
            </c:strRef>
          </c:cat>
          <c:val>
            <c:numRef>
              <c:f>Model!$P$80:$P$92</c:f>
              <c:numCache>
                <c:formatCode>#,##0</c:formatCode>
                <c:ptCount val="13"/>
                <c:pt idx="0">
                  <c:v>3000</c:v>
                </c:pt>
                <c:pt idx="1">
                  <c:v>3000</c:v>
                </c:pt>
                <c:pt idx="2">
                  <c:v>2899.7968855788763</c:v>
                </c:pt>
                <c:pt idx="3">
                  <c:v>6500</c:v>
                </c:pt>
                <c:pt idx="4">
                  <c:v>0</c:v>
                </c:pt>
                <c:pt idx="5">
                  <c:v>12399.796885578877</c:v>
                </c:pt>
                <c:pt idx="6">
                  <c:v>300.2031144211237</c:v>
                </c:pt>
                <c:pt idx="7">
                  <c:v>8500</c:v>
                </c:pt>
                <c:pt idx="8">
                  <c:v>2000</c:v>
                </c:pt>
                <c:pt idx="9">
                  <c:v>1899.7968855788763</c:v>
                </c:pt>
                <c:pt idx="10">
                  <c:v>0</c:v>
                </c:pt>
                <c:pt idx="11">
                  <c:v>1200</c:v>
                </c:pt>
                <c:pt idx="12">
                  <c:v>-899.7968855788763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6D1-45AF-9DB1-93E5E0E7B11D}"/>
            </c:ext>
          </c:extLst>
        </c:ser>
        <c:ser>
          <c:idx val="1"/>
          <c:order val="1"/>
          <c:tx>
            <c:strRef>
              <c:f>Model!$Q$71</c:f>
              <c:strCache>
                <c:ptCount val="1"/>
                <c:pt idx="0">
                  <c:v>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6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6D1-45AF-9DB1-93E5E0E7B11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Model!$N$80:$N$92</c:f>
              <c:strCache>
                <c:ptCount val="13"/>
                <c:pt idx="0">
                  <c:v>Affaldsforbrug Ovn3</c:v>
                </c:pt>
                <c:pt idx="1">
                  <c:v>Nordic Sugar varme</c:v>
                </c:pt>
                <c:pt idx="2">
                  <c:v>Affaldsforbrug Ovn2</c:v>
                </c:pt>
                <c:pt idx="3">
                  <c:v>Affaldsforbrug kølevarme Ovn3</c:v>
                </c:pt>
                <c:pt idx="4">
                  <c:v>Affaldsforbrug kølevarme Ovn2</c:v>
                </c:pt>
                <c:pt idx="5">
                  <c:v>Udnyttet affald</c:v>
                </c:pt>
                <c:pt idx="6">
                  <c:v>Ikke-udnyttet affald</c:v>
                </c:pt>
                <c:pt idx="7">
                  <c:v>Fast Fossilt udnyttet</c:v>
                </c:pt>
                <c:pt idx="8">
                  <c:v>Frit Fossilt udnyttet</c:v>
                </c:pt>
                <c:pt idx="9">
                  <c:v>Biogent udnyttet</c:v>
                </c:pt>
                <c:pt idx="10">
                  <c:v>Fast Fossilt ikke-udnyttet</c:v>
                </c:pt>
                <c:pt idx="11">
                  <c:v>Frit Fossilt ikke-udnyttet</c:v>
                </c:pt>
                <c:pt idx="12">
                  <c:v>Biogent ikke-udnyttet</c:v>
                </c:pt>
              </c:strCache>
            </c:strRef>
          </c:cat>
          <c:val>
            <c:numRef>
              <c:f>Model!$Q$80:$Q$92</c:f>
              <c:numCache>
                <c:formatCode>#,##0</c:formatCode>
                <c:ptCount val="13"/>
                <c:pt idx="0">
                  <c:v>3000</c:v>
                </c:pt>
                <c:pt idx="1">
                  <c:v>3000</c:v>
                </c:pt>
                <c:pt idx="2">
                  <c:v>2899.7968855788763</c:v>
                </c:pt>
                <c:pt idx="3">
                  <c:v>6500</c:v>
                </c:pt>
                <c:pt idx="4">
                  <c:v>0</c:v>
                </c:pt>
                <c:pt idx="5">
                  <c:v>12399.796885578877</c:v>
                </c:pt>
                <c:pt idx="6">
                  <c:v>300.2031144211237</c:v>
                </c:pt>
                <c:pt idx="7">
                  <c:v>8500</c:v>
                </c:pt>
                <c:pt idx="8">
                  <c:v>2000</c:v>
                </c:pt>
                <c:pt idx="9">
                  <c:v>1899.7968855788763</c:v>
                </c:pt>
                <c:pt idx="10">
                  <c:v>0</c:v>
                </c:pt>
                <c:pt idx="11">
                  <c:v>1200</c:v>
                </c:pt>
                <c:pt idx="12">
                  <c:v>-899.7968855788763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6D1-45AF-9DB1-93E5E0E7B1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0"/>
        <c:overlap val="-50"/>
        <c:axId val="795770207"/>
        <c:axId val="795780607"/>
      </c:barChart>
      <c:catAx>
        <c:axId val="79577020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80607"/>
        <c:crosses val="autoZero"/>
        <c:auto val="1"/>
        <c:lblAlgn val="ctr"/>
        <c:lblOffset val="100"/>
        <c:noMultiLvlLbl val="0"/>
      </c:catAx>
      <c:valAx>
        <c:axId val="795780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5770207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859305555555557"/>
          <c:y val="2.2513055555555564E-2"/>
          <c:w val="0.19923732638888889"/>
          <c:h val="9.90702777777777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Model!$AL$7</c:f>
          <c:strCache>
            <c:ptCount val="1"/>
            <c:pt idx="0">
              <c:v>Kapacitetsudnyttelse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158114610673666"/>
          <c:y val="0.20370370370370369"/>
          <c:w val="0.84786329833770768"/>
          <c:h val="0.532136920384951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Model!$O$94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Model!$N$95:$N$100</c:f>
              <c:strCache>
                <c:ptCount val="6"/>
                <c:pt idx="0">
                  <c:v>Ovn2 udnyttelse</c:v>
                </c:pt>
                <c:pt idx="1">
                  <c:v>Ovn3 udnyttelse</c:v>
                </c:pt>
                <c:pt idx="2">
                  <c:v>Ovn2 udnyttelse efter køling</c:v>
                </c:pt>
                <c:pt idx="3">
                  <c:v>Ovn3 udnyttelse efter køling</c:v>
                </c:pt>
                <c:pt idx="4">
                  <c:v>Bortkøleanlæg udnyttelse</c:v>
                </c:pt>
                <c:pt idx="5">
                  <c:v>NS-varme udnyttelse</c:v>
                </c:pt>
              </c:strCache>
            </c:strRef>
          </c:cat>
          <c:val>
            <c:numRef>
              <c:f>Model!$O$95:$O$100</c:f>
              <c:numCache>
                <c:formatCode>General</c:formatCode>
                <c:ptCount val="6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DB3-4D48-A092-582FB906D15D}"/>
            </c:ext>
          </c:extLst>
        </c:ser>
        <c:ser>
          <c:idx val="1"/>
          <c:order val="1"/>
          <c:tx>
            <c:strRef>
              <c:f>Model!$P$94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Model!$N$95:$N$100</c:f>
              <c:strCache>
                <c:ptCount val="6"/>
                <c:pt idx="0">
                  <c:v>Ovn2 udnyttelse</c:v>
                </c:pt>
                <c:pt idx="1">
                  <c:v>Ovn3 udnyttelse</c:v>
                </c:pt>
                <c:pt idx="2">
                  <c:v>Ovn2 udnyttelse efter køling</c:v>
                </c:pt>
                <c:pt idx="3">
                  <c:v>Ovn3 udnyttelse efter køling</c:v>
                </c:pt>
                <c:pt idx="4">
                  <c:v>Bortkøleanlæg udnyttelse</c:v>
                </c:pt>
                <c:pt idx="5">
                  <c:v>NS-varme udnyttelse</c:v>
                </c:pt>
              </c:strCache>
            </c:strRef>
          </c:cat>
          <c:val>
            <c:numRef>
              <c:f>Model!$P$95:$P$100</c:f>
              <c:numCache>
                <c:formatCode>0.0%</c:formatCode>
                <c:ptCount val="6"/>
                <c:pt idx="0">
                  <c:v>1</c:v>
                </c:pt>
                <c:pt idx="1">
                  <c:v>0.37772467808310106</c:v>
                </c:pt>
                <c:pt idx="2">
                  <c:v>1</c:v>
                </c:pt>
                <c:pt idx="3">
                  <c:v>1.0994291782822248</c:v>
                </c:pt>
                <c:pt idx="4">
                  <c:v>1.0825567502986857</c:v>
                </c:pt>
                <c:pt idx="5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B3-4D48-A092-582FB906D15D}"/>
            </c:ext>
          </c:extLst>
        </c:ser>
        <c:ser>
          <c:idx val="2"/>
          <c:order val="2"/>
          <c:tx>
            <c:strRef>
              <c:f>Model!$Q$94</c:f>
              <c:strCache>
                <c:ptCount val="1"/>
                <c:pt idx="0">
                  <c:v>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Model!$N$95:$N$100</c:f>
              <c:strCache>
                <c:ptCount val="6"/>
                <c:pt idx="0">
                  <c:v>Ovn2 udnyttelse</c:v>
                </c:pt>
                <c:pt idx="1">
                  <c:v>Ovn3 udnyttelse</c:v>
                </c:pt>
                <c:pt idx="2">
                  <c:v>Ovn2 udnyttelse efter køling</c:v>
                </c:pt>
                <c:pt idx="3">
                  <c:v>Ovn3 udnyttelse efter køling</c:v>
                </c:pt>
                <c:pt idx="4">
                  <c:v>Bortkøleanlæg udnyttelse</c:v>
                </c:pt>
                <c:pt idx="5">
                  <c:v>NS-varme udnyttelse</c:v>
                </c:pt>
              </c:strCache>
            </c:strRef>
          </c:cat>
          <c:val>
            <c:numRef>
              <c:f>Model!$Q$95:$Q$100</c:f>
              <c:numCache>
                <c:formatCode>0.0%</c:formatCode>
                <c:ptCount val="6"/>
                <c:pt idx="0">
                  <c:v>1</c:v>
                </c:pt>
                <c:pt idx="1">
                  <c:v>0.49995733060249192</c:v>
                </c:pt>
                <c:pt idx="2">
                  <c:v>1</c:v>
                </c:pt>
                <c:pt idx="3">
                  <c:v>1.0994291782822248</c:v>
                </c:pt>
                <c:pt idx="4">
                  <c:v>1.0825567502986857</c:v>
                </c:pt>
                <c:pt idx="5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B3-4D48-A092-582FB906D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0301712"/>
        <c:axId val="1340304624"/>
        <c:extLst/>
      </c:barChart>
      <c:catAx>
        <c:axId val="134030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4624"/>
        <c:crosses val="autoZero"/>
        <c:auto val="1"/>
        <c:lblAlgn val="ctr"/>
        <c:lblOffset val="100"/>
        <c:noMultiLvlLbl val="0"/>
      </c:catAx>
      <c:valAx>
        <c:axId val="134030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Model!$AL$6</c:f>
          <c:strCache>
            <c:ptCount val="1"/>
            <c:pt idx="0">
              <c:v>Variabel varmeproduktionsomkostning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158114610673666"/>
          <c:y val="0.14033011446914245"/>
          <c:w val="0.84786329833770768"/>
          <c:h val="0.70465430962141251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Model!$P$94</c:f>
              <c:strCache>
                <c:ptCount val="1"/>
                <c:pt idx="0">
                  <c:v>Uden RGK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Model!$N$101</c:f>
              <c:strCache>
                <c:ptCount val="1"/>
                <c:pt idx="0">
                  <c:v>VPO affald</c:v>
                </c:pt>
              </c:strCache>
            </c:strRef>
          </c:cat>
          <c:val>
            <c:numRef>
              <c:f>Model!$P$101</c:f>
              <c:numCache>
                <c:formatCode>0.00</c:formatCode>
                <c:ptCount val="1"/>
                <c:pt idx="0">
                  <c:v>-143.67423268381646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9C-461D-85AA-8FC43293D72D}"/>
            </c:ext>
          </c:extLst>
        </c:ser>
        <c:ser>
          <c:idx val="2"/>
          <c:order val="2"/>
          <c:tx>
            <c:strRef>
              <c:f>Model!$Q$94</c:f>
              <c:strCache>
                <c:ptCount val="1"/>
                <c:pt idx="0">
                  <c:v>100% RGK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Model!$N$101</c:f>
              <c:strCache>
                <c:ptCount val="1"/>
                <c:pt idx="0">
                  <c:v>VPO affald</c:v>
                </c:pt>
              </c:strCache>
            </c:strRef>
          </c:cat>
          <c:val>
            <c:numRef>
              <c:f>Model!$Q$101</c:f>
              <c:numCache>
                <c:formatCode>0.00</c:formatCode>
                <c:ptCount val="1"/>
                <c:pt idx="0">
                  <c:v>-84.39917766465615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9C-461D-85AA-8FC43293D7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80"/>
        <c:axId val="1340301712"/>
        <c:axId val="134030462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Model!$O$94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Model!$N$101</c15:sqref>
                        </c15:formulaRef>
                      </c:ext>
                    </c:extLst>
                    <c:strCache>
                      <c:ptCount val="1"/>
                      <c:pt idx="0">
                        <c:v>VPO affald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Model!$O$101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0A9C-461D-85AA-8FC43293D72D}"/>
                  </c:ext>
                </c:extLst>
              </c15:ser>
            </c15:filteredBarSeries>
          </c:ext>
        </c:extLst>
      </c:barChart>
      <c:catAx>
        <c:axId val="13403017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40304624"/>
        <c:crosses val="autoZero"/>
        <c:auto val="1"/>
        <c:lblAlgn val="ctr"/>
        <c:lblOffset val="100"/>
        <c:noMultiLvlLbl val="0"/>
      </c:catAx>
      <c:valAx>
        <c:axId val="134030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kr/MWh</a:t>
                </a:r>
              </a:p>
            </c:rich>
          </c:tx>
          <c:layout>
            <c:manualLayout>
              <c:xMode val="edge"/>
              <c:yMode val="edge"/>
              <c:x val="1.6666666666666666E-2"/>
              <c:y val="6.452365883199942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34030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Scenarier!$K$23</c:f>
          <c:strCache>
            <c:ptCount val="1"/>
            <c:pt idx="0">
              <c:v>Økonomiske nøgletal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0500847144930994"/>
          <c:y val="0.1265111111111111"/>
          <c:w val="0.56229559223833447"/>
          <c:h val="0.78436604938271604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Scenarier!$C$63</c:f>
              <c:strCache>
                <c:ptCount val="1"/>
                <c:pt idx="0">
                  <c:v>Dækningsbidrag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Scenarier!$E$63:$Y$63</c:f>
              <c:numCache>
                <c:formatCode>#,##0</c:formatCode>
                <c:ptCount val="21"/>
                <c:pt idx="0">
                  <c:v>7693.9692375006771</c:v>
                </c:pt>
                <c:pt idx="1">
                  <c:v>7693.9692375006771</c:v>
                </c:pt>
                <c:pt idx="2">
                  <c:v>7693.9692375006771</c:v>
                </c:pt>
                <c:pt idx="3">
                  <c:v>7693.9692375006771</c:v>
                </c:pt>
                <c:pt idx="4">
                  <c:v>7693.9692375006771</c:v>
                </c:pt>
                <c:pt idx="5">
                  <c:v>7693.9692375006771</c:v>
                </c:pt>
                <c:pt idx="6">
                  <c:v>7693.9692375006771</c:v>
                </c:pt>
                <c:pt idx="7">
                  <c:v>7693.9692375006771</c:v>
                </c:pt>
                <c:pt idx="8">
                  <c:v>7693.9692375006771</c:v>
                </c:pt>
                <c:pt idx="9">
                  <c:v>7693.9692375006771</c:v>
                </c:pt>
                <c:pt idx="10">
                  <c:v>7693.9692375006771</c:v>
                </c:pt>
                <c:pt idx="11">
                  <c:v>7693.9692375006771</c:v>
                </c:pt>
                <c:pt idx="12">
                  <c:v>7693.9692375006771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7F-420A-8029-6F9DCB534763}"/>
            </c:ext>
          </c:extLst>
        </c:ser>
        <c:ser>
          <c:idx val="1"/>
          <c:order val="1"/>
          <c:tx>
            <c:strRef>
              <c:f>Scenarier!$C$64</c:f>
              <c:strCache>
                <c:ptCount val="1"/>
                <c:pt idx="0">
                  <c:v>Indtægter total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Scenarier!$E$64:$Y$64</c:f>
              <c:numCache>
                <c:formatCode>#,##0</c:formatCode>
                <c:ptCount val="21"/>
                <c:pt idx="0">
                  <c:v>16271.220678117596</c:v>
                </c:pt>
                <c:pt idx="1">
                  <c:v>16271.220678117596</c:v>
                </c:pt>
                <c:pt idx="2">
                  <c:v>16271.220678117596</c:v>
                </c:pt>
                <c:pt idx="3">
                  <c:v>16271.220678117596</c:v>
                </c:pt>
                <c:pt idx="4">
                  <c:v>16271.220678117596</c:v>
                </c:pt>
                <c:pt idx="5">
                  <c:v>16271.220678117596</c:v>
                </c:pt>
                <c:pt idx="6">
                  <c:v>16271.220678117596</c:v>
                </c:pt>
                <c:pt idx="7">
                  <c:v>16271.220678117596</c:v>
                </c:pt>
                <c:pt idx="8">
                  <c:v>16271.220678117596</c:v>
                </c:pt>
                <c:pt idx="9">
                  <c:v>16271.220678117596</c:v>
                </c:pt>
                <c:pt idx="10">
                  <c:v>16271.220678117596</c:v>
                </c:pt>
                <c:pt idx="11">
                  <c:v>16271.220678117596</c:v>
                </c:pt>
                <c:pt idx="12">
                  <c:v>16271.220678117596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7F-420A-8029-6F9DCB534763}"/>
            </c:ext>
          </c:extLst>
        </c:ser>
        <c:ser>
          <c:idx val="2"/>
          <c:order val="2"/>
          <c:tx>
            <c:strRef>
              <c:f>Scenarier!$C$65</c:f>
              <c:strCache>
                <c:ptCount val="1"/>
                <c:pt idx="0">
                  <c:v>Omkostninger total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Scenarier!$E$65:$Y$65</c:f>
              <c:numCache>
                <c:formatCode>#,##0</c:formatCode>
                <c:ptCount val="21"/>
                <c:pt idx="0">
                  <c:v>-8577.2514406169194</c:v>
                </c:pt>
                <c:pt idx="1">
                  <c:v>-8577.2514406169194</c:v>
                </c:pt>
                <c:pt idx="2">
                  <c:v>-8577.2514406169194</c:v>
                </c:pt>
                <c:pt idx="3">
                  <c:v>-8577.2514406169194</c:v>
                </c:pt>
                <c:pt idx="4">
                  <c:v>-8577.2514406169194</c:v>
                </c:pt>
                <c:pt idx="5">
                  <c:v>-8577.2514406169194</c:v>
                </c:pt>
                <c:pt idx="6">
                  <c:v>-8577.2514406169194</c:v>
                </c:pt>
                <c:pt idx="7">
                  <c:v>-8577.2514406169194</c:v>
                </c:pt>
                <c:pt idx="8">
                  <c:v>-8577.2514406169194</c:v>
                </c:pt>
                <c:pt idx="9">
                  <c:v>-8577.2514406169194</c:v>
                </c:pt>
                <c:pt idx="10">
                  <c:v>-8577.2514406169194</c:v>
                </c:pt>
                <c:pt idx="11">
                  <c:v>-8577.2514406169194</c:v>
                </c:pt>
                <c:pt idx="12">
                  <c:v>-8577.2514406169194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7F-420A-8029-6F9DCB534763}"/>
            </c:ext>
          </c:extLst>
        </c:ser>
        <c:ser>
          <c:idx val="3"/>
          <c:order val="3"/>
          <c:tx>
            <c:strRef>
              <c:f>Scenarier!$C$66</c:f>
              <c:strCache>
                <c:ptCount val="1"/>
                <c:pt idx="0">
                  <c:v>RGK-rabat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Scenarier!$E$66:$Y$66</c:f>
              <c:numCache>
                <c:formatCode>#,##0</c:formatCode>
                <c:ptCount val="21"/>
                <c:pt idx="0">
                  <c:v>200.59380181097563</c:v>
                </c:pt>
                <c:pt idx="1">
                  <c:v>200.59380181097563</c:v>
                </c:pt>
                <c:pt idx="2">
                  <c:v>200.59380181097563</c:v>
                </c:pt>
                <c:pt idx="3">
                  <c:v>200.59380181097563</c:v>
                </c:pt>
                <c:pt idx="4">
                  <c:v>200.59380181097563</c:v>
                </c:pt>
                <c:pt idx="5">
                  <c:v>200.59380181097563</c:v>
                </c:pt>
                <c:pt idx="6">
                  <c:v>200.59380181097563</c:v>
                </c:pt>
                <c:pt idx="7">
                  <c:v>200.59380181097563</c:v>
                </c:pt>
                <c:pt idx="8">
                  <c:v>200.59380181097563</c:v>
                </c:pt>
                <c:pt idx="9">
                  <c:v>200.59380181097563</c:v>
                </c:pt>
                <c:pt idx="10">
                  <c:v>200.59380181097563</c:v>
                </c:pt>
                <c:pt idx="11">
                  <c:v>200.59380181097563</c:v>
                </c:pt>
                <c:pt idx="12">
                  <c:v>200.59380181097563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7F-420A-8029-6F9DCB534763}"/>
            </c:ext>
          </c:extLst>
        </c:ser>
        <c:ser>
          <c:idx val="4"/>
          <c:order val="4"/>
          <c:tx>
            <c:strRef>
              <c:f>Scenarier!$C$67</c:f>
              <c:strCache>
                <c:ptCount val="1"/>
                <c:pt idx="0">
                  <c:v>Modtagebetaling affald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Scenarier!$E$67:$Y$67</c:f>
              <c:numCache>
                <c:formatCode>#,##0</c:formatCode>
                <c:ptCount val="21"/>
                <c:pt idx="0">
                  <c:v>4659.2944250871069</c:v>
                </c:pt>
                <c:pt idx="1">
                  <c:v>4659.2944250871069</c:v>
                </c:pt>
                <c:pt idx="2">
                  <c:v>4659.2944250871069</c:v>
                </c:pt>
                <c:pt idx="3">
                  <c:v>4659.2944250871069</c:v>
                </c:pt>
                <c:pt idx="4">
                  <c:v>4659.2944250871069</c:v>
                </c:pt>
                <c:pt idx="5">
                  <c:v>4659.2944250871069</c:v>
                </c:pt>
                <c:pt idx="6">
                  <c:v>4659.2944250871069</c:v>
                </c:pt>
                <c:pt idx="7">
                  <c:v>4659.2944250871069</c:v>
                </c:pt>
                <c:pt idx="8">
                  <c:v>4659.2944250871069</c:v>
                </c:pt>
                <c:pt idx="9">
                  <c:v>4659.2944250871069</c:v>
                </c:pt>
                <c:pt idx="10">
                  <c:v>4659.2944250871069</c:v>
                </c:pt>
                <c:pt idx="11">
                  <c:v>4659.2944250871069</c:v>
                </c:pt>
                <c:pt idx="12">
                  <c:v>4659.2944250871069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7F-420A-8029-6F9DCB534763}"/>
            </c:ext>
          </c:extLst>
        </c:ser>
        <c:ser>
          <c:idx val="5"/>
          <c:order val="5"/>
          <c:tx>
            <c:strRef>
              <c:f>Scenarier!$C$68</c:f>
              <c:strCache>
                <c:ptCount val="1"/>
                <c:pt idx="0">
                  <c:v>Varmesalg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Scenarier!$E$68:$Y$68</c:f>
              <c:numCache>
                <c:formatCode>#,##0</c:formatCode>
                <c:ptCount val="21"/>
                <c:pt idx="0">
                  <c:v>7464</c:v>
                </c:pt>
                <c:pt idx="1">
                  <c:v>7464</c:v>
                </c:pt>
                <c:pt idx="2">
                  <c:v>7464</c:v>
                </c:pt>
                <c:pt idx="3">
                  <c:v>7464</c:v>
                </c:pt>
                <c:pt idx="4">
                  <c:v>7464</c:v>
                </c:pt>
                <c:pt idx="5">
                  <c:v>7464</c:v>
                </c:pt>
                <c:pt idx="6">
                  <c:v>7464</c:v>
                </c:pt>
                <c:pt idx="7">
                  <c:v>7464</c:v>
                </c:pt>
                <c:pt idx="8">
                  <c:v>7464</c:v>
                </c:pt>
                <c:pt idx="9">
                  <c:v>7464</c:v>
                </c:pt>
                <c:pt idx="10">
                  <c:v>7464</c:v>
                </c:pt>
                <c:pt idx="11">
                  <c:v>7464</c:v>
                </c:pt>
                <c:pt idx="12">
                  <c:v>7464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F7F-420A-8029-6F9DCB534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82026623144042"/>
          <c:y val="0.13756265432098763"/>
          <c:w val="0.32350797476728782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rgbClr val="CCECFF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 sz="1000"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Scenarier!$D$23</c:f>
          <c:strCache>
            <c:ptCount val="1"/>
            <c:pt idx="0">
              <c:v>Modtagebetaling og RGK-rabat vs. RGK-udnyttelse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1289197530864202E-2"/>
          <c:y val="0.16400868055555556"/>
          <c:w val="0.62724104938271596"/>
          <c:h val="0.72515486111111116"/>
        </c:manualLayout>
      </c:layout>
      <c:scatterChart>
        <c:scatterStyle val="lineMarker"/>
        <c:varyColors val="0"/>
        <c:ser>
          <c:idx val="0"/>
          <c:order val="0"/>
          <c:tx>
            <c:strRef>
              <c:f>Scenarier!$C$88</c:f>
              <c:strCache>
                <c:ptCount val="1"/>
                <c:pt idx="0">
                  <c:v>RGK-rabat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9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CCA-440C-8597-A239614DFD4D}"/>
              </c:ext>
            </c:extLst>
          </c:dPt>
          <c:xVal>
            <c:numRef>
              <c:f>Scenarier!$F$87:$Y$87</c:f>
              <c:numCache>
                <c:formatCode>0%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0.88</c:v>
                </c:pt>
              </c:numCache>
            </c:numRef>
          </c:xVal>
          <c:yVal>
            <c:numRef>
              <c:f>Scenarier!$F$88:$Y$88</c:f>
              <c:numCache>
                <c:formatCode>#,##0</c:formatCode>
                <c:ptCount val="20"/>
                <c:pt idx="0">
                  <c:v>200.59380181097563</c:v>
                </c:pt>
                <c:pt idx="1">
                  <c:v>200.59380181097563</c:v>
                </c:pt>
                <c:pt idx="2">
                  <c:v>200.59380181097563</c:v>
                </c:pt>
                <c:pt idx="3">
                  <c:v>200.59380181097563</c:v>
                </c:pt>
                <c:pt idx="4">
                  <c:v>200.59380181097563</c:v>
                </c:pt>
                <c:pt idx="5">
                  <c:v>200.59380181097563</c:v>
                </c:pt>
                <c:pt idx="6">
                  <c:v>200.59380181097563</c:v>
                </c:pt>
                <c:pt idx="7">
                  <c:v>200.59380181097563</c:v>
                </c:pt>
                <c:pt idx="8">
                  <c:v>200.59380181097563</c:v>
                </c:pt>
                <c:pt idx="9">
                  <c:v>200.59380181097563</c:v>
                </c:pt>
                <c:pt idx="10">
                  <c:v>200.59380181097563</c:v>
                </c:pt>
                <c:pt idx="11">
                  <c:v>200.59380181097563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CA-440C-8597-A239614DFD4D}"/>
            </c:ext>
          </c:extLst>
        </c:ser>
        <c:ser>
          <c:idx val="1"/>
          <c:order val="1"/>
          <c:tx>
            <c:strRef>
              <c:f>Scenarier!$C$89</c:f>
              <c:strCache>
                <c:ptCount val="1"/>
                <c:pt idx="0">
                  <c:v>Modtagebetaling affald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19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CCA-440C-8597-A239614DFD4D}"/>
              </c:ext>
            </c:extLst>
          </c:dPt>
          <c:xVal>
            <c:numRef>
              <c:f>Scenarier!$F$87:$Y$87</c:f>
              <c:numCache>
                <c:formatCode>0%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0.88</c:v>
                </c:pt>
              </c:numCache>
            </c:numRef>
          </c:xVal>
          <c:yVal>
            <c:numRef>
              <c:f>Scenarier!$F$89:$Y$89</c:f>
              <c:numCache>
                <c:formatCode>#,##0</c:formatCode>
                <c:ptCount val="20"/>
                <c:pt idx="0">
                  <c:v>4659.2944250871069</c:v>
                </c:pt>
                <c:pt idx="1">
                  <c:v>4659.2944250871069</c:v>
                </c:pt>
                <c:pt idx="2">
                  <c:v>4659.2944250871069</c:v>
                </c:pt>
                <c:pt idx="3">
                  <c:v>4659.2944250871069</c:v>
                </c:pt>
                <c:pt idx="4">
                  <c:v>4659.2944250871069</c:v>
                </c:pt>
                <c:pt idx="5">
                  <c:v>4659.2944250871069</c:v>
                </c:pt>
                <c:pt idx="6">
                  <c:v>4659.2944250871069</c:v>
                </c:pt>
                <c:pt idx="7">
                  <c:v>4659.2944250871069</c:v>
                </c:pt>
                <c:pt idx="8">
                  <c:v>4659.2944250871069</c:v>
                </c:pt>
                <c:pt idx="9">
                  <c:v>4659.2944250871069</c:v>
                </c:pt>
                <c:pt idx="10">
                  <c:v>4659.2944250871069</c:v>
                </c:pt>
                <c:pt idx="11">
                  <c:v>4659.2944250871069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CCA-440C-8597-A239614DF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910240"/>
        <c:axId val="670910656"/>
      </c:scatterChart>
      <c:valAx>
        <c:axId val="670910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0910656"/>
        <c:crosses val="autoZero"/>
        <c:crossBetween val="midCat"/>
      </c:valAx>
      <c:valAx>
        <c:axId val="67091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7091024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068780864197525"/>
          <c:y val="0.18627098765432099"/>
          <c:w val="0.25491234567901233"/>
          <c:h val="0.146533950617283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CCECFF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Scenarier!$T$23</c:f>
          <c:strCache>
            <c:ptCount val="1"/>
            <c:pt idx="0">
              <c:v>Varmemængder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0500847144930994"/>
          <c:y val="0.1265111111111111"/>
          <c:w val="0.62697150818340919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Scenarier!$C$68</c:f>
              <c:strCache>
                <c:ptCount val="1"/>
                <c:pt idx="0">
                  <c:v>Varmesalg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Scenarier!$E$68:$Y$68</c:f>
              <c:numCache>
                <c:formatCode>#,##0</c:formatCode>
                <c:ptCount val="21"/>
                <c:pt idx="0">
                  <c:v>7464</c:v>
                </c:pt>
                <c:pt idx="1">
                  <c:v>7464</c:v>
                </c:pt>
                <c:pt idx="2">
                  <c:v>7464</c:v>
                </c:pt>
                <c:pt idx="3">
                  <c:v>7464</c:v>
                </c:pt>
                <c:pt idx="4">
                  <c:v>7464</c:v>
                </c:pt>
                <c:pt idx="5">
                  <c:v>7464</c:v>
                </c:pt>
                <c:pt idx="6">
                  <c:v>7464</c:v>
                </c:pt>
                <c:pt idx="7">
                  <c:v>7464</c:v>
                </c:pt>
                <c:pt idx="8">
                  <c:v>7464</c:v>
                </c:pt>
                <c:pt idx="9">
                  <c:v>7464</c:v>
                </c:pt>
                <c:pt idx="10">
                  <c:v>7464</c:v>
                </c:pt>
                <c:pt idx="11">
                  <c:v>7464</c:v>
                </c:pt>
                <c:pt idx="12">
                  <c:v>7464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56-4B2F-8788-EB26624DF510}"/>
            </c:ext>
          </c:extLst>
        </c:ser>
        <c:ser>
          <c:idx val="1"/>
          <c:order val="1"/>
          <c:tx>
            <c:strRef>
              <c:f>Scenarier!$C$69</c:f>
              <c:strCache>
                <c:ptCount val="1"/>
                <c:pt idx="0">
                  <c:v>Varmeproduktion Ovn2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Scenarier!$E$69:$Y$69</c:f>
              <c:numCache>
                <c:formatCode>#,##0</c:formatCode>
                <c:ptCount val="21"/>
                <c:pt idx="0">
                  <c:v>3168</c:v>
                </c:pt>
                <c:pt idx="1">
                  <c:v>3168</c:v>
                </c:pt>
                <c:pt idx="2">
                  <c:v>3168</c:v>
                </c:pt>
                <c:pt idx="3">
                  <c:v>3168</c:v>
                </c:pt>
                <c:pt idx="4">
                  <c:v>3168</c:v>
                </c:pt>
                <c:pt idx="5">
                  <c:v>3168</c:v>
                </c:pt>
                <c:pt idx="6">
                  <c:v>3168</c:v>
                </c:pt>
                <c:pt idx="7">
                  <c:v>3168</c:v>
                </c:pt>
                <c:pt idx="8">
                  <c:v>3168</c:v>
                </c:pt>
                <c:pt idx="9">
                  <c:v>3168</c:v>
                </c:pt>
                <c:pt idx="10">
                  <c:v>3168</c:v>
                </c:pt>
                <c:pt idx="11">
                  <c:v>3168</c:v>
                </c:pt>
                <c:pt idx="12">
                  <c:v>3168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56-4B2F-8788-EB26624DF510}"/>
            </c:ext>
          </c:extLst>
        </c:ser>
        <c:ser>
          <c:idx val="2"/>
          <c:order val="2"/>
          <c:tx>
            <c:strRef>
              <c:f>Scenarier!$C$70</c:f>
              <c:strCache>
                <c:ptCount val="1"/>
                <c:pt idx="0">
                  <c:v>Varmeproduktion Ovn3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Scenarier!$E$70:$Y$70</c:f>
              <c:numCache>
                <c:formatCode>#,##0</c:formatCode>
                <c:ptCount val="21"/>
                <c:pt idx="0">
                  <c:v>20832</c:v>
                </c:pt>
                <c:pt idx="1">
                  <c:v>20832</c:v>
                </c:pt>
                <c:pt idx="2">
                  <c:v>20832</c:v>
                </c:pt>
                <c:pt idx="3">
                  <c:v>20832</c:v>
                </c:pt>
                <c:pt idx="4">
                  <c:v>20832</c:v>
                </c:pt>
                <c:pt idx="5">
                  <c:v>20832</c:v>
                </c:pt>
                <c:pt idx="6">
                  <c:v>20832</c:v>
                </c:pt>
                <c:pt idx="7">
                  <c:v>20832</c:v>
                </c:pt>
                <c:pt idx="8">
                  <c:v>20832</c:v>
                </c:pt>
                <c:pt idx="9">
                  <c:v>20832</c:v>
                </c:pt>
                <c:pt idx="10">
                  <c:v>20832</c:v>
                </c:pt>
                <c:pt idx="11">
                  <c:v>20832</c:v>
                </c:pt>
                <c:pt idx="12">
                  <c:v>20832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56-4B2F-8788-EB26624DF510}"/>
            </c:ext>
          </c:extLst>
        </c:ser>
        <c:ser>
          <c:idx val="3"/>
          <c:order val="3"/>
          <c:tx>
            <c:strRef>
              <c:f>Scenarier!$C$71</c:f>
              <c:strCache>
                <c:ptCount val="1"/>
                <c:pt idx="0">
                  <c:v>Bortkølet varme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Scenarier!$E$71:$Y$71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56-4B2F-8788-EB26624DF510}"/>
            </c:ext>
          </c:extLst>
        </c:ser>
        <c:ser>
          <c:idx val="4"/>
          <c:order val="4"/>
          <c:tx>
            <c:strRef>
              <c:f>Scenarier!$C$72</c:f>
              <c:strCache>
                <c:ptCount val="1"/>
                <c:pt idx="0">
                  <c:v>Leveret varme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Scenarier!$E$72:$Y$72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56-4B2F-8788-EB26624DF510}"/>
            </c:ext>
          </c:extLst>
        </c:ser>
        <c:ser>
          <c:idx val="5"/>
          <c:order val="5"/>
          <c:tx>
            <c:strRef>
              <c:f>Scenarier!$C$73</c:f>
              <c:strCache>
                <c:ptCount val="1"/>
                <c:pt idx="0">
                  <c:v>Spidslastvarme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Scenarier!$E$73:$Y$73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56-4B2F-8788-EB26624DF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341593788294447"/>
          <c:y val="0.13756265432098763"/>
          <c:w val="0.25606847900177793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rgbClr val="CCECFF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Scenarier!$K$42</c:f>
          <c:strCache>
            <c:ptCount val="1"/>
            <c:pt idx="0">
              <c:v>Brændselsmængder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9192500735841391E-2"/>
          <c:y val="0.1265111111111111"/>
          <c:w val="0.56820286723879943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Scenarier!$C$74</c:f>
              <c:strCache>
                <c:ptCount val="1"/>
                <c:pt idx="0">
                  <c:v>Affaldsforbrug Ovn2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Scenarier!$E$74:$Y$74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97-4487-9A75-A50763AFFF77}"/>
            </c:ext>
          </c:extLst>
        </c:ser>
        <c:ser>
          <c:idx val="1"/>
          <c:order val="1"/>
          <c:tx>
            <c:strRef>
              <c:f>Scenarier!$C$75</c:f>
              <c:strCache>
                <c:ptCount val="1"/>
                <c:pt idx="0">
                  <c:v>Affaldsforbrug Ovn3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Scenarier!$E$75:$Y$75</c:f>
              <c:numCache>
                <c:formatCode>#,##0</c:formatCode>
                <c:ptCount val="21"/>
                <c:pt idx="0">
                  <c:v>8991.9860627177713</c:v>
                </c:pt>
                <c:pt idx="1">
                  <c:v>8991.9860627177713</c:v>
                </c:pt>
                <c:pt idx="2">
                  <c:v>8991.9860627177713</c:v>
                </c:pt>
                <c:pt idx="3">
                  <c:v>8991.9860627177713</c:v>
                </c:pt>
                <c:pt idx="4">
                  <c:v>8991.9860627177713</c:v>
                </c:pt>
                <c:pt idx="5">
                  <c:v>8991.9860627177713</c:v>
                </c:pt>
                <c:pt idx="6">
                  <c:v>8991.9860627177713</c:v>
                </c:pt>
                <c:pt idx="7">
                  <c:v>8991.9860627177713</c:v>
                </c:pt>
                <c:pt idx="8">
                  <c:v>8991.9860627177713</c:v>
                </c:pt>
                <c:pt idx="9">
                  <c:v>8991.9860627177713</c:v>
                </c:pt>
                <c:pt idx="10">
                  <c:v>8991.9860627177713</c:v>
                </c:pt>
                <c:pt idx="11">
                  <c:v>8991.9860627177713</c:v>
                </c:pt>
                <c:pt idx="12">
                  <c:v>8991.9860627177713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97-4487-9A75-A50763AFFF77}"/>
            </c:ext>
          </c:extLst>
        </c:ser>
        <c:ser>
          <c:idx val="2"/>
          <c:order val="2"/>
          <c:tx>
            <c:strRef>
              <c:f>Scenarier!$C$76</c:f>
              <c:strCache>
                <c:ptCount val="1"/>
                <c:pt idx="0">
                  <c:v>Affaldsforbrug kølevarme Ovn2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Scenarier!$E$76:$Y$76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97-4487-9A75-A50763AFFF77}"/>
            </c:ext>
          </c:extLst>
        </c:ser>
        <c:ser>
          <c:idx val="3"/>
          <c:order val="3"/>
          <c:tx>
            <c:strRef>
              <c:f>Scenarier!$C$77</c:f>
              <c:strCache>
                <c:ptCount val="1"/>
                <c:pt idx="0">
                  <c:v>Affaldsforbrug kølevarme Ovn3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Scenarier!$E$77:$Y$77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D97-4487-9A75-A50763AFFF77}"/>
            </c:ext>
          </c:extLst>
        </c:ser>
        <c:ser>
          <c:idx val="4"/>
          <c:order val="4"/>
          <c:tx>
            <c:strRef>
              <c:f>Scenarier!$C$78</c:f>
              <c:strCache>
                <c:ptCount val="1"/>
                <c:pt idx="0">
                  <c:v>Udnyttet affald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Scenarier!$E$78:$Y$78</c:f>
              <c:numCache>
                <c:formatCode>#,##0</c:formatCode>
                <c:ptCount val="21"/>
                <c:pt idx="0">
                  <c:v>8991.9860627177695</c:v>
                </c:pt>
                <c:pt idx="1">
                  <c:v>8991.9860627177695</c:v>
                </c:pt>
                <c:pt idx="2">
                  <c:v>8991.9860627177695</c:v>
                </c:pt>
                <c:pt idx="3">
                  <c:v>8991.9860627177695</c:v>
                </c:pt>
                <c:pt idx="4">
                  <c:v>8991.9860627177695</c:v>
                </c:pt>
                <c:pt idx="5">
                  <c:v>8991.9860627177695</c:v>
                </c:pt>
                <c:pt idx="6">
                  <c:v>8991.9860627177695</c:v>
                </c:pt>
                <c:pt idx="7">
                  <c:v>8991.9860627177695</c:v>
                </c:pt>
                <c:pt idx="8">
                  <c:v>8991.9860627177695</c:v>
                </c:pt>
                <c:pt idx="9">
                  <c:v>8991.9860627177695</c:v>
                </c:pt>
                <c:pt idx="10">
                  <c:v>8991.9860627177695</c:v>
                </c:pt>
                <c:pt idx="11">
                  <c:v>8991.9860627177695</c:v>
                </c:pt>
                <c:pt idx="12">
                  <c:v>8991.9860627177695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D97-4487-9A75-A50763AFFF77}"/>
            </c:ext>
          </c:extLst>
        </c:ser>
        <c:ser>
          <c:idx val="5"/>
          <c:order val="5"/>
          <c:tx>
            <c:strRef>
              <c:f>Scenarier!$C$79</c:f>
              <c:strCache>
                <c:ptCount val="1"/>
                <c:pt idx="0">
                  <c:v>Ikke-udnyttet affald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Scenarier!$E$79:$Y$79</c:f>
              <c:numCache>
                <c:formatCode>#,##0</c:formatCode>
                <c:ptCount val="21"/>
                <c:pt idx="0">
                  <c:v>3708.0139372822309</c:v>
                </c:pt>
                <c:pt idx="1">
                  <c:v>3708.0139372822309</c:v>
                </c:pt>
                <c:pt idx="2">
                  <c:v>3708.0139372822309</c:v>
                </c:pt>
                <c:pt idx="3">
                  <c:v>3708.0139372822309</c:v>
                </c:pt>
                <c:pt idx="4">
                  <c:v>3708.0139372822309</c:v>
                </c:pt>
                <c:pt idx="5">
                  <c:v>3708.0139372822309</c:v>
                </c:pt>
                <c:pt idx="6">
                  <c:v>3708.0139372822309</c:v>
                </c:pt>
                <c:pt idx="7">
                  <c:v>3708.0139372822309</c:v>
                </c:pt>
                <c:pt idx="8">
                  <c:v>3708.0139372822309</c:v>
                </c:pt>
                <c:pt idx="9">
                  <c:v>3708.0139372822309</c:v>
                </c:pt>
                <c:pt idx="10">
                  <c:v>3708.0139372822309</c:v>
                </c:pt>
                <c:pt idx="11">
                  <c:v>3708.0139372822309</c:v>
                </c:pt>
                <c:pt idx="12">
                  <c:v>3708.0139372822309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D97-4487-9A75-A50763AFF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078845214411099"/>
          <c:y val="0.13756265432098763"/>
          <c:w val="0.31921154785588912"/>
          <c:h val="0.439601851851851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rgbClr val="CCECFF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Scenarier!$T$42</c:f>
          <c:strCache>
            <c:ptCount val="1"/>
            <c:pt idx="0">
              <c:v>Kapacitetsudnyttelse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8.5409709041711565E-2"/>
          <c:y val="0.1265111111111111"/>
          <c:w val="0.62305175570188953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Scenarier!$C$80</c:f>
              <c:strCache>
                <c:ptCount val="1"/>
                <c:pt idx="0">
                  <c:v>Ovn2 udnyttelse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Scenarier!$E$80:$Y$80</c:f>
              <c:numCache>
                <c:formatCode>#,##0</c:formatCode>
                <c:ptCount val="21"/>
                <c:pt idx="0">
                  <c:v>0.3702664796633941</c:v>
                </c:pt>
                <c:pt idx="1">
                  <c:v>0.3702664796633941</c:v>
                </c:pt>
                <c:pt idx="2">
                  <c:v>0.3702664796633941</c:v>
                </c:pt>
                <c:pt idx="3">
                  <c:v>0.3702664796633941</c:v>
                </c:pt>
                <c:pt idx="4">
                  <c:v>0.3702664796633941</c:v>
                </c:pt>
                <c:pt idx="5">
                  <c:v>0.3702664796633941</c:v>
                </c:pt>
                <c:pt idx="6">
                  <c:v>0.3702664796633941</c:v>
                </c:pt>
                <c:pt idx="7">
                  <c:v>0.3702664796633941</c:v>
                </c:pt>
                <c:pt idx="8">
                  <c:v>0.3702664796633941</c:v>
                </c:pt>
                <c:pt idx="9">
                  <c:v>0.3702664796633941</c:v>
                </c:pt>
                <c:pt idx="10">
                  <c:v>0.3702664796633941</c:v>
                </c:pt>
                <c:pt idx="11">
                  <c:v>0.3702664796633941</c:v>
                </c:pt>
                <c:pt idx="12">
                  <c:v>0.3702664796633941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7A-4F28-93D9-05D2D0103ED4}"/>
            </c:ext>
          </c:extLst>
        </c:ser>
        <c:ser>
          <c:idx val="1"/>
          <c:order val="1"/>
          <c:tx>
            <c:strRef>
              <c:f>Scenarier!$C$81</c:f>
              <c:strCache>
                <c:ptCount val="1"/>
                <c:pt idx="0">
                  <c:v>Ovn3 udnyttelse efter køling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Scenarier!$E$81:$Y$81</c:f>
              <c:numCache>
                <c:formatCode>#,##0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7A-4F28-93D9-05D2D0103ED4}"/>
            </c:ext>
          </c:extLst>
        </c:ser>
        <c:ser>
          <c:idx val="2"/>
          <c:order val="2"/>
          <c:tx>
            <c:strRef>
              <c:f>Scenarier!$C$82</c:f>
              <c:strCache>
                <c:ptCount val="1"/>
                <c:pt idx="0">
                  <c:v>Bortkøleanlæg udnyttelse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Scenarier!$E$82:$Y$82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37A-4F28-93D9-05D2D0103ED4}"/>
            </c:ext>
          </c:extLst>
        </c:ser>
        <c:ser>
          <c:idx val="3"/>
          <c:order val="3"/>
          <c:tx>
            <c:strRef>
              <c:f>Scenarier!$C$83</c:f>
              <c:strCache>
                <c:ptCount val="1"/>
                <c:pt idx="0">
                  <c:v>NS-varme udnyttelse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ysClr val="windowText" lastClr="000000"/>
                </a:solidFill>
                <a:prstDash val="sysDash"/>
              </a:ln>
              <a:effectLst/>
            </c:spPr>
          </c:marker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Scenarier!$E$83:$Y$83</c:f>
              <c:numCache>
                <c:formatCode>#,##0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37A-4F28-93D9-05D2D0103E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185729600967652"/>
          <c:y val="0.13756265432098763"/>
          <c:w val="0.27647094498905173"/>
          <c:h val="0.293067901234567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rgbClr val="CCECFF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Scenarier!$E$42</c:f>
          <c:strCache>
            <c:ptCount val="1"/>
            <c:pt idx="0">
              <c:v>Variabel VPO for affaldsanlæg</c:v>
            </c:pt>
          </c:strCache>
        </c:strRef>
      </c:tx>
      <c:layout>
        <c:manualLayout>
          <c:xMode val="edge"/>
          <c:yMode val="edge"/>
          <c:x val="0.38000259259259261"/>
          <c:y val="2.6458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8.5409709041711565E-2"/>
          <c:y val="0.1265111111111111"/>
          <c:w val="0.84059801842623172"/>
          <c:h val="0.7255697530864198"/>
        </c:manualLayout>
      </c:layout>
      <c:lineChart>
        <c:grouping val="standard"/>
        <c:varyColors val="0"/>
        <c:ser>
          <c:idx val="0"/>
          <c:order val="0"/>
          <c:tx>
            <c:strRef>
              <c:f>Scenarier!$C$84</c:f>
              <c:strCache>
                <c:ptCount val="1"/>
                <c:pt idx="0">
                  <c:v>VPO affald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2CB3-45AC-A26D-83DE85FD6B4D}"/>
              </c:ext>
            </c:extLst>
          </c:dPt>
          <c:cat>
            <c:strRef>
              <c:f>Scenarier!$E$6:$Y$6</c:f>
              <c:strCache>
                <c:ptCount val="21"/>
                <c:pt idx="0">
                  <c:v>Nominelt</c:v>
                </c:pt>
                <c:pt idx="1">
                  <c:v>sc1</c:v>
                </c:pt>
                <c:pt idx="2">
                  <c:v>sc2</c:v>
                </c:pt>
                <c:pt idx="3">
                  <c:v>sc3</c:v>
                </c:pt>
                <c:pt idx="4">
                  <c:v>sc4</c:v>
                </c:pt>
                <c:pt idx="5">
                  <c:v>sc5</c:v>
                </c:pt>
                <c:pt idx="6">
                  <c:v>sc6</c:v>
                </c:pt>
                <c:pt idx="7">
                  <c:v>sc7</c:v>
                </c:pt>
                <c:pt idx="8">
                  <c:v>sc8</c:v>
                </c:pt>
                <c:pt idx="9">
                  <c:v>sc9</c:v>
                </c:pt>
                <c:pt idx="10">
                  <c:v>sc10</c:v>
                </c:pt>
                <c:pt idx="11">
                  <c:v>sc11</c:v>
                </c:pt>
                <c:pt idx="12">
                  <c:v>sc12</c:v>
                </c:pt>
                <c:pt idx="13">
                  <c:v>sc13</c:v>
                </c:pt>
                <c:pt idx="14">
                  <c:v>sc14</c:v>
                </c:pt>
                <c:pt idx="15">
                  <c:v>sc15</c:v>
                </c:pt>
                <c:pt idx="16">
                  <c:v>sc16</c:v>
                </c:pt>
                <c:pt idx="17">
                  <c:v>sc17</c:v>
                </c:pt>
                <c:pt idx="18">
                  <c:v>sc18</c:v>
                </c:pt>
                <c:pt idx="19">
                  <c:v>sc19</c:v>
                </c:pt>
                <c:pt idx="20">
                  <c:v>sc20</c:v>
                </c:pt>
              </c:strCache>
            </c:strRef>
          </c:cat>
          <c:val>
            <c:numRef>
              <c:f>Scenarier!$E$84:$Y$84</c:f>
              <c:numCache>
                <c:formatCode>#,##0</c:formatCode>
                <c:ptCount val="21"/>
                <c:pt idx="0">
                  <c:v>-9.5820515625282034</c:v>
                </c:pt>
                <c:pt idx="1">
                  <c:v>-9.5820515625282034</c:v>
                </c:pt>
                <c:pt idx="2">
                  <c:v>-9.5820515625282034</c:v>
                </c:pt>
                <c:pt idx="3">
                  <c:v>-9.5820515625282034</c:v>
                </c:pt>
                <c:pt idx="4">
                  <c:v>-9.5820515625282034</c:v>
                </c:pt>
                <c:pt idx="5">
                  <c:v>-9.5820515625282034</c:v>
                </c:pt>
                <c:pt idx="6">
                  <c:v>-9.5820515625282034</c:v>
                </c:pt>
                <c:pt idx="7">
                  <c:v>-9.5820515625282034</c:v>
                </c:pt>
                <c:pt idx="8">
                  <c:v>-9.5820515625282034</c:v>
                </c:pt>
                <c:pt idx="9">
                  <c:v>-9.5820515625282034</c:v>
                </c:pt>
                <c:pt idx="10">
                  <c:v>-9.5820515625282034</c:v>
                </c:pt>
                <c:pt idx="11">
                  <c:v>-9.5820515625282034</c:v>
                </c:pt>
                <c:pt idx="12">
                  <c:v>-9.5820515625282034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CB3-45AC-A26D-83DE85FD6B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614768"/>
        <c:axId val="1112618096"/>
      </c:lineChart>
      <c:catAx>
        <c:axId val="111261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8096"/>
        <c:crosses val="autoZero"/>
        <c:auto val="1"/>
        <c:lblAlgn val="ctr"/>
        <c:lblOffset val="100"/>
        <c:noMultiLvlLbl val="0"/>
      </c:catAx>
      <c:valAx>
        <c:axId val="11126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kr/MWhq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1261476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rgbClr val="CCECFF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Realiserede</a:t>
            </a:r>
            <a:r>
              <a:rPr lang="da-DK" baseline="0"/>
              <a:t> driftsdøgn 2021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Affald2021!$C$35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Affald2021!$B$36:$B$47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Affald2021!$C$36:$C$47</c:f>
              <c:numCache>
                <c:formatCode>General</c:formatCode>
                <c:ptCount val="12"/>
                <c:pt idx="0">
                  <c:v>31</c:v>
                </c:pt>
                <c:pt idx="1">
                  <c:v>27</c:v>
                </c:pt>
                <c:pt idx="2">
                  <c:v>31</c:v>
                </c:pt>
                <c:pt idx="3">
                  <c:v>30</c:v>
                </c:pt>
                <c:pt idx="4">
                  <c:v>22</c:v>
                </c:pt>
                <c:pt idx="5">
                  <c:v>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19</c:v>
                </c:pt>
                <c:pt idx="11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78-4242-9003-793D6FBB3904}"/>
            </c:ext>
          </c:extLst>
        </c:ser>
        <c:ser>
          <c:idx val="1"/>
          <c:order val="1"/>
          <c:tx>
            <c:strRef>
              <c:f>Affald2021!$D$35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Affald2021!$B$36:$B$47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Affald2021!$D$36:$D$47</c:f>
              <c:numCache>
                <c:formatCode>General</c:formatCode>
                <c:ptCount val="12"/>
                <c:pt idx="0">
                  <c:v>31</c:v>
                </c:pt>
                <c:pt idx="1">
                  <c:v>28</c:v>
                </c:pt>
                <c:pt idx="2">
                  <c:v>31</c:v>
                </c:pt>
                <c:pt idx="3">
                  <c:v>29</c:v>
                </c:pt>
                <c:pt idx="4">
                  <c:v>17</c:v>
                </c:pt>
                <c:pt idx="5">
                  <c:v>13</c:v>
                </c:pt>
                <c:pt idx="6">
                  <c:v>30</c:v>
                </c:pt>
                <c:pt idx="7">
                  <c:v>31</c:v>
                </c:pt>
                <c:pt idx="8">
                  <c:v>30</c:v>
                </c:pt>
                <c:pt idx="9">
                  <c:v>28</c:v>
                </c:pt>
                <c:pt idx="10">
                  <c:v>31</c:v>
                </c:pt>
                <c:pt idx="11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78-4242-9003-793D6FBB3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3568736"/>
        <c:axId val="883583712"/>
      </c:barChart>
      <c:catAx>
        <c:axId val="88356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83583712"/>
        <c:crosses val="autoZero"/>
        <c:auto val="1"/>
        <c:lblAlgn val="ctr"/>
        <c:lblOffset val="100"/>
        <c:noMultiLvlLbl val="0"/>
      </c:catAx>
      <c:valAx>
        <c:axId val="88358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83568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39</xdr:col>
      <xdr:colOff>261937</xdr:colOff>
      <xdr:row>2</xdr:row>
      <xdr:rowOff>80963</xdr:rowOff>
    </xdr:from>
    <xdr:to>
      <xdr:col>48</xdr:col>
      <xdr:colOff>440287</xdr:colOff>
      <xdr:row>20</xdr:row>
      <xdr:rowOff>191132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CAB2867-52F8-4D59-9F75-EC3FFA255A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39</xdr:col>
      <xdr:colOff>261937</xdr:colOff>
      <xdr:row>25</xdr:row>
      <xdr:rowOff>109538</xdr:rowOff>
    </xdr:from>
    <xdr:to>
      <xdr:col>48</xdr:col>
      <xdr:colOff>440287</xdr:colOff>
      <xdr:row>44</xdr:row>
      <xdr:rowOff>42813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A743D8B-682E-42B4-B51D-8FD0F9D348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48</xdr:col>
      <xdr:colOff>500062</xdr:colOff>
      <xdr:row>2</xdr:row>
      <xdr:rowOff>80963</xdr:rowOff>
    </xdr:from>
    <xdr:to>
      <xdr:col>58</xdr:col>
      <xdr:colOff>78337</xdr:colOff>
      <xdr:row>20</xdr:row>
      <xdr:rowOff>191132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440EBCD-CFA4-4D21-BE3B-3A6BFAE852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48</xdr:col>
      <xdr:colOff>500062</xdr:colOff>
      <xdr:row>25</xdr:row>
      <xdr:rowOff>109538</xdr:rowOff>
    </xdr:from>
    <xdr:to>
      <xdr:col>58</xdr:col>
      <xdr:colOff>59287</xdr:colOff>
      <xdr:row>44</xdr:row>
      <xdr:rowOff>42813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6496411-327D-4432-ABB8-166D87873C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58</xdr:col>
      <xdr:colOff>166686</xdr:colOff>
      <xdr:row>25</xdr:row>
      <xdr:rowOff>116261</xdr:rowOff>
    </xdr:from>
    <xdr:to>
      <xdr:col>66</xdr:col>
      <xdr:colOff>1967</xdr:colOff>
      <xdr:row>44</xdr:row>
      <xdr:rowOff>49536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1F88531-9C18-4F8D-A444-04BD277684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58</xdr:col>
      <xdr:colOff>161084</xdr:colOff>
      <xdr:row>2</xdr:row>
      <xdr:rowOff>80963</xdr:rowOff>
    </xdr:from>
    <xdr:to>
      <xdr:col>66</xdr:col>
      <xdr:colOff>1407</xdr:colOff>
      <xdr:row>20</xdr:row>
      <xdr:rowOff>191132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E75CEFD-7418-489E-8576-1FC7A4B244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152400</xdr:colOff>
      <xdr:row>0</xdr:row>
      <xdr:rowOff>85725</xdr:rowOff>
    </xdr:from>
    <xdr:to>
      <xdr:col>22</xdr:col>
      <xdr:colOff>1066800</xdr:colOff>
      <xdr:row>0</xdr:row>
      <xdr:rowOff>342900</xdr:rowOff>
    </xdr:to>
    <xdr:sp macro="[0]!ShowInputView" textlink="">
      <xdr:nvSpPr>
        <xdr:cNvPr id="8" name="Rectangle: Rounded Corners 7" hidden="1">
          <a:extLst>
            <a:ext uri="{FF2B5EF4-FFF2-40B4-BE49-F238E27FC236}">
              <a16:creationId xmlns:a16="http://schemas.microsoft.com/office/drawing/2014/main" id="{A95A7C53-AEE4-405B-9C6E-A5EC3BC230A6}"/>
            </a:ext>
          </a:extLst>
        </xdr:cNvPr>
        <xdr:cNvSpPr/>
      </xdr:nvSpPr>
      <xdr:spPr>
        <a:xfrm>
          <a:off x="5524500" y="85725"/>
          <a:ext cx="914400" cy="257175"/>
        </a:xfrm>
        <a:prstGeom prst="roundRect">
          <a:avLst/>
        </a:prstGeom>
        <a:solidFill>
          <a:schemeClr val="bg1">
            <a:lumMod val="95000"/>
          </a:schemeClr>
        </a:solidFill>
        <a:ln w="12700" cmpd="sng">
          <a:solidFill>
            <a:sysClr val="windowText" lastClr="000000"/>
          </a:solidFill>
        </a:ln>
        <a:effectLst>
          <a:outerShdw blurRad="50800" dist="38100" dir="2700000" algn="tl" rotWithShape="0">
            <a:schemeClr val="bg1">
              <a:lumMod val="95000"/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600">
              <a:solidFill>
                <a:schemeClr val="accent1"/>
              </a:solidFill>
            </a:rPr>
            <a:t>Vis </a:t>
          </a:r>
          <a:r>
            <a:rPr lang="da-DK" sz="1400">
              <a:solidFill>
                <a:schemeClr val="accent1"/>
              </a:solidFill>
            </a:rPr>
            <a:t>Input</a:t>
          </a:r>
          <a:endParaRPr lang="da-DK" sz="1600">
            <a:solidFill>
              <a:schemeClr val="accent1"/>
            </a:solidFill>
          </a:endParaRPr>
        </a:p>
      </xdr:txBody>
    </xdr:sp>
    <xdr:clientData/>
  </xdr:twoCellAnchor>
  <xdr:twoCellAnchor>
    <xdr:from>
      <xdr:col>10</xdr:col>
      <xdr:colOff>596153</xdr:colOff>
      <xdr:row>0</xdr:row>
      <xdr:rowOff>81242</xdr:rowOff>
    </xdr:from>
    <xdr:to>
      <xdr:col>12</xdr:col>
      <xdr:colOff>490818</xdr:colOff>
      <xdr:row>0</xdr:row>
      <xdr:rowOff>338417</xdr:rowOff>
    </xdr:to>
    <xdr:sp macro="[0]!HideInputView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D02434A-50EA-4220-ADBC-66893347CE52}"/>
            </a:ext>
          </a:extLst>
        </xdr:cNvPr>
        <xdr:cNvSpPr/>
      </xdr:nvSpPr>
      <xdr:spPr>
        <a:xfrm>
          <a:off x="3929903" y="81242"/>
          <a:ext cx="1113865" cy="257175"/>
        </a:xfrm>
        <a:prstGeom prst="roundRect">
          <a:avLst/>
        </a:prstGeom>
        <a:solidFill>
          <a:schemeClr val="bg1">
            <a:lumMod val="95000"/>
          </a:schemeClr>
        </a:solidFill>
        <a:ln w="12700" cmpd="sng">
          <a:solidFill>
            <a:sysClr val="windowText" lastClr="000000"/>
          </a:solidFill>
        </a:ln>
        <a:effectLst>
          <a:outerShdw blurRad="50800" dist="38100" dir="2700000" algn="tl" rotWithShape="0">
            <a:schemeClr val="bg1">
              <a:lumMod val="95000"/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400" b="0">
              <a:solidFill>
                <a:schemeClr val="accent1"/>
              </a:solidFill>
            </a:rPr>
            <a:t>Skjul Input</a:t>
          </a:r>
        </a:p>
      </xdr:txBody>
    </xdr:sp>
    <xdr:clientData/>
  </xdr:twoCellAnchor>
  <xdr:twoCellAnchor>
    <xdr:from>
      <xdr:col>28</xdr:col>
      <xdr:colOff>1945823</xdr:colOff>
      <xdr:row>3</xdr:row>
      <xdr:rowOff>54429</xdr:rowOff>
    </xdr:from>
    <xdr:to>
      <xdr:col>40</xdr:col>
      <xdr:colOff>244930</xdr:colOff>
      <xdr:row>22</xdr:row>
      <xdr:rowOff>122465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986F0827-27A5-48D3-BD5C-59792E290E4D}"/>
            </a:ext>
          </a:extLst>
        </xdr:cNvPr>
        <xdr:cNvSpPr txBox="1"/>
      </xdr:nvSpPr>
      <xdr:spPr>
        <a:xfrm rot="21262677">
          <a:off x="24424823" y="884465"/>
          <a:ext cx="9388928" cy="3741964"/>
        </a:xfrm>
        <a:prstGeom prst="rect">
          <a:avLst/>
        </a:prstGeom>
        <a:solidFill>
          <a:srgbClr val="0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a-DK" sz="8800" b="1"/>
            <a:t>IN PROGRESS</a:t>
          </a:r>
        </a:p>
      </xdr:txBody>
    </xdr:sp>
    <xdr:clientData/>
  </xdr:twoCellAnchor>
  <xdr:twoCellAnchor>
    <xdr:from>
      <xdr:col>1</xdr:col>
      <xdr:colOff>156883</xdr:colOff>
      <xdr:row>109</xdr:row>
      <xdr:rowOff>134471</xdr:rowOff>
    </xdr:from>
    <xdr:to>
      <xdr:col>5</xdr:col>
      <xdr:colOff>56029</xdr:colOff>
      <xdr:row>116</xdr:row>
      <xdr:rowOff>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B60C5D09-4F71-4DD0-8D44-2B51DEB29FC6}"/>
            </a:ext>
          </a:extLst>
        </xdr:cNvPr>
        <xdr:cNvSpPr txBox="1"/>
      </xdr:nvSpPr>
      <xdr:spPr>
        <a:xfrm>
          <a:off x="2207559" y="21235147"/>
          <a:ext cx="2745441" cy="1199029"/>
        </a:xfrm>
        <a:prstGeom prst="rect">
          <a:avLst/>
        </a:prstGeom>
        <a:solidFill>
          <a:srgbClr val="0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/>
            <a:t>Objective</a:t>
          </a:r>
          <a:r>
            <a:rPr lang="da-DK" sz="1100" baseline="0"/>
            <a:t> tilføjes følgende:</a:t>
          </a:r>
          <a:endParaRPr lang="da-DK" sz="1100"/>
        </a:p>
        <a:p>
          <a:endParaRPr lang="da-DK" sz="1100"/>
        </a:p>
        <a:p>
          <a:r>
            <a:rPr lang="da-DK" sz="1100"/>
            <a:t>NPV -</a:t>
          </a:r>
          <a:r>
            <a:rPr lang="da-DK" sz="1100" baseline="0"/>
            <a:t> Penalty_UudnyttetAffald</a:t>
          </a:r>
          <a:endParaRPr lang="da-DK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</xdr:row>
      <xdr:rowOff>9525</xdr:rowOff>
    </xdr:from>
    <xdr:to>
      <xdr:col>11</xdr:col>
      <xdr:colOff>836692</xdr:colOff>
      <xdr:row>19</xdr:row>
      <xdr:rowOff>146908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A4D9328-2FC2-4585-AAFC-4026D6E4CF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20</xdr:row>
      <xdr:rowOff>38100</xdr:rowOff>
    </xdr:from>
    <xdr:to>
      <xdr:col>11</xdr:col>
      <xdr:colOff>836692</xdr:colOff>
      <xdr:row>38</xdr:row>
      <xdr:rowOff>186688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7513EFD-1E19-480B-B29E-EFF80B0294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11</xdr:col>
      <xdr:colOff>930088</xdr:colOff>
      <xdr:row>1</xdr:row>
      <xdr:rowOff>9525</xdr:rowOff>
    </xdr:from>
    <xdr:to>
      <xdr:col>18</xdr:col>
      <xdr:colOff>253434</xdr:colOff>
      <xdr:row>19</xdr:row>
      <xdr:rowOff>146908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B24F5B6-8D61-4743-B10C-E35495E3D7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11</xdr:col>
      <xdr:colOff>930088</xdr:colOff>
      <xdr:row>20</xdr:row>
      <xdr:rowOff>38100</xdr:rowOff>
    </xdr:from>
    <xdr:to>
      <xdr:col>18</xdr:col>
      <xdr:colOff>251193</xdr:colOff>
      <xdr:row>38</xdr:row>
      <xdr:rowOff>186688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29F8049-8A30-42FB-8223-1CB82CDAB2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19</xdr:col>
      <xdr:colOff>50425</xdr:colOff>
      <xdr:row>20</xdr:row>
      <xdr:rowOff>33617</xdr:rowOff>
    </xdr:from>
    <xdr:to>
      <xdr:col>25</xdr:col>
      <xdr:colOff>319541</xdr:colOff>
      <xdr:row>38</xdr:row>
      <xdr:rowOff>182205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5BDE503-3707-4F54-9BA9-3389EBEE88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44823</xdr:colOff>
      <xdr:row>1</xdr:row>
      <xdr:rowOff>9525</xdr:rowOff>
    </xdr:from>
    <xdr:to>
      <xdr:col>25</xdr:col>
      <xdr:colOff>313939</xdr:colOff>
      <xdr:row>19</xdr:row>
      <xdr:rowOff>146908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3263DD0-3DD6-4B0C-85F4-E0019FC283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152400</xdr:colOff>
      <xdr:row>0</xdr:row>
      <xdr:rowOff>85725</xdr:rowOff>
    </xdr:from>
    <xdr:to>
      <xdr:col>7</xdr:col>
      <xdr:colOff>1066800</xdr:colOff>
      <xdr:row>0</xdr:row>
      <xdr:rowOff>342900</xdr:rowOff>
    </xdr:to>
    <xdr:sp macro="[0]!ShowInputViewModel1B" textlink="">
      <xdr:nvSpPr>
        <xdr:cNvPr id="8" name="Rectangle: Rounded Corners 7" hidden="1">
          <a:extLst>
            <a:ext uri="{FF2B5EF4-FFF2-40B4-BE49-F238E27FC236}">
              <a16:creationId xmlns:a16="http://schemas.microsoft.com/office/drawing/2014/main" id="{87590ADC-3211-41F4-864F-E686FA665652}"/>
            </a:ext>
          </a:extLst>
        </xdr:cNvPr>
        <xdr:cNvSpPr/>
      </xdr:nvSpPr>
      <xdr:spPr>
        <a:xfrm>
          <a:off x="5553075" y="85725"/>
          <a:ext cx="914400" cy="257175"/>
        </a:xfrm>
        <a:prstGeom prst="roundRect">
          <a:avLst/>
        </a:prstGeom>
        <a:solidFill>
          <a:schemeClr val="bg1">
            <a:lumMod val="95000"/>
          </a:schemeClr>
        </a:solidFill>
        <a:ln w="12700" cmpd="sng">
          <a:solidFill>
            <a:sysClr val="windowText" lastClr="000000"/>
          </a:solidFill>
        </a:ln>
        <a:effectLst>
          <a:outerShdw blurRad="50800" dist="38100" dir="2700000" algn="tl" rotWithShape="0">
            <a:schemeClr val="bg1">
              <a:lumMod val="95000"/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600">
              <a:solidFill>
                <a:schemeClr val="accent1"/>
              </a:solidFill>
            </a:rPr>
            <a:t>Vis </a:t>
          </a:r>
          <a:r>
            <a:rPr lang="da-DK" sz="1400">
              <a:solidFill>
                <a:schemeClr val="accent1"/>
              </a:solidFill>
            </a:rPr>
            <a:t>Input</a:t>
          </a:r>
          <a:endParaRPr lang="da-DK" sz="1600">
            <a:solidFill>
              <a:schemeClr val="accent1"/>
            </a:solidFill>
          </a:endParaRPr>
        </a:p>
      </xdr:txBody>
    </xdr:sp>
    <xdr:clientData/>
  </xdr:twoCellAnchor>
  <xdr:twoCellAnchor>
    <xdr:from>
      <xdr:col>3</xdr:col>
      <xdr:colOff>596153</xdr:colOff>
      <xdr:row>0</xdr:row>
      <xdr:rowOff>81242</xdr:rowOff>
    </xdr:from>
    <xdr:to>
      <xdr:col>5</xdr:col>
      <xdr:colOff>490818</xdr:colOff>
      <xdr:row>0</xdr:row>
      <xdr:rowOff>338417</xdr:rowOff>
    </xdr:to>
    <xdr:sp macro="[0]!HideInputViewModel1B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A891338-60E4-49F3-8DAC-0B1B40E7FDB2}"/>
            </a:ext>
          </a:extLst>
        </xdr:cNvPr>
        <xdr:cNvSpPr/>
      </xdr:nvSpPr>
      <xdr:spPr>
        <a:xfrm>
          <a:off x="3958478" y="81242"/>
          <a:ext cx="1113865" cy="257175"/>
        </a:xfrm>
        <a:prstGeom prst="roundRect">
          <a:avLst/>
        </a:prstGeom>
        <a:solidFill>
          <a:schemeClr val="bg1">
            <a:lumMod val="95000"/>
          </a:schemeClr>
        </a:solidFill>
        <a:ln w="12700" cmpd="sng">
          <a:solidFill>
            <a:sysClr val="windowText" lastClr="000000"/>
          </a:solidFill>
        </a:ln>
        <a:effectLst>
          <a:outerShdw blurRad="50800" dist="38100" dir="2700000" algn="tl" rotWithShape="0">
            <a:schemeClr val="bg1">
              <a:lumMod val="95000"/>
              <a:alpha val="40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400" b="0">
              <a:solidFill>
                <a:schemeClr val="accent1"/>
              </a:solidFill>
            </a:rPr>
            <a:t>Skjul Input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257734</xdr:colOff>
      <xdr:row>4</xdr:row>
      <xdr:rowOff>33617</xdr:rowOff>
    </xdr:from>
    <xdr:to>
      <xdr:col>0</xdr:col>
      <xdr:colOff>1423146</xdr:colOff>
      <xdr:row>5</xdr:row>
      <xdr:rowOff>156882</xdr:rowOff>
    </xdr:to>
    <xdr:sp macro="[0]!CalcScenario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3CBAAF1-4EEB-41F7-8EA1-B3B0BB0C7B80}"/>
            </a:ext>
          </a:extLst>
        </xdr:cNvPr>
        <xdr:cNvSpPr/>
      </xdr:nvSpPr>
      <xdr:spPr>
        <a:xfrm>
          <a:off x="257734" y="33617"/>
          <a:ext cx="1165412" cy="3899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800" b="0"/>
            <a:t>Beregn</a:t>
          </a:r>
        </a:p>
      </xdr:txBody>
    </xdr:sp>
    <xdr:clientData/>
  </xdr:twoCellAnchor>
  <xdr:twoCellAnchor editAs="oneCell">
    <xdr:from>
      <xdr:col>9</xdr:col>
      <xdr:colOff>5598</xdr:colOff>
      <xdr:row>23</xdr:row>
      <xdr:rowOff>21012</xdr:rowOff>
    </xdr:from>
    <xdr:to>
      <xdr:col>17</xdr:col>
      <xdr:colOff>748188</xdr:colOff>
      <xdr:row>40</xdr:row>
      <xdr:rowOff>22512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413CA22-ED79-4FB7-84C0-2E84691C5A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52338</xdr:colOff>
      <xdr:row>23</xdr:row>
      <xdr:rowOff>23530</xdr:rowOff>
    </xdr:from>
    <xdr:to>
      <xdr:col>8</xdr:col>
      <xdr:colOff>559603</xdr:colOff>
      <xdr:row>40</xdr:row>
      <xdr:rowOff>25030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CD8A80D-F531-4EA2-8ED6-30B2B9118F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18</xdr:col>
      <xdr:colOff>0</xdr:colOff>
      <xdr:row>23</xdr:row>
      <xdr:rowOff>0</xdr:rowOff>
    </xdr:from>
    <xdr:to>
      <xdr:col>27</xdr:col>
      <xdr:colOff>249531</xdr:colOff>
      <xdr:row>40</xdr:row>
      <xdr:rowOff>1500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230F636-0395-41AC-A6BD-CD22584736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0</xdr:colOff>
      <xdr:row>42</xdr:row>
      <xdr:rowOff>34636</xdr:rowOff>
    </xdr:from>
    <xdr:to>
      <xdr:col>17</xdr:col>
      <xdr:colOff>751759</xdr:colOff>
      <xdr:row>59</xdr:row>
      <xdr:rowOff>36136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CB425D8-D737-4DBA-BE1C-848277257B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18</xdr:col>
      <xdr:colOff>0</xdr:colOff>
      <xdr:row>42</xdr:row>
      <xdr:rowOff>34636</xdr:rowOff>
    </xdr:from>
    <xdr:to>
      <xdr:col>27</xdr:col>
      <xdr:colOff>249531</xdr:colOff>
      <xdr:row>59</xdr:row>
      <xdr:rowOff>36136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FD23F2C-652C-4170-9991-FC5E45799B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44824</xdr:colOff>
      <xdr:row>42</xdr:row>
      <xdr:rowOff>22412</xdr:rowOff>
    </xdr:from>
    <xdr:to>
      <xdr:col>8</xdr:col>
      <xdr:colOff>552090</xdr:colOff>
      <xdr:row>59</xdr:row>
      <xdr:rowOff>23912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13A57C1-CA4B-4121-8FBC-AD4AAA6BB3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588308</xdr:colOff>
      <xdr:row>34</xdr:row>
      <xdr:rowOff>12325</xdr:rowOff>
    </xdr:from>
    <xdr:to>
      <xdr:col>12</xdr:col>
      <xdr:colOff>319367</xdr:colOff>
      <xdr:row>46</xdr:row>
      <xdr:rowOff>168088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339C02B-0220-48E4-87EE-6424811293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GAMS/REFAinput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Parms"/>
      <sheetName val="INFO"/>
      <sheetName val="Scen Backup"/>
      <sheetName val="Scen"/>
      <sheetName val="DataCtrl"/>
      <sheetName val="DataU"/>
      <sheetName val="DataFuel"/>
      <sheetName val="Affald2021"/>
      <sheetName val="E-V"/>
      <sheetName val="Lister"/>
      <sheetName val="Resultater"/>
      <sheetName val="OptimDump"/>
    </sheetNames>
    <sheetDataSet>
      <sheetData sheetId="0"/>
      <sheetData sheetId="1" refreshError="1"/>
      <sheetData sheetId="2" refreshError="1"/>
      <sheetData sheetId="3"/>
      <sheetData sheetId="4">
        <row r="4">
          <cell r="B4" t="str">
            <v>RunScenarios</v>
          </cell>
          <cell r="J4">
            <v>-9.99</v>
          </cell>
        </row>
        <row r="5">
          <cell r="B5" t="str">
            <v>IncludeGSF</v>
          </cell>
        </row>
        <row r="6">
          <cell r="B6" t="str">
            <v>VirtuelVarme</v>
          </cell>
        </row>
        <row r="7">
          <cell r="B7" t="str">
            <v>VirtuelAffald</v>
          </cell>
        </row>
        <row r="8">
          <cell r="B8" t="str">
            <v>Skorstensmetode</v>
          </cell>
        </row>
        <row r="9">
          <cell r="B9" t="str">
            <v>FixAffald2021</v>
          </cell>
          <cell r="C9">
            <v>1</v>
          </cell>
        </row>
        <row r="10">
          <cell r="B10" t="str">
            <v>FixAffaldSum</v>
          </cell>
        </row>
        <row r="11">
          <cell r="B11" t="str">
            <v>DeltaTonAktiv</v>
          </cell>
        </row>
        <row r="12">
          <cell r="B12" t="str">
            <v>RgkRabatSats</v>
          </cell>
        </row>
        <row r="13">
          <cell r="B13" t="str">
            <v>RgkAndelRabat</v>
          </cell>
        </row>
        <row r="14">
          <cell r="B14" t="str">
            <v>Varmesalgspris</v>
          </cell>
        </row>
        <row r="15">
          <cell r="B15" t="str">
            <v>EgetforbrugKVV</v>
          </cell>
        </row>
        <row r="16">
          <cell r="B16" t="str">
            <v>DVomkRGK</v>
          </cell>
        </row>
        <row r="17">
          <cell r="B17" t="str">
            <v>RGKudnyttelse</v>
          </cell>
        </row>
        <row r="18">
          <cell r="B18" t="str">
            <v>NyAff1Tonnage</v>
          </cell>
          <cell r="C18">
            <v>10000</v>
          </cell>
        </row>
      </sheetData>
      <sheetData sheetId="5">
        <row r="6">
          <cell r="B6">
            <v>44197</v>
          </cell>
          <cell r="C6">
            <v>44927</v>
          </cell>
          <cell r="D6">
            <v>44197</v>
          </cell>
          <cell r="E6">
            <v>44531</v>
          </cell>
        </row>
        <row r="11">
          <cell r="B11" t="str">
            <v>Aktiv</v>
          </cell>
          <cell r="C11" t="str">
            <v>Ukind</v>
          </cell>
          <cell r="D11" t="str">
            <v>Prioritet</v>
          </cell>
          <cell r="E11" t="str">
            <v>MinLhv</v>
          </cell>
          <cell r="F11" t="str">
            <v>MaxLhv</v>
          </cell>
          <cell r="G11" t="str">
            <v>MinTon</v>
          </cell>
          <cell r="H11" t="str">
            <v>MaxTon</v>
          </cell>
          <cell r="I11" t="str">
            <v>KapQNom</v>
          </cell>
          <cell r="J11" t="str">
            <v>KapRgk</v>
          </cell>
          <cell r="K11" t="str">
            <v>KapQMin</v>
          </cell>
          <cell r="L11" t="str">
            <v>KapE</v>
          </cell>
          <cell r="M11" t="str">
            <v>EtaE</v>
          </cell>
          <cell r="N11" t="str">
            <v>EtaQ</v>
          </cell>
          <cell r="O11" t="str">
            <v>DVMWhq</v>
          </cell>
          <cell r="P11" t="str">
            <v>DVtime</v>
          </cell>
          <cell r="S11" t="str">
            <v>Aktiv</v>
          </cell>
          <cell r="T11" t="str">
            <v>StoKind</v>
          </cell>
          <cell r="U11" t="str">
            <v>LoadInit</v>
          </cell>
          <cell r="V11" t="str">
            <v>LoadMin</v>
          </cell>
          <cell r="W11" t="str">
            <v>LoadMax</v>
          </cell>
          <cell r="X11" t="str">
            <v>DLoadMax</v>
          </cell>
          <cell r="Y11" t="str">
            <v>LossRate</v>
          </cell>
          <cell r="Z11" t="str">
            <v>LoadCost</v>
          </cell>
          <cell r="AA11" t="str">
            <v>DLoadCost</v>
          </cell>
          <cell r="AB11" t="str">
            <v>ResetFirst</v>
          </cell>
          <cell r="AC11" t="str">
            <v>ResetIntv</v>
          </cell>
          <cell r="AD11" t="str">
            <v>ResetLast</v>
          </cell>
        </row>
        <row r="12">
          <cell r="A12" t="str">
            <v>Ovn2</v>
          </cell>
          <cell r="R12" t="str">
            <v>sto1</v>
          </cell>
        </row>
        <row r="13">
          <cell r="A13" t="str">
            <v>Ovn3</v>
          </cell>
          <cell r="R13" t="str">
            <v>sto2</v>
          </cell>
        </row>
        <row r="14">
          <cell r="A14" t="str">
            <v>FlisK</v>
          </cell>
        </row>
        <row r="15">
          <cell r="A15" t="str">
            <v>NS</v>
          </cell>
        </row>
        <row r="16">
          <cell r="A16" t="str">
            <v>Cooler</v>
          </cell>
        </row>
        <row r="17">
          <cell r="A17" t="str">
            <v>PeakK</v>
          </cell>
        </row>
        <row r="22">
          <cell r="E22" t="str">
            <v>Aktiv</v>
          </cell>
          <cell r="F22" t="str">
            <v>Ndage</v>
          </cell>
          <cell r="G22" t="str">
            <v>Ovn2</v>
          </cell>
          <cell r="H22" t="str">
            <v>Ovn3</v>
          </cell>
          <cell r="I22" t="str">
            <v>FlisK</v>
          </cell>
          <cell r="J22" t="str">
            <v>NS</v>
          </cell>
          <cell r="K22" t="str">
            <v>Cooler</v>
          </cell>
          <cell r="L22" t="str">
            <v>PeakK</v>
          </cell>
          <cell r="M22" t="str">
            <v>Turbine</v>
          </cell>
          <cell r="N22" t="str">
            <v>Varmebehov</v>
          </cell>
          <cell r="O22" t="str">
            <v>NSprod</v>
          </cell>
          <cell r="P22" t="str">
            <v>ELprod</v>
          </cell>
          <cell r="Q22" t="str">
            <v>Bypass</v>
          </cell>
          <cell r="R22" t="str">
            <v>Elpris</v>
          </cell>
          <cell r="S22" t="str">
            <v>ETS</v>
          </cell>
          <cell r="T22" t="str">
            <v>AFV</v>
          </cell>
          <cell r="U22" t="str">
            <v>ATL</v>
          </cell>
          <cell r="V22" t="str">
            <v>CO2aff</v>
          </cell>
          <cell r="W22" t="str">
            <v>ETSaff</v>
          </cell>
          <cell r="X22" t="str">
            <v>CO2afgAff</v>
          </cell>
          <cell r="Y22" t="str">
            <v>NOxAff</v>
          </cell>
          <cell r="Z22" t="str">
            <v>NOxFlis</v>
          </cell>
          <cell r="AA22" t="str">
            <v>EnrPeak</v>
          </cell>
          <cell r="AB22" t="str">
            <v>CO2peak</v>
          </cell>
          <cell r="AC22" t="str">
            <v>NOxPeak</v>
          </cell>
        </row>
        <row r="23">
          <cell r="C23">
            <v>44197</v>
          </cell>
        </row>
        <row r="24">
          <cell r="C24">
            <v>44228</v>
          </cell>
        </row>
        <row r="25">
          <cell r="C25">
            <v>44256</v>
          </cell>
        </row>
        <row r="26">
          <cell r="C26">
            <v>44287</v>
          </cell>
        </row>
        <row r="27">
          <cell r="C27">
            <v>44317</v>
          </cell>
        </row>
        <row r="28">
          <cell r="C28">
            <v>44348</v>
          </cell>
        </row>
        <row r="29">
          <cell r="C29">
            <v>44378</v>
          </cell>
        </row>
        <row r="30">
          <cell r="C30">
            <v>44409</v>
          </cell>
        </row>
        <row r="31">
          <cell r="C31">
            <v>44440</v>
          </cell>
        </row>
        <row r="32">
          <cell r="C32">
            <v>44470</v>
          </cell>
        </row>
        <row r="33">
          <cell r="C33">
            <v>44501</v>
          </cell>
        </row>
        <row r="34">
          <cell r="C34">
            <v>44531</v>
          </cell>
        </row>
        <row r="35">
          <cell r="C35">
            <v>44562</v>
          </cell>
        </row>
        <row r="36">
          <cell r="C36">
            <v>44593</v>
          </cell>
        </row>
        <row r="37">
          <cell r="C37">
            <v>44621</v>
          </cell>
        </row>
        <row r="38">
          <cell r="C38">
            <v>44652</v>
          </cell>
        </row>
        <row r="39">
          <cell r="C39">
            <v>44682</v>
          </cell>
        </row>
        <row r="40">
          <cell r="C40">
            <v>44713</v>
          </cell>
        </row>
        <row r="41">
          <cell r="C41">
            <v>44743</v>
          </cell>
        </row>
        <row r="42">
          <cell r="C42">
            <v>44774</v>
          </cell>
        </row>
        <row r="43">
          <cell r="C43">
            <v>44805</v>
          </cell>
        </row>
        <row r="44">
          <cell r="C44">
            <v>44835</v>
          </cell>
        </row>
        <row r="45">
          <cell r="C45">
            <v>44866</v>
          </cell>
        </row>
        <row r="46">
          <cell r="C46">
            <v>44896</v>
          </cell>
        </row>
        <row r="47">
          <cell r="C47">
            <v>44927</v>
          </cell>
        </row>
        <row r="48">
          <cell r="C48">
            <v>44958</v>
          </cell>
        </row>
        <row r="49">
          <cell r="C49">
            <v>44986</v>
          </cell>
        </row>
        <row r="50">
          <cell r="C50">
            <v>45017</v>
          </cell>
        </row>
        <row r="51">
          <cell r="C51">
            <v>45047</v>
          </cell>
        </row>
        <row r="52">
          <cell r="C52">
            <v>45078</v>
          </cell>
        </row>
        <row r="53">
          <cell r="C53">
            <v>45108</v>
          </cell>
        </row>
        <row r="54">
          <cell r="C54">
            <v>45139</v>
          </cell>
        </row>
        <row r="55">
          <cell r="C55">
            <v>45170</v>
          </cell>
        </row>
        <row r="56">
          <cell r="C56">
            <v>45200</v>
          </cell>
        </row>
        <row r="57">
          <cell r="C57">
            <v>45231</v>
          </cell>
        </row>
        <row r="58">
          <cell r="C58">
            <v>45261</v>
          </cell>
        </row>
      </sheetData>
      <sheetData sheetId="6">
        <row r="4">
          <cell r="D4" t="str">
            <v>Aktiv</v>
          </cell>
          <cell r="E4" t="str">
            <v>Fkind</v>
          </cell>
          <cell r="F4" t="str">
            <v>Lagerbar</v>
          </cell>
          <cell r="G4" t="str">
            <v>Fri</v>
          </cell>
          <cell r="H4" t="str">
            <v>Flex</v>
          </cell>
          <cell r="I4" t="str">
            <v>Bortskaf</v>
          </cell>
          <cell r="J4" t="str">
            <v>TilOvn2</v>
          </cell>
          <cell r="K4" t="str">
            <v>TilOvn3</v>
          </cell>
          <cell r="L4" t="str">
            <v>DeltaTon</v>
          </cell>
          <cell r="M4" t="str">
            <v>MinTonnage</v>
          </cell>
          <cell r="N4" t="str">
            <v>MaxTonnage</v>
          </cell>
          <cell r="O4" t="str">
            <v>InitSto1</v>
          </cell>
          <cell r="P4" t="str">
            <v>InitSto2</v>
          </cell>
          <cell r="Q4" t="str">
            <v>Pris</v>
          </cell>
          <cell r="R4" t="str">
            <v>LHV</v>
          </cell>
          <cell r="S4" t="str">
            <v>NOxKgTon</v>
          </cell>
          <cell r="T4" t="str">
            <v>CO2kgGJ</v>
          </cell>
        </row>
        <row r="5">
          <cell r="C5" t="str">
            <v>DepoSort</v>
          </cell>
        </row>
        <row r="6">
          <cell r="C6" t="str">
            <v>DepoSmaat</v>
          </cell>
        </row>
        <row r="7">
          <cell r="C7" t="str">
            <v>DepoNedd</v>
          </cell>
        </row>
        <row r="8">
          <cell r="C8" t="str">
            <v>Dagren</v>
          </cell>
        </row>
        <row r="9">
          <cell r="C9" t="str">
            <v>AndetBrand</v>
          </cell>
        </row>
        <row r="10">
          <cell r="C10" t="str">
            <v>Trae</v>
          </cell>
        </row>
        <row r="11">
          <cell r="C11" t="str">
            <v>DagrenRast</v>
          </cell>
        </row>
        <row r="12">
          <cell r="C12" t="str">
            <v>DagrenInst</v>
          </cell>
        </row>
        <row r="13">
          <cell r="C13" t="str">
            <v>DagrenHandel</v>
          </cell>
        </row>
        <row r="14">
          <cell r="C14" t="str">
            <v>DagrenRestau</v>
          </cell>
        </row>
        <row r="15">
          <cell r="C15" t="str">
            <v>Erhverv</v>
          </cell>
        </row>
        <row r="16">
          <cell r="C16" t="str">
            <v>DagrenErhverv</v>
          </cell>
        </row>
        <row r="17">
          <cell r="C17" t="str">
            <v>HandelKontor</v>
          </cell>
        </row>
        <row r="18">
          <cell r="C18" t="str">
            <v>Privat</v>
          </cell>
        </row>
        <row r="19">
          <cell r="C19" t="str">
            <v>TyskRest</v>
          </cell>
        </row>
        <row r="20">
          <cell r="C20" t="str">
            <v>PolskRest</v>
          </cell>
        </row>
        <row r="21">
          <cell r="C21" t="str">
            <v>PcbTrae</v>
          </cell>
        </row>
        <row r="22">
          <cell r="C22" t="str">
            <v>TraeRekv</v>
          </cell>
        </row>
        <row r="23">
          <cell r="C23" t="str">
            <v>Halm</v>
          </cell>
        </row>
        <row r="24">
          <cell r="C24" t="str">
            <v>Pulver</v>
          </cell>
        </row>
        <row r="25">
          <cell r="C25" t="str">
            <v>FlisAffald</v>
          </cell>
        </row>
        <row r="26">
          <cell r="C26" t="str">
            <v>NyAff1</v>
          </cell>
        </row>
        <row r="27">
          <cell r="C27" t="str">
            <v>NyAff2</v>
          </cell>
        </row>
        <row r="28">
          <cell r="C28" t="str">
            <v>NyAff3</v>
          </cell>
        </row>
        <row r="29">
          <cell r="C29" t="str">
            <v>NyAff4</v>
          </cell>
        </row>
        <row r="30">
          <cell r="C30" t="str">
            <v>NyAff5</v>
          </cell>
        </row>
        <row r="31">
          <cell r="C31" t="str">
            <v>Flis</v>
          </cell>
        </row>
        <row r="32">
          <cell r="C32" t="str">
            <v>NSvarme</v>
          </cell>
        </row>
        <row r="33">
          <cell r="C33" t="str">
            <v>PeakFuel</v>
          </cell>
        </row>
      </sheetData>
      <sheetData sheetId="7">
        <row r="46">
          <cell r="C46" t="str">
            <v>Ovn2</v>
          </cell>
        </row>
      </sheetData>
      <sheetData sheetId="8" refreshError="1"/>
      <sheetData sheetId="9">
        <row r="3">
          <cell r="B3" t="str">
            <v>Root</v>
          </cell>
          <cell r="C3" t="str">
            <v>Control2</v>
          </cell>
          <cell r="D3" t="str">
            <v>Plant2</v>
          </cell>
          <cell r="E3" t="str">
            <v>Storage2</v>
          </cell>
          <cell r="F3" t="str">
            <v>Prognoses2</v>
          </cell>
          <cell r="G3" t="str">
            <v>Fuel2</v>
          </cell>
          <cell r="H3" t="str">
            <v>FuelBounds2</v>
          </cell>
          <cell r="J3" t="str">
            <v>Control3</v>
          </cell>
          <cell r="K3" t="str">
            <v>Plant3</v>
          </cell>
          <cell r="L3" t="str">
            <v>Storage3</v>
          </cell>
          <cell r="M3" t="str">
            <v>Prognoses3</v>
          </cell>
          <cell r="N3" t="str">
            <v>Fuel3</v>
          </cell>
          <cell r="O3" t="str">
            <v>FuelBounds3</v>
          </cell>
        </row>
        <row r="4">
          <cell r="B4" t="str">
            <v>Control</v>
          </cell>
        </row>
        <row r="5">
          <cell r="B5" t="str">
            <v>Plant</v>
          </cell>
        </row>
        <row r="6">
          <cell r="B6" t="str">
            <v>Storage</v>
          </cell>
        </row>
        <row r="7">
          <cell r="B7" t="str">
            <v>Prognoses</v>
          </cell>
        </row>
        <row r="8">
          <cell r="B8" t="str">
            <v>Fuel</v>
          </cell>
        </row>
        <row r="9">
          <cell r="B9" t="str">
            <v>FuelBounds</v>
          </cell>
        </row>
        <row r="38">
          <cell r="B38" t="str">
            <v>Niveau2</v>
          </cell>
        </row>
        <row r="39">
          <cell r="A39">
            <v>15</v>
          </cell>
          <cell r="B39" t="str">
            <v>Control</v>
          </cell>
          <cell r="C39" t="str">
            <v>RunScenarios</v>
          </cell>
          <cell r="D39" t="str">
            <v>IncludeGSF</v>
          </cell>
          <cell r="E39" t="str">
            <v>VirtuelVarme</v>
          </cell>
          <cell r="F39" t="str">
            <v>VirtuelAffald</v>
          </cell>
          <cell r="G39" t="str">
            <v>Skorstensmetode</v>
          </cell>
          <cell r="H39" t="str">
            <v>FixAffald2021</v>
          </cell>
          <cell r="I39" t="str">
            <v>FixAffaldSum</v>
          </cell>
          <cell r="J39" t="str">
            <v>DeltaTonAktiv</v>
          </cell>
          <cell r="K39" t="str">
            <v>RgkRabatSats</v>
          </cell>
          <cell r="L39" t="str">
            <v>RgkAndelRabat</v>
          </cell>
          <cell r="M39" t="str">
            <v>Varmesalgspris</v>
          </cell>
          <cell r="N39" t="str">
            <v>EgetforbrugKVV</v>
          </cell>
          <cell r="O39" t="str">
            <v>DVomkRGK</v>
          </cell>
          <cell r="P39" t="str">
            <v>RGKudnyttelse</v>
          </cell>
          <cell r="Q39" t="str">
            <v>NyAff1Tonnage</v>
          </cell>
        </row>
        <row r="40">
          <cell r="A40">
            <v>6</v>
          </cell>
          <cell r="B40" t="str">
            <v>Plant</v>
          </cell>
          <cell r="C40" t="str">
            <v>Ovn2</v>
          </cell>
          <cell r="D40" t="str">
            <v>Ovn3</v>
          </cell>
          <cell r="E40" t="str">
            <v>FlisK</v>
          </cell>
          <cell r="F40" t="str">
            <v>NS</v>
          </cell>
          <cell r="G40" t="str">
            <v>Cooler</v>
          </cell>
          <cell r="H40" t="str">
            <v>PeakK</v>
          </cell>
        </row>
        <row r="41">
          <cell r="A41">
            <v>2</v>
          </cell>
          <cell r="B41" t="str">
            <v>Storage</v>
          </cell>
          <cell r="C41" t="str">
            <v>sto1</v>
          </cell>
          <cell r="D41" t="str">
            <v>sto2</v>
          </cell>
        </row>
        <row r="42">
          <cell r="A42">
            <v>25</v>
          </cell>
          <cell r="B42" t="str">
            <v>Prognoses</v>
          </cell>
          <cell r="C42" t="str">
            <v>Aktiv</v>
          </cell>
          <cell r="D42" t="str">
            <v>Ndage</v>
          </cell>
          <cell r="E42" t="str">
            <v>Ovn2</v>
          </cell>
          <cell r="F42" t="str">
            <v>Ovn3</v>
          </cell>
          <cell r="G42" t="str">
            <v>FlisK</v>
          </cell>
          <cell r="H42" t="str">
            <v>NS</v>
          </cell>
          <cell r="I42" t="str">
            <v>Cooler</v>
          </cell>
          <cell r="J42" t="str">
            <v>PeakK</v>
          </cell>
          <cell r="K42" t="str">
            <v>Turbine</v>
          </cell>
          <cell r="L42" t="str">
            <v>Varmebehov</v>
          </cell>
          <cell r="M42" t="str">
            <v>NSprod</v>
          </cell>
          <cell r="N42" t="str">
            <v>ELprod</v>
          </cell>
          <cell r="O42" t="str">
            <v>Bypass</v>
          </cell>
          <cell r="P42" t="str">
            <v>Elpris</v>
          </cell>
          <cell r="Q42" t="str">
            <v>ETS</v>
          </cell>
          <cell r="R42" t="str">
            <v>AFV</v>
          </cell>
          <cell r="S42" t="str">
            <v>ATL</v>
          </cell>
          <cell r="T42" t="str">
            <v>CO2aff</v>
          </cell>
          <cell r="U42" t="str">
            <v>ETSaff</v>
          </cell>
          <cell r="V42" t="str">
            <v>CO2afgAff</v>
          </cell>
          <cell r="W42" t="str">
            <v>NOxAff</v>
          </cell>
          <cell r="X42" t="str">
            <v>NOxFlis</v>
          </cell>
          <cell r="Y42" t="str">
            <v>EnrPeak</v>
          </cell>
          <cell r="Z42" t="str">
            <v>CO2peak</v>
          </cell>
          <cell r="AA42" t="str">
            <v>NOxPeak</v>
          </cell>
        </row>
        <row r="43">
          <cell r="A43">
            <v>29</v>
          </cell>
          <cell r="B43" t="str">
            <v>Fuel</v>
          </cell>
          <cell r="C43" t="str">
            <v>DepoSort</v>
          </cell>
          <cell r="D43" t="str">
            <v>DepoSmaat</v>
          </cell>
          <cell r="E43" t="str">
            <v>DepoNedd</v>
          </cell>
          <cell r="F43" t="str">
            <v>Dagren</v>
          </cell>
          <cell r="G43" t="str">
            <v>AndetBrand</v>
          </cell>
          <cell r="H43" t="str">
            <v>Trae</v>
          </cell>
          <cell r="I43" t="str">
            <v>DagrenRast</v>
          </cell>
          <cell r="J43" t="str">
            <v>DagrenInst</v>
          </cell>
          <cell r="K43" t="str">
            <v>DagrenHandel</v>
          </cell>
          <cell r="L43" t="str">
            <v>DagrenRestau</v>
          </cell>
          <cell r="M43" t="str">
            <v>Erhverv</v>
          </cell>
          <cell r="N43" t="str">
            <v>DagrenErhverv</v>
          </cell>
          <cell r="O43" t="str">
            <v>HandelKontor</v>
          </cell>
          <cell r="P43" t="str">
            <v>Privat</v>
          </cell>
          <cell r="Q43" t="str">
            <v>TyskRest</v>
          </cell>
          <cell r="R43" t="str">
            <v>PolskRest</v>
          </cell>
          <cell r="S43" t="str">
            <v>PcbTrae</v>
          </cell>
          <cell r="T43" t="str">
            <v>TraeRekv</v>
          </cell>
          <cell r="U43" t="str">
            <v>Halm</v>
          </cell>
          <cell r="V43" t="str">
            <v>Pulver</v>
          </cell>
          <cell r="W43" t="str">
            <v>FlisAffald</v>
          </cell>
          <cell r="X43" t="str">
            <v>NyAff1</v>
          </cell>
          <cell r="Y43" t="str">
            <v>NyAff2</v>
          </cell>
          <cell r="Z43" t="str">
            <v>NyAff3</v>
          </cell>
          <cell r="AA43" t="str">
            <v>NyAff4</v>
          </cell>
          <cell r="AB43" t="str">
            <v>NyAff5</v>
          </cell>
          <cell r="AC43" t="str">
            <v>Flis</v>
          </cell>
          <cell r="AD43" t="str">
            <v>NSvarme</v>
          </cell>
          <cell r="AE43" t="str">
            <v>PeakFuel</v>
          </cell>
        </row>
        <row r="44">
          <cell r="A44">
            <v>29</v>
          </cell>
          <cell r="B44" t="str">
            <v>FuelBounds</v>
          </cell>
          <cell r="C44" t="str">
            <v>DepoSort</v>
          </cell>
          <cell r="D44" t="str">
            <v>DepoSmaat</v>
          </cell>
          <cell r="E44" t="str">
            <v>DepoNedd</v>
          </cell>
          <cell r="F44" t="str">
            <v>Dagren</v>
          </cell>
          <cell r="G44" t="str">
            <v>AndetBrand</v>
          </cell>
          <cell r="H44" t="str">
            <v>Trae</v>
          </cell>
          <cell r="I44" t="str">
            <v>DagrenRast</v>
          </cell>
          <cell r="J44" t="str">
            <v>DagrenInst</v>
          </cell>
          <cell r="K44" t="str">
            <v>DagrenHandel</v>
          </cell>
          <cell r="L44" t="str">
            <v>DagrenRestau</v>
          </cell>
          <cell r="M44" t="str">
            <v>Erhverv</v>
          </cell>
          <cell r="N44" t="str">
            <v>DagrenErhverv</v>
          </cell>
          <cell r="O44" t="str">
            <v>HandelKontor</v>
          </cell>
          <cell r="P44" t="str">
            <v>Privat</v>
          </cell>
          <cell r="Q44" t="str">
            <v>TyskRest</v>
          </cell>
          <cell r="R44" t="str">
            <v>PolskRest</v>
          </cell>
          <cell r="S44" t="str">
            <v>PcbTrae</v>
          </cell>
          <cell r="T44" t="str">
            <v>TraeRekv</v>
          </cell>
          <cell r="U44" t="str">
            <v>Halm</v>
          </cell>
          <cell r="V44" t="str">
            <v>Pulver</v>
          </cell>
          <cell r="W44" t="str">
            <v>FlisAffald</v>
          </cell>
          <cell r="X44" t="str">
            <v>NyAff1</v>
          </cell>
          <cell r="Y44" t="str">
            <v>NyAff2</v>
          </cell>
          <cell r="Z44" t="str">
            <v>NyAff3</v>
          </cell>
          <cell r="AA44" t="str">
            <v>NyAff4</v>
          </cell>
          <cell r="AB44" t="str">
            <v>NyAff5</v>
          </cell>
          <cell r="AC44" t="str">
            <v>Flis</v>
          </cell>
          <cell r="AD44" t="str">
            <v>NSvarme</v>
          </cell>
          <cell r="AE44" t="str">
            <v>PeakFuel</v>
          </cell>
        </row>
        <row r="47">
          <cell r="B47" t="str">
            <v>Niveau3</v>
          </cell>
        </row>
        <row r="48">
          <cell r="B48" t="str">
            <v>Control</v>
          </cell>
          <cell r="C48" t="str">
            <v>VOID</v>
          </cell>
        </row>
        <row r="49">
          <cell r="A49">
            <v>15</v>
          </cell>
          <cell r="B49" t="str">
            <v>Plant</v>
          </cell>
          <cell r="C49" t="str">
            <v>Aktiv</v>
          </cell>
          <cell r="D49" t="str">
            <v>Ukind</v>
          </cell>
          <cell r="E49" t="str">
            <v>Prioritet</v>
          </cell>
          <cell r="F49" t="str">
            <v>MinLhv</v>
          </cell>
          <cell r="G49" t="str">
            <v>MaxLhv</v>
          </cell>
          <cell r="H49" t="str">
            <v>MinTon</v>
          </cell>
          <cell r="I49" t="str">
            <v>MaxTon</v>
          </cell>
          <cell r="J49" t="str">
            <v>KapQNom</v>
          </cell>
          <cell r="K49" t="str">
            <v>KapRgk</v>
          </cell>
          <cell r="L49" t="str">
            <v>KapQMin</v>
          </cell>
          <cell r="M49" t="str">
            <v>KapE</v>
          </cell>
          <cell r="N49" t="str">
            <v>EtaE</v>
          </cell>
          <cell r="O49" t="str">
            <v>EtaQ</v>
          </cell>
          <cell r="P49" t="str">
            <v>DVMWhq</v>
          </cell>
          <cell r="Q49" t="str">
            <v>DVtime</v>
          </cell>
        </row>
        <row r="50">
          <cell r="A50">
            <v>12</v>
          </cell>
          <cell r="B50" t="str">
            <v>Storage</v>
          </cell>
          <cell r="C50" t="str">
            <v>Aktiv</v>
          </cell>
          <cell r="D50" t="str">
            <v>StoKind</v>
          </cell>
          <cell r="E50" t="str">
            <v>LoadInit</v>
          </cell>
          <cell r="F50" t="str">
            <v>LoadMin</v>
          </cell>
          <cell r="G50" t="str">
            <v>LoadMax</v>
          </cell>
          <cell r="H50" t="str">
            <v>DLoadMax</v>
          </cell>
          <cell r="I50" t="str">
            <v>LossRate</v>
          </cell>
          <cell r="J50" t="str">
            <v>LoadCost</v>
          </cell>
          <cell r="K50" t="str">
            <v>DLoadCost</v>
          </cell>
          <cell r="L50" t="str">
            <v>ResetFirst</v>
          </cell>
          <cell r="M50" t="str">
            <v>ResetIntv</v>
          </cell>
          <cell r="N50" t="str">
            <v>ResetLast</v>
          </cell>
        </row>
        <row r="51">
          <cell r="A51">
            <v>1</v>
          </cell>
          <cell r="B51" t="str">
            <v>Prognoses</v>
          </cell>
          <cell r="C51" t="str">
            <v>VOID</v>
          </cell>
        </row>
        <row r="52">
          <cell r="A52">
            <v>17</v>
          </cell>
          <cell r="B52" t="str">
            <v>Fuel</v>
          </cell>
          <cell r="C52" t="str">
            <v>Aktiv</v>
          </cell>
          <cell r="D52" t="str">
            <v>Fkind</v>
          </cell>
          <cell r="E52" t="str">
            <v>Lagerbar</v>
          </cell>
          <cell r="F52" t="str">
            <v>Fri</v>
          </cell>
          <cell r="G52" t="str">
            <v>Flex</v>
          </cell>
          <cell r="H52" t="str">
            <v>Bortskaf</v>
          </cell>
          <cell r="I52" t="str">
            <v>TilOvn2</v>
          </cell>
          <cell r="J52" t="str">
            <v>TilOvn3</v>
          </cell>
          <cell r="K52" t="str">
            <v>DeltaTon</v>
          </cell>
          <cell r="L52" t="str">
            <v>MinTonnage</v>
          </cell>
          <cell r="M52" t="str">
            <v>MaxTonnage</v>
          </cell>
          <cell r="N52" t="str">
            <v>InitSto1</v>
          </cell>
          <cell r="O52" t="str">
            <v>InitSto2</v>
          </cell>
          <cell r="P52" t="str">
            <v>Pris</v>
          </cell>
          <cell r="Q52" t="str">
            <v>LHV</v>
          </cell>
          <cell r="R52" t="str">
            <v>NOxKgTon</v>
          </cell>
          <cell r="S52" t="str">
            <v>CO2kgGJ</v>
          </cell>
        </row>
        <row r="53">
          <cell r="A53">
            <v>7</v>
          </cell>
          <cell r="B53" t="str">
            <v>FuelBounds</v>
          </cell>
          <cell r="C53" t="str">
            <v>TilOvn2</v>
          </cell>
          <cell r="D53" t="str">
            <v>TilOvn3</v>
          </cell>
          <cell r="E53" t="str">
            <v>MinTonnage</v>
          </cell>
          <cell r="F53" t="str">
            <v>MaxTonnage</v>
          </cell>
          <cell r="G53" t="str">
            <v>Pris</v>
          </cell>
          <cell r="H53" t="str">
            <v>LHV</v>
          </cell>
          <cell r="I53" t="str">
            <v>CO2kgGJ</v>
          </cell>
        </row>
      </sheetData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7430D07-40D6-430A-B5EC-3D50F467409A}">
  <we:reference id="wa200003696" version="1.0.0.0" store="en-US" storeType="OMEX"/>
  <we:alternateReferences>
    <we:reference id="wa200003696" version="1.0.0.0" store="WA20000369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3AD59-D9D8-46C0-9366-A4E65CDB34CC}">
  <sheetPr codeName="Sheet8"/>
  <dimension ref="A1:BA135"/>
  <sheetViews>
    <sheetView topLeftCell="A4" zoomScale="85" zoomScaleNormal="85" workbookViewId="0">
      <selection activeCell="B4" sqref="B4"/>
    </sheetView>
  </sheetViews>
  <sheetFormatPr defaultRowHeight="15" x14ac:dyDescent="0.25"/>
  <cols>
    <col min="1" max="1" width="30.7109375" customWidth="1"/>
    <col min="2" max="2" width="12.85546875" customWidth="1"/>
    <col min="3" max="3" width="10" customWidth="1"/>
    <col min="4" max="4" width="10.5703125" customWidth="1"/>
    <col min="7" max="7" width="3.42578125" customWidth="1"/>
    <col min="8" max="8" width="32" customWidth="1"/>
    <col min="9" max="9" width="12.28515625" style="4" customWidth="1"/>
    <col min="10" max="10" width="10.5703125" customWidth="1"/>
    <col min="11" max="12" width="9.140625" customWidth="1"/>
    <col min="13" max="21" width="9.42578125" customWidth="1"/>
    <col min="22" max="22" width="11" style="27" customWidth="1"/>
    <col min="23" max="23" width="34.28515625" customWidth="1"/>
    <col min="24" max="24" width="11" style="4" customWidth="1"/>
    <col min="25" max="25" width="13.28515625" style="11" customWidth="1"/>
    <col min="26" max="26" width="14.42578125" style="11" customWidth="1"/>
    <col min="27" max="27" width="14.42578125" customWidth="1"/>
    <col min="28" max="28" width="2.85546875" style="27" customWidth="1"/>
    <col min="29" max="29" width="30.7109375" customWidth="1"/>
    <col min="30" max="30" width="8.42578125" style="50" customWidth="1"/>
    <col min="31" max="31" width="10" style="11" customWidth="1"/>
    <col min="32" max="32" width="14.42578125" style="11" customWidth="1"/>
    <col min="33" max="33" width="15.7109375" customWidth="1"/>
    <col min="34" max="34" width="4.140625" customWidth="1"/>
    <col min="35" max="35" width="29.7109375" style="4" customWidth="1"/>
    <col min="36" max="37" width="13" customWidth="1"/>
    <col min="39" max="39" width="8.5703125" customWidth="1"/>
  </cols>
  <sheetData>
    <row r="1" spans="1:53" ht="33.75" customHeight="1" x14ac:dyDescent="0.25">
      <c r="A1" s="54"/>
      <c r="B1" s="54"/>
      <c r="C1" s="54"/>
      <c r="D1" s="54"/>
      <c r="E1" s="54"/>
      <c r="F1" s="54"/>
      <c r="H1" s="174" t="s">
        <v>179</v>
      </c>
      <c r="I1" s="175"/>
      <c r="J1" s="175"/>
      <c r="K1" s="175"/>
      <c r="L1" s="175"/>
      <c r="M1" s="175"/>
      <c r="N1" s="54"/>
      <c r="O1" s="54"/>
      <c r="P1" s="54"/>
      <c r="Q1" s="54"/>
      <c r="R1" s="54"/>
      <c r="S1" s="54"/>
      <c r="T1" s="54"/>
      <c r="U1" s="54"/>
      <c r="V1" s="31"/>
      <c r="W1" s="176" t="e">
        <f>"Resultat for "&amp;J6&amp;" ton affald, "&amp;J8&amp;" ton bioaffald, Varmebehov "&amp;TEXT(Qdemand,"#.##0")&amp;" MWh, NS-varme "&amp;TEXT(NSvarme,"#.##0")&amp;" MWh, RGK-grad "&amp;TEXT(RGKudnyttelse,"0 %")</f>
        <v>#REF!</v>
      </c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</row>
    <row r="2" spans="1:53" ht="15.75" thickBot="1" x14ac:dyDescent="0.3">
      <c r="A2" s="37"/>
      <c r="B2" s="37"/>
      <c r="C2" s="37"/>
      <c r="D2" s="37"/>
      <c r="E2" s="37"/>
      <c r="F2" s="37"/>
      <c r="H2" s="95"/>
      <c r="I2" s="85"/>
      <c r="J2" s="87"/>
      <c r="K2" s="87"/>
      <c r="L2" s="87"/>
      <c r="M2" s="87"/>
      <c r="N2" s="37"/>
      <c r="O2" s="37"/>
      <c r="P2" s="37"/>
      <c r="Q2" s="37"/>
      <c r="R2" s="37"/>
      <c r="S2" s="37"/>
      <c r="T2" s="37"/>
      <c r="U2" s="37"/>
      <c r="V2" s="31"/>
      <c r="W2" s="31"/>
      <c r="X2" s="32"/>
      <c r="Y2" s="33"/>
      <c r="Z2" s="33"/>
      <c r="AA2" s="31"/>
      <c r="AB2" s="31"/>
      <c r="AC2" s="31"/>
      <c r="AD2" s="49"/>
      <c r="AE2" s="33"/>
      <c r="AF2" s="33"/>
      <c r="AG2" s="31"/>
      <c r="AH2" s="31"/>
      <c r="AI2" s="35"/>
      <c r="AJ2" s="31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1"/>
      <c r="AZ2" s="31"/>
      <c r="BA2" s="46" t="str">
        <f>"Økonomiske nøgletal "</f>
        <v xml:space="preserve">Økonomiske nøgletal </v>
      </c>
    </row>
    <row r="3" spans="1:53" x14ac:dyDescent="0.25">
      <c r="A3" s="78" t="s">
        <v>235</v>
      </c>
      <c r="B3" s="94"/>
      <c r="C3" s="94"/>
      <c r="D3" s="94"/>
      <c r="E3" s="94"/>
      <c r="F3" s="93"/>
      <c r="H3" s="78" t="s">
        <v>234</v>
      </c>
      <c r="I3" s="79" t="s">
        <v>46</v>
      </c>
      <c r="J3" s="80" t="s">
        <v>190</v>
      </c>
      <c r="K3" s="80" t="s">
        <v>191</v>
      </c>
      <c r="L3" s="80" t="s">
        <v>192</v>
      </c>
      <c r="M3" s="80" t="s">
        <v>193</v>
      </c>
      <c r="N3" s="80" t="s">
        <v>194</v>
      </c>
      <c r="O3" s="80" t="s">
        <v>195</v>
      </c>
      <c r="P3" s="80" t="s">
        <v>196</v>
      </c>
      <c r="Q3" s="80" t="s">
        <v>197</v>
      </c>
      <c r="R3" s="80" t="s">
        <v>198</v>
      </c>
      <c r="S3" s="80" t="s">
        <v>199</v>
      </c>
      <c r="T3" s="80" t="s">
        <v>200</v>
      </c>
      <c r="U3" s="89" t="s">
        <v>201</v>
      </c>
      <c r="V3" s="31"/>
      <c r="W3" s="31"/>
      <c r="X3" s="32"/>
      <c r="Y3" s="33"/>
      <c r="Z3" s="33"/>
      <c r="AA3" s="31"/>
      <c r="AB3" s="31"/>
      <c r="AC3" s="31"/>
      <c r="AD3" s="49"/>
      <c r="AE3" s="33"/>
      <c r="AF3" s="33"/>
      <c r="AG3" s="31"/>
      <c r="AH3" s="31"/>
      <c r="AI3" s="32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31"/>
      <c r="AZ3" s="31"/>
      <c r="BA3" s="47" t="str">
        <f>"Økonomi: RGK ift. Nominel"</f>
        <v>Økonomi: RGK ift. Nominel</v>
      </c>
    </row>
    <row r="4" spans="1:53" x14ac:dyDescent="0.25">
      <c r="A4" s="122" t="s">
        <v>236</v>
      </c>
      <c r="B4" s="37" t="b">
        <v>0</v>
      </c>
      <c r="C4" s="37"/>
      <c r="D4" s="37"/>
      <c r="E4" s="37"/>
      <c r="F4" s="83"/>
      <c r="H4" s="132" t="s">
        <v>251</v>
      </c>
      <c r="I4" s="133" t="s">
        <v>244</v>
      </c>
      <c r="J4" s="21">
        <v>1</v>
      </c>
      <c r="K4" s="21">
        <v>0</v>
      </c>
      <c r="L4" s="21">
        <v>0</v>
      </c>
      <c r="M4" s="21">
        <v>0</v>
      </c>
      <c r="N4" s="21">
        <v>0</v>
      </c>
      <c r="O4" s="21">
        <v>0</v>
      </c>
      <c r="P4" s="21">
        <v>0</v>
      </c>
      <c r="Q4" s="21">
        <v>0</v>
      </c>
      <c r="R4" s="21">
        <v>0</v>
      </c>
      <c r="S4" s="21">
        <v>0</v>
      </c>
      <c r="T4" s="21">
        <v>0</v>
      </c>
      <c r="U4" s="134">
        <v>0</v>
      </c>
      <c r="V4" s="31"/>
      <c r="W4" s="31"/>
      <c r="X4" s="32"/>
      <c r="Y4" s="33"/>
      <c r="Z4" s="33"/>
      <c r="AA4" s="31"/>
      <c r="AB4" s="31"/>
      <c r="AC4" s="31"/>
      <c r="AD4" s="49"/>
      <c r="AE4" s="33"/>
      <c r="AF4" s="33"/>
      <c r="AG4" s="31"/>
      <c r="AH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  <c r="AX4" s="31"/>
      <c r="AY4" s="31"/>
      <c r="AZ4" s="31"/>
      <c r="BA4" s="47" t="str">
        <f>"Varmemængder"</f>
        <v>Varmemængder</v>
      </c>
    </row>
    <row r="5" spans="1:53" x14ac:dyDescent="0.25">
      <c r="A5" s="122"/>
      <c r="B5" s="37"/>
      <c r="C5" s="37"/>
      <c r="D5" s="37"/>
      <c r="E5" s="37"/>
      <c r="F5" s="83"/>
      <c r="H5" s="82" t="s">
        <v>141</v>
      </c>
      <c r="I5" s="36" t="s">
        <v>40</v>
      </c>
      <c r="J5" s="40">
        <v>28115</v>
      </c>
      <c r="K5" s="37">
        <v>23902</v>
      </c>
      <c r="L5" s="37">
        <v>27355</v>
      </c>
      <c r="M5" s="37">
        <v>22497</v>
      </c>
      <c r="N5" s="37">
        <v>12760</v>
      </c>
      <c r="O5" s="37">
        <v>6100</v>
      </c>
      <c r="P5" s="37">
        <v>6411</v>
      </c>
      <c r="Q5" s="37">
        <v>7774</v>
      </c>
      <c r="R5" s="37">
        <v>8886</v>
      </c>
      <c r="S5" s="37">
        <v>15610</v>
      </c>
      <c r="T5" s="37">
        <v>20410</v>
      </c>
      <c r="U5" s="83">
        <v>25475</v>
      </c>
      <c r="V5" s="31"/>
      <c r="W5" s="31"/>
      <c r="X5" s="32"/>
      <c r="Y5" s="33"/>
      <c r="Z5" s="33"/>
      <c r="AA5" s="31"/>
      <c r="AB5" s="31"/>
      <c r="AC5" s="31"/>
      <c r="AD5" s="49"/>
      <c r="AE5" s="33"/>
      <c r="AF5" s="33"/>
      <c r="AG5" s="31"/>
      <c r="AH5" s="31"/>
      <c r="AI5" s="32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47" t="s">
        <v>138</v>
      </c>
    </row>
    <row r="6" spans="1:53" x14ac:dyDescent="0.25">
      <c r="A6" s="122"/>
      <c r="B6" s="37"/>
      <c r="C6" s="37"/>
      <c r="D6" s="37"/>
      <c r="E6" s="37"/>
      <c r="F6" s="83"/>
      <c r="H6" s="82" t="s">
        <v>315</v>
      </c>
      <c r="I6" s="36" t="s">
        <v>16</v>
      </c>
      <c r="J6" s="40">
        <v>6000</v>
      </c>
      <c r="K6" s="37">
        <v>6000</v>
      </c>
      <c r="L6" s="37">
        <v>6000</v>
      </c>
      <c r="M6" s="37">
        <v>6000</v>
      </c>
      <c r="N6" s="37">
        <v>6000</v>
      </c>
      <c r="O6" s="37">
        <v>6000</v>
      </c>
      <c r="P6" s="37">
        <v>6000</v>
      </c>
      <c r="Q6" s="37">
        <v>6000</v>
      </c>
      <c r="R6" s="37">
        <v>6000</v>
      </c>
      <c r="S6" s="37">
        <v>6000</v>
      </c>
      <c r="T6" s="37">
        <v>6000</v>
      </c>
      <c r="U6" s="83">
        <v>6000</v>
      </c>
      <c r="V6" s="33">
        <f>SUM(J6:U6)-FfriMaxÅr</f>
        <v>27000</v>
      </c>
      <c r="W6" s="31"/>
      <c r="X6" s="32"/>
      <c r="Y6" s="33"/>
      <c r="Z6" s="33"/>
      <c r="AA6" s="31"/>
      <c r="AB6" s="31"/>
      <c r="AC6" s="31"/>
      <c r="AD6" s="49"/>
      <c r="AE6" s="33"/>
      <c r="AF6" s="33"/>
      <c r="AG6" s="31"/>
      <c r="AH6" s="31"/>
      <c r="AI6" s="32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t="s">
        <v>181</v>
      </c>
    </row>
    <row r="7" spans="1:53" x14ac:dyDescent="0.25">
      <c r="A7" s="122"/>
      <c r="B7" s="37"/>
      <c r="C7" s="37"/>
      <c r="D7" s="37"/>
      <c r="E7" s="37"/>
      <c r="F7" s="83"/>
      <c r="G7" s="120"/>
      <c r="H7" s="82" t="s">
        <v>318</v>
      </c>
      <c r="I7" s="36" t="s">
        <v>16</v>
      </c>
      <c r="J7" s="40">
        <v>6000</v>
      </c>
      <c r="K7" s="37">
        <v>3500</v>
      </c>
      <c r="L7" s="37">
        <v>3500</v>
      </c>
      <c r="M7" s="37">
        <v>3500</v>
      </c>
      <c r="N7" s="37">
        <v>3500</v>
      </c>
      <c r="O7" s="37">
        <v>0</v>
      </c>
      <c r="P7" s="37">
        <v>0</v>
      </c>
      <c r="Q7" s="37">
        <v>3500</v>
      </c>
      <c r="R7" s="37">
        <v>3500</v>
      </c>
      <c r="S7" s="37">
        <v>3500</v>
      </c>
      <c r="T7" s="37">
        <v>6000</v>
      </c>
      <c r="U7" s="83">
        <v>6000</v>
      </c>
      <c r="V7" s="33">
        <f>SUM(J7:U7)-FbioMaxÅr</f>
        <v>32500</v>
      </c>
      <c r="W7" s="31"/>
      <c r="X7" s="32"/>
      <c r="Y7" s="33"/>
      <c r="Z7" s="33"/>
      <c r="AA7" s="31"/>
      <c r="AB7" s="31"/>
      <c r="AC7" s="31"/>
      <c r="AD7" s="49"/>
      <c r="AE7" s="33"/>
      <c r="AF7" s="33"/>
      <c r="AG7" s="31"/>
      <c r="AH7" s="31"/>
      <c r="AI7" s="32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</row>
    <row r="8" spans="1:53" ht="15.75" thickBot="1" x14ac:dyDescent="0.3">
      <c r="A8" s="123"/>
      <c r="B8" s="87"/>
      <c r="C8" s="87"/>
      <c r="D8" s="87"/>
      <c r="E8" s="87"/>
      <c r="F8" s="88"/>
      <c r="G8" s="120"/>
      <c r="H8" s="82" t="s">
        <v>142</v>
      </c>
      <c r="I8" s="36" t="s">
        <v>16</v>
      </c>
      <c r="J8" s="40">
        <v>0</v>
      </c>
      <c r="K8" s="37">
        <v>0</v>
      </c>
      <c r="L8" s="37">
        <v>0</v>
      </c>
      <c r="M8" s="37">
        <v>0</v>
      </c>
      <c r="N8" s="37">
        <v>0</v>
      </c>
      <c r="O8" s="37">
        <v>0</v>
      </c>
      <c r="P8" s="37">
        <v>0</v>
      </c>
      <c r="Q8" s="37">
        <v>0</v>
      </c>
      <c r="R8" s="37">
        <v>0</v>
      </c>
      <c r="S8" s="37">
        <v>0</v>
      </c>
      <c r="T8" s="37">
        <v>0</v>
      </c>
      <c r="U8" s="83">
        <v>0</v>
      </c>
      <c r="V8" s="33">
        <f>SUM(J8:U8)-FfriMaxÅr</f>
        <v>-45000</v>
      </c>
      <c r="W8" s="31"/>
      <c r="X8" s="32"/>
      <c r="Y8" s="33"/>
      <c r="Z8" s="33"/>
      <c r="AA8" s="31"/>
      <c r="AB8" s="31"/>
      <c r="AC8" s="31"/>
      <c r="AD8" s="49"/>
      <c r="AE8" s="33"/>
      <c r="AF8" s="33"/>
      <c r="AG8" s="31"/>
      <c r="AH8" s="31"/>
      <c r="AI8" s="32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</row>
    <row r="9" spans="1:53" ht="15.75" thickBot="1" x14ac:dyDescent="0.3">
      <c r="H9" s="82" t="s">
        <v>209</v>
      </c>
      <c r="I9" s="36" t="s">
        <v>29</v>
      </c>
      <c r="J9" s="104">
        <v>10.5</v>
      </c>
      <c r="K9" s="105">
        <v>10.5</v>
      </c>
      <c r="L9" s="105">
        <v>10.5</v>
      </c>
      <c r="M9" s="105">
        <v>10.5</v>
      </c>
      <c r="N9" s="105">
        <v>10.5</v>
      </c>
      <c r="O9" s="105">
        <v>10.5</v>
      </c>
      <c r="P9" s="105">
        <v>10.5</v>
      </c>
      <c r="Q9" s="105">
        <v>10.5</v>
      </c>
      <c r="R9" s="105">
        <v>10.5</v>
      </c>
      <c r="S9" s="105">
        <v>10.5</v>
      </c>
      <c r="T9" s="105">
        <v>10.5</v>
      </c>
      <c r="U9" s="106">
        <v>10.5</v>
      </c>
      <c r="V9" s="31"/>
      <c r="W9" s="31"/>
      <c r="X9" s="32"/>
      <c r="Y9" s="33"/>
      <c r="Z9" s="33"/>
      <c r="AA9" s="31"/>
      <c r="AB9" s="31"/>
      <c r="AC9" s="31"/>
      <c r="AD9" s="49"/>
      <c r="AE9" s="33"/>
      <c r="AF9" s="33"/>
      <c r="AG9" s="31"/>
      <c r="AH9" s="31"/>
      <c r="AI9" s="32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 t="s">
        <v>139</v>
      </c>
    </row>
    <row r="10" spans="1:53" x14ac:dyDescent="0.25">
      <c r="A10" s="78" t="s">
        <v>14</v>
      </c>
      <c r="B10" s="107"/>
      <c r="C10" s="80" t="s">
        <v>0</v>
      </c>
      <c r="D10" s="80" t="s">
        <v>1</v>
      </c>
      <c r="E10" s="80" t="s">
        <v>7</v>
      </c>
      <c r="F10" s="89" t="s">
        <v>131</v>
      </c>
      <c r="H10" s="82" t="s">
        <v>210</v>
      </c>
      <c r="I10" s="36" t="s">
        <v>23</v>
      </c>
      <c r="J10" s="40">
        <v>400</v>
      </c>
      <c r="K10" s="37">
        <v>400</v>
      </c>
      <c r="L10" s="37">
        <v>400</v>
      </c>
      <c r="M10" s="37">
        <v>400</v>
      </c>
      <c r="N10" s="37">
        <v>400</v>
      </c>
      <c r="O10" s="37">
        <v>400</v>
      </c>
      <c r="P10" s="37">
        <v>400</v>
      </c>
      <c r="Q10" s="37">
        <v>400</v>
      </c>
      <c r="R10" s="37">
        <v>400</v>
      </c>
      <c r="S10" s="37">
        <v>400</v>
      </c>
      <c r="T10" s="37">
        <v>400</v>
      </c>
      <c r="U10" s="83">
        <v>400</v>
      </c>
      <c r="V10" s="31"/>
      <c r="W10" s="31"/>
      <c r="X10" s="32"/>
      <c r="Y10" s="33"/>
      <c r="Z10" s="33"/>
      <c r="AA10" s="31"/>
      <c r="AB10" s="31"/>
      <c r="AC10" s="31"/>
      <c r="AD10" s="49"/>
      <c r="AE10" s="33"/>
      <c r="AF10" s="33"/>
      <c r="AG10" s="31"/>
      <c r="AH10" s="31"/>
      <c r="AI10" s="32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</row>
    <row r="11" spans="1:53" x14ac:dyDescent="0.25">
      <c r="A11" s="82" t="s">
        <v>12</v>
      </c>
      <c r="B11" s="108"/>
      <c r="C11" s="37">
        <v>31</v>
      </c>
      <c r="D11" s="37">
        <v>31</v>
      </c>
      <c r="E11" s="37">
        <v>31</v>
      </c>
      <c r="F11" s="83"/>
      <c r="H11" s="82" t="s">
        <v>187</v>
      </c>
      <c r="I11" s="36" t="s">
        <v>189</v>
      </c>
      <c r="J11" s="40">
        <v>31</v>
      </c>
      <c r="K11" s="40">
        <v>28</v>
      </c>
      <c r="L11" s="40">
        <v>31</v>
      </c>
      <c r="M11" s="40">
        <v>30</v>
      </c>
      <c r="N11" s="40">
        <v>31</v>
      </c>
      <c r="O11" s="40">
        <v>30</v>
      </c>
      <c r="P11" s="40">
        <v>31</v>
      </c>
      <c r="Q11" s="40">
        <v>31</v>
      </c>
      <c r="R11" s="40">
        <v>30</v>
      </c>
      <c r="S11" s="40">
        <v>31</v>
      </c>
      <c r="T11" s="40">
        <v>30</v>
      </c>
      <c r="U11" s="121">
        <v>31</v>
      </c>
      <c r="V11" s="31"/>
      <c r="W11" s="31"/>
      <c r="X11" s="32"/>
      <c r="Y11" s="33"/>
      <c r="Z11" s="33"/>
      <c r="AA11" s="31"/>
      <c r="AB11" s="31"/>
      <c r="AC11" s="31"/>
      <c r="AD11" s="49"/>
      <c r="AE11" s="33"/>
      <c r="AF11" s="33"/>
      <c r="AG11" s="31"/>
      <c r="AH11" s="31"/>
      <c r="AI11" s="32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</row>
    <row r="12" spans="1:53" x14ac:dyDescent="0.25">
      <c r="A12" s="82" t="s">
        <v>2</v>
      </c>
      <c r="B12" s="108" t="s">
        <v>3</v>
      </c>
      <c r="C12" s="37">
        <v>9.5</v>
      </c>
      <c r="D12" s="37">
        <v>22.5</v>
      </c>
      <c r="E12" s="37">
        <v>15</v>
      </c>
      <c r="F12" s="83"/>
      <c r="H12" s="82" t="s">
        <v>188</v>
      </c>
      <c r="I12" s="36" t="s">
        <v>189</v>
      </c>
      <c r="J12" s="40">
        <f>31</f>
        <v>31</v>
      </c>
      <c r="K12" s="40">
        <v>28</v>
      </c>
      <c r="L12" s="40">
        <v>31</v>
      </c>
      <c r="M12" s="40">
        <v>30</v>
      </c>
      <c r="N12" s="40">
        <v>31</v>
      </c>
      <c r="O12" s="40">
        <v>2</v>
      </c>
      <c r="P12" s="40">
        <v>31</v>
      </c>
      <c r="Q12" s="40">
        <v>31</v>
      </c>
      <c r="R12" s="40">
        <v>30</v>
      </c>
      <c r="S12" s="40">
        <v>31</v>
      </c>
      <c r="T12" s="40">
        <v>30</v>
      </c>
      <c r="U12" s="121">
        <v>31</v>
      </c>
      <c r="V12" s="31"/>
      <c r="W12" s="31"/>
      <c r="X12" s="32"/>
      <c r="Y12" s="33"/>
      <c r="Z12" s="33"/>
      <c r="AA12" s="31"/>
      <c r="AB12" s="31"/>
      <c r="AC12" s="31"/>
      <c r="AD12" s="49"/>
      <c r="AE12" s="33"/>
      <c r="AF12" s="33"/>
      <c r="AG12" s="31"/>
      <c r="AH12" s="31"/>
      <c r="AI12" s="32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</row>
    <row r="13" spans="1:53" x14ac:dyDescent="0.25">
      <c r="A13" s="82" t="s">
        <v>8</v>
      </c>
      <c r="B13" s="108" t="s">
        <v>3</v>
      </c>
      <c r="C13" s="37">
        <v>2</v>
      </c>
      <c r="D13" s="37">
        <v>5.5</v>
      </c>
      <c r="E13" s="37"/>
      <c r="F13" s="83"/>
      <c r="H13" s="82" t="s">
        <v>121</v>
      </c>
      <c r="I13" s="36" t="s">
        <v>123</v>
      </c>
      <c r="J13" s="102">
        <v>1</v>
      </c>
      <c r="K13" s="102">
        <v>1</v>
      </c>
      <c r="L13" s="102">
        <v>1</v>
      </c>
      <c r="M13" s="102">
        <v>1</v>
      </c>
      <c r="N13" s="102">
        <v>1</v>
      </c>
      <c r="O13" s="102">
        <v>1</v>
      </c>
      <c r="P13" s="102">
        <v>1</v>
      </c>
      <c r="Q13" s="102">
        <v>1</v>
      </c>
      <c r="R13" s="102">
        <v>1</v>
      </c>
      <c r="S13" s="102">
        <v>1</v>
      </c>
      <c r="T13" s="102">
        <v>1</v>
      </c>
      <c r="U13" s="103">
        <v>1</v>
      </c>
      <c r="V13" s="31"/>
      <c r="W13" s="31"/>
      <c r="X13" s="32"/>
      <c r="Y13" s="33"/>
      <c r="Z13" s="33"/>
      <c r="AA13" s="31"/>
      <c r="AB13" s="31"/>
      <c r="AC13" s="31"/>
      <c r="AD13" s="49"/>
      <c r="AE13" s="33"/>
      <c r="AF13" s="33"/>
      <c r="AG13" s="31"/>
      <c r="AH13" s="31"/>
      <c r="AI13" s="32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</row>
    <row r="14" spans="1:53" x14ac:dyDescent="0.25">
      <c r="A14" s="82" t="s">
        <v>4</v>
      </c>
      <c r="B14" s="108" t="s">
        <v>5</v>
      </c>
      <c r="C14" s="37"/>
      <c r="D14" s="37">
        <v>8</v>
      </c>
      <c r="E14" s="37"/>
      <c r="F14" s="83"/>
      <c r="G14" s="126"/>
      <c r="H14" s="82" t="s">
        <v>237</v>
      </c>
      <c r="I14" s="36" t="s">
        <v>40</v>
      </c>
      <c r="J14" s="40">
        <v>4000</v>
      </c>
      <c r="K14" s="37">
        <v>0</v>
      </c>
      <c r="L14" s="37">
        <v>0</v>
      </c>
      <c r="M14" s="37">
        <v>0</v>
      </c>
      <c r="N14" s="37">
        <v>0</v>
      </c>
      <c r="O14" s="37">
        <v>0</v>
      </c>
      <c r="P14" s="37">
        <v>0</v>
      </c>
      <c r="Q14" s="37">
        <v>0</v>
      </c>
      <c r="R14" s="37">
        <v>0</v>
      </c>
      <c r="S14" s="37">
        <v>0</v>
      </c>
      <c r="T14" s="37">
        <v>0</v>
      </c>
      <c r="U14" s="83">
        <v>5600</v>
      </c>
      <c r="V14" s="31"/>
      <c r="W14" s="31"/>
      <c r="X14" s="32"/>
      <c r="Y14" s="33"/>
      <c r="Z14" s="33"/>
      <c r="AA14" s="31"/>
      <c r="AB14" s="31"/>
      <c r="AC14" s="31"/>
      <c r="AD14" s="49"/>
      <c r="AE14" s="33"/>
      <c r="AF14" s="33"/>
      <c r="AG14" s="31"/>
      <c r="AH14" s="31"/>
      <c r="AI14" s="32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</row>
    <row r="15" spans="1:53" x14ac:dyDescent="0.25">
      <c r="A15" s="82" t="s">
        <v>6</v>
      </c>
      <c r="B15" s="108" t="s">
        <v>13</v>
      </c>
      <c r="C15" s="37"/>
      <c r="D15" s="37">
        <v>25</v>
      </c>
      <c r="E15" s="37"/>
      <c r="F15" s="83"/>
      <c r="H15" s="82" t="s">
        <v>24</v>
      </c>
      <c r="I15" s="36" t="s">
        <v>25</v>
      </c>
      <c r="J15" s="37">
        <v>800</v>
      </c>
      <c r="K15" s="37">
        <v>800</v>
      </c>
      <c r="L15" s="37">
        <v>800</v>
      </c>
      <c r="M15" s="37">
        <v>800</v>
      </c>
      <c r="N15" s="37">
        <v>800</v>
      </c>
      <c r="O15" s="37">
        <v>800</v>
      </c>
      <c r="P15" s="37">
        <v>800</v>
      </c>
      <c r="Q15" s="37">
        <v>800</v>
      </c>
      <c r="R15" s="37">
        <v>800</v>
      </c>
      <c r="S15" s="37">
        <v>800</v>
      </c>
      <c r="T15" s="37">
        <v>800</v>
      </c>
      <c r="U15" s="83">
        <v>800</v>
      </c>
      <c r="V15" s="31"/>
      <c r="W15" s="31"/>
      <c r="X15" s="32"/>
      <c r="Y15" s="33"/>
      <c r="Z15" s="33"/>
      <c r="AA15" s="31"/>
      <c r="AB15" s="31"/>
      <c r="AC15" s="31"/>
      <c r="AD15" s="49"/>
      <c r="AE15" s="33"/>
      <c r="AF15" s="33"/>
      <c r="AG15" s="31"/>
      <c r="AH15" s="31"/>
      <c r="AI15" s="32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</row>
    <row r="16" spans="1:53" ht="15.75" thickBot="1" x14ac:dyDescent="0.3">
      <c r="A16" s="82" t="s">
        <v>9</v>
      </c>
      <c r="B16" s="108"/>
      <c r="C16" s="42">
        <v>0.84399999999999997</v>
      </c>
      <c r="D16" s="42">
        <v>0.65600000000000003</v>
      </c>
      <c r="E16" s="37"/>
      <c r="F16" s="83"/>
      <c r="H16" s="84" t="s">
        <v>26</v>
      </c>
      <c r="I16" s="85" t="s">
        <v>37</v>
      </c>
      <c r="J16" s="86">
        <v>400</v>
      </c>
      <c r="K16" s="87">
        <v>400</v>
      </c>
      <c r="L16" s="87">
        <v>400</v>
      </c>
      <c r="M16" s="87">
        <v>400</v>
      </c>
      <c r="N16" s="87">
        <v>400</v>
      </c>
      <c r="O16" s="87">
        <v>400</v>
      </c>
      <c r="P16" s="87">
        <v>400</v>
      </c>
      <c r="Q16" s="87">
        <v>400</v>
      </c>
      <c r="R16" s="87">
        <v>400</v>
      </c>
      <c r="S16" s="87">
        <v>400</v>
      </c>
      <c r="T16" s="87">
        <v>400</v>
      </c>
      <c r="U16" s="88">
        <v>400</v>
      </c>
      <c r="V16" s="31"/>
      <c r="W16" s="31"/>
      <c r="X16" s="32"/>
      <c r="Y16" s="33"/>
      <c r="Z16" s="33"/>
      <c r="AA16" s="31"/>
      <c r="AB16" s="31"/>
      <c r="AC16" s="31"/>
      <c r="AD16" s="49"/>
      <c r="AE16" s="33"/>
      <c r="AF16" s="33"/>
      <c r="AG16" s="31"/>
      <c r="AH16" s="31"/>
      <c r="AI16" s="32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</row>
    <row r="17" spans="1:52" x14ac:dyDescent="0.25">
      <c r="A17" s="82" t="s">
        <v>10</v>
      </c>
      <c r="B17" s="108"/>
      <c r="C17" s="90">
        <f>$J$13*C13/C12*C16</f>
        <v>0.17768421052631578</v>
      </c>
      <c r="D17" s="90">
        <f>$J$13*D13/D12*D16</f>
        <v>0.16035555555555556</v>
      </c>
      <c r="E17" s="37"/>
      <c r="F17" s="83"/>
      <c r="I17"/>
      <c r="V17" s="31"/>
      <c r="W17" s="31"/>
      <c r="X17" s="32"/>
      <c r="Y17" s="33"/>
      <c r="Z17" s="33"/>
      <c r="AA17" s="31"/>
      <c r="AB17" s="31"/>
      <c r="AC17" s="31"/>
      <c r="AD17" s="49"/>
      <c r="AE17" s="33"/>
      <c r="AF17" s="33"/>
      <c r="AG17" s="31"/>
      <c r="AH17" s="31"/>
      <c r="AI17" s="32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  <c r="AZ17" s="31"/>
    </row>
    <row r="18" spans="1:52" x14ac:dyDescent="0.25">
      <c r="A18" s="82" t="s">
        <v>66</v>
      </c>
      <c r="B18" s="108"/>
      <c r="C18" s="90">
        <f>SUM(C16:C17)</f>
        <v>1.0216842105263158</v>
      </c>
      <c r="D18" s="90">
        <f>SUM(D16:D17)</f>
        <v>0.81635555555555561</v>
      </c>
      <c r="E18" s="37"/>
      <c r="F18" s="83"/>
      <c r="H18" s="97" t="s">
        <v>241</v>
      </c>
      <c r="I18" s="135" t="s">
        <v>46</v>
      </c>
      <c r="J18" s="55" t="str">
        <f>J3</f>
        <v>JAN</v>
      </c>
      <c r="K18" s="55" t="str">
        <f t="shared" ref="K18:U18" si="0">K3</f>
        <v>FEB</v>
      </c>
      <c r="L18" s="55" t="str">
        <f t="shared" si="0"/>
        <v>MAR</v>
      </c>
      <c r="M18" s="55" t="str">
        <f t="shared" si="0"/>
        <v>APR</v>
      </c>
      <c r="N18" s="55" t="str">
        <f t="shared" si="0"/>
        <v>MAJ</v>
      </c>
      <c r="O18" s="55" t="str">
        <f t="shared" si="0"/>
        <v>JUN</v>
      </c>
      <c r="P18" s="55" t="str">
        <f t="shared" si="0"/>
        <v>JUL</v>
      </c>
      <c r="Q18" s="55" t="str">
        <f t="shared" si="0"/>
        <v>AUG</v>
      </c>
      <c r="R18" s="55" t="str">
        <f t="shared" si="0"/>
        <v>SEP</v>
      </c>
      <c r="S18" s="55" t="str">
        <f>S3</f>
        <v>OKT</v>
      </c>
      <c r="T18" s="55" t="str">
        <f t="shared" si="0"/>
        <v>NOV</v>
      </c>
      <c r="U18" s="55" t="str">
        <f t="shared" si="0"/>
        <v>DEC</v>
      </c>
      <c r="V18" s="31"/>
      <c r="W18" s="31"/>
      <c r="X18" s="32"/>
      <c r="Y18" s="33"/>
      <c r="Z18" s="33"/>
      <c r="AA18" s="31"/>
      <c r="AB18" s="31"/>
      <c r="AC18" s="31"/>
      <c r="AD18" s="49"/>
      <c r="AE18" s="33"/>
      <c r="AF18" s="33"/>
      <c r="AG18" s="31"/>
      <c r="AH18" s="31"/>
      <c r="AI18" s="32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  <c r="AZ18" s="31"/>
    </row>
    <row r="19" spans="1:52" x14ac:dyDescent="0.25">
      <c r="A19" s="82" t="s">
        <v>11</v>
      </c>
      <c r="B19" s="108"/>
      <c r="C19" s="37"/>
      <c r="D19" s="43">
        <v>0.22470000000000001</v>
      </c>
      <c r="E19" s="37"/>
      <c r="F19" s="83"/>
      <c r="H19" s="115" t="s">
        <v>242</v>
      </c>
      <c r="I19" s="115" t="s">
        <v>40</v>
      </c>
      <c r="J19">
        <v>3000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5000</v>
      </c>
      <c r="V19" s="31"/>
      <c r="W19" s="31"/>
      <c r="X19" s="32"/>
      <c r="Y19" s="33"/>
      <c r="Z19" s="33"/>
      <c r="AA19" s="31"/>
      <c r="AB19" s="31"/>
      <c r="AC19" s="31"/>
      <c r="AD19" s="49"/>
      <c r="AE19" s="33"/>
      <c r="AF19" s="33"/>
      <c r="AG19" s="31"/>
      <c r="AH19" s="31"/>
      <c r="AI19" s="32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</row>
    <row r="20" spans="1:52" ht="15.75" thickBot="1" x14ac:dyDescent="0.3">
      <c r="A20" s="84" t="s">
        <v>204</v>
      </c>
      <c r="B20" s="109" t="s">
        <v>18</v>
      </c>
      <c r="C20" s="87">
        <v>30</v>
      </c>
      <c r="D20" s="87">
        <v>50</v>
      </c>
      <c r="E20" s="87">
        <v>10</v>
      </c>
      <c r="F20" s="88">
        <v>10</v>
      </c>
      <c r="H20" s="115" t="s">
        <v>316</v>
      </c>
      <c r="I20" s="4" t="s">
        <v>16</v>
      </c>
      <c r="J20" s="136">
        <f>J6-J21</f>
        <v>3000</v>
      </c>
      <c r="K20" s="111">
        <f t="shared" ref="K20:U20" si="1">K6-K21</f>
        <v>3000</v>
      </c>
      <c r="L20" s="111">
        <f t="shared" si="1"/>
        <v>3000</v>
      </c>
      <c r="M20" s="111">
        <f t="shared" si="1"/>
        <v>3000</v>
      </c>
      <c r="N20" s="111">
        <f t="shared" si="1"/>
        <v>3000</v>
      </c>
      <c r="O20" s="111">
        <f t="shared" si="1"/>
        <v>3000</v>
      </c>
      <c r="P20" s="111">
        <f t="shared" si="1"/>
        <v>3000</v>
      </c>
      <c r="Q20" s="111">
        <f t="shared" si="1"/>
        <v>3000</v>
      </c>
      <c r="R20" s="111">
        <f t="shared" si="1"/>
        <v>3000</v>
      </c>
      <c r="S20" s="111">
        <f t="shared" si="1"/>
        <v>3000</v>
      </c>
      <c r="T20" s="111">
        <f t="shared" si="1"/>
        <v>3000</v>
      </c>
      <c r="U20" s="111">
        <f t="shared" si="1"/>
        <v>3000</v>
      </c>
      <c r="V20" s="31"/>
      <c r="W20" s="31"/>
      <c r="X20" s="32"/>
      <c r="Y20" s="33"/>
      <c r="Z20" s="33"/>
      <c r="AA20" s="31"/>
      <c r="AB20" s="31"/>
      <c r="AC20" s="31"/>
      <c r="AD20" s="49"/>
      <c r="AE20" s="33"/>
      <c r="AF20" s="33"/>
      <c r="AG20" s="31"/>
      <c r="AH20" s="31"/>
      <c r="AI20" s="32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</row>
    <row r="21" spans="1:52" ht="15.75" thickBot="1" x14ac:dyDescent="0.3">
      <c r="A21" s="39"/>
      <c r="B21" s="108"/>
      <c r="C21" s="37"/>
      <c r="D21" s="37"/>
      <c r="E21" s="37"/>
      <c r="F21" s="38"/>
      <c r="H21" s="115" t="s">
        <v>317</v>
      </c>
      <c r="I21" s="4" t="s">
        <v>16</v>
      </c>
      <c r="J21">
        <v>3000</v>
      </c>
      <c r="K21">
        <v>3000</v>
      </c>
      <c r="L21">
        <v>3000</v>
      </c>
      <c r="M21">
        <v>3000</v>
      </c>
      <c r="N21">
        <v>3000</v>
      </c>
      <c r="O21">
        <v>3000</v>
      </c>
      <c r="P21">
        <v>3000</v>
      </c>
      <c r="Q21">
        <v>3000</v>
      </c>
      <c r="R21">
        <v>3000</v>
      </c>
      <c r="S21">
        <v>3000</v>
      </c>
      <c r="T21">
        <v>3000</v>
      </c>
      <c r="U21">
        <v>3000</v>
      </c>
      <c r="V21" s="31"/>
      <c r="W21" s="31"/>
      <c r="X21" s="32"/>
      <c r="Y21" s="33"/>
      <c r="Z21" s="33"/>
      <c r="AA21" s="31"/>
      <c r="AB21" s="31"/>
      <c r="AC21" s="31"/>
      <c r="AD21" s="49"/>
      <c r="AE21" s="33"/>
      <c r="AF21" s="33"/>
      <c r="AG21" s="31"/>
      <c r="AH21" s="31"/>
      <c r="AI21" s="32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</row>
    <row r="22" spans="1:52" x14ac:dyDescent="0.25">
      <c r="A22" s="91" t="s">
        <v>15</v>
      </c>
      <c r="B22" s="110"/>
      <c r="C22" s="80" t="s">
        <v>214</v>
      </c>
      <c r="D22" s="80" t="s">
        <v>213</v>
      </c>
      <c r="E22" s="80" t="s">
        <v>203</v>
      </c>
      <c r="F22" s="89" t="s">
        <v>19</v>
      </c>
      <c r="H22" s="115" t="s">
        <v>319</v>
      </c>
      <c r="I22" s="4" t="s">
        <v>16</v>
      </c>
      <c r="J22">
        <v>3000</v>
      </c>
      <c r="K22">
        <v>3000</v>
      </c>
      <c r="L22">
        <v>2000</v>
      </c>
      <c r="M22">
        <v>2000</v>
      </c>
      <c r="N22">
        <v>2000</v>
      </c>
      <c r="O22">
        <v>2000</v>
      </c>
      <c r="P22">
        <v>2000</v>
      </c>
      <c r="Q22">
        <v>2000</v>
      </c>
      <c r="R22">
        <v>2000</v>
      </c>
      <c r="S22">
        <v>2000</v>
      </c>
      <c r="T22">
        <v>2000</v>
      </c>
      <c r="U22">
        <v>2000</v>
      </c>
      <c r="V22" s="31"/>
      <c r="W22" s="31"/>
      <c r="X22" s="32"/>
      <c r="Y22" s="33"/>
      <c r="Z22" s="33"/>
      <c r="AA22" s="31"/>
      <c r="AB22" s="31"/>
      <c r="AC22" s="31"/>
      <c r="AD22" s="49"/>
      <c r="AE22" s="33"/>
      <c r="AF22" s="33"/>
      <c r="AG22" s="31"/>
      <c r="AH22" s="31"/>
      <c r="AI22" s="32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</row>
    <row r="23" spans="1:52" x14ac:dyDescent="0.25">
      <c r="A23" s="82" t="s">
        <v>215</v>
      </c>
      <c r="B23" s="108" t="s">
        <v>211</v>
      </c>
      <c r="C23" s="37">
        <v>50000</v>
      </c>
      <c r="D23" s="37">
        <v>40000</v>
      </c>
      <c r="E23" s="37"/>
      <c r="F23" s="83"/>
      <c r="H23" s="115" t="s">
        <v>320</v>
      </c>
      <c r="I23" s="4" t="s">
        <v>16</v>
      </c>
      <c r="J23">
        <v>3000</v>
      </c>
      <c r="K23">
        <v>3000</v>
      </c>
      <c r="L23">
        <v>3000</v>
      </c>
      <c r="M23">
        <v>3000</v>
      </c>
      <c r="N23">
        <v>3000</v>
      </c>
      <c r="O23">
        <v>3000</v>
      </c>
      <c r="P23">
        <v>3000</v>
      </c>
      <c r="Q23">
        <v>3000</v>
      </c>
      <c r="R23">
        <v>3000</v>
      </c>
      <c r="S23">
        <v>3000</v>
      </c>
      <c r="T23">
        <v>3000</v>
      </c>
      <c r="U23">
        <v>3000</v>
      </c>
      <c r="V23" s="31"/>
      <c r="W23" s="31"/>
      <c r="X23" s="32"/>
      <c r="Y23" s="33"/>
      <c r="Z23" s="33"/>
      <c r="AA23" s="31"/>
      <c r="AB23" s="31"/>
      <c r="AC23" s="31"/>
      <c r="AD23" s="49"/>
      <c r="AE23" s="33"/>
      <c r="AF23" s="33"/>
      <c r="AG23" s="31"/>
      <c r="AH23" s="31"/>
      <c r="AI23" s="32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  <c r="AZ23" s="31"/>
    </row>
    <row r="24" spans="1:52" x14ac:dyDescent="0.25">
      <c r="A24" s="82" t="s">
        <v>216</v>
      </c>
      <c r="B24" s="108" t="s">
        <v>211</v>
      </c>
      <c r="C24" s="111">
        <f>FfastMinÅr</f>
        <v>50000</v>
      </c>
      <c r="D24" s="37">
        <v>45000</v>
      </c>
      <c r="E24" s="37">
        <v>10000</v>
      </c>
      <c r="F24" s="83"/>
      <c r="H24" s="115" t="s">
        <v>253</v>
      </c>
      <c r="I24" s="4" t="s">
        <v>16</v>
      </c>
      <c r="J24">
        <v>1000</v>
      </c>
      <c r="K24">
        <v>1000</v>
      </c>
      <c r="L24">
        <v>2000</v>
      </c>
      <c r="M24">
        <v>2000</v>
      </c>
      <c r="N24">
        <v>2000</v>
      </c>
      <c r="O24">
        <v>2000</v>
      </c>
      <c r="P24">
        <v>2000</v>
      </c>
      <c r="Q24">
        <v>2000</v>
      </c>
      <c r="R24">
        <v>2000</v>
      </c>
      <c r="S24">
        <v>2000</v>
      </c>
      <c r="T24">
        <v>2000</v>
      </c>
      <c r="U24">
        <v>2000</v>
      </c>
      <c r="V24" s="31"/>
      <c r="W24" s="31"/>
      <c r="X24" s="32"/>
      <c r="Y24" s="33"/>
      <c r="Z24" s="33"/>
      <c r="AA24" s="31"/>
      <c r="AB24" s="31"/>
      <c r="AC24" s="31"/>
      <c r="AD24" s="49"/>
      <c r="AE24" s="33"/>
      <c r="AF24" s="33"/>
      <c r="AG24" s="31"/>
      <c r="AH24" s="31"/>
      <c r="AI24" s="32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1"/>
    </row>
    <row r="25" spans="1:52" x14ac:dyDescent="0.25">
      <c r="A25" s="82" t="s">
        <v>38</v>
      </c>
      <c r="B25" s="108" t="s">
        <v>23</v>
      </c>
      <c r="C25" s="37">
        <v>400</v>
      </c>
      <c r="D25" s="37"/>
      <c r="E25" s="37">
        <f>-6.5*3.6</f>
        <v>-23.400000000000002</v>
      </c>
      <c r="F25" s="83">
        <v>0</v>
      </c>
      <c r="H25" s="115" t="s">
        <v>252</v>
      </c>
      <c r="I25" s="4" t="s">
        <v>16</v>
      </c>
      <c r="J25">
        <v>1000</v>
      </c>
      <c r="K25">
        <v>1000</v>
      </c>
      <c r="L25">
        <v>3000</v>
      </c>
      <c r="M25">
        <v>3000</v>
      </c>
      <c r="N25">
        <v>3000</v>
      </c>
      <c r="O25">
        <v>3000</v>
      </c>
      <c r="P25">
        <v>3000</v>
      </c>
      <c r="Q25">
        <v>3000</v>
      </c>
      <c r="R25">
        <v>3000</v>
      </c>
      <c r="S25">
        <v>3000</v>
      </c>
      <c r="T25">
        <v>3000</v>
      </c>
      <c r="U25">
        <v>3000</v>
      </c>
      <c r="V25" s="31"/>
      <c r="W25" s="31"/>
      <c r="X25" s="32"/>
      <c r="Y25" s="33"/>
      <c r="Z25" s="33"/>
      <c r="AA25" s="31"/>
      <c r="AB25" s="31"/>
      <c r="AC25" s="31"/>
      <c r="AD25" s="49"/>
      <c r="AE25" s="33"/>
      <c r="AF25" s="33"/>
      <c r="AG25" s="31"/>
      <c r="AH25" s="31"/>
      <c r="AI25" s="32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  <c r="AZ25" s="31"/>
    </row>
    <row r="26" spans="1:52" x14ac:dyDescent="0.25">
      <c r="A26" s="82" t="s">
        <v>28</v>
      </c>
      <c r="B26" s="108" t="s">
        <v>29</v>
      </c>
      <c r="C26" s="37">
        <v>10.199999999999999</v>
      </c>
      <c r="D26" s="112">
        <v>10.5</v>
      </c>
      <c r="E26" s="37">
        <v>14</v>
      </c>
      <c r="F26" s="83">
        <v>3.6</v>
      </c>
      <c r="H26" s="127" t="s">
        <v>243</v>
      </c>
      <c r="I26" s="127" t="s">
        <v>244</v>
      </c>
      <c r="J26" s="128">
        <v>1</v>
      </c>
      <c r="K26" s="128">
        <v>1</v>
      </c>
      <c r="L26" s="128">
        <v>1</v>
      </c>
      <c r="M26" s="128">
        <v>1</v>
      </c>
      <c r="N26" s="128">
        <v>1</v>
      </c>
      <c r="O26" s="128">
        <v>1</v>
      </c>
      <c r="P26" s="128">
        <v>1</v>
      </c>
      <c r="Q26" s="128">
        <v>1</v>
      </c>
      <c r="R26" s="128">
        <v>1</v>
      </c>
      <c r="S26" s="128">
        <v>1</v>
      </c>
      <c r="T26" s="128">
        <v>1</v>
      </c>
      <c r="U26" s="128">
        <v>1</v>
      </c>
      <c r="V26" s="31"/>
      <c r="W26" s="31"/>
      <c r="X26" s="32"/>
      <c r="Y26" s="33"/>
      <c r="Z26" s="33"/>
      <c r="AA26" s="31"/>
      <c r="AB26" s="31"/>
      <c r="AC26" s="31"/>
      <c r="AD26" s="49"/>
      <c r="AE26" s="33"/>
      <c r="AF26" s="33"/>
      <c r="AG26" s="31"/>
      <c r="AH26" s="31"/>
      <c r="AI26" s="32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  <c r="AZ26" s="31"/>
    </row>
    <row r="27" spans="1:52" x14ac:dyDescent="0.25">
      <c r="A27" s="82" t="s">
        <v>35</v>
      </c>
      <c r="B27" s="108" t="s">
        <v>33</v>
      </c>
      <c r="C27" s="37">
        <v>37</v>
      </c>
      <c r="D27" s="37"/>
      <c r="E27" s="37"/>
      <c r="F27" s="83"/>
      <c r="H27" s="127" t="s">
        <v>247</v>
      </c>
      <c r="I27" s="131" t="s">
        <v>40</v>
      </c>
      <c r="J27" s="128">
        <v>100</v>
      </c>
      <c r="K27" s="128">
        <v>100</v>
      </c>
      <c r="L27" s="128">
        <v>100</v>
      </c>
      <c r="M27" s="128">
        <v>100</v>
      </c>
      <c r="N27" s="128">
        <v>100</v>
      </c>
      <c r="O27" s="128">
        <v>100</v>
      </c>
      <c r="P27" s="128">
        <v>100</v>
      </c>
      <c r="Q27" s="128">
        <v>100</v>
      </c>
      <c r="R27" s="128">
        <v>100</v>
      </c>
      <c r="S27" s="128">
        <v>100</v>
      </c>
      <c r="T27" s="128">
        <v>100</v>
      </c>
      <c r="U27" s="128">
        <v>100</v>
      </c>
      <c r="V27" s="14"/>
      <c r="W27" s="31"/>
      <c r="X27" s="32"/>
      <c r="Y27" s="33"/>
      <c r="Z27" s="33"/>
      <c r="AA27" s="31"/>
      <c r="AB27" s="31"/>
      <c r="AC27" s="31"/>
      <c r="AD27" s="49"/>
      <c r="AE27" s="33"/>
      <c r="AF27" s="33"/>
      <c r="AG27" s="31"/>
      <c r="AH27" s="31"/>
      <c r="AI27" s="32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1"/>
    </row>
    <row r="28" spans="1:52" x14ac:dyDescent="0.25">
      <c r="A28" s="82" t="s">
        <v>36</v>
      </c>
      <c r="B28" s="108" t="s">
        <v>33</v>
      </c>
      <c r="C28" s="37">
        <v>42.5</v>
      </c>
      <c r="D28" s="37"/>
      <c r="E28" s="37"/>
      <c r="F28" s="83"/>
      <c r="H28" s="97" t="s">
        <v>132</v>
      </c>
      <c r="I28" s="135" t="s">
        <v>46</v>
      </c>
      <c r="J28" s="17" t="str">
        <f t="shared" ref="J28:U28" si="2">J3</f>
        <v>JAN</v>
      </c>
      <c r="K28" s="17" t="str">
        <f t="shared" si="2"/>
        <v>FEB</v>
      </c>
      <c r="L28" s="17" t="str">
        <f t="shared" si="2"/>
        <v>MAR</v>
      </c>
      <c r="M28" s="17" t="str">
        <f t="shared" si="2"/>
        <v>APR</v>
      </c>
      <c r="N28" s="17" t="str">
        <f t="shared" si="2"/>
        <v>MAJ</v>
      </c>
      <c r="O28" s="17" t="str">
        <f t="shared" si="2"/>
        <v>JUN</v>
      </c>
      <c r="P28" s="17" t="str">
        <f t="shared" si="2"/>
        <v>JUL</v>
      </c>
      <c r="Q28" s="17" t="str">
        <f t="shared" si="2"/>
        <v>AUG</v>
      </c>
      <c r="R28" s="17" t="str">
        <f t="shared" si="2"/>
        <v>SEP</v>
      </c>
      <c r="S28" s="17" t="str">
        <f t="shared" si="2"/>
        <v>OKT</v>
      </c>
      <c r="T28" s="17" t="str">
        <f t="shared" si="2"/>
        <v>NOV</v>
      </c>
      <c r="U28" s="17" t="str">
        <f t="shared" si="2"/>
        <v>DEC</v>
      </c>
      <c r="V28" s="31"/>
      <c r="W28" s="31"/>
      <c r="X28" s="32"/>
      <c r="Y28" s="33"/>
      <c r="Z28" s="33"/>
      <c r="AA28" s="31"/>
      <c r="AB28" s="31"/>
      <c r="AC28" s="31"/>
      <c r="AD28" s="49"/>
      <c r="AE28" s="33"/>
      <c r="AF28" s="33"/>
      <c r="AG28" s="31"/>
      <c r="AH28" s="31"/>
      <c r="AI28" s="32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</row>
    <row r="29" spans="1:52" ht="15.75" thickBot="1" x14ac:dyDescent="0.3">
      <c r="A29" s="84" t="s">
        <v>127</v>
      </c>
      <c r="B29" s="109" t="s">
        <v>29</v>
      </c>
      <c r="C29" s="87">
        <v>10.6</v>
      </c>
      <c r="D29" s="87"/>
      <c r="E29" s="87"/>
      <c r="F29" s="88"/>
      <c r="H29" t="s">
        <v>207</v>
      </c>
      <c r="I29" s="7"/>
      <c r="J29" s="40">
        <v>31</v>
      </c>
      <c r="K29" s="96">
        <v>28</v>
      </c>
      <c r="L29" s="96">
        <v>31</v>
      </c>
      <c r="M29" s="96">
        <v>30</v>
      </c>
      <c r="N29" s="96">
        <v>31</v>
      </c>
      <c r="O29" s="96">
        <v>30</v>
      </c>
      <c r="P29" s="96">
        <v>31</v>
      </c>
      <c r="Q29" s="96">
        <v>31</v>
      </c>
      <c r="R29" s="96">
        <v>30</v>
      </c>
      <c r="S29" s="96">
        <v>31</v>
      </c>
      <c r="T29" s="96">
        <v>30</v>
      </c>
      <c r="U29" s="37">
        <v>31</v>
      </c>
      <c r="V29" s="31"/>
      <c r="W29" s="31"/>
      <c r="X29" s="32"/>
      <c r="Y29" s="33"/>
      <c r="Z29" s="33"/>
      <c r="AA29" s="31"/>
      <c r="AB29" s="31"/>
      <c r="AC29" s="31"/>
      <c r="AD29" s="49"/>
      <c r="AE29" s="33"/>
      <c r="AF29" s="33"/>
      <c r="AG29" s="31"/>
      <c r="AH29" s="31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1"/>
      <c r="AZ29" s="31"/>
    </row>
    <row r="30" spans="1:52" ht="15.75" thickBot="1" x14ac:dyDescent="0.3">
      <c r="H30" t="s">
        <v>202</v>
      </c>
      <c r="I30" s="12" t="s">
        <v>29</v>
      </c>
      <c r="J30" s="98">
        <f t="shared" ref="J30:U30" si="3">(SUM(J20:J21)*LHVFossilFast+SUM(J22:J23)*J9+SUM(J24:J25)*LHVbiogent)/SUM(J20:J25)</f>
        <v>10.871428571428572</v>
      </c>
      <c r="K30" s="98">
        <f t="shared" si="3"/>
        <v>10.871428571428572</v>
      </c>
      <c r="L30" s="98">
        <f t="shared" si="3"/>
        <v>11.481249999999999</v>
      </c>
      <c r="M30" s="98">
        <f t="shared" si="3"/>
        <v>11.481249999999999</v>
      </c>
      <c r="N30" s="98">
        <f t="shared" si="3"/>
        <v>11.481249999999999</v>
      </c>
      <c r="O30" s="98">
        <f t="shared" si="3"/>
        <v>11.481249999999999</v>
      </c>
      <c r="P30" s="98">
        <f t="shared" si="3"/>
        <v>11.481249999999999</v>
      </c>
      <c r="Q30" s="98">
        <f t="shared" si="3"/>
        <v>11.481249999999999</v>
      </c>
      <c r="R30" s="98">
        <f t="shared" si="3"/>
        <v>11.481249999999999</v>
      </c>
      <c r="S30" s="98">
        <f t="shared" si="3"/>
        <v>11.481249999999999</v>
      </c>
      <c r="T30" s="98">
        <f t="shared" si="3"/>
        <v>11.481249999999999</v>
      </c>
      <c r="U30" s="98">
        <f t="shared" si="3"/>
        <v>11.481249999999999</v>
      </c>
      <c r="V30" s="31"/>
      <c r="W30" s="31"/>
      <c r="X30" s="32"/>
      <c r="Y30" s="33"/>
      <c r="Z30" s="33"/>
      <c r="AA30" s="31"/>
      <c r="AB30" s="31"/>
      <c r="AC30" s="31"/>
      <c r="AD30" s="49"/>
      <c r="AE30" s="33"/>
      <c r="AF30" s="33"/>
      <c r="AG30" s="31"/>
      <c r="AH30" s="31"/>
      <c r="AI30" s="32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</row>
    <row r="31" spans="1:52" x14ac:dyDescent="0.25">
      <c r="A31" s="91" t="s">
        <v>212</v>
      </c>
      <c r="B31" s="110"/>
      <c r="C31" s="94"/>
      <c r="D31" s="94"/>
      <c r="E31" s="94"/>
      <c r="F31" s="93"/>
      <c r="H31" t="s">
        <v>205</v>
      </c>
      <c r="I31" s="12" t="s">
        <v>16</v>
      </c>
      <c r="J31" s="99">
        <f>SUM(J20:J25)</f>
        <v>14000</v>
      </c>
      <c r="K31" s="99">
        <f t="shared" ref="K31:U31" si="4">SUM(K20:K25)</f>
        <v>14000</v>
      </c>
      <c r="L31" s="99">
        <f t="shared" si="4"/>
        <v>16000</v>
      </c>
      <c r="M31" s="99">
        <f t="shared" si="4"/>
        <v>16000</v>
      </c>
      <c r="N31" s="99">
        <f t="shared" si="4"/>
        <v>16000</v>
      </c>
      <c r="O31" s="99">
        <f t="shared" si="4"/>
        <v>16000</v>
      </c>
      <c r="P31" s="99">
        <f t="shared" si="4"/>
        <v>16000</v>
      </c>
      <c r="Q31" s="99">
        <f t="shared" si="4"/>
        <v>16000</v>
      </c>
      <c r="R31" s="99">
        <f t="shared" si="4"/>
        <v>16000</v>
      </c>
      <c r="S31" s="99">
        <f t="shared" si="4"/>
        <v>16000</v>
      </c>
      <c r="T31" s="99">
        <f t="shared" si="4"/>
        <v>16000</v>
      </c>
      <c r="U31" s="99">
        <f t="shared" si="4"/>
        <v>16000</v>
      </c>
      <c r="V31" s="31"/>
      <c r="W31" s="31"/>
      <c r="X31" s="32"/>
      <c r="Y31"/>
      <c r="Z31"/>
      <c r="AA31" s="31"/>
      <c r="AB31" s="31"/>
      <c r="AC31" s="31"/>
      <c r="AD31" s="49"/>
      <c r="AE31" s="33"/>
      <c r="AF31" s="33"/>
      <c r="AG31" s="31"/>
      <c r="AH31" s="31"/>
      <c r="AI31" s="32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</row>
    <row r="32" spans="1:52" x14ac:dyDescent="0.25">
      <c r="A32" s="82" t="s">
        <v>27</v>
      </c>
      <c r="B32" s="108" t="s">
        <v>22</v>
      </c>
      <c r="C32" s="37">
        <v>311</v>
      </c>
      <c r="D32" s="37"/>
      <c r="E32" s="37"/>
      <c r="F32" s="83"/>
      <c r="H32" t="s">
        <v>206</v>
      </c>
      <c r="I32" s="12" t="s">
        <v>51</v>
      </c>
      <c r="J32" s="99">
        <f>J31*J30/3.6</f>
        <v>42277.777777777774</v>
      </c>
      <c r="K32" s="99">
        <f t="shared" ref="K32:U32" si="5">K31*K30/3.6</f>
        <v>42277.777777777774</v>
      </c>
      <c r="L32" s="99">
        <f t="shared" si="5"/>
        <v>51027.777777777774</v>
      </c>
      <c r="M32" s="99">
        <f t="shared" si="5"/>
        <v>51027.777777777774</v>
      </c>
      <c r="N32" s="99">
        <f t="shared" si="5"/>
        <v>51027.777777777774</v>
      </c>
      <c r="O32" s="99">
        <f t="shared" si="5"/>
        <v>51027.777777777774</v>
      </c>
      <c r="P32" s="99">
        <f t="shared" si="5"/>
        <v>51027.777777777774</v>
      </c>
      <c r="Q32" s="99">
        <f t="shared" si="5"/>
        <v>51027.777777777774</v>
      </c>
      <c r="R32" s="99">
        <f t="shared" si="5"/>
        <v>51027.777777777774</v>
      </c>
      <c r="S32" s="99">
        <f t="shared" si="5"/>
        <v>51027.777777777774</v>
      </c>
      <c r="T32" s="99">
        <f t="shared" si="5"/>
        <v>51027.777777777774</v>
      </c>
      <c r="U32" s="99">
        <f t="shared" si="5"/>
        <v>51027.777777777774</v>
      </c>
      <c r="V32" s="31"/>
      <c r="W32" s="31"/>
      <c r="X32" s="32"/>
      <c r="Y32" s="33"/>
      <c r="Z32" s="33"/>
      <c r="AA32" s="31"/>
      <c r="AB32" s="31"/>
      <c r="AC32" s="31"/>
      <c r="AD32" s="49"/>
      <c r="AE32" s="33"/>
      <c r="AF32" s="33"/>
      <c r="AG32" s="31"/>
      <c r="AH32" s="31"/>
      <c r="AI32" s="32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</row>
    <row r="33" spans="1:52" x14ac:dyDescent="0.25">
      <c r="A33" s="82" t="s">
        <v>218</v>
      </c>
      <c r="B33" s="108" t="s">
        <v>22</v>
      </c>
      <c r="C33" s="96">
        <v>5000</v>
      </c>
      <c r="D33" s="37"/>
      <c r="E33" s="37"/>
      <c r="F33" s="83"/>
      <c r="H33" t="s">
        <v>219</v>
      </c>
      <c r="I33" s="12"/>
      <c r="J33" s="101">
        <f>SUM(J20:J21)/SUM(J31)</f>
        <v>0.42857142857142855</v>
      </c>
      <c r="K33" s="101">
        <f t="shared" ref="K33:U33" si="6">SUM(K20:K21)/SUM(K31)</f>
        <v>0.42857142857142855</v>
      </c>
      <c r="L33" s="101">
        <f t="shared" si="6"/>
        <v>0.375</v>
      </c>
      <c r="M33" s="101">
        <f t="shared" si="6"/>
        <v>0.375</v>
      </c>
      <c r="N33" s="101">
        <f t="shared" si="6"/>
        <v>0.375</v>
      </c>
      <c r="O33" s="101">
        <f t="shared" si="6"/>
        <v>0.375</v>
      </c>
      <c r="P33" s="101">
        <f t="shared" si="6"/>
        <v>0.375</v>
      </c>
      <c r="Q33" s="101">
        <f t="shared" si="6"/>
        <v>0.375</v>
      </c>
      <c r="R33" s="101">
        <f t="shared" si="6"/>
        <v>0.375</v>
      </c>
      <c r="S33" s="101">
        <f t="shared" si="6"/>
        <v>0.375</v>
      </c>
      <c r="T33" s="101">
        <f t="shared" si="6"/>
        <v>0.375</v>
      </c>
      <c r="U33" s="101">
        <f t="shared" si="6"/>
        <v>0.375</v>
      </c>
      <c r="V33" s="31"/>
      <c r="W33" s="31"/>
      <c r="X33" s="32"/>
      <c r="Y33" s="33"/>
      <c r="Z33" s="33"/>
      <c r="AA33" s="31"/>
      <c r="AB33" s="31"/>
      <c r="AC33" s="31"/>
      <c r="AD33" s="49"/>
      <c r="AE33" s="33"/>
      <c r="AF33" s="33"/>
      <c r="AG33" s="31"/>
      <c r="AH33" s="31"/>
      <c r="AI33" s="32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</row>
    <row r="34" spans="1:52" x14ac:dyDescent="0.25">
      <c r="A34" s="82" t="s">
        <v>39</v>
      </c>
      <c r="B34" s="108" t="s">
        <v>25</v>
      </c>
      <c r="C34" s="37">
        <v>4</v>
      </c>
      <c r="D34" s="37"/>
      <c r="E34" s="37"/>
      <c r="F34" s="83"/>
      <c r="H34" t="s">
        <v>220</v>
      </c>
      <c r="I34" s="12"/>
      <c r="J34" s="101">
        <f>SUM(J22:J23)/J31</f>
        <v>0.42857142857142855</v>
      </c>
      <c r="K34" s="101">
        <f t="shared" ref="K34:U34" si="7">SUM(K22:K23)/K31</f>
        <v>0.42857142857142855</v>
      </c>
      <c r="L34" s="101">
        <f t="shared" si="7"/>
        <v>0.3125</v>
      </c>
      <c r="M34" s="101">
        <f t="shared" si="7"/>
        <v>0.3125</v>
      </c>
      <c r="N34" s="101">
        <f t="shared" si="7"/>
        <v>0.3125</v>
      </c>
      <c r="O34" s="101">
        <f t="shared" si="7"/>
        <v>0.3125</v>
      </c>
      <c r="P34" s="101">
        <f t="shared" si="7"/>
        <v>0.3125</v>
      </c>
      <c r="Q34" s="101">
        <f t="shared" si="7"/>
        <v>0.3125</v>
      </c>
      <c r="R34" s="101">
        <f t="shared" si="7"/>
        <v>0.3125</v>
      </c>
      <c r="S34" s="101">
        <f t="shared" si="7"/>
        <v>0.3125</v>
      </c>
      <c r="T34" s="101">
        <f t="shared" si="7"/>
        <v>0.3125</v>
      </c>
      <c r="U34" s="101">
        <f t="shared" si="7"/>
        <v>0.3125</v>
      </c>
      <c r="V34" s="31"/>
      <c r="W34" s="31"/>
      <c r="X34" s="32"/>
      <c r="Y34" s="33"/>
      <c r="Z34" s="33"/>
      <c r="AA34" s="31"/>
      <c r="AB34" s="31"/>
      <c r="AC34" s="31"/>
      <c r="AD34" s="49"/>
      <c r="AE34" s="33"/>
      <c r="AF34" s="33"/>
      <c r="AG34" s="31"/>
      <c r="AH34" s="31"/>
      <c r="AI34" s="32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</row>
    <row r="35" spans="1:52" x14ac:dyDescent="0.25">
      <c r="A35" s="82" t="s">
        <v>30</v>
      </c>
      <c r="B35" s="108" t="s">
        <v>34</v>
      </c>
      <c r="C35" s="37">
        <v>25.8</v>
      </c>
      <c r="D35" s="37"/>
      <c r="E35" s="37"/>
      <c r="F35" s="83"/>
      <c r="H35" t="s">
        <v>208</v>
      </c>
      <c r="I35" s="12"/>
      <c r="J35" s="101">
        <f>SUM(J24:J25)/J31</f>
        <v>0.14285714285714285</v>
      </c>
      <c r="K35" s="101">
        <f t="shared" ref="K35:U35" si="8">SUM(K24:K25)/K31</f>
        <v>0.14285714285714285</v>
      </c>
      <c r="L35" s="101">
        <f t="shared" si="8"/>
        <v>0.3125</v>
      </c>
      <c r="M35" s="101">
        <f t="shared" si="8"/>
        <v>0.3125</v>
      </c>
      <c r="N35" s="101">
        <f t="shared" si="8"/>
        <v>0.3125</v>
      </c>
      <c r="O35" s="101">
        <f t="shared" si="8"/>
        <v>0.3125</v>
      </c>
      <c r="P35" s="101">
        <f t="shared" si="8"/>
        <v>0.3125</v>
      </c>
      <c r="Q35" s="101">
        <f t="shared" si="8"/>
        <v>0.3125</v>
      </c>
      <c r="R35" s="101">
        <f t="shared" si="8"/>
        <v>0.3125</v>
      </c>
      <c r="S35" s="101">
        <f t="shared" si="8"/>
        <v>0.3125</v>
      </c>
      <c r="T35" s="101">
        <f t="shared" si="8"/>
        <v>0.3125</v>
      </c>
      <c r="U35" s="101">
        <f t="shared" si="8"/>
        <v>0.3125</v>
      </c>
      <c r="V35" s="31"/>
      <c r="W35" s="31"/>
      <c r="X35" s="32"/>
      <c r="Y35"/>
      <c r="Z35"/>
      <c r="AA35" s="31"/>
      <c r="AB35" s="31"/>
      <c r="AC35" s="31"/>
      <c r="AD35" s="49"/>
      <c r="AE35" s="33"/>
      <c r="AF35" s="33"/>
      <c r="AG35" s="31"/>
      <c r="AH35" s="31"/>
      <c r="AI35" s="32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  <c r="AZ35" s="31"/>
    </row>
    <row r="36" spans="1:52" x14ac:dyDescent="0.25">
      <c r="A36" s="82" t="s">
        <v>31</v>
      </c>
      <c r="B36" s="108" t="s">
        <v>34</v>
      </c>
      <c r="C36" s="37">
        <v>31.8</v>
      </c>
      <c r="D36" s="37"/>
      <c r="E36" s="37"/>
      <c r="F36" s="83"/>
      <c r="H36" t="s">
        <v>254</v>
      </c>
      <c r="I36" s="12" t="s">
        <v>16</v>
      </c>
      <c r="J36" s="99">
        <f>J20+J22+J24</f>
        <v>7000</v>
      </c>
      <c r="K36" s="99">
        <f t="shared" ref="K36:U36" si="9">K20+K22+K24</f>
        <v>7000</v>
      </c>
      <c r="L36" s="99">
        <f t="shared" si="9"/>
        <v>7000</v>
      </c>
      <c r="M36" s="99">
        <f t="shared" si="9"/>
        <v>7000</v>
      </c>
      <c r="N36" s="99">
        <f t="shared" si="9"/>
        <v>7000</v>
      </c>
      <c r="O36" s="99">
        <f t="shared" si="9"/>
        <v>7000</v>
      </c>
      <c r="P36" s="99">
        <f t="shared" si="9"/>
        <v>7000</v>
      </c>
      <c r="Q36" s="99">
        <f t="shared" si="9"/>
        <v>7000</v>
      </c>
      <c r="R36" s="99">
        <f t="shared" si="9"/>
        <v>7000</v>
      </c>
      <c r="S36" s="99">
        <f t="shared" si="9"/>
        <v>7000</v>
      </c>
      <c r="T36" s="99">
        <f t="shared" si="9"/>
        <v>7000</v>
      </c>
      <c r="U36" s="99">
        <f t="shared" si="9"/>
        <v>7000</v>
      </c>
      <c r="V36" s="31"/>
      <c r="W36" s="31"/>
      <c r="X36" s="32"/>
      <c r="Y36" s="33"/>
      <c r="Z36" s="33"/>
      <c r="AA36" s="31"/>
      <c r="AB36" s="31"/>
      <c r="AC36" s="31"/>
      <c r="AD36" s="49"/>
      <c r="AE36" s="33"/>
      <c r="AF36" s="33"/>
      <c r="AG36" s="31"/>
      <c r="AH36" s="31"/>
      <c r="AI36" s="32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  <c r="AZ36" s="31"/>
    </row>
    <row r="37" spans="1:52" ht="15.75" thickBot="1" x14ac:dyDescent="0.3">
      <c r="A37" s="84" t="s">
        <v>32</v>
      </c>
      <c r="B37" s="109" t="s">
        <v>37</v>
      </c>
      <c r="C37" s="87">
        <v>178.5</v>
      </c>
      <c r="D37" s="87"/>
      <c r="E37" s="87"/>
      <c r="F37" s="88"/>
      <c r="H37" t="s">
        <v>255</v>
      </c>
      <c r="I37" s="12" t="s">
        <v>16</v>
      </c>
      <c r="J37" s="99">
        <f>J21+J23+J25</f>
        <v>7000</v>
      </c>
      <c r="K37" s="99">
        <f t="shared" ref="K37:U37" si="10">K21+K23+K25</f>
        <v>7000</v>
      </c>
      <c r="L37" s="99">
        <f t="shared" si="10"/>
        <v>9000</v>
      </c>
      <c r="M37" s="99">
        <f t="shared" si="10"/>
        <v>9000</v>
      </c>
      <c r="N37" s="99">
        <f t="shared" si="10"/>
        <v>9000</v>
      </c>
      <c r="O37" s="99">
        <f t="shared" si="10"/>
        <v>9000</v>
      </c>
      <c r="P37" s="99">
        <f t="shared" si="10"/>
        <v>9000</v>
      </c>
      <c r="Q37" s="99">
        <f t="shared" si="10"/>
        <v>9000</v>
      </c>
      <c r="R37" s="99">
        <f t="shared" si="10"/>
        <v>9000</v>
      </c>
      <c r="S37" s="99">
        <f t="shared" si="10"/>
        <v>9000</v>
      </c>
      <c r="T37" s="99">
        <f t="shared" si="10"/>
        <v>9000</v>
      </c>
      <c r="U37" s="99">
        <f t="shared" si="10"/>
        <v>9000</v>
      </c>
      <c r="V37" s="31"/>
      <c r="W37" s="31"/>
      <c r="X37" s="32"/>
      <c r="Y37" s="33"/>
      <c r="Z37" s="33"/>
      <c r="AA37" s="31"/>
      <c r="AB37" s="31"/>
      <c r="AC37" s="31"/>
      <c r="AD37" s="49"/>
      <c r="AE37" s="33"/>
      <c r="AF37" s="33"/>
      <c r="AG37" s="31"/>
      <c r="AH37" s="31"/>
      <c r="AI37" s="32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  <c r="AZ37" s="31"/>
    </row>
    <row r="38" spans="1:52" x14ac:dyDescent="0.25">
      <c r="H38" t="s">
        <v>257</v>
      </c>
      <c r="I38" s="12"/>
      <c r="J38" s="101">
        <f t="shared" ref="J38:U38" si="11">EtaQNomOvn2+J13*EtaRgkOvn2</f>
        <v>1.0216842105263158</v>
      </c>
      <c r="K38" s="101">
        <f t="shared" si="11"/>
        <v>1.0216842105263158</v>
      </c>
      <c r="L38" s="101">
        <f t="shared" si="11"/>
        <v>1.0216842105263158</v>
      </c>
      <c r="M38" s="101">
        <f t="shared" si="11"/>
        <v>1.0216842105263158</v>
      </c>
      <c r="N38" s="101">
        <f t="shared" si="11"/>
        <v>1.0216842105263158</v>
      </c>
      <c r="O38" s="101">
        <f t="shared" si="11"/>
        <v>1.0216842105263158</v>
      </c>
      <c r="P38" s="101">
        <f t="shared" si="11"/>
        <v>1.0216842105263158</v>
      </c>
      <c r="Q38" s="101">
        <f t="shared" si="11"/>
        <v>1.0216842105263158</v>
      </c>
      <c r="R38" s="101">
        <f t="shared" si="11"/>
        <v>1.0216842105263158</v>
      </c>
      <c r="S38" s="101">
        <f t="shared" si="11"/>
        <v>1.0216842105263158</v>
      </c>
      <c r="T38" s="101">
        <f t="shared" si="11"/>
        <v>1.0216842105263158</v>
      </c>
      <c r="U38" s="101">
        <f t="shared" si="11"/>
        <v>1.0216842105263158</v>
      </c>
      <c r="V38" s="31"/>
      <c r="W38" s="33"/>
      <c r="X38" s="32"/>
      <c r="Y38" s="33"/>
      <c r="Z38" s="33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</row>
    <row r="39" spans="1:52" x14ac:dyDescent="0.25">
      <c r="H39" t="s">
        <v>256</v>
      </c>
      <c r="I39" s="12"/>
      <c r="J39" s="101">
        <f t="shared" ref="J39:U39" si="12">EtaQNomOvn3+J13*EtaRgkOvn3</f>
        <v>0.81635555555555561</v>
      </c>
      <c r="K39" s="101">
        <f t="shared" si="12"/>
        <v>0.81635555555555561</v>
      </c>
      <c r="L39" s="101">
        <f t="shared" si="12"/>
        <v>0.81635555555555561</v>
      </c>
      <c r="M39" s="101">
        <f t="shared" si="12"/>
        <v>0.81635555555555561</v>
      </c>
      <c r="N39" s="101">
        <f t="shared" si="12"/>
        <v>0.81635555555555561</v>
      </c>
      <c r="O39" s="101">
        <f t="shared" si="12"/>
        <v>0.81635555555555561</v>
      </c>
      <c r="P39" s="101">
        <f t="shared" si="12"/>
        <v>0.81635555555555561</v>
      </c>
      <c r="Q39" s="101">
        <f t="shared" si="12"/>
        <v>0.81635555555555561</v>
      </c>
      <c r="R39" s="101">
        <f t="shared" si="12"/>
        <v>0.81635555555555561</v>
      </c>
      <c r="S39" s="101">
        <f t="shared" si="12"/>
        <v>0.81635555555555561</v>
      </c>
      <c r="T39" s="101">
        <f t="shared" si="12"/>
        <v>0.81635555555555561</v>
      </c>
      <c r="U39" s="101">
        <f t="shared" si="12"/>
        <v>0.81635555555555561</v>
      </c>
      <c r="V39" s="31"/>
      <c r="W39" s="31"/>
      <c r="X39" s="32"/>
      <c r="Y39"/>
      <c r="Z39"/>
      <c r="AA39" s="31"/>
      <c r="AB39" s="31"/>
      <c r="AC39" s="31"/>
      <c r="AD39" s="49"/>
      <c r="AE39" s="33"/>
      <c r="AF39" s="33"/>
      <c r="AG39" s="31"/>
      <c r="AH39" s="31"/>
      <c r="AI39" s="32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  <c r="AZ39" s="31"/>
    </row>
    <row r="40" spans="1:52" x14ac:dyDescent="0.25">
      <c r="I40" s="12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31"/>
      <c r="W40" s="31"/>
      <c r="X40" s="32"/>
      <c r="Y40" s="33"/>
      <c r="Z40" s="33"/>
      <c r="AA40" s="31"/>
      <c r="AB40" s="31"/>
      <c r="AC40" s="31"/>
      <c r="AD40" s="49"/>
      <c r="AE40" s="33"/>
      <c r="AF40" s="33"/>
      <c r="AG40" s="31"/>
      <c r="AH40" s="31"/>
      <c r="AI40" s="32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  <c r="AZ40" s="31"/>
    </row>
    <row r="41" spans="1:52" x14ac:dyDescent="0.25">
      <c r="H41" s="114" t="s">
        <v>125</v>
      </c>
      <c r="I41" s="125"/>
      <c r="J41" s="125" t="str">
        <f t="shared" ref="J41:U41" si="13">J55</f>
        <v>JAN</v>
      </c>
      <c r="K41" s="125" t="str">
        <f t="shared" si="13"/>
        <v>FEB</v>
      </c>
      <c r="L41" s="125" t="str">
        <f t="shared" si="13"/>
        <v>MAR</v>
      </c>
      <c r="M41" s="125" t="str">
        <f t="shared" si="13"/>
        <v>APR</v>
      </c>
      <c r="N41" s="125" t="str">
        <f t="shared" si="13"/>
        <v>MAJ</v>
      </c>
      <c r="O41" s="125" t="str">
        <f t="shared" si="13"/>
        <v>JUN</v>
      </c>
      <c r="P41" s="125" t="str">
        <f t="shared" si="13"/>
        <v>JUL</v>
      </c>
      <c r="Q41" s="125" t="str">
        <f t="shared" si="13"/>
        <v>AUG</v>
      </c>
      <c r="R41" s="125" t="str">
        <f t="shared" si="13"/>
        <v>SEP</v>
      </c>
      <c r="S41" s="125" t="str">
        <f t="shared" si="13"/>
        <v>OKT</v>
      </c>
      <c r="T41" s="125" t="str">
        <f t="shared" si="13"/>
        <v>NOV</v>
      </c>
      <c r="U41" s="125" t="str">
        <f t="shared" si="13"/>
        <v>DEC</v>
      </c>
      <c r="V41" s="31"/>
      <c r="W41" s="31"/>
      <c r="X41" s="32"/>
      <c r="Y41" s="33"/>
      <c r="Z41" s="33"/>
      <c r="AA41" s="31"/>
      <c r="AB41" s="31"/>
      <c r="AC41" s="31"/>
      <c r="AD41" s="49"/>
      <c r="AE41" s="33"/>
      <c r="AF41" s="33"/>
      <c r="AG41" s="31"/>
      <c r="AH41" s="31"/>
      <c r="AI41" s="32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  <c r="AZ41" s="31"/>
    </row>
    <row r="42" spans="1:52" x14ac:dyDescent="0.25">
      <c r="H42" s="5" t="s">
        <v>48</v>
      </c>
      <c r="I42" s="3" t="s">
        <v>0</v>
      </c>
      <c r="J42" s="11">
        <f t="shared" ref="J42:U42" si="14">24*J11</f>
        <v>744</v>
      </c>
      <c r="K42" s="11">
        <f t="shared" si="14"/>
        <v>672</v>
      </c>
      <c r="L42" s="11">
        <f t="shared" si="14"/>
        <v>744</v>
      </c>
      <c r="M42" s="11">
        <f t="shared" si="14"/>
        <v>720</v>
      </c>
      <c r="N42" s="11">
        <f t="shared" si="14"/>
        <v>744</v>
      </c>
      <c r="O42" s="11">
        <f t="shared" si="14"/>
        <v>720</v>
      </c>
      <c r="P42" s="11">
        <f t="shared" si="14"/>
        <v>744</v>
      </c>
      <c r="Q42" s="11">
        <f t="shared" si="14"/>
        <v>744</v>
      </c>
      <c r="R42" s="11">
        <f t="shared" si="14"/>
        <v>720</v>
      </c>
      <c r="S42" s="11">
        <f t="shared" si="14"/>
        <v>744</v>
      </c>
      <c r="T42" s="11">
        <f t="shared" si="14"/>
        <v>720</v>
      </c>
      <c r="U42" s="11">
        <f t="shared" si="14"/>
        <v>744</v>
      </c>
      <c r="V42" s="31"/>
      <c r="W42" s="31"/>
      <c r="X42" s="32"/>
      <c r="Y42" s="33"/>
      <c r="Z42" s="33"/>
      <c r="AA42" s="31"/>
      <c r="AB42" s="31"/>
      <c r="AC42" s="31"/>
      <c r="AD42" s="49"/>
      <c r="AE42" s="33"/>
      <c r="AF42" s="33"/>
      <c r="AG42" s="31"/>
      <c r="AH42" s="31"/>
      <c r="AI42" s="32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  <c r="AZ42" s="31"/>
    </row>
    <row r="43" spans="1:52" x14ac:dyDescent="0.25">
      <c r="H43" s="5" t="s">
        <v>49</v>
      </c>
      <c r="I43" s="4" t="s">
        <v>40</v>
      </c>
      <c r="J43" s="14">
        <f t="shared" ref="J43:U43" si="15">J42*$C$12</f>
        <v>7068</v>
      </c>
      <c r="K43" s="14">
        <f t="shared" si="15"/>
        <v>6384</v>
      </c>
      <c r="L43" s="14">
        <f t="shared" si="15"/>
        <v>7068</v>
      </c>
      <c r="M43" s="14">
        <f t="shared" si="15"/>
        <v>6840</v>
      </c>
      <c r="N43" s="14">
        <f t="shared" si="15"/>
        <v>7068</v>
      </c>
      <c r="O43" s="14">
        <f t="shared" si="15"/>
        <v>6840</v>
      </c>
      <c r="P43" s="14">
        <f t="shared" si="15"/>
        <v>7068</v>
      </c>
      <c r="Q43" s="14">
        <f t="shared" si="15"/>
        <v>7068</v>
      </c>
      <c r="R43" s="14">
        <f t="shared" si="15"/>
        <v>6840</v>
      </c>
      <c r="S43" s="14">
        <f t="shared" si="15"/>
        <v>7068</v>
      </c>
      <c r="T43" s="14">
        <f t="shared" si="15"/>
        <v>6840</v>
      </c>
      <c r="U43" s="14">
        <f t="shared" si="15"/>
        <v>7068</v>
      </c>
      <c r="V43" s="31"/>
      <c r="W43" s="31"/>
      <c r="X43" s="32"/>
      <c r="Y43"/>
      <c r="Z43"/>
      <c r="AA43" s="31"/>
      <c r="AB43" s="31"/>
      <c r="AC43" s="31"/>
      <c r="AD43" s="49"/>
      <c r="AE43" s="33"/>
      <c r="AF43" s="33"/>
      <c r="AG43" s="31"/>
      <c r="AH43" s="31"/>
      <c r="AI43" s="32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  <c r="AZ43" s="31"/>
    </row>
    <row r="44" spans="1:52" x14ac:dyDescent="0.25">
      <c r="H44" s="5" t="s">
        <v>62</v>
      </c>
      <c r="I44" s="12" t="s">
        <v>40</v>
      </c>
      <c r="J44" s="14">
        <f>J13*EtaRgkOvn2/EtaQNomOvn2*J43</f>
        <v>1488</v>
      </c>
      <c r="K44" s="14">
        <f t="shared" ref="K44:U44" si="16">EtaRgkOvn2/EtaQNomOvn2*K43</f>
        <v>1344</v>
      </c>
      <c r="L44" s="14">
        <f t="shared" si="16"/>
        <v>1488</v>
      </c>
      <c r="M44" s="14">
        <f t="shared" si="16"/>
        <v>1440</v>
      </c>
      <c r="N44" s="14">
        <f t="shared" si="16"/>
        <v>1488</v>
      </c>
      <c r="O44" s="14">
        <f t="shared" si="16"/>
        <v>1440</v>
      </c>
      <c r="P44" s="14">
        <f t="shared" si="16"/>
        <v>1488</v>
      </c>
      <c r="Q44" s="14">
        <f t="shared" si="16"/>
        <v>1488</v>
      </c>
      <c r="R44" s="14">
        <f t="shared" si="16"/>
        <v>1440</v>
      </c>
      <c r="S44" s="14">
        <f t="shared" si="16"/>
        <v>1488</v>
      </c>
      <c r="T44" s="14">
        <f t="shared" si="16"/>
        <v>1440</v>
      </c>
      <c r="U44" s="14">
        <f t="shared" si="16"/>
        <v>1488</v>
      </c>
      <c r="V44" s="31"/>
      <c r="W44" s="31"/>
      <c r="X44" s="32"/>
      <c r="Y44" s="33"/>
      <c r="Z44" s="33"/>
      <c r="AA44" s="31"/>
      <c r="AB44" s="31"/>
      <c r="AC44" s="31"/>
      <c r="AD44" s="49"/>
      <c r="AE44" s="33"/>
      <c r="AF44" s="33"/>
      <c r="AG44" s="31"/>
      <c r="AH44" s="31"/>
      <c r="AI44" s="32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  <c r="AZ44" s="31"/>
    </row>
    <row r="45" spans="1:52" x14ac:dyDescent="0.25">
      <c r="H45" s="5" t="s">
        <v>63</v>
      </c>
      <c r="I45" s="12" t="s">
        <v>40</v>
      </c>
      <c r="J45" s="14">
        <f>SUM(J43:J44)</f>
        <v>8556</v>
      </c>
      <c r="K45" s="14">
        <f t="shared" ref="K45:U45" si="17">SUM(K43:K44)</f>
        <v>7728</v>
      </c>
      <c r="L45" s="14">
        <f t="shared" si="17"/>
        <v>8556</v>
      </c>
      <c r="M45" s="14">
        <f t="shared" si="17"/>
        <v>8280</v>
      </c>
      <c r="N45" s="14">
        <f t="shared" si="17"/>
        <v>8556</v>
      </c>
      <c r="O45" s="14">
        <f t="shared" si="17"/>
        <v>8280</v>
      </c>
      <c r="P45" s="14">
        <f t="shared" si="17"/>
        <v>8556</v>
      </c>
      <c r="Q45" s="14">
        <f t="shared" si="17"/>
        <v>8556</v>
      </c>
      <c r="R45" s="14">
        <f t="shared" si="17"/>
        <v>8280</v>
      </c>
      <c r="S45" s="14">
        <f t="shared" si="17"/>
        <v>8556</v>
      </c>
      <c r="T45" s="14">
        <f t="shared" si="17"/>
        <v>8280</v>
      </c>
      <c r="U45" s="14">
        <f t="shared" si="17"/>
        <v>8556</v>
      </c>
      <c r="V45" s="31"/>
      <c r="W45" s="31"/>
      <c r="X45" s="32"/>
      <c r="Y45" s="33"/>
      <c r="Z45" s="33"/>
      <c r="AA45" s="31"/>
      <c r="AB45" s="31"/>
      <c r="AC45" s="31"/>
      <c r="AD45" s="49"/>
      <c r="AE45" s="33"/>
      <c r="AF45" s="33"/>
      <c r="AG45" s="31"/>
      <c r="AH45" s="31"/>
      <c r="AI45" s="32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  <c r="AZ45" s="31"/>
    </row>
    <row r="46" spans="1:52" x14ac:dyDescent="0.25">
      <c r="H46" s="5" t="s">
        <v>50</v>
      </c>
      <c r="I46" s="4" t="s">
        <v>51</v>
      </c>
      <c r="J46" s="11">
        <f t="shared" ref="J46:U46" si="18">J43/EtaQNomOvn2</f>
        <v>8374.4075829383892</v>
      </c>
      <c r="K46" s="11">
        <f t="shared" si="18"/>
        <v>7563.9810426540289</v>
      </c>
      <c r="L46" s="11">
        <f t="shared" si="18"/>
        <v>8374.4075829383892</v>
      </c>
      <c r="M46" s="11">
        <f t="shared" si="18"/>
        <v>8104.2654028436018</v>
      </c>
      <c r="N46" s="11">
        <f t="shared" si="18"/>
        <v>8374.4075829383892</v>
      </c>
      <c r="O46" s="11">
        <f t="shared" si="18"/>
        <v>8104.2654028436018</v>
      </c>
      <c r="P46" s="11">
        <f t="shared" si="18"/>
        <v>8374.4075829383892</v>
      </c>
      <c r="Q46" s="11">
        <f t="shared" si="18"/>
        <v>8374.4075829383892</v>
      </c>
      <c r="R46" s="11">
        <f t="shared" si="18"/>
        <v>8104.2654028436018</v>
      </c>
      <c r="S46" s="11">
        <f t="shared" si="18"/>
        <v>8374.4075829383892</v>
      </c>
      <c r="T46" s="11">
        <f t="shared" si="18"/>
        <v>8104.2654028436018</v>
      </c>
      <c r="U46" s="11">
        <f t="shared" si="18"/>
        <v>8374.4075829383892</v>
      </c>
      <c r="V46" s="49"/>
      <c r="W46" s="31"/>
      <c r="X46" s="32"/>
      <c r="Y46" s="33"/>
      <c r="Z46" s="33"/>
      <c r="AA46" s="31"/>
      <c r="AB46" s="31"/>
      <c r="AC46" s="31"/>
      <c r="AD46" s="49"/>
      <c r="AE46" s="33"/>
      <c r="AF46" s="33"/>
      <c r="AG46" s="31"/>
      <c r="AH46" s="31"/>
      <c r="AI46" s="32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  <c r="AZ46" s="31"/>
    </row>
    <row r="47" spans="1:52" x14ac:dyDescent="0.25">
      <c r="H47" s="5" t="s">
        <v>52</v>
      </c>
      <c r="I47" s="12" t="s">
        <v>16</v>
      </c>
      <c r="J47" s="14">
        <f>J46/(J30/3.6)</f>
        <v>2773.1283980295325</v>
      </c>
      <c r="K47" s="14">
        <f t="shared" ref="K47:U47" si="19">K46*3.6/K30</f>
        <v>2504.7611337040935</v>
      </c>
      <c r="L47" s="14">
        <f t="shared" si="19"/>
        <v>2625.8349307417052</v>
      </c>
      <c r="M47" s="14">
        <f t="shared" si="19"/>
        <v>2541.1305781371339</v>
      </c>
      <c r="N47" s="14">
        <f t="shared" si="19"/>
        <v>2625.8349307417052</v>
      </c>
      <c r="O47" s="14">
        <f t="shared" si="19"/>
        <v>2541.1305781371339</v>
      </c>
      <c r="P47" s="14">
        <f t="shared" si="19"/>
        <v>2625.8349307417052</v>
      </c>
      <c r="Q47" s="14">
        <f t="shared" si="19"/>
        <v>2625.8349307417052</v>
      </c>
      <c r="R47" s="14">
        <f t="shared" si="19"/>
        <v>2541.1305781371339</v>
      </c>
      <c r="S47" s="14">
        <f t="shared" si="19"/>
        <v>2625.8349307417052</v>
      </c>
      <c r="T47" s="14">
        <f t="shared" si="19"/>
        <v>2541.1305781371339</v>
      </c>
      <c r="U47" s="14">
        <f t="shared" si="19"/>
        <v>2625.8349307417052</v>
      </c>
      <c r="V47" s="31"/>
      <c r="W47" s="31"/>
      <c r="X47" s="32"/>
      <c r="Y47"/>
      <c r="Z47"/>
      <c r="AA47" s="31"/>
      <c r="AB47" s="31"/>
      <c r="AC47" s="31"/>
      <c r="AD47" s="49"/>
      <c r="AE47" s="33"/>
      <c r="AF47" s="33"/>
      <c r="AG47" s="31"/>
      <c r="AH47" s="31"/>
      <c r="AI47" s="32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  <c r="AZ47" s="31"/>
    </row>
    <row r="48" spans="1:52" x14ac:dyDescent="0.25">
      <c r="I48" s="13"/>
      <c r="N48" s="37"/>
      <c r="O48" s="37"/>
      <c r="P48" s="37"/>
      <c r="Q48" s="37"/>
      <c r="R48" s="37"/>
      <c r="S48" s="37"/>
      <c r="T48" s="37"/>
      <c r="U48" s="37"/>
      <c r="V48" s="31"/>
      <c r="Y48"/>
      <c r="Z48"/>
      <c r="AC48" s="178" t="s">
        <v>41</v>
      </c>
      <c r="AD48" s="178"/>
      <c r="AE48" s="178"/>
      <c r="AF48" s="178"/>
      <c r="AG48" s="178"/>
      <c r="AI48" s="32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  <c r="AZ48" s="31"/>
    </row>
    <row r="49" spans="8:52" x14ac:dyDescent="0.25">
      <c r="H49" s="5" t="s">
        <v>48</v>
      </c>
      <c r="I49" s="13" t="s">
        <v>1</v>
      </c>
      <c r="J49" s="11">
        <f t="shared" ref="J49:U49" si="20">24*J12</f>
        <v>744</v>
      </c>
      <c r="K49" s="11">
        <f t="shared" si="20"/>
        <v>672</v>
      </c>
      <c r="L49" s="11">
        <f t="shared" si="20"/>
        <v>744</v>
      </c>
      <c r="M49" s="11">
        <f t="shared" si="20"/>
        <v>720</v>
      </c>
      <c r="N49" s="11">
        <f t="shared" si="20"/>
        <v>744</v>
      </c>
      <c r="O49" s="11">
        <f t="shared" si="20"/>
        <v>48</v>
      </c>
      <c r="P49" s="11">
        <f t="shared" si="20"/>
        <v>744</v>
      </c>
      <c r="Q49" s="11">
        <f t="shared" si="20"/>
        <v>744</v>
      </c>
      <c r="R49" s="11">
        <f t="shared" si="20"/>
        <v>720</v>
      </c>
      <c r="S49" s="11">
        <f t="shared" si="20"/>
        <v>744</v>
      </c>
      <c r="T49" s="11">
        <f t="shared" si="20"/>
        <v>720</v>
      </c>
      <c r="U49" s="11">
        <f t="shared" si="20"/>
        <v>744</v>
      </c>
      <c r="V49" s="31"/>
      <c r="Y49"/>
      <c r="Z49"/>
      <c r="AI49" s="32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  <c r="AZ49" s="31"/>
    </row>
    <row r="50" spans="8:52" x14ac:dyDescent="0.25">
      <c r="H50" s="5" t="s">
        <v>49</v>
      </c>
      <c r="I50" s="4" t="s">
        <v>40</v>
      </c>
      <c r="J50" s="14">
        <f t="shared" ref="J50:U50" si="21">J49*$D$12</f>
        <v>16740</v>
      </c>
      <c r="K50" s="14">
        <f t="shared" si="21"/>
        <v>15120</v>
      </c>
      <c r="L50" s="14">
        <f t="shared" si="21"/>
        <v>16740</v>
      </c>
      <c r="M50" s="14">
        <f t="shared" si="21"/>
        <v>16200</v>
      </c>
      <c r="N50" s="14">
        <f t="shared" si="21"/>
        <v>16740</v>
      </c>
      <c r="O50" s="14">
        <f t="shared" si="21"/>
        <v>1080</v>
      </c>
      <c r="P50" s="14">
        <f t="shared" si="21"/>
        <v>16740</v>
      </c>
      <c r="Q50" s="14">
        <f t="shared" si="21"/>
        <v>16740</v>
      </c>
      <c r="R50" s="14">
        <f t="shared" si="21"/>
        <v>16200</v>
      </c>
      <c r="S50" s="14">
        <f t="shared" si="21"/>
        <v>16740</v>
      </c>
      <c r="T50" s="14">
        <f t="shared" si="21"/>
        <v>16200</v>
      </c>
      <c r="U50" s="14">
        <f t="shared" si="21"/>
        <v>16740</v>
      </c>
      <c r="V50" s="31"/>
      <c r="Y50"/>
      <c r="Z50"/>
      <c r="AC50" s="2" t="s">
        <v>167</v>
      </c>
      <c r="AD50" s="6" t="s">
        <v>46</v>
      </c>
      <c r="AE50" s="13" t="str">
        <f>L102</f>
        <v>MAR</v>
      </c>
      <c r="AF50" s="13" t="str">
        <f>J102</f>
        <v>JAN</v>
      </c>
      <c r="AG50" s="13">
        <f>Y83</f>
        <v>0</v>
      </c>
      <c r="AI50" s="32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  <c r="AZ50" s="31"/>
    </row>
    <row r="51" spans="8:52" x14ac:dyDescent="0.25">
      <c r="H51" s="5" t="s">
        <v>62</v>
      </c>
      <c r="I51" s="12" t="s">
        <v>40</v>
      </c>
      <c r="J51" s="14">
        <f>J13*EtaRgkOvn3/EtaQNomOvn3*J50</f>
        <v>4092</v>
      </c>
      <c r="K51" s="14">
        <f t="shared" ref="K51:U51" si="22">EtaRgkOvn3/EtaQNomOvn3*K50</f>
        <v>3696</v>
      </c>
      <c r="L51" s="14">
        <f t="shared" si="22"/>
        <v>4092</v>
      </c>
      <c r="M51" s="14">
        <f t="shared" si="22"/>
        <v>3960</v>
      </c>
      <c r="N51" s="14">
        <f t="shared" si="22"/>
        <v>4092</v>
      </c>
      <c r="O51" s="14">
        <f t="shared" si="22"/>
        <v>264</v>
      </c>
      <c r="P51" s="14">
        <f t="shared" si="22"/>
        <v>4092</v>
      </c>
      <c r="Q51" s="14">
        <f t="shared" si="22"/>
        <v>4092</v>
      </c>
      <c r="R51" s="14">
        <f t="shared" si="22"/>
        <v>3960</v>
      </c>
      <c r="S51" s="14">
        <f t="shared" si="22"/>
        <v>4092</v>
      </c>
      <c r="T51" s="14">
        <f t="shared" si="22"/>
        <v>3960</v>
      </c>
      <c r="U51" s="14">
        <f t="shared" si="22"/>
        <v>4092</v>
      </c>
      <c r="V51" s="31"/>
      <c r="Y51"/>
      <c r="Z51"/>
      <c r="AC51" s="12" t="str">
        <f t="shared" ref="AC51:AD53" si="23">H115</f>
        <v>Indtægter total</v>
      </c>
      <c r="AD51" s="53" t="str">
        <f t="shared" si="23"/>
        <v>tkr</v>
      </c>
      <c r="AE51" s="16" t="e">
        <f>L115</f>
        <v>#REF!</v>
      </c>
      <c r="AF51" s="16" t="e">
        <f>J115</f>
        <v>#REF!</v>
      </c>
      <c r="AG51" s="16">
        <f>Y96</f>
        <v>0</v>
      </c>
      <c r="AI51" s="32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  <c r="AZ51" s="31"/>
    </row>
    <row r="52" spans="8:52" x14ac:dyDescent="0.25">
      <c r="H52" s="5" t="s">
        <v>63</v>
      </c>
      <c r="I52" s="12" t="s">
        <v>40</v>
      </c>
      <c r="J52" s="14">
        <f>SUM(J50:J51)</f>
        <v>20832</v>
      </c>
      <c r="K52" s="14">
        <f t="shared" ref="K52:U52" si="24">SUM(K50:K51)</f>
        <v>18816</v>
      </c>
      <c r="L52" s="14">
        <f t="shared" si="24"/>
        <v>20832</v>
      </c>
      <c r="M52" s="14">
        <f t="shared" si="24"/>
        <v>20160</v>
      </c>
      <c r="N52" s="14">
        <f t="shared" si="24"/>
        <v>20832</v>
      </c>
      <c r="O52" s="14">
        <f t="shared" si="24"/>
        <v>1344</v>
      </c>
      <c r="P52" s="14">
        <f t="shared" si="24"/>
        <v>20832</v>
      </c>
      <c r="Q52" s="14">
        <f t="shared" si="24"/>
        <v>20832</v>
      </c>
      <c r="R52" s="14">
        <f t="shared" si="24"/>
        <v>20160</v>
      </c>
      <c r="S52" s="14">
        <f t="shared" si="24"/>
        <v>20832</v>
      </c>
      <c r="T52" s="14">
        <f t="shared" si="24"/>
        <v>20160</v>
      </c>
      <c r="U52" s="14">
        <f t="shared" si="24"/>
        <v>20832</v>
      </c>
      <c r="V52" s="31"/>
      <c r="Y52"/>
      <c r="Z52"/>
      <c r="AC52" s="12" t="str">
        <f t="shared" si="23"/>
        <v>Omkostninger total</v>
      </c>
      <c r="AD52" s="53" t="str">
        <f t="shared" si="23"/>
        <v>tkr</v>
      </c>
      <c r="AE52" s="16" t="e">
        <f>L116</f>
        <v>#REF!</v>
      </c>
      <c r="AF52" s="16" t="e">
        <f>J116</f>
        <v>#REF!</v>
      </c>
      <c r="AG52" s="16">
        <f>Y97</f>
        <v>0</v>
      </c>
      <c r="AI52" s="32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  <c r="AZ52" s="31"/>
    </row>
    <row r="53" spans="8:52" x14ac:dyDescent="0.25">
      <c r="H53" s="5" t="s">
        <v>50</v>
      </c>
      <c r="I53" s="4" t="s">
        <v>51</v>
      </c>
      <c r="J53" s="11">
        <f t="shared" ref="J53:U53" si="25">J50/EtaQNomOvn3</f>
        <v>25518.292682926829</v>
      </c>
      <c r="K53" s="11">
        <f t="shared" si="25"/>
        <v>23048.780487804877</v>
      </c>
      <c r="L53" s="11">
        <f t="shared" si="25"/>
        <v>25518.292682926829</v>
      </c>
      <c r="M53" s="11">
        <f t="shared" si="25"/>
        <v>24695.121951219509</v>
      </c>
      <c r="N53" s="11">
        <f t="shared" si="25"/>
        <v>25518.292682926829</v>
      </c>
      <c r="O53" s="11">
        <f t="shared" si="25"/>
        <v>1646.3414634146341</v>
      </c>
      <c r="P53" s="11">
        <f t="shared" si="25"/>
        <v>25518.292682926829</v>
      </c>
      <c r="Q53" s="11">
        <f t="shared" si="25"/>
        <v>25518.292682926829</v>
      </c>
      <c r="R53" s="11">
        <f t="shared" si="25"/>
        <v>24695.121951219509</v>
      </c>
      <c r="S53" s="11">
        <f t="shared" si="25"/>
        <v>25518.292682926829</v>
      </c>
      <c r="T53" s="11">
        <f t="shared" si="25"/>
        <v>24695.121951219509</v>
      </c>
      <c r="U53" s="11">
        <f t="shared" si="25"/>
        <v>25518.292682926829</v>
      </c>
      <c r="V53" s="31"/>
      <c r="Y53"/>
      <c r="Z53"/>
      <c r="AC53" s="12" t="str">
        <f t="shared" si="23"/>
        <v>Dækningsbidrag</v>
      </c>
      <c r="AD53" s="53" t="str">
        <f t="shared" si="23"/>
        <v>tkr</v>
      </c>
      <c r="AE53" s="16" t="e">
        <f>L117</f>
        <v>#REF!</v>
      </c>
      <c r="AF53" s="16" t="e">
        <f>J117</f>
        <v>#REF!</v>
      </c>
      <c r="AG53" s="16">
        <f>Y98</f>
        <v>0</v>
      </c>
      <c r="AI53" s="32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  <c r="AZ53" s="31"/>
    </row>
    <row r="54" spans="8:52" x14ac:dyDescent="0.25">
      <c r="H54" s="5" t="s">
        <v>52</v>
      </c>
      <c r="I54" s="12" t="s">
        <v>16</v>
      </c>
      <c r="J54" s="14">
        <f t="shared" ref="J54:U54" si="26">J53/(J30/3.6)</f>
        <v>8450.2099291689374</v>
      </c>
      <c r="K54" s="14">
        <f t="shared" si="26"/>
        <v>7632.4476779590395</v>
      </c>
      <c r="L54" s="14">
        <f t="shared" si="26"/>
        <v>8001.3808303570249</v>
      </c>
      <c r="M54" s="14">
        <f t="shared" si="26"/>
        <v>7743.2717713132497</v>
      </c>
      <c r="N54" s="14">
        <f t="shared" si="26"/>
        <v>8001.3808303570249</v>
      </c>
      <c r="O54" s="14">
        <f t="shared" si="26"/>
        <v>516.21811808755001</v>
      </c>
      <c r="P54" s="14">
        <f t="shared" si="26"/>
        <v>8001.3808303570249</v>
      </c>
      <c r="Q54" s="14">
        <f t="shared" si="26"/>
        <v>8001.3808303570249</v>
      </c>
      <c r="R54" s="14">
        <f t="shared" si="26"/>
        <v>7743.2717713132497</v>
      </c>
      <c r="S54" s="14">
        <f t="shared" si="26"/>
        <v>8001.3808303570249</v>
      </c>
      <c r="T54" s="14">
        <f t="shared" si="26"/>
        <v>7743.2717713132497</v>
      </c>
      <c r="U54" s="14">
        <f t="shared" si="26"/>
        <v>8001.3808303570249</v>
      </c>
      <c r="V54" s="31"/>
      <c r="Y54"/>
      <c r="Z54"/>
      <c r="AC54" s="2"/>
      <c r="AD54" s="6"/>
      <c r="AE54" s="13"/>
      <c r="AF54" s="13"/>
      <c r="AG54" s="13"/>
      <c r="AI54" s="32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  <c r="AZ54" s="31"/>
    </row>
    <row r="55" spans="8:52" x14ac:dyDescent="0.25">
      <c r="H55" s="124" t="s">
        <v>126</v>
      </c>
      <c r="I55" s="113"/>
      <c r="J55" s="125" t="str">
        <f t="shared" ref="J55:U55" si="27">J3</f>
        <v>JAN</v>
      </c>
      <c r="K55" s="125" t="str">
        <f t="shared" si="27"/>
        <v>FEB</v>
      </c>
      <c r="L55" s="125" t="str">
        <f t="shared" si="27"/>
        <v>MAR</v>
      </c>
      <c r="M55" s="125" t="str">
        <f t="shared" si="27"/>
        <v>APR</v>
      </c>
      <c r="N55" s="125" t="str">
        <f t="shared" si="27"/>
        <v>MAJ</v>
      </c>
      <c r="O55" s="125" t="str">
        <f t="shared" si="27"/>
        <v>JUN</v>
      </c>
      <c r="P55" s="125" t="str">
        <f t="shared" si="27"/>
        <v>JUL</v>
      </c>
      <c r="Q55" s="125" t="str">
        <f t="shared" si="27"/>
        <v>AUG</v>
      </c>
      <c r="R55" s="125" t="str">
        <f t="shared" si="27"/>
        <v>SEP</v>
      </c>
      <c r="S55" s="125" t="str">
        <f t="shared" si="27"/>
        <v>OKT</v>
      </c>
      <c r="T55" s="125" t="str">
        <f t="shared" si="27"/>
        <v>NOV</v>
      </c>
      <c r="U55" s="125" t="str">
        <f t="shared" si="27"/>
        <v>DEC</v>
      </c>
      <c r="Y55"/>
      <c r="Z55"/>
      <c r="AC55" s="12" t="str">
        <f t="shared" ref="AC55:AD58" si="28">H103</f>
        <v>Varmesalg</v>
      </c>
      <c r="AD55" s="53" t="str">
        <f t="shared" si="28"/>
        <v>tkr</v>
      </c>
      <c r="AE55" s="15">
        <f>L103</f>
        <v>7997392.6730004624</v>
      </c>
      <c r="AF55" s="15">
        <f>J103</f>
        <v>7499765</v>
      </c>
      <c r="AG55" s="16">
        <f>Y84</f>
        <v>0</v>
      </c>
      <c r="AI55" s="32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  <c r="AZ55" s="31"/>
    </row>
    <row r="56" spans="8:52" x14ac:dyDescent="0.25">
      <c r="H56" s="6" t="s">
        <v>54</v>
      </c>
      <c r="I56" s="4" t="s">
        <v>40</v>
      </c>
      <c r="J56" s="14">
        <f t="shared" ref="J56:U56" si="29">IF(DoOptimOpt,J39*J37,MIN(J5,J52,J39*J32))</f>
        <v>20832</v>
      </c>
      <c r="K56" s="14">
        <f t="shared" si="29"/>
        <v>18816</v>
      </c>
      <c r="L56" s="14">
        <f t="shared" si="29"/>
        <v>20832</v>
      </c>
      <c r="M56" s="14">
        <f t="shared" si="29"/>
        <v>20160</v>
      </c>
      <c r="N56" s="14">
        <f t="shared" si="29"/>
        <v>12760</v>
      </c>
      <c r="O56" s="14">
        <f t="shared" si="29"/>
        <v>1344</v>
      </c>
      <c r="P56" s="14">
        <f t="shared" si="29"/>
        <v>6411</v>
      </c>
      <c r="Q56" s="14">
        <f t="shared" si="29"/>
        <v>7774</v>
      </c>
      <c r="R56" s="14">
        <f t="shared" si="29"/>
        <v>8886</v>
      </c>
      <c r="S56" s="14">
        <f t="shared" si="29"/>
        <v>15610</v>
      </c>
      <c r="T56" s="14">
        <f t="shared" si="29"/>
        <v>20160</v>
      </c>
      <c r="U56" s="14">
        <f t="shared" si="29"/>
        <v>20832</v>
      </c>
      <c r="Y56"/>
      <c r="Z56"/>
      <c r="AC56" s="12" t="str">
        <f t="shared" si="28"/>
        <v>Elsalg</v>
      </c>
      <c r="AD56" s="53" t="str">
        <f t="shared" si="28"/>
        <v>tkr</v>
      </c>
      <c r="AE56" s="15">
        <f>L104</f>
        <v>3947332.4512195117</v>
      </c>
      <c r="AF56" s="15">
        <f>J104</f>
        <v>3947332.4512195126</v>
      </c>
      <c r="AG56" s="16">
        <f>Y85</f>
        <v>0</v>
      </c>
      <c r="AI56" s="32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  <c r="AZ56" s="31"/>
    </row>
    <row r="57" spans="8:52" x14ac:dyDescent="0.25">
      <c r="H57" s="4" t="s">
        <v>229</v>
      </c>
      <c r="I57" s="4" t="s">
        <v>40</v>
      </c>
      <c r="J57" s="14">
        <f t="shared" ref="J57:U57" si="30">J56*EtaQNomOvn3/J39</f>
        <v>16740</v>
      </c>
      <c r="K57" s="14">
        <f t="shared" si="30"/>
        <v>15120</v>
      </c>
      <c r="L57" s="14">
        <f t="shared" si="30"/>
        <v>16740</v>
      </c>
      <c r="M57" s="14">
        <f t="shared" si="30"/>
        <v>16200</v>
      </c>
      <c r="N57" s="14">
        <f t="shared" si="30"/>
        <v>10253.571428571428</v>
      </c>
      <c r="O57" s="14">
        <f t="shared" si="30"/>
        <v>1080</v>
      </c>
      <c r="P57" s="14">
        <f t="shared" si="30"/>
        <v>5151.6964285714284</v>
      </c>
      <c r="Q57" s="14">
        <f t="shared" si="30"/>
        <v>6246.9642857142862</v>
      </c>
      <c r="R57" s="14">
        <f t="shared" si="30"/>
        <v>7140.5357142857138</v>
      </c>
      <c r="S57" s="14">
        <f t="shared" si="30"/>
        <v>12543.749999999998</v>
      </c>
      <c r="T57" s="14">
        <f t="shared" si="30"/>
        <v>16200</v>
      </c>
      <c r="U57" s="14">
        <f t="shared" si="30"/>
        <v>16740</v>
      </c>
      <c r="Y57"/>
      <c r="Z57"/>
      <c r="AC57" s="12" t="str">
        <f t="shared" si="28"/>
        <v>RGK-rabat</v>
      </c>
      <c r="AD57" s="53" t="str">
        <f t="shared" si="28"/>
        <v>tkr</v>
      </c>
      <c r="AE57" s="15" t="e">
        <f>L105</f>
        <v>#REF!</v>
      </c>
      <c r="AF57" s="15" t="e">
        <f>J105</f>
        <v>#REF!</v>
      </c>
      <c r="AG57" s="16">
        <f>Y86</f>
        <v>0</v>
      </c>
      <c r="AI57" s="32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  <c r="AZ57" s="31"/>
    </row>
    <row r="58" spans="8:52" x14ac:dyDescent="0.25">
      <c r="H58" s="4" t="s">
        <v>57</v>
      </c>
      <c r="I58" s="4" t="s">
        <v>16</v>
      </c>
      <c r="J58" s="14">
        <f>J56/J39/(J30/3.6)</f>
        <v>8450.2099291689374</v>
      </c>
      <c r="K58" s="14">
        <f t="shared" ref="K58:U58" si="31">K56/K39/(K30/3.6)</f>
        <v>7632.4476779590395</v>
      </c>
      <c r="L58" s="14">
        <f t="shared" si="31"/>
        <v>8001.3808303570249</v>
      </c>
      <c r="M58" s="14">
        <f t="shared" si="31"/>
        <v>7743.2717713132497</v>
      </c>
      <c r="N58" s="14">
        <f t="shared" si="31"/>
        <v>4900.999394938347</v>
      </c>
      <c r="O58" s="14">
        <f t="shared" si="31"/>
        <v>516.21811808755001</v>
      </c>
      <c r="P58" s="14">
        <f t="shared" si="31"/>
        <v>2462.4065141810142</v>
      </c>
      <c r="Q58" s="14">
        <f t="shared" si="31"/>
        <v>2985.9223586403377</v>
      </c>
      <c r="R58" s="14">
        <f t="shared" si="31"/>
        <v>3413.0313968199175</v>
      </c>
      <c r="S58" s="14">
        <f t="shared" si="31"/>
        <v>5995.658350704357</v>
      </c>
      <c r="T58" s="14">
        <f t="shared" si="31"/>
        <v>7743.2717713132497</v>
      </c>
      <c r="U58" s="14">
        <f t="shared" si="31"/>
        <v>8001.3808303570249</v>
      </c>
      <c r="Y58"/>
      <c r="Z58"/>
      <c r="AC58" s="12" t="str">
        <f t="shared" si="28"/>
        <v>Modtagebetaling affald</v>
      </c>
      <c r="AD58" s="53" t="str">
        <f t="shared" si="28"/>
        <v>tkr</v>
      </c>
      <c r="AE58" s="15">
        <f>L106</f>
        <v>5600000</v>
      </c>
      <c r="AF58" s="15">
        <f>J106</f>
        <v>4648001.7121823318</v>
      </c>
      <c r="AG58" s="16">
        <f>Y87</f>
        <v>0</v>
      </c>
      <c r="AI58" s="32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  <c r="AZ58" s="31"/>
    </row>
    <row r="59" spans="8:52" x14ac:dyDescent="0.25">
      <c r="H59" s="4" t="s">
        <v>55</v>
      </c>
      <c r="I59" s="4" t="s">
        <v>40</v>
      </c>
      <c r="J59" s="14">
        <f>J5-J56</f>
        <v>7283</v>
      </c>
      <c r="K59" s="14">
        <f t="shared" ref="K59:U59" si="32">K5-K56</f>
        <v>5086</v>
      </c>
      <c r="L59" s="14">
        <f t="shared" si="32"/>
        <v>6523</v>
      </c>
      <c r="M59" s="14">
        <f t="shared" si="32"/>
        <v>2337</v>
      </c>
      <c r="N59" s="14">
        <f t="shared" si="32"/>
        <v>0</v>
      </c>
      <c r="O59" s="14">
        <f t="shared" si="32"/>
        <v>4756</v>
      </c>
      <c r="P59" s="14">
        <f t="shared" si="32"/>
        <v>0</v>
      </c>
      <c r="Q59" s="14">
        <f t="shared" si="32"/>
        <v>0</v>
      </c>
      <c r="R59" s="14">
        <f t="shared" si="32"/>
        <v>0</v>
      </c>
      <c r="S59" s="14">
        <f t="shared" si="32"/>
        <v>0</v>
      </c>
      <c r="T59" s="14">
        <f t="shared" si="32"/>
        <v>250</v>
      </c>
      <c r="U59" s="14">
        <f t="shared" si="32"/>
        <v>4643</v>
      </c>
      <c r="Y59"/>
      <c r="Z59"/>
      <c r="AC59" s="12"/>
      <c r="AD59" s="53"/>
      <c r="AE59" s="16"/>
      <c r="AF59" s="16"/>
      <c r="AG59" s="16"/>
      <c r="AI59" s="32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  <c r="AZ59" s="31"/>
    </row>
    <row r="60" spans="8:52" x14ac:dyDescent="0.25">
      <c r="H60" s="4" t="s">
        <v>56</v>
      </c>
      <c r="I60" s="4" t="s">
        <v>16</v>
      </c>
      <c r="J60" s="14">
        <f>SUM(J6:J8)-J58</f>
        <v>3549.7900708310626</v>
      </c>
      <c r="K60" s="14">
        <f t="shared" ref="K60:U60" si="33">SUM(K6:K8)-K58</f>
        <v>1867.5523220409605</v>
      </c>
      <c r="L60" s="14">
        <f t="shared" si="33"/>
        <v>1498.6191696429751</v>
      </c>
      <c r="M60" s="14">
        <f t="shared" si="33"/>
        <v>1756.7282286867503</v>
      </c>
      <c r="N60" s="14">
        <f t="shared" si="33"/>
        <v>4599.000605061653</v>
      </c>
      <c r="O60" s="14">
        <f t="shared" si="33"/>
        <v>5483.7818819124495</v>
      </c>
      <c r="P60" s="14">
        <f t="shared" si="33"/>
        <v>3537.5934858189858</v>
      </c>
      <c r="Q60" s="14">
        <f t="shared" si="33"/>
        <v>6514.0776413596623</v>
      </c>
      <c r="R60" s="14">
        <f t="shared" si="33"/>
        <v>6086.9686031800829</v>
      </c>
      <c r="S60" s="14">
        <f t="shared" si="33"/>
        <v>3504.341649295643</v>
      </c>
      <c r="T60" s="14">
        <f t="shared" si="33"/>
        <v>4256.7282286867503</v>
      </c>
      <c r="U60" s="14">
        <f t="shared" si="33"/>
        <v>3998.6191696429751</v>
      </c>
      <c r="Y60"/>
      <c r="Z60"/>
      <c r="AC60" s="12" t="str">
        <f t="shared" ref="AC60:AD65" si="34">H108</f>
        <v>Betaling bioaffald</v>
      </c>
      <c r="AD60" s="53" t="str">
        <f t="shared" si="34"/>
        <v>tkr</v>
      </c>
      <c r="AE60" s="16">
        <f t="shared" ref="AE60:AE65" si="35">L108</f>
        <v>0</v>
      </c>
      <c r="AF60" s="16">
        <f t="shared" ref="AF60:AF65" si="36">J108</f>
        <v>9281.9833062222588</v>
      </c>
      <c r="AG60" s="16">
        <f t="shared" ref="AG60:AG65" si="37">Y89</f>
        <v>0</v>
      </c>
      <c r="AI60" s="32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  <c r="AZ60" s="31"/>
    </row>
    <row r="61" spans="8:52" x14ac:dyDescent="0.25">
      <c r="H61" s="6" t="s">
        <v>60</v>
      </c>
      <c r="I61" s="4" t="s">
        <v>40</v>
      </c>
      <c r="J61" s="14">
        <f t="shared" ref="J61:U61" si="38">IF(DoOptimOpt,J19,MIN(J59,J14))</f>
        <v>4000</v>
      </c>
      <c r="K61" s="14">
        <f t="shared" si="38"/>
        <v>0</v>
      </c>
      <c r="L61" s="14">
        <f t="shared" si="38"/>
        <v>0</v>
      </c>
      <c r="M61" s="14">
        <f t="shared" si="38"/>
        <v>0</v>
      </c>
      <c r="N61" s="14">
        <f t="shared" si="38"/>
        <v>0</v>
      </c>
      <c r="O61" s="14">
        <f t="shared" si="38"/>
        <v>0</v>
      </c>
      <c r="P61" s="14">
        <f t="shared" si="38"/>
        <v>0</v>
      </c>
      <c r="Q61" s="14">
        <f t="shared" si="38"/>
        <v>0</v>
      </c>
      <c r="R61" s="14">
        <f t="shared" si="38"/>
        <v>0</v>
      </c>
      <c r="S61" s="14">
        <f t="shared" si="38"/>
        <v>0</v>
      </c>
      <c r="T61" s="14">
        <f t="shared" si="38"/>
        <v>0</v>
      </c>
      <c r="U61" s="14">
        <f t="shared" si="38"/>
        <v>4643</v>
      </c>
      <c r="Y61"/>
      <c r="Z61"/>
      <c r="AC61" s="12" t="str">
        <f t="shared" si="34"/>
        <v>DV-omkostninger</v>
      </c>
      <c r="AD61" s="53" t="str">
        <f t="shared" si="34"/>
        <v>tkr</v>
      </c>
      <c r="AE61" s="15">
        <f t="shared" si="35"/>
        <v>1241098.7605122505</v>
      </c>
      <c r="AF61" s="15">
        <f t="shared" si="36"/>
        <v>1364822.9775574182</v>
      </c>
      <c r="AG61" s="16">
        <f t="shared" si="37"/>
        <v>0</v>
      </c>
      <c r="AI61" s="32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  <c r="AZ61" s="31"/>
    </row>
    <row r="62" spans="8:52" x14ac:dyDescent="0.25">
      <c r="H62" s="4" t="s">
        <v>55</v>
      </c>
      <c r="I62" s="4" t="s">
        <v>40</v>
      </c>
      <c r="J62" s="14">
        <f>J59-J61</f>
        <v>3283</v>
      </c>
      <c r="K62" s="14">
        <f t="shared" ref="K62:U62" si="39">K59-K61</f>
        <v>5086</v>
      </c>
      <c r="L62" s="14">
        <f t="shared" si="39"/>
        <v>6523</v>
      </c>
      <c r="M62" s="14">
        <f t="shared" si="39"/>
        <v>2337</v>
      </c>
      <c r="N62" s="14">
        <f t="shared" si="39"/>
        <v>0</v>
      </c>
      <c r="O62" s="14">
        <f t="shared" si="39"/>
        <v>4756</v>
      </c>
      <c r="P62" s="14">
        <f t="shared" si="39"/>
        <v>0</v>
      </c>
      <c r="Q62" s="14">
        <f t="shared" si="39"/>
        <v>0</v>
      </c>
      <c r="R62" s="14">
        <f t="shared" si="39"/>
        <v>0</v>
      </c>
      <c r="S62" s="14">
        <f t="shared" si="39"/>
        <v>0</v>
      </c>
      <c r="T62" s="14">
        <f t="shared" si="39"/>
        <v>250</v>
      </c>
      <c r="U62" s="14">
        <f t="shared" si="39"/>
        <v>0</v>
      </c>
      <c r="Y62"/>
      <c r="Z62"/>
      <c r="AC62" s="12" t="str">
        <f t="shared" si="34"/>
        <v>Affaldvarme-afgift</v>
      </c>
      <c r="AD62" s="53" t="str">
        <f t="shared" si="34"/>
        <v>tkr</v>
      </c>
      <c r="AE62" s="15">
        <f t="shared" si="35"/>
        <v>2388417.4645282412</v>
      </c>
      <c r="AF62" s="15">
        <f t="shared" si="36"/>
        <v>2239801.2000000002</v>
      </c>
      <c r="AG62" s="16">
        <f t="shared" si="37"/>
        <v>0</v>
      </c>
      <c r="AI62" s="32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  <c r="AZ62" s="31"/>
    </row>
    <row r="63" spans="8:52" x14ac:dyDescent="0.25">
      <c r="H63" s="6" t="s">
        <v>61</v>
      </c>
      <c r="I63" s="4" t="s">
        <v>40</v>
      </c>
      <c r="J63" s="14">
        <f t="shared" ref="J63:U63" si="40">IF(DoOptimOpt,J38*J36*J30/3.6,MIN(J62,J45,J38*J60*J30/3.6))</f>
        <v>3283</v>
      </c>
      <c r="K63" s="14">
        <f t="shared" si="40"/>
        <v>5086</v>
      </c>
      <c r="L63" s="14">
        <f t="shared" si="40"/>
        <v>4883.0889807088834</v>
      </c>
      <c r="M63" s="14">
        <f t="shared" si="40"/>
        <v>2337</v>
      </c>
      <c r="N63" s="14">
        <f t="shared" si="40"/>
        <v>0</v>
      </c>
      <c r="O63" s="14">
        <f t="shared" si="40"/>
        <v>4756</v>
      </c>
      <c r="P63" s="14">
        <f t="shared" si="40"/>
        <v>0</v>
      </c>
      <c r="Q63" s="14">
        <f t="shared" si="40"/>
        <v>0</v>
      </c>
      <c r="R63" s="14">
        <f t="shared" si="40"/>
        <v>0</v>
      </c>
      <c r="S63" s="14">
        <f t="shared" si="40"/>
        <v>0</v>
      </c>
      <c r="T63" s="14">
        <f t="shared" si="40"/>
        <v>250</v>
      </c>
      <c r="U63" s="14">
        <f t="shared" si="40"/>
        <v>0</v>
      </c>
      <c r="Y63"/>
      <c r="Z63"/>
      <c r="AC63" s="12" t="str">
        <f t="shared" si="34"/>
        <v>Tillægsafgift</v>
      </c>
      <c r="AD63" s="53" t="str">
        <f t="shared" si="34"/>
        <v>tkr</v>
      </c>
      <c r="AE63" s="16" t="e">
        <f t="shared" si="35"/>
        <v>#REF!</v>
      </c>
      <c r="AF63" s="16" t="e">
        <f t="shared" si="36"/>
        <v>#REF!</v>
      </c>
      <c r="AG63" s="16">
        <f t="shared" si="37"/>
        <v>0</v>
      </c>
      <c r="AI63" s="32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  <c r="AZ63" s="31"/>
    </row>
    <row r="64" spans="8:52" x14ac:dyDescent="0.25">
      <c r="H64" s="4" t="s">
        <v>229</v>
      </c>
      <c r="I64" s="4" t="s">
        <v>40</v>
      </c>
      <c r="J64" s="14">
        <f>J63*EtaQNomOvn2/J38</f>
        <v>2712.0434782608695</v>
      </c>
      <c r="K64" s="14">
        <f t="shared" ref="K64:U64" si="41">K63*EtaQNomOvn2/EtaQmaxOvn2</f>
        <v>4201.478260869565</v>
      </c>
      <c r="L64" s="14">
        <f t="shared" si="41"/>
        <v>4033.8561144986425</v>
      </c>
      <c r="M64" s="14">
        <f t="shared" si="41"/>
        <v>1930.5652173913043</v>
      </c>
      <c r="N64" s="14">
        <f t="shared" si="41"/>
        <v>0</v>
      </c>
      <c r="O64" s="14">
        <f t="shared" si="41"/>
        <v>3928.8695652173915</v>
      </c>
      <c r="P64" s="14">
        <f t="shared" si="41"/>
        <v>0</v>
      </c>
      <c r="Q64" s="14">
        <f t="shared" si="41"/>
        <v>0</v>
      </c>
      <c r="R64" s="14">
        <f t="shared" si="41"/>
        <v>0</v>
      </c>
      <c r="S64" s="14">
        <f t="shared" si="41"/>
        <v>0</v>
      </c>
      <c r="T64" s="14">
        <f t="shared" si="41"/>
        <v>206.52173913043478</v>
      </c>
      <c r="U64" s="14">
        <f t="shared" si="41"/>
        <v>0</v>
      </c>
      <c r="Y64"/>
      <c r="Z64"/>
      <c r="AC64" s="12" t="str">
        <f t="shared" si="34"/>
        <v>CO2-afgift</v>
      </c>
      <c r="AD64" s="53" t="str">
        <f t="shared" si="34"/>
        <v>tkr</v>
      </c>
      <c r="AE64" s="16" t="e">
        <f t="shared" si="35"/>
        <v>#REF!</v>
      </c>
      <c r="AF64" s="16" t="e">
        <f t="shared" si="36"/>
        <v>#REF!</v>
      </c>
      <c r="AG64" s="16">
        <f t="shared" si="37"/>
        <v>0</v>
      </c>
      <c r="AI64" s="32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  <c r="AZ64" s="31"/>
    </row>
    <row r="65" spans="1:52" x14ac:dyDescent="0.25">
      <c r="A65" s="130" t="s">
        <v>248</v>
      </c>
      <c r="H65" s="4" t="s">
        <v>57</v>
      </c>
      <c r="I65" s="4" t="s">
        <v>16</v>
      </c>
      <c r="J65" s="14">
        <f>J63/J38/(J30/3.6)</f>
        <v>1064.0697207492935</v>
      </c>
      <c r="K65" s="14">
        <f t="shared" ref="K65:U65" si="42">K63/EtaQmaxOvn2/(K30/3.6)</f>
        <v>1648.4491622695421</v>
      </c>
      <c r="L65" s="14">
        <f t="shared" si="42"/>
        <v>1498.6191696429751</v>
      </c>
      <c r="M65" s="14">
        <f t="shared" si="42"/>
        <v>717.22489868435787</v>
      </c>
      <c r="N65" s="14">
        <f t="shared" si="42"/>
        <v>0</v>
      </c>
      <c r="O65" s="14">
        <f t="shared" si="42"/>
        <v>1459.6155832874649</v>
      </c>
      <c r="P65" s="14">
        <f t="shared" si="42"/>
        <v>0</v>
      </c>
      <c r="Q65" s="14">
        <f t="shared" si="42"/>
        <v>0</v>
      </c>
      <c r="R65" s="14">
        <f t="shared" si="42"/>
        <v>0</v>
      </c>
      <c r="S65" s="14">
        <f t="shared" si="42"/>
        <v>0</v>
      </c>
      <c r="T65" s="14">
        <f t="shared" si="42"/>
        <v>76.724957069357913</v>
      </c>
      <c r="U65" s="14">
        <f t="shared" si="42"/>
        <v>0</v>
      </c>
      <c r="Y65"/>
      <c r="Z65"/>
      <c r="AC65" s="12" t="str">
        <f t="shared" si="34"/>
        <v>Kvote-omkostning</v>
      </c>
      <c r="AD65" s="53" t="str">
        <f t="shared" si="34"/>
        <v>tkr</v>
      </c>
      <c r="AE65" s="16">
        <f t="shared" si="35"/>
        <v>2883200</v>
      </c>
      <c r="AF65" s="16">
        <f t="shared" si="36"/>
        <v>2022445.5665611641</v>
      </c>
      <c r="AG65" s="16">
        <f t="shared" si="37"/>
        <v>0</v>
      </c>
      <c r="AI65" s="32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  <c r="AZ65" s="31"/>
    </row>
    <row r="66" spans="1:52" x14ac:dyDescent="0.25">
      <c r="H66" s="4" t="s">
        <v>55</v>
      </c>
      <c r="I66" s="4" t="s">
        <v>40</v>
      </c>
      <c r="J66" s="14">
        <f t="shared" ref="J66:U66" si="43">J62-J63</f>
        <v>0</v>
      </c>
      <c r="K66" s="14">
        <f t="shared" si="43"/>
        <v>0</v>
      </c>
      <c r="L66" s="14">
        <f t="shared" si="43"/>
        <v>1639.9110192911166</v>
      </c>
      <c r="M66" s="14">
        <f t="shared" si="43"/>
        <v>0</v>
      </c>
      <c r="N66" s="14">
        <f t="shared" si="43"/>
        <v>0</v>
      </c>
      <c r="O66" s="14">
        <f t="shared" si="43"/>
        <v>0</v>
      </c>
      <c r="P66" s="14">
        <f t="shared" si="43"/>
        <v>0</v>
      </c>
      <c r="Q66" s="14">
        <f t="shared" si="43"/>
        <v>0</v>
      </c>
      <c r="R66" s="14">
        <f t="shared" si="43"/>
        <v>0</v>
      </c>
      <c r="S66" s="14">
        <f t="shared" si="43"/>
        <v>0</v>
      </c>
      <c r="T66" s="14">
        <f t="shared" si="43"/>
        <v>0</v>
      </c>
      <c r="U66" s="14">
        <f t="shared" si="43"/>
        <v>0</v>
      </c>
      <c r="Y66"/>
      <c r="Z66"/>
      <c r="AC66" s="12"/>
      <c r="AD66" s="53"/>
      <c r="AE66" s="16"/>
      <c r="AF66" s="16"/>
      <c r="AG66" s="16"/>
      <c r="AI66" s="32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  <c r="AZ66" s="31"/>
    </row>
    <row r="67" spans="1:52" x14ac:dyDescent="0.25">
      <c r="H67" s="4" t="s">
        <v>56</v>
      </c>
      <c r="I67" s="4" t="s">
        <v>16</v>
      </c>
      <c r="J67" s="14">
        <f t="shared" ref="J67:U67" si="44">J60-J65</f>
        <v>2485.7203500817691</v>
      </c>
      <c r="K67" s="14">
        <f t="shared" si="44"/>
        <v>219.1031597714184</v>
      </c>
      <c r="L67" s="14">
        <f t="shared" si="44"/>
        <v>0</v>
      </c>
      <c r="M67" s="14">
        <f t="shared" si="44"/>
        <v>1039.5033300023924</v>
      </c>
      <c r="N67" s="14">
        <f t="shared" si="44"/>
        <v>4599.000605061653</v>
      </c>
      <c r="O67" s="14">
        <f t="shared" si="44"/>
        <v>4024.1662986249848</v>
      </c>
      <c r="P67" s="14">
        <f t="shared" si="44"/>
        <v>3537.5934858189858</v>
      </c>
      <c r="Q67" s="14">
        <f t="shared" si="44"/>
        <v>6514.0776413596623</v>
      </c>
      <c r="R67" s="14">
        <f t="shared" si="44"/>
        <v>6086.9686031800829</v>
      </c>
      <c r="S67" s="14">
        <f t="shared" si="44"/>
        <v>3504.341649295643</v>
      </c>
      <c r="T67" s="14">
        <f t="shared" si="44"/>
        <v>4180.0032716173928</v>
      </c>
      <c r="U67" s="14">
        <f t="shared" si="44"/>
        <v>3998.6191696429751</v>
      </c>
      <c r="Y67"/>
      <c r="Z67"/>
      <c r="AC67" s="6" t="s">
        <v>168</v>
      </c>
      <c r="AD67" s="5"/>
      <c r="AE67" s="13" t="str">
        <f>AE50</f>
        <v>MAR</v>
      </c>
      <c r="AF67" s="13" t="str">
        <f>AF50</f>
        <v>JAN</v>
      </c>
      <c r="AG67" s="11"/>
      <c r="AI67" s="32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  <c r="AY67" s="31"/>
      <c r="AZ67" s="31"/>
    </row>
    <row r="68" spans="1:52" x14ac:dyDescent="0.25">
      <c r="A68" s="130" t="s">
        <v>249</v>
      </c>
      <c r="H68" s="5" t="s">
        <v>64</v>
      </c>
      <c r="I68" s="4" t="s">
        <v>40</v>
      </c>
      <c r="J68" s="14">
        <f t="shared" ref="J68:U68" si="45">J56+J63</f>
        <v>24115</v>
      </c>
      <c r="K68" s="14">
        <f t="shared" si="45"/>
        <v>23902</v>
      </c>
      <c r="L68" s="14">
        <f t="shared" si="45"/>
        <v>25715.088980708882</v>
      </c>
      <c r="M68" s="14">
        <f t="shared" si="45"/>
        <v>22497</v>
      </c>
      <c r="N68" s="14">
        <f t="shared" si="45"/>
        <v>12760</v>
      </c>
      <c r="O68" s="14">
        <f t="shared" si="45"/>
        <v>6100</v>
      </c>
      <c r="P68" s="14">
        <f t="shared" si="45"/>
        <v>6411</v>
      </c>
      <c r="Q68" s="14">
        <f t="shared" si="45"/>
        <v>7774</v>
      </c>
      <c r="R68" s="14">
        <f t="shared" si="45"/>
        <v>8886</v>
      </c>
      <c r="S68" s="14">
        <f t="shared" si="45"/>
        <v>15610</v>
      </c>
      <c r="T68" s="14">
        <f t="shared" si="45"/>
        <v>20410</v>
      </c>
      <c r="U68" s="14">
        <f t="shared" si="45"/>
        <v>20832</v>
      </c>
      <c r="Y68"/>
      <c r="Z68"/>
      <c r="AC68" s="4" t="str">
        <f>H84</f>
        <v>Varmeproduktion Ovn2</v>
      </c>
      <c r="AD68" s="5" t="s">
        <v>40</v>
      </c>
      <c r="AE68" s="11">
        <f>L84</f>
        <v>4883.0889807088834</v>
      </c>
      <c r="AF68" s="11">
        <f>J84</f>
        <v>7638.95652173913</v>
      </c>
      <c r="AG68" s="11">
        <f>AF68-AE68</f>
        <v>2755.8675410302467</v>
      </c>
      <c r="AI68" s="32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  <c r="AZ68" s="31"/>
    </row>
    <row r="69" spans="1:52" x14ac:dyDescent="0.25">
      <c r="H69" s="5" t="s">
        <v>65</v>
      </c>
      <c r="I69" s="4" t="s">
        <v>40</v>
      </c>
      <c r="J69" s="14">
        <f>J66</f>
        <v>0</v>
      </c>
      <c r="K69" s="14">
        <f t="shared" ref="K69:U69" si="46">K66</f>
        <v>0</v>
      </c>
      <c r="L69" s="14">
        <f t="shared" si="46"/>
        <v>1639.9110192911166</v>
      </c>
      <c r="M69" s="14">
        <f t="shared" si="46"/>
        <v>0</v>
      </c>
      <c r="N69" s="14">
        <f t="shared" si="46"/>
        <v>0</v>
      </c>
      <c r="O69" s="14">
        <f t="shared" si="46"/>
        <v>0</v>
      </c>
      <c r="P69" s="14">
        <f t="shared" si="46"/>
        <v>0</v>
      </c>
      <c r="Q69" s="14">
        <f t="shared" si="46"/>
        <v>0</v>
      </c>
      <c r="R69" s="14">
        <f t="shared" si="46"/>
        <v>0</v>
      </c>
      <c r="S69" s="14">
        <f t="shared" si="46"/>
        <v>0</v>
      </c>
      <c r="T69" s="14">
        <f t="shared" si="46"/>
        <v>0</v>
      </c>
      <c r="U69" s="14">
        <f t="shared" si="46"/>
        <v>0</v>
      </c>
      <c r="Y69"/>
      <c r="Z69"/>
      <c r="AC69" s="4" t="str">
        <f>H85</f>
        <v>Varmeproduktion Ovn3</v>
      </c>
      <c r="AD69" s="5" t="s">
        <v>40</v>
      </c>
      <c r="AE69" s="11">
        <f>L85</f>
        <v>20832</v>
      </c>
      <c r="AF69" s="11">
        <f>J85</f>
        <v>20832</v>
      </c>
      <c r="AG69" s="11">
        <f t="shared" ref="AG69:AG73" si="47">AF69-AE69</f>
        <v>0</v>
      </c>
      <c r="AI69" s="32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  <c r="AX69" s="31"/>
      <c r="AY69" s="31"/>
      <c r="AZ69" s="31"/>
    </row>
    <row r="70" spans="1:52" x14ac:dyDescent="0.25">
      <c r="H70" s="4" t="s">
        <v>88</v>
      </c>
      <c r="I70" s="4" t="s">
        <v>40</v>
      </c>
      <c r="J70" s="14">
        <f>J43-EtaQNomOvn2*J65*J30/3.6</f>
        <v>4355.95652173913</v>
      </c>
      <c r="K70" s="14">
        <f t="shared" ref="K70:U70" si="48">K43-EtaQNomOvn3*K65*K30/3.6</f>
        <v>3118.3960436843181</v>
      </c>
      <c r="L70" s="14">
        <f t="shared" si="48"/>
        <v>3932.6805555555566</v>
      </c>
      <c r="M70" s="14">
        <f t="shared" si="48"/>
        <v>5339.4658973830619</v>
      </c>
      <c r="N70" s="14">
        <f t="shared" si="48"/>
        <v>7068</v>
      </c>
      <c r="O70" s="14">
        <f t="shared" si="48"/>
        <v>3786.2814753760563</v>
      </c>
      <c r="P70" s="14">
        <f t="shared" si="48"/>
        <v>7068</v>
      </c>
      <c r="Q70" s="14">
        <f t="shared" si="48"/>
        <v>7068</v>
      </c>
      <c r="R70" s="14">
        <f t="shared" si="48"/>
        <v>6840</v>
      </c>
      <c r="S70" s="14">
        <f t="shared" si="48"/>
        <v>7068</v>
      </c>
      <c r="T70" s="14">
        <f t="shared" si="48"/>
        <v>6679.4807335668656</v>
      </c>
      <c r="U70" s="14">
        <f t="shared" si="48"/>
        <v>7068</v>
      </c>
      <c r="Y70"/>
      <c r="Z70"/>
      <c r="AC70" s="4" t="str">
        <f>H87</f>
        <v>Heraf RGK-varme</v>
      </c>
      <c r="AD70" s="5" t="s">
        <v>40</v>
      </c>
      <c r="AE70" s="11">
        <f>L87</f>
        <v>5300.6091090984</v>
      </c>
      <c r="AF70" s="11">
        <f>J87</f>
        <v>5049.4716687852942</v>
      </c>
      <c r="AG70" s="11">
        <f t="shared" si="47"/>
        <v>-251.1374403131058</v>
      </c>
      <c r="AI70" s="32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  <c r="AZ70" s="31"/>
    </row>
    <row r="71" spans="1:52" x14ac:dyDescent="0.25">
      <c r="H71" s="4" t="s">
        <v>89</v>
      </c>
      <c r="I71" s="4" t="s">
        <v>40</v>
      </c>
      <c r="J71" s="14">
        <f t="shared" ref="J71:U71" si="49">J50-EtaQNomOvn3*J58*J30/3.6</f>
        <v>0</v>
      </c>
      <c r="K71" s="14">
        <f t="shared" si="49"/>
        <v>0</v>
      </c>
      <c r="L71" s="14">
        <f t="shared" si="49"/>
        <v>0</v>
      </c>
      <c r="M71" s="14">
        <f t="shared" si="49"/>
        <v>0</v>
      </c>
      <c r="N71" s="14">
        <f t="shared" si="49"/>
        <v>6486.4285714285706</v>
      </c>
      <c r="O71" s="14">
        <f t="shared" si="49"/>
        <v>0</v>
      </c>
      <c r="P71" s="14">
        <f t="shared" si="49"/>
        <v>11588.303571428571</v>
      </c>
      <c r="Q71" s="14">
        <f t="shared" si="49"/>
        <v>10493.035714285714</v>
      </c>
      <c r="R71" s="14">
        <f t="shared" si="49"/>
        <v>9059.4642857142862</v>
      </c>
      <c r="S71" s="14">
        <f t="shared" si="49"/>
        <v>4196.25</v>
      </c>
      <c r="T71" s="14">
        <f t="shared" si="49"/>
        <v>0</v>
      </c>
      <c r="U71" s="14">
        <f t="shared" si="49"/>
        <v>0</v>
      </c>
      <c r="Y71"/>
      <c r="Z71"/>
      <c r="AC71" s="4" t="str">
        <f>H78</f>
        <v>Bortkølet varme</v>
      </c>
      <c r="AD71" s="5" t="s">
        <v>40</v>
      </c>
      <c r="AE71" s="11">
        <f>L78</f>
        <v>0</v>
      </c>
      <c r="AF71" s="11">
        <f>J78</f>
        <v>4355.95652173913</v>
      </c>
      <c r="AG71" s="11">
        <f t="shared" si="47"/>
        <v>4355.95652173913</v>
      </c>
      <c r="AI71" s="32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  <c r="AX71" s="31"/>
      <c r="AY71" s="31"/>
      <c r="AZ71" s="31"/>
    </row>
    <row r="72" spans="1:52" x14ac:dyDescent="0.25">
      <c r="H72" s="4" t="s">
        <v>91</v>
      </c>
      <c r="I72" s="4" t="s">
        <v>40</v>
      </c>
      <c r="J72" s="14">
        <f>IF(DoOptimOpt,MIN(J71,EtaQNomOvn3*J67*J30/3.6),MIN(J71,EtaQNomOvn3*J67*J30/3.6,24*J29*KapQcool))</f>
        <v>0</v>
      </c>
      <c r="K72" s="14">
        <f t="shared" ref="K72:U72" si="50">MIN(K71,EtaQNomOvn3*K67*K30/3.6,24*EtaQNomOvn3*KapQcool)</f>
        <v>0</v>
      </c>
      <c r="L72" s="14">
        <f t="shared" si="50"/>
        <v>0</v>
      </c>
      <c r="M72" s="14">
        <f t="shared" si="50"/>
        <v>0</v>
      </c>
      <c r="N72" s="14">
        <f t="shared" si="50"/>
        <v>236.16</v>
      </c>
      <c r="O72" s="14">
        <f t="shared" si="50"/>
        <v>0</v>
      </c>
      <c r="P72" s="14">
        <f t="shared" si="50"/>
        <v>236.16</v>
      </c>
      <c r="Q72" s="14">
        <f t="shared" si="50"/>
        <v>236.16</v>
      </c>
      <c r="R72" s="14">
        <f t="shared" si="50"/>
        <v>236.16</v>
      </c>
      <c r="S72" s="14">
        <f t="shared" si="50"/>
        <v>236.16</v>
      </c>
      <c r="T72" s="14">
        <f t="shared" si="50"/>
        <v>0</v>
      </c>
      <c r="U72" s="14">
        <f t="shared" si="50"/>
        <v>0</v>
      </c>
      <c r="Y72"/>
      <c r="Z72"/>
      <c r="AC72" s="4" t="str">
        <f>H90</f>
        <v>Leveret varme</v>
      </c>
      <c r="AD72" s="5" t="s">
        <v>40</v>
      </c>
      <c r="AE72" s="11">
        <f>L90</f>
        <v>25715.088980708882</v>
      </c>
      <c r="AF72" s="11">
        <f>J90</f>
        <v>24115</v>
      </c>
      <c r="AG72" s="11">
        <f t="shared" si="47"/>
        <v>-1600.0889807088824</v>
      </c>
      <c r="AI72" s="32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  <c r="AZ72" s="31"/>
    </row>
    <row r="73" spans="1:52" x14ac:dyDescent="0.25">
      <c r="H73" s="4" t="s">
        <v>92</v>
      </c>
      <c r="I73" s="4" t="s">
        <v>16</v>
      </c>
      <c r="J73" s="14">
        <f t="shared" ref="J73:U73" si="51">J72/EtaQNomOvn3/(J30/3.6)</f>
        <v>0</v>
      </c>
      <c r="K73" s="14">
        <f t="shared" si="51"/>
        <v>0</v>
      </c>
      <c r="L73" s="14">
        <f t="shared" si="51"/>
        <v>0</v>
      </c>
      <c r="M73" s="14">
        <f t="shared" si="51"/>
        <v>0</v>
      </c>
      <c r="N73" s="14">
        <f t="shared" si="51"/>
        <v>112.87969515514428</v>
      </c>
      <c r="O73" s="14">
        <f t="shared" si="51"/>
        <v>0</v>
      </c>
      <c r="P73" s="14">
        <f t="shared" si="51"/>
        <v>112.87969515514428</v>
      </c>
      <c r="Q73" s="14">
        <f t="shared" si="51"/>
        <v>112.87969515514428</v>
      </c>
      <c r="R73" s="14">
        <f t="shared" si="51"/>
        <v>112.87969515514428</v>
      </c>
      <c r="S73" s="14">
        <f t="shared" si="51"/>
        <v>112.87969515514428</v>
      </c>
      <c r="T73" s="14">
        <f t="shared" si="51"/>
        <v>0</v>
      </c>
      <c r="U73" s="14">
        <f t="shared" si="51"/>
        <v>0</v>
      </c>
      <c r="Y73"/>
      <c r="Z73"/>
      <c r="AC73" s="4" t="str">
        <f>H91</f>
        <v>Spidslastvarme</v>
      </c>
      <c r="AD73" s="5" t="s">
        <v>40</v>
      </c>
      <c r="AE73" s="11">
        <f>L91</f>
        <v>1639.9110192911176</v>
      </c>
      <c r="AF73" s="11">
        <f>J91</f>
        <v>0</v>
      </c>
      <c r="AG73" s="11">
        <f t="shared" si="47"/>
        <v>-1639.9110192911176</v>
      </c>
      <c r="AI73" s="32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  <c r="AZ73" s="31"/>
    </row>
    <row r="74" spans="1:52" x14ac:dyDescent="0.25">
      <c r="D74" s="129"/>
      <c r="E74" s="129"/>
      <c r="F74" s="129" t="s">
        <v>246</v>
      </c>
      <c r="H74" s="4" t="s">
        <v>56</v>
      </c>
      <c r="I74" s="4" t="s">
        <v>16</v>
      </c>
      <c r="J74" s="14">
        <f>J67-J73</f>
        <v>2485.7203500817691</v>
      </c>
      <c r="K74" s="14">
        <f t="shared" ref="K74:U74" si="52">K67-K73</f>
        <v>219.1031597714184</v>
      </c>
      <c r="L74" s="14">
        <f t="shared" si="52"/>
        <v>0</v>
      </c>
      <c r="M74" s="14">
        <f t="shared" si="52"/>
        <v>1039.5033300023924</v>
      </c>
      <c r="N74" s="14">
        <f t="shared" si="52"/>
        <v>4486.120909906509</v>
      </c>
      <c r="O74" s="14">
        <f t="shared" si="52"/>
        <v>4024.1662986249848</v>
      </c>
      <c r="P74" s="14">
        <f t="shared" si="52"/>
        <v>3424.7137906638413</v>
      </c>
      <c r="Q74" s="14">
        <f t="shared" si="52"/>
        <v>6401.1979462045183</v>
      </c>
      <c r="R74" s="14">
        <f t="shared" si="52"/>
        <v>5974.088908024939</v>
      </c>
      <c r="S74" s="14">
        <f t="shared" si="52"/>
        <v>3391.4619541404986</v>
      </c>
      <c r="T74" s="14">
        <f t="shared" si="52"/>
        <v>4180.0032716173928</v>
      </c>
      <c r="U74" s="14">
        <f t="shared" si="52"/>
        <v>3998.6191696429751</v>
      </c>
      <c r="Y74"/>
      <c r="Z74"/>
      <c r="AC74" s="4"/>
      <c r="AD74" s="5"/>
      <c r="AE74" s="16"/>
      <c r="AF74" s="16"/>
      <c r="AG74" s="11"/>
      <c r="AI74" s="32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  <c r="AZ74" s="31"/>
    </row>
    <row r="75" spans="1:52" x14ac:dyDescent="0.25">
      <c r="H75" s="4" t="s">
        <v>90</v>
      </c>
      <c r="I75" s="4" t="s">
        <v>40</v>
      </c>
      <c r="J75" s="14">
        <f>IF(DoOptimOpt,MIN(J70,EtaQNomOvn2*J74*J30/3.6),MIN(J70,EtaQNomOvn2*J74*J30/3.6,24*J29*KapQcool-J72))</f>
        <v>4355.95652173913</v>
      </c>
      <c r="K75" s="14">
        <f t="shared" ref="K75:U75" si="53">MIN(K70,EtaQNomOvn3*K74*K30/3.6,24*$E$11*KapQcool-K72)</f>
        <v>434.04683733511274</v>
      </c>
      <c r="L75" s="14">
        <f t="shared" si="53"/>
        <v>0</v>
      </c>
      <c r="M75" s="14">
        <f t="shared" si="53"/>
        <v>2174.7853418275054</v>
      </c>
      <c r="N75" s="14">
        <f t="shared" si="53"/>
        <v>7068</v>
      </c>
      <c r="O75" s="14">
        <f t="shared" si="53"/>
        <v>3786.2814753760563</v>
      </c>
      <c r="P75" s="14">
        <f t="shared" si="53"/>
        <v>7068</v>
      </c>
      <c r="Q75" s="14">
        <f t="shared" si="53"/>
        <v>7068</v>
      </c>
      <c r="R75" s="14">
        <f t="shared" si="53"/>
        <v>6840</v>
      </c>
      <c r="S75" s="14">
        <f t="shared" si="53"/>
        <v>7068</v>
      </c>
      <c r="T75" s="14">
        <f t="shared" si="53"/>
        <v>6679.4807335668656</v>
      </c>
      <c r="U75" s="14">
        <f t="shared" si="53"/>
        <v>7068</v>
      </c>
      <c r="Y75"/>
      <c r="Z75"/>
      <c r="AC75" s="6" t="s">
        <v>169</v>
      </c>
      <c r="AD75" s="5"/>
      <c r="AE75" s="45" t="str">
        <f>AE50</f>
        <v>MAR</v>
      </c>
      <c r="AF75" s="45" t="str">
        <f>AF50</f>
        <v>JAN</v>
      </c>
      <c r="AG75" s="11"/>
      <c r="AI75" s="32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  <c r="AZ75" s="31"/>
    </row>
    <row r="76" spans="1:52" x14ac:dyDescent="0.25">
      <c r="H76" s="4" t="s">
        <v>93</v>
      </c>
      <c r="I76" s="4" t="s">
        <v>16</v>
      </c>
      <c r="J76" s="14">
        <f t="shared" ref="J76:U76" si="54">J75/EtaQNomOvn2/(J30/3.6)</f>
        <v>1709.0586772802387</v>
      </c>
      <c r="K76" s="14">
        <f t="shared" si="54"/>
        <v>170.29819053323519</v>
      </c>
      <c r="L76" s="14">
        <f t="shared" si="54"/>
        <v>0</v>
      </c>
      <c r="M76" s="14">
        <f t="shared" si="54"/>
        <v>807.95519488337618</v>
      </c>
      <c r="N76" s="14">
        <f t="shared" si="54"/>
        <v>2625.8349307417052</v>
      </c>
      <c r="O76" s="14">
        <f t="shared" si="54"/>
        <v>1406.6426366246021</v>
      </c>
      <c r="P76" s="14">
        <f t="shared" si="54"/>
        <v>2625.8349307417052</v>
      </c>
      <c r="Q76" s="14">
        <f t="shared" si="54"/>
        <v>2625.8349307417052</v>
      </c>
      <c r="R76" s="14">
        <f t="shared" si="54"/>
        <v>2541.1305781371339</v>
      </c>
      <c r="S76" s="14">
        <f t="shared" si="54"/>
        <v>2625.8349307417052</v>
      </c>
      <c r="T76" s="14">
        <f t="shared" si="54"/>
        <v>2481.4960143486287</v>
      </c>
      <c r="U76" s="14">
        <f t="shared" si="54"/>
        <v>2625.8349307417052</v>
      </c>
      <c r="Y76"/>
      <c r="Z76"/>
      <c r="AC76" s="4" t="s">
        <v>133</v>
      </c>
      <c r="AD76" s="5" t="s">
        <v>16</v>
      </c>
      <c r="AE76" s="11">
        <f>L58</f>
        <v>8001.3808303570249</v>
      </c>
      <c r="AF76" s="11">
        <f>J58</f>
        <v>8450.2099291689374</v>
      </c>
      <c r="AG76" s="11">
        <f>AF76-AE76</f>
        <v>448.82909881191244</v>
      </c>
      <c r="AI76" s="32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  <c r="AZ76" s="31"/>
    </row>
    <row r="77" spans="1:52" x14ac:dyDescent="0.25">
      <c r="H77" s="4" t="s">
        <v>56</v>
      </c>
      <c r="I77" s="4" t="s">
        <v>16</v>
      </c>
      <c r="J77" s="14">
        <f>J74-J76</f>
        <v>776.66167280153036</v>
      </c>
      <c r="K77" s="14">
        <f t="shared" ref="K77:U77" si="55">K74-K76</f>
        <v>48.804969238183219</v>
      </c>
      <c r="L77" s="14">
        <f t="shared" si="55"/>
        <v>0</v>
      </c>
      <c r="M77" s="14">
        <f t="shared" si="55"/>
        <v>231.54813511901625</v>
      </c>
      <c r="N77" s="14">
        <f t="shared" si="55"/>
        <v>1860.2859791648038</v>
      </c>
      <c r="O77" s="14">
        <f t="shared" si="55"/>
        <v>2617.5236620003825</v>
      </c>
      <c r="P77" s="14">
        <f t="shared" si="55"/>
        <v>798.87885992213614</v>
      </c>
      <c r="Q77" s="14">
        <f t="shared" si="55"/>
        <v>3775.3630154628131</v>
      </c>
      <c r="R77" s="14">
        <f t="shared" si="55"/>
        <v>3432.9583298878051</v>
      </c>
      <c r="S77" s="14">
        <f t="shared" si="55"/>
        <v>765.62702339879343</v>
      </c>
      <c r="T77" s="14">
        <f t="shared" si="55"/>
        <v>1698.5072572687641</v>
      </c>
      <c r="U77" s="14">
        <f t="shared" si="55"/>
        <v>1372.7842389012699</v>
      </c>
      <c r="Y77"/>
      <c r="Z77"/>
      <c r="AC77" s="4" t="s">
        <v>134</v>
      </c>
      <c r="AD77" s="5" t="s">
        <v>40</v>
      </c>
      <c r="AE77" s="11">
        <f>L61</f>
        <v>0</v>
      </c>
      <c r="AF77" s="11">
        <f>J61</f>
        <v>4000</v>
      </c>
      <c r="AG77" s="11">
        <f t="shared" ref="AG77:AG82" si="56">AF77-AE77</f>
        <v>4000</v>
      </c>
      <c r="AI77" s="32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  <c r="AX77" s="31"/>
      <c r="AY77" s="31"/>
      <c r="AZ77" s="31"/>
    </row>
    <row r="78" spans="1:52" x14ac:dyDescent="0.25">
      <c r="A78" s="130" t="s">
        <v>250</v>
      </c>
      <c r="H78" s="4" t="s">
        <v>43</v>
      </c>
      <c r="I78" s="4" t="s">
        <v>40</v>
      </c>
      <c r="J78" s="14">
        <f>J72+J75</f>
        <v>4355.95652173913</v>
      </c>
      <c r="K78" s="14">
        <f t="shared" ref="K78:U78" si="57">K72+K75</f>
        <v>434.04683733511274</v>
      </c>
      <c r="L78" s="14">
        <f t="shared" si="57"/>
        <v>0</v>
      </c>
      <c r="M78" s="14">
        <f t="shared" si="57"/>
        <v>2174.7853418275054</v>
      </c>
      <c r="N78" s="14">
        <f t="shared" si="57"/>
        <v>7304.16</v>
      </c>
      <c r="O78" s="14">
        <f t="shared" si="57"/>
        <v>3786.2814753760563</v>
      </c>
      <c r="P78" s="14">
        <f t="shared" si="57"/>
        <v>7304.16</v>
      </c>
      <c r="Q78" s="14">
        <f t="shared" si="57"/>
        <v>7304.16</v>
      </c>
      <c r="R78" s="14">
        <f t="shared" si="57"/>
        <v>7076.16</v>
      </c>
      <c r="S78" s="14">
        <f t="shared" si="57"/>
        <v>7304.16</v>
      </c>
      <c r="T78" s="14">
        <f t="shared" si="57"/>
        <v>6679.4807335668656</v>
      </c>
      <c r="U78" s="14">
        <f t="shared" si="57"/>
        <v>7068</v>
      </c>
      <c r="Y78"/>
      <c r="Z78"/>
      <c r="AC78" s="4" t="s">
        <v>135</v>
      </c>
      <c r="AD78" s="5" t="s">
        <v>16</v>
      </c>
      <c r="AE78" s="11">
        <f>L65</f>
        <v>1498.6191696429751</v>
      </c>
      <c r="AF78" s="11">
        <f>J65</f>
        <v>1064.0697207492935</v>
      </c>
      <c r="AG78" s="11">
        <f t="shared" si="56"/>
        <v>-434.54944889368153</v>
      </c>
      <c r="AI78" s="32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  <c r="AZ78" s="31"/>
    </row>
    <row r="79" spans="1:52" x14ac:dyDescent="0.25">
      <c r="H79" s="4" t="s">
        <v>108</v>
      </c>
      <c r="I79" s="4" t="s">
        <v>16</v>
      </c>
      <c r="J79" s="14">
        <f>J58+J65+J73+J76</f>
        <v>11223.338327198469</v>
      </c>
      <c r="K79" s="14">
        <f t="shared" ref="K79:U79" si="58">K31-K80</f>
        <v>13780.896840228581</v>
      </c>
      <c r="L79" s="14">
        <f t="shared" si="58"/>
        <v>16000</v>
      </c>
      <c r="M79" s="14">
        <f t="shared" si="58"/>
        <v>14960.496669997607</v>
      </c>
      <c r="N79" s="14">
        <f t="shared" si="58"/>
        <v>11400.999394938346</v>
      </c>
      <c r="O79" s="14">
        <f t="shared" si="58"/>
        <v>11975.833701375015</v>
      </c>
      <c r="P79" s="14">
        <f t="shared" si="58"/>
        <v>12462.406514181013</v>
      </c>
      <c r="Q79" s="14">
        <f t="shared" si="58"/>
        <v>9485.9223586403386</v>
      </c>
      <c r="R79" s="14">
        <f t="shared" si="58"/>
        <v>9913.0313968199171</v>
      </c>
      <c r="S79" s="14">
        <f t="shared" si="58"/>
        <v>12495.658350704358</v>
      </c>
      <c r="T79" s="14">
        <f t="shared" si="58"/>
        <v>11819.996728382608</v>
      </c>
      <c r="U79" s="14">
        <f t="shared" si="58"/>
        <v>12001.380830357026</v>
      </c>
      <c r="Y79"/>
      <c r="Z79"/>
      <c r="AC79" s="4" t="s">
        <v>92</v>
      </c>
      <c r="AD79" s="5" t="s">
        <v>16</v>
      </c>
      <c r="AE79" s="11">
        <f>L73</f>
        <v>0</v>
      </c>
      <c r="AF79" s="11">
        <f>J73</f>
        <v>0</v>
      </c>
      <c r="AG79" s="11">
        <f t="shared" si="56"/>
        <v>0</v>
      </c>
      <c r="AI79" s="32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  <c r="AX79" s="31"/>
      <c r="AY79" s="31"/>
      <c r="AZ79" s="31"/>
    </row>
    <row r="80" spans="1:52" x14ac:dyDescent="0.25">
      <c r="H80" s="4" t="s">
        <v>109</v>
      </c>
      <c r="I80" s="4" t="s">
        <v>16</v>
      </c>
      <c r="J80" s="14">
        <f>J31-J79</f>
        <v>2776.6616728015306</v>
      </c>
      <c r="K80" s="14">
        <f t="shared" ref="K80:U80" si="59">K67</f>
        <v>219.1031597714184</v>
      </c>
      <c r="L80" s="14">
        <f t="shared" si="59"/>
        <v>0</v>
      </c>
      <c r="M80" s="14">
        <f t="shared" si="59"/>
        <v>1039.5033300023924</v>
      </c>
      <c r="N80" s="14">
        <f t="shared" si="59"/>
        <v>4599.000605061653</v>
      </c>
      <c r="O80" s="14">
        <f t="shared" si="59"/>
        <v>4024.1662986249848</v>
      </c>
      <c r="P80" s="14">
        <f t="shared" si="59"/>
        <v>3537.5934858189858</v>
      </c>
      <c r="Q80" s="14">
        <f t="shared" si="59"/>
        <v>6514.0776413596623</v>
      </c>
      <c r="R80" s="14">
        <f t="shared" si="59"/>
        <v>6086.9686031800829</v>
      </c>
      <c r="S80" s="14">
        <f t="shared" si="59"/>
        <v>3504.341649295643</v>
      </c>
      <c r="T80" s="14">
        <f t="shared" si="59"/>
        <v>4180.0032716173928</v>
      </c>
      <c r="U80" s="14">
        <f t="shared" si="59"/>
        <v>3998.6191696429751</v>
      </c>
      <c r="Y80"/>
      <c r="Z80"/>
      <c r="AC80" s="4" t="s">
        <v>93</v>
      </c>
      <c r="AD80" s="5" t="s">
        <v>16</v>
      </c>
      <c r="AE80" s="11">
        <f>L76</f>
        <v>0</v>
      </c>
      <c r="AF80" s="11">
        <f>J76</f>
        <v>1709.0586772802387</v>
      </c>
      <c r="AG80" s="11">
        <f t="shared" si="56"/>
        <v>1709.0586772802387</v>
      </c>
      <c r="AI80" s="32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  <c r="AZ80" s="31"/>
    </row>
    <row r="81" spans="7:52" x14ac:dyDescent="0.25">
      <c r="G81" s="100"/>
      <c r="H81" t="s">
        <v>44</v>
      </c>
      <c r="I81" s="4" t="s">
        <v>47</v>
      </c>
      <c r="J81" s="14">
        <f t="shared" ref="J81:U81" si="60">EtaE*(J58+J73)*J30/3.6</f>
        <v>5733.9603658536589</v>
      </c>
      <c r="K81" s="14">
        <f t="shared" si="60"/>
        <v>5179.0609756097556</v>
      </c>
      <c r="L81" s="14">
        <f t="shared" si="60"/>
        <v>5733.960365853658</v>
      </c>
      <c r="M81" s="14">
        <f t="shared" si="60"/>
        <v>5548.9939024390242</v>
      </c>
      <c r="N81" s="14">
        <f t="shared" si="60"/>
        <v>3593.0528231707322</v>
      </c>
      <c r="O81" s="14">
        <f t="shared" si="60"/>
        <v>369.9329268292683</v>
      </c>
      <c r="P81" s="14">
        <f t="shared" si="60"/>
        <v>1845.5050907012196</v>
      </c>
      <c r="Q81" s="14">
        <f t="shared" si="60"/>
        <v>2220.6677240853664</v>
      </c>
      <c r="R81" s="14">
        <f t="shared" si="60"/>
        <v>2526.7431814024389</v>
      </c>
      <c r="S81" s="14">
        <f t="shared" si="60"/>
        <v>4377.5088064024385</v>
      </c>
      <c r="T81" s="14">
        <f t="shared" si="60"/>
        <v>5548.9939024390242</v>
      </c>
      <c r="U81" s="14">
        <f t="shared" si="60"/>
        <v>5733.960365853658</v>
      </c>
      <c r="Y81"/>
      <c r="Z81"/>
      <c r="AC81" s="4" t="s">
        <v>137</v>
      </c>
      <c r="AD81" s="5" t="s">
        <v>16</v>
      </c>
      <c r="AE81" s="11">
        <f>AE76+SUM(AE78:AE80)</f>
        <v>9500</v>
      </c>
      <c r="AF81" s="11">
        <f>AF76+SUM(AF78:AF80)</f>
        <v>11223.338327198469</v>
      </c>
      <c r="AG81" s="11">
        <f t="shared" si="56"/>
        <v>1723.3383271984694</v>
      </c>
      <c r="AI81" s="32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  <c r="AX81" s="31"/>
      <c r="AY81" s="31"/>
      <c r="AZ81" s="31"/>
    </row>
    <row r="82" spans="7:52" x14ac:dyDescent="0.25">
      <c r="G82" s="100"/>
      <c r="H82" t="s">
        <v>6</v>
      </c>
      <c r="I82" s="4" t="s">
        <v>47</v>
      </c>
      <c r="J82" s="14">
        <f t="shared" ref="J82:U82" si="61">$D$15*J12</f>
        <v>775</v>
      </c>
      <c r="K82" s="14">
        <f t="shared" si="61"/>
        <v>700</v>
      </c>
      <c r="L82" s="14">
        <f t="shared" si="61"/>
        <v>775</v>
      </c>
      <c r="M82" s="14">
        <f t="shared" si="61"/>
        <v>750</v>
      </c>
      <c r="N82" s="14">
        <f t="shared" si="61"/>
        <v>775</v>
      </c>
      <c r="O82" s="14">
        <f t="shared" si="61"/>
        <v>50</v>
      </c>
      <c r="P82" s="14">
        <f t="shared" si="61"/>
        <v>775</v>
      </c>
      <c r="Q82" s="14">
        <f t="shared" si="61"/>
        <v>775</v>
      </c>
      <c r="R82" s="14">
        <f t="shared" si="61"/>
        <v>750</v>
      </c>
      <c r="S82" s="14">
        <f t="shared" si="61"/>
        <v>775</v>
      </c>
      <c r="T82" s="14">
        <f t="shared" si="61"/>
        <v>750</v>
      </c>
      <c r="U82" s="14">
        <f t="shared" si="61"/>
        <v>775</v>
      </c>
      <c r="Y82"/>
      <c r="Z82"/>
      <c r="AC82" s="4" t="s">
        <v>136</v>
      </c>
      <c r="AD82" s="5" t="s">
        <v>16</v>
      </c>
      <c r="AE82" s="14">
        <f>L80</f>
        <v>0</v>
      </c>
      <c r="AF82" s="14">
        <f>J80</f>
        <v>2776.6616728015306</v>
      </c>
      <c r="AG82" s="11">
        <f t="shared" si="56"/>
        <v>2776.6616728015306</v>
      </c>
      <c r="AI82" s="32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  <c r="AZ82" s="31"/>
    </row>
    <row r="83" spans="7:52" x14ac:dyDescent="0.25">
      <c r="G83" s="100"/>
      <c r="H83" t="s">
        <v>45</v>
      </c>
      <c r="I83" s="4" t="s">
        <v>47</v>
      </c>
      <c r="J83" s="14">
        <f>J81-J82</f>
        <v>4958.9603658536589</v>
      </c>
      <c r="K83" s="14">
        <f t="shared" ref="K83:U83" si="62">K81-K82</f>
        <v>4479.0609756097556</v>
      </c>
      <c r="L83" s="14">
        <f t="shared" si="62"/>
        <v>4958.960365853658</v>
      </c>
      <c r="M83" s="14">
        <f t="shared" si="62"/>
        <v>4798.9939024390242</v>
      </c>
      <c r="N83" s="14">
        <f t="shared" si="62"/>
        <v>2818.0528231707322</v>
      </c>
      <c r="O83" s="14">
        <f t="shared" si="62"/>
        <v>319.9329268292683</v>
      </c>
      <c r="P83" s="14">
        <f t="shared" si="62"/>
        <v>1070.5050907012196</v>
      </c>
      <c r="Q83" s="14">
        <f t="shared" si="62"/>
        <v>1445.6677240853664</v>
      </c>
      <c r="R83" s="14">
        <f t="shared" si="62"/>
        <v>1776.7431814024389</v>
      </c>
      <c r="S83" s="14">
        <f t="shared" si="62"/>
        <v>3602.5088064024385</v>
      </c>
      <c r="T83" s="14">
        <f t="shared" si="62"/>
        <v>4798.9939024390242</v>
      </c>
      <c r="U83" s="14">
        <f t="shared" si="62"/>
        <v>4958.960365853658</v>
      </c>
      <c r="Y83"/>
      <c r="Z83"/>
      <c r="AD83" s="5"/>
      <c r="AG83" s="11"/>
      <c r="AI83" s="32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  <c r="AX83" s="31"/>
      <c r="AY83" s="31"/>
      <c r="AZ83" s="31"/>
    </row>
    <row r="84" spans="7:52" x14ac:dyDescent="0.25">
      <c r="H84" t="s">
        <v>104</v>
      </c>
      <c r="I84" s="4" t="s">
        <v>40</v>
      </c>
      <c r="J84" s="14">
        <f t="shared" ref="J84:U84" si="63">J63+J75</f>
        <v>7638.95652173913</v>
      </c>
      <c r="K84" s="14">
        <f t="shared" si="63"/>
        <v>5520.0468373351123</v>
      </c>
      <c r="L84" s="14">
        <f t="shared" si="63"/>
        <v>4883.0889807088834</v>
      </c>
      <c r="M84" s="14">
        <f t="shared" si="63"/>
        <v>4511.7853418275054</v>
      </c>
      <c r="N84" s="14">
        <f t="shared" si="63"/>
        <v>7068</v>
      </c>
      <c r="O84" s="14">
        <f t="shared" si="63"/>
        <v>8542.2814753760558</v>
      </c>
      <c r="P84" s="14">
        <f t="shared" si="63"/>
        <v>7068</v>
      </c>
      <c r="Q84" s="14">
        <f t="shared" si="63"/>
        <v>7068</v>
      </c>
      <c r="R84" s="14">
        <f t="shared" si="63"/>
        <v>6840</v>
      </c>
      <c r="S84" s="14">
        <f t="shared" si="63"/>
        <v>7068</v>
      </c>
      <c r="T84" s="14">
        <f t="shared" si="63"/>
        <v>6929.4807335668656</v>
      </c>
      <c r="U84" s="14">
        <f t="shared" si="63"/>
        <v>7068</v>
      </c>
      <c r="Y84"/>
      <c r="Z84"/>
      <c r="AC84" s="6" t="s">
        <v>170</v>
      </c>
      <c r="AD84" s="5"/>
      <c r="AE84" s="45" t="str">
        <f>AE50</f>
        <v>MAR</v>
      </c>
      <c r="AF84" s="45" t="str">
        <f>AF50</f>
        <v>JAN</v>
      </c>
      <c r="AG84" s="11"/>
      <c r="AI84" s="32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  <c r="AZ84" s="31"/>
    </row>
    <row r="85" spans="7:52" x14ac:dyDescent="0.25">
      <c r="H85" t="s">
        <v>105</v>
      </c>
      <c r="I85" s="4" t="s">
        <v>40</v>
      </c>
      <c r="J85" s="14">
        <f t="shared" ref="J85:U85" si="64">J56+J72</f>
        <v>20832</v>
      </c>
      <c r="K85" s="14">
        <f t="shared" si="64"/>
        <v>18816</v>
      </c>
      <c r="L85" s="14">
        <f t="shared" si="64"/>
        <v>20832</v>
      </c>
      <c r="M85" s="14">
        <f t="shared" si="64"/>
        <v>20160</v>
      </c>
      <c r="N85" s="14">
        <f t="shared" si="64"/>
        <v>12996.16</v>
      </c>
      <c r="O85" s="14">
        <f t="shared" si="64"/>
        <v>1344</v>
      </c>
      <c r="P85" s="14">
        <f t="shared" si="64"/>
        <v>6647.16</v>
      </c>
      <c r="Q85" s="14">
        <f t="shared" si="64"/>
        <v>8010.16</v>
      </c>
      <c r="R85" s="14">
        <f t="shared" si="64"/>
        <v>9122.16</v>
      </c>
      <c r="S85" s="14">
        <f t="shared" si="64"/>
        <v>15846.16</v>
      </c>
      <c r="T85" s="14">
        <f t="shared" si="64"/>
        <v>20160</v>
      </c>
      <c r="U85" s="14">
        <f t="shared" si="64"/>
        <v>20832</v>
      </c>
      <c r="Y85"/>
      <c r="Z85"/>
      <c r="AC85" s="4" t="s">
        <v>182</v>
      </c>
      <c r="AD85" s="5"/>
      <c r="AE85" s="1">
        <f>(AE76+AE79)/$J$54</f>
        <v>0.94688544987946188</v>
      </c>
      <c r="AF85" s="1">
        <f>(AF76+AF79)/$J$54</f>
        <v>1</v>
      </c>
      <c r="AG85" s="1">
        <f>AF85-AE85</f>
        <v>5.3114550120538118E-2</v>
      </c>
      <c r="AI85" s="32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  <c r="AX85" s="31"/>
      <c r="AY85" s="31"/>
      <c r="AZ85" s="31"/>
    </row>
    <row r="86" spans="7:52" x14ac:dyDescent="0.25">
      <c r="H86" t="s">
        <v>100</v>
      </c>
      <c r="I86" s="4" t="s">
        <v>40</v>
      </c>
      <c r="J86" s="14">
        <f>SUM(J84:J85)</f>
        <v>28470.956521739128</v>
      </c>
      <c r="K86" s="14">
        <f t="shared" ref="K86:U86" si="65">SUM(K84:K85)</f>
        <v>24336.04683733511</v>
      </c>
      <c r="L86" s="14">
        <f t="shared" si="65"/>
        <v>25715.088980708882</v>
      </c>
      <c r="M86" s="14">
        <f t="shared" si="65"/>
        <v>24671.785341827504</v>
      </c>
      <c r="N86" s="14">
        <f t="shared" si="65"/>
        <v>20064.16</v>
      </c>
      <c r="O86" s="14">
        <f t="shared" si="65"/>
        <v>9886.2814753760558</v>
      </c>
      <c r="P86" s="14">
        <f t="shared" si="65"/>
        <v>13715.16</v>
      </c>
      <c r="Q86" s="14">
        <f t="shared" si="65"/>
        <v>15078.16</v>
      </c>
      <c r="R86" s="14">
        <f t="shared" si="65"/>
        <v>15962.16</v>
      </c>
      <c r="S86" s="14">
        <f t="shared" si="65"/>
        <v>22914.16</v>
      </c>
      <c r="T86" s="14">
        <f t="shared" si="65"/>
        <v>27089.480733566867</v>
      </c>
      <c r="U86" s="14">
        <f t="shared" si="65"/>
        <v>27900</v>
      </c>
      <c r="Y86"/>
      <c r="Z86"/>
      <c r="AC86" s="4" t="s">
        <v>183</v>
      </c>
      <c r="AD86" s="5"/>
      <c r="AE86" s="1">
        <f>(AE78+AE80)/$J$47</f>
        <v>0.54040742242870199</v>
      </c>
      <c r="AF86" s="1">
        <f>(AF78+AF80)/$J$47</f>
        <v>0.99999999999999989</v>
      </c>
      <c r="AG86" s="1">
        <f t="shared" ref="AG86:AG89" si="66">AF86-AE86</f>
        <v>0.4595925775712979</v>
      </c>
      <c r="AI86" s="32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  <c r="AX86" s="31"/>
      <c r="AY86" s="31"/>
      <c r="AZ86" s="31"/>
    </row>
    <row r="87" spans="7:52" x14ac:dyDescent="0.25">
      <c r="H87" s="4" t="s">
        <v>106</v>
      </c>
      <c r="I87" s="4" t="s">
        <v>40</v>
      </c>
      <c r="J87" s="14">
        <f t="shared" ref="J87:U87" si="67">(EtaRgkOvn2*J58+EtaRgkOvn3*J65)*J30/3.6</f>
        <v>5049.4716687852942</v>
      </c>
      <c r="K87" s="14">
        <f t="shared" si="67"/>
        <v>4893.6631094471268</v>
      </c>
      <c r="L87" s="14">
        <f t="shared" si="67"/>
        <v>5300.6091090984</v>
      </c>
      <c r="M87" s="14">
        <f t="shared" si="67"/>
        <v>4754.7304728376712</v>
      </c>
      <c r="N87" s="14">
        <f t="shared" si="67"/>
        <v>2777.2831468916193</v>
      </c>
      <c r="O87" s="14">
        <f t="shared" si="67"/>
        <v>1038.9934114249772</v>
      </c>
      <c r="P87" s="14">
        <f t="shared" si="67"/>
        <v>1395.388891435907</v>
      </c>
      <c r="Q87" s="14">
        <f t="shared" si="67"/>
        <v>1692.0532275811479</v>
      </c>
      <c r="R87" s="14">
        <f t="shared" si="67"/>
        <v>1934.0860535485049</v>
      </c>
      <c r="S87" s="14">
        <f t="shared" si="67"/>
        <v>3397.601091142491</v>
      </c>
      <c r="T87" s="14">
        <f t="shared" si="67"/>
        <v>4427.1712906594066</v>
      </c>
      <c r="U87" s="14">
        <f t="shared" si="67"/>
        <v>4534.1976893453148</v>
      </c>
      <c r="Y87"/>
      <c r="Z87"/>
      <c r="AC87" s="4" t="s">
        <v>184</v>
      </c>
      <c r="AD87" s="5"/>
      <c r="AE87" s="1">
        <f>AE71/(24*$E$11*KapQcool)</f>
        <v>0</v>
      </c>
      <c r="AF87" s="1">
        <f>AF71/(24*$E$11*KapQcool)</f>
        <v>0.39031868474364967</v>
      </c>
      <c r="AG87" s="1">
        <f t="shared" si="66"/>
        <v>0.39031868474364967</v>
      </c>
      <c r="AI87" s="32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  <c r="AX87" s="31"/>
      <c r="AY87" s="31"/>
      <c r="AZ87" s="31"/>
    </row>
    <row r="88" spans="7:52" x14ac:dyDescent="0.25">
      <c r="H88" s="4" t="s">
        <v>118</v>
      </c>
      <c r="J88" s="1">
        <f>J87/J89</f>
        <v>0.14762414670906271</v>
      </c>
      <c r="K88" s="1">
        <f t="shared" ref="K88:U88" si="68">K87/K89</f>
        <v>0.16580197302551755</v>
      </c>
      <c r="L88" s="1">
        <f t="shared" si="68"/>
        <v>0.1685459248922502</v>
      </c>
      <c r="M88" s="1">
        <f t="shared" si="68"/>
        <v>0.15733315261021061</v>
      </c>
      <c r="N88" s="1">
        <f t="shared" si="68"/>
        <v>0.11739688726862395</v>
      </c>
      <c r="O88" s="1">
        <f t="shared" si="68"/>
        <v>0.10130379208936678</v>
      </c>
      <c r="P88" s="1">
        <f t="shared" si="68"/>
        <v>8.967411632487142E-2</v>
      </c>
      <c r="Q88" s="1">
        <f t="shared" si="68"/>
        <v>9.7813172925312261E-2</v>
      </c>
      <c r="R88" s="1">
        <f t="shared" si="68"/>
        <v>0.10460793885783108</v>
      </c>
      <c r="S88" s="1">
        <f t="shared" si="68"/>
        <v>0.12449224396074443</v>
      </c>
      <c r="T88" s="1">
        <f t="shared" si="68"/>
        <v>0.13564271431286404</v>
      </c>
      <c r="U88" s="1">
        <f t="shared" si="68"/>
        <v>0.13481010383625791</v>
      </c>
      <c r="Y88"/>
      <c r="Z88"/>
      <c r="AC88" s="4" t="s">
        <v>185</v>
      </c>
      <c r="AD88" s="5"/>
      <c r="AE88" s="1">
        <f>AE77/NSvarme</f>
        <v>0</v>
      </c>
      <c r="AF88" s="1">
        <f>AF77/NSvarme</f>
        <v>1</v>
      </c>
      <c r="AG88" s="1">
        <f t="shared" si="66"/>
        <v>1</v>
      </c>
      <c r="AI88" s="32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1"/>
      <c r="AY88" s="31"/>
      <c r="AZ88" s="31"/>
    </row>
    <row r="89" spans="7:52" x14ac:dyDescent="0.25">
      <c r="H89" t="s">
        <v>98</v>
      </c>
      <c r="I89" s="4" t="s">
        <v>99</v>
      </c>
      <c r="J89" s="14">
        <f>J86+J81</f>
        <v>34204.916887592786</v>
      </c>
      <c r="K89" s="14">
        <f t="shared" ref="K89:U89" si="69">K86+K81</f>
        <v>29515.107812944865</v>
      </c>
      <c r="L89" s="14">
        <f t="shared" si="69"/>
        <v>31449.04934656254</v>
      </c>
      <c r="M89" s="14">
        <f t="shared" si="69"/>
        <v>30220.77924426653</v>
      </c>
      <c r="N89" s="14">
        <f t="shared" si="69"/>
        <v>23657.212823170732</v>
      </c>
      <c r="O89" s="14">
        <f t="shared" si="69"/>
        <v>10256.214402205323</v>
      </c>
      <c r="P89" s="14">
        <f t="shared" si="69"/>
        <v>15560.665090701219</v>
      </c>
      <c r="Q89" s="14">
        <f t="shared" si="69"/>
        <v>17298.827724085368</v>
      </c>
      <c r="R89" s="14">
        <f t="shared" si="69"/>
        <v>18488.903181402438</v>
      </c>
      <c r="S89" s="14">
        <f t="shared" si="69"/>
        <v>27291.668806402438</v>
      </c>
      <c r="T89" s="14">
        <f t="shared" si="69"/>
        <v>32638.474636005893</v>
      </c>
      <c r="U89" s="14">
        <f t="shared" si="69"/>
        <v>33633.960365853658</v>
      </c>
      <c r="Y89"/>
      <c r="Z89"/>
      <c r="AC89" s="4" t="s">
        <v>180</v>
      </c>
      <c r="AD89" s="5" t="s">
        <v>22</v>
      </c>
      <c r="AE89" s="10" t="e">
        <f>(SUM(AE60:AE65)-SUM(AE56:AE58))/AE72</f>
        <v>#REF!</v>
      </c>
      <c r="AF89" s="10" t="e">
        <f>(SUM(AF60:AF65)-SUM(AF56:AF58))/AF72</f>
        <v>#REF!</v>
      </c>
      <c r="AG89" s="48" t="e">
        <f t="shared" si="66"/>
        <v>#REF!</v>
      </c>
      <c r="AI89" s="32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  <c r="AX89" s="31"/>
      <c r="AY89" s="31"/>
      <c r="AZ89" s="31"/>
    </row>
    <row r="90" spans="7:52" x14ac:dyDescent="0.25">
      <c r="H90" t="s">
        <v>101</v>
      </c>
      <c r="I90" s="4" t="s">
        <v>40</v>
      </c>
      <c r="J90" s="14">
        <f>J86-J78</f>
        <v>24115</v>
      </c>
      <c r="K90" s="14">
        <f t="shared" ref="K90:U90" si="70">K86-K78</f>
        <v>23901.999999999996</v>
      </c>
      <c r="L90" s="14">
        <f t="shared" si="70"/>
        <v>25715.088980708882</v>
      </c>
      <c r="M90" s="14">
        <f t="shared" si="70"/>
        <v>22497</v>
      </c>
      <c r="N90" s="14">
        <f t="shared" si="70"/>
        <v>12760</v>
      </c>
      <c r="O90" s="14">
        <f t="shared" si="70"/>
        <v>6100</v>
      </c>
      <c r="P90" s="14">
        <f t="shared" si="70"/>
        <v>6411</v>
      </c>
      <c r="Q90" s="14">
        <f t="shared" si="70"/>
        <v>7774</v>
      </c>
      <c r="R90" s="14">
        <f t="shared" si="70"/>
        <v>8886</v>
      </c>
      <c r="S90" s="14">
        <f t="shared" si="70"/>
        <v>15610</v>
      </c>
      <c r="T90" s="14">
        <f t="shared" si="70"/>
        <v>20410</v>
      </c>
      <c r="U90" s="14">
        <f t="shared" si="70"/>
        <v>20832</v>
      </c>
      <c r="Y90"/>
      <c r="Z90"/>
      <c r="AC90" s="5"/>
      <c r="AF90" s="1"/>
      <c r="AG90" s="11"/>
      <c r="AI90" s="32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  <c r="AZ90" s="31"/>
    </row>
    <row r="91" spans="7:52" x14ac:dyDescent="0.25">
      <c r="H91" t="s">
        <v>124</v>
      </c>
      <c r="I91" s="4" t="s">
        <v>40</v>
      </c>
      <c r="J91" s="14">
        <f t="shared" ref="J91:U91" si="71">J5-J90-J61</f>
        <v>0</v>
      </c>
      <c r="K91" s="14">
        <f t="shared" si="71"/>
        <v>3.637978807091713E-12</v>
      </c>
      <c r="L91" s="14">
        <f t="shared" si="71"/>
        <v>1639.9110192911176</v>
      </c>
      <c r="M91" s="14">
        <f t="shared" si="71"/>
        <v>0</v>
      </c>
      <c r="N91" s="14">
        <f t="shared" si="71"/>
        <v>0</v>
      </c>
      <c r="O91" s="14">
        <f t="shared" si="71"/>
        <v>0</v>
      </c>
      <c r="P91" s="14">
        <f t="shared" si="71"/>
        <v>0</v>
      </c>
      <c r="Q91" s="14">
        <f t="shared" si="71"/>
        <v>0</v>
      </c>
      <c r="R91" s="14">
        <f t="shared" si="71"/>
        <v>0</v>
      </c>
      <c r="S91" s="14">
        <f t="shared" si="71"/>
        <v>0</v>
      </c>
      <c r="T91" s="14">
        <f t="shared" si="71"/>
        <v>0</v>
      </c>
      <c r="U91" s="14">
        <f t="shared" si="71"/>
        <v>0</v>
      </c>
      <c r="Y91"/>
      <c r="Z91"/>
      <c r="AG91" s="11"/>
      <c r="AI91" s="32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1"/>
      <c r="AY91" s="31"/>
      <c r="AZ91" s="31"/>
    </row>
    <row r="92" spans="7:52" x14ac:dyDescent="0.25">
      <c r="H92" s="2" t="s">
        <v>113</v>
      </c>
      <c r="J92" s="13" t="str">
        <f t="shared" ref="J92:U92" si="72">J55</f>
        <v>JAN</v>
      </c>
      <c r="K92" s="13" t="str">
        <f t="shared" si="72"/>
        <v>FEB</v>
      </c>
      <c r="L92" s="13" t="str">
        <f t="shared" si="72"/>
        <v>MAR</v>
      </c>
      <c r="M92" s="13" t="str">
        <f t="shared" si="72"/>
        <v>APR</v>
      </c>
      <c r="N92" s="13" t="str">
        <f t="shared" si="72"/>
        <v>MAJ</v>
      </c>
      <c r="O92" s="13" t="str">
        <f t="shared" si="72"/>
        <v>JUN</v>
      </c>
      <c r="P92" s="13" t="str">
        <f t="shared" si="72"/>
        <v>JUL</v>
      </c>
      <c r="Q92" s="13" t="str">
        <f t="shared" si="72"/>
        <v>AUG</v>
      </c>
      <c r="R92" s="13" t="str">
        <f t="shared" si="72"/>
        <v>SEP</v>
      </c>
      <c r="S92" s="13" t="str">
        <f t="shared" si="72"/>
        <v>OKT</v>
      </c>
      <c r="T92" s="13" t="str">
        <f t="shared" si="72"/>
        <v>NOV</v>
      </c>
      <c r="U92" s="13" t="str">
        <f t="shared" si="72"/>
        <v>DEC</v>
      </c>
      <c r="Y92"/>
      <c r="Z92"/>
      <c r="AG92" s="11"/>
      <c r="AI92" s="32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  <c r="AZ92" s="31"/>
    </row>
    <row r="93" spans="7:52" x14ac:dyDescent="0.25">
      <c r="H93" t="s">
        <v>221</v>
      </c>
      <c r="I93" s="4" t="s">
        <v>51</v>
      </c>
      <c r="J93" s="14">
        <f t="shared" ref="J93:U93" si="73">J$79*J33*LHVFossilFast/3.6</f>
        <v>13628.339397312426</v>
      </c>
      <c r="K93" s="14">
        <f t="shared" si="73"/>
        <v>16733.946163134704</v>
      </c>
      <c r="L93" s="14">
        <f t="shared" si="73"/>
        <v>16999.999999999996</v>
      </c>
      <c r="M93" s="14">
        <f t="shared" si="73"/>
        <v>15895.527711872455</v>
      </c>
      <c r="N93" s="14">
        <f t="shared" si="73"/>
        <v>12113.561857121989</v>
      </c>
      <c r="O93" s="14">
        <f t="shared" si="73"/>
        <v>12724.323307710953</v>
      </c>
      <c r="P93" s="14">
        <f t="shared" si="73"/>
        <v>13241.306921317326</v>
      </c>
      <c r="Q93" s="14">
        <f t="shared" si="73"/>
        <v>10078.792506055359</v>
      </c>
      <c r="R93" s="14">
        <f t="shared" si="73"/>
        <v>10532.59585912116</v>
      </c>
      <c r="S93" s="14">
        <f t="shared" si="73"/>
        <v>13276.63699762338</v>
      </c>
      <c r="T93" s="14">
        <f t="shared" si="73"/>
        <v>12558.746523906519</v>
      </c>
      <c r="U93" s="14">
        <f t="shared" si="73"/>
        <v>12751.467132254338</v>
      </c>
      <c r="Y93"/>
      <c r="Z93"/>
      <c r="AG93" s="11"/>
      <c r="AI93" s="32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</row>
    <row r="94" spans="7:52" x14ac:dyDescent="0.25">
      <c r="H94" t="s">
        <v>222</v>
      </c>
      <c r="I94" s="4" t="s">
        <v>51</v>
      </c>
      <c r="J94" s="14">
        <f t="shared" ref="J94:U94" si="74">J$79*J34*J9/3.6</f>
        <v>14029.172908998085</v>
      </c>
      <c r="K94" s="14">
        <f t="shared" si="74"/>
        <v>17226.121050285725</v>
      </c>
      <c r="L94" s="14">
        <f t="shared" si="74"/>
        <v>14583.333333333332</v>
      </c>
      <c r="M94" s="14">
        <f t="shared" si="74"/>
        <v>13635.869360674902</v>
      </c>
      <c r="N94" s="14">
        <f t="shared" si="74"/>
        <v>10391.535906844847</v>
      </c>
      <c r="O94" s="14">
        <f t="shared" si="74"/>
        <v>10915.473425732434</v>
      </c>
      <c r="P94" s="14">
        <f t="shared" si="74"/>
        <v>11358.964270737903</v>
      </c>
      <c r="Q94" s="14">
        <f t="shared" si="74"/>
        <v>8646.0229831357246</v>
      </c>
      <c r="R94" s="14">
        <f t="shared" si="74"/>
        <v>9035.3150752264864</v>
      </c>
      <c r="S94" s="14">
        <f t="shared" si="74"/>
        <v>11389.271934235743</v>
      </c>
      <c r="T94" s="14">
        <f t="shared" si="74"/>
        <v>10773.434518057065</v>
      </c>
      <c r="U94" s="14">
        <f t="shared" si="74"/>
        <v>10938.758569335831</v>
      </c>
      <c r="Y94"/>
      <c r="Z94"/>
      <c r="AC94" s="2"/>
      <c r="AG94" s="11"/>
      <c r="AI94" s="32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1"/>
      <c r="AY94" s="31"/>
      <c r="AZ94" s="31"/>
    </row>
    <row r="95" spans="7:52" x14ac:dyDescent="0.25">
      <c r="H95" t="s">
        <v>115</v>
      </c>
      <c r="I95" s="4" t="s">
        <v>51</v>
      </c>
      <c r="J95" s="14">
        <f>J$79*J35*ModelOpt!LHVbiogent/3.6</f>
        <v>6235.1879595547043</v>
      </c>
      <c r="K95" s="14">
        <f>K$79*K35*ModelOpt!LHVbiogent/3.6</f>
        <v>7656.0538001269879</v>
      </c>
      <c r="L95" s="14">
        <f>L$79*L35*ModelOpt!LHVbiogent/3.6</f>
        <v>19444.444444444445</v>
      </c>
      <c r="M95" s="14">
        <f>M$79*M35*ModelOpt!LHVbiogent/3.6</f>
        <v>18181.159147566537</v>
      </c>
      <c r="N95" s="14">
        <f>N$79*N35*ModelOpt!LHVbiogent/3.6</f>
        <v>13855.381209126463</v>
      </c>
      <c r="O95" s="14">
        <f>O$79*O35*ModelOpt!LHVbiogent/3.6</f>
        <v>14553.964567643248</v>
      </c>
      <c r="P95" s="14">
        <f>P$79*P35*ModelOpt!LHVbiogent/3.6</f>
        <v>15145.285694317205</v>
      </c>
      <c r="Q95" s="14">
        <f>Q$79*Q35*ModelOpt!LHVbiogent/3.6</f>
        <v>11528.030644180966</v>
      </c>
      <c r="R95" s="14">
        <f>R$79*R35*ModelOpt!LHVbiogent/3.6</f>
        <v>12047.086766968649</v>
      </c>
      <c r="S95" s="14">
        <f>S$79*S35*ModelOpt!LHVbiogent/3.6</f>
        <v>15185.695912314322</v>
      </c>
      <c r="T95" s="14">
        <f>T$79*T35*ModelOpt!LHVbiogent/3.6</f>
        <v>14364.57935740942</v>
      </c>
      <c r="U95" s="14">
        <f>U$79*U35*ModelOpt!LHVbiogent/3.6</f>
        <v>14585.011425781107</v>
      </c>
      <c r="Y95"/>
      <c r="Z95"/>
      <c r="AG95" s="11"/>
      <c r="AI95" s="32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  <c r="AX95" s="31"/>
      <c r="AY95" s="31"/>
      <c r="AZ95" s="31"/>
    </row>
    <row r="96" spans="7:52" x14ac:dyDescent="0.25">
      <c r="H96" t="s">
        <v>114</v>
      </c>
      <c r="I96" s="4" t="s">
        <v>99</v>
      </c>
      <c r="J96" s="14" t="e">
        <f t="shared" ref="J96:U96" si="75">IF(RGKudnyttelse&gt;0,J89/0.95 - J95,J89/0.85 - J95)</f>
        <v>#REF!</v>
      </c>
      <c r="K96" s="14" t="e">
        <f t="shared" si="75"/>
        <v>#REF!</v>
      </c>
      <c r="L96" s="14" t="e">
        <f t="shared" si="75"/>
        <v>#REF!</v>
      </c>
      <c r="M96" s="14" t="e">
        <f t="shared" si="75"/>
        <v>#REF!</v>
      </c>
      <c r="N96" s="14" t="e">
        <f t="shared" si="75"/>
        <v>#REF!</v>
      </c>
      <c r="O96" s="14" t="e">
        <f t="shared" si="75"/>
        <v>#REF!</v>
      </c>
      <c r="P96" s="14" t="e">
        <f t="shared" si="75"/>
        <v>#REF!</v>
      </c>
      <c r="Q96" s="14" t="e">
        <f t="shared" si="75"/>
        <v>#REF!</v>
      </c>
      <c r="R96" s="14" t="e">
        <f t="shared" si="75"/>
        <v>#REF!</v>
      </c>
      <c r="S96" s="14" t="e">
        <f t="shared" si="75"/>
        <v>#REF!</v>
      </c>
      <c r="T96" s="14" t="e">
        <f t="shared" si="75"/>
        <v>#REF!</v>
      </c>
      <c r="U96" s="14" t="e">
        <f t="shared" si="75"/>
        <v>#REF!</v>
      </c>
      <c r="Y96"/>
      <c r="Z96"/>
      <c r="AG96" s="11"/>
      <c r="AI96" s="32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  <c r="AZ96" s="31"/>
    </row>
    <row r="97" spans="8:52" x14ac:dyDescent="0.25">
      <c r="H97" t="s">
        <v>119</v>
      </c>
      <c r="I97" s="4" t="s">
        <v>40</v>
      </c>
      <c r="J97" s="14" t="e">
        <f t="shared" ref="J97:U97" si="76">J86*J96/(J96+J95)</f>
        <v>#REF!</v>
      </c>
      <c r="K97" s="14" t="e">
        <f t="shared" si="76"/>
        <v>#REF!</v>
      </c>
      <c r="L97" s="14" t="e">
        <f t="shared" si="76"/>
        <v>#REF!</v>
      </c>
      <c r="M97" s="14" t="e">
        <f t="shared" si="76"/>
        <v>#REF!</v>
      </c>
      <c r="N97" s="14" t="e">
        <f t="shared" si="76"/>
        <v>#REF!</v>
      </c>
      <c r="O97" s="14" t="e">
        <f t="shared" si="76"/>
        <v>#REF!</v>
      </c>
      <c r="P97" s="14" t="e">
        <f t="shared" si="76"/>
        <v>#REF!</v>
      </c>
      <c r="Q97" s="14" t="e">
        <f t="shared" si="76"/>
        <v>#REF!</v>
      </c>
      <c r="R97" s="14" t="e">
        <f t="shared" si="76"/>
        <v>#REF!</v>
      </c>
      <c r="S97" s="14" t="e">
        <f t="shared" si="76"/>
        <v>#REF!</v>
      </c>
      <c r="T97" s="14" t="e">
        <f t="shared" si="76"/>
        <v>#REF!</v>
      </c>
      <c r="U97" s="14" t="e">
        <f t="shared" si="76"/>
        <v>#REF!</v>
      </c>
      <c r="Y97"/>
      <c r="Z97"/>
      <c r="AG97" s="11"/>
      <c r="AI97" s="32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  <c r="AZ97" s="31"/>
    </row>
    <row r="98" spans="8:52" x14ac:dyDescent="0.25">
      <c r="H98" t="s">
        <v>116</v>
      </c>
      <c r="I98" s="4" t="s">
        <v>47</v>
      </c>
      <c r="J98" s="14" t="e">
        <f t="shared" ref="J98:U98" si="77">J81*J96/(J96+J95)</f>
        <v>#REF!</v>
      </c>
      <c r="K98" s="14" t="e">
        <f t="shared" si="77"/>
        <v>#REF!</v>
      </c>
      <c r="L98" s="14" t="e">
        <f t="shared" si="77"/>
        <v>#REF!</v>
      </c>
      <c r="M98" s="14" t="e">
        <f t="shared" si="77"/>
        <v>#REF!</v>
      </c>
      <c r="N98" s="14" t="e">
        <f t="shared" si="77"/>
        <v>#REF!</v>
      </c>
      <c r="O98" s="14" t="e">
        <f t="shared" si="77"/>
        <v>#REF!</v>
      </c>
      <c r="P98" s="14" t="e">
        <f t="shared" si="77"/>
        <v>#REF!</v>
      </c>
      <c r="Q98" s="14" t="e">
        <f t="shared" si="77"/>
        <v>#REF!</v>
      </c>
      <c r="R98" s="14" t="e">
        <f t="shared" si="77"/>
        <v>#REF!</v>
      </c>
      <c r="S98" s="14" t="e">
        <f t="shared" si="77"/>
        <v>#REF!</v>
      </c>
      <c r="T98" s="14" t="e">
        <f t="shared" si="77"/>
        <v>#REF!</v>
      </c>
      <c r="U98" s="14" t="e">
        <f t="shared" si="77"/>
        <v>#REF!</v>
      </c>
      <c r="Y98"/>
      <c r="Z98"/>
      <c r="AG98" s="11"/>
      <c r="AI98" s="32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</row>
    <row r="99" spans="8:52" x14ac:dyDescent="0.25">
      <c r="H99" t="s">
        <v>117</v>
      </c>
      <c r="I99" s="4" t="s">
        <v>40</v>
      </c>
      <c r="J99" s="14" t="e">
        <f t="shared" ref="J99:U99" si="78">IF(RGKudnyttelse&gt;0,(J97-0.1*(J97+J98))/1.2,J97/1.2)</f>
        <v>#REF!</v>
      </c>
      <c r="K99" s="14" t="e">
        <f t="shared" si="78"/>
        <v>#REF!</v>
      </c>
      <c r="L99" s="14" t="e">
        <f t="shared" si="78"/>
        <v>#REF!</v>
      </c>
      <c r="M99" s="14" t="e">
        <f t="shared" si="78"/>
        <v>#REF!</v>
      </c>
      <c r="N99" s="14" t="e">
        <f t="shared" si="78"/>
        <v>#REF!</v>
      </c>
      <c r="O99" s="14" t="e">
        <f t="shared" si="78"/>
        <v>#REF!</v>
      </c>
      <c r="P99" s="14" t="e">
        <f t="shared" si="78"/>
        <v>#REF!</v>
      </c>
      <c r="Q99" s="14" t="e">
        <f t="shared" si="78"/>
        <v>#REF!</v>
      </c>
      <c r="R99" s="14" t="e">
        <f t="shared" si="78"/>
        <v>#REF!</v>
      </c>
      <c r="S99" s="14" t="e">
        <f t="shared" si="78"/>
        <v>#REF!</v>
      </c>
      <c r="T99" s="14" t="e">
        <f t="shared" si="78"/>
        <v>#REF!</v>
      </c>
      <c r="U99" s="14" t="e">
        <f t="shared" si="78"/>
        <v>#REF!</v>
      </c>
      <c r="Y99"/>
      <c r="Z99"/>
      <c r="AG99" s="11"/>
      <c r="AI99" s="32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  <c r="AU99" s="31"/>
      <c r="AV99" s="31"/>
      <c r="AW99" s="31"/>
      <c r="AX99" s="31"/>
      <c r="AY99" s="31"/>
      <c r="AZ99" s="31"/>
    </row>
    <row r="100" spans="8:52" x14ac:dyDescent="0.25">
      <c r="H100" t="s">
        <v>120</v>
      </c>
      <c r="I100" s="4" t="s">
        <v>40</v>
      </c>
      <c r="J100" s="14" t="e">
        <f>J99</f>
        <v>#REF!</v>
      </c>
      <c r="K100" s="14" t="e">
        <f t="shared" ref="K100:U100" si="79">K99</f>
        <v>#REF!</v>
      </c>
      <c r="L100" s="14" t="e">
        <f t="shared" si="79"/>
        <v>#REF!</v>
      </c>
      <c r="M100" s="14" t="e">
        <f t="shared" si="79"/>
        <v>#REF!</v>
      </c>
      <c r="N100" s="14" t="e">
        <f t="shared" si="79"/>
        <v>#REF!</v>
      </c>
      <c r="O100" s="14" t="e">
        <f t="shared" si="79"/>
        <v>#REF!</v>
      </c>
      <c r="P100" s="14" t="e">
        <f t="shared" si="79"/>
        <v>#REF!</v>
      </c>
      <c r="Q100" s="14" t="e">
        <f t="shared" si="79"/>
        <v>#REF!</v>
      </c>
      <c r="R100" s="14" t="e">
        <f t="shared" si="79"/>
        <v>#REF!</v>
      </c>
      <c r="S100" s="14" t="e">
        <f t="shared" si="79"/>
        <v>#REF!</v>
      </c>
      <c r="T100" s="14" t="e">
        <f t="shared" si="79"/>
        <v>#REF!</v>
      </c>
      <c r="U100" s="14" t="e">
        <f t="shared" si="79"/>
        <v>#REF!</v>
      </c>
      <c r="AG100" s="11"/>
      <c r="AI100" s="32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  <c r="AX100" s="31"/>
      <c r="AY100" s="31"/>
      <c r="AZ100" s="31"/>
    </row>
    <row r="101" spans="8:52" x14ac:dyDescent="0.25">
      <c r="J101" s="14"/>
      <c r="L101" s="14"/>
      <c r="N101" s="37"/>
      <c r="O101" s="37"/>
      <c r="P101" s="37"/>
      <c r="Q101" s="37"/>
      <c r="R101" s="37"/>
      <c r="S101" s="37"/>
      <c r="T101" s="37"/>
      <c r="U101" s="37"/>
      <c r="AG101" s="11"/>
      <c r="AI101" s="32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  <c r="AZ101" s="31"/>
    </row>
    <row r="102" spans="8:52" x14ac:dyDescent="0.25">
      <c r="H102" s="2" t="s">
        <v>94</v>
      </c>
      <c r="I102" s="7"/>
      <c r="J102" s="13" t="str">
        <f t="shared" ref="J102:U102" si="80">J55</f>
        <v>JAN</v>
      </c>
      <c r="K102" s="13" t="str">
        <f t="shared" si="80"/>
        <v>FEB</v>
      </c>
      <c r="L102" s="13" t="str">
        <f t="shared" si="80"/>
        <v>MAR</v>
      </c>
      <c r="M102" s="13" t="str">
        <f t="shared" si="80"/>
        <v>APR</v>
      </c>
      <c r="N102" s="13" t="str">
        <f t="shared" si="80"/>
        <v>MAJ</v>
      </c>
      <c r="O102" s="13" t="str">
        <f t="shared" si="80"/>
        <v>JUN</v>
      </c>
      <c r="P102" s="13" t="str">
        <f t="shared" si="80"/>
        <v>JUL</v>
      </c>
      <c r="Q102" s="13" t="str">
        <f t="shared" si="80"/>
        <v>AUG</v>
      </c>
      <c r="R102" s="13" t="str">
        <f t="shared" si="80"/>
        <v>SEP</v>
      </c>
      <c r="S102" s="13" t="str">
        <f t="shared" si="80"/>
        <v>OKT</v>
      </c>
      <c r="T102" s="13" t="str">
        <f t="shared" si="80"/>
        <v>NOV</v>
      </c>
      <c r="U102" s="13" t="str">
        <f t="shared" si="80"/>
        <v>DEC</v>
      </c>
      <c r="AI102" s="32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  <c r="AZ102" s="31"/>
    </row>
    <row r="103" spans="8:52" x14ac:dyDescent="0.25">
      <c r="H103" s="12" t="s">
        <v>21</v>
      </c>
      <c r="I103" s="12" t="s">
        <v>128</v>
      </c>
      <c r="J103" s="15">
        <f t="shared" ref="J103:U103" si="81">Varmesalgspris*J90</f>
        <v>7499765</v>
      </c>
      <c r="K103" s="15">
        <f t="shared" si="81"/>
        <v>7433521.9999999991</v>
      </c>
      <c r="L103" s="15">
        <f t="shared" si="81"/>
        <v>7997392.6730004624</v>
      </c>
      <c r="M103" s="15">
        <f t="shared" si="81"/>
        <v>6996567</v>
      </c>
      <c r="N103" s="15">
        <f t="shared" si="81"/>
        <v>3968360</v>
      </c>
      <c r="O103" s="15">
        <f t="shared" si="81"/>
        <v>1897100</v>
      </c>
      <c r="P103" s="15">
        <f t="shared" si="81"/>
        <v>1993821</v>
      </c>
      <c r="Q103" s="15">
        <f t="shared" si="81"/>
        <v>2417714</v>
      </c>
      <c r="R103" s="15">
        <f t="shared" si="81"/>
        <v>2763546</v>
      </c>
      <c r="S103" s="15">
        <f t="shared" si="81"/>
        <v>4854710</v>
      </c>
      <c r="T103" s="15">
        <f t="shared" si="81"/>
        <v>6347510</v>
      </c>
      <c r="U103" s="15">
        <f t="shared" si="81"/>
        <v>6478752</v>
      </c>
      <c r="AC103" s="2"/>
      <c r="AD103" s="51"/>
      <c r="AE103" s="13"/>
      <c r="AF103" s="13"/>
      <c r="AG103" s="2"/>
      <c r="AI103" s="32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</row>
    <row r="104" spans="8:52" x14ac:dyDescent="0.25">
      <c r="H104" s="12" t="s">
        <v>96</v>
      </c>
      <c r="I104" s="12" t="s">
        <v>128</v>
      </c>
      <c r="J104" s="15">
        <f t="shared" ref="J104:U104" si="82">(J15-ElProdTarif)*J83</f>
        <v>3947332.4512195126</v>
      </c>
      <c r="K104" s="15">
        <f t="shared" si="82"/>
        <v>3565332.5365853654</v>
      </c>
      <c r="L104" s="15">
        <f t="shared" si="82"/>
        <v>3947332.4512195117</v>
      </c>
      <c r="M104" s="15">
        <f t="shared" si="82"/>
        <v>3819999.1463414631</v>
      </c>
      <c r="N104" s="15">
        <f t="shared" si="82"/>
        <v>2243170.0472439029</v>
      </c>
      <c r="O104" s="15">
        <f t="shared" si="82"/>
        <v>254666.60975609758</v>
      </c>
      <c r="P104" s="15">
        <f t="shared" si="82"/>
        <v>852122.0521981708</v>
      </c>
      <c r="Q104" s="15">
        <f t="shared" si="82"/>
        <v>1150751.5083719518</v>
      </c>
      <c r="R104" s="15">
        <f t="shared" si="82"/>
        <v>1414287.5723963415</v>
      </c>
      <c r="S104" s="15">
        <f t="shared" si="82"/>
        <v>2867597.0098963412</v>
      </c>
      <c r="T104" s="15">
        <f t="shared" si="82"/>
        <v>3819999.1463414631</v>
      </c>
      <c r="U104" s="15">
        <f t="shared" si="82"/>
        <v>3947332.4512195117</v>
      </c>
      <c r="AC104" s="12"/>
      <c r="AD104" s="52"/>
      <c r="AE104" s="15"/>
      <c r="AF104" s="15"/>
      <c r="AG104" s="16"/>
      <c r="AI104" s="32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</row>
    <row r="105" spans="8:52" x14ac:dyDescent="0.25">
      <c r="H105" s="12" t="s">
        <v>97</v>
      </c>
      <c r="I105" s="12" t="s">
        <v>128</v>
      </c>
      <c r="J105" s="15" t="e">
        <f t="shared" ref="J105:U105" si="83">IF(J87&lt;7%*J89,0,10%)*J111</f>
        <v>#REF!</v>
      </c>
      <c r="K105" s="15" t="e">
        <f t="shared" si="83"/>
        <v>#REF!</v>
      </c>
      <c r="L105" s="15" t="e">
        <f t="shared" si="83"/>
        <v>#REF!</v>
      </c>
      <c r="M105" s="15" t="e">
        <f t="shared" si="83"/>
        <v>#REF!</v>
      </c>
      <c r="N105" s="15" t="e">
        <f t="shared" si="83"/>
        <v>#REF!</v>
      </c>
      <c r="O105" s="15" t="e">
        <f t="shared" si="83"/>
        <v>#REF!</v>
      </c>
      <c r="P105" s="15" t="e">
        <f t="shared" si="83"/>
        <v>#REF!</v>
      </c>
      <c r="Q105" s="15" t="e">
        <f t="shared" si="83"/>
        <v>#REF!</v>
      </c>
      <c r="R105" s="15" t="e">
        <f t="shared" si="83"/>
        <v>#REF!</v>
      </c>
      <c r="S105" s="15" t="e">
        <f t="shared" si="83"/>
        <v>#REF!</v>
      </c>
      <c r="T105" s="15" t="e">
        <f t="shared" si="83"/>
        <v>#REF!</v>
      </c>
      <c r="U105" s="15" t="e">
        <f t="shared" si="83"/>
        <v>#REF!</v>
      </c>
      <c r="AC105" s="12"/>
      <c r="AD105" s="52"/>
      <c r="AE105" s="15"/>
      <c r="AF105" s="15"/>
      <c r="AG105" s="16"/>
      <c r="AI105" s="32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  <c r="AU105" s="31"/>
      <c r="AV105" s="31"/>
      <c r="AW105" s="31"/>
      <c r="AX105" s="31"/>
      <c r="AY105" s="31"/>
      <c r="AZ105" s="31"/>
    </row>
    <row r="106" spans="8:52" x14ac:dyDescent="0.25">
      <c r="H106" s="12" t="s">
        <v>95</v>
      </c>
      <c r="I106" s="12" t="s">
        <v>128</v>
      </c>
      <c r="J106" s="15">
        <f t="shared" ref="J106:U106" si="84">$C$25*($J$31-J80*(1-J35))</f>
        <v>4648001.7121823318</v>
      </c>
      <c r="K106" s="15">
        <f t="shared" si="84"/>
        <v>5524878.9166497989</v>
      </c>
      <c r="L106" s="15">
        <f t="shared" si="84"/>
        <v>5600000</v>
      </c>
      <c r="M106" s="15">
        <f t="shared" si="84"/>
        <v>5314136.5842493419</v>
      </c>
      <c r="N106" s="15">
        <f t="shared" si="84"/>
        <v>4335274.8336080452</v>
      </c>
      <c r="O106" s="15">
        <f t="shared" si="84"/>
        <v>4493354.2678781291</v>
      </c>
      <c r="P106" s="15">
        <f t="shared" si="84"/>
        <v>4627161.7913997788</v>
      </c>
      <c r="Q106" s="15">
        <f t="shared" si="84"/>
        <v>3808628.6486260928</v>
      </c>
      <c r="R106" s="15">
        <f t="shared" si="84"/>
        <v>3926083.6341254776</v>
      </c>
      <c r="S106" s="15">
        <f t="shared" si="84"/>
        <v>4636306.046443698</v>
      </c>
      <c r="T106" s="15">
        <f t="shared" si="84"/>
        <v>4450499.1003052173</v>
      </c>
      <c r="U106" s="15">
        <f t="shared" si="84"/>
        <v>4500379.7283481825</v>
      </c>
      <c r="AC106" s="12"/>
      <c r="AD106" s="52"/>
      <c r="AE106" s="15"/>
      <c r="AF106" s="15"/>
      <c r="AG106" s="16"/>
      <c r="AI106" s="32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</row>
    <row r="107" spans="8:52" x14ac:dyDescent="0.25">
      <c r="I107" s="12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AC107" s="12"/>
      <c r="AD107" s="52"/>
      <c r="AE107" s="15"/>
      <c r="AF107" s="15"/>
      <c r="AG107" s="16"/>
      <c r="AI107" s="32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  <c r="AU107" s="31"/>
      <c r="AV107" s="31"/>
      <c r="AW107" s="31"/>
      <c r="AX107" s="31"/>
      <c r="AY107" s="31"/>
      <c r="AZ107" s="31"/>
    </row>
    <row r="108" spans="8:52" x14ac:dyDescent="0.25">
      <c r="H108" s="12" t="s">
        <v>102</v>
      </c>
      <c r="I108" s="12" t="s">
        <v>128</v>
      </c>
      <c r="J108" s="16">
        <f t="shared" ref="J108:U108" si="85">$E$25*($J$8-J80*J35)</f>
        <v>9281.9833062222588</v>
      </c>
      <c r="K108" s="16">
        <f t="shared" si="85"/>
        <v>732.43056266445581</v>
      </c>
      <c r="L108" s="16">
        <f t="shared" si="85"/>
        <v>0</v>
      </c>
      <c r="M108" s="16">
        <f t="shared" si="85"/>
        <v>7601.3681006424949</v>
      </c>
      <c r="N108" s="16">
        <f t="shared" si="85"/>
        <v>33630.191924513339</v>
      </c>
      <c r="O108" s="16">
        <f t="shared" si="85"/>
        <v>29426.716058695209</v>
      </c>
      <c r="P108" s="16">
        <f t="shared" si="85"/>
        <v>25868.652365051337</v>
      </c>
      <c r="Q108" s="16">
        <f t="shared" si="85"/>
        <v>47634.192752442534</v>
      </c>
      <c r="R108" s="16">
        <f t="shared" si="85"/>
        <v>44510.957910754361</v>
      </c>
      <c r="S108" s="16">
        <f t="shared" si="85"/>
        <v>25625.498310474391</v>
      </c>
      <c r="T108" s="16">
        <f t="shared" si="85"/>
        <v>30566.273923702185</v>
      </c>
      <c r="U108" s="16">
        <f t="shared" si="85"/>
        <v>29239.902678014256</v>
      </c>
      <c r="AD108" s="52"/>
      <c r="AE108" s="16"/>
      <c r="AF108" s="16"/>
      <c r="AG108" s="16"/>
      <c r="AI108" s="32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  <c r="AZ108" s="31"/>
    </row>
    <row r="109" spans="8:52" x14ac:dyDescent="0.25">
      <c r="H109" s="12" t="s">
        <v>103</v>
      </c>
      <c r="I109" s="12" t="s">
        <v>128</v>
      </c>
      <c r="J109" s="15">
        <f t="shared" ref="J109:U109" si="86">$C$20*J84+$D$20*J85+$E$20*J78+$F$20*J87</f>
        <v>1364822.9775574182</v>
      </c>
      <c r="K109" s="15">
        <f t="shared" si="86"/>
        <v>1159678.5045878757</v>
      </c>
      <c r="L109" s="15">
        <f t="shared" si="86"/>
        <v>1241098.7605122505</v>
      </c>
      <c r="M109" s="15">
        <f t="shared" si="86"/>
        <v>1212648.718401477</v>
      </c>
      <c r="N109" s="15">
        <f t="shared" si="86"/>
        <v>962662.43146891613</v>
      </c>
      <c r="O109" s="15">
        <f t="shared" si="86"/>
        <v>371721.19312929199</v>
      </c>
      <c r="P109" s="15">
        <f t="shared" si="86"/>
        <v>631393.48891435901</v>
      </c>
      <c r="Q109" s="15">
        <f t="shared" si="86"/>
        <v>702510.1322758114</v>
      </c>
      <c r="R109" s="15">
        <f t="shared" si="86"/>
        <v>751410.46053548506</v>
      </c>
      <c r="S109" s="15">
        <f t="shared" si="86"/>
        <v>1111365.610911425</v>
      </c>
      <c r="T109" s="15">
        <f t="shared" si="86"/>
        <v>1326950.9422492688</v>
      </c>
      <c r="U109" s="15">
        <f t="shared" si="86"/>
        <v>1369661.9768934532</v>
      </c>
      <c r="AC109" s="12"/>
      <c r="AD109" s="52"/>
      <c r="AE109" s="16"/>
      <c r="AF109" s="16"/>
      <c r="AG109" s="16"/>
      <c r="AI109" s="32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  <c r="AZ109" s="31"/>
    </row>
    <row r="110" spans="8:52" x14ac:dyDescent="0.25">
      <c r="H110" s="12" t="s">
        <v>30</v>
      </c>
      <c r="I110" s="12" t="s">
        <v>128</v>
      </c>
      <c r="J110" s="15">
        <f t="shared" ref="J110:U110" si="87">AFV*3.6*J90</f>
        <v>2239801.2000000002</v>
      </c>
      <c r="K110" s="15">
        <f t="shared" si="87"/>
        <v>2220017.7599999998</v>
      </c>
      <c r="L110" s="15">
        <f t="shared" si="87"/>
        <v>2388417.4645282412</v>
      </c>
      <c r="M110" s="15">
        <f t="shared" si="87"/>
        <v>2089521.36</v>
      </c>
      <c r="N110" s="15">
        <f t="shared" si="87"/>
        <v>1185148.8</v>
      </c>
      <c r="O110" s="15">
        <f t="shared" si="87"/>
        <v>566568.00000000012</v>
      </c>
      <c r="P110" s="15">
        <f t="shared" si="87"/>
        <v>595453.68000000005</v>
      </c>
      <c r="Q110" s="15">
        <f t="shared" si="87"/>
        <v>722049.12000000011</v>
      </c>
      <c r="R110" s="15">
        <f t="shared" si="87"/>
        <v>825331.68</v>
      </c>
      <c r="S110" s="15">
        <f t="shared" si="87"/>
        <v>1449856.8</v>
      </c>
      <c r="T110" s="15">
        <f t="shared" si="87"/>
        <v>1895680.8000000003</v>
      </c>
      <c r="U110" s="15">
        <f t="shared" si="87"/>
        <v>1934876.1600000001</v>
      </c>
      <c r="AC110" s="12"/>
      <c r="AD110" s="52"/>
      <c r="AE110" s="15"/>
      <c r="AF110" s="15"/>
      <c r="AG110" s="16"/>
      <c r="AI110" s="32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  <c r="AX110" s="31"/>
      <c r="AY110" s="31"/>
      <c r="AZ110" s="31"/>
    </row>
    <row r="111" spans="8:52" x14ac:dyDescent="0.25">
      <c r="H111" s="12" t="s">
        <v>31</v>
      </c>
      <c r="I111" s="12" t="s">
        <v>128</v>
      </c>
      <c r="J111" s="16" t="e">
        <f t="shared" ref="J111:U111" si="88">ATL*3.6*J99</f>
        <v>#REF!</v>
      </c>
      <c r="K111" s="16" t="e">
        <f t="shared" si="88"/>
        <v>#REF!</v>
      </c>
      <c r="L111" s="16" t="e">
        <f t="shared" si="88"/>
        <v>#REF!</v>
      </c>
      <c r="M111" s="16" t="e">
        <f t="shared" si="88"/>
        <v>#REF!</v>
      </c>
      <c r="N111" s="16" t="e">
        <f t="shared" si="88"/>
        <v>#REF!</v>
      </c>
      <c r="O111" s="16" t="e">
        <f t="shared" si="88"/>
        <v>#REF!</v>
      </c>
      <c r="P111" s="16" t="e">
        <f t="shared" si="88"/>
        <v>#REF!</v>
      </c>
      <c r="Q111" s="16" t="e">
        <f t="shared" si="88"/>
        <v>#REF!</v>
      </c>
      <c r="R111" s="16" t="e">
        <f t="shared" si="88"/>
        <v>#REF!</v>
      </c>
      <c r="S111" s="16" t="e">
        <f t="shared" si="88"/>
        <v>#REF!</v>
      </c>
      <c r="T111" s="16" t="e">
        <f t="shared" si="88"/>
        <v>#REF!</v>
      </c>
      <c r="U111" s="16" t="e">
        <f t="shared" si="88"/>
        <v>#REF!</v>
      </c>
      <c r="AC111" s="12"/>
      <c r="AD111" s="52"/>
      <c r="AE111" s="15"/>
      <c r="AF111" s="15"/>
      <c r="AG111" s="16"/>
      <c r="AI111" s="32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  <c r="AZ111" s="31"/>
    </row>
    <row r="112" spans="8:52" x14ac:dyDescent="0.25">
      <c r="H112" s="12" t="s">
        <v>32</v>
      </c>
      <c r="I112" s="12" t="s">
        <v>128</v>
      </c>
      <c r="J112" s="16" t="e">
        <f t="shared" ref="J112:U112" si="89">CO2afgift*$C$27 /1000 *3.6*J99</f>
        <v>#REF!</v>
      </c>
      <c r="K112" s="16" t="e">
        <f t="shared" si="89"/>
        <v>#REF!</v>
      </c>
      <c r="L112" s="16" t="e">
        <f t="shared" si="89"/>
        <v>#REF!</v>
      </c>
      <c r="M112" s="16" t="e">
        <f t="shared" si="89"/>
        <v>#REF!</v>
      </c>
      <c r="N112" s="16" t="e">
        <f t="shared" si="89"/>
        <v>#REF!</v>
      </c>
      <c r="O112" s="16" t="e">
        <f t="shared" si="89"/>
        <v>#REF!</v>
      </c>
      <c r="P112" s="16" t="e">
        <f t="shared" si="89"/>
        <v>#REF!</v>
      </c>
      <c r="Q112" s="16" t="e">
        <f t="shared" si="89"/>
        <v>#REF!</v>
      </c>
      <c r="R112" s="16" t="e">
        <f t="shared" si="89"/>
        <v>#REF!</v>
      </c>
      <c r="S112" s="16" t="e">
        <f t="shared" si="89"/>
        <v>#REF!</v>
      </c>
      <c r="T112" s="16" t="e">
        <f t="shared" si="89"/>
        <v>#REF!</v>
      </c>
      <c r="U112" s="16" t="e">
        <f t="shared" si="89"/>
        <v>#REF!</v>
      </c>
      <c r="AC112" s="12"/>
      <c r="AD112" s="52"/>
      <c r="AE112" s="16"/>
      <c r="AF112" s="16"/>
      <c r="AG112" s="16"/>
      <c r="AI112" s="32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  <c r="AY112" s="31"/>
      <c r="AZ112" s="31"/>
    </row>
    <row r="113" spans="8:52" x14ac:dyDescent="0.25">
      <c r="H113" s="12" t="s">
        <v>107</v>
      </c>
      <c r="I113" s="12" t="s">
        <v>128</v>
      </c>
      <c r="J113" s="16">
        <f t="shared" ref="J113:U113" si="90">J16*$C$28/1000*10.6*J79</f>
        <v>2022445.5665611641</v>
      </c>
      <c r="K113" s="16">
        <f t="shared" si="90"/>
        <v>2483317.6106091901</v>
      </c>
      <c r="L113" s="16">
        <f t="shared" si="90"/>
        <v>2883200</v>
      </c>
      <c r="M113" s="16">
        <f t="shared" si="90"/>
        <v>2695881.4999335688</v>
      </c>
      <c r="N113" s="16">
        <f t="shared" si="90"/>
        <v>2054460.0909678899</v>
      </c>
      <c r="O113" s="16">
        <f t="shared" si="90"/>
        <v>2158045.2329877778</v>
      </c>
      <c r="P113" s="16">
        <f t="shared" si="90"/>
        <v>2245725.6538554183</v>
      </c>
      <c r="Q113" s="16">
        <f t="shared" si="90"/>
        <v>1709363.2090269888</v>
      </c>
      <c r="R113" s="16">
        <f t="shared" si="90"/>
        <v>1786328.257706949</v>
      </c>
      <c r="S113" s="16">
        <f t="shared" si="90"/>
        <v>2251717.6347969254</v>
      </c>
      <c r="T113" s="16">
        <f t="shared" si="90"/>
        <v>2129963.4104545456</v>
      </c>
      <c r="U113" s="16">
        <f t="shared" si="90"/>
        <v>2162648.8256303361</v>
      </c>
      <c r="AC113" s="12"/>
      <c r="AD113" s="52"/>
      <c r="AE113" s="16"/>
      <c r="AF113" s="16"/>
      <c r="AG113" s="16"/>
      <c r="AI113" s="32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  <c r="AX113" s="31"/>
      <c r="AY113" s="31"/>
      <c r="AZ113" s="31"/>
    </row>
    <row r="114" spans="8:52" x14ac:dyDescent="0.25">
      <c r="I114" s="12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AC114" s="12"/>
      <c r="AD114" s="52"/>
      <c r="AE114" s="16"/>
      <c r="AF114" s="16"/>
      <c r="AG114" s="16"/>
      <c r="AI114" s="32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  <c r="AY114" s="31"/>
      <c r="AZ114" s="31"/>
    </row>
    <row r="115" spans="8:52" x14ac:dyDescent="0.25">
      <c r="H115" s="12" t="s">
        <v>110</v>
      </c>
      <c r="I115" s="12" t="s">
        <v>128</v>
      </c>
      <c r="J115" s="16" t="e">
        <f>SUM(J103:J106)</f>
        <v>#REF!</v>
      </c>
      <c r="K115" s="16" t="e">
        <f t="shared" ref="K115:U115" si="91">SUM(K103:K106)</f>
        <v>#REF!</v>
      </c>
      <c r="L115" s="16" t="e">
        <f t="shared" si="91"/>
        <v>#REF!</v>
      </c>
      <c r="M115" s="16" t="e">
        <f t="shared" si="91"/>
        <v>#REF!</v>
      </c>
      <c r="N115" s="16" t="e">
        <f t="shared" si="91"/>
        <v>#REF!</v>
      </c>
      <c r="O115" s="16" t="e">
        <f t="shared" si="91"/>
        <v>#REF!</v>
      </c>
      <c r="P115" s="16" t="e">
        <f t="shared" si="91"/>
        <v>#REF!</v>
      </c>
      <c r="Q115" s="16" t="e">
        <f t="shared" si="91"/>
        <v>#REF!</v>
      </c>
      <c r="R115" s="16" t="e">
        <f t="shared" si="91"/>
        <v>#REF!</v>
      </c>
      <c r="S115" s="16" t="e">
        <f t="shared" si="91"/>
        <v>#REF!</v>
      </c>
      <c r="T115" s="16" t="e">
        <f t="shared" si="91"/>
        <v>#REF!</v>
      </c>
      <c r="U115" s="16" t="e">
        <f t="shared" si="91"/>
        <v>#REF!</v>
      </c>
      <c r="AD115" s="52"/>
      <c r="AE115" s="16"/>
      <c r="AF115" s="16"/>
      <c r="AG115" s="16"/>
      <c r="AI115" s="32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  <c r="AX115" s="31"/>
      <c r="AY115" s="31"/>
      <c r="AZ115" s="31"/>
    </row>
    <row r="116" spans="8:52" x14ac:dyDescent="0.25">
      <c r="H116" s="12" t="s">
        <v>111</v>
      </c>
      <c r="I116" s="12" t="s">
        <v>128</v>
      </c>
      <c r="J116" s="16" t="e">
        <f>SUM(J108:J113)</f>
        <v>#REF!</v>
      </c>
      <c r="K116" s="16" t="e">
        <f t="shared" ref="K116:U116" si="92">SUM(K108:K113)</f>
        <v>#REF!</v>
      </c>
      <c r="L116" s="16" t="e">
        <f t="shared" si="92"/>
        <v>#REF!</v>
      </c>
      <c r="M116" s="16" t="e">
        <f t="shared" si="92"/>
        <v>#REF!</v>
      </c>
      <c r="N116" s="16" t="e">
        <f t="shared" si="92"/>
        <v>#REF!</v>
      </c>
      <c r="O116" s="16" t="e">
        <f t="shared" si="92"/>
        <v>#REF!</v>
      </c>
      <c r="P116" s="16" t="e">
        <f t="shared" si="92"/>
        <v>#REF!</v>
      </c>
      <c r="Q116" s="16" t="e">
        <f t="shared" si="92"/>
        <v>#REF!</v>
      </c>
      <c r="R116" s="16" t="e">
        <f t="shared" si="92"/>
        <v>#REF!</v>
      </c>
      <c r="S116" s="16" t="e">
        <f t="shared" si="92"/>
        <v>#REF!</v>
      </c>
      <c r="T116" s="16" t="e">
        <f t="shared" si="92"/>
        <v>#REF!</v>
      </c>
      <c r="U116" s="16" t="e">
        <f t="shared" si="92"/>
        <v>#REF!</v>
      </c>
      <c r="AC116" s="12"/>
      <c r="AD116" s="52"/>
      <c r="AE116" s="16"/>
      <c r="AF116" s="16"/>
      <c r="AG116" s="16"/>
      <c r="AI116" s="32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  <c r="AY116" s="31"/>
      <c r="AZ116" s="31"/>
    </row>
    <row r="117" spans="8:52" x14ac:dyDescent="0.25">
      <c r="H117" s="12" t="s">
        <v>112</v>
      </c>
      <c r="I117" s="12" t="s">
        <v>128</v>
      </c>
      <c r="J117" s="16" t="e">
        <f>J115-J116</f>
        <v>#REF!</v>
      </c>
      <c r="K117" s="16" t="e">
        <f t="shared" ref="K117:U117" si="93">K115-K116</f>
        <v>#REF!</v>
      </c>
      <c r="L117" s="16" t="e">
        <f t="shared" si="93"/>
        <v>#REF!</v>
      </c>
      <c r="M117" s="16" t="e">
        <f t="shared" si="93"/>
        <v>#REF!</v>
      </c>
      <c r="N117" s="16" t="e">
        <f t="shared" si="93"/>
        <v>#REF!</v>
      </c>
      <c r="O117" s="16" t="e">
        <f t="shared" si="93"/>
        <v>#REF!</v>
      </c>
      <c r="P117" s="16" t="e">
        <f t="shared" si="93"/>
        <v>#REF!</v>
      </c>
      <c r="Q117" s="16" t="e">
        <f t="shared" si="93"/>
        <v>#REF!</v>
      </c>
      <c r="R117" s="16" t="e">
        <f t="shared" si="93"/>
        <v>#REF!</v>
      </c>
      <c r="S117" s="16" t="e">
        <f t="shared" si="93"/>
        <v>#REF!</v>
      </c>
      <c r="T117" s="16" t="e">
        <f t="shared" si="93"/>
        <v>#REF!</v>
      </c>
      <c r="U117" s="16" t="e">
        <f t="shared" si="93"/>
        <v>#REF!</v>
      </c>
      <c r="AC117" s="12"/>
      <c r="AD117" s="52"/>
      <c r="AE117" s="16"/>
      <c r="AF117" s="16"/>
      <c r="AG117" s="16"/>
      <c r="AI117" s="32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  <c r="AX117" s="31"/>
      <c r="AY117" s="31"/>
      <c r="AZ117" s="31"/>
    </row>
    <row r="118" spans="8:52" x14ac:dyDescent="0.25">
      <c r="AC118" s="12"/>
      <c r="AD118" s="52"/>
      <c r="AE118" s="16"/>
      <c r="AF118" s="16"/>
      <c r="AG118" s="16"/>
      <c r="AI118" s="32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  <c r="AY118" s="31"/>
      <c r="AZ118" s="31"/>
    </row>
    <row r="119" spans="8:52" x14ac:dyDescent="0.25">
      <c r="H119" s="114" t="s">
        <v>217</v>
      </c>
      <c r="I119" s="113"/>
      <c r="J119" s="55" t="str">
        <f t="shared" ref="J119:U119" si="94">J3</f>
        <v>JAN</v>
      </c>
      <c r="K119" s="55" t="str">
        <f t="shared" si="94"/>
        <v>FEB</v>
      </c>
      <c r="L119" s="55" t="str">
        <f t="shared" si="94"/>
        <v>MAR</v>
      </c>
      <c r="M119" s="55" t="str">
        <f t="shared" si="94"/>
        <v>APR</v>
      </c>
      <c r="N119" s="55" t="str">
        <f t="shared" si="94"/>
        <v>MAJ</v>
      </c>
      <c r="O119" s="55" t="str">
        <f t="shared" si="94"/>
        <v>JUN</v>
      </c>
      <c r="P119" s="55" t="str">
        <f t="shared" si="94"/>
        <v>JUL</v>
      </c>
      <c r="Q119" s="55" t="str">
        <f t="shared" si="94"/>
        <v>AUG</v>
      </c>
      <c r="R119" s="55" t="str">
        <f t="shared" si="94"/>
        <v>SEP</v>
      </c>
      <c r="S119" s="55" t="str">
        <f t="shared" si="94"/>
        <v>OKT</v>
      </c>
      <c r="T119" s="55" t="str">
        <f t="shared" si="94"/>
        <v>NOV</v>
      </c>
      <c r="U119" s="55" t="str">
        <f t="shared" si="94"/>
        <v>DEC</v>
      </c>
      <c r="AI119" s="32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  <c r="AU119" s="31"/>
      <c r="AV119" s="31"/>
      <c r="AW119" s="31"/>
      <c r="AX119" s="31"/>
      <c r="AY119" s="31"/>
      <c r="AZ119" s="31"/>
    </row>
    <row r="120" spans="8:52" x14ac:dyDescent="0.25">
      <c r="H120" s="115" t="s">
        <v>223</v>
      </c>
      <c r="I120" s="4" t="s">
        <v>224</v>
      </c>
      <c r="J120" s="16" t="e">
        <f>SUM(J117:U117)</f>
        <v>#REF!</v>
      </c>
      <c r="K120" s="116"/>
      <c r="L120" s="116"/>
      <c r="M120" s="116"/>
      <c r="N120" s="116"/>
      <c r="O120" s="116"/>
      <c r="P120" s="116"/>
      <c r="Q120" s="116"/>
      <c r="R120" s="116"/>
      <c r="S120" s="116"/>
      <c r="T120" s="116"/>
      <c r="U120" s="116"/>
      <c r="AI120" s="32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  <c r="AX120" s="31"/>
      <c r="AY120" s="31"/>
      <c r="AZ120" s="31"/>
    </row>
    <row r="121" spans="8:52" x14ac:dyDescent="0.25">
      <c r="H121" s="115" t="s">
        <v>230</v>
      </c>
      <c r="I121" s="4" t="s">
        <v>40</v>
      </c>
      <c r="J121" s="11">
        <f t="shared" ref="J121:U121" si="95">J90+J61+J91-J5</f>
        <v>0</v>
      </c>
      <c r="K121" s="11">
        <f t="shared" si="95"/>
        <v>0</v>
      </c>
      <c r="L121" s="11">
        <f t="shared" si="95"/>
        <v>0</v>
      </c>
      <c r="M121" s="11">
        <f t="shared" si="95"/>
        <v>0</v>
      </c>
      <c r="N121" s="11">
        <f t="shared" si="95"/>
        <v>0</v>
      </c>
      <c r="O121" s="11">
        <f t="shared" si="95"/>
        <v>0</v>
      </c>
      <c r="P121" s="11">
        <f t="shared" si="95"/>
        <v>0</v>
      </c>
      <c r="Q121" s="11">
        <f t="shared" si="95"/>
        <v>0</v>
      </c>
      <c r="R121" s="11">
        <f t="shared" si="95"/>
        <v>0</v>
      </c>
      <c r="S121" s="11">
        <f t="shared" si="95"/>
        <v>0</v>
      </c>
      <c r="T121" s="11">
        <f t="shared" si="95"/>
        <v>0</v>
      </c>
      <c r="U121" s="11">
        <f t="shared" si="95"/>
        <v>0</v>
      </c>
      <c r="AI121" s="32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  <c r="AX121" s="31"/>
      <c r="AY121" s="31"/>
      <c r="AZ121" s="31"/>
    </row>
    <row r="122" spans="8:52" x14ac:dyDescent="0.25">
      <c r="H122" s="115" t="s">
        <v>231</v>
      </c>
      <c r="I122" s="4" t="s">
        <v>211</v>
      </c>
      <c r="J122">
        <f>FbioMaxÅr-SUMPRODUCT(J79:U79,J35:U35)</f>
        <v>-31858.197953283045</v>
      </c>
      <c r="K122" s="116"/>
      <c r="L122" s="116"/>
      <c r="M122" s="116"/>
      <c r="N122" s="116"/>
      <c r="O122" s="116"/>
      <c r="P122" s="116"/>
      <c r="Q122" s="116"/>
      <c r="R122" s="116"/>
      <c r="S122" s="116"/>
      <c r="T122" s="116"/>
      <c r="U122" s="116"/>
      <c r="AI122" s="32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  <c r="AU122" s="31"/>
      <c r="AV122" s="31"/>
      <c r="AW122" s="31"/>
      <c r="AX122" s="31"/>
      <c r="AY122" s="31"/>
      <c r="AZ122" s="31"/>
    </row>
    <row r="123" spans="8:52" x14ac:dyDescent="0.25">
      <c r="H123" s="115" t="s">
        <v>232</v>
      </c>
      <c r="I123" s="4" t="s">
        <v>40</v>
      </c>
      <c r="J123" s="11">
        <f t="shared" ref="J123:U123" si="96">J43-J64</f>
        <v>4355.95652173913</v>
      </c>
      <c r="K123" s="11">
        <f t="shared" si="96"/>
        <v>2182.521739130435</v>
      </c>
      <c r="L123" s="11">
        <f t="shared" si="96"/>
        <v>3034.1438855013575</v>
      </c>
      <c r="M123" s="11">
        <f t="shared" si="96"/>
        <v>4909.434782608696</v>
      </c>
      <c r="N123" s="11">
        <f t="shared" si="96"/>
        <v>7068</v>
      </c>
      <c r="O123" s="11">
        <f t="shared" si="96"/>
        <v>2911.1304347826085</v>
      </c>
      <c r="P123" s="11">
        <f t="shared" si="96"/>
        <v>7068</v>
      </c>
      <c r="Q123" s="11">
        <f t="shared" si="96"/>
        <v>7068</v>
      </c>
      <c r="R123" s="11">
        <f t="shared" si="96"/>
        <v>6840</v>
      </c>
      <c r="S123" s="11">
        <f t="shared" si="96"/>
        <v>7068</v>
      </c>
      <c r="T123" s="11">
        <f t="shared" si="96"/>
        <v>6633.478260869565</v>
      </c>
      <c r="U123" s="11">
        <f t="shared" si="96"/>
        <v>7068</v>
      </c>
    </row>
    <row r="124" spans="8:52" x14ac:dyDescent="0.25">
      <c r="H124" s="115" t="s">
        <v>233</v>
      </c>
      <c r="I124" s="4" t="s">
        <v>40</v>
      </c>
      <c r="J124" s="11">
        <f t="shared" ref="J124:U124" si="97">J50-J57</f>
        <v>0</v>
      </c>
      <c r="K124" s="11">
        <f t="shared" si="97"/>
        <v>0</v>
      </c>
      <c r="L124" s="11">
        <f t="shared" si="97"/>
        <v>0</v>
      </c>
      <c r="M124" s="11">
        <f t="shared" si="97"/>
        <v>0</v>
      </c>
      <c r="N124" s="11">
        <f t="shared" si="97"/>
        <v>6486.4285714285725</v>
      </c>
      <c r="O124" s="11">
        <f t="shared" si="97"/>
        <v>0</v>
      </c>
      <c r="P124" s="11">
        <f t="shared" si="97"/>
        <v>11588.303571428572</v>
      </c>
      <c r="Q124" s="11">
        <f t="shared" si="97"/>
        <v>10493.035714285714</v>
      </c>
      <c r="R124" s="11">
        <f t="shared" si="97"/>
        <v>9059.4642857142862</v>
      </c>
      <c r="S124" s="11">
        <f t="shared" si="97"/>
        <v>4196.2500000000018</v>
      </c>
      <c r="T124" s="11">
        <f t="shared" si="97"/>
        <v>0</v>
      </c>
      <c r="U124" s="11">
        <f t="shared" si="97"/>
        <v>0</v>
      </c>
    </row>
    <row r="125" spans="8:52" x14ac:dyDescent="0.25">
      <c r="H125" s="115" t="s">
        <v>240</v>
      </c>
      <c r="I125" s="4" t="s">
        <v>211</v>
      </c>
      <c r="J125" s="11">
        <f>SUM($J$7:$U$7)-FfriMinÅr</f>
        <v>2500</v>
      </c>
      <c r="K125" s="116"/>
      <c r="L125" s="116"/>
      <c r="M125" s="116"/>
      <c r="N125" s="116"/>
      <c r="O125" s="116"/>
      <c r="P125" s="116"/>
      <c r="Q125" s="116"/>
      <c r="R125" s="116"/>
      <c r="S125" s="116"/>
      <c r="T125" s="116"/>
      <c r="U125" s="116"/>
    </row>
    <row r="126" spans="8:52" x14ac:dyDescent="0.25">
      <c r="H126" s="115" t="s">
        <v>239</v>
      </c>
      <c r="I126" s="12" t="s">
        <v>211</v>
      </c>
      <c r="J126" s="99">
        <f>FfriMaxÅr-SUM($J$7:$U$7)</f>
        <v>2500</v>
      </c>
      <c r="K126" s="116"/>
      <c r="L126" s="116"/>
      <c r="M126" s="116"/>
      <c r="N126" s="116"/>
      <c r="O126" s="116"/>
      <c r="P126" s="116"/>
      <c r="Q126" s="116"/>
      <c r="R126" s="116"/>
      <c r="S126" s="116"/>
      <c r="T126" s="116"/>
      <c r="U126" s="116"/>
    </row>
    <row r="127" spans="8:52" x14ac:dyDescent="0.25">
      <c r="H127" s="115" t="s">
        <v>238</v>
      </c>
      <c r="I127" s="12" t="s">
        <v>40</v>
      </c>
      <c r="J127" s="99">
        <f t="shared" ref="J127:U127" si="98">J14-J61</f>
        <v>0</v>
      </c>
      <c r="K127" s="99">
        <f t="shared" si="98"/>
        <v>0</v>
      </c>
      <c r="L127" s="99">
        <f t="shared" si="98"/>
        <v>0</v>
      </c>
      <c r="M127" s="99">
        <f t="shared" si="98"/>
        <v>0</v>
      </c>
      <c r="N127" s="99">
        <f t="shared" si="98"/>
        <v>0</v>
      </c>
      <c r="O127" s="99">
        <f t="shared" si="98"/>
        <v>0</v>
      </c>
      <c r="P127" s="99">
        <f t="shared" si="98"/>
        <v>0</v>
      </c>
      <c r="Q127" s="99">
        <f t="shared" si="98"/>
        <v>0</v>
      </c>
      <c r="R127" s="99">
        <f t="shared" si="98"/>
        <v>0</v>
      </c>
      <c r="S127" s="99">
        <f t="shared" si="98"/>
        <v>0</v>
      </c>
      <c r="T127" s="99">
        <f t="shared" si="98"/>
        <v>0</v>
      </c>
      <c r="U127" s="99">
        <f t="shared" si="98"/>
        <v>957</v>
      </c>
    </row>
    <row r="128" spans="8:52" x14ac:dyDescent="0.25">
      <c r="H128" s="115" t="s">
        <v>245</v>
      </c>
      <c r="I128" s="12" t="s">
        <v>40</v>
      </c>
      <c r="J128" s="99">
        <f t="shared" ref="J128:U128" si="99">24*$E$11*KapQcool-J78</f>
        <v>6804.04347826087</v>
      </c>
      <c r="K128" s="99">
        <f t="shared" si="99"/>
        <v>10725.953162664888</v>
      </c>
      <c r="L128" s="99">
        <f t="shared" si="99"/>
        <v>11160</v>
      </c>
      <c r="M128" s="99">
        <f t="shared" si="99"/>
        <v>8985.2146581724955</v>
      </c>
      <c r="N128" s="99">
        <f t="shared" si="99"/>
        <v>3855.84</v>
      </c>
      <c r="O128" s="99">
        <f t="shared" si="99"/>
        <v>7373.7185246239442</v>
      </c>
      <c r="P128" s="99">
        <f t="shared" si="99"/>
        <v>3855.84</v>
      </c>
      <c r="Q128" s="99">
        <f t="shared" si="99"/>
        <v>3855.84</v>
      </c>
      <c r="R128" s="99">
        <f t="shared" si="99"/>
        <v>4083.84</v>
      </c>
      <c r="S128" s="99">
        <f t="shared" si="99"/>
        <v>3855.84</v>
      </c>
      <c r="T128" s="99">
        <f t="shared" si="99"/>
        <v>4480.5192664331344</v>
      </c>
      <c r="U128" s="99">
        <f t="shared" si="99"/>
        <v>4092</v>
      </c>
    </row>
    <row r="129" spans="9:21" x14ac:dyDescent="0.25">
      <c r="I129" s="12"/>
      <c r="J129" s="99"/>
      <c r="K129" s="99"/>
      <c r="L129" s="99"/>
      <c r="M129" s="99"/>
      <c r="N129" s="99"/>
      <c r="O129" s="99"/>
      <c r="P129" s="99"/>
      <c r="Q129" s="99"/>
      <c r="R129" s="99"/>
      <c r="S129" s="99"/>
      <c r="T129" s="99"/>
      <c r="U129" s="99"/>
    </row>
    <row r="130" spans="9:21" x14ac:dyDescent="0.25">
      <c r="I130" s="12"/>
      <c r="J130" s="99"/>
      <c r="K130" s="99"/>
      <c r="L130" s="99"/>
      <c r="M130" s="99"/>
      <c r="N130" s="99"/>
      <c r="O130" s="99"/>
      <c r="P130" s="99"/>
      <c r="Q130" s="99"/>
      <c r="R130" s="99"/>
      <c r="S130" s="99"/>
      <c r="T130" s="99"/>
      <c r="U130" s="99"/>
    </row>
    <row r="131" spans="9:21" x14ac:dyDescent="0.25">
      <c r="I131" s="12"/>
      <c r="J131" s="99"/>
      <c r="K131" s="99"/>
      <c r="L131" s="99"/>
      <c r="M131" s="99"/>
      <c r="N131" s="99"/>
      <c r="O131" s="99"/>
      <c r="P131" s="99"/>
      <c r="Q131" s="99"/>
      <c r="R131" s="99"/>
      <c r="S131" s="99"/>
      <c r="T131" s="99"/>
      <c r="U131" s="99"/>
    </row>
    <row r="132" spans="9:21" x14ac:dyDescent="0.25">
      <c r="I132" s="12"/>
      <c r="J132" s="99"/>
      <c r="K132" s="99"/>
      <c r="L132" s="99"/>
      <c r="M132" s="99"/>
      <c r="N132" s="99"/>
      <c r="O132" s="99"/>
      <c r="P132" s="99"/>
      <c r="Q132" s="99"/>
      <c r="R132" s="99"/>
      <c r="S132" s="99"/>
      <c r="T132" s="99"/>
      <c r="U132" s="99"/>
    </row>
    <row r="133" spans="9:21" x14ac:dyDescent="0.25">
      <c r="I133" s="12"/>
      <c r="J133" s="99"/>
      <c r="K133" s="99"/>
      <c r="L133" s="99"/>
      <c r="M133" s="99"/>
      <c r="N133" s="99"/>
      <c r="O133" s="99"/>
      <c r="P133" s="99"/>
      <c r="Q133" s="99"/>
      <c r="R133" s="99"/>
      <c r="S133" s="99"/>
      <c r="T133" s="99"/>
      <c r="U133" s="99"/>
    </row>
    <row r="134" spans="9:21" x14ac:dyDescent="0.25">
      <c r="I134" s="12"/>
      <c r="J134" s="99"/>
      <c r="K134" s="99"/>
      <c r="L134" s="99"/>
      <c r="M134" s="99"/>
      <c r="N134" s="99"/>
      <c r="O134" s="99"/>
      <c r="P134" s="99"/>
      <c r="Q134" s="99"/>
      <c r="R134" s="99"/>
      <c r="S134" s="99"/>
      <c r="T134" s="99"/>
      <c r="U134" s="99"/>
    </row>
    <row r="135" spans="9:21" x14ac:dyDescent="0.25">
      <c r="I135" s="12"/>
      <c r="J135" s="99"/>
      <c r="K135" s="99"/>
      <c r="L135" s="99"/>
      <c r="M135" s="99"/>
      <c r="N135" s="99"/>
      <c r="O135" s="99"/>
      <c r="P135" s="99"/>
      <c r="Q135" s="99"/>
      <c r="R135" s="99"/>
      <c r="S135" s="99"/>
      <c r="T135" s="99"/>
      <c r="U135" s="99"/>
    </row>
  </sheetData>
  <scenarios current="9" show="9" sqref="Q5:Q36">
    <scenario name="RGK 10 %" locked="1" count="1" user="Mogens Bech Laursen" comment="Created by Mogens Bech Laursen on 16-03-2022">
      <inputCells r="J13" val="0,1" numFmtId="9"/>
    </scenario>
    <scenario name="RGK 20 %" locked="1" count="1" user="Mogens Bech Laursen" comment="Created by Mogens Bech Laursen on 16-03-2022">
      <inputCells r="J13" val="0,2" numFmtId="9"/>
    </scenario>
    <scenario name="RGK 30 %" locked="1" count="1" user="Mogens Bech Laursen" comment="Created by Mogens Bech Laursen on 16-03-2022">
      <inputCells r="J13" val="0,3" numFmtId="9"/>
    </scenario>
    <scenario name="RGK 40 %" locked="1" count="1" user="Mogens Bech Laursen" comment="Created by Mogens Bech Laursen on 16-03-2022">
      <inputCells r="J13" val="0,4" numFmtId="9"/>
    </scenario>
    <scenario name="RGK 50 %" locked="1" count="1" user="Mogens Bech Laursen" comment="Created by Mogens Bech Laursen on 16-03-2022">
      <inputCells r="J13" val="0,5" numFmtId="9"/>
    </scenario>
    <scenario name="RGK 60 %" locked="1" count="1" user="Mogens Bech Laursen" comment="Created by Mogens Bech Laursen on 16-03-2022">
      <inputCells r="J13" val="0,6" numFmtId="9"/>
    </scenario>
    <scenario name="RGK 70 %" locked="1" count="1" user="Mogens Bech Laursen" comment="Created by Mogens Bech Laursen on 16-03-2022">
      <inputCells r="J13" val="0,7" numFmtId="9"/>
    </scenario>
    <scenario name="RGK 80 %" locked="1" count="1" user="Mogens Bech Laursen" comment="Created by Mogens Bech Laursen on 16-03-2022">
      <inputCells r="J13" val="0,8" numFmtId="9"/>
    </scenario>
    <scenario name="RGK 90 %" locked="1" count="1" user="Mogens Bech Laursen" comment="Created by Mogens Bech Laursen on 16-03-2022">
      <inputCells r="J13" val="0,9" numFmtId="9"/>
    </scenario>
    <scenario name="RGK 100 %" locked="1" count="1" user="Mogens Bech Laursen" comment="Created by Mogens Bech Laursen on 16-03-2022">
      <inputCells r="J13" val="1" numFmtId="9"/>
    </scenario>
  </scenarios>
  <customSheetViews>
    <customSheetView guid="{01B8EE19-BF49-4F3C-9D6B-CD607AE52779}" scale="85">
      <selection activeCell="J67" sqref="J67"/>
      <pageMargins left="0.7" right="0.7" top="0.75" bottom="0.75" header="0.3" footer="0.3"/>
      <pageSetup paperSize="9" orientation="portrait" r:id="rId1"/>
    </customSheetView>
    <customSheetView guid="{D61959C2-356A-4414-A70C-587540F5DA06}" scale="85">
      <selection activeCell="J67" sqref="J67"/>
      <pageMargins left="0.7" right="0.7" top="0.75" bottom="0.75" header="0.3" footer="0.3"/>
      <pageSetup paperSize="9" orientation="portrait" r:id="rId2"/>
    </customSheetView>
  </customSheetViews>
  <mergeCells count="3">
    <mergeCell ref="H1:M1"/>
    <mergeCell ref="W1:AM1"/>
    <mergeCell ref="AC48:AG48"/>
  </mergeCells>
  <phoneticPr fontId="8" type="noConversion"/>
  <conditionalFormatting sqref="L101 K102:U117 K65:U100 J65:J117 J56:U64">
    <cfRule type="cellIs" dxfId="13" priority="3" operator="lessThan">
      <formula>0</formula>
    </cfRule>
  </conditionalFormatting>
  <conditionalFormatting sqref="J11:U12">
    <cfRule type="expression" dxfId="12" priority="2">
      <formula>OR(J11&lt;0,J11&gt;J$29)</formula>
    </cfRule>
  </conditionalFormatting>
  <conditionalFormatting sqref="J13:U13">
    <cfRule type="expression" dxfId="11" priority="1">
      <formula>OR(J13&lt;0,J13&gt;1)</formula>
    </cfRule>
  </conditionalFormatting>
  <pageMargins left="0.7" right="0.7" top="0.75" bottom="0.75" header="0.3" footer="0.3"/>
  <pageSetup paperSize="9" orientation="portrait" r:id="rId3"/>
  <ignoredErrors>
    <ignoredError sqref="J34:J35 K34:U35" formulaRange="1"/>
  </ignoredErrors>
  <drawing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D7C0A-F3D7-40A9-824D-ADCE5BD79E60}">
  <sheetPr codeName="Sheet9"/>
  <dimension ref="A1:AL168"/>
  <sheetViews>
    <sheetView tabSelected="1" zoomScale="85" zoomScaleNormal="85" workbookViewId="0">
      <pane ySplit="1080" topLeftCell="A91" activePane="bottomLeft"/>
      <selection activeCell="A2" sqref="A2"/>
      <selection pane="bottomLeft" activeCell="K153" sqref="K153"/>
    </sheetView>
  </sheetViews>
  <sheetFormatPr defaultRowHeight="15" x14ac:dyDescent="0.25"/>
  <cols>
    <col min="1" max="1" width="29.42578125" customWidth="1"/>
    <col min="2" max="2" width="12.28515625" style="4" customWidth="1"/>
    <col min="3" max="3" width="9.5703125" customWidth="1"/>
    <col min="4" max="5" width="9.140625" customWidth="1"/>
    <col min="6" max="6" width="9.42578125" customWidth="1"/>
    <col min="7" max="7" width="2.85546875" style="27" customWidth="1"/>
    <col min="8" max="8" width="35.140625" customWidth="1"/>
    <col min="9" max="9" width="11" style="4" customWidth="1"/>
    <col min="10" max="10" width="13.28515625" style="11" customWidth="1"/>
    <col min="11" max="11" width="14.42578125" style="11" customWidth="1"/>
    <col min="12" max="12" width="14.42578125" customWidth="1"/>
    <col min="13" max="13" width="2.85546875" style="27" customWidth="1"/>
    <col min="14" max="14" width="30.7109375" customWidth="1"/>
    <col min="15" max="15" width="8.42578125" style="50" customWidth="1"/>
    <col min="16" max="16" width="10" style="11" customWidth="1"/>
    <col min="17" max="17" width="14.42578125" style="11" customWidth="1"/>
    <col min="18" max="18" width="15.7109375" customWidth="1"/>
    <col min="19" max="19" width="4.140625" customWidth="1"/>
    <col min="20" max="20" width="29.7109375" style="4" customWidth="1"/>
    <col min="21" max="22" width="13" customWidth="1"/>
    <col min="24" max="24" width="8.5703125" customWidth="1"/>
  </cols>
  <sheetData>
    <row r="1" spans="1:38" ht="33.75" customHeight="1" x14ac:dyDescent="0.25">
      <c r="A1" s="174" t="s">
        <v>179</v>
      </c>
      <c r="B1" s="175"/>
      <c r="C1" s="175"/>
      <c r="D1" s="175"/>
      <c r="E1" s="175"/>
      <c r="F1" s="179"/>
      <c r="G1" s="31"/>
      <c r="H1" s="176" t="str">
        <f>"Resultater for "&amp;C7&amp;" ton fast fossilt affald, "&amp;C8&amp;" ton frit fossilt affald, " &amp;FBiogenFri&amp;" ton biogent affald, Varmebehov "&amp;TEXT(Qdemand,"#.##0")&amp;" MWh, NS-varme "&amp;TEXT(NSvarme,"#.##0")&amp;" MWh, RGK-grad "&amp;TEXT(RGKudnyttelse,"0 %")</f>
        <v>Resultater for 8500 ton fast fossilt affald, 3200 ton frit fossilt affald, 1000 ton biogent affald, Varmebehov 28.000 MWh, NS-varme 4.000 MWh, RGK-grad 100 %</v>
      </c>
      <c r="I1" s="177"/>
      <c r="J1" s="177"/>
      <c r="K1" s="177"/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</row>
    <row r="2" spans="1:38" ht="15.75" thickBot="1" x14ac:dyDescent="0.3">
      <c r="A2" s="194" t="str">
        <f>IF(DoOptim,"OPTIMERING","KONSEKVENS")</f>
        <v>OPTIMERING</v>
      </c>
      <c r="B2" s="36"/>
      <c r="C2" s="37"/>
      <c r="D2" s="37"/>
      <c r="E2" s="37"/>
      <c r="F2" s="38"/>
      <c r="G2" s="31"/>
      <c r="H2" s="31"/>
      <c r="I2" s="32"/>
      <c r="J2" s="33"/>
      <c r="K2" s="33"/>
      <c r="L2" s="31"/>
      <c r="M2" s="31"/>
      <c r="N2" s="31"/>
      <c r="O2" s="49"/>
      <c r="P2" s="33"/>
      <c r="Q2" s="33"/>
      <c r="R2" s="31"/>
      <c r="S2" s="31"/>
      <c r="T2" s="35"/>
      <c r="U2" s="31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1"/>
      <c r="AK2" s="31"/>
      <c r="AL2" s="46" t="str">
        <f>"Økonomiske nøgletal "</f>
        <v xml:space="preserve">Økonomiske nøgletal </v>
      </c>
    </row>
    <row r="3" spans="1:38" x14ac:dyDescent="0.25">
      <c r="A3" s="78" t="s">
        <v>122</v>
      </c>
      <c r="B3" s="79" t="s">
        <v>46</v>
      </c>
      <c r="C3" s="80" t="s">
        <v>143</v>
      </c>
      <c r="D3" s="80" t="s">
        <v>349</v>
      </c>
      <c r="E3" s="80" t="s">
        <v>350</v>
      </c>
      <c r="F3" s="81" t="s">
        <v>354</v>
      </c>
      <c r="G3" s="31"/>
      <c r="H3" s="31"/>
      <c r="I3" s="32"/>
      <c r="J3" s="33"/>
      <c r="K3" s="33"/>
      <c r="L3" s="31"/>
      <c r="M3" s="31"/>
      <c r="N3" s="31"/>
      <c r="O3" s="49"/>
      <c r="P3" s="33"/>
      <c r="Q3" s="33"/>
      <c r="R3" s="31"/>
      <c r="S3" s="31"/>
      <c r="T3" s="32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47" t="str">
        <f>"Økonomi: Med RGK ift. Uden RGK"</f>
        <v>Økonomi: Med RGK ift. Uden RGK</v>
      </c>
    </row>
    <row r="4" spans="1:38" x14ac:dyDescent="0.25">
      <c r="A4" s="82" t="s">
        <v>141</v>
      </c>
      <c r="B4" s="36" t="s">
        <v>40</v>
      </c>
      <c r="C4" s="40">
        <v>28000</v>
      </c>
      <c r="D4" s="37"/>
      <c r="E4" s="37"/>
      <c r="F4" s="83"/>
      <c r="G4" s="31"/>
      <c r="H4" s="31"/>
      <c r="I4" s="32"/>
      <c r="J4" s="33"/>
      <c r="K4" s="33"/>
      <c r="L4" s="31"/>
      <c r="M4" s="31"/>
      <c r="N4" s="31"/>
      <c r="O4" s="49"/>
      <c r="P4" s="33"/>
      <c r="Q4" s="33"/>
      <c r="R4" s="31"/>
      <c r="S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47" t="str">
        <f>"Varmemængder"</f>
        <v>Varmemængder</v>
      </c>
    </row>
    <row r="5" spans="1:38" x14ac:dyDescent="0.25">
      <c r="A5" s="82" t="s">
        <v>333</v>
      </c>
      <c r="B5" s="36" t="s">
        <v>335</v>
      </c>
      <c r="C5" s="40">
        <v>31</v>
      </c>
      <c r="D5" s="37"/>
      <c r="E5" s="37"/>
      <c r="F5" s="83"/>
      <c r="G5" s="31"/>
      <c r="H5" s="31"/>
      <c r="I5" s="32"/>
      <c r="J5" s="33"/>
      <c r="K5" s="33"/>
      <c r="L5" s="31"/>
      <c r="M5" s="31"/>
      <c r="N5" s="31"/>
      <c r="O5" s="49"/>
      <c r="P5" s="33"/>
      <c r="Q5" s="33"/>
      <c r="R5" s="31"/>
      <c r="S5" s="31"/>
      <c r="T5" s="32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47" t="s">
        <v>138</v>
      </c>
    </row>
    <row r="6" spans="1:38" x14ac:dyDescent="0.25">
      <c r="A6" s="82" t="s">
        <v>334</v>
      </c>
      <c r="B6" s="36" t="s">
        <v>335</v>
      </c>
      <c r="C6" s="40">
        <v>31</v>
      </c>
      <c r="D6" s="37"/>
      <c r="E6" s="37"/>
      <c r="F6" s="83"/>
      <c r="G6" s="31"/>
      <c r="H6" s="31"/>
      <c r="I6" s="32"/>
      <c r="J6" s="33"/>
      <c r="K6" s="33"/>
      <c r="L6" s="31"/>
      <c r="M6" s="31"/>
      <c r="N6" s="31"/>
      <c r="O6" s="49"/>
      <c r="P6" s="33"/>
      <c r="Q6" s="33"/>
      <c r="R6" s="31"/>
      <c r="S6" s="31"/>
      <c r="T6" s="32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t="s">
        <v>181</v>
      </c>
    </row>
    <row r="7" spans="1:38" x14ac:dyDescent="0.25">
      <c r="A7" s="82" t="s">
        <v>315</v>
      </c>
      <c r="B7" s="36" t="s">
        <v>16</v>
      </c>
      <c r="C7" s="40">
        <v>8500</v>
      </c>
      <c r="D7" s="37"/>
      <c r="E7" s="37"/>
      <c r="F7" s="83"/>
      <c r="G7" s="31"/>
      <c r="H7" s="31"/>
      <c r="I7" s="32"/>
      <c r="J7" s="33"/>
      <c r="K7" s="33"/>
      <c r="L7" s="31"/>
      <c r="M7" s="31"/>
      <c r="N7" s="31"/>
      <c r="O7" s="49"/>
      <c r="P7" s="33"/>
      <c r="Q7" s="33"/>
      <c r="R7" s="31"/>
      <c r="S7" s="31"/>
      <c r="T7" s="32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 t="s">
        <v>139</v>
      </c>
    </row>
    <row r="8" spans="1:38" x14ac:dyDescent="0.25">
      <c r="A8" s="82" t="s">
        <v>318</v>
      </c>
      <c r="B8" s="36" t="s">
        <v>16</v>
      </c>
      <c r="C8" s="40">
        <v>3200</v>
      </c>
      <c r="D8" s="37">
        <v>1000</v>
      </c>
      <c r="E8" s="37">
        <f>FFossilFri</f>
        <v>3200</v>
      </c>
      <c r="F8" s="83"/>
      <c r="G8" s="31"/>
      <c r="H8" s="31"/>
      <c r="I8" s="32"/>
      <c r="J8" s="33"/>
      <c r="K8" s="33"/>
      <c r="L8" s="31"/>
      <c r="M8" s="31"/>
      <c r="N8" s="31"/>
      <c r="O8" s="49"/>
      <c r="P8" s="33"/>
      <c r="Q8" s="33"/>
      <c r="R8" s="31"/>
      <c r="S8" s="31"/>
      <c r="T8" s="32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</row>
    <row r="9" spans="1:38" x14ac:dyDescent="0.25">
      <c r="A9" s="82" t="s">
        <v>142</v>
      </c>
      <c r="B9" s="36" t="s">
        <v>16</v>
      </c>
      <c r="C9" s="40">
        <v>1000</v>
      </c>
      <c r="D9" s="37">
        <v>0</v>
      </c>
      <c r="E9" s="37">
        <f>FFossilFri</f>
        <v>3200</v>
      </c>
      <c r="F9" s="83"/>
      <c r="G9" s="31"/>
      <c r="H9" s="31"/>
      <c r="I9" s="32"/>
      <c r="J9" s="33"/>
      <c r="K9" s="33"/>
      <c r="L9" s="31"/>
      <c r="M9" s="31"/>
      <c r="N9" s="31"/>
      <c r="O9" s="49"/>
      <c r="P9" s="33"/>
      <c r="Q9" s="33"/>
      <c r="R9" s="31"/>
      <c r="S9" s="31"/>
      <c r="T9" s="32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</row>
    <row r="10" spans="1:38" x14ac:dyDescent="0.25">
      <c r="A10" s="189" t="s">
        <v>259</v>
      </c>
      <c r="B10" s="190" t="s">
        <v>244</v>
      </c>
      <c r="C10" s="191">
        <v>1</v>
      </c>
      <c r="D10" s="187"/>
      <c r="E10" s="187"/>
      <c r="F10" s="188"/>
      <c r="G10" s="31"/>
      <c r="H10" s="31"/>
      <c r="I10" s="32"/>
      <c r="J10" s="33"/>
      <c r="K10" s="33"/>
      <c r="L10" s="31"/>
      <c r="M10" s="31"/>
      <c r="N10" s="31"/>
      <c r="O10" s="49"/>
      <c r="P10" s="33"/>
      <c r="Q10" s="33"/>
      <c r="R10" s="31"/>
      <c r="S10" s="31"/>
      <c r="T10" s="32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</row>
    <row r="11" spans="1:38" x14ac:dyDescent="0.25">
      <c r="A11" s="82" t="s">
        <v>121</v>
      </c>
      <c r="B11" s="36" t="s">
        <v>123</v>
      </c>
      <c r="C11" s="41">
        <v>1</v>
      </c>
      <c r="D11" s="37"/>
      <c r="E11" s="37"/>
      <c r="F11" s="83"/>
      <c r="G11" s="31"/>
      <c r="H11" s="31"/>
      <c r="I11" s="32"/>
      <c r="J11" s="33"/>
      <c r="K11" s="33"/>
      <c r="L11" s="31"/>
      <c r="M11" s="31"/>
      <c r="N11" s="31"/>
      <c r="O11" s="49"/>
      <c r="P11" s="33"/>
      <c r="Q11" s="33"/>
      <c r="R11" s="31"/>
      <c r="S11" s="31"/>
      <c r="T11" s="32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</row>
    <row r="12" spans="1:38" x14ac:dyDescent="0.25">
      <c r="A12" s="82" t="s">
        <v>258</v>
      </c>
      <c r="B12" s="36" t="s">
        <v>40</v>
      </c>
      <c r="C12" s="40">
        <v>4000</v>
      </c>
      <c r="D12" s="37">
        <v>0</v>
      </c>
      <c r="E12" s="37">
        <f>NSvarme</f>
        <v>4000</v>
      </c>
      <c r="F12" s="83"/>
      <c r="G12" s="31"/>
      <c r="H12" s="31"/>
      <c r="I12" s="32"/>
      <c r="J12" s="33"/>
      <c r="K12" s="33"/>
      <c r="L12" s="31"/>
      <c r="M12" s="31"/>
      <c r="N12" s="31"/>
      <c r="O12" s="49"/>
      <c r="P12" s="33"/>
      <c r="Q12" s="33"/>
      <c r="R12" s="31"/>
      <c r="S12" s="31"/>
      <c r="T12" s="32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</row>
    <row r="13" spans="1:38" x14ac:dyDescent="0.25">
      <c r="A13" s="82" t="s">
        <v>327</v>
      </c>
      <c r="B13" s="36" t="s">
        <v>329</v>
      </c>
      <c r="C13" s="148">
        <v>6.5</v>
      </c>
      <c r="D13" s="37"/>
      <c r="E13" s="37"/>
      <c r="F13" s="83"/>
      <c r="G13" s="31"/>
      <c r="H13" s="31"/>
      <c r="I13" s="32"/>
      <c r="J13" s="33"/>
      <c r="K13" s="33"/>
      <c r="L13" s="31"/>
      <c r="M13" s="31"/>
      <c r="N13" s="31"/>
      <c r="O13" s="49"/>
      <c r="P13" s="33"/>
      <c r="Q13" s="33"/>
      <c r="R13" s="31"/>
      <c r="S13" s="31"/>
      <c r="T13" s="32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</row>
    <row r="14" spans="1:38" x14ac:dyDescent="0.25">
      <c r="A14" s="82" t="s">
        <v>325</v>
      </c>
      <c r="B14" s="36" t="s">
        <v>23</v>
      </c>
      <c r="C14" s="40">
        <v>400</v>
      </c>
      <c r="D14" s="37"/>
      <c r="E14" s="37"/>
      <c r="F14" s="83"/>
      <c r="G14" s="31"/>
      <c r="H14" s="31"/>
      <c r="I14" s="32"/>
      <c r="J14" s="33"/>
      <c r="K14" s="33"/>
      <c r="L14" s="31"/>
      <c r="M14" s="31"/>
      <c r="N14" s="31"/>
      <c r="O14" s="49"/>
      <c r="P14" s="33"/>
      <c r="Q14" s="33"/>
      <c r="R14" s="31"/>
      <c r="S14" s="31"/>
      <c r="T14" s="32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</row>
    <row r="15" spans="1:38" x14ac:dyDescent="0.25">
      <c r="A15" s="82" t="s">
        <v>326</v>
      </c>
      <c r="B15" s="36" t="s">
        <v>29</v>
      </c>
      <c r="C15" s="40">
        <v>10.5</v>
      </c>
      <c r="D15" s="37"/>
      <c r="E15" s="37"/>
      <c r="F15" s="83"/>
      <c r="G15" s="31"/>
      <c r="H15" s="31"/>
      <c r="I15" s="32"/>
      <c r="J15" s="33"/>
      <c r="K15" s="33"/>
      <c r="L15" s="31"/>
      <c r="M15" s="31"/>
      <c r="N15" s="31"/>
      <c r="O15" s="49"/>
      <c r="P15" s="33"/>
      <c r="Q15" s="33"/>
      <c r="R15" s="31"/>
      <c r="S15" s="31"/>
      <c r="T15" s="32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</row>
    <row r="16" spans="1:38" x14ac:dyDescent="0.25">
      <c r="A16" s="82" t="s">
        <v>24</v>
      </c>
      <c r="B16" s="36" t="s">
        <v>25</v>
      </c>
      <c r="C16" s="40">
        <v>800</v>
      </c>
      <c r="D16" s="37"/>
      <c r="E16" s="37"/>
      <c r="F16" s="83"/>
      <c r="G16" s="31"/>
      <c r="H16" s="31"/>
      <c r="I16" s="32"/>
      <c r="J16" s="33"/>
      <c r="K16" s="33"/>
      <c r="L16" s="31"/>
      <c r="M16" s="31"/>
      <c r="N16" s="31"/>
      <c r="O16" s="49"/>
      <c r="P16" s="33"/>
      <c r="Q16" s="33"/>
      <c r="R16" s="31"/>
      <c r="S16" s="31"/>
      <c r="T16" s="32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</row>
    <row r="17" spans="1:37" ht="15.75" thickBot="1" x14ac:dyDescent="0.3">
      <c r="A17" s="84" t="s">
        <v>26</v>
      </c>
      <c r="B17" s="85" t="s">
        <v>37</v>
      </c>
      <c r="C17" s="86">
        <v>700</v>
      </c>
      <c r="D17" s="87"/>
      <c r="E17" s="87"/>
      <c r="F17" s="88"/>
      <c r="G17" s="31"/>
      <c r="H17" s="31"/>
      <c r="I17" s="32"/>
      <c r="J17" s="33"/>
      <c r="K17" s="33"/>
      <c r="L17" s="31"/>
      <c r="M17" s="31"/>
      <c r="N17" s="31"/>
      <c r="O17" s="49"/>
      <c r="P17" s="33"/>
      <c r="Q17" s="33"/>
      <c r="R17" s="31"/>
      <c r="S17" s="31"/>
      <c r="T17" s="32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</row>
    <row r="18" spans="1:37" ht="15.75" thickBot="1" x14ac:dyDescent="0.3">
      <c r="A18" s="39"/>
      <c r="B18" s="36"/>
      <c r="C18" s="37"/>
      <c r="D18" s="37"/>
      <c r="E18" s="37"/>
      <c r="F18" s="38"/>
      <c r="G18" s="31"/>
      <c r="H18" s="31"/>
      <c r="I18" s="32"/>
      <c r="J18" s="33"/>
      <c r="K18" s="33"/>
      <c r="L18" s="31"/>
      <c r="M18" s="31"/>
      <c r="N18" s="31"/>
      <c r="O18" s="49"/>
      <c r="P18" s="33"/>
      <c r="Q18" s="33"/>
      <c r="R18" s="31"/>
      <c r="S18" s="31"/>
      <c r="T18" s="32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</row>
    <row r="19" spans="1:37" x14ac:dyDescent="0.25">
      <c r="A19" s="78" t="s">
        <v>14</v>
      </c>
      <c r="B19" s="79"/>
      <c r="C19" s="80" t="s">
        <v>0</v>
      </c>
      <c r="D19" s="80" t="s">
        <v>1</v>
      </c>
      <c r="E19" s="80" t="s">
        <v>7</v>
      </c>
      <c r="F19" s="89" t="s">
        <v>131</v>
      </c>
      <c r="G19" s="31"/>
      <c r="H19" s="31"/>
      <c r="I19" s="32"/>
      <c r="J19" s="33"/>
      <c r="K19" s="33"/>
      <c r="L19" s="31"/>
      <c r="M19" s="31"/>
      <c r="N19" s="31"/>
      <c r="O19" s="49"/>
      <c r="P19" s="33"/>
      <c r="Q19" s="33"/>
      <c r="R19" s="31"/>
      <c r="S19" s="31"/>
      <c r="T19" s="32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</row>
    <row r="20" spans="1:37" x14ac:dyDescent="0.25">
      <c r="A20" s="82" t="s">
        <v>12</v>
      </c>
      <c r="B20" s="36"/>
      <c r="C20" s="136">
        <f>C5</f>
        <v>31</v>
      </c>
      <c r="D20" s="136">
        <f>C6</f>
        <v>31</v>
      </c>
      <c r="E20" s="37">
        <v>31</v>
      </c>
      <c r="F20" s="83"/>
      <c r="G20" s="31"/>
      <c r="H20" s="31"/>
      <c r="I20" s="32"/>
      <c r="J20" s="33"/>
      <c r="K20" s="33"/>
      <c r="L20" s="31"/>
      <c r="M20" s="31"/>
      <c r="N20" s="31"/>
      <c r="O20" s="49"/>
      <c r="P20" s="33"/>
      <c r="Q20" s="33"/>
      <c r="R20" s="31"/>
      <c r="S20" s="31"/>
      <c r="T20" s="32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</row>
    <row r="21" spans="1:37" x14ac:dyDescent="0.25">
      <c r="A21" s="82" t="s">
        <v>2</v>
      </c>
      <c r="B21" s="36" t="s">
        <v>3</v>
      </c>
      <c r="C21" s="37">
        <v>9.5</v>
      </c>
      <c r="D21" s="37">
        <v>22.5</v>
      </c>
      <c r="E21" s="37">
        <v>15</v>
      </c>
      <c r="F21" s="83"/>
      <c r="G21" s="31"/>
      <c r="H21" s="31"/>
      <c r="I21" s="32"/>
      <c r="J21" s="33"/>
      <c r="K21" s="33"/>
      <c r="L21" s="31"/>
      <c r="M21" s="31"/>
      <c r="N21" s="31"/>
      <c r="O21" s="49"/>
      <c r="P21" s="33"/>
      <c r="Q21" s="33"/>
      <c r="R21" s="31"/>
      <c r="S21" s="31"/>
      <c r="T21" s="32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</row>
    <row r="22" spans="1:37" x14ac:dyDescent="0.25">
      <c r="A22" s="82" t="s">
        <v>8</v>
      </c>
      <c r="B22" s="36" t="s">
        <v>3</v>
      </c>
      <c r="C22" s="37">
        <v>2</v>
      </c>
      <c r="D22" s="37">
        <v>5.5</v>
      </c>
      <c r="E22" s="37"/>
      <c r="F22" s="83"/>
      <c r="G22" s="31"/>
      <c r="H22" s="31"/>
      <c r="I22" s="32"/>
      <c r="J22" s="33"/>
      <c r="K22" s="33"/>
      <c r="L22" s="31"/>
      <c r="M22" s="31"/>
      <c r="N22" s="31"/>
      <c r="O22" s="49"/>
      <c r="P22" s="33"/>
      <c r="Q22" s="33"/>
      <c r="R22" s="31"/>
      <c r="S22" s="31"/>
      <c r="T22" s="32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</row>
    <row r="23" spans="1:37" x14ac:dyDescent="0.25">
      <c r="A23" s="82" t="s">
        <v>4</v>
      </c>
      <c r="B23" s="36" t="s">
        <v>5</v>
      </c>
      <c r="C23" s="37"/>
      <c r="D23" s="37">
        <v>8</v>
      </c>
      <c r="E23" s="37"/>
      <c r="F23" s="83"/>
      <c r="G23" s="31"/>
      <c r="H23" s="31"/>
      <c r="I23" s="32"/>
      <c r="J23" s="33"/>
      <c r="K23" s="33"/>
      <c r="L23" s="31"/>
      <c r="M23" s="31"/>
      <c r="N23" s="31"/>
      <c r="O23" s="49"/>
      <c r="P23" s="33"/>
      <c r="Q23" s="33"/>
      <c r="R23" s="31"/>
      <c r="S23" s="31"/>
      <c r="T23" s="32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</row>
    <row r="24" spans="1:37" x14ac:dyDescent="0.25">
      <c r="A24" s="82" t="s">
        <v>6</v>
      </c>
      <c r="B24" s="36" t="s">
        <v>13</v>
      </c>
      <c r="C24" s="37"/>
      <c r="D24" s="37">
        <v>25</v>
      </c>
      <c r="E24" s="37"/>
      <c r="F24" s="83"/>
      <c r="G24" s="31"/>
      <c r="H24" s="31"/>
      <c r="I24" s="32"/>
      <c r="J24" s="33"/>
      <c r="K24" s="33"/>
      <c r="L24" s="31"/>
      <c r="M24" s="31"/>
      <c r="N24" s="31"/>
      <c r="O24" s="49"/>
      <c r="P24" s="33"/>
      <c r="Q24" s="33"/>
      <c r="R24" s="31"/>
      <c r="S24" s="31"/>
      <c r="T24" s="32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</row>
    <row r="25" spans="1:37" x14ac:dyDescent="0.25">
      <c r="A25" s="82" t="s">
        <v>9</v>
      </c>
      <c r="B25" s="36"/>
      <c r="C25" s="42">
        <v>0.84399999999999997</v>
      </c>
      <c r="D25" s="42">
        <v>0.65600000000000003</v>
      </c>
      <c r="E25" s="37"/>
      <c r="F25" s="83"/>
      <c r="G25" s="31"/>
      <c r="H25" s="31"/>
      <c r="I25" s="32"/>
      <c r="J25" s="33"/>
      <c r="K25" s="33"/>
      <c r="L25" s="31"/>
      <c r="M25" s="31"/>
      <c r="N25" s="31"/>
      <c r="O25" s="49"/>
      <c r="P25" s="33"/>
      <c r="Q25" s="33"/>
      <c r="R25" s="31"/>
      <c r="S25" s="31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1"/>
      <c r="AK25" s="31"/>
    </row>
    <row r="26" spans="1:37" x14ac:dyDescent="0.25">
      <c r="A26" s="82" t="s">
        <v>10</v>
      </c>
      <c r="B26" s="36"/>
      <c r="C26" s="117">
        <f>$C$11*C22/C21*C25</f>
        <v>0.17768421052631578</v>
      </c>
      <c r="D26" s="117">
        <f>$C$11*D22/D21*D25</f>
        <v>0.16035555555555556</v>
      </c>
      <c r="E26" s="37"/>
      <c r="F26" s="83"/>
      <c r="G26" s="31"/>
      <c r="H26" s="31"/>
      <c r="I26" s="32"/>
      <c r="J26" s="33"/>
      <c r="K26" s="33"/>
      <c r="L26" s="31"/>
      <c r="M26" s="31"/>
      <c r="N26" s="31"/>
      <c r="O26" s="49"/>
      <c r="P26" s="33"/>
      <c r="Q26" s="33"/>
      <c r="R26" s="31"/>
      <c r="S26" s="31"/>
      <c r="T26" s="32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</row>
    <row r="27" spans="1:37" x14ac:dyDescent="0.25">
      <c r="A27" s="82" t="s">
        <v>66</v>
      </c>
      <c r="B27" s="36"/>
      <c r="C27" s="117">
        <f>SUM(C25:C26)</f>
        <v>1.0216842105263158</v>
      </c>
      <c r="D27" s="117">
        <f>SUM(D25:D26)</f>
        <v>0.81635555555555561</v>
      </c>
      <c r="E27" s="37"/>
      <c r="F27" s="83"/>
      <c r="G27" s="31"/>
      <c r="H27" s="31"/>
      <c r="I27" s="32"/>
      <c r="J27" s="33"/>
      <c r="K27" s="33"/>
      <c r="L27" s="31"/>
      <c r="M27" s="31"/>
      <c r="N27" s="31"/>
      <c r="O27" s="49"/>
      <c r="P27" s="33"/>
      <c r="Q27" s="33"/>
      <c r="R27" s="31"/>
      <c r="S27" s="31"/>
      <c r="T27" s="32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</row>
    <row r="28" spans="1:37" x14ac:dyDescent="0.25">
      <c r="A28" s="82" t="s">
        <v>11</v>
      </c>
      <c r="B28" s="36"/>
      <c r="C28" s="37"/>
      <c r="D28" s="43">
        <v>0.22470000000000001</v>
      </c>
      <c r="E28" s="37"/>
      <c r="F28" s="83"/>
      <c r="G28" s="31"/>
      <c r="H28" s="31"/>
      <c r="I28" s="32"/>
      <c r="J28" s="33"/>
      <c r="K28" s="33"/>
      <c r="L28" s="31"/>
      <c r="M28" s="31"/>
      <c r="N28" s="31"/>
      <c r="O28" s="49"/>
      <c r="P28" s="33"/>
      <c r="Q28" s="33"/>
      <c r="R28" s="31"/>
      <c r="S28" s="31"/>
      <c r="T28" s="32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</row>
    <row r="29" spans="1:37" ht="15.75" thickBot="1" x14ac:dyDescent="0.3">
      <c r="A29" s="84" t="s">
        <v>17</v>
      </c>
      <c r="B29" s="85" t="s">
        <v>18</v>
      </c>
      <c r="C29" s="87">
        <v>30</v>
      </c>
      <c r="D29" s="87">
        <v>50</v>
      </c>
      <c r="E29" s="87">
        <v>10</v>
      </c>
      <c r="F29" s="88">
        <v>10</v>
      </c>
      <c r="G29" s="31"/>
      <c r="H29" s="31"/>
      <c r="I29" s="32"/>
      <c r="J29" s="33"/>
      <c r="K29" s="33"/>
      <c r="L29" s="31"/>
      <c r="M29" s="31"/>
      <c r="N29" s="31"/>
      <c r="O29" s="49"/>
      <c r="P29" s="33"/>
      <c r="Q29" s="33"/>
      <c r="R29" s="31"/>
      <c r="S29" s="31"/>
      <c r="T29" s="32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</row>
    <row r="30" spans="1:37" ht="15.75" thickBot="1" x14ac:dyDescent="0.3">
      <c r="A30" s="39"/>
      <c r="B30" s="36"/>
      <c r="C30" s="37"/>
      <c r="D30" s="37"/>
      <c r="E30" s="37"/>
      <c r="F30" s="38"/>
      <c r="G30" s="31"/>
      <c r="H30" s="31"/>
      <c r="I30" s="32"/>
      <c r="J30" s="33"/>
      <c r="K30" s="33"/>
      <c r="L30" s="31"/>
      <c r="M30" s="31"/>
      <c r="N30" s="31"/>
      <c r="O30" s="49"/>
      <c r="P30" s="33"/>
      <c r="Q30" s="33"/>
      <c r="R30" s="31"/>
      <c r="S30" s="31"/>
      <c r="T30" s="32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</row>
    <row r="31" spans="1:37" x14ac:dyDescent="0.25">
      <c r="A31" s="91" t="s">
        <v>15</v>
      </c>
      <c r="B31" s="92"/>
      <c r="C31" s="80" t="s">
        <v>226</v>
      </c>
      <c r="D31" s="80" t="s">
        <v>225</v>
      </c>
      <c r="E31" s="80" t="s">
        <v>203</v>
      </c>
      <c r="F31" s="89" t="s">
        <v>19</v>
      </c>
      <c r="G31" s="31"/>
      <c r="H31" s="31"/>
      <c r="I31" s="32"/>
      <c r="J31" s="33"/>
      <c r="K31" s="33"/>
      <c r="L31" s="31"/>
      <c r="M31" s="31"/>
      <c r="N31" s="31"/>
      <c r="O31" s="49"/>
      <c r="P31" s="33"/>
      <c r="Q31" s="33"/>
      <c r="R31" s="31"/>
      <c r="S31" s="31"/>
      <c r="T31" s="32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</row>
    <row r="32" spans="1:37" x14ac:dyDescent="0.25">
      <c r="A32" s="82" t="s">
        <v>53</v>
      </c>
      <c r="B32" s="36"/>
      <c r="C32" s="117">
        <f>C7/SUM($C$7:$C$9)</f>
        <v>0.6692913385826772</v>
      </c>
      <c r="D32" s="117">
        <f>C8/SUM($C$7:$C$9)</f>
        <v>0.25196850393700787</v>
      </c>
      <c r="E32" s="117">
        <f>1-SUM(C32:D32)</f>
        <v>7.8740157480314932E-2</v>
      </c>
      <c r="F32" s="83"/>
      <c r="G32" s="31"/>
      <c r="H32" s="31"/>
      <c r="I32" s="32"/>
      <c r="J32" s="33"/>
      <c r="K32" s="33"/>
      <c r="L32" s="31"/>
      <c r="M32" s="31"/>
      <c r="N32" s="31"/>
      <c r="O32" s="49"/>
      <c r="P32" s="33"/>
      <c r="Q32" s="33"/>
      <c r="R32" s="31"/>
      <c r="S32" s="31"/>
      <c r="T32" s="32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</row>
    <row r="33" spans="1:37" x14ac:dyDescent="0.25">
      <c r="A33" s="82" t="s">
        <v>59</v>
      </c>
      <c r="B33" s="36" t="s">
        <v>16</v>
      </c>
      <c r="C33" s="136">
        <f>SUM(C7:C9)</f>
        <v>12700</v>
      </c>
      <c r="E33" s="37"/>
      <c r="F33" s="83"/>
      <c r="G33" s="31"/>
      <c r="H33" s="31"/>
      <c r="I33" s="32"/>
      <c r="J33" s="33"/>
      <c r="K33" s="33"/>
      <c r="L33" s="31"/>
      <c r="M33" s="31"/>
      <c r="N33" s="31"/>
      <c r="O33" s="49"/>
      <c r="P33" s="33"/>
      <c r="Q33" s="33"/>
      <c r="R33" s="31"/>
      <c r="S33" s="31"/>
      <c r="T33" s="32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</row>
    <row r="34" spans="1:37" x14ac:dyDescent="0.25">
      <c r="A34" s="82" t="s">
        <v>58</v>
      </c>
      <c r="B34" s="36" t="s">
        <v>29</v>
      </c>
      <c r="C34" s="118">
        <f>(C7*HfossilFast+C8*HfossilFri+C9*HBiogenFri)/Ftotal</f>
        <v>10.5748031496063</v>
      </c>
      <c r="E34" s="44"/>
      <c r="F34" s="83"/>
      <c r="G34" s="31"/>
      <c r="H34" s="31"/>
      <c r="I34" s="32"/>
      <c r="J34" s="33"/>
      <c r="K34" s="33"/>
      <c r="L34" s="31"/>
      <c r="M34" s="31"/>
      <c r="N34" s="31"/>
      <c r="O34" s="49"/>
      <c r="P34" s="33"/>
      <c r="Q34" s="33"/>
      <c r="R34" s="31"/>
      <c r="S34" s="31"/>
      <c r="T34" s="32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</row>
    <row r="35" spans="1:37" x14ac:dyDescent="0.25">
      <c r="A35" s="82" t="s">
        <v>38</v>
      </c>
      <c r="B35" s="36" t="s">
        <v>23</v>
      </c>
      <c r="C35" s="37">
        <v>525</v>
      </c>
      <c r="D35" s="136">
        <f>C14</f>
        <v>400</v>
      </c>
      <c r="E35" s="111">
        <f>C13*3.6</f>
        <v>23.400000000000002</v>
      </c>
      <c r="F35" s="83">
        <v>0</v>
      </c>
      <c r="G35" s="31"/>
      <c r="H35" s="31"/>
      <c r="I35" s="32"/>
      <c r="J35" s="33"/>
      <c r="K35" s="33"/>
      <c r="L35" s="31"/>
      <c r="M35" s="31"/>
      <c r="N35" s="31"/>
      <c r="O35" s="49"/>
      <c r="P35" s="33"/>
      <c r="Q35" s="33"/>
      <c r="R35" s="31"/>
      <c r="S35" s="31"/>
      <c r="T35" s="32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</row>
    <row r="36" spans="1:37" x14ac:dyDescent="0.25">
      <c r="A36" s="82" t="s">
        <v>28</v>
      </c>
      <c r="B36" s="36" t="s">
        <v>29</v>
      </c>
      <c r="C36" s="37">
        <v>10.199999999999999</v>
      </c>
      <c r="D36">
        <v>10.5</v>
      </c>
      <c r="E36" s="37">
        <v>14</v>
      </c>
      <c r="F36" s="83">
        <v>3.6</v>
      </c>
      <c r="G36" s="31"/>
      <c r="H36" s="31"/>
      <c r="I36" s="32"/>
      <c r="J36" s="33"/>
      <c r="K36" s="33"/>
      <c r="L36" s="31"/>
      <c r="M36" s="31"/>
      <c r="N36" s="31"/>
      <c r="O36" s="49"/>
      <c r="P36" s="33"/>
      <c r="Q36" s="33"/>
      <c r="R36" s="31"/>
      <c r="S36" s="31"/>
      <c r="T36" s="32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</row>
    <row r="37" spans="1:37" x14ac:dyDescent="0.25">
      <c r="A37" s="82" t="s">
        <v>35</v>
      </c>
      <c r="B37" s="36" t="s">
        <v>33</v>
      </c>
      <c r="C37" s="37">
        <v>37</v>
      </c>
      <c r="D37" s="37">
        <v>37</v>
      </c>
      <c r="E37" s="37">
        <v>0</v>
      </c>
      <c r="F37" s="83">
        <v>0</v>
      </c>
      <c r="G37" s="31"/>
      <c r="H37" s="31"/>
      <c r="I37" s="32"/>
      <c r="J37" s="33"/>
      <c r="K37" s="33"/>
      <c r="L37" s="31"/>
      <c r="M37" s="31"/>
      <c r="N37" s="31"/>
      <c r="O37" s="49"/>
      <c r="P37" s="33"/>
      <c r="Q37" s="33"/>
      <c r="R37" s="31"/>
      <c r="S37" s="31"/>
      <c r="T37" s="32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</row>
    <row r="38" spans="1:37" x14ac:dyDescent="0.25">
      <c r="A38" s="82" t="s">
        <v>36</v>
      </c>
      <c r="B38" s="36" t="s">
        <v>33</v>
      </c>
      <c r="C38" s="37">
        <v>42.5</v>
      </c>
      <c r="D38" s="37">
        <v>42.5</v>
      </c>
      <c r="E38" s="37">
        <v>0</v>
      </c>
      <c r="F38" s="83">
        <v>0</v>
      </c>
      <c r="G38" s="31"/>
      <c r="H38" s="31"/>
      <c r="I38" s="32"/>
      <c r="J38" s="33"/>
      <c r="K38" s="33"/>
      <c r="L38" s="31"/>
      <c r="M38" s="31"/>
      <c r="N38" s="31"/>
      <c r="O38" s="49"/>
      <c r="P38" s="33"/>
      <c r="Q38" s="33"/>
      <c r="R38" s="31"/>
      <c r="S38" s="31"/>
      <c r="T38" s="32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</row>
    <row r="39" spans="1:37" ht="15.75" thickBot="1" x14ac:dyDescent="0.3">
      <c r="A39" s="84" t="s">
        <v>127</v>
      </c>
      <c r="B39" s="85" t="s">
        <v>29</v>
      </c>
      <c r="C39" s="87">
        <v>10.6</v>
      </c>
      <c r="D39" s="87">
        <v>10.6</v>
      </c>
      <c r="E39" s="87">
        <v>0</v>
      </c>
      <c r="F39" s="88">
        <v>0</v>
      </c>
      <c r="G39" s="31"/>
      <c r="H39" s="31"/>
      <c r="I39" s="32"/>
      <c r="J39" s="33"/>
      <c r="K39" s="33"/>
      <c r="L39" s="31"/>
      <c r="M39" s="31"/>
      <c r="N39" s="31"/>
      <c r="O39" s="49"/>
      <c r="P39" s="33"/>
      <c r="Q39" s="33"/>
      <c r="R39" s="31"/>
      <c r="S39" s="31"/>
      <c r="T39" s="32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</row>
    <row r="40" spans="1:37" ht="15.75" thickBot="1" x14ac:dyDescent="0.3">
      <c r="G40" s="31"/>
      <c r="H40" s="31"/>
      <c r="I40" s="32"/>
      <c r="J40" s="33"/>
      <c r="K40" s="33"/>
      <c r="L40" s="31"/>
      <c r="M40" s="31"/>
      <c r="N40" s="31"/>
      <c r="O40" s="49"/>
      <c r="P40" s="33"/>
      <c r="Q40" s="33"/>
      <c r="R40" s="31"/>
      <c r="S40" s="31"/>
      <c r="T40" s="32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</row>
    <row r="41" spans="1:37" x14ac:dyDescent="0.25">
      <c r="A41" s="91" t="s">
        <v>20</v>
      </c>
      <c r="B41" s="92"/>
      <c r="C41" s="94"/>
      <c r="D41" s="94"/>
      <c r="E41" s="94"/>
      <c r="F41" s="93"/>
      <c r="G41" s="31"/>
      <c r="H41" s="31"/>
      <c r="I41" s="32"/>
      <c r="J41" s="33"/>
      <c r="K41" s="33"/>
      <c r="L41" s="31"/>
      <c r="M41" s="31"/>
      <c r="N41" s="31"/>
      <c r="O41" s="49"/>
      <c r="P41" s="33"/>
      <c r="Q41" s="33"/>
      <c r="R41" s="31"/>
      <c r="S41" s="31"/>
      <c r="T41" s="32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</row>
    <row r="42" spans="1:37" x14ac:dyDescent="0.25">
      <c r="A42" s="82" t="s">
        <v>27</v>
      </c>
      <c r="B42" s="36" t="s">
        <v>22</v>
      </c>
      <c r="C42" s="37">
        <v>311</v>
      </c>
      <c r="D42" s="37"/>
      <c r="E42" s="37"/>
      <c r="F42" s="83"/>
      <c r="G42" s="31"/>
      <c r="H42" s="31"/>
      <c r="I42" s="32"/>
      <c r="J42" s="33"/>
      <c r="K42" s="33"/>
      <c r="L42" s="31"/>
      <c r="M42" s="31"/>
      <c r="N42" s="31"/>
      <c r="O42" s="49"/>
      <c r="P42" s="33"/>
      <c r="Q42" s="33"/>
      <c r="R42" s="31"/>
      <c r="S42" s="31"/>
      <c r="T42" s="32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</row>
    <row r="43" spans="1:37" x14ac:dyDescent="0.25">
      <c r="A43" s="82" t="s">
        <v>348</v>
      </c>
      <c r="B43" s="36" t="s">
        <v>22</v>
      </c>
      <c r="C43" s="96">
        <v>2000</v>
      </c>
      <c r="D43" s="37"/>
      <c r="E43" s="37"/>
      <c r="F43" s="83"/>
      <c r="G43" s="31"/>
      <c r="H43" s="31"/>
      <c r="I43" s="32"/>
      <c r="J43" s="33"/>
      <c r="K43" s="33"/>
      <c r="L43" s="31"/>
      <c r="M43" s="31"/>
      <c r="N43" s="31"/>
      <c r="O43" s="49"/>
      <c r="P43" s="33"/>
      <c r="Q43" s="33"/>
      <c r="R43" s="31"/>
      <c r="S43" s="31"/>
      <c r="T43" s="32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</row>
    <row r="44" spans="1:37" x14ac:dyDescent="0.25">
      <c r="A44" s="82" t="s">
        <v>24</v>
      </c>
      <c r="B44" s="36" t="s">
        <v>25</v>
      </c>
      <c r="C44" s="136">
        <f>C16</f>
        <v>800</v>
      </c>
      <c r="D44" s="37"/>
      <c r="E44" s="37"/>
      <c r="F44" s="83"/>
      <c r="G44" s="31"/>
      <c r="H44" s="31"/>
      <c r="I44" s="32"/>
      <c r="J44" s="33"/>
      <c r="K44" s="33"/>
      <c r="L44" s="31"/>
      <c r="M44" s="31"/>
      <c r="N44" s="31"/>
      <c r="O44" s="49"/>
      <c r="P44" s="33"/>
      <c r="Q44" s="33"/>
      <c r="R44" s="31"/>
      <c r="S44" s="31"/>
      <c r="T44" s="32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</row>
    <row r="45" spans="1:37" x14ac:dyDescent="0.25">
      <c r="A45" s="82" t="s">
        <v>39</v>
      </c>
      <c r="B45" s="36" t="s">
        <v>25</v>
      </c>
      <c r="C45" s="44">
        <v>4</v>
      </c>
      <c r="D45" s="37"/>
      <c r="E45" s="37"/>
      <c r="F45" s="83"/>
      <c r="G45" s="31"/>
      <c r="H45" s="31"/>
      <c r="I45" s="32"/>
      <c r="J45" s="33"/>
      <c r="K45" s="33"/>
      <c r="L45" s="31"/>
      <c r="M45" s="31"/>
      <c r="N45" s="31"/>
      <c r="O45" s="49"/>
      <c r="P45" s="33"/>
      <c r="Q45" s="33"/>
      <c r="R45" s="31"/>
      <c r="S45" s="31"/>
      <c r="T45" s="32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</row>
    <row r="46" spans="1:37" x14ac:dyDescent="0.25">
      <c r="A46" s="82" t="s">
        <v>26</v>
      </c>
      <c r="B46" s="36" t="s">
        <v>37</v>
      </c>
      <c r="C46" s="136">
        <f>C17</f>
        <v>700</v>
      </c>
      <c r="D46" s="37"/>
      <c r="E46" s="37"/>
      <c r="F46" s="83"/>
      <c r="G46" s="31"/>
      <c r="H46" s="31"/>
      <c r="I46" s="32"/>
      <c r="J46" s="33"/>
      <c r="K46" s="33"/>
      <c r="L46" s="31"/>
      <c r="M46" s="31"/>
      <c r="N46" s="31"/>
      <c r="O46" s="49"/>
      <c r="P46" s="33"/>
      <c r="Q46" s="33"/>
      <c r="R46" s="31"/>
      <c r="S46" s="31"/>
      <c r="T46" s="32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</row>
    <row r="47" spans="1:37" x14ac:dyDescent="0.25">
      <c r="A47" s="82" t="s">
        <v>30</v>
      </c>
      <c r="B47" s="36" t="s">
        <v>34</v>
      </c>
      <c r="C47" s="44">
        <v>25.8</v>
      </c>
      <c r="D47" s="37"/>
      <c r="E47" s="37"/>
      <c r="F47" s="83"/>
      <c r="G47" s="31"/>
      <c r="H47" s="31"/>
      <c r="I47" s="32"/>
      <c r="J47" s="33"/>
      <c r="K47" s="33"/>
      <c r="L47" s="31"/>
      <c r="M47" s="31"/>
      <c r="N47" s="31"/>
      <c r="O47" s="49"/>
      <c r="P47" s="33"/>
      <c r="Q47" s="33"/>
      <c r="R47" s="31"/>
      <c r="S47" s="31"/>
      <c r="T47" s="32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</row>
    <row r="48" spans="1:37" x14ac:dyDescent="0.25">
      <c r="A48" s="82" t="s">
        <v>31</v>
      </c>
      <c r="B48" s="36" t="s">
        <v>34</v>
      </c>
      <c r="C48" s="44">
        <v>31.8</v>
      </c>
      <c r="D48" s="37"/>
      <c r="E48" s="37"/>
      <c r="F48" s="83"/>
      <c r="G48" s="31"/>
      <c r="H48" s="31"/>
      <c r="I48" s="32"/>
      <c r="J48" s="33"/>
      <c r="K48" s="33"/>
      <c r="L48" s="31"/>
      <c r="M48" s="31"/>
      <c r="N48" s="31"/>
      <c r="O48" s="49"/>
      <c r="P48" s="33"/>
      <c r="Q48" s="33"/>
      <c r="R48" s="31"/>
      <c r="S48" s="31"/>
      <c r="T48" s="32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</row>
    <row r="49" spans="1:37" ht="15.75" thickBot="1" x14ac:dyDescent="0.3">
      <c r="A49" s="84" t="s">
        <v>32</v>
      </c>
      <c r="B49" s="85" t="s">
        <v>37</v>
      </c>
      <c r="C49" s="162">
        <v>178.5</v>
      </c>
      <c r="D49" s="87"/>
      <c r="E49" s="87"/>
      <c r="F49" s="88"/>
      <c r="G49" s="31"/>
      <c r="H49" s="31"/>
      <c r="I49" s="32"/>
      <c r="J49" s="33"/>
      <c r="K49" s="33"/>
      <c r="L49" s="31"/>
      <c r="M49" s="31"/>
      <c r="N49" s="31"/>
      <c r="O49" s="49"/>
      <c r="P49" s="33"/>
      <c r="Q49" s="33"/>
      <c r="R49" s="31"/>
      <c r="S49" s="31"/>
      <c r="T49" s="32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</row>
    <row r="50" spans="1:37" x14ac:dyDescent="0.25">
      <c r="A50" s="168"/>
      <c r="B50" s="168"/>
      <c r="C50" s="169"/>
      <c r="D50" s="150"/>
      <c r="E50" s="150"/>
      <c r="F50" s="150"/>
      <c r="G50" s="31"/>
      <c r="H50" s="31"/>
      <c r="I50" s="32"/>
      <c r="J50" s="33"/>
      <c r="K50" s="33"/>
      <c r="L50" s="31"/>
      <c r="M50" s="31"/>
      <c r="N50" s="31"/>
      <c r="O50" s="49"/>
      <c r="P50" s="33"/>
      <c r="Q50" s="33"/>
      <c r="R50" s="31"/>
      <c r="S50" s="31"/>
      <c r="T50" s="32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</row>
    <row r="51" spans="1:37" x14ac:dyDescent="0.25">
      <c r="A51" s="168"/>
      <c r="B51" s="168"/>
      <c r="C51" s="169"/>
      <c r="D51" s="150"/>
      <c r="E51" s="150"/>
      <c r="F51" s="150"/>
      <c r="G51" s="31"/>
      <c r="H51" s="31"/>
      <c r="I51" s="32"/>
      <c r="J51" s="33"/>
      <c r="K51" s="33"/>
      <c r="L51" s="31"/>
      <c r="M51" s="31"/>
      <c r="N51" s="31"/>
      <c r="O51" s="49"/>
      <c r="P51" s="33"/>
      <c r="Q51" s="33"/>
      <c r="R51" s="31"/>
      <c r="S51" s="31"/>
      <c r="T51" s="32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</row>
    <row r="52" spans="1:37" ht="15.75" thickBot="1" x14ac:dyDescent="0.3">
      <c r="A52" s="168"/>
      <c r="B52" s="168"/>
      <c r="C52" s="169"/>
      <c r="D52" s="150"/>
      <c r="E52" s="150"/>
      <c r="F52" s="150"/>
      <c r="H52" s="180" t="s">
        <v>132</v>
      </c>
      <c r="I52" s="180"/>
      <c r="J52" s="180"/>
      <c r="K52" s="180"/>
      <c r="L52" s="180"/>
      <c r="N52" s="178" t="s">
        <v>41</v>
      </c>
      <c r="O52" s="178"/>
      <c r="P52" s="178"/>
      <c r="Q52" s="178"/>
      <c r="R52" s="178"/>
      <c r="S52" s="31"/>
      <c r="T52" s="181" t="s">
        <v>342</v>
      </c>
      <c r="U52" s="182" t="s">
        <v>46</v>
      </c>
      <c r="V52" s="183" t="s">
        <v>143</v>
      </c>
      <c r="W52" s="184"/>
      <c r="X52" s="185" t="s">
        <v>343</v>
      </c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</row>
    <row r="53" spans="1:37" x14ac:dyDescent="0.25">
      <c r="A53" s="91" t="s">
        <v>344</v>
      </c>
      <c r="B53" s="92"/>
      <c r="C53" s="94"/>
      <c r="D53" s="94"/>
      <c r="E53" s="94"/>
      <c r="F53" s="93"/>
      <c r="S53" s="31"/>
      <c r="T53" t="s">
        <v>352</v>
      </c>
      <c r="U53" s="4" t="s">
        <v>16</v>
      </c>
      <c r="V53" s="11">
        <v>1000</v>
      </c>
      <c r="W53" s="11"/>
      <c r="X53" s="14">
        <v>1000</v>
      </c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</row>
    <row r="54" spans="1:37" x14ac:dyDescent="0.25">
      <c r="A54" s="82" t="s">
        <v>345</v>
      </c>
      <c r="B54" s="36" t="s">
        <v>23</v>
      </c>
      <c r="C54" s="40">
        <v>2000</v>
      </c>
      <c r="D54" s="37"/>
      <c r="E54" s="37"/>
      <c r="F54" s="83"/>
      <c r="I54" s="7" t="s">
        <v>46</v>
      </c>
      <c r="J54" s="13"/>
      <c r="K54" s="13"/>
      <c r="L54" s="2"/>
      <c r="N54" s="2" t="s">
        <v>167</v>
      </c>
      <c r="O54" s="6" t="s">
        <v>46</v>
      </c>
      <c r="P54" s="13" t="str">
        <f>J147</f>
        <v>Uden RGK</v>
      </c>
      <c r="Q54" s="13" t="str">
        <f>K147</f>
        <v>100% RGK</v>
      </c>
      <c r="R54" s="119" t="s">
        <v>228</v>
      </c>
      <c r="S54" s="31"/>
      <c r="T54" t="s">
        <v>336</v>
      </c>
      <c r="U54" s="4" t="s">
        <v>16</v>
      </c>
      <c r="V54" s="11">
        <v>1000</v>
      </c>
      <c r="W54" s="11"/>
      <c r="X54" s="14">
        <v>1000</v>
      </c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</row>
    <row r="55" spans="1:37" x14ac:dyDescent="0.25">
      <c r="A55" s="82" t="s">
        <v>347</v>
      </c>
      <c r="B55" s="36" t="s">
        <v>22</v>
      </c>
      <c r="C55" s="40">
        <v>5000</v>
      </c>
      <c r="D55" s="37"/>
      <c r="E55" s="37"/>
      <c r="F55" s="83"/>
      <c r="H55" s="2" t="s">
        <v>125</v>
      </c>
      <c r="I55" s="7"/>
      <c r="J55" s="13" t="s">
        <v>0</v>
      </c>
      <c r="K55" s="13" t="s">
        <v>1</v>
      </c>
      <c r="L55" s="3" t="s">
        <v>140</v>
      </c>
      <c r="N55" s="12" t="str">
        <f t="shared" ref="N55:R57" si="0">H160</f>
        <v>Indtægter total</v>
      </c>
      <c r="O55" s="53" t="str">
        <f t="shared" si="0"/>
        <v>tkr</v>
      </c>
      <c r="P55" s="16">
        <f t="shared" si="0"/>
        <v>13828285.888888888</v>
      </c>
      <c r="Q55" s="16">
        <f t="shared" si="0"/>
        <v>14962353.645040672</v>
      </c>
      <c r="R55" s="16">
        <f t="shared" si="0"/>
        <v>1134067.7561517842</v>
      </c>
      <c r="S55" s="31"/>
      <c r="T55" t="s">
        <v>339</v>
      </c>
      <c r="U55" s="4" t="s">
        <v>16</v>
      </c>
      <c r="V55" s="11">
        <v>1000</v>
      </c>
      <c r="W55" s="11"/>
      <c r="X55" s="11">
        <v>1000</v>
      </c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</row>
    <row r="56" spans="1:37" x14ac:dyDescent="0.25">
      <c r="A56" s="82" t="s">
        <v>358</v>
      </c>
      <c r="B56" s="167" t="s">
        <v>244</v>
      </c>
      <c r="C56" s="167">
        <v>1</v>
      </c>
      <c r="D56" s="37"/>
      <c r="E56" s="37"/>
      <c r="F56" s="83"/>
      <c r="H56" s="5" t="s">
        <v>48</v>
      </c>
      <c r="I56" s="12" t="s">
        <v>346</v>
      </c>
      <c r="J56" s="11">
        <f>24*NdageOvn2</f>
        <v>744</v>
      </c>
      <c r="K56" s="11">
        <f>24*NdageOvn3</f>
        <v>744</v>
      </c>
      <c r="N56" s="12" t="str">
        <f t="shared" si="0"/>
        <v>Omkostninger total</v>
      </c>
      <c r="O56" s="53" t="str">
        <f t="shared" si="0"/>
        <v>tkr</v>
      </c>
      <c r="P56" s="16">
        <f t="shared" si="0"/>
        <v>7739692.7196607143</v>
      </c>
      <c r="Q56" s="16">
        <f t="shared" si="0"/>
        <v>8468016.8524424825</v>
      </c>
      <c r="R56" s="16">
        <f t="shared" si="0"/>
        <v>728324.13278176822</v>
      </c>
      <c r="S56" s="31"/>
      <c r="T56" t="s">
        <v>353</v>
      </c>
      <c r="U56" s="4" t="s">
        <v>16</v>
      </c>
      <c r="V56" s="11">
        <v>1000</v>
      </c>
      <c r="W56" s="11"/>
      <c r="X56" s="11">
        <v>1000</v>
      </c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</row>
    <row r="57" spans="1:37" ht="15.75" thickBot="1" x14ac:dyDescent="0.3">
      <c r="A57" s="170"/>
      <c r="B57" s="171"/>
      <c r="C57" s="172"/>
      <c r="D57" s="172"/>
      <c r="E57" s="172"/>
      <c r="F57" s="173"/>
      <c r="H57" s="5" t="s">
        <v>49</v>
      </c>
      <c r="I57" s="4" t="s">
        <v>40</v>
      </c>
      <c r="J57" s="14">
        <f>J56*C21</f>
        <v>7068</v>
      </c>
      <c r="K57" s="14">
        <f>K56*D21</f>
        <v>16740</v>
      </c>
      <c r="L57" s="14">
        <f>SUM(J57:K57)</f>
        <v>23808</v>
      </c>
      <c r="N57" s="12" t="str">
        <f t="shared" si="0"/>
        <v>Dækningsbidrag</v>
      </c>
      <c r="O57" s="53" t="str">
        <f t="shared" si="0"/>
        <v>tkr</v>
      </c>
      <c r="P57" s="16">
        <f t="shared" si="0"/>
        <v>6088593.1692281738</v>
      </c>
      <c r="Q57" s="16">
        <f t="shared" si="0"/>
        <v>6494336.7925981898</v>
      </c>
      <c r="R57" s="16">
        <f t="shared" si="0"/>
        <v>405743.62337001599</v>
      </c>
      <c r="S57" s="31"/>
      <c r="T57" t="s">
        <v>337</v>
      </c>
      <c r="U57" s="4" t="s">
        <v>16</v>
      </c>
      <c r="V57" s="11">
        <v>1000</v>
      </c>
      <c r="W57" s="11"/>
      <c r="X57" s="11">
        <v>1000</v>
      </c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</row>
    <row r="58" spans="1:37" x14ac:dyDescent="0.25">
      <c r="H58" s="5" t="s">
        <v>62</v>
      </c>
      <c r="I58" s="12" t="s">
        <v>40</v>
      </c>
      <c r="J58" s="14">
        <f>EtaRgkOvn2*(J57/EtaQNomOvn2)</f>
        <v>1488</v>
      </c>
      <c r="K58" s="14">
        <f>EtaRgkOvn3*(K57/EtaQNomOvn3)</f>
        <v>4092</v>
      </c>
      <c r="L58" s="14">
        <f t="shared" ref="L58:L61" si="1">SUM(J58:K58)</f>
        <v>5580</v>
      </c>
      <c r="N58" s="2"/>
      <c r="O58" s="6"/>
      <c r="P58" s="13"/>
      <c r="Q58" s="13"/>
      <c r="R58" s="13"/>
      <c r="S58" s="31"/>
      <c r="T58" t="s">
        <v>338</v>
      </c>
      <c r="U58" s="4" t="s">
        <v>16</v>
      </c>
      <c r="V58" s="11">
        <v>1000</v>
      </c>
      <c r="W58" s="11"/>
      <c r="X58" s="11">
        <v>1000</v>
      </c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</row>
    <row r="59" spans="1:37" x14ac:dyDescent="0.25">
      <c r="H59" s="5" t="s">
        <v>63</v>
      </c>
      <c r="I59" s="12" t="s">
        <v>40</v>
      </c>
      <c r="J59" s="14">
        <f>SUM(J57:J58)</f>
        <v>8556</v>
      </c>
      <c r="K59" s="14">
        <f>SUM(K57:K58)</f>
        <v>20832</v>
      </c>
      <c r="L59" s="14">
        <f t="shared" si="1"/>
        <v>29388</v>
      </c>
      <c r="N59" s="12" t="str">
        <f t="shared" ref="N59:R62" si="2">H148</f>
        <v>Varmesalg</v>
      </c>
      <c r="O59" s="53" t="str">
        <f t="shared" si="2"/>
        <v>tkr</v>
      </c>
      <c r="P59" s="15">
        <f t="shared" si="2"/>
        <v>4164635.555555556</v>
      </c>
      <c r="Q59" s="15">
        <f t="shared" si="2"/>
        <v>5108100.5135802459</v>
      </c>
      <c r="R59" s="16">
        <f t="shared" si="2"/>
        <v>943464.95802468993</v>
      </c>
      <c r="S59" s="31"/>
      <c r="T59" t="s">
        <v>340</v>
      </c>
      <c r="U59" s="4" t="s">
        <v>40</v>
      </c>
      <c r="V59" s="11">
        <v>1000</v>
      </c>
      <c r="W59" s="11"/>
      <c r="X59" s="11">
        <v>1000</v>
      </c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</row>
    <row r="60" spans="1:37" x14ac:dyDescent="0.25">
      <c r="H60" s="5" t="s">
        <v>50</v>
      </c>
      <c r="I60" s="4" t="s">
        <v>51</v>
      </c>
      <c r="J60" s="11">
        <f>J57/EtaQNomOvn2</f>
        <v>8374.4075829383892</v>
      </c>
      <c r="K60" s="11">
        <f>K57/EtaQNomOvn3</f>
        <v>25518.292682926829</v>
      </c>
      <c r="L60" s="14">
        <f t="shared" si="1"/>
        <v>33892.70026586522</v>
      </c>
      <c r="N60" s="12" t="str">
        <f t="shared" si="2"/>
        <v>Elsalg</v>
      </c>
      <c r="O60" s="53" t="str">
        <f t="shared" si="2"/>
        <v>tkr</v>
      </c>
      <c r="P60" s="15">
        <f t="shared" si="2"/>
        <v>4401150.333333333</v>
      </c>
      <c r="Q60" s="15">
        <f t="shared" si="2"/>
        <v>4401150.333333333</v>
      </c>
      <c r="R60" s="16">
        <f t="shared" si="2"/>
        <v>0</v>
      </c>
      <c r="S60" s="31"/>
      <c r="T60" t="s">
        <v>341</v>
      </c>
      <c r="U60" s="4" t="s">
        <v>40</v>
      </c>
      <c r="V60" s="11">
        <v>3000</v>
      </c>
      <c r="W60" s="11"/>
      <c r="X60" s="11">
        <v>1000</v>
      </c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</row>
    <row r="61" spans="1:37" x14ac:dyDescent="0.25">
      <c r="H61" s="5" t="s">
        <v>52</v>
      </c>
      <c r="I61" s="12" t="s">
        <v>16</v>
      </c>
      <c r="J61" s="14">
        <f>J60*3.6/Htotal</f>
        <v>2850.9152248097034</v>
      </c>
      <c r="K61" s="14">
        <f>K60/(Htotal/3.6)</f>
        <v>8687.2400704647407</v>
      </c>
      <c r="L61" s="14">
        <f t="shared" si="1"/>
        <v>11538.155295274444</v>
      </c>
      <c r="N61" s="12" t="str">
        <f t="shared" si="2"/>
        <v>RGK-rabat</v>
      </c>
      <c r="O61" s="53" t="str">
        <f t="shared" si="2"/>
        <v>tkr</v>
      </c>
      <c r="P61" s="15">
        <f t="shared" si="2"/>
        <v>0</v>
      </c>
      <c r="Q61" s="15">
        <f t="shared" si="2"/>
        <v>190602.798127093</v>
      </c>
      <c r="R61" s="16">
        <f t="shared" si="2"/>
        <v>190602.798127093</v>
      </c>
      <c r="S61" s="31"/>
      <c r="T61" t="s">
        <v>355</v>
      </c>
      <c r="U61" s="4" t="s">
        <v>40</v>
      </c>
      <c r="V61" s="11">
        <v>0</v>
      </c>
      <c r="W61" s="11"/>
      <c r="X61" s="11">
        <v>0</v>
      </c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</row>
    <row r="62" spans="1:37" x14ac:dyDescent="0.25">
      <c r="H62" s="6" t="s">
        <v>260</v>
      </c>
      <c r="I62" s="12"/>
      <c r="J62" s="192" t="s">
        <v>264</v>
      </c>
      <c r="K62" s="192" t="s">
        <v>87</v>
      </c>
      <c r="L62" s="192" t="s">
        <v>295</v>
      </c>
      <c r="N62" s="12" t="str">
        <f t="shared" si="2"/>
        <v>Modtagebetaling affald</v>
      </c>
      <c r="O62" s="53" t="str">
        <f t="shared" si="2"/>
        <v>tkr</v>
      </c>
      <c r="P62" s="15">
        <f t="shared" si="2"/>
        <v>5262500</v>
      </c>
      <c r="Q62" s="15">
        <f t="shared" si="2"/>
        <v>5262500</v>
      </c>
      <c r="R62" s="16">
        <f t="shared" si="2"/>
        <v>0</v>
      </c>
      <c r="S62" s="31"/>
      <c r="T62"/>
      <c r="U62" s="50"/>
      <c r="V62" s="11"/>
      <c r="W62" s="1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</row>
    <row r="63" spans="1:37" x14ac:dyDescent="0.25">
      <c r="H63" s="4" t="s">
        <v>261</v>
      </c>
      <c r="I63" s="12" t="s">
        <v>328</v>
      </c>
      <c r="J63" s="14">
        <f>FFossilFast</f>
        <v>8500</v>
      </c>
      <c r="K63" s="14">
        <f>HfossilFast</f>
        <v>10.199999999999999</v>
      </c>
      <c r="L63" s="14">
        <f>Ffrak1*Hfrak1</f>
        <v>86700</v>
      </c>
      <c r="N63" s="12"/>
      <c r="O63" s="53"/>
      <c r="P63" s="16"/>
      <c r="Q63" s="16"/>
      <c r="R63" s="16"/>
      <c r="S63" s="31"/>
      <c r="T63" s="181" t="s">
        <v>217</v>
      </c>
      <c r="U63" s="182" t="s">
        <v>46</v>
      </c>
      <c r="V63" s="186" t="s">
        <v>143</v>
      </c>
      <c r="W63" s="186" t="s">
        <v>356</v>
      </c>
      <c r="X63" s="186" t="s">
        <v>357</v>
      </c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</row>
    <row r="64" spans="1:37" x14ac:dyDescent="0.25">
      <c r="H64" s="4" t="s">
        <v>262</v>
      </c>
      <c r="I64" s="12" t="str">
        <f>IF(bFossilFriOverBiogen,"Fri Fossil","Biogent")</f>
        <v>Fri Fossil</v>
      </c>
      <c r="J64" s="14">
        <f>IF(bFossilFriOverBiogen,FFossilFri,FBiogenFri)</f>
        <v>3200</v>
      </c>
      <c r="K64" s="14">
        <f>IF(bFossilFriOverBiogen,HfossilFri,HBiogenFri)</f>
        <v>10.5</v>
      </c>
      <c r="L64" s="14">
        <f>Ffrak1*Hfrak1</f>
        <v>86700</v>
      </c>
      <c r="N64" s="12" t="str">
        <f t="shared" ref="N64:R69" si="3">H153</f>
        <v>Betaling bioaffald</v>
      </c>
      <c r="O64" s="53" t="str">
        <f t="shared" si="3"/>
        <v>tkr</v>
      </c>
      <c r="P64" s="16">
        <f t="shared" si="3"/>
        <v>44455.247122545712</v>
      </c>
      <c r="Q64" s="16">
        <f t="shared" si="3"/>
        <v>44455.247122545712</v>
      </c>
      <c r="R64" s="16">
        <f t="shared" si="3"/>
        <v>0</v>
      </c>
      <c r="S64" s="31"/>
      <c r="T64" s="115" t="s">
        <v>223</v>
      </c>
      <c r="U64" s="4" t="s">
        <v>128</v>
      </c>
      <c r="V64" s="16">
        <f>Q57-VPO_Spidslast*K135-PenaltyUbrugtFastFossil*FastFossilUudnyttet-PenaltyInfeasVarme*ForbrugInfeasVarme</f>
        <v>-36381860.738266021</v>
      </c>
      <c r="W64" s="16"/>
      <c r="X64" s="16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</row>
    <row r="65" spans="1:37" x14ac:dyDescent="0.25">
      <c r="H65" s="4" t="s">
        <v>263</v>
      </c>
      <c r="I65" s="12" t="str">
        <f>IF(bFossilFriOverBiogen,"Biogent","Fri Fossil")</f>
        <v>Biogent</v>
      </c>
      <c r="J65" s="14">
        <f>IF(bFossilFriOverBiogen,FBiogenFri,FFossilFri)</f>
        <v>1000</v>
      </c>
      <c r="K65" s="14">
        <f>IF(bFossilFriOverBiogen,HBiogenFri,HfossilFri)</f>
        <v>14</v>
      </c>
      <c r="L65" s="14">
        <f>Ffrak1*Hfrak1</f>
        <v>86700</v>
      </c>
      <c r="N65" s="12" t="str">
        <f t="shared" si="3"/>
        <v>DV-omkostninger</v>
      </c>
      <c r="O65" s="53" t="str">
        <f t="shared" si="3"/>
        <v>tkr</v>
      </c>
      <c r="P65" s="15">
        <f t="shared" si="3"/>
        <v>1253075.5555555555</v>
      </c>
      <c r="Q65" s="15">
        <f t="shared" si="3"/>
        <v>1284966.4353476283</v>
      </c>
      <c r="R65" s="16">
        <f t="shared" si="3"/>
        <v>31890.87979207281</v>
      </c>
      <c r="S65" s="31"/>
      <c r="T65" s="115" t="s">
        <v>230</v>
      </c>
      <c r="U65" s="4" t="s">
        <v>40</v>
      </c>
      <c r="V65" s="11">
        <f>Qdemand</f>
        <v>28000</v>
      </c>
      <c r="W65" s="11">
        <f>(K134+ForbrugSRvarme+K135)+ForbrugInfeasVarme</f>
        <v>28000</v>
      </c>
      <c r="X65" s="11">
        <f>V65-W65</f>
        <v>0</v>
      </c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</row>
    <row r="66" spans="1:37" x14ac:dyDescent="0.25">
      <c r="H66" s="5"/>
      <c r="I66" s="12"/>
      <c r="J66" s="14"/>
      <c r="K66" s="14"/>
      <c r="L66" s="14"/>
      <c r="N66" s="12" t="str">
        <f t="shared" si="3"/>
        <v>Affaldvarme-afgift</v>
      </c>
      <c r="O66" s="53" t="str">
        <f t="shared" si="3"/>
        <v>tkr</v>
      </c>
      <c r="P66" s="15">
        <f t="shared" si="3"/>
        <v>776205.67609802901</v>
      </c>
      <c r="Q66" s="15">
        <f t="shared" si="3"/>
        <v>1525531.7546666665</v>
      </c>
      <c r="R66" s="16">
        <f t="shared" si="3"/>
        <v>749326.07856863749</v>
      </c>
      <c r="S66" s="31"/>
      <c r="T66" s="115" t="s">
        <v>351</v>
      </c>
      <c r="U66" s="4" t="s">
        <v>16</v>
      </c>
      <c r="V66" s="11">
        <f>FFossilFast</f>
        <v>8500</v>
      </c>
      <c r="W66" s="11">
        <f xml:space="preserve"> FfastFossilOvn2+FfastFossilOvn3+FastFossilUudnyttet</f>
        <v>2000</v>
      </c>
      <c r="X66" s="11">
        <f t="shared" ref="X66:X73" si="4">V66-W66</f>
        <v>6500</v>
      </c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</row>
    <row r="67" spans="1:37" x14ac:dyDescent="0.25">
      <c r="H67" s="4"/>
      <c r="J67" s="14"/>
      <c r="K67" s="14"/>
      <c r="N67" s="12" t="str">
        <f t="shared" si="3"/>
        <v>Tillægsafgift</v>
      </c>
      <c r="O67" s="53" t="str">
        <f t="shared" si="3"/>
        <v>tkr</v>
      </c>
      <c r="P67" s="16">
        <f t="shared" si="3"/>
        <v>1949824.7200231692</v>
      </c>
      <c r="Q67" s="16">
        <f t="shared" si="3"/>
        <v>1906027.98127093</v>
      </c>
      <c r="R67" s="16">
        <f t="shared" si="3"/>
        <v>-43796.738752239151</v>
      </c>
      <c r="S67" s="31"/>
      <c r="T67" s="115" t="s">
        <v>240</v>
      </c>
      <c r="U67" s="4" t="s">
        <v>16</v>
      </c>
      <c r="V67" s="11">
        <f>Q88</f>
        <v>2000</v>
      </c>
      <c r="W67" s="11">
        <f>FfriFossilMin</f>
        <v>1000</v>
      </c>
      <c r="X67" s="11">
        <f t="shared" si="4"/>
        <v>1000</v>
      </c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</row>
    <row r="68" spans="1:37" x14ac:dyDescent="0.25">
      <c r="H68" s="6" t="s">
        <v>126</v>
      </c>
      <c r="J68" s="13" t="s">
        <v>42</v>
      </c>
      <c r="K68" s="13" t="str">
        <f>TEXT(RGKudnyttelse,"0%")&amp;" RGK"</f>
        <v>100% RGK</v>
      </c>
      <c r="L68" s="2" t="s">
        <v>129</v>
      </c>
      <c r="N68" s="12" t="str">
        <f t="shared" si="3"/>
        <v>CO2-afgift</v>
      </c>
      <c r="O68" s="53" t="str">
        <f t="shared" si="3"/>
        <v>tkr</v>
      </c>
      <c r="P68" s="16">
        <f t="shared" si="3"/>
        <v>404956.52086141572</v>
      </c>
      <c r="Q68" s="16">
        <f t="shared" si="3"/>
        <v>395860.4340347125</v>
      </c>
      <c r="R68" s="16">
        <f t="shared" si="3"/>
        <v>-9096.0868267032201</v>
      </c>
      <c r="S68" s="31"/>
      <c r="T68" s="115" t="s">
        <v>239</v>
      </c>
      <c r="U68" s="12" t="s">
        <v>16</v>
      </c>
      <c r="V68" s="99">
        <f>FfriFossilMax</f>
        <v>3200</v>
      </c>
      <c r="W68" s="99">
        <f>Q88</f>
        <v>2000</v>
      </c>
      <c r="X68" s="11">
        <f t="shared" si="4"/>
        <v>1200</v>
      </c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</row>
    <row r="69" spans="1:37" x14ac:dyDescent="0.25">
      <c r="A69" s="149"/>
      <c r="G69" s="193"/>
      <c r="H69" s="6" t="s">
        <v>265</v>
      </c>
      <c r="I69" s="4" t="s">
        <v>40</v>
      </c>
      <c r="J69" s="14">
        <f>IF(DoOptim,EtaQNomOvn3*FfastFossilOvn3*Hfrak1/3.6,MIN(Qdemand,K57,EtaQNomOvn3*Ffrak1*Hfrak1/3.6))</f>
        <v>1858.6666666666665</v>
      </c>
      <c r="K69" s="14">
        <f>IF(DoOptim,EtaQmaxOvn3*FfastFossilOvn3*Hfrak1/3.6,MIN(Qdemand,K59,EtaQmaxOvn3*Ffrak1*Hfrak1/3.6))</f>
        <v>2313.0074074074073</v>
      </c>
      <c r="L69" s="11">
        <f>K69-J69</f>
        <v>454.34074074074078</v>
      </c>
      <c r="N69" s="12" t="str">
        <f t="shared" si="3"/>
        <v>Kvote-omkostning</v>
      </c>
      <c r="O69" s="53" t="str">
        <f t="shared" si="3"/>
        <v>tkr</v>
      </c>
      <c r="P69" s="16">
        <f t="shared" si="3"/>
        <v>3311174.9999999995</v>
      </c>
      <c r="Q69" s="16">
        <f t="shared" si="3"/>
        <v>3311174.9999999995</v>
      </c>
      <c r="R69" s="16">
        <f t="shared" si="3"/>
        <v>0</v>
      </c>
      <c r="S69" s="31"/>
      <c r="T69" s="115" t="s">
        <v>231</v>
      </c>
      <c r="U69" s="4" t="s">
        <v>16</v>
      </c>
      <c r="V69" s="11">
        <f>FBiogenFri</f>
        <v>1000</v>
      </c>
      <c r="W69" s="11">
        <f>Q89</f>
        <v>1899.7968855788763</v>
      </c>
      <c r="X69" s="11">
        <f t="shared" si="4"/>
        <v>-899.7968855788763</v>
      </c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</row>
    <row r="70" spans="1:37" x14ac:dyDescent="0.25">
      <c r="A70" s="149"/>
      <c r="H70" s="4" t="s">
        <v>267</v>
      </c>
      <c r="I70" s="4" t="s">
        <v>16</v>
      </c>
      <c r="J70" s="11">
        <f>$J$69/EtaQNomOvn3/(Hfrak1/3.6)</f>
        <v>1000</v>
      </c>
      <c r="K70" s="11">
        <f>$K$69/EtaQmaxOvn3/(Hfrak1/3.6)</f>
        <v>1000</v>
      </c>
      <c r="L70" s="11">
        <f t="shared" ref="L70:L145" si="5">K70-J70</f>
        <v>0</v>
      </c>
      <c r="N70" s="12"/>
      <c r="O70" s="53"/>
      <c r="P70" s="16"/>
      <c r="Q70" s="16"/>
      <c r="R70" s="16"/>
      <c r="S70" s="31"/>
      <c r="T70" s="115" t="s">
        <v>232</v>
      </c>
      <c r="U70" s="4" t="s">
        <v>40</v>
      </c>
      <c r="V70" s="11">
        <f>$J$57</f>
        <v>7068</v>
      </c>
      <c r="W70" s="11">
        <f>J86+J91+J96</f>
        <v>7068</v>
      </c>
      <c r="X70" s="11">
        <f t="shared" si="4"/>
        <v>0</v>
      </c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</row>
    <row r="71" spans="1:37" x14ac:dyDescent="0.25">
      <c r="H71" s="4" t="s">
        <v>266</v>
      </c>
      <c r="I71" s="4" t="s">
        <v>40</v>
      </c>
      <c r="J71" s="14">
        <f>Qdemand-J69</f>
        <v>26141.333333333332</v>
      </c>
      <c r="K71" s="14">
        <f>Qdemand-K69</f>
        <v>25686.992592592593</v>
      </c>
      <c r="L71" s="11">
        <f t="shared" si="5"/>
        <v>-454.34074074073942</v>
      </c>
      <c r="N71" s="6" t="s">
        <v>168</v>
      </c>
      <c r="O71" s="5"/>
      <c r="P71" s="13" t="str">
        <f>P54</f>
        <v>Uden RGK</v>
      </c>
      <c r="Q71" s="13" t="str">
        <f>Q54</f>
        <v>100% RGK</v>
      </c>
      <c r="R71" s="11"/>
      <c r="S71" s="31"/>
      <c r="T71" s="115" t="s">
        <v>233</v>
      </c>
      <c r="U71" s="4" t="s">
        <v>40</v>
      </c>
      <c r="V71" s="11">
        <f>K57</f>
        <v>16740</v>
      </c>
      <c r="W71" s="11">
        <f>J69+J74+J79</f>
        <v>6323.1111111111113</v>
      </c>
      <c r="X71" s="11">
        <f t="shared" si="4"/>
        <v>10416.888888888889</v>
      </c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</row>
    <row r="72" spans="1:37" x14ac:dyDescent="0.25">
      <c r="H72" s="4" t="s">
        <v>268</v>
      </c>
      <c r="I72" s="4" t="s">
        <v>16</v>
      </c>
      <c r="J72" s="14">
        <f>Ffrak1-J70</f>
        <v>7500</v>
      </c>
      <c r="K72" s="14">
        <f>Ffrak1-K70</f>
        <v>7500</v>
      </c>
      <c r="L72" s="11">
        <f t="shared" si="5"/>
        <v>0</v>
      </c>
      <c r="N72" s="4" t="str">
        <f>H127</f>
        <v>Varmeproduktion Ovn2</v>
      </c>
      <c r="O72" s="5" t="s">
        <v>40</v>
      </c>
      <c r="P72" s="11">
        <f>J127</f>
        <v>7068</v>
      </c>
      <c r="Q72" s="11">
        <f>K127</f>
        <v>8556</v>
      </c>
      <c r="R72" s="11">
        <f>Q72-P72</f>
        <v>1488</v>
      </c>
      <c r="S72" s="31"/>
      <c r="T72" s="115" t="s">
        <v>238</v>
      </c>
      <c r="U72" s="12" t="s">
        <v>40</v>
      </c>
      <c r="V72" s="99">
        <f>NSvarmeMax</f>
        <v>4000</v>
      </c>
      <c r="W72" s="99">
        <f>ForbrugNSvarme</f>
        <v>1000</v>
      </c>
      <c r="X72" s="11">
        <f t="shared" si="4"/>
        <v>3000</v>
      </c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</row>
    <row r="73" spans="1:37" x14ac:dyDescent="0.25">
      <c r="H73" s="4" t="s">
        <v>273</v>
      </c>
      <c r="I73" s="4" t="s">
        <v>16</v>
      </c>
      <c r="J73" s="14">
        <f>$K$57-J69</f>
        <v>14881.333333333334</v>
      </c>
      <c r="K73" s="14">
        <f>K59-K69</f>
        <v>18518.992592592593</v>
      </c>
      <c r="L73" s="11">
        <f t="shared" ref="L73" si="6">K73-J73</f>
        <v>3637.6592592592588</v>
      </c>
      <c r="N73" s="4" t="str">
        <f>H128</f>
        <v>Varmeproduktion Ovn3</v>
      </c>
      <c r="O73" s="5" t="s">
        <v>40</v>
      </c>
      <c r="P73" s="11">
        <f>J128</f>
        <v>18404.444444444445</v>
      </c>
      <c r="Q73" s="11">
        <f>K128</f>
        <v>19950.09382716049</v>
      </c>
      <c r="R73" s="11">
        <f t="shared" ref="R73:R77" si="7">Q73-P73</f>
        <v>1545.6493827160448</v>
      </c>
      <c r="S73" s="31"/>
      <c r="T73" s="115" t="s">
        <v>245</v>
      </c>
      <c r="U73" s="12" t="s">
        <v>40</v>
      </c>
      <c r="V73" s="99">
        <f>24*NdageKøler*KapQcool</f>
        <v>11160</v>
      </c>
      <c r="W73" s="99">
        <f>K111</f>
        <v>12081.333333333332</v>
      </c>
      <c r="X73" s="11">
        <f t="shared" si="4"/>
        <v>-921.33333333333212</v>
      </c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</row>
    <row r="74" spans="1:37" x14ac:dyDescent="0.25">
      <c r="G74" s="193"/>
      <c r="H74" s="6" t="s">
        <v>269</v>
      </c>
      <c r="I74" s="4" t="s">
        <v>40</v>
      </c>
      <c r="J74" s="14">
        <f>IF(DoOptim,MIN(J71,J73,EtaQNomOvn3*FfriFossilOvn3*Hfrak2/3.6),MIN(J71,J73,EtaQNomOvn3*Ffrak2*Hfrak2/3.6))</f>
        <v>1913.3333333333333</v>
      </c>
      <c r="K74" s="14">
        <f>IF(DoOptim,MIN(K71,K73,EtaQmaxOvn3*FfriFossilOvn3*Hfrak2/3.6),MIN(K71,K73,EtaQmaxOvn3*Ffrak2*Hfrak2/3.6))</f>
        <v>2381.037037037037</v>
      </c>
      <c r="L74" s="11">
        <f>K74-J74</f>
        <v>467.7037037037037</v>
      </c>
      <c r="N74" s="4" t="str">
        <f>H130</f>
        <v>Heraf RGK-varme</v>
      </c>
      <c r="O74" s="5" t="s">
        <v>40</v>
      </c>
      <c r="P74" s="11">
        <f>J130</f>
        <v>0</v>
      </c>
      <c r="Q74" s="11">
        <f>K130</f>
        <v>3189.0879792072774</v>
      </c>
      <c r="R74" s="11">
        <f t="shared" si="7"/>
        <v>3189.0879792072774</v>
      </c>
      <c r="S74" s="31"/>
      <c r="T74" s="32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</row>
    <row r="75" spans="1:37" x14ac:dyDescent="0.25">
      <c r="H75" s="4" t="s">
        <v>270</v>
      </c>
      <c r="I75" s="4" t="s">
        <v>16</v>
      </c>
      <c r="J75" s="11">
        <f>J74/EtaQNomOvn3/(Hfrak2/3.6)</f>
        <v>1000</v>
      </c>
      <c r="K75" s="11">
        <f>K74/EtaQmaxOvn3/(Hfrak2/3.6)</f>
        <v>1000</v>
      </c>
      <c r="L75" s="11">
        <f t="shared" ref="L75:L78" si="8">K75-J75</f>
        <v>0</v>
      </c>
      <c r="N75" s="4" t="str">
        <f>H111</f>
        <v>Bortkølet varme</v>
      </c>
      <c r="O75" s="5" t="s">
        <v>40</v>
      </c>
      <c r="P75" s="11">
        <f>J111</f>
        <v>12081.333333333332</v>
      </c>
      <c r="Q75" s="11">
        <f>K111</f>
        <v>12081.333333333332</v>
      </c>
      <c r="R75" s="11">
        <f t="shared" si="7"/>
        <v>0</v>
      </c>
      <c r="S75" s="31"/>
      <c r="T75" s="32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</row>
    <row r="76" spans="1:37" x14ac:dyDescent="0.25">
      <c r="H76" s="4" t="s">
        <v>271</v>
      </c>
      <c r="I76" s="4" t="s">
        <v>40</v>
      </c>
      <c r="J76" s="14">
        <f>J71-J74</f>
        <v>24228</v>
      </c>
      <c r="K76" s="14">
        <f>K71-K74</f>
        <v>23305.955555555556</v>
      </c>
      <c r="L76" s="11">
        <f t="shared" si="8"/>
        <v>-922.0444444444438</v>
      </c>
      <c r="N76" s="4" t="str">
        <f>H134</f>
        <v>Leveret affaldsvarme</v>
      </c>
      <c r="O76" s="5" t="s">
        <v>40</v>
      </c>
      <c r="P76" s="11">
        <f>J134</f>
        <v>13391.111111111113</v>
      </c>
      <c r="Q76" s="11">
        <f>K134</f>
        <v>16424.760493827158</v>
      </c>
      <c r="R76" s="11">
        <f t="shared" si="7"/>
        <v>3033.6493827160448</v>
      </c>
      <c r="S76" s="31"/>
      <c r="T76" s="32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</row>
    <row r="77" spans="1:37" x14ac:dyDescent="0.25">
      <c r="H77" s="4" t="s">
        <v>272</v>
      </c>
      <c r="I77" s="4" t="s">
        <v>16</v>
      </c>
      <c r="J77" s="14">
        <f>Ffrak2-J75</f>
        <v>2200</v>
      </c>
      <c r="K77" s="14">
        <f>Ffrak2-K75</f>
        <v>2200</v>
      </c>
      <c r="L77" s="11">
        <f t="shared" si="8"/>
        <v>0</v>
      </c>
      <c r="N77" s="4" t="str">
        <f>H135</f>
        <v>Spidslastvarme</v>
      </c>
      <c r="O77" s="5" t="s">
        <v>40</v>
      </c>
      <c r="P77" s="11">
        <f>J135</f>
        <v>11608.888888888887</v>
      </c>
      <c r="Q77" s="11">
        <f>K135</f>
        <v>8575.2395061728421</v>
      </c>
      <c r="R77" s="11">
        <f t="shared" si="7"/>
        <v>-3033.6493827160448</v>
      </c>
      <c r="S77" s="31"/>
      <c r="T77" s="32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</row>
    <row r="78" spans="1:37" x14ac:dyDescent="0.25">
      <c r="H78" s="4" t="s">
        <v>274</v>
      </c>
      <c r="I78" s="4" t="s">
        <v>16</v>
      </c>
      <c r="J78" s="14">
        <f>J73-J74</f>
        <v>12968</v>
      </c>
      <c r="K78" s="14">
        <f>K73-K74</f>
        <v>16137.955555555556</v>
      </c>
      <c r="L78" s="11">
        <f t="shared" si="8"/>
        <v>3169.9555555555562</v>
      </c>
      <c r="N78" s="4"/>
      <c r="O78" s="5"/>
      <c r="P78" s="16"/>
      <c r="Q78" s="16"/>
      <c r="R78" s="11"/>
      <c r="S78" s="31"/>
      <c r="T78" s="32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</row>
    <row r="79" spans="1:37" x14ac:dyDescent="0.25">
      <c r="G79" s="193"/>
      <c r="H79" s="6" t="s">
        <v>276</v>
      </c>
      <c r="I79" s="4" t="s">
        <v>40</v>
      </c>
      <c r="J79" s="14">
        <f>IF(DoOptim,MIN(J76,J78,EtaQNomOvn3*FbiogenOvn3*Hfrak3/3.6),MIN(J76,J78,EtaQNomOvn3*Ffrak3*Hfrak3/3.6))</f>
        <v>2551.1111111111109</v>
      </c>
      <c r="K79" s="14">
        <f>IF(DoOptim,MIN(K76,K78,EtaQmaxOvn3*FbiogenOvn3*Hfrak3/3.6),MIN(K76,K78,EtaQmaxOvn3*Ffrak3*Hfrak3/3.6))</f>
        <v>3174.7160493827159</v>
      </c>
      <c r="L79" s="11">
        <f>K79-J79</f>
        <v>623.60493827160508</v>
      </c>
      <c r="N79" s="6" t="s">
        <v>169</v>
      </c>
      <c r="O79" s="5"/>
      <c r="P79" s="45" t="str">
        <f>P54</f>
        <v>Uden RGK</v>
      </c>
      <c r="Q79" s="45" t="str">
        <f>Q54</f>
        <v>100% RGK</v>
      </c>
      <c r="R79" s="11"/>
      <c r="S79" s="31"/>
      <c r="T79" s="32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</row>
    <row r="80" spans="1:37" x14ac:dyDescent="0.25">
      <c r="H80" s="4" t="s">
        <v>277</v>
      </c>
      <c r="I80" s="4" t="s">
        <v>16</v>
      </c>
      <c r="J80" s="11">
        <f>J79/EtaQNomOvn3/(Hfrak3/3.6)</f>
        <v>999.99999999999989</v>
      </c>
      <c r="K80" s="11">
        <f>K79/EtaQmaxOvn3/(Hfrak3/3.6)</f>
        <v>1000</v>
      </c>
      <c r="L80" s="11">
        <f t="shared" ref="L80:L83" si="9">K80-J80</f>
        <v>0</v>
      </c>
      <c r="N80" s="4" t="s">
        <v>133</v>
      </c>
      <c r="O80" s="5" t="s">
        <v>16</v>
      </c>
      <c r="P80" s="11">
        <f>J70+J75+J80</f>
        <v>3000</v>
      </c>
      <c r="Q80" s="11">
        <f>K70+K75+K80</f>
        <v>3000</v>
      </c>
      <c r="R80" s="11">
        <f>Q80-P80</f>
        <v>0</v>
      </c>
      <c r="S80" s="31"/>
      <c r="T80" s="32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</row>
    <row r="81" spans="7:37" x14ac:dyDescent="0.25">
      <c r="H81" s="4" t="s">
        <v>278</v>
      </c>
      <c r="I81" s="4" t="s">
        <v>40</v>
      </c>
      <c r="J81" s="14">
        <f>J76-J79</f>
        <v>21676.888888888891</v>
      </c>
      <c r="K81" s="14">
        <f>K76-K79</f>
        <v>20131.239506172838</v>
      </c>
      <c r="L81" s="11">
        <f t="shared" si="9"/>
        <v>-1545.6493827160521</v>
      </c>
      <c r="N81" s="4" t="s">
        <v>134</v>
      </c>
      <c r="O81" s="5" t="s">
        <v>40</v>
      </c>
      <c r="P81" s="11">
        <f>J84</f>
        <v>3000</v>
      </c>
      <c r="Q81" s="11">
        <f>K84</f>
        <v>3000</v>
      </c>
      <c r="R81" s="11">
        <f t="shared" ref="R81:R89" si="10">Q81-P81</f>
        <v>0</v>
      </c>
      <c r="S81" s="31"/>
      <c r="T81" s="32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</row>
    <row r="82" spans="7:37" x14ac:dyDescent="0.25">
      <c r="H82" s="4" t="s">
        <v>279</v>
      </c>
      <c r="I82" s="4" t="s">
        <v>16</v>
      </c>
      <c r="J82" s="14">
        <f>Ffrak3-J80</f>
        <v>0</v>
      </c>
      <c r="K82" s="14">
        <f>Ffrak3-K80</f>
        <v>0</v>
      </c>
      <c r="L82" s="11">
        <f t="shared" si="9"/>
        <v>0</v>
      </c>
      <c r="N82" s="4" t="s">
        <v>135</v>
      </c>
      <c r="O82" s="5" t="s">
        <v>16</v>
      </c>
      <c r="P82" s="11">
        <f>J87+J92+J97</f>
        <v>2899.7968855788763</v>
      </c>
      <c r="Q82" s="11">
        <f>K87+K92+K97</f>
        <v>2899.7968855788763</v>
      </c>
      <c r="R82" s="11">
        <f t="shared" si="10"/>
        <v>0</v>
      </c>
      <c r="S82" s="31"/>
      <c r="T82" s="32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</row>
    <row r="83" spans="7:37" x14ac:dyDescent="0.25">
      <c r="H83" s="4" t="s">
        <v>280</v>
      </c>
      <c r="I83" s="4" t="s">
        <v>16</v>
      </c>
      <c r="J83" s="14">
        <f>J78-J79</f>
        <v>10416.888888888889</v>
      </c>
      <c r="K83" s="14">
        <f>K78-K79</f>
        <v>12963.23950617284</v>
      </c>
      <c r="L83" s="11">
        <f t="shared" si="9"/>
        <v>2546.3506172839516</v>
      </c>
      <c r="N83" s="4" t="s">
        <v>92</v>
      </c>
      <c r="O83" s="5" t="s">
        <v>16</v>
      </c>
      <c r="P83" s="11">
        <f>J106</f>
        <v>6500</v>
      </c>
      <c r="Q83" s="11">
        <f>K106</f>
        <v>6500</v>
      </c>
      <c r="R83" s="11">
        <f t="shared" si="10"/>
        <v>0</v>
      </c>
      <c r="S83" s="31"/>
      <c r="T83" s="32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</row>
    <row r="84" spans="7:37" x14ac:dyDescent="0.25">
      <c r="G84" s="193"/>
      <c r="H84" s="6" t="s">
        <v>283</v>
      </c>
      <c r="I84" s="4" t="s">
        <v>40</v>
      </c>
      <c r="J84" s="14">
        <f>IF(DoOptim,MIN(J81,ForbrugSRvarme),MIN(J81,NSvarme))</f>
        <v>3000</v>
      </c>
      <c r="K84" s="14">
        <f>IF(DoOptim,MIN(K81,ForbrugSRvarme),MIN(K81,NSvarme))</f>
        <v>3000</v>
      </c>
      <c r="L84" s="11">
        <f t="shared" si="5"/>
        <v>0</v>
      </c>
      <c r="N84" s="4" t="s">
        <v>93</v>
      </c>
      <c r="O84" s="5" t="s">
        <v>16</v>
      </c>
      <c r="P84" s="11">
        <f>J109</f>
        <v>0</v>
      </c>
      <c r="Q84" s="11">
        <f>K109</f>
        <v>0</v>
      </c>
      <c r="R84" s="11">
        <f t="shared" si="10"/>
        <v>0</v>
      </c>
      <c r="S84" s="31"/>
      <c r="T84" s="32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</row>
    <row r="85" spans="7:37" x14ac:dyDescent="0.25">
      <c r="H85" s="4" t="s">
        <v>55</v>
      </c>
      <c r="I85" s="4" t="s">
        <v>40</v>
      </c>
      <c r="J85" s="14">
        <f>J81-J84</f>
        <v>18676.888888888891</v>
      </c>
      <c r="K85" s="14">
        <f>K81-K84</f>
        <v>17131.239506172838</v>
      </c>
      <c r="L85" s="11">
        <f t="shared" si="5"/>
        <v>-1545.6493827160521</v>
      </c>
      <c r="N85" s="4" t="s">
        <v>137</v>
      </c>
      <c r="O85" s="5" t="s">
        <v>16</v>
      </c>
      <c r="P85" s="11">
        <f>SUM(P87:P89)</f>
        <v>12399.796885578877</v>
      </c>
      <c r="Q85" s="11">
        <f>SUM(Q87:Q89)</f>
        <v>12399.796885578877</v>
      </c>
      <c r="R85" s="11">
        <f t="shared" si="10"/>
        <v>0</v>
      </c>
      <c r="S85" s="31"/>
      <c r="T85" s="32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</row>
    <row r="86" spans="7:37" x14ac:dyDescent="0.25">
      <c r="G86" s="193"/>
      <c r="H86" s="6" t="s">
        <v>282</v>
      </c>
      <c r="I86" s="4" t="s">
        <v>40</v>
      </c>
      <c r="J86" s="14">
        <f>IF(DoOptim,MIN(J85,$J$57,EtaQNomOvn2*(FfastFossilOvn2*Hfrak1)/3.6),MIN(J85,$J$57,EtaQNomOvn2*(J72*Hfrak1)/3.6))</f>
        <v>2391.333333333333</v>
      </c>
      <c r="K86" s="14">
        <f>IF(DoOptim,MIN(K85,$J$57,EtaQmaxOvn2*(FfastFossilOvn2*Hfrak1)/3.6),MIN(K85,$J$57,EtaQmaxOvn2*(K72*Hfrak1)/3.6))</f>
        <v>2894.7719298245611</v>
      </c>
      <c r="L86" s="11">
        <f t="shared" si="5"/>
        <v>503.43859649122805</v>
      </c>
      <c r="N86" s="4" t="s">
        <v>136</v>
      </c>
      <c r="O86" s="5" t="s">
        <v>16</v>
      </c>
      <c r="P86" s="14">
        <f>SUM(P90:P92)</f>
        <v>300.2031144211237</v>
      </c>
      <c r="Q86" s="14">
        <f>SUM(Q90:Q92)</f>
        <v>300.2031144211237</v>
      </c>
      <c r="R86" s="11">
        <f t="shared" si="10"/>
        <v>0</v>
      </c>
      <c r="S86" s="31"/>
      <c r="T86" s="32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</row>
    <row r="87" spans="7:37" x14ac:dyDescent="0.25">
      <c r="H87" s="4" t="s">
        <v>281</v>
      </c>
      <c r="I87" s="4" t="s">
        <v>16</v>
      </c>
      <c r="J87" s="14">
        <f>J86/EtaQNomOvn2/(Hfrak1/3.6)</f>
        <v>1000</v>
      </c>
      <c r="K87" s="14">
        <f>K86/EtaQmaxOvn2/(Hfrak1/3.6)</f>
        <v>1000</v>
      </c>
      <c r="L87" s="11">
        <f t="shared" si="5"/>
        <v>0</v>
      </c>
      <c r="N87" s="4" t="s">
        <v>298</v>
      </c>
      <c r="O87" s="5" t="s">
        <v>16</v>
      </c>
      <c r="P87" s="14">
        <f>J118</f>
        <v>8500</v>
      </c>
      <c r="Q87" s="14">
        <f>K118</f>
        <v>8500</v>
      </c>
      <c r="R87" s="11">
        <f t="shared" si="10"/>
        <v>0</v>
      </c>
      <c r="S87" s="31"/>
      <c r="T87" s="32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</row>
    <row r="88" spans="7:37" x14ac:dyDescent="0.25">
      <c r="H88" s="4" t="s">
        <v>266</v>
      </c>
      <c r="I88" s="4" t="s">
        <v>40</v>
      </c>
      <c r="J88" s="14">
        <f>J85-J86</f>
        <v>16285.555555555558</v>
      </c>
      <c r="K88" s="14">
        <f>K85-K86</f>
        <v>14236.467576348277</v>
      </c>
      <c r="L88" s="11">
        <f t="shared" si="5"/>
        <v>-2049.087979207281</v>
      </c>
      <c r="N88" s="4" t="s">
        <v>297</v>
      </c>
      <c r="O88" s="5" t="s">
        <v>16</v>
      </c>
      <c r="P88" s="14">
        <f t="shared" ref="P88:Q88" si="11">J119</f>
        <v>2000</v>
      </c>
      <c r="Q88" s="14">
        <f t="shared" si="11"/>
        <v>2000</v>
      </c>
      <c r="R88" s="11">
        <f t="shared" si="10"/>
        <v>0</v>
      </c>
      <c r="S88" s="31"/>
      <c r="T88" s="32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</row>
    <row r="89" spans="7:37" x14ac:dyDescent="0.25">
      <c r="H89" s="4" t="s">
        <v>268</v>
      </c>
      <c r="I89" s="4" t="s">
        <v>16</v>
      </c>
      <c r="J89" s="14">
        <f>J72-J87</f>
        <v>6500</v>
      </c>
      <c r="K89" s="14">
        <f>K72-K87</f>
        <v>6500</v>
      </c>
      <c r="L89" s="11">
        <f t="shared" si="5"/>
        <v>0</v>
      </c>
      <c r="N89" s="4" t="s">
        <v>296</v>
      </c>
      <c r="O89" s="5" t="s">
        <v>16</v>
      </c>
      <c r="P89" s="14">
        <f t="shared" ref="P89:Q89" si="12">J120</f>
        <v>1899.7968855788763</v>
      </c>
      <c r="Q89" s="14">
        <f t="shared" si="12"/>
        <v>1899.7968855788763</v>
      </c>
      <c r="R89" s="11">
        <f t="shared" si="10"/>
        <v>0</v>
      </c>
      <c r="S89" s="31"/>
      <c r="T89" s="32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</row>
    <row r="90" spans="7:37" x14ac:dyDescent="0.25">
      <c r="H90" s="4" t="s">
        <v>273</v>
      </c>
      <c r="I90" s="4" t="s">
        <v>16</v>
      </c>
      <c r="J90" s="14">
        <f>J57-J86</f>
        <v>4676.666666666667</v>
      </c>
      <c r="K90" s="14">
        <f>J59-K86</f>
        <v>5661.2280701754389</v>
      </c>
      <c r="L90" s="11">
        <f t="shared" si="5"/>
        <v>984.56140350877195</v>
      </c>
      <c r="N90" s="4" t="s">
        <v>299</v>
      </c>
      <c r="O90" s="5" t="s">
        <v>16</v>
      </c>
      <c r="P90" s="14">
        <f>J121</f>
        <v>0</v>
      </c>
      <c r="Q90" s="14">
        <f>K121</f>
        <v>0</v>
      </c>
      <c r="R90" s="11">
        <f t="shared" ref="R90:R92" si="13">Q90-P90</f>
        <v>0</v>
      </c>
      <c r="S90" s="31"/>
      <c r="T90" s="32"/>
      <c r="U90" s="31"/>
      <c r="V90" s="31"/>
      <c r="W90" s="31"/>
      <c r="X90" s="31"/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</row>
    <row r="91" spans="7:37" x14ac:dyDescent="0.25">
      <c r="G91" s="193"/>
      <c r="H91" s="6" t="s">
        <v>284</v>
      </c>
      <c r="I91" s="4" t="s">
        <v>40</v>
      </c>
      <c r="J91" s="14">
        <f>IF(DoOptim,MIN(J88,J90,EtaQNomOvn2*(FfriFossilOvn2*Hfrak2)/3.6),MIN(J88,J90,EtaQNomOvn2*(J77*Hfrak2)/3.6))</f>
        <v>2461.6666666666665</v>
      </c>
      <c r="K91" s="14">
        <f>IF(DoOptim,MIN(K88,K90,EtaQmaxOvn2*(FfriFossilOvn2*Hfrak2)/3.6),MIN(K88,K90,EtaQmaxOvn2*(K77*Hfrak2)/3.6))</f>
        <v>2979.9122807017543</v>
      </c>
      <c r="L91" s="11">
        <f t="shared" ref="L91:L95" si="14">K91-J91</f>
        <v>518.24561403508778</v>
      </c>
      <c r="N91" s="4" t="s">
        <v>300</v>
      </c>
      <c r="O91" s="5" t="s">
        <v>16</v>
      </c>
      <c r="P91" s="14">
        <f t="shared" ref="P91:Q92" si="15">J122</f>
        <v>1200</v>
      </c>
      <c r="Q91" s="14">
        <f t="shared" si="15"/>
        <v>1200</v>
      </c>
      <c r="R91" s="11">
        <f t="shared" si="13"/>
        <v>0</v>
      </c>
      <c r="S91" s="31"/>
      <c r="T91" s="32"/>
      <c r="U91" s="31"/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</row>
    <row r="92" spans="7:37" x14ac:dyDescent="0.25">
      <c r="H92" s="4" t="s">
        <v>285</v>
      </c>
      <c r="I92" s="4" t="s">
        <v>16</v>
      </c>
      <c r="J92" s="14">
        <f>J91/EtaQNomOvn2/(Hfrak2/3.6)</f>
        <v>1000</v>
      </c>
      <c r="K92" s="14">
        <f>K91/EtaQmaxOvn2/(Hfrak2/3.6)</f>
        <v>1000</v>
      </c>
      <c r="L92" s="11">
        <f t="shared" si="14"/>
        <v>0</v>
      </c>
      <c r="N92" s="4" t="s">
        <v>301</v>
      </c>
      <c r="O92" s="5" t="s">
        <v>16</v>
      </c>
      <c r="P92" s="14">
        <f t="shared" si="15"/>
        <v>-899.7968855788763</v>
      </c>
      <c r="Q92" s="14">
        <f t="shared" si="15"/>
        <v>-899.7968855788763</v>
      </c>
      <c r="R92" s="11">
        <f t="shared" si="13"/>
        <v>0</v>
      </c>
      <c r="S92" s="31"/>
      <c r="T92" s="32"/>
      <c r="U92" s="31"/>
      <c r="V92" s="31"/>
      <c r="W92" s="31"/>
      <c r="X92" s="31"/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</row>
    <row r="93" spans="7:37" x14ac:dyDescent="0.25">
      <c r="H93" s="4" t="s">
        <v>271</v>
      </c>
      <c r="I93" s="4" t="s">
        <v>40</v>
      </c>
      <c r="J93" s="14">
        <f>J88-J91</f>
        <v>13823.888888888892</v>
      </c>
      <c r="K93" s="14">
        <f>K88-K91</f>
        <v>11256.555295646524</v>
      </c>
      <c r="L93" s="11">
        <f t="shared" si="14"/>
        <v>-2567.3335932423688</v>
      </c>
      <c r="O93" s="5"/>
      <c r="R93" s="11"/>
      <c r="S93" s="31"/>
      <c r="T93" s="32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</row>
    <row r="94" spans="7:37" x14ac:dyDescent="0.25">
      <c r="H94" s="4" t="s">
        <v>272</v>
      </c>
      <c r="I94" s="4" t="s">
        <v>16</v>
      </c>
      <c r="J94" s="14">
        <f>J77-J92</f>
        <v>1200</v>
      </c>
      <c r="K94" s="14">
        <f>K77-K92</f>
        <v>1200</v>
      </c>
      <c r="L94" s="11">
        <f t="shared" si="14"/>
        <v>0</v>
      </c>
      <c r="N94" s="6" t="s">
        <v>170</v>
      </c>
      <c r="O94" s="5"/>
      <c r="P94" s="45" t="str">
        <f>P54</f>
        <v>Uden RGK</v>
      </c>
      <c r="Q94" s="45" t="str">
        <f>Q54</f>
        <v>100% RGK</v>
      </c>
      <c r="R94" s="11"/>
      <c r="S94" s="31"/>
      <c r="T94" s="32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</row>
    <row r="95" spans="7:37" x14ac:dyDescent="0.25">
      <c r="H95" s="4" t="s">
        <v>274</v>
      </c>
      <c r="I95" s="4" t="s">
        <v>16</v>
      </c>
      <c r="J95" s="14">
        <f>J90-J91</f>
        <v>2215.0000000000005</v>
      </c>
      <c r="K95" s="14">
        <f>K90-K91</f>
        <v>2681.3157894736846</v>
      </c>
      <c r="L95" s="11">
        <f t="shared" si="14"/>
        <v>466.31578947368416</v>
      </c>
      <c r="N95" s="4" t="s">
        <v>322</v>
      </c>
      <c r="O95" s="5"/>
      <c r="P95" s="1">
        <f>(1-J103/$J$57)</f>
        <v>1</v>
      </c>
      <c r="Q95" s="1">
        <f>(1-K103/$J$59)</f>
        <v>1</v>
      </c>
      <c r="R95" s="1">
        <f>Q95-P95</f>
        <v>0</v>
      </c>
      <c r="S95" s="31"/>
      <c r="T95" s="32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</row>
    <row r="96" spans="7:37" x14ac:dyDescent="0.25">
      <c r="G96" s="193"/>
      <c r="H96" s="6" t="s">
        <v>287</v>
      </c>
      <c r="I96" s="4" t="s">
        <v>40</v>
      </c>
      <c r="J96" s="14">
        <f>IF(DoOptim,MIN(J93,J95,EtaQNomOvn2*(FbiogenOvn2*Hfrak3)/3.6),MIN(J93,J95,EtaQNomOvn2*(J82*Hfrak3)/3.6))</f>
        <v>2215.0000000000005</v>
      </c>
      <c r="K96" s="14">
        <f>IF(DoOptim,MIN(K93,K95,EtaQmaxOvn2*(FbiogenOvn2*Hfrak3)/3.6),MIN(K93,K95,EtaQmaxOvn2*(K82*Hfrak3)/3.6))</f>
        <v>2681.3157894736846</v>
      </c>
      <c r="L96" s="11">
        <f t="shared" ref="L96:L100" si="16">K96-J96</f>
        <v>466.31578947368416</v>
      </c>
      <c r="N96" s="4" t="s">
        <v>321</v>
      </c>
      <c r="O96" s="5"/>
      <c r="P96" s="1">
        <f>(1-J104/$K$57)</f>
        <v>0.37772467808310106</v>
      </c>
      <c r="Q96" s="1">
        <f>1-K104/$K$59</f>
        <v>0.49995733060249192</v>
      </c>
      <c r="R96" s="1">
        <f>Q96-P96</f>
        <v>0.12223265251939086</v>
      </c>
      <c r="S96" s="31"/>
      <c r="T96" s="32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</row>
    <row r="97" spans="1:37" x14ac:dyDescent="0.25">
      <c r="H97" s="4" t="s">
        <v>286</v>
      </c>
      <c r="I97" s="4" t="s">
        <v>16</v>
      </c>
      <c r="J97" s="14">
        <f>J96/EtaQNomOvn2/(Hfrak2/3.6)</f>
        <v>899.7968855788763</v>
      </c>
      <c r="K97" s="14">
        <f>K96/EtaQmaxOvn2/(Hfrak2/3.6)</f>
        <v>899.7968855788763</v>
      </c>
      <c r="L97" s="11">
        <f t="shared" si="16"/>
        <v>0</v>
      </c>
      <c r="N97" s="4" t="s">
        <v>323</v>
      </c>
      <c r="O97" s="5"/>
      <c r="P97" s="1">
        <f>(1-(J103-J108)/$J$57)</f>
        <v>1</v>
      </c>
      <c r="Q97" s="1">
        <f>(1-(K103-K108)/$J$59)</f>
        <v>1</v>
      </c>
      <c r="R97" s="1">
        <f>Q97-P97</f>
        <v>0</v>
      </c>
      <c r="S97" s="31"/>
      <c r="T97" s="32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</row>
    <row r="98" spans="1:37" x14ac:dyDescent="0.25">
      <c r="H98" s="4" t="s">
        <v>278</v>
      </c>
      <c r="I98" s="4" t="s">
        <v>40</v>
      </c>
      <c r="J98" s="14">
        <f>J93-J96</f>
        <v>11608.888888888892</v>
      </c>
      <c r="K98" s="14">
        <f>K93-K96</f>
        <v>8575.2395061728384</v>
      </c>
      <c r="L98" s="11">
        <f t="shared" si="16"/>
        <v>-3033.6493827160539</v>
      </c>
      <c r="N98" s="4" t="s">
        <v>324</v>
      </c>
      <c r="O98" s="5"/>
      <c r="P98" s="1">
        <f>(1-(J104-J105)/$K$57)</f>
        <v>1.0994291782822248</v>
      </c>
      <c r="Q98" s="1">
        <f>(1-(K104-K105)/$K$57)</f>
        <v>1.0994291782822248</v>
      </c>
      <c r="R98" s="1">
        <f>Q98-P98</f>
        <v>0</v>
      </c>
      <c r="S98" s="31"/>
      <c r="T98" s="32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</row>
    <row r="99" spans="1:37" x14ac:dyDescent="0.25">
      <c r="H99" s="4" t="s">
        <v>279</v>
      </c>
      <c r="I99" s="4" t="s">
        <v>16</v>
      </c>
      <c r="J99" s="14">
        <f>J82-J97</f>
        <v>-899.7968855788763</v>
      </c>
      <c r="K99" s="14">
        <f>K82-K97</f>
        <v>-899.7968855788763</v>
      </c>
      <c r="L99" s="11">
        <f t="shared" si="16"/>
        <v>0</v>
      </c>
      <c r="N99" s="4" t="s">
        <v>184</v>
      </c>
      <c r="O99" s="5"/>
      <c r="P99" s="1">
        <f>P75/(24*NdageKøler*KapQcool)</f>
        <v>1.0825567502986857</v>
      </c>
      <c r="Q99" s="1">
        <f>Q75/(24*NdageKøler*KapQcool)</f>
        <v>1.0825567502986857</v>
      </c>
      <c r="R99" s="1">
        <f t="shared" ref="R99:R101" si="17">Q99-P99</f>
        <v>0</v>
      </c>
      <c r="S99" s="31"/>
      <c r="T99" s="32"/>
      <c r="U99" s="31"/>
      <c r="V99" s="31"/>
      <c r="W99" s="31"/>
      <c r="X99" s="31"/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</row>
    <row r="100" spans="1:37" x14ac:dyDescent="0.25">
      <c r="H100" s="4" t="s">
        <v>280</v>
      </c>
      <c r="I100" s="4" t="s">
        <v>16</v>
      </c>
      <c r="J100" s="14">
        <f>J95-J96</f>
        <v>0</v>
      </c>
      <c r="K100" s="14">
        <f>K95-K96</f>
        <v>0</v>
      </c>
      <c r="L100" s="11">
        <f t="shared" si="16"/>
        <v>0</v>
      </c>
      <c r="N100" s="4" t="s">
        <v>185</v>
      </c>
      <c r="O100" s="5"/>
      <c r="P100" s="1">
        <f>P81/NSvarme</f>
        <v>0.75</v>
      </c>
      <c r="Q100" s="1">
        <f>Q81/NSvarme</f>
        <v>0.75</v>
      </c>
      <c r="R100" s="1">
        <f t="shared" si="17"/>
        <v>0</v>
      </c>
      <c r="S100" s="31"/>
      <c r="T100" s="32"/>
      <c r="U100" s="31"/>
      <c r="V100" s="31"/>
      <c r="W100" s="31"/>
      <c r="X100" s="31"/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</row>
    <row r="101" spans="1:37" x14ac:dyDescent="0.25">
      <c r="H101" s="5" t="s">
        <v>64</v>
      </c>
      <c r="I101" s="4" t="s">
        <v>40</v>
      </c>
      <c r="J101" s="14">
        <f>J69+J74+J79+J86+J91+J96</f>
        <v>13391.111111111111</v>
      </c>
      <c r="K101" s="14">
        <f>K69+K74+K79+K86+K91+K96</f>
        <v>16424.760493827158</v>
      </c>
      <c r="L101" s="11">
        <f t="shared" si="5"/>
        <v>3033.6493827160466</v>
      </c>
      <c r="N101" s="4" t="s">
        <v>180</v>
      </c>
      <c r="O101" s="5" t="s">
        <v>22</v>
      </c>
      <c r="P101" s="10">
        <f>(SUM(P64:P69)-SUM(P60:P62))/P76</f>
        <v>-143.67423268381646</v>
      </c>
      <c r="Q101" s="10">
        <f>(SUM(Q64:Q69)-SUM(Q60:Q62))/Q76</f>
        <v>-84.39917766465615</v>
      </c>
      <c r="R101" s="48">
        <f t="shared" si="17"/>
        <v>59.275055019160305</v>
      </c>
      <c r="S101" s="31"/>
      <c r="T101" s="32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</row>
    <row r="102" spans="1:37" x14ac:dyDescent="0.25">
      <c r="H102" s="5" t="s">
        <v>65</v>
      </c>
      <c r="I102" s="4" t="s">
        <v>40</v>
      </c>
      <c r="J102" s="14">
        <f>J98</f>
        <v>11608.888888888892</v>
      </c>
      <c r="K102" s="14">
        <f>K98</f>
        <v>8575.2395061728384</v>
      </c>
      <c r="L102" s="11">
        <f t="shared" si="5"/>
        <v>-3033.6493827160539</v>
      </c>
      <c r="N102" s="5"/>
      <c r="Q102" s="1"/>
      <c r="R102" s="11"/>
      <c r="S102" s="31"/>
      <c r="T102" s="32"/>
      <c r="U102" s="31"/>
      <c r="V102" s="31"/>
      <c r="W102" s="31"/>
      <c r="X102" s="31"/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</row>
    <row r="103" spans="1:37" x14ac:dyDescent="0.25">
      <c r="H103" s="4" t="s">
        <v>359</v>
      </c>
      <c r="I103" s="4" t="s">
        <v>40</v>
      </c>
      <c r="J103" s="11">
        <f>J100</f>
        <v>0</v>
      </c>
      <c r="K103" s="11">
        <f>K100*EtaQNomOvn2/EtaQmaxOvn2</f>
        <v>0</v>
      </c>
      <c r="L103" s="11">
        <f t="shared" si="5"/>
        <v>0</v>
      </c>
      <c r="R103" s="11"/>
      <c r="S103" s="31"/>
      <c r="T103" s="32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</row>
    <row r="104" spans="1:37" x14ac:dyDescent="0.25">
      <c r="H104" s="4" t="s">
        <v>360</v>
      </c>
      <c r="I104" s="4" t="s">
        <v>40</v>
      </c>
      <c r="J104" s="11">
        <f>J83</f>
        <v>10416.888888888889</v>
      </c>
      <c r="K104" s="11">
        <f>K83*EtaQNomOvn3/EtaQmaxOvn3</f>
        <v>10416.888888888889</v>
      </c>
      <c r="L104" s="11">
        <f t="shared" si="5"/>
        <v>0</v>
      </c>
      <c r="R104" s="11"/>
      <c r="S104" s="31"/>
      <c r="T104" s="32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</row>
    <row r="105" spans="1:37" x14ac:dyDescent="0.25">
      <c r="A105" t="s">
        <v>288</v>
      </c>
      <c r="G105" s="193"/>
      <c r="H105" s="4" t="s">
        <v>91</v>
      </c>
      <c r="I105" s="4" t="s">
        <v>40</v>
      </c>
      <c r="J105" s="11">
        <f>IF(DoOptim,EtaQNomOvn3*J89*Hfrak1/3.6,MIN(J104,EtaQNomOvn3*J89*Hfrak1/3.6,24*NdageKøler*KapQcool))</f>
        <v>12081.333333333332</v>
      </c>
      <c r="K105" s="11">
        <f>IF(DoOptim,EtaQNomOvn3*K89*Hfrak1/3.6,MIN(K104,EtaQNomOvn3*K89*Hfrak1/3.6,24*NdageKøler*KapQcool))</f>
        <v>12081.333333333332</v>
      </c>
      <c r="L105" s="11">
        <f t="shared" si="5"/>
        <v>0</v>
      </c>
      <c r="R105" s="11"/>
      <c r="S105" s="31"/>
      <c r="T105" s="32"/>
      <c r="U105" s="31"/>
      <c r="V105" s="31"/>
      <c r="W105" s="31"/>
      <c r="X105" s="31"/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</row>
    <row r="106" spans="1:37" x14ac:dyDescent="0.25">
      <c r="H106" s="4" t="s">
        <v>92</v>
      </c>
      <c r="I106" s="4" t="s">
        <v>16</v>
      </c>
      <c r="J106" s="11">
        <f>J105/EtaQNomOvn3/(Hfrak1/3.6)</f>
        <v>6500</v>
      </c>
      <c r="K106" s="11">
        <f>K105/EtaQNomOvn3/(Hfrak1/3.6)</f>
        <v>6500</v>
      </c>
      <c r="L106" s="11">
        <f t="shared" si="5"/>
        <v>0</v>
      </c>
      <c r="S106" s="31"/>
      <c r="T106" s="32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</row>
    <row r="107" spans="1:37" x14ac:dyDescent="0.25">
      <c r="H107" s="4" t="s">
        <v>268</v>
      </c>
      <c r="I107" s="4" t="s">
        <v>16</v>
      </c>
      <c r="J107" s="11">
        <f>J89-J106</f>
        <v>0</v>
      </c>
      <c r="K107" s="11">
        <f>K89-K106</f>
        <v>0</v>
      </c>
      <c r="L107" s="11">
        <f t="shared" si="5"/>
        <v>0</v>
      </c>
      <c r="S107" s="31"/>
      <c r="T107" s="32"/>
      <c r="U107" s="31"/>
      <c r="V107" s="31"/>
      <c r="W107" s="31"/>
      <c r="X107" s="31"/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</row>
    <row r="108" spans="1:37" x14ac:dyDescent="0.25">
      <c r="A108" t="s">
        <v>288</v>
      </c>
      <c r="G108" s="193"/>
      <c r="H108" s="4" t="s">
        <v>90</v>
      </c>
      <c r="I108" s="4" t="s">
        <v>40</v>
      </c>
      <c r="J108" s="11">
        <f>IF(DoOptim,EtaQNomOvn2*J107*Hfrak1/3.6,MIN(J103,EtaQNomOvn2*J107*Hfrak1/3.6,24*NdageKøler*KapQcool-J105))</f>
        <v>0</v>
      </c>
      <c r="K108" s="11">
        <f>IF(DoOptim,EtaQNomOvn2*K107*Hfrak1/3.6,MIN(K103,EtaQNomOvn2*K107*Hfrak1/3.6,24*NdageKøler*KapQcool-K105))</f>
        <v>0</v>
      </c>
      <c r="L108" s="11">
        <f t="shared" si="5"/>
        <v>0</v>
      </c>
      <c r="S108" s="31"/>
      <c r="T108" s="32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</row>
    <row r="109" spans="1:37" x14ac:dyDescent="0.25">
      <c r="H109" s="4" t="s">
        <v>93</v>
      </c>
      <c r="I109" s="4" t="s">
        <v>16</v>
      </c>
      <c r="J109" s="11">
        <f>J108/EtaQNomOvn2/(Hfrak1/3.6)</f>
        <v>0</v>
      </c>
      <c r="K109" s="11">
        <f>K108/EtaQNomOvn2/(Hfrak1/3.6)</f>
        <v>0</v>
      </c>
      <c r="L109" s="11">
        <f t="shared" si="5"/>
        <v>0</v>
      </c>
      <c r="S109" s="31"/>
      <c r="T109" s="32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</row>
    <row r="110" spans="1:37" x14ac:dyDescent="0.25">
      <c r="H110" s="4" t="s">
        <v>268</v>
      </c>
      <c r="I110" s="4" t="s">
        <v>16</v>
      </c>
      <c r="J110" s="11">
        <f>J107-J109</f>
        <v>0</v>
      </c>
      <c r="K110" s="11">
        <f>K107-K109</f>
        <v>0</v>
      </c>
      <c r="L110" s="11">
        <f t="shared" si="5"/>
        <v>0</v>
      </c>
      <c r="S110" s="31"/>
      <c r="T110" s="32"/>
      <c r="U110" s="31"/>
      <c r="V110" s="31"/>
      <c r="W110" s="31"/>
      <c r="X110" s="31"/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</row>
    <row r="111" spans="1:37" x14ac:dyDescent="0.25">
      <c r="H111" s="4" t="s">
        <v>43</v>
      </c>
      <c r="I111" s="4" t="s">
        <v>40</v>
      </c>
      <c r="J111" s="11">
        <f>J105+J108</f>
        <v>12081.333333333332</v>
      </c>
      <c r="K111" s="11">
        <f>K105+K108</f>
        <v>12081.333333333332</v>
      </c>
      <c r="L111" s="11">
        <f t="shared" si="5"/>
        <v>0</v>
      </c>
      <c r="S111" s="31"/>
      <c r="T111" s="32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</row>
    <row r="112" spans="1:37" x14ac:dyDescent="0.25">
      <c r="H112" s="4" t="s">
        <v>289</v>
      </c>
      <c r="I112" s="4" t="s">
        <v>16</v>
      </c>
      <c r="J112" s="11">
        <f>Ffrak1-J115</f>
        <v>8500</v>
      </c>
      <c r="K112" s="11">
        <f>Ffrak1-K115</f>
        <v>8500</v>
      </c>
      <c r="L112" s="11">
        <f t="shared" si="5"/>
        <v>0</v>
      </c>
      <c r="S112" s="31"/>
      <c r="T112" s="32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</row>
    <row r="113" spans="8:37" x14ac:dyDescent="0.25">
      <c r="H113" s="4" t="s">
        <v>290</v>
      </c>
      <c r="I113" s="4" t="s">
        <v>16</v>
      </c>
      <c r="J113" s="11">
        <f>Ffrak2-J116</f>
        <v>2000</v>
      </c>
      <c r="K113" s="11">
        <f>Ffrak2-K116</f>
        <v>2000</v>
      </c>
      <c r="L113" s="11">
        <f t="shared" si="5"/>
        <v>0</v>
      </c>
      <c r="S113" s="31"/>
      <c r="T113" s="32"/>
      <c r="U113" s="31"/>
      <c r="V113" s="31"/>
      <c r="W113" s="31"/>
      <c r="X113" s="31"/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</row>
    <row r="114" spans="8:37" x14ac:dyDescent="0.25">
      <c r="H114" s="4" t="s">
        <v>291</v>
      </c>
      <c r="I114" s="4" t="s">
        <v>16</v>
      </c>
      <c r="J114" s="11">
        <f>Ffrak3-J117</f>
        <v>1899.7968855788763</v>
      </c>
      <c r="K114" s="11">
        <f>Ffrak3-K117</f>
        <v>1899.7968855788763</v>
      </c>
      <c r="L114" s="11">
        <f t="shared" si="5"/>
        <v>0</v>
      </c>
      <c r="S114" s="31"/>
      <c r="T114" s="32"/>
      <c r="U114" s="31"/>
      <c r="V114" s="31"/>
      <c r="W114" s="31"/>
      <c r="X114" s="31"/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</row>
    <row r="115" spans="8:37" x14ac:dyDescent="0.25">
      <c r="H115" s="4" t="s">
        <v>292</v>
      </c>
      <c r="I115" s="4" t="s">
        <v>16</v>
      </c>
      <c r="J115" s="11">
        <f>J110</f>
        <v>0</v>
      </c>
      <c r="K115" s="11">
        <f>K110</f>
        <v>0</v>
      </c>
      <c r="L115" s="11">
        <f t="shared" si="5"/>
        <v>0</v>
      </c>
      <c r="S115" s="31"/>
      <c r="T115" s="32"/>
      <c r="U115" s="31"/>
      <c r="V115" s="31"/>
      <c r="W115" s="31"/>
      <c r="X115" s="31"/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</row>
    <row r="116" spans="8:37" x14ac:dyDescent="0.25">
      <c r="H116" s="4" t="s">
        <v>293</v>
      </c>
      <c r="I116" s="4" t="s">
        <v>16</v>
      </c>
      <c r="J116" s="11">
        <f>J94</f>
        <v>1200</v>
      </c>
      <c r="K116" s="11">
        <f>K94</f>
        <v>1200</v>
      </c>
      <c r="L116" s="11">
        <f t="shared" si="5"/>
        <v>0</v>
      </c>
      <c r="S116" s="31"/>
      <c r="T116" s="32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</row>
    <row r="117" spans="8:37" x14ac:dyDescent="0.25">
      <c r="H117" s="4" t="s">
        <v>294</v>
      </c>
      <c r="I117" s="4" t="s">
        <v>16</v>
      </c>
      <c r="J117" s="11">
        <f>J99</f>
        <v>-899.7968855788763</v>
      </c>
      <c r="K117" s="11">
        <f>K99</f>
        <v>-899.7968855788763</v>
      </c>
      <c r="L117" s="11">
        <f t="shared" si="5"/>
        <v>0</v>
      </c>
      <c r="S117" s="31"/>
      <c r="T117" s="32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</row>
    <row r="118" spans="8:37" x14ac:dyDescent="0.25">
      <c r="H118" s="4" t="s">
        <v>363</v>
      </c>
      <c r="I118" s="4" t="s">
        <v>16</v>
      </c>
      <c r="J118" s="11">
        <f>J112</f>
        <v>8500</v>
      </c>
      <c r="K118" s="11">
        <f>K112</f>
        <v>8500</v>
      </c>
      <c r="L118" s="11">
        <f t="shared" si="5"/>
        <v>0</v>
      </c>
      <c r="S118" s="31"/>
      <c r="T118" s="32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</row>
    <row r="119" spans="8:37" x14ac:dyDescent="0.25">
      <c r="H119" s="4" t="s">
        <v>361</v>
      </c>
      <c r="I119" s="4" t="s">
        <v>16</v>
      </c>
      <c r="J119" s="11">
        <f>IF(bFossilFriOverBiogen,J113,J114)</f>
        <v>2000</v>
      </c>
      <c r="K119" s="11">
        <f>IF(bFossilFriOverBiogen,K113,K114)</f>
        <v>2000</v>
      </c>
      <c r="L119" s="11">
        <f t="shared" si="5"/>
        <v>0</v>
      </c>
      <c r="S119" s="31"/>
      <c r="T119" s="32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31"/>
      <c r="AF119" s="31"/>
      <c r="AG119" s="31"/>
      <c r="AH119" s="31"/>
      <c r="AI119" s="31"/>
      <c r="AJ119" s="31"/>
      <c r="AK119" s="31"/>
    </row>
    <row r="120" spans="8:37" x14ac:dyDescent="0.25">
      <c r="H120" s="4" t="s">
        <v>365</v>
      </c>
      <c r="I120" s="4" t="s">
        <v>16</v>
      </c>
      <c r="J120" s="11">
        <f>IF(bFossilFriOverBiogen,J114,J113)</f>
        <v>1899.7968855788763</v>
      </c>
      <c r="K120" s="11">
        <f>IF(bFossilFriOverBiogen,K114,K113)</f>
        <v>1899.7968855788763</v>
      </c>
      <c r="L120" s="11">
        <f t="shared" si="5"/>
        <v>0</v>
      </c>
      <c r="S120" s="31"/>
      <c r="T120" s="32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</row>
    <row r="121" spans="8:37" x14ac:dyDescent="0.25">
      <c r="H121" s="4" t="s">
        <v>364</v>
      </c>
      <c r="I121" s="4" t="s">
        <v>16</v>
      </c>
      <c r="J121" s="11">
        <f>J115</f>
        <v>0</v>
      </c>
      <c r="K121" s="11">
        <f>K115</f>
        <v>0</v>
      </c>
      <c r="L121" s="11">
        <f t="shared" si="5"/>
        <v>0</v>
      </c>
      <c r="S121" s="31"/>
      <c r="T121" s="32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</row>
    <row r="122" spans="8:37" x14ac:dyDescent="0.25">
      <c r="H122" s="4" t="s">
        <v>362</v>
      </c>
      <c r="I122" s="4" t="s">
        <v>16</v>
      </c>
      <c r="J122" s="11">
        <f>IF(bFossilFriOverBiogen,J116,J117)</f>
        <v>1200</v>
      </c>
      <c r="K122" s="11">
        <f>IF(bFossilFriOverBiogen,K116,K117)</f>
        <v>1200</v>
      </c>
      <c r="L122" s="11">
        <f t="shared" si="5"/>
        <v>0</v>
      </c>
      <c r="S122" s="31"/>
      <c r="T122" s="32"/>
      <c r="U122" s="31"/>
      <c r="V122" s="31"/>
      <c r="W122" s="31"/>
      <c r="X122" s="31"/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</row>
    <row r="123" spans="8:37" x14ac:dyDescent="0.25">
      <c r="H123" s="4" t="s">
        <v>366</v>
      </c>
      <c r="I123" s="4" t="s">
        <v>16</v>
      </c>
      <c r="J123" s="11">
        <f>IF(bFossilFriOverBiogen,J117,J116)</f>
        <v>-899.7968855788763</v>
      </c>
      <c r="K123" s="11">
        <f>IF(bFossilFriOverBiogen,K117,K116)</f>
        <v>-899.7968855788763</v>
      </c>
      <c r="L123" s="11">
        <f t="shared" si="5"/>
        <v>0</v>
      </c>
      <c r="S123" s="31"/>
      <c r="T123" s="32"/>
      <c r="U123" s="31"/>
      <c r="V123" s="31"/>
      <c r="W123" s="31"/>
      <c r="X123" s="31"/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</row>
    <row r="124" spans="8:37" x14ac:dyDescent="0.25">
      <c r="H124" t="s">
        <v>44</v>
      </c>
      <c r="I124" s="4" t="s">
        <v>47</v>
      </c>
      <c r="J124" s="11">
        <f>EtaE*((J70+J106)*Hfrak1+J75*Hfrak2+J80*Hfrak3)/3.6</f>
        <v>6304.083333333333</v>
      </c>
      <c r="K124" s="11">
        <f>EtaE*((K70+K106)*Hfrak1+K75*Hfrak2+K80*Hfrak3)/3.6</f>
        <v>6304.083333333333</v>
      </c>
      <c r="L124" s="11">
        <f t="shared" si="5"/>
        <v>0</v>
      </c>
      <c r="S124" s="31"/>
      <c r="T124" s="32"/>
      <c r="U124" s="31"/>
      <c r="V124" s="31"/>
      <c r="W124" s="31"/>
      <c r="X124" s="31"/>
      <c r="Y124" s="31"/>
      <c r="Z124" s="31"/>
      <c r="AA124" s="31"/>
    </row>
    <row r="125" spans="8:37" x14ac:dyDescent="0.25">
      <c r="H125" t="s">
        <v>6</v>
      </c>
      <c r="I125" s="4" t="s">
        <v>47</v>
      </c>
      <c r="J125" s="11">
        <f>NdageOvn3*$D$24</f>
        <v>775</v>
      </c>
      <c r="K125" s="11">
        <f>NdageOvn3*$D$24</f>
        <v>775</v>
      </c>
      <c r="L125" s="11">
        <f t="shared" si="5"/>
        <v>0</v>
      </c>
      <c r="S125" s="31"/>
      <c r="T125" s="32"/>
      <c r="U125" s="31"/>
      <c r="V125" s="31"/>
      <c r="W125" s="31"/>
      <c r="X125" s="31"/>
      <c r="Y125" s="31"/>
      <c r="Z125" s="31"/>
      <c r="AA125" s="31"/>
    </row>
    <row r="126" spans="8:37" x14ac:dyDescent="0.25">
      <c r="H126" t="s">
        <v>45</v>
      </c>
      <c r="I126" s="4" t="s">
        <v>47</v>
      </c>
      <c r="J126" s="11">
        <f>J124-J125</f>
        <v>5529.083333333333</v>
      </c>
      <c r="K126" s="11">
        <f>K124-K125</f>
        <v>5529.083333333333</v>
      </c>
      <c r="L126" s="11">
        <f t="shared" si="5"/>
        <v>0</v>
      </c>
      <c r="S126" s="31"/>
      <c r="T126" s="32"/>
      <c r="U126" s="31"/>
      <c r="V126" s="31"/>
      <c r="W126" s="31"/>
      <c r="X126" s="31"/>
      <c r="Y126" s="31"/>
      <c r="Z126" s="31"/>
      <c r="AA126" s="31"/>
    </row>
    <row r="127" spans="8:37" x14ac:dyDescent="0.25">
      <c r="H127" t="s">
        <v>104</v>
      </c>
      <c r="I127" s="4" t="s">
        <v>40</v>
      </c>
      <c r="J127" s="11">
        <f>J86+J91+J96+J108</f>
        <v>7068</v>
      </c>
      <c r="K127" s="11">
        <f>K86+K91+K96+K108</f>
        <v>8556</v>
      </c>
      <c r="L127" s="11">
        <f t="shared" si="5"/>
        <v>1488</v>
      </c>
      <c r="S127" s="31"/>
    </row>
    <row r="128" spans="8:37" x14ac:dyDescent="0.25">
      <c r="H128" t="s">
        <v>105</v>
      </c>
      <c r="I128" s="4" t="s">
        <v>40</v>
      </c>
      <c r="J128" s="11">
        <f>J69+J74+J79+J105</f>
        <v>18404.444444444445</v>
      </c>
      <c r="K128" s="11">
        <f>K69+K74+K79+K105</f>
        <v>19950.09382716049</v>
      </c>
      <c r="L128" s="11">
        <f t="shared" si="5"/>
        <v>1545.6493827160448</v>
      </c>
      <c r="N128" s="12"/>
      <c r="O128" s="52"/>
      <c r="P128" s="16"/>
      <c r="Q128" s="16"/>
      <c r="R128" s="16"/>
    </row>
    <row r="129" spans="7:18" x14ac:dyDescent="0.25">
      <c r="H129" t="s">
        <v>100</v>
      </c>
      <c r="I129" s="4" t="s">
        <v>40</v>
      </c>
      <c r="J129" s="11">
        <f>SUM(J127:J128)</f>
        <v>25472.444444444445</v>
      </c>
      <c r="K129" s="11">
        <f>SUM(K127:K128)</f>
        <v>28506.09382716049</v>
      </c>
      <c r="L129" s="11">
        <f t="shared" si="5"/>
        <v>3033.6493827160448</v>
      </c>
      <c r="N129" s="12"/>
      <c r="O129" s="52"/>
      <c r="P129" s="16"/>
      <c r="Q129" s="16"/>
      <c r="R129" s="16"/>
    </row>
    <row r="130" spans="7:18" x14ac:dyDescent="0.25">
      <c r="H130" s="4" t="s">
        <v>106</v>
      </c>
      <c r="I130" s="4" t="s">
        <v>40</v>
      </c>
      <c r="J130" s="11">
        <v>0</v>
      </c>
      <c r="K130" s="11">
        <f>(EtaRgkOvn2*(K87*Hfrak1+K92*Hfrak2+K97*Hfrak3)+EtaRgkOvn3*((K70*Hfrak1+K75*Hfrak2+K80*Hfrak3)))/3.6</f>
        <v>3189.0879792072774</v>
      </c>
      <c r="L130" s="11">
        <f t="shared" si="5"/>
        <v>3189.0879792072774</v>
      </c>
      <c r="O130" s="52"/>
      <c r="P130" s="16"/>
      <c r="Q130" s="16"/>
      <c r="R130" s="16"/>
    </row>
    <row r="131" spans="7:18" x14ac:dyDescent="0.25">
      <c r="H131" s="4" t="s">
        <v>118</v>
      </c>
      <c r="J131" s="11">
        <v>0</v>
      </c>
      <c r="K131" s="1">
        <f>K130/K132</f>
        <v>9.1613667017661229E-2</v>
      </c>
      <c r="L131" s="11">
        <f t="shared" si="5"/>
        <v>9.1613667017661229E-2</v>
      </c>
      <c r="N131" s="12"/>
      <c r="O131" s="52"/>
      <c r="P131" s="16"/>
      <c r="Q131" s="16"/>
      <c r="R131" s="16"/>
    </row>
    <row r="132" spans="7:18" x14ac:dyDescent="0.25">
      <c r="H132" t="s">
        <v>98</v>
      </c>
      <c r="I132" s="4" t="s">
        <v>99</v>
      </c>
      <c r="J132" s="11">
        <f>J129+J124</f>
        <v>31776.527777777777</v>
      </c>
      <c r="K132" s="11">
        <f>K129+K124</f>
        <v>34810.177160493826</v>
      </c>
      <c r="L132" s="11">
        <f t="shared" si="5"/>
        <v>3033.6493827160484</v>
      </c>
      <c r="N132" s="12"/>
      <c r="O132" s="52"/>
      <c r="P132" s="16"/>
      <c r="Q132" s="16"/>
      <c r="R132" s="16"/>
    </row>
    <row r="133" spans="7:18" x14ac:dyDescent="0.25">
      <c r="H133" t="s">
        <v>305</v>
      </c>
      <c r="I133" s="4" t="s">
        <v>123</v>
      </c>
      <c r="J133" s="1">
        <f>J129/(J129+J124)</f>
        <v>0.80161195151907205</v>
      </c>
      <c r="K133" s="1">
        <f>K129/(K129+K124)</f>
        <v>0.81890114191984464</v>
      </c>
      <c r="L133" s="1">
        <f t="shared" si="5"/>
        <v>1.7289190400772592E-2</v>
      </c>
      <c r="N133" s="12"/>
      <c r="O133" s="52"/>
      <c r="P133" s="16"/>
      <c r="Q133" s="16"/>
      <c r="R133" s="16"/>
    </row>
    <row r="134" spans="7:18" x14ac:dyDescent="0.25">
      <c r="H134" t="s">
        <v>227</v>
      </c>
      <c r="I134" s="4" t="s">
        <v>40</v>
      </c>
      <c r="J134" s="11">
        <f>J129-J111</f>
        <v>13391.111111111113</v>
      </c>
      <c r="K134" s="11">
        <f>K129-K111</f>
        <v>16424.760493827158</v>
      </c>
      <c r="L134" s="11">
        <f t="shared" si="5"/>
        <v>3033.6493827160448</v>
      </c>
    </row>
    <row r="135" spans="7:18" x14ac:dyDescent="0.25">
      <c r="H135" t="s">
        <v>124</v>
      </c>
      <c r="I135" s="4" t="s">
        <v>40</v>
      </c>
      <c r="J135" s="11">
        <f>Qdemand-J134-J84</f>
        <v>11608.888888888887</v>
      </c>
      <c r="K135" s="11">
        <f>Qdemand-K134-K84</f>
        <v>8575.2395061728421</v>
      </c>
      <c r="L135" s="11">
        <f t="shared" si="5"/>
        <v>-3033.6493827160448</v>
      </c>
    </row>
    <row r="136" spans="7:18" x14ac:dyDescent="0.25">
      <c r="H136" s="2" t="s">
        <v>113</v>
      </c>
      <c r="L136" s="11"/>
    </row>
    <row r="137" spans="7:18" x14ac:dyDescent="0.25">
      <c r="H137" t="s">
        <v>303</v>
      </c>
      <c r="I137" s="4" t="s">
        <v>51</v>
      </c>
      <c r="J137" s="11">
        <f>(J118*HfossilFast+J119*HfossilFri)/3.6</f>
        <v>29916.666666666664</v>
      </c>
      <c r="K137" s="11">
        <f>(K118*HfossilFast+K119*HfossilFri)/3.6</f>
        <v>29916.666666666664</v>
      </c>
      <c r="L137" s="11">
        <f t="shared" si="5"/>
        <v>0</v>
      </c>
    </row>
    <row r="138" spans="7:18" x14ac:dyDescent="0.25">
      <c r="H138" t="s">
        <v>302</v>
      </c>
      <c r="I138" s="4" t="s">
        <v>51</v>
      </c>
      <c r="J138" s="11">
        <f>J$120*HBiogenFri/3.6</f>
        <v>7388.0989994734073</v>
      </c>
      <c r="K138" s="11">
        <f>K$120*HBiogenFri/3.6</f>
        <v>7388.0989994734073</v>
      </c>
      <c r="L138" s="11">
        <f t="shared" si="5"/>
        <v>0</v>
      </c>
    </row>
    <row r="139" spans="7:18" x14ac:dyDescent="0.25">
      <c r="G139" s="27" t="str">
        <f>IF(OR(J132/0.85 - J138&lt;0,K132/0.95 - K138&lt;0),-1,"")</f>
        <v/>
      </c>
      <c r="H139" t="s">
        <v>114</v>
      </c>
      <c r="I139" s="4" t="s">
        <v>99</v>
      </c>
      <c r="J139" s="11">
        <f>MAX(0,J132/0.85 - J138)</f>
        <v>29996.051327323981</v>
      </c>
      <c r="K139" s="11">
        <f>IF(RGKudnyttelse&gt;0,MAX(0,K132/0.95 - K138),J139)</f>
        <v>29254.192748414829</v>
      </c>
      <c r="L139" s="11">
        <f t="shared" si="5"/>
        <v>-741.85857890915213</v>
      </c>
    </row>
    <row r="140" spans="7:18" x14ac:dyDescent="0.25">
      <c r="H140" t="s">
        <v>119</v>
      </c>
      <c r="I140" s="4" t="s">
        <v>40</v>
      </c>
      <c r="J140" s="11">
        <f>J129*J139/(J139+J138)</f>
        <v>20438.414256008062</v>
      </c>
      <c r="K140" s="11">
        <f>K129*K139/(K139+K138)</f>
        <v>22758.477255239137</v>
      </c>
      <c r="L140" s="11">
        <f t="shared" si="5"/>
        <v>2320.0629992310751</v>
      </c>
    </row>
    <row r="141" spans="7:18" x14ac:dyDescent="0.25">
      <c r="H141" t="s">
        <v>116</v>
      </c>
      <c r="I141" s="4" t="s">
        <v>47</v>
      </c>
      <c r="J141" s="11">
        <f>J124*J139/(J139+J138)</f>
        <v>5058.2293722173208</v>
      </c>
      <c r="K141" s="11">
        <f>K124*K139/(K139+K138)</f>
        <v>5033.0058557549501</v>
      </c>
      <c r="L141" s="11">
        <f t="shared" si="5"/>
        <v>-25.223516462370753</v>
      </c>
    </row>
    <row r="142" spans="7:18" x14ac:dyDescent="0.25">
      <c r="H142" t="s">
        <v>306</v>
      </c>
      <c r="I142" s="4" t="s">
        <v>40</v>
      </c>
      <c r="J142" s="11">
        <f>J120*HBiogenFri/3.6</f>
        <v>7388.0989994734073</v>
      </c>
      <c r="K142" s="11">
        <f>K120*HBiogenFri/3.6</f>
        <v>7388.0989994734073</v>
      </c>
      <c r="L142" s="11">
        <f>K142-J142</f>
        <v>0</v>
      </c>
    </row>
    <row r="143" spans="7:18" x14ac:dyDescent="0.25">
      <c r="G143" s="27" t="str">
        <f>IF(J134-0.85*J133*J142&lt;0,-1,"")</f>
        <v/>
      </c>
      <c r="H143" t="s">
        <v>304</v>
      </c>
      <c r="I143" s="4" t="s">
        <v>40</v>
      </c>
      <c r="J143" s="11">
        <f>MAX(0,J134-0.85*J133*J142)</f>
        <v>8357.0809226747297</v>
      </c>
      <c r="K143" s="11">
        <f>MAX(0,K134-0.85*K133*K142)</f>
        <v>11282.156192634367</v>
      </c>
      <c r="L143" s="11">
        <f t="shared" si="5"/>
        <v>2925.0752699596378</v>
      </c>
    </row>
    <row r="144" spans="7:18" x14ac:dyDescent="0.25">
      <c r="H144" t="s">
        <v>117</v>
      </c>
      <c r="I144" s="4" t="s">
        <v>40</v>
      </c>
      <c r="J144" s="11">
        <f>J140/1.2</f>
        <v>17032.011880006718</v>
      </c>
      <c r="K144" s="11">
        <f>IF(RGKudnyttelse&gt;0,(K140-0.1*(K140+K141))/1.2,J144)</f>
        <v>16649.440786783107</v>
      </c>
      <c r="L144" s="11">
        <f t="shared" si="5"/>
        <v>-382.57109322361066</v>
      </c>
    </row>
    <row r="145" spans="8:12" x14ac:dyDescent="0.25">
      <c r="H145" t="s">
        <v>120</v>
      </c>
      <c r="I145" s="4" t="s">
        <v>40</v>
      </c>
      <c r="J145" s="11">
        <f>J144</f>
        <v>17032.011880006718</v>
      </c>
      <c r="K145" s="11">
        <f>K144</f>
        <v>16649.440786783107</v>
      </c>
      <c r="L145" s="11">
        <f t="shared" si="5"/>
        <v>-382.57109322361066</v>
      </c>
    </row>
    <row r="147" spans="8:12" x14ac:dyDescent="0.25">
      <c r="H147" s="2" t="s">
        <v>94</v>
      </c>
      <c r="I147" s="7"/>
      <c r="J147" s="13" t="str">
        <f>J68</f>
        <v>Uden RGK</v>
      </c>
      <c r="K147" s="13" t="str">
        <f>K68</f>
        <v>100% RGK</v>
      </c>
      <c r="L147" s="2" t="s">
        <v>129</v>
      </c>
    </row>
    <row r="148" spans="8:12" x14ac:dyDescent="0.25">
      <c r="H148" s="12" t="s">
        <v>21</v>
      </c>
      <c r="I148" s="12" t="s">
        <v>128</v>
      </c>
      <c r="J148" s="15">
        <f>Varmesalgspris*J134</f>
        <v>4164635.555555556</v>
      </c>
      <c r="K148" s="15">
        <f>Varmesalgspris*K134</f>
        <v>5108100.5135802459</v>
      </c>
      <c r="L148" s="16">
        <f>K148-J148</f>
        <v>943464.95802468993</v>
      </c>
    </row>
    <row r="149" spans="8:12" x14ac:dyDescent="0.25">
      <c r="H149" s="12" t="s">
        <v>96</v>
      </c>
      <c r="I149" s="12" t="s">
        <v>128</v>
      </c>
      <c r="J149" s="15">
        <f>(Elpris-ElprodTarif)*J126</f>
        <v>4401150.333333333</v>
      </c>
      <c r="K149" s="15">
        <f>(Elpris-ElprodTarif)*K126</f>
        <v>4401150.333333333</v>
      </c>
      <c r="L149" s="16">
        <f t="shared" ref="L149:L162" si="18">K149-J149</f>
        <v>0</v>
      </c>
    </row>
    <row r="150" spans="8:12" x14ac:dyDescent="0.25">
      <c r="H150" s="12" t="s">
        <v>97</v>
      </c>
      <c r="I150" s="12" t="s">
        <v>128</v>
      </c>
      <c r="J150" s="15">
        <v>0</v>
      </c>
      <c r="K150" s="15">
        <f>IF(K130&lt;7%*K132,0,10%)*K156</f>
        <v>190602.798127093</v>
      </c>
      <c r="L150" s="16">
        <f t="shared" si="18"/>
        <v>190602.798127093</v>
      </c>
    </row>
    <row r="151" spans="8:12" x14ac:dyDescent="0.25">
      <c r="H151" s="12" t="s">
        <v>95</v>
      </c>
      <c r="I151" s="12" t="s">
        <v>128</v>
      </c>
      <c r="J151" s="15">
        <f>PrisFossilFast*J118+PrisFossilFri*J119</f>
        <v>5262500</v>
      </c>
      <c r="K151" s="15">
        <f>PrisFossilFast*K118+PrisFossilFri*K119</f>
        <v>5262500</v>
      </c>
      <c r="L151" s="16">
        <f t="shared" si="18"/>
        <v>0</v>
      </c>
    </row>
    <row r="152" spans="8:12" x14ac:dyDescent="0.25">
      <c r="I152" s="12"/>
      <c r="J152" s="16"/>
      <c r="K152" s="16"/>
      <c r="L152" s="16"/>
    </row>
    <row r="153" spans="8:12" x14ac:dyDescent="0.25">
      <c r="H153" s="12" t="s">
        <v>102</v>
      </c>
      <c r="I153" s="12" t="s">
        <v>128</v>
      </c>
      <c r="J153" s="16">
        <f>PrisBiogent*J120</f>
        <v>44455.247122545712</v>
      </c>
      <c r="K153" s="16">
        <f>PrisBiogent*K120</f>
        <v>44455.247122545712</v>
      </c>
      <c r="L153" s="16">
        <f t="shared" si="18"/>
        <v>0</v>
      </c>
    </row>
    <row r="154" spans="8:12" x14ac:dyDescent="0.25">
      <c r="H154" s="12" t="s">
        <v>103</v>
      </c>
      <c r="I154" s="12" t="s">
        <v>128</v>
      </c>
      <c r="J154" s="15">
        <f>$C$29*J127+$D$29*J128+$E$29*J111</f>
        <v>1253075.5555555555</v>
      </c>
      <c r="K154" s="15">
        <f>J154+$F$29*$K$130</f>
        <v>1284966.4353476283</v>
      </c>
      <c r="L154" s="16">
        <f t="shared" si="18"/>
        <v>31890.87979207281</v>
      </c>
    </row>
    <row r="155" spans="8:12" x14ac:dyDescent="0.25">
      <c r="H155" s="12" t="s">
        <v>30</v>
      </c>
      <c r="I155" s="12" t="s">
        <v>128</v>
      </c>
      <c r="J155" s="15">
        <f>AFV*3.6*J143</f>
        <v>776205.67609802901</v>
      </c>
      <c r="K155" s="15">
        <f>AFV*3.6*K134</f>
        <v>1525531.7546666665</v>
      </c>
      <c r="L155" s="16">
        <f t="shared" si="18"/>
        <v>749326.07856863749</v>
      </c>
    </row>
    <row r="156" spans="8:12" x14ac:dyDescent="0.25">
      <c r="H156" s="12" t="s">
        <v>31</v>
      </c>
      <c r="I156" s="12" t="s">
        <v>128</v>
      </c>
      <c r="J156" s="16">
        <f>ATL*3.6*J144</f>
        <v>1949824.7200231692</v>
      </c>
      <c r="K156" s="16">
        <f>ATL*3.6*K144</f>
        <v>1906027.98127093</v>
      </c>
      <c r="L156" s="16">
        <f t="shared" si="18"/>
        <v>-43796.738752239151</v>
      </c>
    </row>
    <row r="157" spans="8:12" x14ac:dyDescent="0.25">
      <c r="H157" s="12" t="s">
        <v>32</v>
      </c>
      <c r="I157" s="12" t="s">
        <v>128</v>
      </c>
      <c r="J157" s="16">
        <f>CO2afgift*CO2indholdAfgift /1000 *3.6*J144</f>
        <v>404956.52086141572</v>
      </c>
      <c r="K157" s="16">
        <f>CO2afgift*CO2indholdAfgift /1000 *3.6*K144</f>
        <v>395860.4340347125</v>
      </c>
      <c r="L157" s="16">
        <f t="shared" si="18"/>
        <v>-9096.0868267032201</v>
      </c>
    </row>
    <row r="158" spans="8:12" x14ac:dyDescent="0.25">
      <c r="H158" s="12" t="s">
        <v>107</v>
      </c>
      <c r="I158" s="12" t="s">
        <v>128</v>
      </c>
      <c r="J158" s="16">
        <f>Kvotepris*CO2indholdKvote/1000*ENSkvoteLHV*SUM(J118:J119)</f>
        <v>3311174.9999999995</v>
      </c>
      <c r="K158" s="16">
        <f>Kvotepris*CO2indholdKvote/1000*ENSkvoteLHV*SUM(K118:K119)</f>
        <v>3311174.9999999995</v>
      </c>
      <c r="L158" s="16">
        <f t="shared" si="18"/>
        <v>0</v>
      </c>
    </row>
    <row r="159" spans="8:12" x14ac:dyDescent="0.25">
      <c r="I159" s="12"/>
      <c r="J159" s="16"/>
      <c r="K159" s="16"/>
      <c r="L159" s="16"/>
    </row>
    <row r="160" spans="8:12" x14ac:dyDescent="0.25">
      <c r="H160" s="12" t="s">
        <v>110</v>
      </c>
      <c r="I160" s="12" t="s">
        <v>128</v>
      </c>
      <c r="J160" s="16">
        <f>SUM(J148:J151)</f>
        <v>13828285.888888888</v>
      </c>
      <c r="K160" s="16">
        <f>SUM(K148:K151)</f>
        <v>14962353.645040672</v>
      </c>
      <c r="L160" s="16">
        <f t="shared" si="18"/>
        <v>1134067.7561517842</v>
      </c>
    </row>
    <row r="161" spans="5:12" x14ac:dyDescent="0.25">
      <c r="H161" s="12" t="s">
        <v>111</v>
      </c>
      <c r="I161" s="12" t="s">
        <v>128</v>
      </c>
      <c r="J161" s="16">
        <f>SUM(J153:J158)</f>
        <v>7739692.7196607143</v>
      </c>
      <c r="K161" s="16">
        <f>SUM(K153:K158)</f>
        <v>8468016.8524424825</v>
      </c>
      <c r="L161" s="16">
        <f t="shared" si="18"/>
        <v>728324.13278176822</v>
      </c>
    </row>
    <row r="162" spans="5:12" x14ac:dyDescent="0.25">
      <c r="H162" s="12" t="s">
        <v>112</v>
      </c>
      <c r="I162" s="12" t="s">
        <v>128</v>
      </c>
      <c r="J162" s="16">
        <f>J160-J161</f>
        <v>6088593.1692281738</v>
      </c>
      <c r="K162" s="16">
        <f>K160-K161</f>
        <v>6494336.7925981898</v>
      </c>
      <c r="L162" s="16">
        <f t="shared" si="18"/>
        <v>405743.62337001599</v>
      </c>
    </row>
    <row r="168" spans="5:12" x14ac:dyDescent="0.25">
      <c r="E168" s="137" t="s">
        <v>246</v>
      </c>
      <c r="F168" s="137" t="s">
        <v>275</v>
      </c>
    </row>
  </sheetData>
  <scenarios current="9" show="9" sqref="Q5:Q36">
    <scenario name="RGK 10 %" locked="1" count="1" user="Mogens Bech Laursen" comment="Created by Mogens Bech Laursen on 16-03-2022">
      <inputCells r="C11" val="0,1" numFmtId="9"/>
    </scenario>
    <scenario name="RGK 20 %" locked="1" count="1" user="Mogens Bech Laursen" comment="Created by Mogens Bech Laursen on 16-03-2022">
      <inputCells r="C11" val="0,2" numFmtId="9"/>
    </scenario>
    <scenario name="RGK 30 %" locked="1" count="1" user="Mogens Bech Laursen" comment="Created by Mogens Bech Laursen on 16-03-2022">
      <inputCells r="C11" val="0,3" numFmtId="9"/>
    </scenario>
    <scenario name="RGK 40 %" locked="1" count="1" user="Mogens Bech Laursen" comment="Created by Mogens Bech Laursen on 16-03-2022">
      <inputCells r="C11" val="0,4" numFmtId="9"/>
    </scenario>
    <scenario name="RGK 50 %" locked="1" count="1" user="Mogens Bech Laursen" comment="Created by Mogens Bech Laursen on 16-03-2022">
      <inputCells r="C11" val="0,5" numFmtId="9"/>
    </scenario>
    <scenario name="RGK 60 %" locked="1" count="1" user="Mogens Bech Laursen" comment="Created by Mogens Bech Laursen on 16-03-2022">
      <inputCells r="C11" val="0,6" numFmtId="9"/>
    </scenario>
    <scenario name="RGK 70 %" locked="1" count="1" user="Mogens Bech Laursen" comment="Created by Mogens Bech Laursen on 16-03-2022">
      <inputCells r="C11" val="0,7" numFmtId="9"/>
    </scenario>
    <scenario name="RGK 80 %" locked="1" count="1" user="Mogens Bech Laursen" comment="Created by Mogens Bech Laursen on 16-03-2022">
      <inputCells r="C11" val="0,8" numFmtId="9"/>
    </scenario>
    <scenario name="RGK 90 %" locked="1" count="1" user="Mogens Bech Laursen" comment="Created by Mogens Bech Laursen on 16-03-2022">
      <inputCells r="C11" val="0,9" numFmtId="9"/>
    </scenario>
    <scenario name="RGK 100 %" locked="1" count="1" user="Mogens Bech Laursen" comment="Created by Mogens Bech Laursen on 16-03-2022">
      <inputCells r="C11" val="1" numFmtId="9"/>
    </scenario>
  </scenarios>
  <customSheetViews>
    <customSheetView guid="{01B8EE19-BF49-4F3C-9D6B-CD607AE52779}" scale="85">
      <selection activeCell="F5" sqref="F5"/>
      <pageMargins left="0.7" right="0.7" top="0.75" bottom="0.75" header="0.3" footer="0.3"/>
      <pageSetup paperSize="9" orientation="portrait" r:id="rId1"/>
    </customSheetView>
    <customSheetView guid="{D61959C2-356A-4414-A70C-587540F5DA06}" showRowCol="0" hiddenColumns="1" topLeftCell="G1">
      <selection activeCell="A2" sqref="A1:F1048576"/>
      <pageMargins left="0.7" right="0.7" top="0.75" bottom="0.75" header="0.3" footer="0.3"/>
      <pageSetup paperSize="9" orientation="portrait" r:id="rId2"/>
    </customSheetView>
  </customSheetViews>
  <mergeCells count="4">
    <mergeCell ref="A1:F1"/>
    <mergeCell ref="H52:L52"/>
    <mergeCell ref="N52:R52"/>
    <mergeCell ref="H1:Z1"/>
  </mergeCells>
  <phoneticPr fontId="8" type="noConversion"/>
  <conditionalFormatting sqref="J69:K162">
    <cfRule type="cellIs" dxfId="1" priority="5" operator="lessThan">
      <formula>0</formula>
    </cfRule>
    <cfRule type="cellIs" dxfId="0" priority="6" operator="lessThan">
      <formula>0</formula>
    </cfRule>
  </conditionalFormatting>
  <conditionalFormatting sqref="L133">
    <cfRule type="cellIs" dxfId="10" priority="3" operator="lessThan">
      <formula>0</formula>
    </cfRule>
    <cfRule type="cellIs" dxfId="9" priority="4" operator="lessThan">
      <formula>0</formula>
    </cfRule>
  </conditionalFormatting>
  <conditionalFormatting sqref="G137:G145">
    <cfRule type="cellIs" dxfId="8" priority="2" operator="lessThan">
      <formula>0</formula>
    </cfRule>
  </conditionalFormatting>
  <conditionalFormatting sqref="X65:X73">
    <cfRule type="cellIs" dxfId="7" priority="1" operator="lessThan">
      <formula>0</formula>
    </cfRule>
  </conditionalFormatting>
  <pageMargins left="0.7" right="0.7" top="0.75" bottom="0.75" header="0.3" footer="0.3"/>
  <pageSetup paperSize="9" orientation="portrait" r:id="rId3"/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F41AE-5160-4F11-A307-D354EA2E3D8E}">
  <sheetPr codeName="Sheet10"/>
  <dimension ref="A1:AE165"/>
  <sheetViews>
    <sheetView topLeftCell="A92" zoomScale="85" zoomScaleNormal="85" workbookViewId="0">
      <selection activeCell="C104" sqref="C104:Y150"/>
    </sheetView>
  </sheetViews>
  <sheetFormatPr defaultRowHeight="15" outlineLevelRow="1" x14ac:dyDescent="0.25"/>
  <cols>
    <col min="1" max="1" width="23.42578125" customWidth="1"/>
    <col min="2" max="2" width="10.7109375" customWidth="1"/>
    <col min="3" max="3" width="31.28515625" customWidth="1"/>
    <col min="4" max="4" width="11.42578125" customWidth="1"/>
    <col min="5" max="5" width="10.85546875" customWidth="1"/>
    <col min="6" max="6" width="14.42578125" customWidth="1"/>
    <col min="7" max="8" width="10.7109375" customWidth="1"/>
    <col min="9" max="9" width="9.5703125" customWidth="1"/>
    <col min="10" max="17" width="10.7109375" customWidth="1"/>
    <col min="18" max="18" width="12.5703125" customWidth="1"/>
    <col min="19" max="25" width="10.7109375" customWidth="1"/>
  </cols>
  <sheetData>
    <row r="1" spans="1:31" ht="21" outlineLevel="1" x14ac:dyDescent="0.25">
      <c r="A1" s="31"/>
      <c r="B1" s="31"/>
      <c r="C1" s="161" t="s">
        <v>332</v>
      </c>
      <c r="D1" s="163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</row>
    <row r="2" spans="1:31" outlineLevel="1" x14ac:dyDescent="0.25">
      <c r="A2" s="31"/>
      <c r="B2" s="31"/>
      <c r="C2" s="31"/>
      <c r="D2" s="163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</row>
    <row r="3" spans="1:31" outlineLevel="1" x14ac:dyDescent="0.25">
      <c r="A3" s="31"/>
      <c r="B3" s="31"/>
      <c r="C3" s="31"/>
      <c r="D3" s="163"/>
      <c r="E3" s="37"/>
      <c r="F3" s="167" t="s">
        <v>190</v>
      </c>
      <c r="G3" s="167" t="s">
        <v>191</v>
      </c>
      <c r="H3" s="167" t="s">
        <v>192</v>
      </c>
      <c r="I3" s="167" t="s">
        <v>193</v>
      </c>
      <c r="J3" s="167" t="s">
        <v>194</v>
      </c>
      <c r="K3" s="167" t="s">
        <v>195</v>
      </c>
      <c r="L3" s="167" t="s">
        <v>196</v>
      </c>
      <c r="M3" s="167" t="s">
        <v>197</v>
      </c>
      <c r="N3" s="167" t="s">
        <v>198</v>
      </c>
      <c r="O3" s="167" t="s">
        <v>199</v>
      </c>
      <c r="P3" s="167" t="s">
        <v>200</v>
      </c>
      <c r="Q3" s="167" t="s">
        <v>201</v>
      </c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</row>
    <row r="4" spans="1:31" outlineLevel="1" x14ac:dyDescent="0.25">
      <c r="A4" s="31"/>
      <c r="B4" s="31"/>
      <c r="D4" s="164"/>
      <c r="E4" s="165"/>
      <c r="F4" s="166">
        <v>31</v>
      </c>
      <c r="G4" s="166">
        <v>28</v>
      </c>
      <c r="H4" s="166">
        <v>31</v>
      </c>
      <c r="I4" s="166">
        <v>30</v>
      </c>
      <c r="J4" s="166">
        <v>31</v>
      </c>
      <c r="K4" s="166">
        <v>30</v>
      </c>
      <c r="L4" s="166">
        <v>31</v>
      </c>
      <c r="M4" s="166">
        <v>31</v>
      </c>
      <c r="N4" s="166">
        <v>30</v>
      </c>
      <c r="O4" s="166">
        <v>31</v>
      </c>
      <c r="P4" s="166">
        <v>30</v>
      </c>
      <c r="Q4" s="166">
        <v>31</v>
      </c>
      <c r="R4" s="165"/>
      <c r="S4" s="165"/>
      <c r="T4" s="165"/>
      <c r="U4" s="165"/>
      <c r="V4" s="165"/>
      <c r="W4" s="165"/>
      <c r="X4" s="165"/>
      <c r="Y4" s="165"/>
      <c r="Z4" s="165"/>
      <c r="AA4" s="165"/>
      <c r="AB4" s="165"/>
      <c r="AC4" s="165"/>
      <c r="AD4" s="165"/>
      <c r="AE4" s="165"/>
    </row>
    <row r="5" spans="1:31" ht="21" x14ac:dyDescent="0.25">
      <c r="A5" s="31"/>
      <c r="B5" s="31"/>
      <c r="C5" s="161" t="s">
        <v>176</v>
      </c>
      <c r="D5" s="31"/>
      <c r="E5" s="31"/>
      <c r="F5" s="160" t="s">
        <v>330</v>
      </c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</row>
    <row r="6" spans="1:31" x14ac:dyDescent="0.25">
      <c r="A6" s="31"/>
      <c r="B6" s="31"/>
      <c r="C6" s="56" t="s">
        <v>122</v>
      </c>
      <c r="D6" s="57" t="s">
        <v>46</v>
      </c>
      <c r="E6" s="153" t="s">
        <v>144</v>
      </c>
      <c r="F6" s="58" t="s">
        <v>145</v>
      </c>
      <c r="G6" s="58" t="s">
        <v>146</v>
      </c>
      <c r="H6" s="58" t="s">
        <v>147</v>
      </c>
      <c r="I6" s="58" t="s">
        <v>148</v>
      </c>
      <c r="J6" s="58" t="s">
        <v>149</v>
      </c>
      <c r="K6" s="58" t="s">
        <v>150</v>
      </c>
      <c r="L6" s="58" t="s">
        <v>151</v>
      </c>
      <c r="M6" s="58" t="s">
        <v>152</v>
      </c>
      <c r="N6" s="58" t="s">
        <v>153</v>
      </c>
      <c r="O6" s="58" t="s">
        <v>154</v>
      </c>
      <c r="P6" s="58" t="s">
        <v>155</v>
      </c>
      <c r="Q6" s="58" t="s">
        <v>156</v>
      </c>
      <c r="R6" s="58" t="s">
        <v>157</v>
      </c>
      <c r="S6" s="58" t="s">
        <v>158</v>
      </c>
      <c r="T6" s="58" t="s">
        <v>159</v>
      </c>
      <c r="U6" s="58" t="s">
        <v>160</v>
      </c>
      <c r="V6" s="58" t="s">
        <v>161</v>
      </c>
      <c r="W6" s="58" t="s">
        <v>162</v>
      </c>
      <c r="X6" s="58" t="s">
        <v>163</v>
      </c>
      <c r="Y6" s="59" t="s">
        <v>164</v>
      </c>
      <c r="Z6" s="31"/>
      <c r="AA6" s="31"/>
      <c r="AB6" s="31"/>
      <c r="AC6" s="31"/>
      <c r="AD6" s="31"/>
      <c r="AE6" s="31"/>
    </row>
    <row r="7" spans="1:31" x14ac:dyDescent="0.25">
      <c r="A7" s="31"/>
      <c r="B7" s="31"/>
      <c r="C7" s="60" t="s">
        <v>165</v>
      </c>
      <c r="D7" s="61"/>
      <c r="E7" s="154">
        <v>1</v>
      </c>
      <c r="F7" s="62">
        <v>1</v>
      </c>
      <c r="G7" s="62">
        <v>1</v>
      </c>
      <c r="H7" s="62">
        <v>1</v>
      </c>
      <c r="I7" s="62">
        <v>1</v>
      </c>
      <c r="J7" s="62">
        <v>1</v>
      </c>
      <c r="K7" s="62">
        <v>1</v>
      </c>
      <c r="L7" s="62">
        <v>1</v>
      </c>
      <c r="M7" s="62">
        <v>1</v>
      </c>
      <c r="N7" s="62">
        <v>1</v>
      </c>
      <c r="O7" s="62">
        <v>1</v>
      </c>
      <c r="P7" s="62">
        <v>1</v>
      </c>
      <c r="Q7" s="62">
        <v>1</v>
      </c>
      <c r="R7" s="62">
        <v>0</v>
      </c>
      <c r="S7" s="62">
        <v>0</v>
      </c>
      <c r="T7" s="62">
        <v>0</v>
      </c>
      <c r="U7" s="62">
        <v>0</v>
      </c>
      <c r="V7" s="62">
        <v>0</v>
      </c>
      <c r="W7" s="62">
        <v>0</v>
      </c>
      <c r="X7" s="62">
        <v>0</v>
      </c>
      <c r="Y7" s="63">
        <v>0</v>
      </c>
      <c r="Z7" s="31"/>
      <c r="AA7" s="31"/>
      <c r="AB7" s="31"/>
      <c r="AC7" s="31"/>
      <c r="AD7" s="31"/>
      <c r="AE7" s="31"/>
    </row>
    <row r="8" spans="1:31" x14ac:dyDescent="0.25">
      <c r="A8" s="77"/>
      <c r="B8" s="31"/>
      <c r="C8" s="60" t="str">
        <f>Model!A4</f>
        <v>FJV-behov</v>
      </c>
      <c r="D8" s="64" t="str">
        <f>Model!B4</f>
        <v>MWhq</v>
      </c>
      <c r="E8" s="155">
        <f>Model!$C4</f>
        <v>28000</v>
      </c>
      <c r="F8" s="65">
        <v>28000</v>
      </c>
      <c r="G8" s="65">
        <v>28000</v>
      </c>
      <c r="H8" s="65">
        <v>28000</v>
      </c>
      <c r="I8" s="65">
        <v>28000</v>
      </c>
      <c r="J8" s="65">
        <v>28000</v>
      </c>
      <c r="K8" s="65">
        <v>28000</v>
      </c>
      <c r="L8" s="65">
        <v>28000</v>
      </c>
      <c r="M8" s="65">
        <v>28000</v>
      </c>
      <c r="N8" s="65">
        <v>28000</v>
      </c>
      <c r="O8" s="65">
        <v>28000</v>
      </c>
      <c r="P8" s="65">
        <v>28000</v>
      </c>
      <c r="Q8" s="65">
        <v>28000</v>
      </c>
      <c r="R8" s="65">
        <v>28000</v>
      </c>
      <c r="S8" s="65">
        <v>28000</v>
      </c>
      <c r="T8" s="65">
        <v>28000</v>
      </c>
      <c r="U8" s="65">
        <v>28000</v>
      </c>
      <c r="V8" s="65">
        <v>28000</v>
      </c>
      <c r="W8" s="65">
        <v>28000</v>
      </c>
      <c r="X8" s="65">
        <v>28000</v>
      </c>
      <c r="Y8" s="65">
        <v>28000</v>
      </c>
      <c r="Z8" s="31"/>
      <c r="AA8" s="31"/>
      <c r="AB8" s="31"/>
      <c r="AC8" s="31"/>
      <c r="AD8" s="31"/>
      <c r="AE8" s="31"/>
    </row>
    <row r="9" spans="1:31" x14ac:dyDescent="0.25">
      <c r="A9" s="77"/>
      <c r="B9" s="31"/>
      <c r="C9" s="60" t="str">
        <f>Model!A5</f>
        <v>Antal rådige døgn Ovn2</v>
      </c>
      <c r="D9" s="64" t="str">
        <f>Model!B5</f>
        <v>døgn</v>
      </c>
      <c r="E9" s="155">
        <f>Model!$C5</f>
        <v>31</v>
      </c>
      <c r="F9" s="65">
        <f>Model!$C5</f>
        <v>31</v>
      </c>
      <c r="G9" s="65">
        <f>Model!$C5</f>
        <v>31</v>
      </c>
      <c r="H9" s="65">
        <f>Model!$C5</f>
        <v>31</v>
      </c>
      <c r="I9" s="65">
        <f>Model!$C5</f>
        <v>31</v>
      </c>
      <c r="J9" s="65">
        <f>Model!$C5</f>
        <v>31</v>
      </c>
      <c r="K9" s="65">
        <f>Model!$C5</f>
        <v>31</v>
      </c>
      <c r="L9" s="65">
        <f>Model!$C5</f>
        <v>31</v>
      </c>
      <c r="M9" s="65">
        <f>Model!$C5</f>
        <v>31</v>
      </c>
      <c r="N9" s="65">
        <f>Model!$C5</f>
        <v>31</v>
      </c>
      <c r="O9" s="65">
        <f>Model!$C5</f>
        <v>31</v>
      </c>
      <c r="P9" s="65">
        <f>Model!$C5</f>
        <v>31</v>
      </c>
      <c r="Q9" s="65">
        <f>Model!$C5</f>
        <v>31</v>
      </c>
      <c r="R9" s="65">
        <f>Model!$C5</f>
        <v>31</v>
      </c>
      <c r="S9" s="65">
        <f>Model!$C5</f>
        <v>31</v>
      </c>
      <c r="T9" s="65">
        <f>Model!$C5</f>
        <v>31</v>
      </c>
      <c r="U9" s="65">
        <f>Model!$C5</f>
        <v>31</v>
      </c>
      <c r="V9" s="65">
        <f>Model!$C5</f>
        <v>31</v>
      </c>
      <c r="W9" s="65">
        <f>Model!$C5</f>
        <v>31</v>
      </c>
      <c r="X9" s="65">
        <f>Model!$C5</f>
        <v>31</v>
      </c>
      <c r="Y9" s="65">
        <f>Model!$C5</f>
        <v>31</v>
      </c>
      <c r="Z9" s="31"/>
      <c r="AA9" s="31"/>
      <c r="AB9" s="31"/>
      <c r="AC9" s="31"/>
      <c r="AD9" s="31"/>
      <c r="AE9" s="31"/>
    </row>
    <row r="10" spans="1:31" x14ac:dyDescent="0.25">
      <c r="A10" s="77"/>
      <c r="B10" s="31"/>
      <c r="C10" s="60" t="str">
        <f>Model!A6</f>
        <v>Antal rådige døgn Ovn3</v>
      </c>
      <c r="D10" s="64" t="str">
        <f>Model!B6</f>
        <v>døgn</v>
      </c>
      <c r="E10" s="155">
        <f>Model!$C6</f>
        <v>31</v>
      </c>
      <c r="F10" s="65">
        <f>Model!$C6</f>
        <v>31</v>
      </c>
      <c r="G10" s="65">
        <f>Model!$C6</f>
        <v>31</v>
      </c>
      <c r="H10" s="65">
        <f>Model!$C6</f>
        <v>31</v>
      </c>
      <c r="I10" s="65">
        <f>Model!$C6</f>
        <v>31</v>
      </c>
      <c r="J10" s="65">
        <f>Model!$C6</f>
        <v>31</v>
      </c>
      <c r="K10" s="65">
        <f>Model!$C6</f>
        <v>31</v>
      </c>
      <c r="L10" s="65">
        <f>Model!$C6</f>
        <v>31</v>
      </c>
      <c r="M10" s="65">
        <f>Model!$C6</f>
        <v>31</v>
      </c>
      <c r="N10" s="65">
        <f>Model!$C6</f>
        <v>31</v>
      </c>
      <c r="O10" s="65">
        <f>Model!$C6</f>
        <v>31</v>
      </c>
      <c r="P10" s="65">
        <f>Model!$C6</f>
        <v>31</v>
      </c>
      <c r="Q10" s="65">
        <f>Model!$C6</f>
        <v>31</v>
      </c>
      <c r="R10" s="65">
        <f>Model!$C6</f>
        <v>31</v>
      </c>
      <c r="S10" s="65">
        <f>Model!$C6</f>
        <v>31</v>
      </c>
      <c r="T10" s="65">
        <f>Model!$C6</f>
        <v>31</v>
      </c>
      <c r="U10" s="65">
        <f>Model!$C6</f>
        <v>31</v>
      </c>
      <c r="V10" s="65">
        <f>Model!$C6</f>
        <v>31</v>
      </c>
      <c r="W10" s="65">
        <f>Model!$C6</f>
        <v>31</v>
      </c>
      <c r="X10" s="65">
        <f>Model!$C6</f>
        <v>31</v>
      </c>
      <c r="Y10" s="65">
        <f>Model!$C6</f>
        <v>31</v>
      </c>
      <c r="Z10" s="31"/>
      <c r="AA10" s="31"/>
      <c r="AB10" s="31"/>
      <c r="AC10" s="31"/>
      <c r="AD10" s="31"/>
      <c r="AE10" s="31"/>
    </row>
    <row r="11" spans="1:31" x14ac:dyDescent="0.25">
      <c r="A11" s="77"/>
      <c r="B11" s="31"/>
      <c r="C11" s="60" t="str">
        <f>Model!A7</f>
        <v>Affaldstonnage Fast Fossil</v>
      </c>
      <c r="D11" s="64" t="str">
        <f>Model!B7</f>
        <v>ton</v>
      </c>
      <c r="E11" s="155">
        <f>Model!$C7</f>
        <v>8500</v>
      </c>
      <c r="F11" s="65">
        <v>8500</v>
      </c>
      <c r="G11" s="65">
        <v>8500</v>
      </c>
      <c r="H11" s="65">
        <v>8500</v>
      </c>
      <c r="I11" s="65">
        <v>8500</v>
      </c>
      <c r="J11" s="65">
        <v>8500</v>
      </c>
      <c r="K11" s="65">
        <v>8500</v>
      </c>
      <c r="L11" s="65">
        <v>8500</v>
      </c>
      <c r="M11" s="65">
        <v>8500</v>
      </c>
      <c r="N11" s="65">
        <v>8500</v>
      </c>
      <c r="O11" s="65">
        <v>8500</v>
      </c>
      <c r="P11" s="65">
        <v>8500</v>
      </c>
      <c r="Q11" s="65">
        <v>8500</v>
      </c>
      <c r="R11" s="65">
        <v>8500</v>
      </c>
      <c r="S11" s="65">
        <v>8500</v>
      </c>
      <c r="T11" s="65">
        <v>8500</v>
      </c>
      <c r="U11" s="65">
        <v>8500</v>
      </c>
      <c r="V11" s="65">
        <v>8500</v>
      </c>
      <c r="W11" s="65">
        <v>8500</v>
      </c>
      <c r="X11" s="65">
        <v>8500</v>
      </c>
      <c r="Y11" s="65">
        <v>8500</v>
      </c>
      <c r="Z11" s="31"/>
      <c r="AA11" s="31"/>
      <c r="AB11" s="31"/>
      <c r="AC11" s="31"/>
      <c r="AD11" s="31"/>
      <c r="AE11" s="31"/>
    </row>
    <row r="12" spans="1:31" x14ac:dyDescent="0.25">
      <c r="A12" s="77"/>
      <c r="B12" s="31"/>
      <c r="C12" s="60" t="str">
        <f>Model!A8</f>
        <v>Affaldstonnage Fri Fossil</v>
      </c>
      <c r="D12" s="64" t="str">
        <f>Model!B8</f>
        <v>ton</v>
      </c>
      <c r="E12" s="155">
        <f>Model!$C8</f>
        <v>3200</v>
      </c>
      <c r="F12" s="65">
        <v>3200</v>
      </c>
      <c r="G12" s="65">
        <v>3200</v>
      </c>
      <c r="H12" s="65">
        <v>3200</v>
      </c>
      <c r="I12" s="65">
        <v>3200</v>
      </c>
      <c r="J12" s="65">
        <v>3200</v>
      </c>
      <c r="K12" s="65">
        <v>3200</v>
      </c>
      <c r="L12" s="65">
        <v>3200</v>
      </c>
      <c r="M12" s="65">
        <v>3200</v>
      </c>
      <c r="N12" s="65">
        <v>3200</v>
      </c>
      <c r="O12" s="65">
        <v>3200</v>
      </c>
      <c r="P12" s="65">
        <v>3200</v>
      </c>
      <c r="Q12" s="65">
        <v>3200</v>
      </c>
      <c r="R12" s="65">
        <v>3200</v>
      </c>
      <c r="S12" s="65">
        <v>3200</v>
      </c>
      <c r="T12" s="65">
        <v>3200</v>
      </c>
      <c r="U12" s="65">
        <v>3200</v>
      </c>
      <c r="V12" s="65">
        <v>3200</v>
      </c>
      <c r="W12" s="65">
        <v>3200</v>
      </c>
      <c r="X12" s="65">
        <v>3200</v>
      </c>
      <c r="Y12" s="65">
        <v>3200</v>
      </c>
      <c r="Z12" s="31"/>
      <c r="AA12" s="31"/>
      <c r="AB12" s="31"/>
      <c r="AC12" s="31"/>
      <c r="AD12" s="31"/>
      <c r="AE12" s="31"/>
    </row>
    <row r="13" spans="1:31" x14ac:dyDescent="0.25">
      <c r="A13" s="77"/>
      <c r="B13" s="31"/>
      <c r="C13" s="60" t="str">
        <f>Model!A9</f>
        <v>Affaldstonnage Biogen</v>
      </c>
      <c r="D13" s="64" t="str">
        <f>Model!B9</f>
        <v>ton</v>
      </c>
      <c r="E13" s="155">
        <f>Model!$C9</f>
        <v>1000</v>
      </c>
      <c r="F13" s="65">
        <v>1000</v>
      </c>
      <c r="G13" s="65">
        <v>1000</v>
      </c>
      <c r="H13" s="65">
        <v>1000</v>
      </c>
      <c r="I13" s="65">
        <v>1000</v>
      </c>
      <c r="J13" s="65">
        <v>1000</v>
      </c>
      <c r="K13" s="65">
        <v>1000</v>
      </c>
      <c r="L13" s="65">
        <v>1000</v>
      </c>
      <c r="M13" s="65">
        <v>1000</v>
      </c>
      <c r="N13" s="65">
        <v>1000</v>
      </c>
      <c r="O13" s="65">
        <v>1000</v>
      </c>
      <c r="P13" s="65">
        <v>1000</v>
      </c>
      <c r="Q13" s="65">
        <v>1000</v>
      </c>
      <c r="R13" s="65">
        <v>1000</v>
      </c>
      <c r="S13" s="65">
        <v>1000</v>
      </c>
      <c r="T13" s="65">
        <v>1000</v>
      </c>
      <c r="U13" s="65">
        <v>1000</v>
      </c>
      <c r="V13" s="65">
        <v>1000</v>
      </c>
      <c r="W13" s="65">
        <v>1000</v>
      </c>
      <c r="X13" s="65">
        <v>1000</v>
      </c>
      <c r="Y13" s="65">
        <v>1000</v>
      </c>
      <c r="Z13" s="31"/>
      <c r="AA13" s="31"/>
      <c r="AB13" s="31"/>
      <c r="AC13" s="31"/>
      <c r="AD13" s="31"/>
      <c r="AE13" s="31"/>
    </row>
    <row r="14" spans="1:31" x14ac:dyDescent="0.25">
      <c r="A14" s="77"/>
      <c r="B14" s="31"/>
      <c r="C14" s="60" t="str">
        <f>Model!A10</f>
        <v>FossilFri før Biogen</v>
      </c>
      <c r="D14" s="64" t="str">
        <f>Model!B10</f>
        <v>0/1</v>
      </c>
      <c r="E14" s="156">
        <f>Model!$C10</f>
        <v>1</v>
      </c>
      <c r="F14" s="152">
        <v>1</v>
      </c>
      <c r="G14" s="152">
        <v>1</v>
      </c>
      <c r="H14" s="152">
        <v>1</v>
      </c>
      <c r="I14" s="152">
        <v>1</v>
      </c>
      <c r="J14" s="152">
        <v>1</v>
      </c>
      <c r="K14" s="152">
        <v>1</v>
      </c>
      <c r="L14" s="152">
        <v>1</v>
      </c>
      <c r="M14" s="152">
        <v>1</v>
      </c>
      <c r="N14" s="152">
        <v>1</v>
      </c>
      <c r="O14" s="152">
        <v>1</v>
      </c>
      <c r="P14" s="152">
        <v>1</v>
      </c>
      <c r="Q14" s="152">
        <v>1</v>
      </c>
      <c r="R14" s="152">
        <v>1</v>
      </c>
      <c r="S14" s="152">
        <v>1</v>
      </c>
      <c r="T14" s="152">
        <v>1</v>
      </c>
      <c r="U14" s="152">
        <v>1</v>
      </c>
      <c r="V14" s="152">
        <v>1</v>
      </c>
      <c r="W14" s="152">
        <v>1</v>
      </c>
      <c r="X14" s="152">
        <v>1</v>
      </c>
      <c r="Y14" s="152">
        <v>1</v>
      </c>
      <c r="Z14" s="31"/>
      <c r="AA14" s="31"/>
      <c r="AB14" s="31"/>
      <c r="AC14" s="31"/>
      <c r="AD14" s="31"/>
      <c r="AE14" s="31"/>
    </row>
    <row r="15" spans="1:31" x14ac:dyDescent="0.25">
      <c r="A15" s="77"/>
      <c r="B15" s="31"/>
      <c r="C15" s="60" t="str">
        <f>Model!A11</f>
        <v>RGK-udnyttelse</v>
      </c>
      <c r="D15" s="64" t="str">
        <f>Model!B11</f>
        <v>procent</v>
      </c>
      <c r="E15" s="157">
        <f>Model!$C11</f>
        <v>1</v>
      </c>
      <c r="F15" s="66">
        <f>Model!$C11</f>
        <v>1</v>
      </c>
      <c r="G15" s="66">
        <f>Model!$C11</f>
        <v>1</v>
      </c>
      <c r="H15" s="66">
        <f>Model!$C11</f>
        <v>1</v>
      </c>
      <c r="I15" s="66">
        <f>Model!$C11</f>
        <v>1</v>
      </c>
      <c r="J15" s="66">
        <f>Model!$C11</f>
        <v>1</v>
      </c>
      <c r="K15" s="66">
        <f>Model!$C11</f>
        <v>1</v>
      </c>
      <c r="L15" s="66">
        <f>Model!$C11</f>
        <v>1</v>
      </c>
      <c r="M15" s="66">
        <f>Model!$C11</f>
        <v>1</v>
      </c>
      <c r="N15" s="66">
        <f>Model!$C11</f>
        <v>1</v>
      </c>
      <c r="O15" s="66">
        <v>1</v>
      </c>
      <c r="P15" s="66">
        <v>1</v>
      </c>
      <c r="Q15" s="66">
        <v>1</v>
      </c>
      <c r="R15" s="66">
        <v>1</v>
      </c>
      <c r="S15" s="66">
        <v>1</v>
      </c>
      <c r="T15" s="66">
        <v>1</v>
      </c>
      <c r="U15" s="66">
        <v>1</v>
      </c>
      <c r="V15" s="66">
        <v>1</v>
      </c>
      <c r="W15" s="66">
        <v>1</v>
      </c>
      <c r="X15" s="66">
        <v>1</v>
      </c>
      <c r="Y15" s="66">
        <v>0.88</v>
      </c>
      <c r="Z15" s="31"/>
      <c r="AA15" s="31"/>
      <c r="AB15" s="31"/>
      <c r="AC15" s="31"/>
      <c r="AD15" s="31"/>
      <c r="AE15" s="31"/>
    </row>
    <row r="16" spans="1:31" x14ac:dyDescent="0.25">
      <c r="A16" s="77"/>
      <c r="B16" s="31"/>
      <c r="C16" s="60" t="str">
        <f>Model!A12</f>
        <v>NordicSugar varme max.</v>
      </c>
      <c r="D16" s="64" t="str">
        <f>Model!B12</f>
        <v>MWhq</v>
      </c>
      <c r="E16" s="158">
        <f>Model!$C12</f>
        <v>4000</v>
      </c>
      <c r="F16" s="69">
        <v>4000</v>
      </c>
      <c r="G16" s="69">
        <v>4000</v>
      </c>
      <c r="H16" s="69">
        <v>4000</v>
      </c>
      <c r="I16" s="69">
        <v>4000</v>
      </c>
      <c r="J16" s="69">
        <v>4000</v>
      </c>
      <c r="K16" s="69">
        <v>4000</v>
      </c>
      <c r="L16" s="69">
        <v>4000</v>
      </c>
      <c r="M16" s="69">
        <v>4000</v>
      </c>
      <c r="N16" s="69">
        <v>4000</v>
      </c>
      <c r="O16" s="69">
        <v>4000</v>
      </c>
      <c r="P16" s="69">
        <v>4000</v>
      </c>
      <c r="Q16" s="69">
        <v>4000</v>
      </c>
      <c r="R16" s="69">
        <v>4000</v>
      </c>
      <c r="S16" s="69">
        <v>4000</v>
      </c>
      <c r="T16" s="69">
        <v>4000</v>
      </c>
      <c r="U16" s="69">
        <v>4000</v>
      </c>
      <c r="V16" s="69">
        <v>4000</v>
      </c>
      <c r="W16" s="69">
        <v>4000</v>
      </c>
      <c r="X16" s="69">
        <v>4000</v>
      </c>
      <c r="Y16" s="69">
        <v>4000</v>
      </c>
      <c r="Z16" s="31"/>
      <c r="AA16" s="31"/>
      <c r="AB16" s="31"/>
      <c r="AC16" s="31"/>
      <c r="AD16" s="31"/>
      <c r="AE16" s="31"/>
    </row>
    <row r="17" spans="1:31" x14ac:dyDescent="0.25">
      <c r="A17" s="77"/>
      <c r="B17" s="31"/>
      <c r="C17" s="60" t="str">
        <f>Model!A13</f>
        <v>Købspris biogent affald</v>
      </c>
      <c r="D17" s="64" t="str">
        <f>Model!B13</f>
        <v>kr/GJ</v>
      </c>
      <c r="E17" s="159">
        <f>Model!$C13</f>
        <v>6.5</v>
      </c>
      <c r="F17" s="151">
        <v>6.5</v>
      </c>
      <c r="G17" s="151">
        <v>6.5</v>
      </c>
      <c r="H17" s="151">
        <v>6.5</v>
      </c>
      <c r="I17" s="151">
        <v>6.5</v>
      </c>
      <c r="J17" s="151">
        <v>6.5</v>
      </c>
      <c r="K17" s="151">
        <v>6.5</v>
      </c>
      <c r="L17" s="151">
        <v>6.5</v>
      </c>
      <c r="M17" s="151">
        <v>6.5</v>
      </c>
      <c r="N17" s="151">
        <v>6.5</v>
      </c>
      <c r="O17" s="151">
        <v>6.5</v>
      </c>
      <c r="P17" s="151">
        <v>6.5</v>
      </c>
      <c r="Q17" s="151">
        <v>6.5</v>
      </c>
      <c r="R17" s="151">
        <v>6.5</v>
      </c>
      <c r="S17" s="151">
        <v>6.5</v>
      </c>
      <c r="T17" s="151">
        <v>6.5</v>
      </c>
      <c r="U17" s="151">
        <v>6.5</v>
      </c>
      <c r="V17" s="151">
        <v>6.5</v>
      </c>
      <c r="W17" s="151">
        <v>6.5</v>
      </c>
      <c r="X17" s="151">
        <v>6.5</v>
      </c>
      <c r="Y17" s="151">
        <v>6.5</v>
      </c>
      <c r="Z17" s="31"/>
      <c r="AA17" s="31"/>
      <c r="AB17" s="31"/>
      <c r="AC17" s="31"/>
      <c r="AD17" s="31"/>
      <c r="AE17" s="31"/>
    </row>
    <row r="18" spans="1:31" x14ac:dyDescent="0.25">
      <c r="A18" s="77"/>
      <c r="B18" s="31"/>
      <c r="C18" s="60" t="str">
        <f>Model!A14</f>
        <v>Modtagepris Fri Fossil</v>
      </c>
      <c r="D18" s="64" t="str">
        <f>Model!B14</f>
        <v>kr/ton</v>
      </c>
      <c r="E18" s="155">
        <f>Model!$C14</f>
        <v>400</v>
      </c>
      <c r="F18" s="65">
        <v>400</v>
      </c>
      <c r="G18" s="65">
        <v>400</v>
      </c>
      <c r="H18" s="65">
        <v>400</v>
      </c>
      <c r="I18" s="65">
        <v>400</v>
      </c>
      <c r="J18" s="65">
        <v>400</v>
      </c>
      <c r="K18" s="65">
        <v>400</v>
      </c>
      <c r="L18" s="65">
        <v>400</v>
      </c>
      <c r="M18" s="65">
        <v>400</v>
      </c>
      <c r="N18" s="65">
        <v>400</v>
      </c>
      <c r="O18" s="65">
        <v>400</v>
      </c>
      <c r="P18" s="65">
        <v>400</v>
      </c>
      <c r="Q18" s="65">
        <v>400</v>
      </c>
      <c r="R18" s="65">
        <v>400</v>
      </c>
      <c r="S18" s="65">
        <v>400</v>
      </c>
      <c r="T18" s="65">
        <v>400</v>
      </c>
      <c r="U18" s="65">
        <v>400</v>
      </c>
      <c r="V18" s="65">
        <v>400</v>
      </c>
      <c r="W18" s="65">
        <v>400</v>
      </c>
      <c r="X18" s="65">
        <v>400</v>
      </c>
      <c r="Y18" s="65">
        <v>400</v>
      </c>
      <c r="Z18" s="31"/>
      <c r="AA18" s="31"/>
      <c r="AB18" s="31"/>
      <c r="AC18" s="31"/>
      <c r="AD18" s="31"/>
      <c r="AE18" s="31"/>
    </row>
    <row r="19" spans="1:31" x14ac:dyDescent="0.25">
      <c r="A19" s="77"/>
      <c r="B19" s="31"/>
      <c r="C19" s="60" t="str">
        <f>Model!A15</f>
        <v>Brændværdi Fri Fossil</v>
      </c>
      <c r="D19" s="64" t="str">
        <f>Model!B15</f>
        <v>GJ/ton</v>
      </c>
      <c r="E19" s="155">
        <f>Model!$C15</f>
        <v>10.5</v>
      </c>
      <c r="F19" s="65">
        <v>10.5</v>
      </c>
      <c r="G19" s="65">
        <v>10.5</v>
      </c>
      <c r="H19" s="65">
        <v>10.5</v>
      </c>
      <c r="I19" s="65">
        <v>10.5</v>
      </c>
      <c r="J19" s="65">
        <v>10.5</v>
      </c>
      <c r="K19" s="65">
        <v>10.5</v>
      </c>
      <c r="L19" s="65">
        <v>10.5</v>
      </c>
      <c r="M19" s="65">
        <v>10.5</v>
      </c>
      <c r="N19" s="65">
        <v>10.5</v>
      </c>
      <c r="O19" s="65">
        <v>10.5</v>
      </c>
      <c r="P19" s="65">
        <v>10.5</v>
      </c>
      <c r="Q19" s="65">
        <v>10.5</v>
      </c>
      <c r="R19" s="65">
        <v>10.5</v>
      </c>
      <c r="S19" s="65">
        <v>10.5</v>
      </c>
      <c r="T19" s="65">
        <v>10.5</v>
      </c>
      <c r="U19" s="65">
        <v>10.5</v>
      </c>
      <c r="V19" s="65">
        <v>10.5</v>
      </c>
      <c r="W19" s="65">
        <v>10.5</v>
      </c>
      <c r="X19" s="65">
        <v>10.5</v>
      </c>
      <c r="Y19" s="65">
        <v>10.5</v>
      </c>
      <c r="Z19" s="31"/>
      <c r="AA19" s="31"/>
      <c r="AB19" s="31"/>
      <c r="AC19" s="31"/>
      <c r="AD19" s="31"/>
      <c r="AE19" s="31"/>
    </row>
    <row r="20" spans="1:31" x14ac:dyDescent="0.25">
      <c r="A20" s="77"/>
      <c r="B20" s="31"/>
      <c r="C20" s="60" t="str">
        <f>Model!A16</f>
        <v>Elspotpris</v>
      </c>
      <c r="D20" s="64" t="str">
        <f>Model!B16</f>
        <v>kr/MWhe</v>
      </c>
      <c r="E20" s="158">
        <f>Model!$C16</f>
        <v>800</v>
      </c>
      <c r="F20" s="69">
        <v>800</v>
      </c>
      <c r="G20" s="69">
        <v>800</v>
      </c>
      <c r="H20" s="69">
        <v>800</v>
      </c>
      <c r="I20" s="69">
        <v>800</v>
      </c>
      <c r="J20" s="69">
        <v>800</v>
      </c>
      <c r="K20" s="69">
        <v>800</v>
      </c>
      <c r="L20" s="69">
        <v>800</v>
      </c>
      <c r="M20" s="69">
        <v>800</v>
      </c>
      <c r="N20" s="69">
        <v>800</v>
      </c>
      <c r="O20" s="69">
        <v>800</v>
      </c>
      <c r="P20" s="69">
        <v>800</v>
      </c>
      <c r="Q20" s="69">
        <v>800</v>
      </c>
      <c r="R20" s="69">
        <v>800</v>
      </c>
      <c r="S20" s="69">
        <v>800</v>
      </c>
      <c r="T20" s="69">
        <v>800</v>
      </c>
      <c r="U20" s="69">
        <v>800</v>
      </c>
      <c r="V20" s="69">
        <v>800</v>
      </c>
      <c r="W20" s="69">
        <v>800</v>
      </c>
      <c r="X20" s="69">
        <v>800</v>
      </c>
      <c r="Y20" s="69">
        <v>800</v>
      </c>
      <c r="Z20" s="31"/>
      <c r="AA20" s="31"/>
      <c r="AB20" s="31"/>
      <c r="AC20" s="31"/>
      <c r="AD20" s="31"/>
      <c r="AE20" s="31"/>
    </row>
    <row r="21" spans="1:31" x14ac:dyDescent="0.25">
      <c r="A21" s="77"/>
      <c r="B21" s="31"/>
      <c r="C21" s="67" t="str">
        <f>Model!A17</f>
        <v>CO2 kvotepris</v>
      </c>
      <c r="D21" s="68" t="str">
        <f>Model!B17</f>
        <v>kr/tonCO2</v>
      </c>
      <c r="E21" s="158">
        <f>Model!$C17</f>
        <v>700</v>
      </c>
      <c r="F21" s="69">
        <v>700</v>
      </c>
      <c r="G21" s="69">
        <v>700</v>
      </c>
      <c r="H21" s="69">
        <v>700</v>
      </c>
      <c r="I21" s="69">
        <v>700</v>
      </c>
      <c r="J21" s="69">
        <v>700</v>
      </c>
      <c r="K21" s="69">
        <v>700</v>
      </c>
      <c r="L21" s="69">
        <v>700</v>
      </c>
      <c r="M21" s="69">
        <v>700</v>
      </c>
      <c r="N21" s="69">
        <v>700</v>
      </c>
      <c r="O21" s="69">
        <v>700</v>
      </c>
      <c r="P21" s="69">
        <v>700</v>
      </c>
      <c r="Q21" s="69">
        <v>700</v>
      </c>
      <c r="R21" s="69">
        <v>700</v>
      </c>
      <c r="S21" s="69">
        <v>700</v>
      </c>
      <c r="T21" s="69">
        <v>700</v>
      </c>
      <c r="U21" s="69">
        <v>700</v>
      </c>
      <c r="V21" s="69">
        <v>700</v>
      </c>
      <c r="W21" s="69">
        <v>700</v>
      </c>
      <c r="X21" s="69">
        <v>700</v>
      </c>
      <c r="Y21" s="69">
        <v>700</v>
      </c>
      <c r="Z21" s="31"/>
      <c r="AA21" s="31"/>
      <c r="AB21" s="31"/>
      <c r="AC21" s="31"/>
      <c r="AD21" s="31"/>
      <c r="AE21" s="31"/>
    </row>
    <row r="22" spans="1:31" x14ac:dyDescent="0.25">
      <c r="A22" s="31"/>
      <c r="B22" s="31"/>
      <c r="C22" s="32"/>
      <c r="D22" s="32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1"/>
      <c r="AA22" s="31"/>
      <c r="AB22" s="31"/>
      <c r="AC22" s="31"/>
      <c r="AD22" s="31"/>
      <c r="AE22" s="31"/>
    </row>
    <row r="23" spans="1:31" x14ac:dyDescent="0.25">
      <c r="A23" s="31"/>
      <c r="B23" s="31"/>
      <c r="C23" s="72" t="s">
        <v>173</v>
      </c>
      <c r="D23" s="73" t="s">
        <v>174</v>
      </c>
      <c r="E23" s="74"/>
      <c r="F23" s="74"/>
      <c r="G23" s="74"/>
      <c r="H23" s="74"/>
      <c r="I23" s="73"/>
      <c r="J23" s="72" t="s">
        <v>173</v>
      </c>
      <c r="K23" s="73" t="s">
        <v>178</v>
      </c>
      <c r="L23" s="74"/>
      <c r="M23" s="74"/>
      <c r="N23" s="74"/>
      <c r="O23" s="74"/>
      <c r="P23" s="74"/>
      <c r="Q23" s="74"/>
      <c r="R23" s="74"/>
      <c r="S23" s="74" t="s">
        <v>173</v>
      </c>
      <c r="T23" s="74" t="s">
        <v>130</v>
      </c>
      <c r="U23" s="74"/>
      <c r="V23" s="74"/>
      <c r="W23" s="74"/>
      <c r="X23" s="74"/>
      <c r="Y23" s="74"/>
      <c r="Z23" s="74"/>
      <c r="AA23" s="74"/>
      <c r="AB23" s="74"/>
      <c r="AC23" s="31"/>
      <c r="AD23" s="31"/>
      <c r="AE23" s="31"/>
    </row>
    <row r="24" spans="1:31" x14ac:dyDescent="0.25">
      <c r="A24" s="23" t="s">
        <v>177</v>
      </c>
      <c r="B24" s="26" t="s">
        <v>175</v>
      </c>
      <c r="C24" s="32"/>
      <c r="D24" s="32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1"/>
      <c r="AA24" s="31"/>
      <c r="AB24" s="31"/>
      <c r="AC24" s="31"/>
      <c r="AD24" s="31"/>
      <c r="AE24" s="31"/>
    </row>
    <row r="25" spans="1:31" x14ac:dyDescent="0.25">
      <c r="A25" t="s">
        <v>112</v>
      </c>
      <c r="B25" s="21">
        <v>1000</v>
      </c>
      <c r="C25" s="32"/>
      <c r="D25" s="32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1"/>
      <c r="AA25" s="31"/>
      <c r="AB25" s="31"/>
      <c r="AC25" s="31"/>
      <c r="AD25" s="31"/>
      <c r="AE25" s="31"/>
    </row>
    <row r="26" spans="1:31" x14ac:dyDescent="0.25">
      <c r="A26" t="s">
        <v>110</v>
      </c>
      <c r="B26" s="21">
        <v>1000</v>
      </c>
      <c r="C26" s="32"/>
      <c r="D26" s="32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1"/>
      <c r="AA26" s="31"/>
      <c r="AB26" s="31"/>
      <c r="AC26" s="31"/>
      <c r="AD26" s="31"/>
      <c r="AE26" s="31"/>
    </row>
    <row r="27" spans="1:31" x14ac:dyDescent="0.25">
      <c r="A27" t="s">
        <v>111</v>
      </c>
      <c r="B27" s="21">
        <v>-1000</v>
      </c>
      <c r="C27" s="32"/>
      <c r="D27" s="32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1"/>
      <c r="AA27" s="31"/>
      <c r="AB27" s="31"/>
      <c r="AC27" s="31"/>
      <c r="AD27" s="31"/>
      <c r="AE27" s="31"/>
    </row>
    <row r="28" spans="1:31" x14ac:dyDescent="0.25">
      <c r="A28" t="s">
        <v>97</v>
      </c>
      <c r="B28" s="21">
        <v>1000</v>
      </c>
      <c r="C28" s="32"/>
      <c r="D28" s="32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1"/>
      <c r="AA28" s="31"/>
      <c r="AB28" s="31"/>
      <c r="AC28" s="31"/>
      <c r="AD28" s="31"/>
      <c r="AE28" s="31"/>
    </row>
    <row r="29" spans="1:31" x14ac:dyDescent="0.25">
      <c r="A29" t="s">
        <v>95</v>
      </c>
      <c r="B29" s="21">
        <v>1000</v>
      </c>
      <c r="C29" s="32"/>
      <c r="D29" s="32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1"/>
      <c r="AA29" s="31"/>
      <c r="AB29" s="31"/>
      <c r="AC29" s="31"/>
      <c r="AD29" s="31"/>
      <c r="AE29" s="31"/>
    </row>
    <row r="30" spans="1:31" x14ac:dyDescent="0.25">
      <c r="A30" t="s">
        <v>21</v>
      </c>
      <c r="B30" s="21">
        <v>1000</v>
      </c>
      <c r="C30" s="32"/>
      <c r="D30" s="32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1"/>
      <c r="AA30" s="31"/>
      <c r="AB30" s="31"/>
      <c r="AC30" s="31"/>
      <c r="AD30" s="31"/>
      <c r="AE30" s="31"/>
    </row>
    <row r="31" spans="1:31" x14ac:dyDescent="0.25">
      <c r="A31" t="s">
        <v>104</v>
      </c>
      <c r="B31" s="21">
        <v>1</v>
      </c>
      <c r="C31" s="32"/>
      <c r="D31" s="32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1"/>
      <c r="AA31" s="31"/>
      <c r="AB31" s="31"/>
      <c r="AC31" s="31"/>
      <c r="AD31" s="31"/>
      <c r="AE31" s="31"/>
    </row>
    <row r="32" spans="1:31" x14ac:dyDescent="0.25">
      <c r="A32" t="s">
        <v>105</v>
      </c>
      <c r="B32" s="21">
        <v>1</v>
      </c>
      <c r="C32" s="32"/>
      <c r="D32" s="32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1"/>
      <c r="AA32" s="31"/>
      <c r="AB32" s="31"/>
      <c r="AC32" s="31"/>
      <c r="AD32" s="31"/>
      <c r="AE32" s="31"/>
    </row>
    <row r="33" spans="1:31" x14ac:dyDescent="0.25">
      <c r="A33" t="s">
        <v>43</v>
      </c>
      <c r="B33" s="21">
        <v>-1</v>
      </c>
      <c r="C33" s="32"/>
      <c r="D33" s="32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1"/>
      <c r="AA33" s="31"/>
      <c r="AB33" s="31"/>
      <c r="AC33" s="31"/>
      <c r="AD33" s="31"/>
      <c r="AE33" s="31"/>
    </row>
    <row r="34" spans="1:31" x14ac:dyDescent="0.25">
      <c r="A34" t="s">
        <v>101</v>
      </c>
      <c r="B34" s="21">
        <v>1</v>
      </c>
      <c r="C34" s="32"/>
      <c r="D34" s="32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1"/>
      <c r="AA34" s="31"/>
      <c r="AB34" s="31"/>
      <c r="AC34" s="31"/>
      <c r="AD34" s="31"/>
      <c r="AE34" s="31"/>
    </row>
    <row r="35" spans="1:31" x14ac:dyDescent="0.25">
      <c r="A35" t="s">
        <v>124</v>
      </c>
      <c r="B35" s="21">
        <v>1</v>
      </c>
      <c r="C35" s="32"/>
      <c r="D35" s="32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1"/>
      <c r="AA35" s="31"/>
      <c r="AB35" s="31"/>
      <c r="AC35" s="31"/>
      <c r="AD35" s="31"/>
      <c r="AE35" s="31"/>
    </row>
    <row r="36" spans="1:31" x14ac:dyDescent="0.25">
      <c r="A36" t="s">
        <v>135</v>
      </c>
      <c r="B36" s="21">
        <v>1</v>
      </c>
      <c r="C36" s="32"/>
      <c r="D36" s="32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1"/>
      <c r="AA36" s="31"/>
      <c r="AB36" s="31"/>
      <c r="AC36" s="31"/>
      <c r="AD36" s="31"/>
      <c r="AE36" s="31"/>
    </row>
    <row r="37" spans="1:31" x14ac:dyDescent="0.25">
      <c r="A37" t="s">
        <v>133</v>
      </c>
      <c r="B37" s="21">
        <v>1</v>
      </c>
      <c r="C37" s="32"/>
      <c r="D37" s="32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1"/>
      <c r="AA37" s="31"/>
      <c r="AB37" s="31"/>
      <c r="AC37" s="31"/>
      <c r="AD37" s="31"/>
      <c r="AE37" s="31"/>
    </row>
    <row r="38" spans="1:31" x14ac:dyDescent="0.25">
      <c r="A38" t="s">
        <v>93</v>
      </c>
      <c r="B38" s="21">
        <v>1</v>
      </c>
      <c r="C38" s="32"/>
      <c r="D38" s="32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1"/>
      <c r="AA38" s="31"/>
      <c r="AB38" s="31"/>
      <c r="AC38" s="31"/>
      <c r="AD38" s="31"/>
      <c r="AE38" s="31"/>
    </row>
    <row r="39" spans="1:31" x14ac:dyDescent="0.25">
      <c r="A39" t="s">
        <v>92</v>
      </c>
      <c r="B39" s="21">
        <v>1</v>
      </c>
      <c r="C39" s="32"/>
      <c r="D39" s="32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1"/>
      <c r="AA39" s="31"/>
      <c r="AB39" s="31"/>
      <c r="AC39" s="31"/>
      <c r="AD39" s="31"/>
      <c r="AE39" s="31"/>
    </row>
    <row r="40" spans="1:31" x14ac:dyDescent="0.25">
      <c r="A40" t="s">
        <v>137</v>
      </c>
      <c r="B40" s="21">
        <v>1</v>
      </c>
      <c r="C40" s="32"/>
      <c r="D40" s="32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1"/>
      <c r="AA40" s="31"/>
      <c r="AB40" s="31"/>
      <c r="AC40" s="31"/>
      <c r="AD40" s="31"/>
      <c r="AE40" s="31"/>
    </row>
    <row r="41" spans="1:31" x14ac:dyDescent="0.25">
      <c r="A41" t="s">
        <v>136</v>
      </c>
      <c r="B41" s="21">
        <v>1</v>
      </c>
      <c r="C41" s="32"/>
      <c r="D41" s="32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1"/>
      <c r="AA41" s="31"/>
      <c r="AB41" s="31"/>
      <c r="AC41" s="31"/>
      <c r="AD41" s="31"/>
      <c r="AE41" s="31"/>
    </row>
    <row r="42" spans="1:31" x14ac:dyDescent="0.25">
      <c r="A42" t="s">
        <v>183</v>
      </c>
      <c r="B42" s="21">
        <v>1</v>
      </c>
      <c r="C42" s="72"/>
      <c r="D42" s="75" t="s">
        <v>173</v>
      </c>
      <c r="E42" s="74" t="s">
        <v>186</v>
      </c>
      <c r="F42" s="74"/>
      <c r="G42" s="74"/>
      <c r="H42" s="74"/>
      <c r="I42" s="74"/>
      <c r="J42" s="74" t="s">
        <v>173</v>
      </c>
      <c r="K42" s="74" t="s">
        <v>138</v>
      </c>
      <c r="L42" s="74"/>
      <c r="M42" s="74"/>
      <c r="N42" s="74"/>
      <c r="O42" s="74"/>
      <c r="P42" s="74"/>
      <c r="Q42" s="74"/>
      <c r="R42" s="74"/>
      <c r="S42" s="74" t="s">
        <v>173</v>
      </c>
      <c r="T42" s="74" t="s">
        <v>139</v>
      </c>
      <c r="U42" s="74"/>
      <c r="V42" s="74"/>
      <c r="W42" s="74"/>
      <c r="X42" s="74"/>
      <c r="Y42" s="74"/>
      <c r="Z42" s="74"/>
      <c r="AA42" s="74"/>
      <c r="AB42" s="74"/>
      <c r="AC42" s="31"/>
      <c r="AD42" s="31"/>
      <c r="AE42" s="31"/>
    </row>
    <row r="43" spans="1:31" x14ac:dyDescent="0.25">
      <c r="A43" t="s">
        <v>182</v>
      </c>
      <c r="B43" s="21">
        <v>1</v>
      </c>
      <c r="C43" s="32"/>
      <c r="D43" s="32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1"/>
      <c r="AA43" s="31"/>
      <c r="AB43" s="31"/>
      <c r="AC43" s="31"/>
      <c r="AD43" s="31"/>
      <c r="AE43" s="31"/>
    </row>
    <row r="44" spans="1:31" x14ac:dyDescent="0.25">
      <c r="A44" t="s">
        <v>184</v>
      </c>
      <c r="B44" s="21">
        <v>1</v>
      </c>
      <c r="C44" s="32"/>
      <c r="D44" s="32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1"/>
      <c r="AA44" s="31"/>
      <c r="AB44" s="31"/>
      <c r="AC44" s="31"/>
      <c r="AD44" s="31"/>
      <c r="AE44" s="31"/>
    </row>
    <row r="45" spans="1:31" x14ac:dyDescent="0.25">
      <c r="A45" t="s">
        <v>185</v>
      </c>
      <c r="B45" s="71">
        <v>1</v>
      </c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</row>
    <row r="46" spans="1:31" x14ac:dyDescent="0.25">
      <c r="A46" t="s">
        <v>180</v>
      </c>
      <c r="B46" s="71">
        <v>1</v>
      </c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</row>
    <row r="47" spans="1:31" x14ac:dyDescent="0.25"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</row>
    <row r="48" spans="1:31" x14ac:dyDescent="0.25">
      <c r="A48" s="23" t="s">
        <v>172</v>
      </c>
      <c r="B48" s="24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</row>
    <row r="49" spans="1:31" x14ac:dyDescent="0.25">
      <c r="A49" s="19" t="s">
        <v>121</v>
      </c>
      <c r="B49" s="3" t="s">
        <v>175</v>
      </c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</row>
    <row r="50" spans="1:31" x14ac:dyDescent="0.25">
      <c r="A50" s="22" t="s">
        <v>97</v>
      </c>
      <c r="B50" s="21">
        <v>1000</v>
      </c>
      <c r="C50" s="31"/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</row>
    <row r="51" spans="1:31" x14ac:dyDescent="0.25">
      <c r="A51" s="22" t="s">
        <v>95</v>
      </c>
      <c r="B51" s="21">
        <v>1000</v>
      </c>
      <c r="C51" s="31"/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</row>
    <row r="52" spans="1:31" x14ac:dyDescent="0.25">
      <c r="A52" s="22"/>
      <c r="B52" s="21">
        <v>0</v>
      </c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</row>
    <row r="53" spans="1:31" x14ac:dyDescent="0.25">
      <c r="A53" s="22"/>
      <c r="B53" s="21">
        <v>0</v>
      </c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</row>
    <row r="54" spans="1:31" x14ac:dyDescent="0.25">
      <c r="A54" s="22"/>
      <c r="B54" s="21">
        <v>0</v>
      </c>
      <c r="C54" s="31"/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</row>
    <row r="55" spans="1:31" x14ac:dyDescent="0.25">
      <c r="A55" s="22"/>
      <c r="B55" s="21">
        <v>0</v>
      </c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</row>
    <row r="56" spans="1:31" x14ac:dyDescent="0.25">
      <c r="A56" s="22"/>
      <c r="B56" s="21">
        <v>0</v>
      </c>
      <c r="C56" s="31"/>
      <c r="D56" s="31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</row>
    <row r="57" spans="1:31" x14ac:dyDescent="0.25">
      <c r="A57" s="22"/>
      <c r="B57" s="21">
        <v>0</v>
      </c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</row>
    <row r="58" spans="1:31" x14ac:dyDescent="0.25">
      <c r="A58" s="22"/>
      <c r="B58" s="21">
        <v>0</v>
      </c>
      <c r="C58" s="31"/>
      <c r="D58" s="31"/>
      <c r="E58" s="31"/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</row>
    <row r="59" spans="1:31" x14ac:dyDescent="0.25">
      <c r="A59" s="22"/>
      <c r="B59" s="21">
        <v>0</v>
      </c>
      <c r="C59" s="31"/>
      <c r="D59" s="31"/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</row>
    <row r="60" spans="1:31" x14ac:dyDescent="0.25">
      <c r="C60" s="76"/>
      <c r="D60" s="76"/>
      <c r="E60" s="76"/>
      <c r="F60" s="76"/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6"/>
      <c r="Z60" s="76"/>
      <c r="AA60" s="76"/>
      <c r="AB60" s="76"/>
      <c r="AC60" s="31"/>
      <c r="AD60" s="31"/>
      <c r="AE60" s="31"/>
    </row>
    <row r="61" spans="1:31" x14ac:dyDescent="0.25">
      <c r="A61" s="29" t="s">
        <v>171</v>
      </c>
      <c r="C61" s="31"/>
      <c r="D61" s="31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</row>
    <row r="62" spans="1:31" x14ac:dyDescent="0.25">
      <c r="A62" s="30" t="str" cm="1">
        <f t="array" ref="A62:A100">_xlfn.LET(_xlpm.ran,C103:C150,_xlfn._xlws.FILTER(_xlpm.ran,(LEN(_xlpm.ran)&gt;0)*(IFERROR(FIND(":",_xlpm.ran)=0,TRUE))))</f>
        <v>Indtægter total</v>
      </c>
      <c r="C62" s="23" t="s">
        <v>177</v>
      </c>
      <c r="D62" s="23" t="s">
        <v>175</v>
      </c>
      <c r="E62" s="26" t="str">
        <f>Scenarier!$E$6</f>
        <v>Nominelt</v>
      </c>
      <c r="F62" s="26" t="str">
        <f>Scenarier!$F$6</f>
        <v>sc1</v>
      </c>
      <c r="G62" s="26" t="str">
        <f>Scenarier!$G$6</f>
        <v>sc2</v>
      </c>
      <c r="H62" s="26" t="str">
        <f>Scenarier!$H$6</f>
        <v>sc3</v>
      </c>
      <c r="I62" s="26" t="str">
        <f>Scenarier!$I$6</f>
        <v>sc4</v>
      </c>
      <c r="J62" s="26" t="str">
        <f>Scenarier!$J$6</f>
        <v>sc5</v>
      </c>
      <c r="K62" s="26" t="str">
        <f>Scenarier!$K$6</f>
        <v>sc6</v>
      </c>
      <c r="L62" s="26" t="str">
        <f>Scenarier!$L$6</f>
        <v>sc7</v>
      </c>
      <c r="M62" s="26" t="str">
        <f>Scenarier!$M$6</f>
        <v>sc8</v>
      </c>
      <c r="N62" s="26" t="str">
        <f>Scenarier!$N$6</f>
        <v>sc9</v>
      </c>
      <c r="O62" s="26" t="str">
        <f>Scenarier!$O$6</f>
        <v>sc10</v>
      </c>
      <c r="P62" s="26" t="str">
        <f>Scenarier!$P$6</f>
        <v>sc11</v>
      </c>
      <c r="Q62" s="26" t="str">
        <f>Scenarier!$Q$6</f>
        <v>sc12</v>
      </c>
      <c r="R62" s="26" t="str">
        <f>Scenarier!$R$6</f>
        <v>sc13</v>
      </c>
      <c r="S62" s="26" t="str">
        <f>Scenarier!$S$6</f>
        <v>sc14</v>
      </c>
      <c r="T62" s="26" t="str">
        <f>Scenarier!$T$6</f>
        <v>sc15</v>
      </c>
      <c r="U62" s="26" t="str">
        <f>Scenarier!$U$6</f>
        <v>sc16</v>
      </c>
      <c r="V62" s="26" t="str">
        <f>Scenarier!$V$6</f>
        <v>sc17</v>
      </c>
      <c r="W62" s="26" t="str">
        <f>Scenarier!$W$6</f>
        <v>sc18</v>
      </c>
      <c r="X62" s="26" t="str">
        <f>Scenarier!$X$6</f>
        <v>sc19</v>
      </c>
      <c r="Y62" s="26" t="str">
        <f>Scenarier!$Y$6</f>
        <v>sc20</v>
      </c>
    </row>
    <row r="63" spans="1:31" x14ac:dyDescent="0.25">
      <c r="A63" t="str">
        <v>Omkostninger total</v>
      </c>
      <c r="B63" s="28"/>
      <c r="C63" t="str">
        <f t="shared" ref="C63:C83" si="0">IF(ISBLANK(A25),"",A25)</f>
        <v>Dækningsbidrag</v>
      </c>
      <c r="D63" s="21">
        <f t="shared" ref="D63:D83" si="1">B25</f>
        <v>1000</v>
      </c>
      <c r="E63" s="11" cm="1">
        <f t="array" ref="E63">IFERROR(IF($D63 &lt;&gt;0,ResultValue($C63,COLUMN(F63)-COLUMN($C63))/$D63,""),"")</f>
        <v>7693.9692375006771</v>
      </c>
      <c r="F63" s="11" cm="1">
        <f t="array" ref="F63">IFERROR(IF($D63 &lt;&gt;0,ResultValue($C63,COLUMN(G63)-COLUMN($C63))/$D63,""),"")</f>
        <v>7693.9692375006771</v>
      </c>
      <c r="G63" s="11" cm="1">
        <f t="array" ref="G63">IFERROR(IF($D63 &lt;&gt;0,ResultValue($C63,COLUMN(H63)-COLUMN($C63))/$D63,""),"")</f>
        <v>7693.9692375006771</v>
      </c>
      <c r="H63" s="11" cm="1">
        <f t="array" ref="H63">IFERROR(IF($D63 &lt;&gt;0,ResultValue($C63,COLUMN(I63)-COLUMN($C63))/$D63,""),"")</f>
        <v>7693.9692375006771</v>
      </c>
      <c r="I63" s="11" cm="1">
        <f t="array" ref="I63">IFERROR(IF($D63 &lt;&gt;0,ResultValue($C63,COLUMN(J63)-COLUMN($C63))/$D63,""),"")</f>
        <v>7693.9692375006771</v>
      </c>
      <c r="J63" s="11" cm="1">
        <f t="array" ref="J63">IFERROR(IF($D63 &lt;&gt;0,ResultValue($C63,COLUMN(K63)-COLUMN($C63))/$D63,""),"")</f>
        <v>7693.9692375006771</v>
      </c>
      <c r="K63" s="11" cm="1">
        <f t="array" ref="K63">IFERROR(IF($D63 &lt;&gt;0,ResultValue($C63,COLUMN(L63)-COLUMN($C63))/$D63,""),"")</f>
        <v>7693.9692375006771</v>
      </c>
      <c r="L63" s="11" cm="1">
        <f t="array" ref="L63">IFERROR(IF($D63 &lt;&gt;0,ResultValue($C63,COLUMN(M63)-COLUMN($C63))/$D63,""),"")</f>
        <v>7693.9692375006771</v>
      </c>
      <c r="M63" s="11" cm="1">
        <f t="array" ref="M63">IFERROR(IF($D63 &lt;&gt;0,ResultValue($C63,COLUMN(N63)-COLUMN($C63))/$D63,""),"")</f>
        <v>7693.9692375006771</v>
      </c>
      <c r="N63" s="11" cm="1">
        <f t="array" ref="N63">IFERROR(IF($D63 &lt;&gt;0,ResultValue($C63,COLUMN(O63)-COLUMN($C63))/$D63,""),"")</f>
        <v>7693.9692375006771</v>
      </c>
      <c r="O63" s="11" cm="1">
        <f t="array" ref="O63">IFERROR(IF($D63 &lt;&gt;0,ResultValue($C63,COLUMN(P63)-COLUMN($C63))/$D63,""),"")</f>
        <v>7693.9692375006771</v>
      </c>
      <c r="P63" s="11" cm="1">
        <f t="array" ref="P63">IFERROR(IF($D63 &lt;&gt;0,ResultValue($C63,COLUMN(Q63)-COLUMN($C63))/$D63,""),"")</f>
        <v>7693.9692375006771</v>
      </c>
      <c r="Q63" s="11" cm="1">
        <f t="array" ref="Q63">IFERROR(IF($D63 &lt;&gt;0,ResultValue($C63,COLUMN(R63)-COLUMN($C63))/$D63,""),"")</f>
        <v>7693.9692375006771</v>
      </c>
      <c r="R63" s="11" cm="1">
        <f t="array" ref="R63">IFERROR(IF($D63 &lt;&gt;0,ResultValue($C63,COLUMN(S63)-COLUMN($C63))/$D63,""),"")</f>
        <v>0</v>
      </c>
      <c r="S63" s="11" cm="1">
        <f t="array" ref="S63">IFERROR(IF($D63 &lt;&gt;0,ResultValue($C63,COLUMN(T63)-COLUMN($C63))/$D63,""),"")</f>
        <v>0</v>
      </c>
      <c r="T63" s="11" cm="1">
        <f t="array" ref="T63">IFERROR(IF($D63 &lt;&gt;0,ResultValue($C63,COLUMN(U63)-COLUMN($C63))/$D63,""),"")</f>
        <v>0</v>
      </c>
      <c r="U63" s="11" cm="1">
        <f t="array" ref="U63">IFERROR(IF($D63 &lt;&gt;0,ResultValue($C63,COLUMN(V63)-COLUMN($C63))/$D63,""),"")</f>
        <v>0</v>
      </c>
      <c r="V63" s="11" cm="1">
        <f t="array" ref="V63">IFERROR(IF($D63 &lt;&gt;0,ResultValue($C63,COLUMN(W63)-COLUMN($C63))/$D63,""),"")</f>
        <v>0</v>
      </c>
      <c r="W63" s="11" cm="1">
        <f t="array" ref="W63">IFERROR(IF($D63 &lt;&gt;0,ResultValue($C63,COLUMN(X63)-COLUMN($C63))/$D63,""),"")</f>
        <v>0</v>
      </c>
      <c r="X63" s="11" cm="1">
        <f t="array" ref="X63">IFERROR(IF($D63 &lt;&gt;0,ResultValue($C63,COLUMN(Y63)-COLUMN($C63))/$D63,""),"")</f>
        <v>0</v>
      </c>
      <c r="Y63" s="11" cm="1">
        <f t="array" ref="Y63">IFERROR(IF($D63 &lt;&gt;0,ResultValue($C63,COLUMN(Z63)-COLUMN($C63))/$D63,""),"")</f>
        <v>0</v>
      </c>
    </row>
    <row r="64" spans="1:31" x14ac:dyDescent="0.25">
      <c r="A64" t="str">
        <v>Dækningsbidrag</v>
      </c>
      <c r="B64" s="28"/>
      <c r="C64" t="str">
        <f t="shared" si="0"/>
        <v>Indtægter total</v>
      </c>
      <c r="D64" s="21">
        <f t="shared" si="1"/>
        <v>1000</v>
      </c>
      <c r="E64" s="11" cm="1">
        <f t="array" ref="E64">IFERROR(IF($D64 &lt;&gt;0,ResultValue($C64,COLUMN(F64)-COLUMN($C64))/$D64,""),"")</f>
        <v>16271.220678117596</v>
      </c>
      <c r="F64" s="11" cm="1">
        <f t="array" ref="F64">IFERROR(IF($D64 &lt;&gt;0,ResultValue($C64,COLUMN(G64)-COLUMN($C64))/$D64,""),"")</f>
        <v>16271.220678117596</v>
      </c>
      <c r="G64" s="11" cm="1">
        <f t="array" ref="G64">IFERROR(IF($D64 &lt;&gt;0,ResultValue($C64,COLUMN(H64)-COLUMN($C64))/$D64,""),"")</f>
        <v>16271.220678117596</v>
      </c>
      <c r="H64" s="11" cm="1">
        <f t="array" ref="H64">IFERROR(IF($D64 &lt;&gt;0,ResultValue($C64,COLUMN(I64)-COLUMN($C64))/$D64,""),"")</f>
        <v>16271.220678117596</v>
      </c>
      <c r="I64" s="11" cm="1">
        <f t="array" ref="I64">IFERROR(IF($D64 &lt;&gt;0,ResultValue($C64,COLUMN(J64)-COLUMN($C64))/$D64,""),"")</f>
        <v>16271.220678117596</v>
      </c>
      <c r="J64" s="11" cm="1">
        <f t="array" ref="J64">IFERROR(IF($D64 &lt;&gt;0,ResultValue($C64,COLUMN(K64)-COLUMN($C64))/$D64,""),"")</f>
        <v>16271.220678117596</v>
      </c>
      <c r="K64" s="11" cm="1">
        <f t="array" ref="K64">IFERROR(IF($D64 &lt;&gt;0,ResultValue($C64,COLUMN(L64)-COLUMN($C64))/$D64,""),"")</f>
        <v>16271.220678117596</v>
      </c>
      <c r="L64" s="11" cm="1">
        <f t="array" ref="L64">IFERROR(IF($D64 &lt;&gt;0,ResultValue($C64,COLUMN(M64)-COLUMN($C64))/$D64,""),"")</f>
        <v>16271.220678117596</v>
      </c>
      <c r="M64" s="11" cm="1">
        <f t="array" ref="M64">IFERROR(IF($D64 &lt;&gt;0,ResultValue($C64,COLUMN(N64)-COLUMN($C64))/$D64,""),"")</f>
        <v>16271.220678117596</v>
      </c>
      <c r="N64" s="11" cm="1">
        <f t="array" ref="N64">IFERROR(IF($D64 &lt;&gt;0,ResultValue($C64,COLUMN(O64)-COLUMN($C64))/$D64,""),"")</f>
        <v>16271.220678117596</v>
      </c>
      <c r="O64" s="11" cm="1">
        <f t="array" ref="O64">IFERROR(IF($D64 &lt;&gt;0,ResultValue($C64,COLUMN(P64)-COLUMN($C64))/$D64,""),"")</f>
        <v>16271.220678117596</v>
      </c>
      <c r="P64" s="11" cm="1">
        <f t="array" ref="P64">IFERROR(IF($D64 &lt;&gt;0,ResultValue($C64,COLUMN(Q64)-COLUMN($C64))/$D64,""),"")</f>
        <v>16271.220678117596</v>
      </c>
      <c r="Q64" s="11" cm="1">
        <f t="array" ref="Q64">IFERROR(IF($D64 &lt;&gt;0,ResultValue($C64,COLUMN(R64)-COLUMN($C64))/$D64,""),"")</f>
        <v>16271.220678117596</v>
      </c>
      <c r="R64" s="11" cm="1">
        <f t="array" ref="R64">IFERROR(IF($D64 &lt;&gt;0,ResultValue($C64,COLUMN(S64)-COLUMN($C64))/$D64,""),"")</f>
        <v>0</v>
      </c>
      <c r="S64" s="11" cm="1">
        <f t="array" ref="S64">IFERROR(IF($D64 &lt;&gt;0,ResultValue($C64,COLUMN(T64)-COLUMN($C64))/$D64,""),"")</f>
        <v>0</v>
      </c>
      <c r="T64" s="11" cm="1">
        <f t="array" ref="T64">IFERROR(IF($D64 &lt;&gt;0,ResultValue($C64,COLUMN(U64)-COLUMN($C64))/$D64,""),"")</f>
        <v>0</v>
      </c>
      <c r="U64" s="11" cm="1">
        <f t="array" ref="U64">IFERROR(IF($D64 &lt;&gt;0,ResultValue($C64,COLUMN(V64)-COLUMN($C64))/$D64,""),"")</f>
        <v>0</v>
      </c>
      <c r="V64" s="11" cm="1">
        <f t="array" ref="V64">IFERROR(IF($D64 &lt;&gt;0,ResultValue($C64,COLUMN(W64)-COLUMN($C64))/$D64,""),"")</f>
        <v>0</v>
      </c>
      <c r="W64" s="11" cm="1">
        <f t="array" ref="W64">IFERROR(IF($D64 &lt;&gt;0,ResultValue($C64,COLUMN(X64)-COLUMN($C64))/$D64,""),"")</f>
        <v>0</v>
      </c>
      <c r="X64" s="11" cm="1">
        <f t="array" ref="X64">IFERROR(IF($D64 &lt;&gt;0,ResultValue($C64,COLUMN(Y64)-COLUMN($C64))/$D64,""),"")</f>
        <v>0</v>
      </c>
      <c r="Y64" s="11" cm="1">
        <f t="array" ref="Y64">IFERROR(IF($D64 &lt;&gt;0,ResultValue($C64,COLUMN(Z64)-COLUMN($C64))/$D64,""),"")</f>
        <v>0</v>
      </c>
    </row>
    <row r="65" spans="1:25" x14ac:dyDescent="0.25">
      <c r="A65" t="str">
        <v>Varmesalg</v>
      </c>
      <c r="B65" s="28"/>
      <c r="C65" t="str">
        <f t="shared" si="0"/>
        <v>Omkostninger total</v>
      </c>
      <c r="D65" s="21">
        <f t="shared" si="1"/>
        <v>-1000</v>
      </c>
      <c r="E65" s="11" cm="1">
        <f t="array" ref="E65">IFERROR(IF($D65 &lt;&gt;0,ResultValue($C65,COLUMN(F65)-COLUMN($C65))/$D65,""),"")</f>
        <v>-8577.2514406169194</v>
      </c>
      <c r="F65" s="11" cm="1">
        <f t="array" ref="F65">IFERROR(IF($D65 &lt;&gt;0,ResultValue($C65,COLUMN(G65)-COLUMN($C65))/$D65,""),"")</f>
        <v>-8577.2514406169194</v>
      </c>
      <c r="G65" s="11" cm="1">
        <f t="array" ref="G65">IFERROR(IF($D65 &lt;&gt;0,ResultValue($C65,COLUMN(H65)-COLUMN($C65))/$D65,""),"")</f>
        <v>-8577.2514406169194</v>
      </c>
      <c r="H65" s="11" cm="1">
        <f t="array" ref="H65">IFERROR(IF($D65 &lt;&gt;0,ResultValue($C65,COLUMN(I65)-COLUMN($C65))/$D65,""),"")</f>
        <v>-8577.2514406169194</v>
      </c>
      <c r="I65" s="11" cm="1">
        <f t="array" ref="I65">IFERROR(IF($D65 &lt;&gt;0,ResultValue($C65,COLUMN(J65)-COLUMN($C65))/$D65,""),"")</f>
        <v>-8577.2514406169194</v>
      </c>
      <c r="J65" s="11" cm="1">
        <f t="array" ref="J65">IFERROR(IF($D65 &lt;&gt;0,ResultValue($C65,COLUMN(K65)-COLUMN($C65))/$D65,""),"")</f>
        <v>-8577.2514406169194</v>
      </c>
      <c r="K65" s="11" cm="1">
        <f t="array" ref="K65">IFERROR(IF($D65 &lt;&gt;0,ResultValue($C65,COLUMN(L65)-COLUMN($C65))/$D65,""),"")</f>
        <v>-8577.2514406169194</v>
      </c>
      <c r="L65" s="11" cm="1">
        <f t="array" ref="L65">IFERROR(IF($D65 &lt;&gt;0,ResultValue($C65,COLUMN(M65)-COLUMN($C65))/$D65,""),"")</f>
        <v>-8577.2514406169194</v>
      </c>
      <c r="M65" s="11" cm="1">
        <f t="array" ref="M65">IFERROR(IF($D65 &lt;&gt;0,ResultValue($C65,COLUMN(N65)-COLUMN($C65))/$D65,""),"")</f>
        <v>-8577.2514406169194</v>
      </c>
      <c r="N65" s="11" cm="1">
        <f t="array" ref="N65">IFERROR(IF($D65 &lt;&gt;0,ResultValue($C65,COLUMN(O65)-COLUMN($C65))/$D65,""),"")</f>
        <v>-8577.2514406169194</v>
      </c>
      <c r="O65" s="11" cm="1">
        <f t="array" ref="O65">IFERROR(IF($D65 &lt;&gt;0,ResultValue($C65,COLUMN(P65)-COLUMN($C65))/$D65,""),"")</f>
        <v>-8577.2514406169194</v>
      </c>
      <c r="P65" s="11" cm="1">
        <f t="array" ref="P65">IFERROR(IF($D65 &lt;&gt;0,ResultValue($C65,COLUMN(Q65)-COLUMN($C65))/$D65,""),"")</f>
        <v>-8577.2514406169194</v>
      </c>
      <c r="Q65" s="11" cm="1">
        <f t="array" ref="Q65">IFERROR(IF($D65 &lt;&gt;0,ResultValue($C65,COLUMN(R65)-COLUMN($C65))/$D65,""),"")</f>
        <v>-8577.2514406169194</v>
      </c>
      <c r="R65" s="11" cm="1">
        <f t="array" ref="R65">IFERROR(IF($D65 &lt;&gt;0,ResultValue($C65,COLUMN(S65)-COLUMN($C65))/$D65,""),"")</f>
        <v>0</v>
      </c>
      <c r="S65" s="11" cm="1">
        <f t="array" ref="S65">IFERROR(IF($D65 &lt;&gt;0,ResultValue($C65,COLUMN(T65)-COLUMN($C65))/$D65,""),"")</f>
        <v>0</v>
      </c>
      <c r="T65" s="11" cm="1">
        <f t="array" ref="T65">IFERROR(IF($D65 &lt;&gt;0,ResultValue($C65,COLUMN(U65)-COLUMN($C65))/$D65,""),"")</f>
        <v>0</v>
      </c>
      <c r="U65" s="11" cm="1">
        <f t="array" ref="U65">IFERROR(IF($D65 &lt;&gt;0,ResultValue($C65,COLUMN(V65)-COLUMN($C65))/$D65,""),"")</f>
        <v>0</v>
      </c>
      <c r="V65" s="11" cm="1">
        <f t="array" ref="V65">IFERROR(IF($D65 &lt;&gt;0,ResultValue($C65,COLUMN(W65)-COLUMN($C65))/$D65,""),"")</f>
        <v>0</v>
      </c>
      <c r="W65" s="11" cm="1">
        <f t="array" ref="W65">IFERROR(IF($D65 &lt;&gt;0,ResultValue($C65,COLUMN(X65)-COLUMN($C65))/$D65,""),"")</f>
        <v>0</v>
      </c>
      <c r="X65" s="11" cm="1">
        <f t="array" ref="X65">IFERROR(IF($D65 &lt;&gt;0,ResultValue($C65,COLUMN(Y65)-COLUMN($C65))/$D65,""),"")</f>
        <v>0</v>
      </c>
      <c r="Y65" s="11" cm="1">
        <f t="array" ref="Y65">IFERROR(IF($D65 &lt;&gt;0,ResultValue($C65,COLUMN(Z65)-COLUMN($C65))/$D65,""),"")</f>
        <v>0</v>
      </c>
    </row>
    <row r="66" spans="1:25" x14ac:dyDescent="0.25">
      <c r="A66" t="str">
        <v>Elsalg</v>
      </c>
      <c r="B66" s="28"/>
      <c r="C66" t="str">
        <f t="shared" si="0"/>
        <v>RGK-rabat</v>
      </c>
      <c r="D66" s="21">
        <f t="shared" si="1"/>
        <v>1000</v>
      </c>
      <c r="E66" s="11" cm="1">
        <f t="array" ref="E66">IFERROR(IF($D66 &lt;&gt;0,ResultValue($C66,COLUMN(F66)-COLUMN($C66))/$D66,""),"")</f>
        <v>200.59380181097563</v>
      </c>
      <c r="F66" s="11" cm="1">
        <f t="array" ref="F66">IFERROR(IF($D66 &lt;&gt;0,ResultValue($C66,COLUMN(G66)-COLUMN($C66))/$D66,""),"")</f>
        <v>200.59380181097563</v>
      </c>
      <c r="G66" s="11" cm="1">
        <f t="array" ref="G66">IFERROR(IF($D66 &lt;&gt;0,ResultValue($C66,COLUMN(H66)-COLUMN($C66))/$D66,""),"")</f>
        <v>200.59380181097563</v>
      </c>
      <c r="H66" s="11" cm="1">
        <f t="array" ref="H66">IFERROR(IF($D66 &lt;&gt;0,ResultValue($C66,COLUMN(I66)-COLUMN($C66))/$D66,""),"")</f>
        <v>200.59380181097563</v>
      </c>
      <c r="I66" s="11" cm="1">
        <f t="array" ref="I66">IFERROR(IF($D66 &lt;&gt;0,ResultValue($C66,COLUMN(J66)-COLUMN($C66))/$D66,""),"")</f>
        <v>200.59380181097563</v>
      </c>
      <c r="J66" s="11" cm="1">
        <f t="array" ref="J66">IFERROR(IF($D66 &lt;&gt;0,ResultValue($C66,COLUMN(K66)-COLUMN($C66))/$D66,""),"")</f>
        <v>200.59380181097563</v>
      </c>
      <c r="K66" s="11" cm="1">
        <f t="array" ref="K66">IFERROR(IF($D66 &lt;&gt;0,ResultValue($C66,COLUMN(L66)-COLUMN($C66))/$D66,""),"")</f>
        <v>200.59380181097563</v>
      </c>
      <c r="L66" s="11" cm="1">
        <f t="array" ref="L66">IFERROR(IF($D66 &lt;&gt;0,ResultValue($C66,COLUMN(M66)-COLUMN($C66))/$D66,""),"")</f>
        <v>200.59380181097563</v>
      </c>
      <c r="M66" s="11" cm="1">
        <f t="array" ref="M66">IFERROR(IF($D66 &lt;&gt;0,ResultValue($C66,COLUMN(N66)-COLUMN($C66))/$D66,""),"")</f>
        <v>200.59380181097563</v>
      </c>
      <c r="N66" s="11" cm="1">
        <f t="array" ref="N66">IFERROR(IF($D66 &lt;&gt;0,ResultValue($C66,COLUMN(O66)-COLUMN($C66))/$D66,""),"")</f>
        <v>200.59380181097563</v>
      </c>
      <c r="O66" s="11" cm="1">
        <f t="array" ref="O66">IFERROR(IF($D66 &lt;&gt;0,ResultValue($C66,COLUMN(P66)-COLUMN($C66))/$D66,""),"")</f>
        <v>200.59380181097563</v>
      </c>
      <c r="P66" s="11" cm="1">
        <f t="array" ref="P66">IFERROR(IF($D66 &lt;&gt;0,ResultValue($C66,COLUMN(Q66)-COLUMN($C66))/$D66,""),"")</f>
        <v>200.59380181097563</v>
      </c>
      <c r="Q66" s="11" cm="1">
        <f t="array" ref="Q66">IFERROR(IF($D66 &lt;&gt;0,ResultValue($C66,COLUMN(R66)-COLUMN($C66))/$D66,""),"")</f>
        <v>200.59380181097563</v>
      </c>
      <c r="R66" s="11" cm="1">
        <f t="array" ref="R66">IFERROR(IF($D66 &lt;&gt;0,ResultValue($C66,COLUMN(S66)-COLUMN($C66))/$D66,""),"")</f>
        <v>0</v>
      </c>
      <c r="S66" s="11" cm="1">
        <f t="array" ref="S66">IFERROR(IF($D66 &lt;&gt;0,ResultValue($C66,COLUMN(T66)-COLUMN($C66))/$D66,""),"")</f>
        <v>0</v>
      </c>
      <c r="T66" s="11" cm="1">
        <f t="array" ref="T66">IFERROR(IF($D66 &lt;&gt;0,ResultValue($C66,COLUMN(U66)-COLUMN($C66))/$D66,""),"")</f>
        <v>0</v>
      </c>
      <c r="U66" s="11" cm="1">
        <f t="array" ref="U66">IFERROR(IF($D66 &lt;&gt;0,ResultValue($C66,COLUMN(V66)-COLUMN($C66))/$D66,""),"")</f>
        <v>0</v>
      </c>
      <c r="V66" s="11" cm="1">
        <f t="array" ref="V66">IFERROR(IF($D66 &lt;&gt;0,ResultValue($C66,COLUMN(W66)-COLUMN($C66))/$D66,""),"")</f>
        <v>0</v>
      </c>
      <c r="W66" s="11" cm="1">
        <f t="array" ref="W66">IFERROR(IF($D66 &lt;&gt;0,ResultValue($C66,COLUMN(X66)-COLUMN($C66))/$D66,""),"")</f>
        <v>0</v>
      </c>
      <c r="X66" s="11" cm="1">
        <f t="array" ref="X66">IFERROR(IF($D66 &lt;&gt;0,ResultValue($C66,COLUMN(Y66)-COLUMN($C66))/$D66,""),"")</f>
        <v>0</v>
      </c>
      <c r="Y66" s="11" cm="1">
        <f t="array" ref="Y66">IFERROR(IF($D66 &lt;&gt;0,ResultValue($C66,COLUMN(Z66)-COLUMN($C66))/$D66,""),"")</f>
        <v>0</v>
      </c>
    </row>
    <row r="67" spans="1:25" x14ac:dyDescent="0.25">
      <c r="A67" t="str">
        <v>RGK-rabat</v>
      </c>
      <c r="B67" s="28"/>
      <c r="C67" t="str">
        <f t="shared" si="0"/>
        <v>Modtagebetaling affald</v>
      </c>
      <c r="D67" s="21">
        <f t="shared" si="1"/>
        <v>1000</v>
      </c>
      <c r="E67" s="11" cm="1">
        <f t="array" ref="E67">IFERROR(IF($D67 &lt;&gt;0,ResultValue($C67,COLUMN(F67)-COLUMN($C67))/$D67,""),"")</f>
        <v>4659.2944250871069</v>
      </c>
      <c r="F67" s="11" cm="1">
        <f t="array" ref="F67">IFERROR(IF($D67 &lt;&gt;0,ResultValue($C67,COLUMN(G67)-COLUMN($C67))/$D67,""),"")</f>
        <v>4659.2944250871069</v>
      </c>
      <c r="G67" s="11" cm="1">
        <f t="array" ref="G67">IFERROR(IF($D67 &lt;&gt;0,ResultValue($C67,COLUMN(H67)-COLUMN($C67))/$D67,""),"")</f>
        <v>4659.2944250871069</v>
      </c>
      <c r="H67" s="11" cm="1">
        <f t="array" ref="H67">IFERROR(IF($D67 &lt;&gt;0,ResultValue($C67,COLUMN(I67)-COLUMN($C67))/$D67,""),"")</f>
        <v>4659.2944250871069</v>
      </c>
      <c r="I67" s="11" cm="1">
        <f t="array" ref="I67">IFERROR(IF($D67 &lt;&gt;0,ResultValue($C67,COLUMN(J67)-COLUMN($C67))/$D67,""),"")</f>
        <v>4659.2944250871069</v>
      </c>
      <c r="J67" s="11" cm="1">
        <f t="array" ref="J67">IFERROR(IF($D67 &lt;&gt;0,ResultValue($C67,COLUMN(K67)-COLUMN($C67))/$D67,""),"")</f>
        <v>4659.2944250871069</v>
      </c>
      <c r="K67" s="11" cm="1">
        <f t="array" ref="K67">IFERROR(IF($D67 &lt;&gt;0,ResultValue($C67,COLUMN(L67)-COLUMN($C67))/$D67,""),"")</f>
        <v>4659.2944250871069</v>
      </c>
      <c r="L67" s="11" cm="1">
        <f t="array" ref="L67">IFERROR(IF($D67 &lt;&gt;0,ResultValue($C67,COLUMN(M67)-COLUMN($C67))/$D67,""),"")</f>
        <v>4659.2944250871069</v>
      </c>
      <c r="M67" s="11" cm="1">
        <f t="array" ref="M67">IFERROR(IF($D67 &lt;&gt;0,ResultValue($C67,COLUMN(N67)-COLUMN($C67))/$D67,""),"")</f>
        <v>4659.2944250871069</v>
      </c>
      <c r="N67" s="11" cm="1">
        <f t="array" ref="N67">IFERROR(IF($D67 &lt;&gt;0,ResultValue($C67,COLUMN(O67)-COLUMN($C67))/$D67,""),"")</f>
        <v>4659.2944250871069</v>
      </c>
      <c r="O67" s="11" cm="1">
        <f t="array" ref="O67">IFERROR(IF($D67 &lt;&gt;0,ResultValue($C67,COLUMN(P67)-COLUMN($C67))/$D67,""),"")</f>
        <v>4659.2944250871069</v>
      </c>
      <c r="P67" s="11" cm="1">
        <f t="array" ref="P67">IFERROR(IF($D67 &lt;&gt;0,ResultValue($C67,COLUMN(Q67)-COLUMN($C67))/$D67,""),"")</f>
        <v>4659.2944250871069</v>
      </c>
      <c r="Q67" s="11" cm="1">
        <f t="array" ref="Q67">IFERROR(IF($D67 &lt;&gt;0,ResultValue($C67,COLUMN(R67)-COLUMN($C67))/$D67,""),"")</f>
        <v>4659.2944250871069</v>
      </c>
      <c r="R67" s="11" cm="1">
        <f t="array" ref="R67">IFERROR(IF($D67 &lt;&gt;0,ResultValue($C67,COLUMN(S67)-COLUMN($C67))/$D67,""),"")</f>
        <v>0</v>
      </c>
      <c r="S67" s="11" cm="1">
        <f t="array" ref="S67">IFERROR(IF($D67 &lt;&gt;0,ResultValue($C67,COLUMN(T67)-COLUMN($C67))/$D67,""),"")</f>
        <v>0</v>
      </c>
      <c r="T67" s="11" cm="1">
        <f t="array" ref="T67">IFERROR(IF($D67 &lt;&gt;0,ResultValue($C67,COLUMN(U67)-COLUMN($C67))/$D67,""),"")</f>
        <v>0</v>
      </c>
      <c r="U67" s="11" cm="1">
        <f t="array" ref="U67">IFERROR(IF($D67 &lt;&gt;0,ResultValue($C67,COLUMN(V67)-COLUMN($C67))/$D67,""),"")</f>
        <v>0</v>
      </c>
      <c r="V67" s="11" cm="1">
        <f t="array" ref="V67">IFERROR(IF($D67 &lt;&gt;0,ResultValue($C67,COLUMN(W67)-COLUMN($C67))/$D67,""),"")</f>
        <v>0</v>
      </c>
      <c r="W67" s="11" cm="1">
        <f t="array" ref="W67">IFERROR(IF($D67 &lt;&gt;0,ResultValue($C67,COLUMN(X67)-COLUMN($C67))/$D67,""),"")</f>
        <v>0</v>
      </c>
      <c r="X67" s="11" cm="1">
        <f t="array" ref="X67">IFERROR(IF($D67 &lt;&gt;0,ResultValue($C67,COLUMN(Y67)-COLUMN($C67))/$D67,""),"")</f>
        <v>0</v>
      </c>
      <c r="Y67" s="11" cm="1">
        <f t="array" ref="Y67">IFERROR(IF($D67 &lt;&gt;0,ResultValue($C67,COLUMN(Z67)-COLUMN($C67))/$D67,""),"")</f>
        <v>0</v>
      </c>
    </row>
    <row r="68" spans="1:25" x14ac:dyDescent="0.25">
      <c r="A68" t="str">
        <v>Modtagebetaling affald</v>
      </c>
      <c r="B68" s="28"/>
      <c r="C68" t="str">
        <f t="shared" si="0"/>
        <v>Varmesalg</v>
      </c>
      <c r="D68" s="21">
        <f t="shared" si="1"/>
        <v>1000</v>
      </c>
      <c r="E68" s="11" cm="1">
        <f t="array" ref="E68">IFERROR(IF($D68 &lt;&gt;0,ResultValue($C68,COLUMN(F68)-COLUMN($C68))/$D68,""),"")</f>
        <v>7464</v>
      </c>
      <c r="F68" s="11" cm="1">
        <f t="array" ref="F68">IFERROR(IF($D68 &lt;&gt;0,ResultValue($C68,COLUMN(G68)-COLUMN($C68))/$D68,""),"")</f>
        <v>7464</v>
      </c>
      <c r="G68" s="11" cm="1">
        <f t="array" ref="G68">IFERROR(IF($D68 &lt;&gt;0,ResultValue($C68,COLUMN(H68)-COLUMN($C68))/$D68,""),"")</f>
        <v>7464</v>
      </c>
      <c r="H68" s="11" cm="1">
        <f t="array" ref="H68">IFERROR(IF($D68 &lt;&gt;0,ResultValue($C68,COLUMN(I68)-COLUMN($C68))/$D68,""),"")</f>
        <v>7464</v>
      </c>
      <c r="I68" s="11" cm="1">
        <f t="array" ref="I68">IFERROR(IF($D68 &lt;&gt;0,ResultValue($C68,COLUMN(J68)-COLUMN($C68))/$D68,""),"")</f>
        <v>7464</v>
      </c>
      <c r="J68" s="11" cm="1">
        <f t="array" ref="J68">IFERROR(IF($D68 &lt;&gt;0,ResultValue($C68,COLUMN(K68)-COLUMN($C68))/$D68,""),"")</f>
        <v>7464</v>
      </c>
      <c r="K68" s="11" cm="1">
        <f t="array" ref="K68">IFERROR(IF($D68 &lt;&gt;0,ResultValue($C68,COLUMN(L68)-COLUMN($C68))/$D68,""),"")</f>
        <v>7464</v>
      </c>
      <c r="L68" s="11" cm="1">
        <f t="array" ref="L68">IFERROR(IF($D68 &lt;&gt;0,ResultValue($C68,COLUMN(M68)-COLUMN($C68))/$D68,""),"")</f>
        <v>7464</v>
      </c>
      <c r="M68" s="11" cm="1">
        <f t="array" ref="M68">IFERROR(IF($D68 &lt;&gt;0,ResultValue($C68,COLUMN(N68)-COLUMN($C68))/$D68,""),"")</f>
        <v>7464</v>
      </c>
      <c r="N68" s="11" cm="1">
        <f t="array" ref="N68">IFERROR(IF($D68 &lt;&gt;0,ResultValue($C68,COLUMN(O68)-COLUMN($C68))/$D68,""),"")</f>
        <v>7464</v>
      </c>
      <c r="O68" s="11" cm="1">
        <f t="array" ref="O68">IFERROR(IF($D68 &lt;&gt;0,ResultValue($C68,COLUMN(P68)-COLUMN($C68))/$D68,""),"")</f>
        <v>7464</v>
      </c>
      <c r="P68" s="11" cm="1">
        <f t="array" ref="P68">IFERROR(IF($D68 &lt;&gt;0,ResultValue($C68,COLUMN(Q68)-COLUMN($C68))/$D68,""),"")</f>
        <v>7464</v>
      </c>
      <c r="Q68" s="11" cm="1">
        <f t="array" ref="Q68">IFERROR(IF($D68 &lt;&gt;0,ResultValue($C68,COLUMN(R68)-COLUMN($C68))/$D68,""),"")</f>
        <v>7464</v>
      </c>
      <c r="R68" s="11" cm="1">
        <f t="array" ref="R68">IFERROR(IF($D68 &lt;&gt;0,ResultValue($C68,COLUMN(S68)-COLUMN($C68))/$D68,""),"")</f>
        <v>0</v>
      </c>
      <c r="S68" s="11" cm="1">
        <f t="array" ref="S68">IFERROR(IF($D68 &lt;&gt;0,ResultValue($C68,COLUMN(T68)-COLUMN($C68))/$D68,""),"")</f>
        <v>0</v>
      </c>
      <c r="T68" s="11" cm="1">
        <f t="array" ref="T68">IFERROR(IF($D68 &lt;&gt;0,ResultValue($C68,COLUMN(U68)-COLUMN($C68))/$D68,""),"")</f>
        <v>0</v>
      </c>
      <c r="U68" s="11" cm="1">
        <f t="array" ref="U68">IFERROR(IF($D68 &lt;&gt;0,ResultValue($C68,COLUMN(V68)-COLUMN($C68))/$D68,""),"")</f>
        <v>0</v>
      </c>
      <c r="V68" s="11" cm="1">
        <f t="array" ref="V68">IFERROR(IF($D68 &lt;&gt;0,ResultValue($C68,COLUMN(W68)-COLUMN($C68))/$D68,""),"")</f>
        <v>0</v>
      </c>
      <c r="W68" s="11" cm="1">
        <f t="array" ref="W68">IFERROR(IF($D68 &lt;&gt;0,ResultValue($C68,COLUMN(X68)-COLUMN($C68))/$D68,""),"")</f>
        <v>0</v>
      </c>
      <c r="X68" s="11" cm="1">
        <f t="array" ref="X68">IFERROR(IF($D68 &lt;&gt;0,ResultValue($C68,COLUMN(Y68)-COLUMN($C68))/$D68,""),"")</f>
        <v>0</v>
      </c>
      <c r="Y68" s="11" cm="1">
        <f t="array" ref="Y68">IFERROR(IF($D68 &lt;&gt;0,ResultValue($C68,COLUMN(Z68)-COLUMN($C68))/$D68,""),"")</f>
        <v>0</v>
      </c>
    </row>
    <row r="69" spans="1:25" x14ac:dyDescent="0.25">
      <c r="A69" t="str">
        <v>Betaling bioaffald</v>
      </c>
      <c r="B69" s="28"/>
      <c r="C69" t="str">
        <f t="shared" si="0"/>
        <v>Varmeproduktion Ovn2</v>
      </c>
      <c r="D69" s="21">
        <f t="shared" si="1"/>
        <v>1</v>
      </c>
      <c r="E69" s="11" cm="1">
        <f t="array" ref="E69">IFERROR(IF($D69 &lt;&gt;0,ResultValue($C69,COLUMN(F69)-COLUMN($C69))/$D69,""),"")</f>
        <v>3168</v>
      </c>
      <c r="F69" s="11" cm="1">
        <f t="array" ref="F69">IFERROR(IF($D69 &lt;&gt;0,ResultValue($C69,COLUMN(G69)-COLUMN($C69))/$D69,""),"")</f>
        <v>3168</v>
      </c>
      <c r="G69" s="11" cm="1">
        <f t="array" ref="G69">IFERROR(IF($D69 &lt;&gt;0,ResultValue($C69,COLUMN(H69)-COLUMN($C69))/$D69,""),"")</f>
        <v>3168</v>
      </c>
      <c r="H69" s="11" cm="1">
        <f t="array" ref="H69">IFERROR(IF($D69 &lt;&gt;0,ResultValue($C69,COLUMN(I69)-COLUMN($C69))/$D69,""),"")</f>
        <v>3168</v>
      </c>
      <c r="I69" s="11" cm="1">
        <f t="array" ref="I69">IFERROR(IF($D69 &lt;&gt;0,ResultValue($C69,COLUMN(J69)-COLUMN($C69))/$D69,""),"")</f>
        <v>3168</v>
      </c>
      <c r="J69" s="11" cm="1">
        <f t="array" ref="J69">IFERROR(IF($D69 &lt;&gt;0,ResultValue($C69,COLUMN(K69)-COLUMN($C69))/$D69,""),"")</f>
        <v>3168</v>
      </c>
      <c r="K69" s="11" cm="1">
        <f t="array" ref="K69">IFERROR(IF($D69 &lt;&gt;0,ResultValue($C69,COLUMN(L69)-COLUMN($C69))/$D69,""),"")</f>
        <v>3168</v>
      </c>
      <c r="L69" s="11" cm="1">
        <f t="array" ref="L69">IFERROR(IF($D69 &lt;&gt;0,ResultValue($C69,COLUMN(M69)-COLUMN($C69))/$D69,""),"")</f>
        <v>3168</v>
      </c>
      <c r="M69" s="11" cm="1">
        <f t="array" ref="M69">IFERROR(IF($D69 &lt;&gt;0,ResultValue($C69,COLUMN(N69)-COLUMN($C69))/$D69,""),"")</f>
        <v>3168</v>
      </c>
      <c r="N69" s="11" cm="1">
        <f t="array" ref="N69">IFERROR(IF($D69 &lt;&gt;0,ResultValue($C69,COLUMN(O69)-COLUMN($C69))/$D69,""),"")</f>
        <v>3168</v>
      </c>
      <c r="O69" s="11" cm="1">
        <f t="array" ref="O69">IFERROR(IF($D69 &lt;&gt;0,ResultValue($C69,COLUMN(P69)-COLUMN($C69))/$D69,""),"")</f>
        <v>3168</v>
      </c>
      <c r="P69" s="11" cm="1">
        <f t="array" ref="P69">IFERROR(IF($D69 &lt;&gt;0,ResultValue($C69,COLUMN(Q69)-COLUMN($C69))/$D69,""),"")</f>
        <v>3168</v>
      </c>
      <c r="Q69" s="11" cm="1">
        <f t="array" ref="Q69">IFERROR(IF($D69 &lt;&gt;0,ResultValue($C69,COLUMN(R69)-COLUMN($C69))/$D69,""),"")</f>
        <v>3168</v>
      </c>
      <c r="R69" s="11" cm="1">
        <f t="array" ref="R69">IFERROR(IF($D69 &lt;&gt;0,ResultValue($C69,COLUMN(S69)-COLUMN($C69))/$D69,""),"")</f>
        <v>0</v>
      </c>
      <c r="S69" s="11" cm="1">
        <f t="array" ref="S69">IFERROR(IF($D69 &lt;&gt;0,ResultValue($C69,COLUMN(T69)-COLUMN($C69))/$D69,""),"")</f>
        <v>0</v>
      </c>
      <c r="T69" s="11" cm="1">
        <f t="array" ref="T69">IFERROR(IF($D69 &lt;&gt;0,ResultValue($C69,COLUMN(U69)-COLUMN($C69))/$D69,""),"")</f>
        <v>0</v>
      </c>
      <c r="U69" s="11" cm="1">
        <f t="array" ref="U69">IFERROR(IF($D69 &lt;&gt;0,ResultValue($C69,COLUMN(V69)-COLUMN($C69))/$D69,""),"")</f>
        <v>0</v>
      </c>
      <c r="V69" s="11" cm="1">
        <f t="array" ref="V69">IFERROR(IF($D69 &lt;&gt;0,ResultValue($C69,COLUMN(W69)-COLUMN($C69))/$D69,""),"")</f>
        <v>0</v>
      </c>
      <c r="W69" s="11" cm="1">
        <f t="array" ref="W69">IFERROR(IF($D69 &lt;&gt;0,ResultValue($C69,COLUMN(X69)-COLUMN($C69))/$D69,""),"")</f>
        <v>0</v>
      </c>
      <c r="X69" s="11" cm="1">
        <f t="array" ref="X69">IFERROR(IF($D69 &lt;&gt;0,ResultValue($C69,COLUMN(Y69)-COLUMN($C69))/$D69,""),"")</f>
        <v>0</v>
      </c>
      <c r="Y69" s="11" cm="1">
        <f t="array" ref="Y69">IFERROR(IF($D69 &lt;&gt;0,ResultValue($C69,COLUMN(Z69)-COLUMN($C69))/$D69,""),"")</f>
        <v>0</v>
      </c>
    </row>
    <row r="70" spans="1:25" x14ac:dyDescent="0.25">
      <c r="A70" t="str">
        <v>DV-omkostninger</v>
      </c>
      <c r="B70" s="28"/>
      <c r="C70" t="str">
        <f t="shared" si="0"/>
        <v>Varmeproduktion Ovn3</v>
      </c>
      <c r="D70" s="21">
        <f t="shared" si="1"/>
        <v>1</v>
      </c>
      <c r="E70" s="11" cm="1">
        <f t="array" ref="E70">IFERROR(IF($D70 &lt;&gt;0,ResultValue($C70,COLUMN(F70)-COLUMN($C70))/$D70,""),"")</f>
        <v>20832</v>
      </c>
      <c r="F70" s="11" cm="1">
        <f t="array" ref="F70">IFERROR(IF($D70 &lt;&gt;0,ResultValue($C70,COLUMN(G70)-COLUMN($C70))/$D70,""),"")</f>
        <v>20832</v>
      </c>
      <c r="G70" s="11" cm="1">
        <f t="array" ref="G70">IFERROR(IF($D70 &lt;&gt;0,ResultValue($C70,COLUMN(H70)-COLUMN($C70))/$D70,""),"")</f>
        <v>20832</v>
      </c>
      <c r="H70" s="11" cm="1">
        <f t="array" ref="H70">IFERROR(IF($D70 &lt;&gt;0,ResultValue($C70,COLUMN(I70)-COLUMN($C70))/$D70,""),"")</f>
        <v>20832</v>
      </c>
      <c r="I70" s="11" cm="1">
        <f t="array" ref="I70">IFERROR(IF($D70 &lt;&gt;0,ResultValue($C70,COLUMN(J70)-COLUMN($C70))/$D70,""),"")</f>
        <v>20832</v>
      </c>
      <c r="J70" s="11" cm="1">
        <f t="array" ref="J70">IFERROR(IF($D70 &lt;&gt;0,ResultValue($C70,COLUMN(K70)-COLUMN($C70))/$D70,""),"")</f>
        <v>20832</v>
      </c>
      <c r="K70" s="11" cm="1">
        <f t="array" ref="K70">IFERROR(IF($D70 &lt;&gt;0,ResultValue($C70,COLUMN(L70)-COLUMN($C70))/$D70,""),"")</f>
        <v>20832</v>
      </c>
      <c r="L70" s="11" cm="1">
        <f t="array" ref="L70">IFERROR(IF($D70 &lt;&gt;0,ResultValue($C70,COLUMN(M70)-COLUMN($C70))/$D70,""),"")</f>
        <v>20832</v>
      </c>
      <c r="M70" s="11" cm="1">
        <f t="array" ref="M70">IFERROR(IF($D70 &lt;&gt;0,ResultValue($C70,COLUMN(N70)-COLUMN($C70))/$D70,""),"")</f>
        <v>20832</v>
      </c>
      <c r="N70" s="11" cm="1">
        <f t="array" ref="N70">IFERROR(IF($D70 &lt;&gt;0,ResultValue($C70,COLUMN(O70)-COLUMN($C70))/$D70,""),"")</f>
        <v>20832</v>
      </c>
      <c r="O70" s="11" cm="1">
        <f t="array" ref="O70">IFERROR(IF($D70 &lt;&gt;0,ResultValue($C70,COLUMN(P70)-COLUMN($C70))/$D70,""),"")</f>
        <v>20832</v>
      </c>
      <c r="P70" s="11" cm="1">
        <f t="array" ref="P70">IFERROR(IF($D70 &lt;&gt;0,ResultValue($C70,COLUMN(Q70)-COLUMN($C70))/$D70,""),"")</f>
        <v>20832</v>
      </c>
      <c r="Q70" s="11" cm="1">
        <f t="array" ref="Q70">IFERROR(IF($D70 &lt;&gt;0,ResultValue($C70,COLUMN(R70)-COLUMN($C70))/$D70,""),"")</f>
        <v>20832</v>
      </c>
      <c r="R70" s="11" cm="1">
        <f t="array" ref="R70">IFERROR(IF($D70 &lt;&gt;0,ResultValue($C70,COLUMN(S70)-COLUMN($C70))/$D70,""),"")</f>
        <v>0</v>
      </c>
      <c r="S70" s="11" cm="1">
        <f t="array" ref="S70">IFERROR(IF($D70 &lt;&gt;0,ResultValue($C70,COLUMN(T70)-COLUMN($C70))/$D70,""),"")</f>
        <v>0</v>
      </c>
      <c r="T70" s="11" cm="1">
        <f t="array" ref="T70">IFERROR(IF($D70 &lt;&gt;0,ResultValue($C70,COLUMN(U70)-COLUMN($C70))/$D70,""),"")</f>
        <v>0</v>
      </c>
      <c r="U70" s="11" cm="1">
        <f t="array" ref="U70">IFERROR(IF($D70 &lt;&gt;0,ResultValue($C70,COLUMN(V70)-COLUMN($C70))/$D70,""),"")</f>
        <v>0</v>
      </c>
      <c r="V70" s="11" cm="1">
        <f t="array" ref="V70">IFERROR(IF($D70 &lt;&gt;0,ResultValue($C70,COLUMN(W70)-COLUMN($C70))/$D70,""),"")</f>
        <v>0</v>
      </c>
      <c r="W70" s="11" cm="1">
        <f t="array" ref="W70">IFERROR(IF($D70 &lt;&gt;0,ResultValue($C70,COLUMN(X70)-COLUMN($C70))/$D70,""),"")</f>
        <v>0</v>
      </c>
      <c r="X70" s="11" cm="1">
        <f t="array" ref="X70">IFERROR(IF($D70 &lt;&gt;0,ResultValue($C70,COLUMN(Y70)-COLUMN($C70))/$D70,""),"")</f>
        <v>0</v>
      </c>
      <c r="Y70" s="11" cm="1">
        <f t="array" ref="Y70">IFERROR(IF($D70 &lt;&gt;0,ResultValue($C70,COLUMN(Z70)-COLUMN($C70))/$D70,""),"")</f>
        <v>0</v>
      </c>
    </row>
    <row r="71" spans="1:25" x14ac:dyDescent="0.25">
      <c r="A71" t="str">
        <v>Affaldvarme-afgift</v>
      </c>
      <c r="B71" s="28"/>
      <c r="C71" t="str">
        <f t="shared" si="0"/>
        <v>Bortkølet varme</v>
      </c>
      <c r="D71" s="21">
        <f t="shared" si="1"/>
        <v>-1</v>
      </c>
      <c r="E71" s="11" cm="1">
        <f t="array" ref="E71">IFERROR(IF($D71 &lt;&gt;0,ResultValue($C71,COLUMN(F71)-COLUMN($C71))/$D71,""),"")</f>
        <v>0</v>
      </c>
      <c r="F71" s="11" cm="1">
        <f t="array" ref="F71">IFERROR(IF($D71 &lt;&gt;0,ResultValue($C71,COLUMN(G71)-COLUMN($C71))/$D71,""),"")</f>
        <v>0</v>
      </c>
      <c r="G71" s="11" cm="1">
        <f t="array" ref="G71">IFERROR(IF($D71 &lt;&gt;0,ResultValue($C71,COLUMN(H71)-COLUMN($C71))/$D71,""),"")</f>
        <v>0</v>
      </c>
      <c r="H71" s="11" cm="1">
        <f t="array" ref="H71">IFERROR(IF($D71 &lt;&gt;0,ResultValue($C71,COLUMN(I71)-COLUMN($C71))/$D71,""),"")</f>
        <v>0</v>
      </c>
      <c r="I71" s="11" cm="1">
        <f t="array" ref="I71">IFERROR(IF($D71 &lt;&gt;0,ResultValue($C71,COLUMN(J71)-COLUMN($C71))/$D71,""),"")</f>
        <v>0</v>
      </c>
      <c r="J71" s="11" cm="1">
        <f t="array" ref="J71">IFERROR(IF($D71 &lt;&gt;0,ResultValue($C71,COLUMN(K71)-COLUMN($C71))/$D71,""),"")</f>
        <v>0</v>
      </c>
      <c r="K71" s="11" cm="1">
        <f t="array" ref="K71">IFERROR(IF($D71 &lt;&gt;0,ResultValue($C71,COLUMN(L71)-COLUMN($C71))/$D71,""),"")</f>
        <v>0</v>
      </c>
      <c r="L71" s="11" cm="1">
        <f t="array" ref="L71">IFERROR(IF($D71 &lt;&gt;0,ResultValue($C71,COLUMN(M71)-COLUMN($C71))/$D71,""),"")</f>
        <v>0</v>
      </c>
      <c r="M71" s="11" cm="1">
        <f t="array" ref="M71">IFERROR(IF($D71 &lt;&gt;0,ResultValue($C71,COLUMN(N71)-COLUMN($C71))/$D71,""),"")</f>
        <v>0</v>
      </c>
      <c r="N71" s="11" cm="1">
        <f t="array" ref="N71">IFERROR(IF($D71 &lt;&gt;0,ResultValue($C71,COLUMN(O71)-COLUMN($C71))/$D71,""),"")</f>
        <v>0</v>
      </c>
      <c r="O71" s="11" cm="1">
        <f t="array" ref="O71">IFERROR(IF($D71 &lt;&gt;0,ResultValue($C71,COLUMN(P71)-COLUMN($C71))/$D71,""),"")</f>
        <v>0</v>
      </c>
      <c r="P71" s="11" cm="1">
        <f t="array" ref="P71">IFERROR(IF($D71 &lt;&gt;0,ResultValue($C71,COLUMN(Q71)-COLUMN($C71))/$D71,""),"")</f>
        <v>0</v>
      </c>
      <c r="Q71" s="11" cm="1">
        <f t="array" ref="Q71">IFERROR(IF($D71 &lt;&gt;0,ResultValue($C71,COLUMN(R71)-COLUMN($C71))/$D71,""),"")</f>
        <v>0</v>
      </c>
      <c r="R71" s="11" cm="1">
        <f t="array" ref="R71">IFERROR(IF($D71 &lt;&gt;0,ResultValue($C71,COLUMN(S71)-COLUMN($C71))/$D71,""),"")</f>
        <v>0</v>
      </c>
      <c r="S71" s="11" cm="1">
        <f t="array" ref="S71">IFERROR(IF($D71 &lt;&gt;0,ResultValue($C71,COLUMN(T71)-COLUMN($C71))/$D71,""),"")</f>
        <v>0</v>
      </c>
      <c r="T71" s="11" cm="1">
        <f t="array" ref="T71">IFERROR(IF($D71 &lt;&gt;0,ResultValue($C71,COLUMN(U71)-COLUMN($C71))/$D71,""),"")</f>
        <v>0</v>
      </c>
      <c r="U71" s="11" cm="1">
        <f t="array" ref="U71">IFERROR(IF($D71 &lt;&gt;0,ResultValue($C71,COLUMN(V71)-COLUMN($C71))/$D71,""),"")</f>
        <v>0</v>
      </c>
      <c r="V71" s="11" cm="1">
        <f t="array" ref="V71">IFERROR(IF($D71 &lt;&gt;0,ResultValue($C71,COLUMN(W71)-COLUMN($C71))/$D71,""),"")</f>
        <v>0</v>
      </c>
      <c r="W71" s="11" cm="1">
        <f t="array" ref="W71">IFERROR(IF($D71 &lt;&gt;0,ResultValue($C71,COLUMN(X71)-COLUMN($C71))/$D71,""),"")</f>
        <v>0</v>
      </c>
      <c r="X71" s="11" cm="1">
        <f t="array" ref="X71">IFERROR(IF($D71 &lt;&gt;0,ResultValue($C71,COLUMN(Y71)-COLUMN($C71))/$D71,""),"")</f>
        <v>0</v>
      </c>
      <c r="Y71" s="11" cm="1">
        <f t="array" ref="Y71">IFERROR(IF($D71 &lt;&gt;0,ResultValue($C71,COLUMN(Z71)-COLUMN($C71))/$D71,""),"")</f>
        <v>0</v>
      </c>
    </row>
    <row r="72" spans="1:25" x14ac:dyDescent="0.25">
      <c r="A72" t="str">
        <v>Tillægsafgift</v>
      </c>
      <c r="B72" s="28"/>
      <c r="C72" t="str">
        <f t="shared" si="0"/>
        <v>Leveret varme</v>
      </c>
      <c r="D72" s="21">
        <f t="shared" si="1"/>
        <v>1</v>
      </c>
      <c r="E72" s="11" t="str" cm="1">
        <f t="array" ref="E72">IFERROR(IF($D72 &lt;&gt;0,ResultValue($C72,COLUMN(F72)-COLUMN($C72))/$D72,""),"")</f>
        <v/>
      </c>
      <c r="F72" s="11" t="str" cm="1">
        <f t="array" ref="F72">IFERROR(IF($D72 &lt;&gt;0,ResultValue($C72,COLUMN(G72)-COLUMN($C72))/$D72,""),"")</f>
        <v/>
      </c>
      <c r="G72" s="11" t="str" cm="1">
        <f t="array" ref="G72">IFERROR(IF($D72 &lt;&gt;0,ResultValue($C72,COLUMN(H72)-COLUMN($C72))/$D72,""),"")</f>
        <v/>
      </c>
      <c r="H72" s="11" t="str" cm="1">
        <f t="array" ref="H72">IFERROR(IF($D72 &lt;&gt;0,ResultValue($C72,COLUMN(I72)-COLUMN($C72))/$D72,""),"")</f>
        <v/>
      </c>
      <c r="I72" s="11" t="str" cm="1">
        <f t="array" ref="I72">IFERROR(IF($D72 &lt;&gt;0,ResultValue($C72,COLUMN(J72)-COLUMN($C72))/$D72,""),"")</f>
        <v/>
      </c>
      <c r="J72" s="11" t="str" cm="1">
        <f t="array" ref="J72">IFERROR(IF($D72 &lt;&gt;0,ResultValue($C72,COLUMN(K72)-COLUMN($C72))/$D72,""),"")</f>
        <v/>
      </c>
      <c r="K72" s="11" t="str" cm="1">
        <f t="array" ref="K72">IFERROR(IF($D72 &lt;&gt;0,ResultValue($C72,COLUMN(L72)-COLUMN($C72))/$D72,""),"")</f>
        <v/>
      </c>
      <c r="L72" s="11" t="str" cm="1">
        <f t="array" ref="L72">IFERROR(IF($D72 &lt;&gt;0,ResultValue($C72,COLUMN(M72)-COLUMN($C72))/$D72,""),"")</f>
        <v/>
      </c>
      <c r="M72" s="11" t="str" cm="1">
        <f t="array" ref="M72">IFERROR(IF($D72 &lt;&gt;0,ResultValue($C72,COLUMN(N72)-COLUMN($C72))/$D72,""),"")</f>
        <v/>
      </c>
      <c r="N72" s="11" t="str" cm="1">
        <f t="array" ref="N72">IFERROR(IF($D72 &lt;&gt;0,ResultValue($C72,COLUMN(O72)-COLUMN($C72))/$D72,""),"")</f>
        <v/>
      </c>
      <c r="O72" s="11" t="str" cm="1">
        <f t="array" ref="O72">IFERROR(IF($D72 &lt;&gt;0,ResultValue($C72,COLUMN(P72)-COLUMN($C72))/$D72,""),"")</f>
        <v/>
      </c>
      <c r="P72" s="11" t="str" cm="1">
        <f t="array" ref="P72">IFERROR(IF($D72 &lt;&gt;0,ResultValue($C72,COLUMN(Q72)-COLUMN($C72))/$D72,""),"")</f>
        <v/>
      </c>
      <c r="Q72" s="11" t="str" cm="1">
        <f t="array" ref="Q72">IFERROR(IF($D72 &lt;&gt;0,ResultValue($C72,COLUMN(R72)-COLUMN($C72))/$D72,""),"")</f>
        <v/>
      </c>
      <c r="R72" s="11" t="str" cm="1">
        <f t="array" ref="R72">IFERROR(IF($D72 &lt;&gt;0,ResultValue($C72,COLUMN(S72)-COLUMN($C72))/$D72,""),"")</f>
        <v/>
      </c>
      <c r="S72" s="11" t="str" cm="1">
        <f t="array" ref="S72">IFERROR(IF($D72 &lt;&gt;0,ResultValue($C72,COLUMN(T72)-COLUMN($C72))/$D72,""),"")</f>
        <v/>
      </c>
      <c r="T72" s="11" t="str" cm="1">
        <f t="array" ref="T72">IFERROR(IF($D72 &lt;&gt;0,ResultValue($C72,COLUMN(U72)-COLUMN($C72))/$D72,""),"")</f>
        <v/>
      </c>
      <c r="U72" s="11" t="str" cm="1">
        <f t="array" ref="U72">IFERROR(IF($D72 &lt;&gt;0,ResultValue($C72,COLUMN(V72)-COLUMN($C72))/$D72,""),"")</f>
        <v/>
      </c>
      <c r="V72" s="11" t="str" cm="1">
        <f t="array" ref="V72">IFERROR(IF($D72 &lt;&gt;0,ResultValue($C72,COLUMN(W72)-COLUMN($C72))/$D72,""),"")</f>
        <v/>
      </c>
      <c r="W72" s="11" t="str" cm="1">
        <f t="array" ref="W72">IFERROR(IF($D72 &lt;&gt;0,ResultValue($C72,COLUMN(X72)-COLUMN($C72))/$D72,""),"")</f>
        <v/>
      </c>
      <c r="X72" s="11" t="str" cm="1">
        <f t="array" ref="X72">IFERROR(IF($D72 &lt;&gt;0,ResultValue($C72,COLUMN(Y72)-COLUMN($C72))/$D72,""),"")</f>
        <v/>
      </c>
      <c r="Y72" s="11" t="str" cm="1">
        <f t="array" ref="Y72">IFERROR(IF($D72 &lt;&gt;0,ResultValue($C72,COLUMN(Z72)-COLUMN($C72))/$D72,""),"")</f>
        <v/>
      </c>
    </row>
    <row r="73" spans="1:25" x14ac:dyDescent="0.25">
      <c r="A73" t="str">
        <v>CO2-afgift</v>
      </c>
      <c r="B73" s="28"/>
      <c r="C73" t="str">
        <f t="shared" si="0"/>
        <v>Spidslastvarme</v>
      </c>
      <c r="D73" s="21">
        <f t="shared" si="1"/>
        <v>1</v>
      </c>
      <c r="E73" s="11" cm="1">
        <f t="array" ref="E73">IFERROR(IF($D73 &lt;&gt;0,ResultValue($C73,COLUMN(F73)-COLUMN($C73))/$D73,""),"")</f>
        <v>0</v>
      </c>
      <c r="F73" s="11" cm="1">
        <f t="array" ref="F73">IFERROR(IF($D73 &lt;&gt;0,ResultValue($C73,COLUMN(G73)-COLUMN($C73))/$D73,""),"")</f>
        <v>0</v>
      </c>
      <c r="G73" s="11" cm="1">
        <f t="array" ref="G73">IFERROR(IF($D73 &lt;&gt;0,ResultValue($C73,COLUMN(H73)-COLUMN($C73))/$D73,""),"")</f>
        <v>0</v>
      </c>
      <c r="H73" s="11" cm="1">
        <f t="array" ref="H73">IFERROR(IF($D73 &lt;&gt;0,ResultValue($C73,COLUMN(I73)-COLUMN($C73))/$D73,""),"")</f>
        <v>0</v>
      </c>
      <c r="I73" s="11" cm="1">
        <f t="array" ref="I73">IFERROR(IF($D73 &lt;&gt;0,ResultValue($C73,COLUMN(J73)-COLUMN($C73))/$D73,""),"")</f>
        <v>0</v>
      </c>
      <c r="J73" s="11" cm="1">
        <f t="array" ref="J73">IFERROR(IF($D73 &lt;&gt;0,ResultValue($C73,COLUMN(K73)-COLUMN($C73))/$D73,""),"")</f>
        <v>0</v>
      </c>
      <c r="K73" s="11" cm="1">
        <f t="array" ref="K73">IFERROR(IF($D73 &lt;&gt;0,ResultValue($C73,COLUMN(L73)-COLUMN($C73))/$D73,""),"")</f>
        <v>0</v>
      </c>
      <c r="L73" s="11" cm="1">
        <f t="array" ref="L73">IFERROR(IF($D73 &lt;&gt;0,ResultValue($C73,COLUMN(M73)-COLUMN($C73))/$D73,""),"")</f>
        <v>0</v>
      </c>
      <c r="M73" s="11" cm="1">
        <f t="array" ref="M73">IFERROR(IF($D73 &lt;&gt;0,ResultValue($C73,COLUMN(N73)-COLUMN($C73))/$D73,""),"")</f>
        <v>0</v>
      </c>
      <c r="N73" s="11" cm="1">
        <f t="array" ref="N73">IFERROR(IF($D73 &lt;&gt;0,ResultValue($C73,COLUMN(O73)-COLUMN($C73))/$D73,""),"")</f>
        <v>0</v>
      </c>
      <c r="O73" s="11" cm="1">
        <f t="array" ref="O73">IFERROR(IF($D73 &lt;&gt;0,ResultValue($C73,COLUMN(P73)-COLUMN($C73))/$D73,""),"")</f>
        <v>0</v>
      </c>
      <c r="P73" s="11" cm="1">
        <f t="array" ref="P73">IFERROR(IF($D73 &lt;&gt;0,ResultValue($C73,COLUMN(Q73)-COLUMN($C73))/$D73,""),"")</f>
        <v>0</v>
      </c>
      <c r="Q73" s="11" cm="1">
        <f t="array" ref="Q73">IFERROR(IF($D73 &lt;&gt;0,ResultValue($C73,COLUMN(R73)-COLUMN($C73))/$D73,""),"")</f>
        <v>0</v>
      </c>
      <c r="R73" s="11" cm="1">
        <f t="array" ref="R73">IFERROR(IF($D73 &lt;&gt;0,ResultValue($C73,COLUMN(S73)-COLUMN($C73))/$D73,""),"")</f>
        <v>0</v>
      </c>
      <c r="S73" s="11" cm="1">
        <f t="array" ref="S73">IFERROR(IF($D73 &lt;&gt;0,ResultValue($C73,COLUMN(T73)-COLUMN($C73))/$D73,""),"")</f>
        <v>0</v>
      </c>
      <c r="T73" s="11" cm="1">
        <f t="array" ref="T73">IFERROR(IF($D73 &lt;&gt;0,ResultValue($C73,COLUMN(U73)-COLUMN($C73))/$D73,""),"")</f>
        <v>0</v>
      </c>
      <c r="U73" s="11" cm="1">
        <f t="array" ref="U73">IFERROR(IF($D73 &lt;&gt;0,ResultValue($C73,COLUMN(V73)-COLUMN($C73))/$D73,""),"")</f>
        <v>0</v>
      </c>
      <c r="V73" s="11" cm="1">
        <f t="array" ref="V73">IFERROR(IF($D73 &lt;&gt;0,ResultValue($C73,COLUMN(W73)-COLUMN($C73))/$D73,""),"")</f>
        <v>0</v>
      </c>
      <c r="W73" s="11" cm="1">
        <f t="array" ref="W73">IFERROR(IF($D73 &lt;&gt;0,ResultValue($C73,COLUMN(X73)-COLUMN($C73))/$D73,""),"")</f>
        <v>0</v>
      </c>
      <c r="X73" s="11" cm="1">
        <f t="array" ref="X73">IFERROR(IF($D73 &lt;&gt;0,ResultValue($C73,COLUMN(Y73)-COLUMN($C73))/$D73,""),"")</f>
        <v>0</v>
      </c>
      <c r="Y73" s="11" cm="1">
        <f t="array" ref="Y73">IFERROR(IF($D73 &lt;&gt;0,ResultValue($C73,COLUMN(Z73)-COLUMN($C73))/$D73,""),"")</f>
        <v>0</v>
      </c>
    </row>
    <row r="74" spans="1:25" x14ac:dyDescent="0.25">
      <c r="A74" t="str">
        <v>Kvote-omkostning</v>
      </c>
      <c r="B74" s="28"/>
      <c r="C74" t="str">
        <f t="shared" si="0"/>
        <v>Affaldsforbrug Ovn2</v>
      </c>
      <c r="D74" s="21">
        <f t="shared" si="1"/>
        <v>1</v>
      </c>
      <c r="E74" s="11" cm="1">
        <f t="array" ref="E74">IFERROR(IF($D74 &lt;&gt;0,ResultValue($C74,COLUMN(F74)-COLUMN($C74))/$D74,""),"")</f>
        <v>0</v>
      </c>
      <c r="F74" s="11" cm="1">
        <f t="array" ref="F74">IFERROR(IF($D74 &lt;&gt;0,ResultValue($C74,COLUMN(G74)-COLUMN($C74))/$D74,""),"")</f>
        <v>0</v>
      </c>
      <c r="G74" s="11" cm="1">
        <f t="array" ref="G74">IFERROR(IF($D74 &lt;&gt;0,ResultValue($C74,COLUMN(H74)-COLUMN($C74))/$D74,""),"")</f>
        <v>0</v>
      </c>
      <c r="H74" s="11" cm="1">
        <f t="array" ref="H74">IFERROR(IF($D74 &lt;&gt;0,ResultValue($C74,COLUMN(I74)-COLUMN($C74))/$D74,""),"")</f>
        <v>0</v>
      </c>
      <c r="I74" s="11" cm="1">
        <f t="array" ref="I74">IFERROR(IF($D74 &lt;&gt;0,ResultValue($C74,COLUMN(J74)-COLUMN($C74))/$D74,""),"")</f>
        <v>0</v>
      </c>
      <c r="J74" s="11" cm="1">
        <f t="array" ref="J74">IFERROR(IF($D74 &lt;&gt;0,ResultValue($C74,COLUMN(K74)-COLUMN($C74))/$D74,""),"")</f>
        <v>0</v>
      </c>
      <c r="K74" s="11" cm="1">
        <f t="array" ref="K74">IFERROR(IF($D74 &lt;&gt;0,ResultValue($C74,COLUMN(L74)-COLUMN($C74))/$D74,""),"")</f>
        <v>0</v>
      </c>
      <c r="L74" s="11" cm="1">
        <f t="array" ref="L74">IFERROR(IF($D74 &lt;&gt;0,ResultValue($C74,COLUMN(M74)-COLUMN($C74))/$D74,""),"")</f>
        <v>0</v>
      </c>
      <c r="M74" s="11" cm="1">
        <f t="array" ref="M74">IFERROR(IF($D74 &lt;&gt;0,ResultValue($C74,COLUMN(N74)-COLUMN($C74))/$D74,""),"")</f>
        <v>0</v>
      </c>
      <c r="N74" s="11" cm="1">
        <f t="array" ref="N74">IFERROR(IF($D74 &lt;&gt;0,ResultValue($C74,COLUMN(O74)-COLUMN($C74))/$D74,""),"")</f>
        <v>0</v>
      </c>
      <c r="O74" s="11" cm="1">
        <f t="array" ref="O74">IFERROR(IF($D74 &lt;&gt;0,ResultValue($C74,COLUMN(P74)-COLUMN($C74))/$D74,""),"")</f>
        <v>0</v>
      </c>
      <c r="P74" s="11" cm="1">
        <f t="array" ref="P74">IFERROR(IF($D74 &lt;&gt;0,ResultValue($C74,COLUMN(Q74)-COLUMN($C74))/$D74,""),"")</f>
        <v>0</v>
      </c>
      <c r="Q74" s="11" cm="1">
        <f t="array" ref="Q74">IFERROR(IF($D74 &lt;&gt;0,ResultValue($C74,COLUMN(R74)-COLUMN($C74))/$D74,""),"")</f>
        <v>0</v>
      </c>
      <c r="R74" s="11" cm="1">
        <f t="array" ref="R74">IFERROR(IF($D74 &lt;&gt;0,ResultValue($C74,COLUMN(S74)-COLUMN($C74))/$D74,""),"")</f>
        <v>0</v>
      </c>
      <c r="S74" s="11" cm="1">
        <f t="array" ref="S74">IFERROR(IF($D74 &lt;&gt;0,ResultValue($C74,COLUMN(T74)-COLUMN($C74))/$D74,""),"")</f>
        <v>0</v>
      </c>
      <c r="T74" s="11" cm="1">
        <f t="array" ref="T74">IFERROR(IF($D74 &lt;&gt;0,ResultValue($C74,COLUMN(U74)-COLUMN($C74))/$D74,""),"")</f>
        <v>0</v>
      </c>
      <c r="U74" s="11" cm="1">
        <f t="array" ref="U74">IFERROR(IF($D74 &lt;&gt;0,ResultValue($C74,COLUMN(V74)-COLUMN($C74))/$D74,""),"")</f>
        <v>0</v>
      </c>
      <c r="V74" s="11" cm="1">
        <f t="array" ref="V74">IFERROR(IF($D74 &lt;&gt;0,ResultValue($C74,COLUMN(W74)-COLUMN($C74))/$D74,""),"")</f>
        <v>0</v>
      </c>
      <c r="W74" s="11" cm="1">
        <f t="array" ref="W74">IFERROR(IF($D74 &lt;&gt;0,ResultValue($C74,COLUMN(X74)-COLUMN($C74))/$D74,""),"")</f>
        <v>0</v>
      </c>
      <c r="X74" s="11" cm="1">
        <f t="array" ref="X74">IFERROR(IF($D74 &lt;&gt;0,ResultValue($C74,COLUMN(Y74)-COLUMN($C74))/$D74,""),"")</f>
        <v>0</v>
      </c>
      <c r="Y74" s="11" cm="1">
        <f t="array" ref="Y74">IFERROR(IF($D74 &lt;&gt;0,ResultValue($C74,COLUMN(Z74)-COLUMN($C74))/$D74,""),"")</f>
        <v>0</v>
      </c>
    </row>
    <row r="75" spans="1:25" x14ac:dyDescent="0.25">
      <c r="A75" t="str">
        <v>Varmeproduktion Ovn2</v>
      </c>
      <c r="B75" s="28"/>
      <c r="C75" t="str">
        <f t="shared" si="0"/>
        <v>Affaldsforbrug Ovn3</v>
      </c>
      <c r="D75" s="21">
        <f t="shared" si="1"/>
        <v>1</v>
      </c>
      <c r="E75" s="11" cm="1">
        <f t="array" ref="E75">IFERROR(IF($D75 &lt;&gt;0,ResultValue($C75,COLUMN(F75)-COLUMN($C75))/$D75,""),"")</f>
        <v>8991.9860627177713</v>
      </c>
      <c r="F75" s="11" cm="1">
        <f t="array" ref="F75">IFERROR(IF($D75 &lt;&gt;0,ResultValue($C75,COLUMN(G75)-COLUMN($C75))/$D75,""),"")</f>
        <v>8991.9860627177713</v>
      </c>
      <c r="G75" s="11" cm="1">
        <f t="array" ref="G75">IFERROR(IF($D75 &lt;&gt;0,ResultValue($C75,COLUMN(H75)-COLUMN($C75))/$D75,""),"")</f>
        <v>8991.9860627177713</v>
      </c>
      <c r="H75" s="11" cm="1">
        <f t="array" ref="H75">IFERROR(IF($D75 &lt;&gt;0,ResultValue($C75,COLUMN(I75)-COLUMN($C75))/$D75,""),"")</f>
        <v>8991.9860627177713</v>
      </c>
      <c r="I75" s="11" cm="1">
        <f t="array" ref="I75">IFERROR(IF($D75 &lt;&gt;0,ResultValue($C75,COLUMN(J75)-COLUMN($C75))/$D75,""),"")</f>
        <v>8991.9860627177713</v>
      </c>
      <c r="J75" s="11" cm="1">
        <f t="array" ref="J75">IFERROR(IF($D75 &lt;&gt;0,ResultValue($C75,COLUMN(K75)-COLUMN($C75))/$D75,""),"")</f>
        <v>8991.9860627177713</v>
      </c>
      <c r="K75" s="11" cm="1">
        <f t="array" ref="K75">IFERROR(IF($D75 &lt;&gt;0,ResultValue($C75,COLUMN(L75)-COLUMN($C75))/$D75,""),"")</f>
        <v>8991.9860627177713</v>
      </c>
      <c r="L75" s="11" cm="1">
        <f t="array" ref="L75">IFERROR(IF($D75 &lt;&gt;0,ResultValue($C75,COLUMN(M75)-COLUMN($C75))/$D75,""),"")</f>
        <v>8991.9860627177713</v>
      </c>
      <c r="M75" s="11" cm="1">
        <f t="array" ref="M75">IFERROR(IF($D75 &lt;&gt;0,ResultValue($C75,COLUMN(N75)-COLUMN($C75))/$D75,""),"")</f>
        <v>8991.9860627177713</v>
      </c>
      <c r="N75" s="11" cm="1">
        <f t="array" ref="N75">IFERROR(IF($D75 &lt;&gt;0,ResultValue($C75,COLUMN(O75)-COLUMN($C75))/$D75,""),"")</f>
        <v>8991.9860627177713</v>
      </c>
      <c r="O75" s="11" cm="1">
        <f t="array" ref="O75">IFERROR(IF($D75 &lt;&gt;0,ResultValue($C75,COLUMN(P75)-COLUMN($C75))/$D75,""),"")</f>
        <v>8991.9860627177713</v>
      </c>
      <c r="P75" s="11" cm="1">
        <f t="array" ref="P75">IFERROR(IF($D75 &lt;&gt;0,ResultValue($C75,COLUMN(Q75)-COLUMN($C75))/$D75,""),"")</f>
        <v>8991.9860627177713</v>
      </c>
      <c r="Q75" s="11" cm="1">
        <f t="array" ref="Q75">IFERROR(IF($D75 &lt;&gt;0,ResultValue($C75,COLUMN(R75)-COLUMN($C75))/$D75,""),"")</f>
        <v>8991.9860627177713</v>
      </c>
      <c r="R75" s="11" cm="1">
        <f t="array" ref="R75">IFERROR(IF($D75 &lt;&gt;0,ResultValue($C75,COLUMN(S75)-COLUMN($C75))/$D75,""),"")</f>
        <v>0</v>
      </c>
      <c r="S75" s="11" cm="1">
        <f t="array" ref="S75">IFERROR(IF($D75 &lt;&gt;0,ResultValue($C75,COLUMN(T75)-COLUMN($C75))/$D75,""),"")</f>
        <v>0</v>
      </c>
      <c r="T75" s="11" cm="1">
        <f t="array" ref="T75">IFERROR(IF($D75 &lt;&gt;0,ResultValue($C75,COLUMN(U75)-COLUMN($C75))/$D75,""),"")</f>
        <v>0</v>
      </c>
      <c r="U75" s="11" cm="1">
        <f t="array" ref="U75">IFERROR(IF($D75 &lt;&gt;0,ResultValue($C75,COLUMN(V75)-COLUMN($C75))/$D75,""),"")</f>
        <v>0</v>
      </c>
      <c r="V75" s="11" cm="1">
        <f t="array" ref="V75">IFERROR(IF($D75 &lt;&gt;0,ResultValue($C75,COLUMN(W75)-COLUMN($C75))/$D75,""),"")</f>
        <v>0</v>
      </c>
      <c r="W75" s="11" cm="1">
        <f t="array" ref="W75">IFERROR(IF($D75 &lt;&gt;0,ResultValue($C75,COLUMN(X75)-COLUMN($C75))/$D75,""),"")</f>
        <v>0</v>
      </c>
      <c r="X75" s="11" cm="1">
        <f t="array" ref="X75">IFERROR(IF($D75 &lt;&gt;0,ResultValue($C75,COLUMN(Y75)-COLUMN($C75))/$D75,""),"")</f>
        <v>0</v>
      </c>
      <c r="Y75" s="11" cm="1">
        <f t="array" ref="Y75">IFERROR(IF($D75 &lt;&gt;0,ResultValue($C75,COLUMN(Z75)-COLUMN($C75))/$D75,""),"")</f>
        <v>0</v>
      </c>
    </row>
    <row r="76" spans="1:25" x14ac:dyDescent="0.25">
      <c r="A76" t="str">
        <v>Varmeproduktion Ovn3</v>
      </c>
      <c r="B76" s="28"/>
      <c r="C76" t="str">
        <f t="shared" si="0"/>
        <v>Affaldsforbrug kølevarme Ovn2</v>
      </c>
      <c r="D76" s="21">
        <f t="shared" si="1"/>
        <v>1</v>
      </c>
      <c r="E76" s="11" cm="1">
        <f t="array" ref="E76">IFERROR(IF($D76 &lt;&gt;0,ResultValue($C76,COLUMN(F76)-COLUMN($C76))/$D76,""),"")</f>
        <v>0</v>
      </c>
      <c r="F76" s="11" cm="1">
        <f t="array" ref="F76">IFERROR(IF($D76 &lt;&gt;0,ResultValue($C76,COLUMN(G76)-COLUMN($C76))/$D76,""),"")</f>
        <v>0</v>
      </c>
      <c r="G76" s="11" cm="1">
        <f t="array" ref="G76">IFERROR(IF($D76 &lt;&gt;0,ResultValue($C76,COLUMN(H76)-COLUMN($C76))/$D76,""),"")</f>
        <v>0</v>
      </c>
      <c r="H76" s="11" cm="1">
        <f t="array" ref="H76">IFERROR(IF($D76 &lt;&gt;0,ResultValue($C76,COLUMN(I76)-COLUMN($C76))/$D76,""),"")</f>
        <v>0</v>
      </c>
      <c r="I76" s="11" cm="1">
        <f t="array" ref="I76">IFERROR(IF($D76 &lt;&gt;0,ResultValue($C76,COLUMN(J76)-COLUMN($C76))/$D76,""),"")</f>
        <v>0</v>
      </c>
      <c r="J76" s="11" cm="1">
        <f t="array" ref="J76">IFERROR(IF($D76 &lt;&gt;0,ResultValue($C76,COLUMN(K76)-COLUMN($C76))/$D76,""),"")</f>
        <v>0</v>
      </c>
      <c r="K76" s="11" cm="1">
        <f t="array" ref="K76">IFERROR(IF($D76 &lt;&gt;0,ResultValue($C76,COLUMN(L76)-COLUMN($C76))/$D76,""),"")</f>
        <v>0</v>
      </c>
      <c r="L76" s="11" cm="1">
        <f t="array" ref="L76">IFERROR(IF($D76 &lt;&gt;0,ResultValue($C76,COLUMN(M76)-COLUMN($C76))/$D76,""),"")</f>
        <v>0</v>
      </c>
      <c r="M76" s="11" cm="1">
        <f t="array" ref="M76">IFERROR(IF($D76 &lt;&gt;0,ResultValue($C76,COLUMN(N76)-COLUMN($C76))/$D76,""),"")</f>
        <v>0</v>
      </c>
      <c r="N76" s="11" cm="1">
        <f t="array" ref="N76">IFERROR(IF($D76 &lt;&gt;0,ResultValue($C76,COLUMN(O76)-COLUMN($C76))/$D76,""),"")</f>
        <v>0</v>
      </c>
      <c r="O76" s="11" cm="1">
        <f t="array" ref="O76">IFERROR(IF($D76 &lt;&gt;0,ResultValue($C76,COLUMN(P76)-COLUMN($C76))/$D76,""),"")</f>
        <v>0</v>
      </c>
      <c r="P76" s="11" cm="1">
        <f t="array" ref="P76">IFERROR(IF($D76 &lt;&gt;0,ResultValue($C76,COLUMN(Q76)-COLUMN($C76))/$D76,""),"")</f>
        <v>0</v>
      </c>
      <c r="Q76" s="11" cm="1">
        <f t="array" ref="Q76">IFERROR(IF($D76 &lt;&gt;0,ResultValue($C76,COLUMN(R76)-COLUMN($C76))/$D76,""),"")</f>
        <v>0</v>
      </c>
      <c r="R76" s="11" cm="1">
        <f t="array" ref="R76">IFERROR(IF($D76 &lt;&gt;0,ResultValue($C76,COLUMN(S76)-COLUMN($C76))/$D76,""),"")</f>
        <v>0</v>
      </c>
      <c r="S76" s="11" cm="1">
        <f t="array" ref="S76">IFERROR(IF($D76 &lt;&gt;0,ResultValue($C76,COLUMN(T76)-COLUMN($C76))/$D76,""),"")</f>
        <v>0</v>
      </c>
      <c r="T76" s="11" cm="1">
        <f t="array" ref="T76">IFERROR(IF($D76 &lt;&gt;0,ResultValue($C76,COLUMN(U76)-COLUMN($C76))/$D76,""),"")</f>
        <v>0</v>
      </c>
      <c r="U76" s="11" cm="1">
        <f t="array" ref="U76">IFERROR(IF($D76 &lt;&gt;0,ResultValue($C76,COLUMN(V76)-COLUMN($C76))/$D76,""),"")</f>
        <v>0</v>
      </c>
      <c r="V76" s="11" cm="1">
        <f t="array" ref="V76">IFERROR(IF($D76 &lt;&gt;0,ResultValue($C76,COLUMN(W76)-COLUMN($C76))/$D76,""),"")</f>
        <v>0</v>
      </c>
      <c r="W76" s="11" cm="1">
        <f t="array" ref="W76">IFERROR(IF($D76 &lt;&gt;0,ResultValue($C76,COLUMN(X76)-COLUMN($C76))/$D76,""),"")</f>
        <v>0</v>
      </c>
      <c r="X76" s="11" cm="1">
        <f t="array" ref="X76">IFERROR(IF($D76 &lt;&gt;0,ResultValue($C76,COLUMN(Y76)-COLUMN($C76))/$D76,""),"")</f>
        <v>0</v>
      </c>
      <c r="Y76" s="11" cm="1">
        <f t="array" ref="Y76">IFERROR(IF($D76 &lt;&gt;0,ResultValue($C76,COLUMN(Z76)-COLUMN($C76))/$D76,""),"")</f>
        <v>0</v>
      </c>
    </row>
    <row r="77" spans="1:25" x14ac:dyDescent="0.25">
      <c r="A77" t="str">
        <v>Heraf RGK-varme</v>
      </c>
      <c r="B77" s="28"/>
      <c r="C77" t="str">
        <f t="shared" si="0"/>
        <v>Affaldsforbrug kølevarme Ovn3</v>
      </c>
      <c r="D77" s="21">
        <f t="shared" si="1"/>
        <v>1</v>
      </c>
      <c r="E77" s="11" cm="1">
        <f t="array" ref="E77">IFERROR(IF($D77 &lt;&gt;0,ResultValue($C77,COLUMN(F77)-COLUMN($C77))/$D77,""),"")</f>
        <v>0</v>
      </c>
      <c r="F77" s="11" cm="1">
        <f t="array" ref="F77">IFERROR(IF($D77 &lt;&gt;0,ResultValue($C77,COLUMN(G77)-COLUMN($C77))/$D77,""),"")</f>
        <v>0</v>
      </c>
      <c r="G77" s="11" cm="1">
        <f t="array" ref="G77">IFERROR(IF($D77 &lt;&gt;0,ResultValue($C77,COLUMN(H77)-COLUMN($C77))/$D77,""),"")</f>
        <v>0</v>
      </c>
      <c r="H77" s="11" cm="1">
        <f t="array" ref="H77">IFERROR(IF($D77 &lt;&gt;0,ResultValue($C77,COLUMN(I77)-COLUMN($C77))/$D77,""),"")</f>
        <v>0</v>
      </c>
      <c r="I77" s="11" cm="1">
        <f t="array" ref="I77">IFERROR(IF($D77 &lt;&gt;0,ResultValue($C77,COLUMN(J77)-COLUMN($C77))/$D77,""),"")</f>
        <v>0</v>
      </c>
      <c r="J77" s="11" cm="1">
        <f t="array" ref="J77">IFERROR(IF($D77 &lt;&gt;0,ResultValue($C77,COLUMN(K77)-COLUMN($C77))/$D77,""),"")</f>
        <v>0</v>
      </c>
      <c r="K77" s="11" cm="1">
        <f t="array" ref="K77">IFERROR(IF($D77 &lt;&gt;0,ResultValue($C77,COLUMN(L77)-COLUMN($C77))/$D77,""),"")</f>
        <v>0</v>
      </c>
      <c r="L77" s="11" cm="1">
        <f t="array" ref="L77">IFERROR(IF($D77 &lt;&gt;0,ResultValue($C77,COLUMN(M77)-COLUMN($C77))/$D77,""),"")</f>
        <v>0</v>
      </c>
      <c r="M77" s="11" cm="1">
        <f t="array" ref="M77">IFERROR(IF($D77 &lt;&gt;0,ResultValue($C77,COLUMN(N77)-COLUMN($C77))/$D77,""),"")</f>
        <v>0</v>
      </c>
      <c r="N77" s="11" cm="1">
        <f t="array" ref="N77">IFERROR(IF($D77 &lt;&gt;0,ResultValue($C77,COLUMN(O77)-COLUMN($C77))/$D77,""),"")</f>
        <v>0</v>
      </c>
      <c r="O77" s="11" cm="1">
        <f t="array" ref="O77">IFERROR(IF($D77 &lt;&gt;0,ResultValue($C77,COLUMN(P77)-COLUMN($C77))/$D77,""),"")</f>
        <v>0</v>
      </c>
      <c r="P77" s="11" cm="1">
        <f t="array" ref="P77">IFERROR(IF($D77 &lt;&gt;0,ResultValue($C77,COLUMN(Q77)-COLUMN($C77))/$D77,""),"")</f>
        <v>0</v>
      </c>
      <c r="Q77" s="11" cm="1">
        <f t="array" ref="Q77">IFERROR(IF($D77 &lt;&gt;0,ResultValue($C77,COLUMN(R77)-COLUMN($C77))/$D77,""),"")</f>
        <v>0</v>
      </c>
      <c r="R77" s="11" cm="1">
        <f t="array" ref="R77">IFERROR(IF($D77 &lt;&gt;0,ResultValue($C77,COLUMN(S77)-COLUMN($C77))/$D77,""),"")</f>
        <v>0</v>
      </c>
      <c r="S77" s="11" cm="1">
        <f t="array" ref="S77">IFERROR(IF($D77 &lt;&gt;0,ResultValue($C77,COLUMN(T77)-COLUMN($C77))/$D77,""),"")</f>
        <v>0</v>
      </c>
      <c r="T77" s="11" cm="1">
        <f t="array" ref="T77">IFERROR(IF($D77 &lt;&gt;0,ResultValue($C77,COLUMN(U77)-COLUMN($C77))/$D77,""),"")</f>
        <v>0</v>
      </c>
      <c r="U77" s="11" cm="1">
        <f t="array" ref="U77">IFERROR(IF($D77 &lt;&gt;0,ResultValue($C77,COLUMN(V77)-COLUMN($C77))/$D77,""),"")</f>
        <v>0</v>
      </c>
      <c r="V77" s="11" cm="1">
        <f t="array" ref="V77">IFERROR(IF($D77 &lt;&gt;0,ResultValue($C77,COLUMN(W77)-COLUMN($C77))/$D77,""),"")</f>
        <v>0</v>
      </c>
      <c r="W77" s="11" cm="1">
        <f t="array" ref="W77">IFERROR(IF($D77 &lt;&gt;0,ResultValue($C77,COLUMN(X77)-COLUMN($C77))/$D77,""),"")</f>
        <v>0</v>
      </c>
      <c r="X77" s="11" cm="1">
        <f t="array" ref="X77">IFERROR(IF($D77 &lt;&gt;0,ResultValue($C77,COLUMN(Y77)-COLUMN($C77))/$D77,""),"")</f>
        <v>0</v>
      </c>
      <c r="Y77" s="11" cm="1">
        <f t="array" ref="Y77">IFERROR(IF($D77 &lt;&gt;0,ResultValue($C77,COLUMN(Z77)-COLUMN($C77))/$D77,""),"")</f>
        <v>0</v>
      </c>
    </row>
    <row r="78" spans="1:25" x14ac:dyDescent="0.25">
      <c r="A78" t="str">
        <v>Bortkølet varme</v>
      </c>
      <c r="B78" s="28"/>
      <c r="C78" t="str">
        <f t="shared" si="0"/>
        <v>Udnyttet affald</v>
      </c>
      <c r="D78" s="21">
        <f t="shared" si="1"/>
        <v>1</v>
      </c>
      <c r="E78" s="11" cm="1">
        <f t="array" ref="E78">IFERROR(IF($D78 &lt;&gt;0,ResultValue($C78,COLUMN(F78)-COLUMN($C78))/$D78,""),"")</f>
        <v>8991.9860627177695</v>
      </c>
      <c r="F78" s="11" cm="1">
        <f t="array" ref="F78">IFERROR(IF($D78 &lt;&gt;0,ResultValue($C78,COLUMN(G78)-COLUMN($C78))/$D78,""),"")</f>
        <v>8991.9860627177695</v>
      </c>
      <c r="G78" s="11" cm="1">
        <f t="array" ref="G78">IFERROR(IF($D78 &lt;&gt;0,ResultValue($C78,COLUMN(H78)-COLUMN($C78))/$D78,""),"")</f>
        <v>8991.9860627177695</v>
      </c>
      <c r="H78" s="11" cm="1">
        <f t="array" ref="H78">IFERROR(IF($D78 &lt;&gt;0,ResultValue($C78,COLUMN(I78)-COLUMN($C78))/$D78,""),"")</f>
        <v>8991.9860627177695</v>
      </c>
      <c r="I78" s="11" cm="1">
        <f t="array" ref="I78">IFERROR(IF($D78 &lt;&gt;0,ResultValue($C78,COLUMN(J78)-COLUMN($C78))/$D78,""),"")</f>
        <v>8991.9860627177695</v>
      </c>
      <c r="J78" s="11" cm="1">
        <f t="array" ref="J78">IFERROR(IF($D78 &lt;&gt;0,ResultValue($C78,COLUMN(K78)-COLUMN($C78))/$D78,""),"")</f>
        <v>8991.9860627177695</v>
      </c>
      <c r="K78" s="11" cm="1">
        <f t="array" ref="K78">IFERROR(IF($D78 &lt;&gt;0,ResultValue($C78,COLUMN(L78)-COLUMN($C78))/$D78,""),"")</f>
        <v>8991.9860627177695</v>
      </c>
      <c r="L78" s="11" cm="1">
        <f t="array" ref="L78">IFERROR(IF($D78 &lt;&gt;0,ResultValue($C78,COLUMN(M78)-COLUMN($C78))/$D78,""),"")</f>
        <v>8991.9860627177695</v>
      </c>
      <c r="M78" s="11" cm="1">
        <f t="array" ref="M78">IFERROR(IF($D78 &lt;&gt;0,ResultValue($C78,COLUMN(N78)-COLUMN($C78))/$D78,""),"")</f>
        <v>8991.9860627177695</v>
      </c>
      <c r="N78" s="11" cm="1">
        <f t="array" ref="N78">IFERROR(IF($D78 &lt;&gt;0,ResultValue($C78,COLUMN(O78)-COLUMN($C78))/$D78,""),"")</f>
        <v>8991.9860627177695</v>
      </c>
      <c r="O78" s="11" cm="1">
        <f t="array" ref="O78">IFERROR(IF($D78 &lt;&gt;0,ResultValue($C78,COLUMN(P78)-COLUMN($C78))/$D78,""),"")</f>
        <v>8991.9860627177695</v>
      </c>
      <c r="P78" s="11" cm="1">
        <f t="array" ref="P78">IFERROR(IF($D78 &lt;&gt;0,ResultValue($C78,COLUMN(Q78)-COLUMN($C78))/$D78,""),"")</f>
        <v>8991.9860627177695</v>
      </c>
      <c r="Q78" s="11" cm="1">
        <f t="array" ref="Q78">IFERROR(IF($D78 &lt;&gt;0,ResultValue($C78,COLUMN(R78)-COLUMN($C78))/$D78,""),"")</f>
        <v>8991.9860627177695</v>
      </c>
      <c r="R78" s="11" cm="1">
        <f t="array" ref="R78">IFERROR(IF($D78 &lt;&gt;0,ResultValue($C78,COLUMN(S78)-COLUMN($C78))/$D78,""),"")</f>
        <v>0</v>
      </c>
      <c r="S78" s="11" cm="1">
        <f t="array" ref="S78">IFERROR(IF($D78 &lt;&gt;0,ResultValue($C78,COLUMN(T78)-COLUMN($C78))/$D78,""),"")</f>
        <v>0</v>
      </c>
      <c r="T78" s="11" cm="1">
        <f t="array" ref="T78">IFERROR(IF($D78 &lt;&gt;0,ResultValue($C78,COLUMN(U78)-COLUMN($C78))/$D78,""),"")</f>
        <v>0</v>
      </c>
      <c r="U78" s="11" cm="1">
        <f t="array" ref="U78">IFERROR(IF($D78 &lt;&gt;0,ResultValue($C78,COLUMN(V78)-COLUMN($C78))/$D78,""),"")</f>
        <v>0</v>
      </c>
      <c r="V78" s="11" cm="1">
        <f t="array" ref="V78">IFERROR(IF($D78 &lt;&gt;0,ResultValue($C78,COLUMN(W78)-COLUMN($C78))/$D78,""),"")</f>
        <v>0</v>
      </c>
      <c r="W78" s="11" cm="1">
        <f t="array" ref="W78">IFERROR(IF($D78 &lt;&gt;0,ResultValue($C78,COLUMN(X78)-COLUMN($C78))/$D78,""),"")</f>
        <v>0</v>
      </c>
      <c r="X78" s="11" cm="1">
        <f t="array" ref="X78">IFERROR(IF($D78 &lt;&gt;0,ResultValue($C78,COLUMN(Y78)-COLUMN($C78))/$D78,""),"")</f>
        <v>0</v>
      </c>
      <c r="Y78" s="11" cm="1">
        <f t="array" ref="Y78">IFERROR(IF($D78 &lt;&gt;0,ResultValue($C78,COLUMN(Z78)-COLUMN($C78))/$D78,""),"")</f>
        <v>0</v>
      </c>
    </row>
    <row r="79" spans="1:25" x14ac:dyDescent="0.25">
      <c r="A79" t="str">
        <v>Leveret affaldsvarme</v>
      </c>
      <c r="B79" s="28"/>
      <c r="C79" t="str">
        <f t="shared" si="0"/>
        <v>Ikke-udnyttet affald</v>
      </c>
      <c r="D79" s="21">
        <f t="shared" si="1"/>
        <v>1</v>
      </c>
      <c r="E79" s="11" cm="1">
        <f t="array" ref="E79">IFERROR(IF($D79 &lt;&gt;0,ResultValue($C79,COLUMN(F79)-COLUMN($C79))/$D79,""),"")</f>
        <v>3708.0139372822309</v>
      </c>
      <c r="F79" s="11" cm="1">
        <f t="array" ref="F79">IFERROR(IF($D79 &lt;&gt;0,ResultValue($C79,COLUMN(G79)-COLUMN($C79))/$D79,""),"")</f>
        <v>3708.0139372822309</v>
      </c>
      <c r="G79" s="11" cm="1">
        <f t="array" ref="G79">IFERROR(IF($D79 &lt;&gt;0,ResultValue($C79,COLUMN(H79)-COLUMN($C79))/$D79,""),"")</f>
        <v>3708.0139372822309</v>
      </c>
      <c r="H79" s="11" cm="1">
        <f t="array" ref="H79">IFERROR(IF($D79 &lt;&gt;0,ResultValue($C79,COLUMN(I79)-COLUMN($C79))/$D79,""),"")</f>
        <v>3708.0139372822309</v>
      </c>
      <c r="I79" s="11" cm="1">
        <f t="array" ref="I79">IFERROR(IF($D79 &lt;&gt;0,ResultValue($C79,COLUMN(J79)-COLUMN($C79))/$D79,""),"")</f>
        <v>3708.0139372822309</v>
      </c>
      <c r="J79" s="11" cm="1">
        <f t="array" ref="J79">IFERROR(IF($D79 &lt;&gt;0,ResultValue($C79,COLUMN(K79)-COLUMN($C79))/$D79,""),"")</f>
        <v>3708.0139372822309</v>
      </c>
      <c r="K79" s="11" cm="1">
        <f t="array" ref="K79">IFERROR(IF($D79 &lt;&gt;0,ResultValue($C79,COLUMN(L79)-COLUMN($C79))/$D79,""),"")</f>
        <v>3708.0139372822309</v>
      </c>
      <c r="L79" s="11" cm="1">
        <f t="array" ref="L79">IFERROR(IF($D79 &lt;&gt;0,ResultValue($C79,COLUMN(M79)-COLUMN($C79))/$D79,""),"")</f>
        <v>3708.0139372822309</v>
      </c>
      <c r="M79" s="11" cm="1">
        <f t="array" ref="M79">IFERROR(IF($D79 &lt;&gt;0,ResultValue($C79,COLUMN(N79)-COLUMN($C79))/$D79,""),"")</f>
        <v>3708.0139372822309</v>
      </c>
      <c r="N79" s="11" cm="1">
        <f t="array" ref="N79">IFERROR(IF($D79 &lt;&gt;0,ResultValue($C79,COLUMN(O79)-COLUMN($C79))/$D79,""),"")</f>
        <v>3708.0139372822309</v>
      </c>
      <c r="O79" s="11" cm="1">
        <f t="array" ref="O79">IFERROR(IF($D79 &lt;&gt;0,ResultValue($C79,COLUMN(P79)-COLUMN($C79))/$D79,""),"")</f>
        <v>3708.0139372822309</v>
      </c>
      <c r="P79" s="11" cm="1">
        <f t="array" ref="P79">IFERROR(IF($D79 &lt;&gt;0,ResultValue($C79,COLUMN(Q79)-COLUMN($C79))/$D79,""),"")</f>
        <v>3708.0139372822309</v>
      </c>
      <c r="Q79" s="11" cm="1">
        <f t="array" ref="Q79">IFERROR(IF($D79 &lt;&gt;0,ResultValue($C79,COLUMN(R79)-COLUMN($C79))/$D79,""),"")</f>
        <v>3708.0139372822309</v>
      </c>
      <c r="R79" s="11" cm="1">
        <f t="array" ref="R79">IFERROR(IF($D79 &lt;&gt;0,ResultValue($C79,COLUMN(S79)-COLUMN($C79))/$D79,""),"")</f>
        <v>0</v>
      </c>
      <c r="S79" s="11" cm="1">
        <f t="array" ref="S79">IFERROR(IF($D79 &lt;&gt;0,ResultValue($C79,COLUMN(T79)-COLUMN($C79))/$D79,""),"")</f>
        <v>0</v>
      </c>
      <c r="T79" s="11" cm="1">
        <f t="array" ref="T79">IFERROR(IF($D79 &lt;&gt;0,ResultValue($C79,COLUMN(U79)-COLUMN($C79))/$D79,""),"")</f>
        <v>0</v>
      </c>
      <c r="U79" s="11" cm="1">
        <f t="array" ref="U79">IFERROR(IF($D79 &lt;&gt;0,ResultValue($C79,COLUMN(V79)-COLUMN($C79))/$D79,""),"")</f>
        <v>0</v>
      </c>
      <c r="V79" s="11" cm="1">
        <f t="array" ref="V79">IFERROR(IF($D79 &lt;&gt;0,ResultValue($C79,COLUMN(W79)-COLUMN($C79))/$D79,""),"")</f>
        <v>0</v>
      </c>
      <c r="W79" s="11" cm="1">
        <f t="array" ref="W79">IFERROR(IF($D79 &lt;&gt;0,ResultValue($C79,COLUMN(X79)-COLUMN($C79))/$D79,""),"")</f>
        <v>0</v>
      </c>
      <c r="X79" s="11" cm="1">
        <f t="array" ref="X79">IFERROR(IF($D79 &lt;&gt;0,ResultValue($C79,COLUMN(Y79)-COLUMN($C79))/$D79,""),"")</f>
        <v>0</v>
      </c>
      <c r="Y79" s="11" cm="1">
        <f t="array" ref="Y79">IFERROR(IF($D79 &lt;&gt;0,ResultValue($C79,COLUMN(Z79)-COLUMN($C79))/$D79,""),"")</f>
        <v>0</v>
      </c>
    </row>
    <row r="80" spans="1:25" x14ac:dyDescent="0.25">
      <c r="A80" t="str">
        <v>Spidslastvarme</v>
      </c>
      <c r="B80" s="28"/>
      <c r="C80" t="s">
        <v>322</v>
      </c>
      <c r="D80" s="21">
        <f t="shared" si="1"/>
        <v>1</v>
      </c>
      <c r="E80" s="11" cm="1">
        <f t="array" ref="E80">IFERROR(IF($D80 &lt;&gt;0,ResultValue($C80,COLUMN(F80)-COLUMN($C80))/$D80,""),"")</f>
        <v>0.3702664796633941</v>
      </c>
      <c r="F80" s="11" cm="1">
        <f t="array" ref="F80">IFERROR(IF($D80 &lt;&gt;0,ResultValue($C80,COLUMN(G80)-COLUMN($C80))/$D80,""),"")</f>
        <v>0.3702664796633941</v>
      </c>
      <c r="G80" s="11" cm="1">
        <f t="array" ref="G80">IFERROR(IF($D80 &lt;&gt;0,ResultValue($C80,COLUMN(H80)-COLUMN($C80))/$D80,""),"")</f>
        <v>0.3702664796633941</v>
      </c>
      <c r="H80" s="11" cm="1">
        <f t="array" ref="H80">IFERROR(IF($D80 &lt;&gt;0,ResultValue($C80,COLUMN(I80)-COLUMN($C80))/$D80,""),"")</f>
        <v>0.3702664796633941</v>
      </c>
      <c r="I80" s="11" cm="1">
        <f t="array" ref="I80">IFERROR(IF($D80 &lt;&gt;0,ResultValue($C80,COLUMN(J80)-COLUMN($C80))/$D80,""),"")</f>
        <v>0.3702664796633941</v>
      </c>
      <c r="J80" s="11" cm="1">
        <f t="array" ref="J80">IFERROR(IF($D80 &lt;&gt;0,ResultValue($C80,COLUMN(K80)-COLUMN($C80))/$D80,""),"")</f>
        <v>0.3702664796633941</v>
      </c>
      <c r="K80" s="11" cm="1">
        <f t="array" ref="K80">IFERROR(IF($D80 &lt;&gt;0,ResultValue($C80,COLUMN(L80)-COLUMN($C80))/$D80,""),"")</f>
        <v>0.3702664796633941</v>
      </c>
      <c r="L80" s="11" cm="1">
        <f t="array" ref="L80">IFERROR(IF($D80 &lt;&gt;0,ResultValue($C80,COLUMN(M80)-COLUMN($C80))/$D80,""),"")</f>
        <v>0.3702664796633941</v>
      </c>
      <c r="M80" s="11" cm="1">
        <f t="array" ref="M80">IFERROR(IF($D80 &lt;&gt;0,ResultValue($C80,COLUMN(N80)-COLUMN($C80))/$D80,""),"")</f>
        <v>0.3702664796633941</v>
      </c>
      <c r="N80" s="11" cm="1">
        <f t="array" ref="N80">IFERROR(IF($D80 &lt;&gt;0,ResultValue($C80,COLUMN(O80)-COLUMN($C80))/$D80,""),"")</f>
        <v>0.3702664796633941</v>
      </c>
      <c r="O80" s="11" cm="1">
        <f t="array" ref="O80">IFERROR(IF($D80 &lt;&gt;0,ResultValue($C80,COLUMN(P80)-COLUMN($C80))/$D80,""),"")</f>
        <v>0.3702664796633941</v>
      </c>
      <c r="P80" s="11" cm="1">
        <f t="array" ref="P80">IFERROR(IF($D80 &lt;&gt;0,ResultValue($C80,COLUMN(Q80)-COLUMN($C80))/$D80,""),"")</f>
        <v>0.3702664796633941</v>
      </c>
      <c r="Q80" s="11" cm="1">
        <f t="array" ref="Q80">IFERROR(IF($D80 &lt;&gt;0,ResultValue($C80,COLUMN(R80)-COLUMN($C80))/$D80,""),"")</f>
        <v>0.3702664796633941</v>
      </c>
      <c r="R80" s="11" cm="1">
        <f t="array" ref="R80">IFERROR(IF($D80 &lt;&gt;0,ResultValue($C80,COLUMN(S80)-COLUMN($C80))/$D80,""),"")</f>
        <v>0</v>
      </c>
      <c r="S80" s="11" cm="1">
        <f t="array" ref="S80">IFERROR(IF($D80 &lt;&gt;0,ResultValue($C80,COLUMN(T80)-COLUMN($C80))/$D80,""),"")</f>
        <v>0</v>
      </c>
      <c r="T80" s="11" cm="1">
        <f t="array" ref="T80">IFERROR(IF($D80 &lt;&gt;0,ResultValue($C80,COLUMN(U80)-COLUMN($C80))/$D80,""),"")</f>
        <v>0</v>
      </c>
      <c r="U80" s="11" cm="1">
        <f t="array" ref="U80">IFERROR(IF($D80 &lt;&gt;0,ResultValue($C80,COLUMN(V80)-COLUMN($C80))/$D80,""),"")</f>
        <v>0</v>
      </c>
      <c r="V80" s="11" cm="1">
        <f t="array" ref="V80">IFERROR(IF($D80 &lt;&gt;0,ResultValue($C80,COLUMN(W80)-COLUMN($C80))/$D80,""),"")</f>
        <v>0</v>
      </c>
      <c r="W80" s="11" cm="1">
        <f t="array" ref="W80">IFERROR(IF($D80 &lt;&gt;0,ResultValue($C80,COLUMN(X80)-COLUMN($C80))/$D80,""),"")</f>
        <v>0</v>
      </c>
      <c r="X80" s="11" cm="1">
        <f t="array" ref="X80">IFERROR(IF($D80 &lt;&gt;0,ResultValue($C80,COLUMN(Y80)-COLUMN($C80))/$D80,""),"")</f>
        <v>0</v>
      </c>
      <c r="Y80" s="11" cm="1">
        <f t="array" ref="Y80">IFERROR(IF($D80 &lt;&gt;0,ResultValue($C80,COLUMN(Z80)-COLUMN($C80))/$D80,""),"")</f>
        <v>0</v>
      </c>
    </row>
    <row r="81" spans="1:25" x14ac:dyDescent="0.25">
      <c r="A81" t="str">
        <v>Affaldsforbrug Ovn3</v>
      </c>
      <c r="B81" s="28"/>
      <c r="C81" t="s">
        <v>324</v>
      </c>
      <c r="D81" s="21">
        <f t="shared" si="1"/>
        <v>1</v>
      </c>
      <c r="E81" s="11" cm="1">
        <f t="array" ref="E81">IFERROR(IF($D81 &lt;&gt;0,ResultValue($C81,COLUMN(F81)-COLUMN($C81))/$D81,""),"")</f>
        <v>1</v>
      </c>
      <c r="F81" s="11" cm="1">
        <f t="array" ref="F81">IFERROR(IF($D81 &lt;&gt;0,ResultValue($C81,COLUMN(G81)-COLUMN($C81))/$D81,""),"")</f>
        <v>1</v>
      </c>
      <c r="G81" s="11" cm="1">
        <f t="array" ref="G81">IFERROR(IF($D81 &lt;&gt;0,ResultValue($C81,COLUMN(H81)-COLUMN($C81))/$D81,""),"")</f>
        <v>1</v>
      </c>
      <c r="H81" s="11" cm="1">
        <f t="array" ref="H81">IFERROR(IF($D81 &lt;&gt;0,ResultValue($C81,COLUMN(I81)-COLUMN($C81))/$D81,""),"")</f>
        <v>1</v>
      </c>
      <c r="I81" s="11" cm="1">
        <f t="array" ref="I81">IFERROR(IF($D81 &lt;&gt;0,ResultValue($C81,COLUMN(J81)-COLUMN($C81))/$D81,""),"")</f>
        <v>1</v>
      </c>
      <c r="J81" s="11" cm="1">
        <f t="array" ref="J81">IFERROR(IF($D81 &lt;&gt;0,ResultValue($C81,COLUMN(K81)-COLUMN($C81))/$D81,""),"")</f>
        <v>1</v>
      </c>
      <c r="K81" s="11" cm="1">
        <f t="array" ref="K81">IFERROR(IF($D81 &lt;&gt;0,ResultValue($C81,COLUMN(L81)-COLUMN($C81))/$D81,""),"")</f>
        <v>1</v>
      </c>
      <c r="L81" s="11" cm="1">
        <f t="array" ref="L81">IFERROR(IF($D81 &lt;&gt;0,ResultValue($C81,COLUMN(M81)-COLUMN($C81))/$D81,""),"")</f>
        <v>1</v>
      </c>
      <c r="M81" s="11" cm="1">
        <f t="array" ref="M81">IFERROR(IF($D81 &lt;&gt;0,ResultValue($C81,COLUMN(N81)-COLUMN($C81))/$D81,""),"")</f>
        <v>1</v>
      </c>
      <c r="N81" s="11" cm="1">
        <f t="array" ref="N81">IFERROR(IF($D81 &lt;&gt;0,ResultValue($C81,COLUMN(O81)-COLUMN($C81))/$D81,""),"")</f>
        <v>1</v>
      </c>
      <c r="O81" s="11" cm="1">
        <f t="array" ref="O81">IFERROR(IF($D81 &lt;&gt;0,ResultValue($C81,COLUMN(P81)-COLUMN($C81))/$D81,""),"")</f>
        <v>1</v>
      </c>
      <c r="P81" s="11" cm="1">
        <f t="array" ref="P81">IFERROR(IF($D81 &lt;&gt;0,ResultValue($C81,COLUMN(Q81)-COLUMN($C81))/$D81,""),"")</f>
        <v>1</v>
      </c>
      <c r="Q81" s="11" cm="1">
        <f t="array" ref="Q81">IFERROR(IF($D81 &lt;&gt;0,ResultValue($C81,COLUMN(R81)-COLUMN($C81))/$D81,""),"")</f>
        <v>1</v>
      </c>
      <c r="R81" s="11" cm="1">
        <f t="array" ref="R81">IFERROR(IF($D81 &lt;&gt;0,ResultValue($C81,COLUMN(S81)-COLUMN($C81))/$D81,""),"")</f>
        <v>0</v>
      </c>
      <c r="S81" s="11" cm="1">
        <f t="array" ref="S81">IFERROR(IF($D81 &lt;&gt;0,ResultValue($C81,COLUMN(T81)-COLUMN($C81))/$D81,""),"")</f>
        <v>0</v>
      </c>
      <c r="T81" s="11" cm="1">
        <f t="array" ref="T81">IFERROR(IF($D81 &lt;&gt;0,ResultValue($C81,COLUMN(U81)-COLUMN($C81))/$D81,""),"")</f>
        <v>0</v>
      </c>
      <c r="U81" s="11" cm="1">
        <f t="array" ref="U81">IFERROR(IF($D81 &lt;&gt;0,ResultValue($C81,COLUMN(V81)-COLUMN($C81))/$D81,""),"")</f>
        <v>0</v>
      </c>
      <c r="V81" s="11" cm="1">
        <f t="array" ref="V81">IFERROR(IF($D81 &lt;&gt;0,ResultValue($C81,COLUMN(W81)-COLUMN($C81))/$D81,""),"")</f>
        <v>0</v>
      </c>
      <c r="W81" s="11" cm="1">
        <f t="array" ref="W81">IFERROR(IF($D81 &lt;&gt;0,ResultValue($C81,COLUMN(X81)-COLUMN($C81))/$D81,""),"")</f>
        <v>0</v>
      </c>
      <c r="X81" s="11" cm="1">
        <f t="array" ref="X81">IFERROR(IF($D81 &lt;&gt;0,ResultValue($C81,COLUMN(Y81)-COLUMN($C81))/$D81,""),"")</f>
        <v>0</v>
      </c>
      <c r="Y81" s="11" cm="1">
        <f t="array" ref="Y81">IFERROR(IF($D81 &lt;&gt;0,ResultValue($C81,COLUMN(Z81)-COLUMN($C81))/$D81,""),"")</f>
        <v>0</v>
      </c>
    </row>
    <row r="82" spans="1:25" x14ac:dyDescent="0.25">
      <c r="A82" t="str">
        <v>Nordic Sugar varme</v>
      </c>
      <c r="B82" s="28"/>
      <c r="C82" t="str">
        <f t="shared" si="0"/>
        <v>Bortkøleanlæg udnyttelse</v>
      </c>
      <c r="D82" s="21">
        <f t="shared" si="1"/>
        <v>1</v>
      </c>
      <c r="E82" s="11" cm="1">
        <f t="array" ref="E82">IFERROR(IF($D82 &lt;&gt;0,ResultValue($C82,COLUMN(F82)-COLUMN($C82))/$D82,""),"")</f>
        <v>0</v>
      </c>
      <c r="F82" s="11" cm="1">
        <f t="array" ref="F82">IFERROR(IF($D82 &lt;&gt;0,ResultValue($C82,COLUMN(G82)-COLUMN($C82))/$D82,""),"")</f>
        <v>0</v>
      </c>
      <c r="G82" s="11" cm="1">
        <f t="array" ref="G82">IFERROR(IF($D82 &lt;&gt;0,ResultValue($C82,COLUMN(H82)-COLUMN($C82))/$D82,""),"")</f>
        <v>0</v>
      </c>
      <c r="H82" s="11" cm="1">
        <f t="array" ref="H82">IFERROR(IF($D82 &lt;&gt;0,ResultValue($C82,COLUMN(I82)-COLUMN($C82))/$D82,""),"")</f>
        <v>0</v>
      </c>
      <c r="I82" s="11" cm="1">
        <f t="array" ref="I82">IFERROR(IF($D82 &lt;&gt;0,ResultValue($C82,COLUMN(J82)-COLUMN($C82))/$D82,""),"")</f>
        <v>0</v>
      </c>
      <c r="J82" s="11" cm="1">
        <f t="array" ref="J82">IFERROR(IF($D82 &lt;&gt;0,ResultValue($C82,COLUMN(K82)-COLUMN($C82))/$D82,""),"")</f>
        <v>0</v>
      </c>
      <c r="K82" s="11" cm="1">
        <f t="array" ref="K82">IFERROR(IF($D82 &lt;&gt;0,ResultValue($C82,COLUMN(L82)-COLUMN($C82))/$D82,""),"")</f>
        <v>0</v>
      </c>
      <c r="L82" s="11" cm="1">
        <f t="array" ref="L82">IFERROR(IF($D82 &lt;&gt;0,ResultValue($C82,COLUMN(M82)-COLUMN($C82))/$D82,""),"")</f>
        <v>0</v>
      </c>
      <c r="M82" s="11" cm="1">
        <f t="array" ref="M82">IFERROR(IF($D82 &lt;&gt;0,ResultValue($C82,COLUMN(N82)-COLUMN($C82))/$D82,""),"")</f>
        <v>0</v>
      </c>
      <c r="N82" s="11" cm="1">
        <f t="array" ref="N82">IFERROR(IF($D82 &lt;&gt;0,ResultValue($C82,COLUMN(O82)-COLUMN($C82))/$D82,""),"")</f>
        <v>0</v>
      </c>
      <c r="O82" s="11" cm="1">
        <f t="array" ref="O82">IFERROR(IF($D82 &lt;&gt;0,ResultValue($C82,COLUMN(P82)-COLUMN($C82))/$D82,""),"")</f>
        <v>0</v>
      </c>
      <c r="P82" s="11" cm="1">
        <f t="array" ref="P82">IFERROR(IF($D82 &lt;&gt;0,ResultValue($C82,COLUMN(Q82)-COLUMN($C82))/$D82,""),"")</f>
        <v>0</v>
      </c>
      <c r="Q82" s="11" cm="1">
        <f t="array" ref="Q82">IFERROR(IF($D82 &lt;&gt;0,ResultValue($C82,COLUMN(R82)-COLUMN($C82))/$D82,""),"")</f>
        <v>0</v>
      </c>
      <c r="R82" s="11" cm="1">
        <f t="array" ref="R82">IFERROR(IF($D82 &lt;&gt;0,ResultValue($C82,COLUMN(S82)-COLUMN($C82))/$D82,""),"")</f>
        <v>0</v>
      </c>
      <c r="S82" s="11" cm="1">
        <f t="array" ref="S82">IFERROR(IF($D82 &lt;&gt;0,ResultValue($C82,COLUMN(T82)-COLUMN($C82))/$D82,""),"")</f>
        <v>0</v>
      </c>
      <c r="T82" s="11" cm="1">
        <f t="array" ref="T82">IFERROR(IF($D82 &lt;&gt;0,ResultValue($C82,COLUMN(U82)-COLUMN($C82))/$D82,""),"")</f>
        <v>0</v>
      </c>
      <c r="U82" s="11" cm="1">
        <f t="array" ref="U82">IFERROR(IF($D82 &lt;&gt;0,ResultValue($C82,COLUMN(V82)-COLUMN($C82))/$D82,""),"")</f>
        <v>0</v>
      </c>
      <c r="V82" s="11" cm="1">
        <f t="array" ref="V82">IFERROR(IF($D82 &lt;&gt;0,ResultValue($C82,COLUMN(W82)-COLUMN($C82))/$D82,""),"")</f>
        <v>0</v>
      </c>
      <c r="W82" s="11" cm="1">
        <f t="array" ref="W82">IFERROR(IF($D82 &lt;&gt;0,ResultValue($C82,COLUMN(X82)-COLUMN($C82))/$D82,""),"")</f>
        <v>0</v>
      </c>
      <c r="X82" s="11" cm="1">
        <f t="array" ref="X82">IFERROR(IF($D82 &lt;&gt;0,ResultValue($C82,COLUMN(Y82)-COLUMN($C82))/$D82,""),"")</f>
        <v>0</v>
      </c>
      <c r="Y82" s="11" cm="1">
        <f t="array" ref="Y82">IFERROR(IF($D82 &lt;&gt;0,ResultValue($C82,COLUMN(Z82)-COLUMN($C82))/$D82,""),"")</f>
        <v>0</v>
      </c>
    </row>
    <row r="83" spans="1:25" x14ac:dyDescent="0.25">
      <c r="A83" t="str">
        <v>Affaldsforbrug Ovn2</v>
      </c>
      <c r="B83" s="28"/>
      <c r="C83" t="str">
        <f t="shared" si="0"/>
        <v>NS-varme udnyttelse</v>
      </c>
      <c r="D83" s="21">
        <f t="shared" si="1"/>
        <v>1</v>
      </c>
      <c r="E83" s="11" cm="1">
        <f t="array" ref="E83">IFERROR(IF($D83 &lt;&gt;0,ResultValue($C83,COLUMN(F83)-COLUMN($C83))/$D83,""),"")</f>
        <v>1</v>
      </c>
      <c r="F83" s="11" cm="1">
        <f t="array" ref="F83">IFERROR(IF($D83 &lt;&gt;0,ResultValue($C83,COLUMN(G83)-COLUMN($C83))/$D83,""),"")</f>
        <v>1</v>
      </c>
      <c r="G83" s="11" cm="1">
        <f t="array" ref="G83">IFERROR(IF($D83 &lt;&gt;0,ResultValue($C83,COLUMN(H83)-COLUMN($C83))/$D83,""),"")</f>
        <v>1</v>
      </c>
      <c r="H83" s="11" cm="1">
        <f t="array" ref="H83">IFERROR(IF($D83 &lt;&gt;0,ResultValue($C83,COLUMN(I83)-COLUMN($C83))/$D83,""),"")</f>
        <v>1</v>
      </c>
      <c r="I83" s="11" cm="1">
        <f t="array" ref="I83">IFERROR(IF($D83 &lt;&gt;0,ResultValue($C83,COLUMN(J83)-COLUMN($C83))/$D83,""),"")</f>
        <v>1</v>
      </c>
      <c r="J83" s="11" cm="1">
        <f t="array" ref="J83">IFERROR(IF($D83 &lt;&gt;0,ResultValue($C83,COLUMN(K83)-COLUMN($C83))/$D83,""),"")</f>
        <v>1</v>
      </c>
      <c r="K83" s="11" cm="1">
        <f t="array" ref="K83">IFERROR(IF($D83 &lt;&gt;0,ResultValue($C83,COLUMN(L83)-COLUMN($C83))/$D83,""),"")</f>
        <v>1</v>
      </c>
      <c r="L83" s="11" cm="1">
        <f t="array" ref="L83">IFERROR(IF($D83 &lt;&gt;0,ResultValue($C83,COLUMN(M83)-COLUMN($C83))/$D83,""),"")</f>
        <v>1</v>
      </c>
      <c r="M83" s="11" cm="1">
        <f t="array" ref="M83">IFERROR(IF($D83 &lt;&gt;0,ResultValue($C83,COLUMN(N83)-COLUMN($C83))/$D83,""),"")</f>
        <v>1</v>
      </c>
      <c r="N83" s="11" cm="1">
        <f t="array" ref="N83">IFERROR(IF($D83 &lt;&gt;0,ResultValue($C83,COLUMN(O83)-COLUMN($C83))/$D83,""),"")</f>
        <v>1</v>
      </c>
      <c r="O83" s="11" cm="1">
        <f t="array" ref="O83">IFERROR(IF($D83 &lt;&gt;0,ResultValue($C83,COLUMN(P83)-COLUMN($C83))/$D83,""),"")</f>
        <v>1</v>
      </c>
      <c r="P83" s="11" cm="1">
        <f t="array" ref="P83">IFERROR(IF($D83 &lt;&gt;0,ResultValue($C83,COLUMN(Q83)-COLUMN($C83))/$D83,""),"")</f>
        <v>1</v>
      </c>
      <c r="Q83" s="11" cm="1">
        <f t="array" ref="Q83">IFERROR(IF($D83 &lt;&gt;0,ResultValue($C83,COLUMN(R83)-COLUMN($C83))/$D83,""),"")</f>
        <v>1</v>
      </c>
      <c r="R83" s="11" cm="1">
        <f t="array" ref="R83">IFERROR(IF($D83 &lt;&gt;0,ResultValue($C83,COLUMN(S83)-COLUMN($C83))/$D83,""),"")</f>
        <v>0</v>
      </c>
      <c r="S83" s="11" cm="1">
        <f t="array" ref="S83">IFERROR(IF($D83 &lt;&gt;0,ResultValue($C83,COLUMN(T83)-COLUMN($C83))/$D83,""),"")</f>
        <v>0</v>
      </c>
      <c r="T83" s="11" cm="1">
        <f t="array" ref="T83">IFERROR(IF($D83 &lt;&gt;0,ResultValue($C83,COLUMN(U83)-COLUMN($C83))/$D83,""),"")</f>
        <v>0</v>
      </c>
      <c r="U83" s="11" cm="1">
        <f t="array" ref="U83">IFERROR(IF($D83 &lt;&gt;0,ResultValue($C83,COLUMN(V83)-COLUMN($C83))/$D83,""),"")</f>
        <v>0</v>
      </c>
      <c r="V83" s="11" cm="1">
        <f t="array" ref="V83">IFERROR(IF($D83 &lt;&gt;0,ResultValue($C83,COLUMN(W83)-COLUMN($C83))/$D83,""),"")</f>
        <v>0</v>
      </c>
      <c r="W83" s="11" cm="1">
        <f t="array" ref="W83">IFERROR(IF($D83 &lt;&gt;0,ResultValue($C83,COLUMN(X83)-COLUMN($C83))/$D83,""),"")</f>
        <v>0</v>
      </c>
      <c r="X83" s="11" cm="1">
        <f t="array" ref="X83">IFERROR(IF($D83 &lt;&gt;0,ResultValue($C83,COLUMN(Y83)-COLUMN($C83))/$D83,""),"")</f>
        <v>0</v>
      </c>
      <c r="Y83" s="11" cm="1">
        <f t="array" ref="Y83">IFERROR(IF($D83 &lt;&gt;0,ResultValue($C83,COLUMN(Z83)-COLUMN($C83))/$D83,""),"")</f>
        <v>0</v>
      </c>
    </row>
    <row r="84" spans="1:25" x14ac:dyDescent="0.25">
      <c r="A84" t="str">
        <v>Affaldsforbrug kølevarme Ovn3</v>
      </c>
      <c r="B84" s="28"/>
      <c r="C84" t="s">
        <v>180</v>
      </c>
      <c r="D84" s="21">
        <f>B45</f>
        <v>1</v>
      </c>
      <c r="E84" s="11" cm="1">
        <f t="array" ref="E84">IFERROR(IF($D84 &lt;&gt;0,ResultValue($C84,COLUMN(F84)-COLUMN($C84))/$D84,""),"")</f>
        <v>-9.5820515625282034</v>
      </c>
      <c r="F84" s="11" cm="1">
        <f t="array" ref="F84">IFERROR(IF($D84 &lt;&gt;0,ResultValue($C84,COLUMN(G84)-COLUMN($C84))/$D84,""),"")</f>
        <v>-9.5820515625282034</v>
      </c>
      <c r="G84" s="11" cm="1">
        <f t="array" ref="G84">IFERROR(IF($D84 &lt;&gt;0,ResultValue($C84,COLUMN(H84)-COLUMN($C84))/$D84,""),"")</f>
        <v>-9.5820515625282034</v>
      </c>
      <c r="H84" s="11" cm="1">
        <f t="array" ref="H84">IFERROR(IF($D84 &lt;&gt;0,ResultValue($C84,COLUMN(I84)-COLUMN($C84))/$D84,""),"")</f>
        <v>-9.5820515625282034</v>
      </c>
      <c r="I84" s="11" cm="1">
        <f t="array" ref="I84">IFERROR(IF($D84 &lt;&gt;0,ResultValue($C84,COLUMN(J84)-COLUMN($C84))/$D84,""),"")</f>
        <v>-9.5820515625282034</v>
      </c>
      <c r="J84" s="11" cm="1">
        <f t="array" ref="J84">IFERROR(IF($D84 &lt;&gt;0,ResultValue($C84,COLUMN(K84)-COLUMN($C84))/$D84,""),"")</f>
        <v>-9.5820515625282034</v>
      </c>
      <c r="K84" s="11" cm="1">
        <f t="array" ref="K84">IFERROR(IF($D84 &lt;&gt;0,ResultValue($C84,COLUMN(L84)-COLUMN($C84))/$D84,""),"")</f>
        <v>-9.5820515625282034</v>
      </c>
      <c r="L84" s="11" cm="1">
        <f t="array" ref="L84">IFERROR(IF($D84 &lt;&gt;0,ResultValue($C84,COLUMN(M84)-COLUMN($C84))/$D84,""),"")</f>
        <v>-9.5820515625282034</v>
      </c>
      <c r="M84" s="11" cm="1">
        <f t="array" ref="M84">IFERROR(IF($D84 &lt;&gt;0,ResultValue($C84,COLUMN(N84)-COLUMN($C84))/$D84,""),"")</f>
        <v>-9.5820515625282034</v>
      </c>
      <c r="N84" s="11" cm="1">
        <f t="array" ref="N84">IFERROR(IF($D84 &lt;&gt;0,ResultValue($C84,COLUMN(O84)-COLUMN($C84))/$D84,""),"")</f>
        <v>-9.5820515625282034</v>
      </c>
      <c r="O84" s="11" cm="1">
        <f t="array" ref="O84">IFERROR(IF($D84 &lt;&gt;0,ResultValue($C84,COLUMN(P84)-COLUMN($C84))/$D84,""),"")</f>
        <v>-9.5820515625282034</v>
      </c>
      <c r="P84" s="11" cm="1">
        <f t="array" ref="P84">IFERROR(IF($D84 &lt;&gt;0,ResultValue($C84,COLUMN(Q84)-COLUMN($C84))/$D84,""),"")</f>
        <v>-9.5820515625282034</v>
      </c>
      <c r="Q84" s="11" cm="1">
        <f t="array" ref="Q84">IFERROR(IF($D84 &lt;&gt;0,ResultValue($C84,COLUMN(R84)-COLUMN($C84))/$D84,""),"")</f>
        <v>-9.5820515625282034</v>
      </c>
      <c r="R84" s="11" cm="1">
        <f t="array" ref="R84">IFERROR(IF($D84 &lt;&gt;0,ResultValue($C84,COLUMN(S84)-COLUMN($C84))/$D84,""),"")</f>
        <v>0</v>
      </c>
      <c r="S84" s="11" cm="1">
        <f t="array" ref="S84">IFERROR(IF($D84 &lt;&gt;0,ResultValue($C84,COLUMN(T84)-COLUMN($C84))/$D84,""),"")</f>
        <v>0</v>
      </c>
      <c r="T84" s="11" cm="1">
        <f t="array" ref="T84">IFERROR(IF($D84 &lt;&gt;0,ResultValue($C84,COLUMN(U84)-COLUMN($C84))/$D84,""),"")</f>
        <v>0</v>
      </c>
      <c r="U84" s="11" cm="1">
        <f t="array" ref="U84">IFERROR(IF($D84 &lt;&gt;0,ResultValue($C84,COLUMN(V84)-COLUMN($C84))/$D84,""),"")</f>
        <v>0</v>
      </c>
      <c r="V84" s="11" cm="1">
        <f t="array" ref="V84">IFERROR(IF($D84 &lt;&gt;0,ResultValue($C84,COLUMN(W84)-COLUMN($C84))/$D84,""),"")</f>
        <v>0</v>
      </c>
      <c r="W84" s="11" cm="1">
        <f t="array" ref="W84">IFERROR(IF($D84 &lt;&gt;0,ResultValue($C84,COLUMN(X84)-COLUMN($C84))/$D84,""),"")</f>
        <v>0</v>
      </c>
      <c r="X84" s="11" cm="1">
        <f t="array" ref="X84">IFERROR(IF($D84 &lt;&gt;0,ResultValue($C84,COLUMN(Y84)-COLUMN($C84))/$D84,""),"")</f>
        <v>0</v>
      </c>
      <c r="Y84" s="11" cm="1">
        <f t="array" ref="Y84">IFERROR(IF($D84 &lt;&gt;0,ResultValue($C84,COLUMN(Z84)-COLUMN($C84))/$D84,""),"")</f>
        <v>0</v>
      </c>
    </row>
    <row r="85" spans="1:25" x14ac:dyDescent="0.25">
      <c r="A85" t="str">
        <v>Affaldsforbrug kølevarme Ovn2</v>
      </c>
      <c r="B85" s="28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</row>
    <row r="86" spans="1:25" x14ac:dyDescent="0.25">
      <c r="A86" t="str">
        <v>Udnyttet affald</v>
      </c>
      <c r="B86" s="28"/>
      <c r="C86" s="23" t="s">
        <v>172</v>
      </c>
      <c r="D86" s="24"/>
      <c r="E86" s="23" t="s">
        <v>144</v>
      </c>
      <c r="F86" s="25" t="str">
        <f>F62</f>
        <v>sc1</v>
      </c>
      <c r="G86" s="25" t="str">
        <f t="shared" ref="G86:Y86" si="2">G62</f>
        <v>sc2</v>
      </c>
      <c r="H86" s="25" t="str">
        <f t="shared" si="2"/>
        <v>sc3</v>
      </c>
      <c r="I86" s="25" t="str">
        <f t="shared" si="2"/>
        <v>sc4</v>
      </c>
      <c r="J86" s="25" t="str">
        <f t="shared" si="2"/>
        <v>sc5</v>
      </c>
      <c r="K86" s="25" t="str">
        <f t="shared" si="2"/>
        <v>sc6</v>
      </c>
      <c r="L86" s="25" t="str">
        <f t="shared" si="2"/>
        <v>sc7</v>
      </c>
      <c r="M86" s="25" t="str">
        <f t="shared" si="2"/>
        <v>sc8</v>
      </c>
      <c r="N86" s="25" t="str">
        <f t="shared" si="2"/>
        <v>sc9</v>
      </c>
      <c r="O86" s="25" t="str">
        <f t="shared" si="2"/>
        <v>sc10</v>
      </c>
      <c r="P86" s="25" t="str">
        <f t="shared" si="2"/>
        <v>sc11</v>
      </c>
      <c r="Q86" s="25" t="str">
        <f t="shared" si="2"/>
        <v>sc12</v>
      </c>
      <c r="R86" s="25" t="str">
        <f t="shared" si="2"/>
        <v>sc13</v>
      </c>
      <c r="S86" s="25" t="str">
        <f t="shared" si="2"/>
        <v>sc14</v>
      </c>
      <c r="T86" s="25" t="str">
        <f t="shared" si="2"/>
        <v>sc15</v>
      </c>
      <c r="U86" s="25" t="str">
        <f t="shared" si="2"/>
        <v>sc16</v>
      </c>
      <c r="V86" s="25" t="str">
        <f t="shared" si="2"/>
        <v>sc17</v>
      </c>
      <c r="W86" s="25" t="str">
        <f t="shared" si="2"/>
        <v>sc18</v>
      </c>
      <c r="X86" s="25" t="str">
        <f t="shared" si="2"/>
        <v>sc19</v>
      </c>
      <c r="Y86" s="25" t="str">
        <f t="shared" si="2"/>
        <v>sc20</v>
      </c>
    </row>
    <row r="87" spans="1:25" x14ac:dyDescent="0.25">
      <c r="A87" t="str">
        <v>Ikke-udnyttet affald</v>
      </c>
      <c r="B87" s="28"/>
      <c r="C87" s="19" t="str">
        <f>IF(ISBLANK(A49),"X-værdi mangler",A49)</f>
        <v>RGK-udnyttelse</v>
      </c>
      <c r="D87" s="2" t="s">
        <v>175</v>
      </c>
      <c r="E87" s="18" cm="1">
        <f t="array" ref="E87">_xlfn.LET(_xlpm.inputName,$C87,_xlpm.icol,COLUMN(E63)-2,_xlpm.irow,MATCH(_xlpm.inputName,ranInputNames,0),INDEX(TabelScenInput,_xlpm.irow+1,_xlpm.icol))</f>
        <v>1</v>
      </c>
      <c r="F87" s="18" cm="1">
        <f t="array" ref="F87">_xlfn.LET(_xlpm.inputName,$C87,_xlpm.icol,COLUMN(F63)-2,_xlpm.irow,MATCH(_xlpm.inputName,ranInputNames,0),INDEX(TabelScenInput,_xlpm.irow+1,_xlpm.icol))</f>
        <v>1</v>
      </c>
      <c r="G87" s="18" cm="1">
        <f t="array" ref="G87">_xlfn.LET(_xlpm.inputName,$C87,_xlpm.icol,COLUMN(G63)-2,_xlpm.irow,MATCH(_xlpm.inputName,ranInputNames,0),INDEX(TabelScenInput,_xlpm.irow+1,_xlpm.icol))</f>
        <v>1</v>
      </c>
      <c r="H87" s="18" cm="1">
        <f t="array" ref="H87">_xlfn.LET(_xlpm.inputName,$C87,_xlpm.icol,COLUMN(H63)-2,_xlpm.irow,MATCH(_xlpm.inputName,ranInputNames,0),INDEX(TabelScenInput,_xlpm.irow+1,_xlpm.icol))</f>
        <v>1</v>
      </c>
      <c r="I87" s="18" cm="1">
        <f t="array" ref="I87">_xlfn.LET(_xlpm.inputName,$C87,_xlpm.icol,COLUMN(I63)-2,_xlpm.irow,MATCH(_xlpm.inputName,ranInputNames,0),INDEX(TabelScenInput,_xlpm.irow+1,_xlpm.icol))</f>
        <v>1</v>
      </c>
      <c r="J87" s="18" cm="1">
        <f t="array" ref="J87">_xlfn.LET(_xlpm.inputName,$C87,_xlpm.icol,COLUMN(J63)-2,_xlpm.irow,MATCH(_xlpm.inputName,ranInputNames,0),INDEX(TabelScenInput,_xlpm.irow+1,_xlpm.icol))</f>
        <v>1</v>
      </c>
      <c r="K87" s="18" cm="1">
        <f t="array" ref="K87">_xlfn.LET(_xlpm.inputName,$C87,_xlpm.icol,COLUMN(K63)-2,_xlpm.irow,MATCH(_xlpm.inputName,ranInputNames,0),INDEX(TabelScenInput,_xlpm.irow+1,_xlpm.icol))</f>
        <v>1</v>
      </c>
      <c r="L87" s="18" cm="1">
        <f t="array" ref="L87">_xlfn.LET(_xlpm.inputName,$C87,_xlpm.icol,COLUMN(L63)-2,_xlpm.irow,MATCH(_xlpm.inputName,ranInputNames,0),INDEX(TabelScenInput,_xlpm.irow+1,_xlpm.icol))</f>
        <v>1</v>
      </c>
      <c r="M87" s="18" cm="1">
        <f t="array" ref="M87">_xlfn.LET(_xlpm.inputName,$C87,_xlpm.icol,COLUMN(M63)-2,_xlpm.irow,MATCH(_xlpm.inputName,ranInputNames,0),INDEX(TabelScenInput,_xlpm.irow+1,_xlpm.icol))</f>
        <v>1</v>
      </c>
      <c r="N87" s="18" cm="1">
        <f t="array" ref="N87">_xlfn.LET(_xlpm.inputName,$C87,_xlpm.icol,COLUMN(N63)-2,_xlpm.irow,MATCH(_xlpm.inputName,ranInputNames,0),INDEX(TabelScenInput,_xlpm.irow+1,_xlpm.icol))</f>
        <v>1</v>
      </c>
      <c r="O87" s="18" cm="1">
        <f t="array" ref="O87">_xlfn.LET(_xlpm.inputName,$C87,_xlpm.icol,COLUMN(O63)-2,_xlpm.irow,MATCH(_xlpm.inputName,ranInputNames,0),INDEX(TabelScenInput,_xlpm.irow+1,_xlpm.icol))</f>
        <v>1</v>
      </c>
      <c r="P87" s="18" cm="1">
        <f t="array" ref="P87">_xlfn.LET(_xlpm.inputName,$C87,_xlpm.icol,COLUMN(P63)-2,_xlpm.irow,MATCH(_xlpm.inputName,ranInputNames,0),INDEX(TabelScenInput,_xlpm.irow+1,_xlpm.icol))</f>
        <v>1</v>
      </c>
      <c r="Q87" s="18" cm="1">
        <f t="array" ref="Q87">_xlfn.LET(_xlpm.inputName,$C87,_xlpm.icol,COLUMN(Q63)-2,_xlpm.irow,MATCH(_xlpm.inputName,ranInputNames,0),INDEX(TabelScenInput,_xlpm.irow+1,_xlpm.icol))</f>
        <v>1</v>
      </c>
      <c r="R87" s="18" cm="1">
        <f t="array" ref="R87">_xlfn.LET(_xlpm.inputName,$C87,_xlpm.icol,COLUMN(R63)-2,_xlpm.irow,MATCH(_xlpm.inputName,ranInputNames,0),INDEX(TabelScenInput,_xlpm.irow+1,_xlpm.icol))</f>
        <v>1</v>
      </c>
      <c r="S87" s="18" cm="1">
        <f t="array" ref="S87">_xlfn.LET(_xlpm.inputName,$C87,_xlpm.icol,COLUMN(S63)-2,_xlpm.irow,MATCH(_xlpm.inputName,ranInputNames,0),INDEX(TabelScenInput,_xlpm.irow+1,_xlpm.icol))</f>
        <v>1</v>
      </c>
      <c r="T87" s="18" cm="1">
        <f t="array" ref="T87">_xlfn.LET(_xlpm.inputName,$C87,_xlpm.icol,COLUMN(T63)-2,_xlpm.irow,MATCH(_xlpm.inputName,ranInputNames,0),INDEX(TabelScenInput,_xlpm.irow+1,_xlpm.icol))</f>
        <v>1</v>
      </c>
      <c r="U87" s="18" cm="1">
        <f t="array" ref="U87">_xlfn.LET(_xlpm.inputName,$C87,_xlpm.icol,COLUMN(U63)-2,_xlpm.irow,MATCH(_xlpm.inputName,ranInputNames,0),INDEX(TabelScenInput,_xlpm.irow+1,_xlpm.icol))</f>
        <v>1</v>
      </c>
      <c r="V87" s="18" cm="1">
        <f t="array" ref="V87">_xlfn.LET(_xlpm.inputName,$C87,_xlpm.icol,COLUMN(V63)-2,_xlpm.irow,MATCH(_xlpm.inputName,ranInputNames,0),INDEX(TabelScenInput,_xlpm.irow+1,_xlpm.icol))</f>
        <v>1</v>
      </c>
      <c r="W87" s="18" cm="1">
        <f t="array" ref="W87">_xlfn.LET(_xlpm.inputName,$C87,_xlpm.icol,COLUMN(W63)-2,_xlpm.irow,MATCH(_xlpm.inputName,ranInputNames,0),INDEX(TabelScenInput,_xlpm.irow+1,_xlpm.icol))</f>
        <v>1</v>
      </c>
      <c r="X87" s="18" cm="1">
        <f t="array" ref="X87">_xlfn.LET(_xlpm.inputName,$C87,_xlpm.icol,COLUMN(X63)-2,_xlpm.irow,MATCH(_xlpm.inputName,ranInputNames,0),INDEX(TabelScenInput,_xlpm.irow+1,_xlpm.icol))</f>
        <v>1</v>
      </c>
      <c r="Y87" s="18" cm="1">
        <f t="array" ref="Y87">_xlfn.LET(_xlpm.inputName,$C87,_xlpm.icol,COLUMN(Y63)-2,_xlpm.irow,MATCH(_xlpm.inputName,ranInputNames,0),INDEX(TabelScenInput,_xlpm.irow+1,_xlpm.icol))</f>
        <v>0.88</v>
      </c>
    </row>
    <row r="88" spans="1:25" x14ac:dyDescent="0.25">
      <c r="A88" t="str">
        <v>Fast Fossilt udnyttet</v>
      </c>
      <c r="B88" s="28"/>
      <c r="C88" s="22" t="str">
        <f t="shared" ref="C88:C97" si="3">IF(ISBLANK(A50),"",A50)</f>
        <v>RGK-rabat</v>
      </c>
      <c r="D88" s="21">
        <f t="shared" ref="D88:D97" si="4">B50</f>
        <v>1000</v>
      </c>
      <c r="E88" s="11" cm="1">
        <f t="array" ref="E88">IF($D88 &lt;&gt;0,ResultValue($C88,COLUMN(F88)-COLUMN($C88))/$D88,"")</f>
        <v>200.59380181097563</v>
      </c>
      <c r="F88" s="11" cm="1">
        <f t="array" ref="F88">IF($D88 &lt;&gt;0,ResultValue($C88,COLUMN(G88)-COLUMN($C88))/$D88,"")</f>
        <v>200.59380181097563</v>
      </c>
      <c r="G88" s="11" cm="1">
        <f t="array" ref="G88">IF($D88 &lt;&gt;0,ResultValue($C88,COLUMN(H88)-COLUMN($C88))/$D88,"")</f>
        <v>200.59380181097563</v>
      </c>
      <c r="H88" s="11" cm="1">
        <f t="array" ref="H88">IF($D88 &lt;&gt;0,ResultValue($C88,COLUMN(I88)-COLUMN($C88))/$D88,"")</f>
        <v>200.59380181097563</v>
      </c>
      <c r="I88" s="11" cm="1">
        <f t="array" ref="I88">IF($D88 &lt;&gt;0,ResultValue($C88,COLUMN(J88)-COLUMN($C88))/$D88,"")</f>
        <v>200.59380181097563</v>
      </c>
      <c r="J88" s="11" cm="1">
        <f t="array" ref="J88">IF($D88 &lt;&gt;0,ResultValue($C88,COLUMN(K88)-COLUMN($C88))/$D88,"")</f>
        <v>200.59380181097563</v>
      </c>
      <c r="K88" s="11" cm="1">
        <f t="array" ref="K88">IF($D88 &lt;&gt;0,ResultValue($C88,COLUMN(L88)-COLUMN($C88))/$D88,"")</f>
        <v>200.59380181097563</v>
      </c>
      <c r="L88" s="11" cm="1">
        <f t="array" ref="L88">IF($D88 &lt;&gt;0,ResultValue($C88,COLUMN(M88)-COLUMN($C88))/$D88,"")</f>
        <v>200.59380181097563</v>
      </c>
      <c r="M88" s="11" cm="1">
        <f t="array" ref="M88">IF($D88 &lt;&gt;0,ResultValue($C88,COLUMN(N88)-COLUMN($C88))/$D88,"")</f>
        <v>200.59380181097563</v>
      </c>
      <c r="N88" s="11" cm="1">
        <f t="array" ref="N88">IF($D88 &lt;&gt;0,ResultValue($C88,COLUMN(O88)-COLUMN($C88))/$D88,"")</f>
        <v>200.59380181097563</v>
      </c>
      <c r="O88" s="11" cm="1">
        <f t="array" ref="O88">IF($D88 &lt;&gt;0,ResultValue($C88,COLUMN(P88)-COLUMN($C88))/$D88,"")</f>
        <v>200.59380181097563</v>
      </c>
      <c r="P88" s="11" cm="1">
        <f t="array" ref="P88">IF($D88 &lt;&gt;0,ResultValue($C88,COLUMN(Q88)-COLUMN($C88))/$D88,"")</f>
        <v>200.59380181097563</v>
      </c>
      <c r="Q88" s="11" cm="1">
        <f t="array" ref="Q88">IF($D88 &lt;&gt;0,ResultValue($C88,COLUMN(R88)-COLUMN($C88))/$D88,"")</f>
        <v>200.59380181097563</v>
      </c>
      <c r="R88" s="11" cm="1">
        <f t="array" ref="R88">IF($D88 &lt;&gt;0,ResultValue($C88,COLUMN(S88)-COLUMN($C88))/$D88,"")</f>
        <v>0</v>
      </c>
      <c r="S88" s="11" cm="1">
        <f t="array" ref="S88">IF($D88 &lt;&gt;0,ResultValue($C88,COLUMN(T88)-COLUMN($C88))/$D88,"")</f>
        <v>0</v>
      </c>
      <c r="T88" s="11" cm="1">
        <f t="array" ref="T88">IF($D88 &lt;&gt;0,ResultValue($C88,COLUMN(U88)-COLUMN($C88))/$D88,"")</f>
        <v>0</v>
      </c>
      <c r="U88" s="11" cm="1">
        <f t="array" ref="U88">IF($D88 &lt;&gt;0,ResultValue($C88,COLUMN(V88)-COLUMN($C88))/$D88,"")</f>
        <v>0</v>
      </c>
      <c r="V88" s="11" cm="1">
        <f t="array" ref="V88">IF($D88 &lt;&gt;0,ResultValue($C88,COLUMN(W88)-COLUMN($C88))/$D88,"")</f>
        <v>0</v>
      </c>
      <c r="W88" s="11" cm="1">
        <f t="array" ref="W88">IF($D88 &lt;&gt;0,ResultValue($C88,COLUMN(X88)-COLUMN($C88))/$D88,"")</f>
        <v>0</v>
      </c>
      <c r="X88" s="11" cm="1">
        <f t="array" ref="X88">IF($D88 &lt;&gt;0,ResultValue($C88,COLUMN(Y88)-COLUMN($C88))/$D88,"")</f>
        <v>0</v>
      </c>
      <c r="Y88" s="11" cm="1">
        <f t="array" ref="Y88">IF($D88 &lt;&gt;0,ResultValue($C88,COLUMN(Z89)-COLUMN($C88))/$D88,"")</f>
        <v>0</v>
      </c>
    </row>
    <row r="89" spans="1:25" x14ac:dyDescent="0.25">
      <c r="A89" t="str">
        <v>Frit Fossilt udnyttet</v>
      </c>
      <c r="B89" s="28"/>
      <c r="C89" s="22" t="str">
        <f t="shared" si="3"/>
        <v>Modtagebetaling affald</v>
      </c>
      <c r="D89" s="21">
        <f t="shared" si="4"/>
        <v>1000</v>
      </c>
      <c r="E89" s="11" cm="1">
        <f t="array" ref="E89">IF($D89 &lt;&gt;0,ResultValue($C89,COLUMN(F89)-COLUMN($C89))/$D89,"")</f>
        <v>4659.2944250871069</v>
      </c>
      <c r="F89" s="11" cm="1">
        <f t="array" ref="F89">IF($D89 &lt;&gt;0,ResultValue($C89,COLUMN(G89)-COLUMN($C89))/$D89,"")</f>
        <v>4659.2944250871069</v>
      </c>
      <c r="G89" s="11" cm="1">
        <f t="array" ref="G89">IF($D89 &lt;&gt;0,ResultValue($C89,COLUMN(H89)-COLUMN($C89))/$D89,"")</f>
        <v>4659.2944250871069</v>
      </c>
      <c r="H89" s="11" cm="1">
        <f t="array" ref="H89">IF($D89 &lt;&gt;0,ResultValue($C89,COLUMN(I89)-COLUMN($C89))/$D89,"")</f>
        <v>4659.2944250871069</v>
      </c>
      <c r="I89" s="11" cm="1">
        <f t="array" ref="I89">IF($D89 &lt;&gt;0,ResultValue($C89,COLUMN(J89)-COLUMN($C89))/$D89,"")</f>
        <v>4659.2944250871069</v>
      </c>
      <c r="J89" s="11" cm="1">
        <f t="array" ref="J89">IF($D89 &lt;&gt;0,ResultValue($C89,COLUMN(K89)-COLUMN($C89))/$D89,"")</f>
        <v>4659.2944250871069</v>
      </c>
      <c r="K89" s="11" cm="1">
        <f t="array" ref="K89">IF($D89 &lt;&gt;0,ResultValue($C89,COLUMN(L89)-COLUMN($C89))/$D89,"")</f>
        <v>4659.2944250871069</v>
      </c>
      <c r="L89" s="11" cm="1">
        <f t="array" ref="L89">IF($D89 &lt;&gt;0,ResultValue($C89,COLUMN(M89)-COLUMN($C89))/$D89,"")</f>
        <v>4659.2944250871069</v>
      </c>
      <c r="M89" s="11" cm="1">
        <f t="array" ref="M89">IF($D89 &lt;&gt;0,ResultValue($C89,COLUMN(N89)-COLUMN($C89))/$D89,"")</f>
        <v>4659.2944250871069</v>
      </c>
      <c r="N89" s="11" cm="1">
        <f t="array" ref="N89">IF($D89 &lt;&gt;0,ResultValue($C89,COLUMN(O89)-COLUMN($C89))/$D89,"")</f>
        <v>4659.2944250871069</v>
      </c>
      <c r="O89" s="11" cm="1">
        <f t="array" ref="O89">IF($D89 &lt;&gt;0,ResultValue($C89,COLUMN(P89)-COLUMN($C89))/$D89,"")</f>
        <v>4659.2944250871069</v>
      </c>
      <c r="P89" s="11" cm="1">
        <f t="array" ref="P89">IF($D89 &lt;&gt;0,ResultValue($C89,COLUMN(Q89)-COLUMN($C89))/$D89,"")</f>
        <v>4659.2944250871069</v>
      </c>
      <c r="Q89" s="11" cm="1">
        <f t="array" ref="Q89">IF($D89 &lt;&gt;0,ResultValue($C89,COLUMN(R89)-COLUMN($C89))/$D89,"")</f>
        <v>4659.2944250871069</v>
      </c>
      <c r="R89" s="11" cm="1">
        <f t="array" ref="R89">IF($D89 &lt;&gt;0,ResultValue($C89,COLUMN(S89)-COLUMN($C89))/$D89,"")</f>
        <v>0</v>
      </c>
      <c r="S89" s="11" cm="1">
        <f t="array" ref="S89">IF($D89 &lt;&gt;0,ResultValue($C89,COLUMN(T89)-COLUMN($C89))/$D89,"")</f>
        <v>0</v>
      </c>
      <c r="T89" s="11" cm="1">
        <f t="array" ref="T89">IF($D89 &lt;&gt;0,ResultValue($C89,COLUMN(U89)-COLUMN($C89))/$D89,"")</f>
        <v>0</v>
      </c>
      <c r="U89" s="11" cm="1">
        <f t="array" ref="U89">IF($D89 &lt;&gt;0,ResultValue($C89,COLUMN(V89)-COLUMN($C89))/$D89,"")</f>
        <v>0</v>
      </c>
      <c r="V89" s="11" cm="1">
        <f t="array" ref="V89">IF($D89 &lt;&gt;0,ResultValue($C89,COLUMN(W89)-COLUMN($C89))/$D89,"")</f>
        <v>0</v>
      </c>
      <c r="W89" s="11" cm="1">
        <f t="array" ref="W89">IF($D89 &lt;&gt;0,ResultValue($C89,COLUMN(X89)-COLUMN($C89))/$D89,"")</f>
        <v>0</v>
      </c>
      <c r="X89" s="11" cm="1">
        <f t="array" ref="X89">IF($D89 &lt;&gt;0,ResultValue($C89,COLUMN(Y89)-COLUMN($C89))/$D89,"")</f>
        <v>0</v>
      </c>
      <c r="Y89" s="11" cm="1">
        <f t="array" ref="Y89">IF($D89 &lt;&gt;0,ResultValue($C89,COLUMN(Z90)-COLUMN($C89))/$D89,"")</f>
        <v>0</v>
      </c>
    </row>
    <row r="90" spans="1:25" x14ac:dyDescent="0.25">
      <c r="A90" t="str">
        <v>Biogent udnyttet</v>
      </c>
      <c r="B90" s="28"/>
      <c r="C90" s="22" t="str">
        <f t="shared" si="3"/>
        <v/>
      </c>
      <c r="D90" s="21">
        <f t="shared" si="4"/>
        <v>0</v>
      </c>
      <c r="E90" s="11" t="str" cm="1">
        <f t="array" ref="E90">IF($D90 &lt;&gt;0,ResultValue($C90,COLUMN(F90)-COLUMN($C90))/$D90,"")</f>
        <v/>
      </c>
      <c r="F90" s="11" t="str" cm="1">
        <f t="array" ref="F90">IF($D90 &lt;&gt;0,ResultValue($C90,COLUMN(G90)-COLUMN($C90))/$D90,"")</f>
        <v/>
      </c>
      <c r="G90" s="11" t="str" cm="1">
        <f t="array" ref="G90">IF($D90 &lt;&gt;0,ResultValue($C90,COLUMN(H90)-COLUMN($C90))/$D90,"")</f>
        <v/>
      </c>
      <c r="H90" s="11" t="str" cm="1">
        <f t="array" ref="H90">IF($D90 &lt;&gt;0,ResultValue($C90,COLUMN(I90)-COLUMN($C90))/$D90,"")</f>
        <v/>
      </c>
      <c r="I90" s="11" t="str" cm="1">
        <f t="array" ref="I90">IF($D90 &lt;&gt;0,ResultValue($C90,COLUMN(J90)-COLUMN($C90))/$D90,"")</f>
        <v/>
      </c>
      <c r="J90" s="11" t="str" cm="1">
        <f t="array" ref="J90">IF($D90 &lt;&gt;0,ResultValue($C90,COLUMN(K90)-COLUMN($C90))/$D90,"")</f>
        <v/>
      </c>
      <c r="K90" s="11" t="str" cm="1">
        <f t="array" ref="K90">IF($D90 &lt;&gt;0,ResultValue($C90,COLUMN(L90)-COLUMN($C90))/$D90,"")</f>
        <v/>
      </c>
      <c r="L90" s="11" t="str" cm="1">
        <f t="array" ref="L90">IF($D90 &lt;&gt;0,ResultValue($C90,COLUMN(M90)-COLUMN($C90))/$D90,"")</f>
        <v/>
      </c>
      <c r="M90" s="11" t="str" cm="1">
        <f t="array" ref="M90">IF($D90 &lt;&gt;0,ResultValue($C90,COLUMN(N90)-COLUMN($C90))/$D90,"")</f>
        <v/>
      </c>
      <c r="N90" s="11" t="str" cm="1">
        <f t="array" ref="N90">IF($D90 &lt;&gt;0,ResultValue($C90,COLUMN(O90)-COLUMN($C90))/$D90,"")</f>
        <v/>
      </c>
      <c r="O90" s="11" t="str" cm="1">
        <f t="array" ref="O90">IF($D90 &lt;&gt;0,ResultValue($C90,COLUMN(P90)-COLUMN($C90))/$D90,"")</f>
        <v/>
      </c>
      <c r="P90" s="11" t="str" cm="1">
        <f t="array" ref="P90">IF($D90 &lt;&gt;0,ResultValue($C90,COLUMN(Q90)-COLUMN($C90))/$D90,"")</f>
        <v/>
      </c>
      <c r="Q90" s="11" t="str" cm="1">
        <f t="array" ref="Q90">IF($D90 &lt;&gt;0,ResultValue($C90,COLUMN(R90)-COLUMN($C90))/$D90,"")</f>
        <v/>
      </c>
      <c r="R90" s="11" t="str" cm="1">
        <f t="array" ref="R90">IF($D90 &lt;&gt;0,ResultValue($C90,COLUMN(S90)-COLUMN($C90))/$D90,"")</f>
        <v/>
      </c>
      <c r="S90" s="11" t="str" cm="1">
        <f t="array" ref="S90">IF($D90 &lt;&gt;0,ResultValue($C90,COLUMN(T90)-COLUMN($C90))/$D90,"")</f>
        <v/>
      </c>
      <c r="T90" s="11" t="str" cm="1">
        <f t="array" ref="T90">IF($D90 &lt;&gt;0,ResultValue($C90,COLUMN(U90)-COLUMN($C90))/$D90,"")</f>
        <v/>
      </c>
      <c r="U90" s="11" t="str" cm="1">
        <f t="array" ref="U90">IF($D90 &lt;&gt;0,ResultValue($C90,COLUMN(V90)-COLUMN($C90))/$D90,"")</f>
        <v/>
      </c>
      <c r="V90" s="11" t="str" cm="1">
        <f t="array" ref="V90">IF($D90 &lt;&gt;0,ResultValue($C90,COLUMN(W90)-COLUMN($C90))/$D90,"")</f>
        <v/>
      </c>
      <c r="W90" s="11" t="str" cm="1">
        <f t="array" ref="W90">IF($D90 &lt;&gt;0,ResultValue($C90,COLUMN(X90)-COLUMN($C90))/$D90,"")</f>
        <v/>
      </c>
      <c r="X90" s="11" t="str" cm="1">
        <f t="array" ref="X90">IF($D90 &lt;&gt;0,ResultValue($C90,COLUMN(Y90)-COLUMN($C90))/$D90,"")</f>
        <v/>
      </c>
      <c r="Y90" s="11" t="str" cm="1">
        <f t="array" ref="Y90">IF($D90 &lt;&gt;0,ResultValue($C90,COLUMN(Z91)-COLUMN($C90))/$D90,"")</f>
        <v/>
      </c>
    </row>
    <row r="91" spans="1:25" x14ac:dyDescent="0.25">
      <c r="A91" s="30" t="str">
        <v>Fast Fossilt ikke-udnyttet</v>
      </c>
      <c r="B91" s="28"/>
      <c r="C91" s="22" t="str">
        <f t="shared" si="3"/>
        <v/>
      </c>
      <c r="D91" s="21">
        <f t="shared" si="4"/>
        <v>0</v>
      </c>
      <c r="E91" s="11" t="str" cm="1">
        <f t="array" ref="E91">IF($D91 &lt;&gt;0,ResultValue($C91,COLUMN(F91)-COLUMN($C91))/$D91,"")</f>
        <v/>
      </c>
      <c r="F91" s="11" t="str" cm="1">
        <f t="array" ref="F91">IF($D91 &lt;&gt;0,ResultValue($C91,COLUMN(G91)-COLUMN($C91))/$D91,"")</f>
        <v/>
      </c>
      <c r="G91" s="11" t="str" cm="1">
        <f t="array" ref="G91">IF($D91 &lt;&gt;0,ResultValue($C91,COLUMN(H91)-COLUMN($C91))/$D91,"")</f>
        <v/>
      </c>
      <c r="H91" s="11" t="str" cm="1">
        <f t="array" ref="H91">IF($D91 &lt;&gt;0,ResultValue($C91,COLUMN(I91)-COLUMN($C91))/$D91,"")</f>
        <v/>
      </c>
      <c r="I91" s="11" t="str" cm="1">
        <f t="array" ref="I91">IF($D91 &lt;&gt;0,ResultValue($C91,COLUMN(J91)-COLUMN($C91))/$D91,"")</f>
        <v/>
      </c>
      <c r="J91" s="11" t="str" cm="1">
        <f t="array" ref="J91">IF($D91 &lt;&gt;0,ResultValue($C91,COLUMN(K91)-COLUMN($C91))/$D91,"")</f>
        <v/>
      </c>
      <c r="K91" s="11" t="str" cm="1">
        <f t="array" ref="K91">IF($D91 &lt;&gt;0,ResultValue($C91,COLUMN(L91)-COLUMN($C91))/$D91,"")</f>
        <v/>
      </c>
      <c r="L91" s="11" t="str" cm="1">
        <f t="array" ref="L91">IF($D91 &lt;&gt;0,ResultValue($C91,COLUMN(M91)-COLUMN($C91))/$D91,"")</f>
        <v/>
      </c>
      <c r="M91" s="11" t="str" cm="1">
        <f t="array" ref="M91">IF($D91 &lt;&gt;0,ResultValue($C91,COLUMN(N91)-COLUMN($C91))/$D91,"")</f>
        <v/>
      </c>
      <c r="N91" s="11" t="str" cm="1">
        <f t="array" ref="N91">IF($D91 &lt;&gt;0,ResultValue($C91,COLUMN(O91)-COLUMN($C91))/$D91,"")</f>
        <v/>
      </c>
      <c r="O91" s="11" t="str" cm="1">
        <f t="array" ref="O91">IF($D91 &lt;&gt;0,ResultValue($C91,COLUMN(P91)-COLUMN($C91))/$D91,"")</f>
        <v/>
      </c>
      <c r="P91" s="11" t="str" cm="1">
        <f t="array" ref="P91">IF($D91 &lt;&gt;0,ResultValue($C91,COLUMN(Q91)-COLUMN($C91))/$D91,"")</f>
        <v/>
      </c>
      <c r="Q91" s="11" t="str" cm="1">
        <f t="array" ref="Q91">IF($D91 &lt;&gt;0,ResultValue($C91,COLUMN(R91)-COLUMN($C91))/$D91,"")</f>
        <v/>
      </c>
      <c r="R91" s="11" t="str" cm="1">
        <f t="array" ref="R91">IF($D91 &lt;&gt;0,ResultValue($C91,COLUMN(S91)-COLUMN($C91))/$D91,"")</f>
        <v/>
      </c>
      <c r="S91" s="11" t="str" cm="1">
        <f t="array" ref="S91">IF($D91 &lt;&gt;0,ResultValue($C91,COLUMN(T91)-COLUMN($C91))/$D91,"")</f>
        <v/>
      </c>
      <c r="T91" s="11" t="str" cm="1">
        <f t="array" ref="T91">IF($D91 &lt;&gt;0,ResultValue($C91,COLUMN(U91)-COLUMN($C91))/$D91,"")</f>
        <v/>
      </c>
      <c r="U91" s="11" t="str" cm="1">
        <f t="array" ref="U91">IF($D91 &lt;&gt;0,ResultValue($C91,COLUMN(V91)-COLUMN($C91))/$D91,"")</f>
        <v/>
      </c>
      <c r="V91" s="11" t="str" cm="1">
        <f t="array" ref="V91">IF($D91 &lt;&gt;0,ResultValue($C91,COLUMN(W91)-COLUMN($C91))/$D91,"")</f>
        <v/>
      </c>
      <c r="W91" s="11" t="str" cm="1">
        <f t="array" ref="W91">IF($D91 &lt;&gt;0,ResultValue($C91,COLUMN(X91)-COLUMN($C91))/$D91,"")</f>
        <v/>
      </c>
      <c r="X91" s="11" t="str" cm="1">
        <f t="array" ref="X91">IF($D91 &lt;&gt;0,ResultValue($C91,COLUMN(Y91)-COLUMN($C91))/$D91,"")</f>
        <v/>
      </c>
      <c r="Y91" s="11" t="str" cm="1">
        <f t="array" ref="Y91">IF($D91 &lt;&gt;0,ResultValue($C91,COLUMN(Z92)-COLUMN($C91))/$D91,"")</f>
        <v/>
      </c>
    </row>
    <row r="92" spans="1:25" x14ac:dyDescent="0.25">
      <c r="A92" s="30" t="str">
        <v>Frit Fossilt ikke-udnyttet</v>
      </c>
      <c r="B92" s="28"/>
      <c r="C92" s="22" t="str">
        <f t="shared" si="3"/>
        <v/>
      </c>
      <c r="D92" s="21">
        <f t="shared" si="4"/>
        <v>0</v>
      </c>
      <c r="E92" s="11" t="str" cm="1">
        <f t="array" ref="E92">IF($D92 &lt;&gt;0,ResultValue($C92,COLUMN(F92)-COLUMN($C92))/$D92,"")</f>
        <v/>
      </c>
      <c r="F92" s="11" t="str" cm="1">
        <f t="array" ref="F92">IF($D92 &lt;&gt;0,ResultValue($C92,COLUMN(G92)-COLUMN($C92))/$D92,"")</f>
        <v/>
      </c>
      <c r="G92" s="11" t="str" cm="1">
        <f t="array" ref="G92">IF($D92 &lt;&gt;0,ResultValue($C92,COLUMN(H92)-COLUMN($C92))/$D92,"")</f>
        <v/>
      </c>
      <c r="H92" s="11" t="str" cm="1">
        <f t="array" ref="H92">IF($D92 &lt;&gt;0,ResultValue($C92,COLUMN(I92)-COLUMN($C92))/$D92,"")</f>
        <v/>
      </c>
      <c r="I92" s="11" t="str" cm="1">
        <f t="array" ref="I92">IF($D92 &lt;&gt;0,ResultValue($C92,COLUMN(J92)-COLUMN($C92))/$D92,"")</f>
        <v/>
      </c>
      <c r="J92" s="11" t="str" cm="1">
        <f t="array" ref="J92">IF($D92 &lt;&gt;0,ResultValue($C92,COLUMN(K92)-COLUMN($C92))/$D92,"")</f>
        <v/>
      </c>
      <c r="K92" s="11" t="str" cm="1">
        <f t="array" ref="K92">IF($D92 &lt;&gt;0,ResultValue($C92,COLUMN(L92)-COLUMN($C92))/$D92,"")</f>
        <v/>
      </c>
      <c r="L92" s="11" t="str" cm="1">
        <f t="array" ref="L92">IF($D92 &lt;&gt;0,ResultValue($C92,COLUMN(M92)-COLUMN($C92))/$D92,"")</f>
        <v/>
      </c>
      <c r="M92" s="11" t="str" cm="1">
        <f t="array" ref="M92">IF($D92 &lt;&gt;0,ResultValue($C92,COLUMN(N92)-COLUMN($C92))/$D92,"")</f>
        <v/>
      </c>
      <c r="N92" s="11" t="str" cm="1">
        <f t="array" ref="N92">IF($D92 &lt;&gt;0,ResultValue($C92,COLUMN(O92)-COLUMN($C92))/$D92,"")</f>
        <v/>
      </c>
      <c r="O92" s="11" t="str" cm="1">
        <f t="array" ref="O92">IF($D92 &lt;&gt;0,ResultValue($C92,COLUMN(P92)-COLUMN($C92))/$D92,"")</f>
        <v/>
      </c>
      <c r="P92" s="11" t="str" cm="1">
        <f t="array" ref="P92">IF($D92 &lt;&gt;0,ResultValue($C92,COLUMN(Q92)-COLUMN($C92))/$D92,"")</f>
        <v/>
      </c>
      <c r="Q92" s="11" t="str" cm="1">
        <f t="array" ref="Q92">IF($D92 &lt;&gt;0,ResultValue($C92,COLUMN(R92)-COLUMN($C92))/$D92,"")</f>
        <v/>
      </c>
      <c r="R92" s="11" t="str" cm="1">
        <f t="array" ref="R92">IF($D92 &lt;&gt;0,ResultValue($C92,COLUMN(S92)-COLUMN($C92))/$D92,"")</f>
        <v/>
      </c>
      <c r="S92" s="11" t="str" cm="1">
        <f t="array" ref="S92">IF($D92 &lt;&gt;0,ResultValue($C92,COLUMN(T92)-COLUMN($C92))/$D92,"")</f>
        <v/>
      </c>
      <c r="T92" s="11" t="str" cm="1">
        <f t="array" ref="T92">IF($D92 &lt;&gt;0,ResultValue($C92,COLUMN(U92)-COLUMN($C92))/$D92,"")</f>
        <v/>
      </c>
      <c r="U92" s="11" t="str" cm="1">
        <f t="array" ref="U92">IF($D92 &lt;&gt;0,ResultValue($C92,COLUMN(V92)-COLUMN($C92))/$D92,"")</f>
        <v/>
      </c>
      <c r="V92" s="11" t="str" cm="1">
        <f t="array" ref="V92">IF($D92 &lt;&gt;0,ResultValue($C92,COLUMN(W92)-COLUMN($C92))/$D92,"")</f>
        <v/>
      </c>
      <c r="W92" s="11" t="str" cm="1">
        <f t="array" ref="W92">IF($D92 &lt;&gt;0,ResultValue($C92,COLUMN(X92)-COLUMN($C92))/$D92,"")</f>
        <v/>
      </c>
      <c r="X92" s="11" t="str" cm="1">
        <f t="array" ref="X92">IF($D92 &lt;&gt;0,ResultValue($C92,COLUMN(Y92)-COLUMN($C92))/$D92,"")</f>
        <v/>
      </c>
      <c r="Y92" s="11" t="str" cm="1">
        <f t="array" ref="Y92">IF($D92 &lt;&gt;0,ResultValue($C92,COLUMN(Z93)-COLUMN($C92))/$D92,"")</f>
        <v/>
      </c>
    </row>
    <row r="93" spans="1:25" x14ac:dyDescent="0.25">
      <c r="A93" s="30" t="str">
        <v>Biogent ikke-udnyttet</v>
      </c>
      <c r="B93" s="28"/>
      <c r="C93" s="22" t="str">
        <f t="shared" si="3"/>
        <v/>
      </c>
      <c r="D93" s="21">
        <f t="shared" si="4"/>
        <v>0</v>
      </c>
      <c r="E93" s="11" t="str" cm="1">
        <f t="array" ref="E93">IF($D93 &lt;&gt;0,ResultValue($C93,COLUMN(F93)-COLUMN($C93))/$D93,"")</f>
        <v/>
      </c>
      <c r="F93" s="11" t="str" cm="1">
        <f t="array" ref="F93">IF($D93 &lt;&gt;0,ResultValue($C93,COLUMN(G93)-COLUMN($C93))/$D93,"")</f>
        <v/>
      </c>
      <c r="G93" s="11" t="str" cm="1">
        <f t="array" ref="G93">IF($D93 &lt;&gt;0,ResultValue($C93,COLUMN(H93)-COLUMN($C93))/$D93,"")</f>
        <v/>
      </c>
      <c r="H93" s="11" t="str" cm="1">
        <f t="array" ref="H93">IF($D93 &lt;&gt;0,ResultValue($C93,COLUMN(I93)-COLUMN($C93))/$D93,"")</f>
        <v/>
      </c>
      <c r="I93" s="11" t="str" cm="1">
        <f t="array" ref="I93">IF($D93 &lt;&gt;0,ResultValue($C93,COLUMN(J93)-COLUMN($C93))/$D93,"")</f>
        <v/>
      </c>
      <c r="J93" s="11" t="str" cm="1">
        <f t="array" ref="J93">IF($D93 &lt;&gt;0,ResultValue($C93,COLUMN(K93)-COLUMN($C93))/$D93,"")</f>
        <v/>
      </c>
      <c r="K93" s="11" t="str" cm="1">
        <f t="array" ref="K93">IF($D93 &lt;&gt;0,ResultValue($C93,COLUMN(L93)-COLUMN($C93))/$D93,"")</f>
        <v/>
      </c>
      <c r="L93" s="11" t="str" cm="1">
        <f t="array" ref="L93">IF($D93 &lt;&gt;0,ResultValue($C93,COLUMN(M93)-COLUMN($C93))/$D93,"")</f>
        <v/>
      </c>
      <c r="M93" s="11" t="str" cm="1">
        <f t="array" ref="M93">IF($D93 &lt;&gt;0,ResultValue($C93,COLUMN(N93)-COLUMN($C93))/$D93,"")</f>
        <v/>
      </c>
      <c r="N93" s="11" t="str" cm="1">
        <f t="array" ref="N93">IF($D93 &lt;&gt;0,ResultValue($C93,COLUMN(O93)-COLUMN($C93))/$D93,"")</f>
        <v/>
      </c>
      <c r="O93" s="11" t="str" cm="1">
        <f t="array" ref="O93">IF($D93 &lt;&gt;0,ResultValue($C93,COLUMN(P93)-COLUMN($C93))/$D93,"")</f>
        <v/>
      </c>
      <c r="P93" s="11" t="str" cm="1">
        <f t="array" ref="P93">IF($D93 &lt;&gt;0,ResultValue($C93,COLUMN(Q93)-COLUMN($C93))/$D93,"")</f>
        <v/>
      </c>
      <c r="Q93" s="11" t="str" cm="1">
        <f t="array" ref="Q93">IF($D93 &lt;&gt;0,ResultValue($C93,COLUMN(R93)-COLUMN($C93))/$D93,"")</f>
        <v/>
      </c>
      <c r="R93" s="11" t="str" cm="1">
        <f t="array" ref="R93">IF($D93 &lt;&gt;0,ResultValue($C93,COLUMN(S93)-COLUMN($C93))/$D93,"")</f>
        <v/>
      </c>
      <c r="S93" s="11" t="str" cm="1">
        <f t="array" ref="S93">IF($D93 &lt;&gt;0,ResultValue($C93,COLUMN(T93)-COLUMN($C93))/$D93,"")</f>
        <v/>
      </c>
      <c r="T93" s="11" t="str" cm="1">
        <f t="array" ref="T93">IF($D93 &lt;&gt;0,ResultValue($C93,COLUMN(U93)-COLUMN($C93))/$D93,"")</f>
        <v/>
      </c>
      <c r="U93" s="11" t="str" cm="1">
        <f t="array" ref="U93">IF($D93 &lt;&gt;0,ResultValue($C93,COLUMN(V93)-COLUMN($C93))/$D93,"")</f>
        <v/>
      </c>
      <c r="V93" s="11" t="str" cm="1">
        <f t="array" ref="V93">IF($D93 &lt;&gt;0,ResultValue($C93,COLUMN(W93)-COLUMN($C93))/$D93,"")</f>
        <v/>
      </c>
      <c r="W93" s="11" t="str" cm="1">
        <f t="array" ref="W93">IF($D93 &lt;&gt;0,ResultValue($C93,COLUMN(X93)-COLUMN($C93))/$D93,"")</f>
        <v/>
      </c>
      <c r="X93" s="11" t="str" cm="1">
        <f t="array" ref="X93">IF($D93 &lt;&gt;0,ResultValue($C93,COLUMN(Y93)-COLUMN($C93))/$D93,"")</f>
        <v/>
      </c>
      <c r="Y93" s="11" t="str" cm="1">
        <f t="array" ref="Y93">IF($D93 &lt;&gt;0,ResultValue($C93,COLUMN(Z94)-COLUMN($C93))/$D93,"")</f>
        <v/>
      </c>
    </row>
    <row r="94" spans="1:25" x14ac:dyDescent="0.25">
      <c r="A94" s="30" t="str">
        <v>Ovn2 udnyttelse</v>
      </c>
      <c r="B94" s="28"/>
      <c r="C94" s="22" t="str">
        <f t="shared" si="3"/>
        <v/>
      </c>
      <c r="D94" s="21">
        <f t="shared" si="4"/>
        <v>0</v>
      </c>
      <c r="E94" s="11" t="str" cm="1">
        <f t="array" ref="E94">IF($D94 &lt;&gt;0,ResultValue($C94,COLUMN(F94)-COLUMN($C94))/$D94,"")</f>
        <v/>
      </c>
      <c r="F94" s="11" t="str" cm="1">
        <f t="array" ref="F94">IF($D94 &lt;&gt;0,ResultValue($C94,COLUMN(G94)-COLUMN($C94))/$D94,"")</f>
        <v/>
      </c>
      <c r="G94" s="11" t="str" cm="1">
        <f t="array" ref="G94">IF($D94 &lt;&gt;0,ResultValue($C94,COLUMN(H94)-COLUMN($C94))/$D94,"")</f>
        <v/>
      </c>
      <c r="H94" s="11" t="str" cm="1">
        <f t="array" ref="H94">IF($D94 &lt;&gt;0,ResultValue($C94,COLUMN(I94)-COLUMN($C94))/$D94,"")</f>
        <v/>
      </c>
      <c r="I94" s="11" t="str" cm="1">
        <f t="array" ref="I94">IF($D94 &lt;&gt;0,ResultValue($C94,COLUMN(J94)-COLUMN($C94))/$D94,"")</f>
        <v/>
      </c>
      <c r="J94" s="11" t="str" cm="1">
        <f t="array" ref="J94">IF($D94 &lt;&gt;0,ResultValue($C94,COLUMN(K94)-COLUMN($C94))/$D94,"")</f>
        <v/>
      </c>
      <c r="K94" s="11" t="str" cm="1">
        <f t="array" ref="K94">IF($D94 &lt;&gt;0,ResultValue($C94,COLUMN(L94)-COLUMN($C94))/$D94,"")</f>
        <v/>
      </c>
      <c r="L94" s="11" t="str" cm="1">
        <f t="array" ref="L94">IF($D94 &lt;&gt;0,ResultValue($C94,COLUMN(M94)-COLUMN($C94))/$D94,"")</f>
        <v/>
      </c>
      <c r="M94" s="11" t="str" cm="1">
        <f t="array" ref="M94">IF($D94 &lt;&gt;0,ResultValue($C94,COLUMN(N94)-COLUMN($C94))/$D94,"")</f>
        <v/>
      </c>
      <c r="N94" s="11" t="str" cm="1">
        <f t="array" ref="N94">IF($D94 &lt;&gt;0,ResultValue($C94,COLUMN(O94)-COLUMN($C94))/$D94,"")</f>
        <v/>
      </c>
      <c r="O94" s="11" t="str" cm="1">
        <f t="array" ref="O94">IF($D94 &lt;&gt;0,ResultValue($C94,COLUMN(P94)-COLUMN($C94))/$D94,"")</f>
        <v/>
      </c>
      <c r="P94" s="11" t="str" cm="1">
        <f t="array" ref="P94">IF($D94 &lt;&gt;0,ResultValue($C94,COLUMN(Q94)-COLUMN($C94))/$D94,"")</f>
        <v/>
      </c>
      <c r="Q94" s="11" t="str" cm="1">
        <f t="array" ref="Q94">IF($D94 &lt;&gt;0,ResultValue($C94,COLUMN(R94)-COLUMN($C94))/$D94,"")</f>
        <v/>
      </c>
      <c r="R94" s="11" t="str" cm="1">
        <f t="array" ref="R94">IF($D94 &lt;&gt;0,ResultValue($C94,COLUMN(S94)-COLUMN($C94))/$D94,"")</f>
        <v/>
      </c>
      <c r="S94" s="11" t="str" cm="1">
        <f t="array" ref="S94">IF($D94 &lt;&gt;0,ResultValue($C94,COLUMN(T94)-COLUMN($C94))/$D94,"")</f>
        <v/>
      </c>
      <c r="T94" s="11" t="str" cm="1">
        <f t="array" ref="T94">IF($D94 &lt;&gt;0,ResultValue($C94,COLUMN(U94)-COLUMN($C94))/$D94,"")</f>
        <v/>
      </c>
      <c r="U94" s="11" t="str" cm="1">
        <f t="array" ref="U94">IF($D94 &lt;&gt;0,ResultValue($C94,COLUMN(V94)-COLUMN($C94))/$D94,"")</f>
        <v/>
      </c>
      <c r="V94" s="11" t="str" cm="1">
        <f t="array" ref="V94">IF($D94 &lt;&gt;0,ResultValue($C94,COLUMN(W94)-COLUMN($C94))/$D94,"")</f>
        <v/>
      </c>
      <c r="W94" s="11" t="str" cm="1">
        <f t="array" ref="W94">IF($D94 &lt;&gt;0,ResultValue($C94,COLUMN(X94)-COLUMN($C94))/$D94,"")</f>
        <v/>
      </c>
      <c r="X94" s="11" t="str" cm="1">
        <f t="array" ref="X94">IF($D94 &lt;&gt;0,ResultValue($C94,COLUMN(Y94)-COLUMN($C94))/$D94,"")</f>
        <v/>
      </c>
      <c r="Y94" s="11" t="str" cm="1">
        <f t="array" ref="Y94">IF($D94 &lt;&gt;0,ResultValue($C94,COLUMN(Z95)-COLUMN($C94))/$D94,"")</f>
        <v/>
      </c>
    </row>
    <row r="95" spans="1:25" x14ac:dyDescent="0.25">
      <c r="A95" s="30" t="str">
        <v>Ovn3 udnyttelse</v>
      </c>
      <c r="B95" s="28"/>
      <c r="C95" s="22" t="str">
        <f t="shared" si="3"/>
        <v/>
      </c>
      <c r="D95" s="21">
        <f t="shared" si="4"/>
        <v>0</v>
      </c>
      <c r="E95" s="11" t="str" cm="1">
        <f t="array" ref="E95">IF($D95 &lt;&gt;0,ResultValue($C95,COLUMN(F95)-COLUMN($C95))/$D95,"")</f>
        <v/>
      </c>
      <c r="F95" s="11" t="str" cm="1">
        <f t="array" ref="F95">IF($D95 &lt;&gt;0,ResultValue($C95,COLUMN(G95)-COLUMN($C95))/$D95,"")</f>
        <v/>
      </c>
      <c r="G95" s="11" t="str" cm="1">
        <f t="array" ref="G95">IF($D95 &lt;&gt;0,ResultValue($C95,COLUMN(H95)-COLUMN($C95))/$D95,"")</f>
        <v/>
      </c>
      <c r="H95" s="11" t="str" cm="1">
        <f t="array" ref="H95">IF($D95 &lt;&gt;0,ResultValue($C95,COLUMN(I95)-COLUMN($C95))/$D95,"")</f>
        <v/>
      </c>
      <c r="I95" s="11" t="str" cm="1">
        <f t="array" ref="I95">IF($D95 &lt;&gt;0,ResultValue($C95,COLUMN(J95)-COLUMN($C95))/$D95,"")</f>
        <v/>
      </c>
      <c r="J95" s="11" t="str" cm="1">
        <f t="array" ref="J95">IF($D95 &lt;&gt;0,ResultValue($C95,COLUMN(K95)-COLUMN($C95))/$D95,"")</f>
        <v/>
      </c>
      <c r="K95" s="11" t="str" cm="1">
        <f t="array" ref="K95">IF($D95 &lt;&gt;0,ResultValue($C95,COLUMN(L95)-COLUMN($C95))/$D95,"")</f>
        <v/>
      </c>
      <c r="L95" s="11" t="str" cm="1">
        <f t="array" ref="L95">IF($D95 &lt;&gt;0,ResultValue($C95,COLUMN(M95)-COLUMN($C95))/$D95,"")</f>
        <v/>
      </c>
      <c r="M95" s="11" t="str" cm="1">
        <f t="array" ref="M95">IF($D95 &lt;&gt;0,ResultValue($C95,COLUMN(N95)-COLUMN($C95))/$D95,"")</f>
        <v/>
      </c>
      <c r="N95" s="11" t="str" cm="1">
        <f t="array" ref="N95">IF($D95 &lt;&gt;0,ResultValue($C95,COLUMN(O95)-COLUMN($C95))/$D95,"")</f>
        <v/>
      </c>
      <c r="O95" s="11" t="str" cm="1">
        <f t="array" ref="O95">IF($D95 &lt;&gt;0,ResultValue($C95,COLUMN(P95)-COLUMN($C95))/$D95,"")</f>
        <v/>
      </c>
      <c r="P95" s="11" t="str" cm="1">
        <f t="array" ref="P95">IF($D95 &lt;&gt;0,ResultValue($C95,COLUMN(Q95)-COLUMN($C95))/$D95,"")</f>
        <v/>
      </c>
      <c r="Q95" s="11" t="str" cm="1">
        <f t="array" ref="Q95">IF($D95 &lt;&gt;0,ResultValue($C95,COLUMN(R95)-COLUMN($C95))/$D95,"")</f>
        <v/>
      </c>
      <c r="R95" s="11" t="str" cm="1">
        <f t="array" ref="R95">IF($D95 &lt;&gt;0,ResultValue($C95,COLUMN(S95)-COLUMN($C95))/$D95,"")</f>
        <v/>
      </c>
      <c r="S95" s="11" t="str" cm="1">
        <f t="array" ref="S95">IF($D95 &lt;&gt;0,ResultValue($C95,COLUMN(T95)-COLUMN($C95))/$D95,"")</f>
        <v/>
      </c>
      <c r="T95" s="11" t="str" cm="1">
        <f t="array" ref="T95">IF($D95 &lt;&gt;0,ResultValue($C95,COLUMN(U95)-COLUMN($C95))/$D95,"")</f>
        <v/>
      </c>
      <c r="U95" s="11" t="str" cm="1">
        <f t="array" ref="U95">IF($D95 &lt;&gt;0,ResultValue($C95,COLUMN(V95)-COLUMN($C95))/$D95,"")</f>
        <v/>
      </c>
      <c r="V95" s="11" t="str" cm="1">
        <f t="array" ref="V95">IF($D95 &lt;&gt;0,ResultValue($C95,COLUMN(W95)-COLUMN($C95))/$D95,"")</f>
        <v/>
      </c>
      <c r="W95" s="11" t="str" cm="1">
        <f t="array" ref="W95">IF($D95 &lt;&gt;0,ResultValue($C95,COLUMN(X95)-COLUMN($C95))/$D95,"")</f>
        <v/>
      </c>
      <c r="X95" s="11" t="str" cm="1">
        <f t="array" ref="X95">IF($D95 &lt;&gt;0,ResultValue($C95,COLUMN(Y95)-COLUMN($C95))/$D95,"")</f>
        <v/>
      </c>
      <c r="Y95" s="11" t="str" cm="1">
        <f t="array" ref="Y95">IF($D95 &lt;&gt;0,ResultValue($C95,COLUMN(Z96)-COLUMN($C95))/$D95,"")</f>
        <v/>
      </c>
    </row>
    <row r="96" spans="1:25" x14ac:dyDescent="0.25">
      <c r="A96" s="30" t="str">
        <v>Ovn2 udnyttelse efter køling</v>
      </c>
      <c r="B96" s="28"/>
      <c r="C96" s="22" t="str">
        <f t="shared" si="3"/>
        <v/>
      </c>
      <c r="D96" s="21">
        <f t="shared" si="4"/>
        <v>0</v>
      </c>
      <c r="E96" s="11" t="str" cm="1">
        <f t="array" ref="E96">IF($D96 &lt;&gt;0,ResultValue($C96,COLUMN(F96)-COLUMN($C96))/$D96,"")</f>
        <v/>
      </c>
      <c r="F96" s="11" t="str" cm="1">
        <f t="array" ref="F96">IF($D96 &lt;&gt;0,ResultValue($C96,COLUMN(G96)-COLUMN($C96))/$D96,"")</f>
        <v/>
      </c>
      <c r="G96" s="11" t="str" cm="1">
        <f t="array" ref="G96">IF($D96 &lt;&gt;0,ResultValue($C96,COLUMN(H96)-COLUMN($C96))/$D96,"")</f>
        <v/>
      </c>
      <c r="H96" s="11" t="str" cm="1">
        <f t="array" ref="H96">IF($D96 &lt;&gt;0,ResultValue($C96,COLUMN(I96)-COLUMN($C96))/$D96,"")</f>
        <v/>
      </c>
      <c r="I96" s="11" t="str" cm="1">
        <f t="array" ref="I96">IF($D96 &lt;&gt;0,ResultValue($C96,COLUMN(J96)-COLUMN($C96))/$D96,"")</f>
        <v/>
      </c>
      <c r="J96" s="11" t="str" cm="1">
        <f t="array" ref="J96">IF($D96 &lt;&gt;0,ResultValue($C96,COLUMN(K96)-COLUMN($C96))/$D96,"")</f>
        <v/>
      </c>
      <c r="K96" s="11" t="str" cm="1">
        <f t="array" ref="K96">IF($D96 &lt;&gt;0,ResultValue($C96,COLUMN(L96)-COLUMN($C96))/$D96,"")</f>
        <v/>
      </c>
      <c r="L96" s="11" t="str" cm="1">
        <f t="array" ref="L96">IF($D96 &lt;&gt;0,ResultValue($C96,COLUMN(M96)-COLUMN($C96))/$D96,"")</f>
        <v/>
      </c>
      <c r="M96" s="11" t="str" cm="1">
        <f t="array" ref="M96">IF($D96 &lt;&gt;0,ResultValue($C96,COLUMN(N96)-COLUMN($C96))/$D96,"")</f>
        <v/>
      </c>
      <c r="N96" s="11" t="str" cm="1">
        <f t="array" ref="N96">IF($D96 &lt;&gt;0,ResultValue($C96,COLUMN(O96)-COLUMN($C96))/$D96,"")</f>
        <v/>
      </c>
      <c r="O96" s="11" t="str" cm="1">
        <f t="array" ref="O96">IF($D96 &lt;&gt;0,ResultValue($C96,COLUMN(P96)-COLUMN($C96))/$D96,"")</f>
        <v/>
      </c>
      <c r="P96" s="11" t="str" cm="1">
        <f t="array" ref="P96">IF($D96 &lt;&gt;0,ResultValue($C96,COLUMN(Q96)-COLUMN($C96))/$D96,"")</f>
        <v/>
      </c>
      <c r="Q96" s="11" t="str" cm="1">
        <f t="array" ref="Q96">IF($D96 &lt;&gt;0,ResultValue($C96,COLUMN(R96)-COLUMN($C96))/$D96,"")</f>
        <v/>
      </c>
      <c r="R96" s="11" t="str" cm="1">
        <f t="array" ref="R96">IF($D96 &lt;&gt;0,ResultValue($C96,COLUMN(S96)-COLUMN($C96))/$D96,"")</f>
        <v/>
      </c>
      <c r="S96" s="11" t="str" cm="1">
        <f t="array" ref="S96">IF($D96 &lt;&gt;0,ResultValue($C96,COLUMN(T96)-COLUMN($C96))/$D96,"")</f>
        <v/>
      </c>
      <c r="T96" s="11" t="str" cm="1">
        <f t="array" ref="T96">IF($D96 &lt;&gt;0,ResultValue($C96,COLUMN(U96)-COLUMN($C96))/$D96,"")</f>
        <v/>
      </c>
      <c r="U96" s="11" t="str" cm="1">
        <f t="array" ref="U96">IF($D96 &lt;&gt;0,ResultValue($C96,COLUMN(V96)-COLUMN($C96))/$D96,"")</f>
        <v/>
      </c>
      <c r="V96" s="11" t="str" cm="1">
        <f t="array" ref="V96">IF($D96 &lt;&gt;0,ResultValue($C96,COLUMN(W96)-COLUMN($C96))/$D96,"")</f>
        <v/>
      </c>
      <c r="W96" s="11" t="str" cm="1">
        <f t="array" ref="W96">IF($D96 &lt;&gt;0,ResultValue($C96,COLUMN(X96)-COLUMN($C96))/$D96,"")</f>
        <v/>
      </c>
      <c r="X96" s="11" t="str" cm="1">
        <f t="array" ref="X96">IF($D96 &lt;&gt;0,ResultValue($C96,COLUMN(Y96)-COLUMN($C96))/$D96,"")</f>
        <v/>
      </c>
      <c r="Y96" s="11" t="str" cm="1">
        <f t="array" ref="Y96">IF($D96 &lt;&gt;0,ResultValue($C96,COLUMN(Z97)-COLUMN($C96))/$D96,"")</f>
        <v/>
      </c>
    </row>
    <row r="97" spans="1:25" x14ac:dyDescent="0.25">
      <c r="A97" s="30" t="str">
        <v>Ovn3 udnyttelse efter køling</v>
      </c>
      <c r="B97" s="28"/>
      <c r="C97" s="22" t="str">
        <f t="shared" si="3"/>
        <v/>
      </c>
      <c r="D97" s="21">
        <f t="shared" si="4"/>
        <v>0</v>
      </c>
      <c r="E97" s="11" t="str" cm="1">
        <f t="array" ref="E97">IF($D97 &lt;&gt;0,ResultValue($C97,COLUMN(F97)-COLUMN($C97))/$D97,"")</f>
        <v/>
      </c>
      <c r="F97" s="11" t="str" cm="1">
        <f t="array" ref="F97">IF($D97 &lt;&gt;0,ResultValue($C97,COLUMN(G97)-COLUMN($C97))/$D97,"")</f>
        <v/>
      </c>
      <c r="G97" s="11" t="str" cm="1">
        <f t="array" ref="G97">IF($D97 &lt;&gt;0,ResultValue($C97,COLUMN(H97)-COLUMN($C97))/$D97,"")</f>
        <v/>
      </c>
      <c r="H97" s="11" t="str" cm="1">
        <f t="array" ref="H97">IF($D97 &lt;&gt;0,ResultValue($C97,COLUMN(I97)-COLUMN($C97))/$D97,"")</f>
        <v/>
      </c>
      <c r="I97" s="11" t="str" cm="1">
        <f t="array" ref="I97">IF($D97 &lt;&gt;0,ResultValue($C97,COLUMN(J97)-COLUMN($C97))/$D97,"")</f>
        <v/>
      </c>
      <c r="J97" s="11" t="str" cm="1">
        <f t="array" ref="J97">IF($D97 &lt;&gt;0,ResultValue($C97,COLUMN(K97)-COLUMN($C97))/$D97,"")</f>
        <v/>
      </c>
      <c r="K97" s="11" t="str" cm="1">
        <f t="array" ref="K97">IF($D97 &lt;&gt;0,ResultValue($C97,COLUMN(L97)-COLUMN($C97))/$D97,"")</f>
        <v/>
      </c>
      <c r="L97" s="11" t="str" cm="1">
        <f t="array" ref="L97">IF($D97 &lt;&gt;0,ResultValue($C97,COLUMN(M97)-COLUMN($C97))/$D97,"")</f>
        <v/>
      </c>
      <c r="M97" s="11" t="str" cm="1">
        <f t="array" ref="M97">IF($D97 &lt;&gt;0,ResultValue($C97,COLUMN(N97)-COLUMN($C97))/$D97,"")</f>
        <v/>
      </c>
      <c r="N97" s="11" t="str" cm="1">
        <f t="array" ref="N97">IF($D97 &lt;&gt;0,ResultValue($C97,COLUMN(O97)-COLUMN($C97))/$D97,"")</f>
        <v/>
      </c>
      <c r="O97" s="11" t="str" cm="1">
        <f t="array" ref="O97">IF($D97 &lt;&gt;0,ResultValue($C97,COLUMN(P97)-COLUMN($C97))/$D97,"")</f>
        <v/>
      </c>
      <c r="P97" s="11" t="str" cm="1">
        <f t="array" ref="P97">IF($D97 &lt;&gt;0,ResultValue($C97,COLUMN(Q97)-COLUMN($C97))/$D97,"")</f>
        <v/>
      </c>
      <c r="Q97" s="11" t="str" cm="1">
        <f t="array" ref="Q97">IF($D97 &lt;&gt;0,ResultValue($C97,COLUMN(R97)-COLUMN($C97))/$D97,"")</f>
        <v/>
      </c>
      <c r="R97" s="11" t="str" cm="1">
        <f t="array" ref="R97">IF($D97 &lt;&gt;0,ResultValue($C97,COLUMN(S97)-COLUMN($C97))/$D97,"")</f>
        <v/>
      </c>
      <c r="S97" s="11" t="str" cm="1">
        <f t="array" ref="S97">IF($D97 &lt;&gt;0,ResultValue($C97,COLUMN(T97)-COLUMN($C97))/$D97,"")</f>
        <v/>
      </c>
      <c r="T97" s="11" t="str" cm="1">
        <f t="array" ref="T97">IF($D97 &lt;&gt;0,ResultValue($C97,COLUMN(U97)-COLUMN($C97))/$D97,"")</f>
        <v/>
      </c>
      <c r="U97" s="11" t="str" cm="1">
        <f t="array" ref="U97">IF($D97 &lt;&gt;0,ResultValue($C97,COLUMN(V97)-COLUMN($C97))/$D97,"")</f>
        <v/>
      </c>
      <c r="V97" s="11" t="str" cm="1">
        <f t="array" ref="V97">IF($D97 &lt;&gt;0,ResultValue($C97,COLUMN(W97)-COLUMN($C97))/$D97,"")</f>
        <v/>
      </c>
      <c r="W97" s="11" t="str" cm="1">
        <f t="array" ref="W97">IF($D97 &lt;&gt;0,ResultValue($C97,COLUMN(X97)-COLUMN($C97))/$D97,"")</f>
        <v/>
      </c>
      <c r="X97" s="11" t="str" cm="1">
        <f t="array" ref="X97">IF($D97 &lt;&gt;0,ResultValue($C97,COLUMN(Y97)-COLUMN($C97))/$D97,"")</f>
        <v/>
      </c>
      <c r="Y97" s="11" t="str" cm="1">
        <f t="array" ref="Y97">IF($D97 &lt;&gt;0,ResultValue($C97,COLUMN(Z98)-COLUMN($C97))/$D97,"")</f>
        <v/>
      </c>
    </row>
    <row r="98" spans="1:25" x14ac:dyDescent="0.25">
      <c r="A98" s="30" t="str">
        <v>Bortkøleanlæg udnyttelse</v>
      </c>
      <c r="B98" s="28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</row>
    <row r="99" spans="1:25" x14ac:dyDescent="0.25">
      <c r="A99" s="30" t="str">
        <v>NS-varme udnyttelse</v>
      </c>
      <c r="B99" s="28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</row>
    <row r="100" spans="1:25" x14ac:dyDescent="0.25">
      <c r="A100" s="30" t="str">
        <v>VPO affald</v>
      </c>
      <c r="B100" s="28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</row>
    <row r="101" spans="1:25" x14ac:dyDescent="0.25">
      <c r="A101" s="28"/>
      <c r="B101" s="28"/>
    </row>
    <row r="102" spans="1:25" x14ac:dyDescent="0.25">
      <c r="A102" s="28"/>
      <c r="B102" s="28"/>
      <c r="C102" s="9" t="s">
        <v>166</v>
      </c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</row>
    <row r="103" spans="1:25" x14ac:dyDescent="0.25">
      <c r="A103" s="28"/>
      <c r="B103" s="28"/>
      <c r="C103" s="2" t="str">
        <f>Model!N54</f>
        <v>Økonomi:</v>
      </c>
      <c r="D103" s="7" t="str">
        <f>Model!O54</f>
        <v>Enhed</v>
      </c>
      <c r="E103" s="13" t="str">
        <f t="shared" ref="E103:Y103" si="5">E6</f>
        <v>Nominelt</v>
      </c>
      <c r="F103" s="13" t="str">
        <f t="shared" si="5"/>
        <v>sc1</v>
      </c>
      <c r="G103" s="13" t="str">
        <f t="shared" si="5"/>
        <v>sc2</v>
      </c>
      <c r="H103" s="13" t="str">
        <f t="shared" si="5"/>
        <v>sc3</v>
      </c>
      <c r="I103" s="13" t="str">
        <f t="shared" si="5"/>
        <v>sc4</v>
      </c>
      <c r="J103" s="13" t="str">
        <f t="shared" si="5"/>
        <v>sc5</v>
      </c>
      <c r="K103" s="13" t="str">
        <f t="shared" si="5"/>
        <v>sc6</v>
      </c>
      <c r="L103" s="13" t="str">
        <f t="shared" si="5"/>
        <v>sc7</v>
      </c>
      <c r="M103" s="13" t="str">
        <f t="shared" si="5"/>
        <v>sc8</v>
      </c>
      <c r="N103" s="13" t="str">
        <f t="shared" si="5"/>
        <v>sc9</v>
      </c>
      <c r="O103" s="13" t="str">
        <f t="shared" si="5"/>
        <v>sc10</v>
      </c>
      <c r="P103" s="13" t="str">
        <f t="shared" si="5"/>
        <v>sc11</v>
      </c>
      <c r="Q103" s="13" t="str">
        <f t="shared" si="5"/>
        <v>sc12</v>
      </c>
      <c r="R103" s="13" t="str">
        <f t="shared" si="5"/>
        <v>sc13</v>
      </c>
      <c r="S103" s="13" t="str">
        <f t="shared" si="5"/>
        <v>sc14</v>
      </c>
      <c r="T103" s="13" t="str">
        <f t="shared" si="5"/>
        <v>sc15</v>
      </c>
      <c r="U103" s="13" t="str">
        <f t="shared" si="5"/>
        <v>sc16</v>
      </c>
      <c r="V103" s="13" t="str">
        <f t="shared" si="5"/>
        <v>sc17</v>
      </c>
      <c r="W103" s="13" t="str">
        <f t="shared" si="5"/>
        <v>sc18</v>
      </c>
      <c r="X103" s="13" t="str">
        <f t="shared" si="5"/>
        <v>sc19</v>
      </c>
      <c r="Y103" s="13" t="str">
        <f t="shared" si="5"/>
        <v>sc20</v>
      </c>
    </row>
    <row r="104" spans="1:25" x14ac:dyDescent="0.25">
      <c r="C104" s="12" t="str">
        <f>Model!N55</f>
        <v>Indtægter total</v>
      </c>
      <c r="D104" s="12" t="str">
        <f>_xlfn.LET(_xlpm.label,Model!O55,IF(ISBLANK(_xlpm.label),"",_xlpm.label))</f>
        <v>tkr</v>
      </c>
      <c r="E104" s="16">
        <v>16271220.678117596</v>
      </c>
      <c r="F104" s="16">
        <v>16271220.678117596</v>
      </c>
      <c r="G104" s="16">
        <v>16271220.678117596</v>
      </c>
      <c r="H104" s="16">
        <v>16271220.678117596</v>
      </c>
      <c r="I104" s="16">
        <v>16271220.678117596</v>
      </c>
      <c r="J104" s="16">
        <v>16271220.678117596</v>
      </c>
      <c r="K104" s="16">
        <v>16271220.678117596</v>
      </c>
      <c r="L104" s="16">
        <v>16271220.678117596</v>
      </c>
      <c r="M104" s="16">
        <v>16271220.678117596</v>
      </c>
      <c r="N104" s="16">
        <v>16271220.678117596</v>
      </c>
      <c r="O104" s="16">
        <v>16271220.678117596</v>
      </c>
      <c r="P104" s="16">
        <v>16271220.678117596</v>
      </c>
      <c r="Q104" s="16">
        <v>16271220.678117596</v>
      </c>
      <c r="R104" s="16"/>
      <c r="S104" s="16"/>
      <c r="T104" s="16"/>
      <c r="U104" s="16"/>
      <c r="V104" s="16"/>
      <c r="W104" s="16"/>
      <c r="X104" s="16"/>
      <c r="Y104" s="16"/>
    </row>
    <row r="105" spans="1:25" x14ac:dyDescent="0.25">
      <c r="C105" s="12" t="str">
        <f>Model!N56</f>
        <v>Omkostninger total</v>
      </c>
      <c r="D105" s="12" t="str">
        <f>_xlfn.LET(_xlpm.label,Model!O56,IF(ISBLANK(_xlpm.label),"",_xlpm.label))</f>
        <v>tkr</v>
      </c>
      <c r="E105" s="16">
        <v>8577251.4406169187</v>
      </c>
      <c r="F105" s="16">
        <v>8577251.4406169187</v>
      </c>
      <c r="G105" s="16">
        <v>8577251.4406169187</v>
      </c>
      <c r="H105" s="16">
        <v>8577251.4406169187</v>
      </c>
      <c r="I105" s="16">
        <v>8577251.4406169187</v>
      </c>
      <c r="J105" s="16">
        <v>8577251.4406169187</v>
      </c>
      <c r="K105" s="16">
        <v>8577251.4406169187</v>
      </c>
      <c r="L105" s="16">
        <v>8577251.4406169187</v>
      </c>
      <c r="M105" s="16">
        <v>8577251.4406169187</v>
      </c>
      <c r="N105" s="16">
        <v>8577251.4406169187</v>
      </c>
      <c r="O105" s="16">
        <v>8577251.4406169187</v>
      </c>
      <c r="P105" s="16">
        <v>8577251.4406169187</v>
      </c>
      <c r="Q105" s="16">
        <v>8577251.4406169187</v>
      </c>
      <c r="R105" s="16"/>
      <c r="S105" s="16"/>
      <c r="T105" s="16"/>
      <c r="U105" s="16"/>
      <c r="V105" s="16"/>
      <c r="W105" s="16"/>
      <c r="X105" s="16"/>
      <c r="Y105" s="16"/>
    </row>
    <row r="106" spans="1:25" x14ac:dyDescent="0.25">
      <c r="C106" s="12" t="str">
        <f>Model!N57</f>
        <v>Dækningsbidrag</v>
      </c>
      <c r="D106" s="12" t="str">
        <f>_xlfn.LET(_xlpm.label,Model!O57,IF(ISBLANK(_xlpm.label),"",_xlpm.label))</f>
        <v>tkr</v>
      </c>
      <c r="E106" s="16">
        <v>7693969.2375006769</v>
      </c>
      <c r="F106" s="16">
        <v>7693969.2375006769</v>
      </c>
      <c r="G106" s="16">
        <v>7693969.2375006769</v>
      </c>
      <c r="H106" s="16">
        <v>7693969.2375006769</v>
      </c>
      <c r="I106" s="16">
        <v>7693969.2375006769</v>
      </c>
      <c r="J106" s="16">
        <v>7693969.2375006769</v>
      </c>
      <c r="K106" s="16">
        <v>7693969.2375006769</v>
      </c>
      <c r="L106" s="16">
        <v>7693969.2375006769</v>
      </c>
      <c r="M106" s="16">
        <v>7693969.2375006769</v>
      </c>
      <c r="N106" s="16">
        <v>7693969.2375006769</v>
      </c>
      <c r="O106" s="16">
        <v>7693969.2375006769</v>
      </c>
      <c r="P106" s="16">
        <v>7693969.2375006769</v>
      </c>
      <c r="Q106" s="16">
        <v>7693969.2375006769</v>
      </c>
      <c r="R106" s="16"/>
      <c r="S106" s="16"/>
      <c r="T106" s="16"/>
      <c r="U106" s="16"/>
      <c r="V106" s="16"/>
      <c r="W106" s="16"/>
      <c r="X106" s="16"/>
      <c r="Y106" s="16"/>
    </row>
    <row r="107" spans="1:25" x14ac:dyDescent="0.25">
      <c r="C107" s="149"/>
      <c r="D107" s="12" t="str">
        <f>_xlfn.LET(_xlpm.label,Model!O58,IF(ISBLANK(_xlpm.label),"",_xlpm.label))</f>
        <v/>
      </c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</row>
    <row r="108" spans="1:25" x14ac:dyDescent="0.25">
      <c r="C108" s="12" t="str">
        <f>Model!N59</f>
        <v>Varmesalg</v>
      </c>
      <c r="D108" s="12" t="str">
        <f>_xlfn.LET(_xlpm.label,Model!O59,IF(ISBLANK(_xlpm.label),"",_xlpm.label))</f>
        <v>tkr</v>
      </c>
      <c r="E108" s="15">
        <v>7464000</v>
      </c>
      <c r="F108" s="15">
        <v>7464000</v>
      </c>
      <c r="G108" s="15">
        <v>7464000</v>
      </c>
      <c r="H108" s="15">
        <v>7464000</v>
      </c>
      <c r="I108" s="15">
        <v>7464000</v>
      </c>
      <c r="J108" s="15">
        <v>7464000</v>
      </c>
      <c r="K108" s="15">
        <v>7464000</v>
      </c>
      <c r="L108" s="15">
        <v>7464000</v>
      </c>
      <c r="M108" s="15">
        <v>7464000</v>
      </c>
      <c r="N108" s="15">
        <v>7464000</v>
      </c>
      <c r="O108" s="15">
        <v>7464000</v>
      </c>
      <c r="P108" s="15">
        <v>7464000</v>
      </c>
      <c r="Q108" s="15">
        <v>7464000</v>
      </c>
      <c r="R108" s="15"/>
      <c r="S108" s="15"/>
      <c r="T108" s="15"/>
      <c r="U108" s="15"/>
      <c r="V108" s="15"/>
      <c r="W108" s="15"/>
      <c r="X108" s="15"/>
      <c r="Y108" s="15"/>
    </row>
    <row r="109" spans="1:25" x14ac:dyDescent="0.25">
      <c r="C109" s="12" t="str">
        <f>Model!N60</f>
        <v>Elsalg</v>
      </c>
      <c r="D109" s="12" t="str">
        <f>_xlfn.LET(_xlpm.label,Model!O60,IF(ISBLANK(_xlpm.label),"",_xlpm.label))</f>
        <v>tkr</v>
      </c>
      <c r="E109" s="15">
        <v>3947332.4512195126</v>
      </c>
      <c r="F109" s="15">
        <v>3947332.4512195126</v>
      </c>
      <c r="G109" s="15">
        <v>3947332.4512195126</v>
      </c>
      <c r="H109" s="15">
        <v>3947332.4512195126</v>
      </c>
      <c r="I109" s="15">
        <v>3947332.4512195126</v>
      </c>
      <c r="J109" s="15">
        <v>3947332.4512195126</v>
      </c>
      <c r="K109" s="15">
        <v>3947332.4512195126</v>
      </c>
      <c r="L109" s="15">
        <v>3947332.4512195126</v>
      </c>
      <c r="M109" s="15">
        <v>3947332.4512195126</v>
      </c>
      <c r="N109" s="15">
        <v>3947332.4512195126</v>
      </c>
      <c r="O109" s="15">
        <v>3947332.4512195126</v>
      </c>
      <c r="P109" s="15">
        <v>3947332.4512195126</v>
      </c>
      <c r="Q109" s="15">
        <v>3947332.4512195126</v>
      </c>
      <c r="R109" s="15"/>
      <c r="S109" s="15"/>
      <c r="T109" s="15"/>
      <c r="U109" s="15"/>
      <c r="V109" s="15"/>
      <c r="W109" s="15"/>
      <c r="X109" s="15"/>
      <c r="Y109" s="15"/>
    </row>
    <row r="110" spans="1:25" x14ac:dyDescent="0.25">
      <c r="C110" s="12" t="str">
        <f>Model!N61</f>
        <v>RGK-rabat</v>
      </c>
      <c r="D110" s="12" t="str">
        <f>_xlfn.LET(_xlpm.label,Model!O61,IF(ISBLANK(_xlpm.label),"",_xlpm.label))</f>
        <v>tkr</v>
      </c>
      <c r="E110" s="15">
        <v>200593.80181097562</v>
      </c>
      <c r="F110" s="15">
        <v>200593.80181097562</v>
      </c>
      <c r="G110" s="15">
        <v>200593.80181097562</v>
      </c>
      <c r="H110" s="15">
        <v>200593.80181097562</v>
      </c>
      <c r="I110" s="15">
        <v>200593.80181097562</v>
      </c>
      <c r="J110" s="15">
        <v>200593.80181097562</v>
      </c>
      <c r="K110" s="15">
        <v>200593.80181097562</v>
      </c>
      <c r="L110" s="15">
        <v>200593.80181097562</v>
      </c>
      <c r="M110" s="15">
        <v>200593.80181097562</v>
      </c>
      <c r="N110" s="15">
        <v>200593.80181097562</v>
      </c>
      <c r="O110" s="15">
        <v>200593.80181097562</v>
      </c>
      <c r="P110" s="15">
        <v>200593.80181097562</v>
      </c>
      <c r="Q110" s="15">
        <v>200593.80181097562</v>
      </c>
      <c r="R110" s="15"/>
      <c r="S110" s="15"/>
      <c r="T110" s="15"/>
      <c r="U110" s="15"/>
      <c r="V110" s="15"/>
      <c r="W110" s="15"/>
      <c r="X110" s="15"/>
      <c r="Y110" s="15"/>
    </row>
    <row r="111" spans="1:25" x14ac:dyDescent="0.25">
      <c r="C111" s="12" t="str">
        <f>Model!N62</f>
        <v>Modtagebetaling affald</v>
      </c>
      <c r="D111" s="12" t="str">
        <f>_xlfn.LET(_xlpm.label,Model!O62,IF(ISBLANK(_xlpm.label),"",_xlpm.label))</f>
        <v>tkr</v>
      </c>
      <c r="E111" s="15">
        <v>4659294.4250871073</v>
      </c>
      <c r="F111" s="15">
        <v>4659294.4250871073</v>
      </c>
      <c r="G111" s="15">
        <v>4659294.4250871073</v>
      </c>
      <c r="H111" s="15">
        <v>4659294.4250871073</v>
      </c>
      <c r="I111" s="15">
        <v>4659294.4250871073</v>
      </c>
      <c r="J111" s="15">
        <v>4659294.4250871073</v>
      </c>
      <c r="K111" s="15">
        <v>4659294.4250871073</v>
      </c>
      <c r="L111" s="15">
        <v>4659294.4250871073</v>
      </c>
      <c r="M111" s="15">
        <v>4659294.4250871073</v>
      </c>
      <c r="N111" s="15">
        <v>4659294.4250871073</v>
      </c>
      <c r="O111" s="15">
        <v>4659294.4250871073</v>
      </c>
      <c r="P111" s="15">
        <v>4659294.4250871073</v>
      </c>
      <c r="Q111" s="15">
        <v>4659294.4250871073</v>
      </c>
      <c r="R111" s="15"/>
      <c r="S111" s="15"/>
      <c r="T111" s="15"/>
      <c r="U111" s="15"/>
      <c r="V111" s="15"/>
      <c r="W111" s="15"/>
      <c r="X111" s="15"/>
      <c r="Y111" s="15"/>
    </row>
    <row r="112" spans="1:25" x14ac:dyDescent="0.25">
      <c r="C112" s="12"/>
      <c r="D112" s="12" t="str">
        <f>_xlfn.LET(_xlpm.label,Model!O63,IF(ISBLANK(_xlpm.label),"",_xlpm.label))</f>
        <v/>
      </c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</row>
    <row r="113" spans="3:26" x14ac:dyDescent="0.25">
      <c r="C113" s="12" t="str">
        <f>Model!N64</f>
        <v>Betaling bioaffald</v>
      </c>
      <c r="D113" s="12" t="str">
        <f>_xlfn.LET(_xlpm.label,Model!O64,IF(ISBLANK(_xlpm.label),"",_xlpm.label))</f>
        <v>tkr</v>
      </c>
      <c r="E113" s="16">
        <v>0</v>
      </c>
      <c r="F113" s="16">
        <v>0</v>
      </c>
      <c r="G113" s="16">
        <v>0</v>
      </c>
      <c r="H113" s="16">
        <v>0</v>
      </c>
      <c r="I113" s="16">
        <v>0</v>
      </c>
      <c r="J113" s="16">
        <v>0</v>
      </c>
      <c r="K113" s="16">
        <v>0</v>
      </c>
      <c r="L113" s="16">
        <v>0</v>
      </c>
      <c r="M113" s="16">
        <v>0</v>
      </c>
      <c r="N113" s="16">
        <v>0</v>
      </c>
      <c r="O113" s="16">
        <v>0</v>
      </c>
      <c r="P113" s="16">
        <v>0</v>
      </c>
      <c r="Q113" s="16">
        <v>0</v>
      </c>
      <c r="R113" s="16"/>
      <c r="S113" s="16"/>
      <c r="T113" s="16"/>
      <c r="U113" s="16"/>
      <c r="V113" s="16"/>
      <c r="W113" s="16"/>
      <c r="X113" s="16"/>
      <c r="Y113" s="16"/>
    </row>
    <row r="114" spans="3:26" x14ac:dyDescent="0.25">
      <c r="C114" s="12" t="str">
        <f>Model!N65</f>
        <v>DV-omkostninger</v>
      </c>
      <c r="D114" s="12" t="str">
        <f>_xlfn.LET(_xlpm.label,Model!O65,IF(ISBLANK(_xlpm.label),"",_xlpm.label))</f>
        <v>tkr</v>
      </c>
      <c r="E114" s="15">
        <v>1089960</v>
      </c>
      <c r="F114" s="15">
        <v>1089960</v>
      </c>
      <c r="G114" s="15">
        <v>1089960</v>
      </c>
      <c r="H114" s="15">
        <v>1089960</v>
      </c>
      <c r="I114" s="15">
        <v>1089960</v>
      </c>
      <c r="J114" s="15">
        <v>1089960</v>
      </c>
      <c r="K114" s="15">
        <v>1089960</v>
      </c>
      <c r="L114" s="15">
        <v>1089960</v>
      </c>
      <c r="M114" s="15">
        <v>1089960</v>
      </c>
      <c r="N114" s="15">
        <v>1089960</v>
      </c>
      <c r="O114" s="15">
        <v>1089960</v>
      </c>
      <c r="P114" s="15">
        <v>1089960</v>
      </c>
      <c r="Q114" s="15">
        <v>1089960</v>
      </c>
      <c r="R114" s="15"/>
      <c r="S114" s="15"/>
      <c r="T114" s="15"/>
      <c r="U114" s="15"/>
      <c r="V114" s="15"/>
      <c r="W114" s="15"/>
      <c r="X114" s="15"/>
      <c r="Y114" s="15"/>
    </row>
    <row r="115" spans="3:26" x14ac:dyDescent="0.25">
      <c r="C115" s="12" t="str">
        <f>Model!N66</f>
        <v>Affaldvarme-afgift</v>
      </c>
      <c r="D115" s="12" t="str">
        <f>_xlfn.LET(_xlpm.label,Model!O66,IF(ISBLANK(_xlpm.label),"",_xlpm.label))</f>
        <v>tkr</v>
      </c>
      <c r="E115" s="15">
        <v>2229120</v>
      </c>
      <c r="F115" s="15">
        <v>2229120</v>
      </c>
      <c r="G115" s="15">
        <v>2229120</v>
      </c>
      <c r="H115" s="15">
        <v>2229120</v>
      </c>
      <c r="I115" s="15">
        <v>2229120</v>
      </c>
      <c r="J115" s="15">
        <v>2229120</v>
      </c>
      <c r="K115" s="15">
        <v>2229120</v>
      </c>
      <c r="L115" s="15">
        <v>2229120</v>
      </c>
      <c r="M115" s="15">
        <v>2229120</v>
      </c>
      <c r="N115" s="15">
        <v>2229120</v>
      </c>
      <c r="O115" s="15">
        <v>2229120</v>
      </c>
      <c r="P115" s="15">
        <v>2229120</v>
      </c>
      <c r="Q115" s="15">
        <v>2229120</v>
      </c>
      <c r="R115" s="15"/>
      <c r="S115" s="15"/>
      <c r="T115" s="15"/>
      <c r="U115" s="15"/>
      <c r="V115" s="15"/>
      <c r="W115" s="15"/>
      <c r="X115" s="15"/>
      <c r="Y115" s="15"/>
    </row>
    <row r="116" spans="3:26" x14ac:dyDescent="0.25">
      <c r="C116" s="12" t="str">
        <f>Model!N67</f>
        <v>Tillægsafgift</v>
      </c>
      <c r="D116" s="12" t="str">
        <f>_xlfn.LET(_xlpm.label,Model!O67,IF(ISBLANK(_xlpm.label),"",_xlpm.label))</f>
        <v>tkr</v>
      </c>
      <c r="E116" s="16">
        <v>2005938.0181097561</v>
      </c>
      <c r="F116" s="16">
        <v>2005938.0181097561</v>
      </c>
      <c r="G116" s="16">
        <v>2005938.0181097561</v>
      </c>
      <c r="H116" s="16">
        <v>2005938.0181097561</v>
      </c>
      <c r="I116" s="16">
        <v>2005938.0181097561</v>
      </c>
      <c r="J116" s="16">
        <v>2005938.0181097561</v>
      </c>
      <c r="K116" s="16">
        <v>2005938.0181097561</v>
      </c>
      <c r="L116" s="16">
        <v>2005938.0181097561</v>
      </c>
      <c r="M116" s="16">
        <v>2005938.0181097561</v>
      </c>
      <c r="N116" s="16">
        <v>2005938.0181097561</v>
      </c>
      <c r="O116" s="16">
        <v>2005938.0181097561</v>
      </c>
      <c r="P116" s="16">
        <v>2005938.0181097561</v>
      </c>
      <c r="Q116" s="16">
        <v>2005938.0181097561</v>
      </c>
      <c r="R116" s="16"/>
      <c r="S116" s="16"/>
      <c r="T116" s="16"/>
      <c r="U116" s="16"/>
      <c r="V116" s="16"/>
      <c r="W116" s="16"/>
      <c r="X116" s="16"/>
      <c r="Y116" s="16"/>
    </row>
    <row r="117" spans="3:26" x14ac:dyDescent="0.25">
      <c r="C117" s="12" t="str">
        <f>Model!N68</f>
        <v>CO2-afgift</v>
      </c>
      <c r="D117" s="12" t="str">
        <f>_xlfn.LET(_xlpm.label,Model!O68,IF(ISBLANK(_xlpm.label),"",_xlpm.label))</f>
        <v>tkr</v>
      </c>
      <c r="E117" s="16">
        <v>416610.61762911582</v>
      </c>
      <c r="F117" s="16">
        <v>416610.61762911582</v>
      </c>
      <c r="G117" s="16">
        <v>416610.61762911582</v>
      </c>
      <c r="H117" s="16">
        <v>416610.61762911582</v>
      </c>
      <c r="I117" s="16">
        <v>416610.61762911582</v>
      </c>
      <c r="J117" s="16">
        <v>416610.61762911582</v>
      </c>
      <c r="K117" s="16">
        <v>416610.61762911582</v>
      </c>
      <c r="L117" s="16">
        <v>416610.61762911582</v>
      </c>
      <c r="M117" s="16">
        <v>416610.61762911582</v>
      </c>
      <c r="N117" s="16">
        <v>416610.61762911582</v>
      </c>
      <c r="O117" s="16">
        <v>416610.61762911582</v>
      </c>
      <c r="P117" s="16">
        <v>416610.61762911582</v>
      </c>
      <c r="Q117" s="16">
        <v>416610.61762911582</v>
      </c>
      <c r="R117" s="16"/>
      <c r="S117" s="16"/>
      <c r="T117" s="16"/>
      <c r="U117" s="16"/>
      <c r="V117" s="16"/>
      <c r="W117" s="16"/>
      <c r="X117" s="16"/>
      <c r="Y117" s="16"/>
    </row>
    <row r="118" spans="3:26" x14ac:dyDescent="0.25">
      <c r="C118" s="12" t="str">
        <f>Model!N69</f>
        <v>Kvote-omkostning</v>
      </c>
      <c r="D118" s="12" t="str">
        <f>_xlfn.LET(_xlpm.label,Model!O69,IF(ISBLANK(_xlpm.label),"",_xlpm.label))</f>
        <v>tkr</v>
      </c>
      <c r="E118" s="16">
        <v>2835622.8048780481</v>
      </c>
      <c r="F118" s="16">
        <v>2835622.8048780481</v>
      </c>
      <c r="G118" s="16">
        <v>2835622.8048780481</v>
      </c>
      <c r="H118" s="16">
        <v>2835622.8048780481</v>
      </c>
      <c r="I118" s="16">
        <v>2835622.8048780481</v>
      </c>
      <c r="J118" s="16">
        <v>2835622.8048780481</v>
      </c>
      <c r="K118" s="16">
        <v>2835622.8048780481</v>
      </c>
      <c r="L118" s="16">
        <v>2835622.8048780481</v>
      </c>
      <c r="M118" s="16">
        <v>2835622.8048780481</v>
      </c>
      <c r="N118" s="16">
        <v>2835622.8048780481</v>
      </c>
      <c r="O118" s="16">
        <v>2835622.8048780481</v>
      </c>
      <c r="P118" s="16">
        <v>2835622.8048780481</v>
      </c>
      <c r="Q118" s="16">
        <v>2835622.8048780481</v>
      </c>
      <c r="R118" s="16"/>
      <c r="S118" s="16"/>
      <c r="T118" s="16"/>
      <c r="U118" s="16"/>
      <c r="V118" s="16"/>
      <c r="W118" s="16"/>
      <c r="X118" s="16"/>
      <c r="Y118" s="16"/>
    </row>
    <row r="119" spans="3:26" x14ac:dyDescent="0.25">
      <c r="C119" s="12"/>
      <c r="D119" s="12" t="str">
        <f>_xlfn.LET(_xlpm.label,Model!O70,IF(ISBLANK(_xlpm.label),"",_xlpm.label))</f>
        <v/>
      </c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</row>
    <row r="120" spans="3:26" x14ac:dyDescent="0.25">
      <c r="C120" s="6" t="str">
        <f>Model!N71</f>
        <v>Varmemængder:</v>
      </c>
      <c r="D120" s="12" t="str">
        <f>_xlfn.LET(_xlpm.label,Model!O71,IF(ISBLANK(_xlpm.label),"",_xlpm.label))</f>
        <v/>
      </c>
      <c r="E120" s="70" t="s">
        <v>331</v>
      </c>
      <c r="F120" s="70" t="s">
        <v>331</v>
      </c>
      <c r="G120" s="70" t="s">
        <v>331</v>
      </c>
      <c r="H120" s="70" t="s">
        <v>331</v>
      </c>
      <c r="I120" s="70" t="s">
        <v>331</v>
      </c>
      <c r="J120" s="70" t="s">
        <v>331</v>
      </c>
      <c r="K120" s="70" t="s">
        <v>331</v>
      </c>
      <c r="L120" s="70" t="s">
        <v>331</v>
      </c>
      <c r="M120" s="70" t="s">
        <v>331</v>
      </c>
      <c r="N120" s="70" t="s">
        <v>331</v>
      </c>
      <c r="O120" s="70" t="s">
        <v>331</v>
      </c>
      <c r="P120" s="70" t="s">
        <v>331</v>
      </c>
      <c r="Q120" s="70" t="s">
        <v>331</v>
      </c>
      <c r="R120" s="70"/>
      <c r="S120" s="70"/>
      <c r="T120" s="70"/>
      <c r="U120" s="70"/>
      <c r="V120" s="70"/>
      <c r="W120" s="70"/>
      <c r="X120" s="70"/>
      <c r="Y120" s="70"/>
    </row>
    <row r="121" spans="3:26" x14ac:dyDescent="0.25">
      <c r="C121" s="4" t="str">
        <f>Model!N72</f>
        <v>Varmeproduktion Ovn2</v>
      </c>
      <c r="D121" s="12" t="str">
        <f>_xlfn.LET(_xlpm.label,Model!O72,IF(ISBLANK(_xlpm.label),"",_xlpm.label))</f>
        <v>MWhq</v>
      </c>
      <c r="E121" s="11">
        <v>3168</v>
      </c>
      <c r="F121" s="11">
        <v>3168</v>
      </c>
      <c r="G121" s="11">
        <v>3168</v>
      </c>
      <c r="H121" s="11">
        <v>3168</v>
      </c>
      <c r="I121" s="11">
        <v>3168</v>
      </c>
      <c r="J121" s="11">
        <v>3168</v>
      </c>
      <c r="K121" s="11">
        <v>3168</v>
      </c>
      <c r="L121" s="11">
        <v>3168</v>
      </c>
      <c r="M121" s="11">
        <v>3168</v>
      </c>
      <c r="N121" s="11">
        <v>3168</v>
      </c>
      <c r="O121" s="11">
        <v>3168</v>
      </c>
      <c r="P121" s="11">
        <v>3168</v>
      </c>
      <c r="Q121" s="11">
        <v>3168</v>
      </c>
      <c r="R121" s="11"/>
      <c r="S121" s="11"/>
      <c r="T121" s="11"/>
      <c r="U121" s="11"/>
      <c r="V121" s="11"/>
      <c r="W121" s="11"/>
      <c r="X121" s="11"/>
      <c r="Y121" s="11"/>
      <c r="Z121" s="16"/>
    </row>
    <row r="122" spans="3:26" x14ac:dyDescent="0.25">
      <c r="C122" s="4" t="str">
        <f>Model!N73</f>
        <v>Varmeproduktion Ovn3</v>
      </c>
      <c r="D122" s="12" t="str">
        <f>_xlfn.LET(_xlpm.label,Model!O73,IF(ISBLANK(_xlpm.label),"",_xlpm.label))</f>
        <v>MWhq</v>
      </c>
      <c r="E122" s="11">
        <v>20832</v>
      </c>
      <c r="F122" s="11">
        <v>20832</v>
      </c>
      <c r="G122" s="11">
        <v>20832</v>
      </c>
      <c r="H122" s="11">
        <v>20832</v>
      </c>
      <c r="I122" s="11">
        <v>20832</v>
      </c>
      <c r="J122" s="11">
        <v>20832</v>
      </c>
      <c r="K122" s="11">
        <v>20832</v>
      </c>
      <c r="L122" s="11">
        <v>20832</v>
      </c>
      <c r="M122" s="11">
        <v>20832</v>
      </c>
      <c r="N122" s="11">
        <v>20832</v>
      </c>
      <c r="O122" s="11">
        <v>20832</v>
      </c>
      <c r="P122" s="11">
        <v>20832</v>
      </c>
      <c r="Q122" s="11">
        <v>20832</v>
      </c>
      <c r="R122" s="11"/>
      <c r="S122" s="11"/>
      <c r="T122" s="11"/>
      <c r="U122" s="11"/>
      <c r="V122" s="11"/>
      <c r="W122" s="11"/>
      <c r="X122" s="11"/>
      <c r="Y122" s="11"/>
      <c r="Z122" s="16"/>
    </row>
    <row r="123" spans="3:26" x14ac:dyDescent="0.25">
      <c r="C123" s="4" t="str">
        <f>Model!N74</f>
        <v>Heraf RGK-varme</v>
      </c>
      <c r="D123" s="12" t="str">
        <f>_xlfn.LET(_xlpm.label,Model!O74,IF(ISBLANK(_xlpm.label),"",_xlpm.label))</f>
        <v>MWhq</v>
      </c>
      <c r="E123" s="11">
        <v>4092</v>
      </c>
      <c r="F123" s="11">
        <v>4092</v>
      </c>
      <c r="G123" s="11">
        <v>4092</v>
      </c>
      <c r="H123" s="11">
        <v>4092</v>
      </c>
      <c r="I123" s="11">
        <v>4092</v>
      </c>
      <c r="J123" s="11">
        <v>4092</v>
      </c>
      <c r="K123" s="11">
        <v>4092</v>
      </c>
      <c r="L123" s="11">
        <v>4092</v>
      </c>
      <c r="M123" s="11">
        <v>4092</v>
      </c>
      <c r="N123" s="11">
        <v>4092</v>
      </c>
      <c r="O123" s="11">
        <v>4092</v>
      </c>
      <c r="P123" s="11">
        <v>4092</v>
      </c>
      <c r="Q123" s="11">
        <v>4092</v>
      </c>
      <c r="R123" s="11"/>
      <c r="S123" s="11"/>
      <c r="T123" s="11"/>
      <c r="U123" s="11"/>
      <c r="V123" s="11"/>
      <c r="W123" s="11"/>
      <c r="X123" s="11"/>
      <c r="Y123" s="11"/>
      <c r="Z123" s="16"/>
    </row>
    <row r="124" spans="3:26" x14ac:dyDescent="0.25">
      <c r="C124" s="4" t="str">
        <f>Model!N75</f>
        <v>Bortkølet varme</v>
      </c>
      <c r="D124" s="12" t="str">
        <f>_xlfn.LET(_xlpm.label,Model!O75,IF(ISBLANK(_xlpm.label),"",_xlpm.label))</f>
        <v>MWhq</v>
      </c>
      <c r="E124" s="11">
        <v>0</v>
      </c>
      <c r="F124" s="11">
        <v>0</v>
      </c>
      <c r="G124" s="11">
        <v>0</v>
      </c>
      <c r="H124" s="11">
        <v>0</v>
      </c>
      <c r="I124" s="11">
        <v>0</v>
      </c>
      <c r="J124" s="11">
        <v>0</v>
      </c>
      <c r="K124" s="11">
        <v>0</v>
      </c>
      <c r="L124" s="11">
        <v>0</v>
      </c>
      <c r="M124" s="11">
        <v>0</v>
      </c>
      <c r="N124" s="11">
        <v>0</v>
      </c>
      <c r="O124" s="11">
        <v>0</v>
      </c>
      <c r="P124" s="11">
        <v>0</v>
      </c>
      <c r="Q124" s="11">
        <v>0</v>
      </c>
      <c r="R124" s="11"/>
      <c r="S124" s="11"/>
      <c r="T124" s="11"/>
      <c r="U124" s="11"/>
      <c r="V124" s="11"/>
      <c r="W124" s="11"/>
      <c r="X124" s="11"/>
      <c r="Y124" s="11"/>
      <c r="Z124" s="13"/>
    </row>
    <row r="125" spans="3:26" x14ac:dyDescent="0.25">
      <c r="C125" s="4" t="str">
        <f>Model!N76</f>
        <v>Leveret affaldsvarme</v>
      </c>
      <c r="D125" s="12" t="str">
        <f>_xlfn.LET(_xlpm.label,Model!O76,IF(ISBLANK(_xlpm.label),"",_xlpm.label))</f>
        <v>MWhq</v>
      </c>
      <c r="E125" s="11">
        <v>24000</v>
      </c>
      <c r="F125" s="11">
        <v>24000</v>
      </c>
      <c r="G125" s="11">
        <v>24000</v>
      </c>
      <c r="H125" s="11">
        <v>24000</v>
      </c>
      <c r="I125" s="11">
        <v>24000</v>
      </c>
      <c r="J125" s="11">
        <v>24000</v>
      </c>
      <c r="K125" s="11">
        <v>24000</v>
      </c>
      <c r="L125" s="11">
        <v>24000</v>
      </c>
      <c r="M125" s="11">
        <v>24000</v>
      </c>
      <c r="N125" s="11">
        <v>24000</v>
      </c>
      <c r="O125" s="11">
        <v>24000</v>
      </c>
      <c r="P125" s="11">
        <v>24000</v>
      </c>
      <c r="Q125" s="11">
        <v>24000</v>
      </c>
      <c r="R125" s="11"/>
      <c r="S125" s="11"/>
      <c r="T125" s="11"/>
      <c r="U125" s="11"/>
      <c r="V125" s="11"/>
      <c r="W125" s="11"/>
      <c r="X125" s="11"/>
      <c r="Y125" s="11"/>
      <c r="Z125" s="15"/>
    </row>
    <row r="126" spans="3:26" x14ac:dyDescent="0.25">
      <c r="C126" s="4" t="str">
        <f>Model!N77</f>
        <v>Spidslastvarme</v>
      </c>
      <c r="D126" s="12" t="str">
        <f>_xlfn.LET(_xlpm.label,Model!O77,IF(ISBLANK(_xlpm.label),"",_xlpm.label))</f>
        <v>MWhq</v>
      </c>
      <c r="E126" s="11">
        <v>0</v>
      </c>
      <c r="F126" s="11">
        <v>0</v>
      </c>
      <c r="G126" s="11">
        <v>0</v>
      </c>
      <c r="H126" s="11">
        <v>0</v>
      </c>
      <c r="I126" s="11">
        <v>0</v>
      </c>
      <c r="J126" s="11">
        <v>0</v>
      </c>
      <c r="K126" s="11">
        <v>0</v>
      </c>
      <c r="L126" s="11">
        <v>0</v>
      </c>
      <c r="M126" s="11">
        <v>0</v>
      </c>
      <c r="N126" s="11">
        <v>0</v>
      </c>
      <c r="O126" s="11">
        <v>0</v>
      </c>
      <c r="P126" s="11">
        <v>0</v>
      </c>
      <c r="Q126" s="11">
        <v>0</v>
      </c>
      <c r="R126" s="11"/>
      <c r="S126" s="11"/>
      <c r="T126" s="11"/>
      <c r="U126" s="11"/>
      <c r="V126" s="11"/>
      <c r="W126" s="11"/>
      <c r="X126" s="11"/>
      <c r="Y126" s="11"/>
      <c r="Z126" s="15"/>
    </row>
    <row r="127" spans="3:26" x14ac:dyDescent="0.25">
      <c r="C127" s="4"/>
      <c r="D127" s="12" t="str">
        <f>_xlfn.LET(_xlpm.label,Model!O78,IF(ISBLANK(_xlpm.label),"",_xlpm.label))</f>
        <v/>
      </c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5"/>
    </row>
    <row r="128" spans="3:26" x14ac:dyDescent="0.25">
      <c r="C128" s="6" t="str">
        <f>Model!N79</f>
        <v>Brændselsmængder:</v>
      </c>
      <c r="D128" s="12" t="str">
        <f>_xlfn.LET(_xlpm.label,Model!O79,IF(ISBLANK(_xlpm.label),"",_xlpm.label))</f>
        <v/>
      </c>
      <c r="E128" s="11" t="s">
        <v>331</v>
      </c>
      <c r="F128" s="11" t="s">
        <v>331</v>
      </c>
      <c r="G128" s="11" t="s">
        <v>331</v>
      </c>
      <c r="H128" s="11" t="s">
        <v>331</v>
      </c>
      <c r="I128" s="11" t="s">
        <v>331</v>
      </c>
      <c r="J128" s="11" t="s">
        <v>331</v>
      </c>
      <c r="K128" s="11" t="s">
        <v>331</v>
      </c>
      <c r="L128" s="11" t="s">
        <v>331</v>
      </c>
      <c r="M128" s="11" t="s">
        <v>331</v>
      </c>
      <c r="N128" s="11" t="s">
        <v>331</v>
      </c>
      <c r="O128" s="11" t="s">
        <v>331</v>
      </c>
      <c r="P128" s="11" t="s">
        <v>331</v>
      </c>
      <c r="Q128" s="11" t="s">
        <v>331</v>
      </c>
      <c r="R128" s="11"/>
      <c r="S128" s="11"/>
      <c r="T128" s="11"/>
      <c r="U128" s="11"/>
      <c r="V128" s="11"/>
      <c r="W128" s="11"/>
      <c r="X128" s="11"/>
      <c r="Y128" s="11"/>
      <c r="Z128" s="15"/>
    </row>
    <row r="129" spans="3:26" x14ac:dyDescent="0.25">
      <c r="C129" s="4" t="str">
        <f>Model!N80</f>
        <v>Affaldsforbrug Ovn3</v>
      </c>
      <c r="D129" s="12" t="str">
        <f>_xlfn.LET(_xlpm.label,Model!O80,IF(ISBLANK(_xlpm.label),"",_xlpm.label))</f>
        <v>ton</v>
      </c>
      <c r="E129" s="11">
        <v>8991.9860627177713</v>
      </c>
      <c r="F129" s="11">
        <v>8991.9860627177713</v>
      </c>
      <c r="G129" s="11">
        <v>8991.9860627177713</v>
      </c>
      <c r="H129" s="11">
        <v>8991.9860627177713</v>
      </c>
      <c r="I129" s="11">
        <v>8991.9860627177713</v>
      </c>
      <c r="J129" s="11">
        <v>8991.9860627177713</v>
      </c>
      <c r="K129" s="11">
        <v>8991.9860627177713</v>
      </c>
      <c r="L129" s="11">
        <v>8991.9860627177713</v>
      </c>
      <c r="M129" s="11">
        <v>8991.9860627177713</v>
      </c>
      <c r="N129" s="11">
        <v>8991.9860627177713</v>
      </c>
      <c r="O129" s="11">
        <v>8991.9860627177713</v>
      </c>
      <c r="P129" s="11">
        <v>8991.9860627177713</v>
      </c>
      <c r="Q129" s="11">
        <v>8991.9860627177713</v>
      </c>
      <c r="R129" s="11"/>
      <c r="S129" s="11"/>
      <c r="T129" s="11"/>
      <c r="U129" s="11"/>
      <c r="V129" s="11"/>
      <c r="W129" s="11"/>
      <c r="X129" s="11"/>
      <c r="Y129" s="11"/>
      <c r="Z129" s="16"/>
    </row>
    <row r="130" spans="3:26" x14ac:dyDescent="0.25">
      <c r="C130" s="4" t="str">
        <f>Model!N81</f>
        <v>Nordic Sugar varme</v>
      </c>
      <c r="D130" s="12" t="str">
        <f>_xlfn.LET(_xlpm.label,Model!O81,IF(ISBLANK(_xlpm.label),"",_xlpm.label))</f>
        <v>MWhq</v>
      </c>
      <c r="E130" s="11">
        <v>4000</v>
      </c>
      <c r="F130" s="11">
        <v>4000</v>
      </c>
      <c r="G130" s="11">
        <v>4000</v>
      </c>
      <c r="H130" s="11">
        <v>4000</v>
      </c>
      <c r="I130" s="11">
        <v>4000</v>
      </c>
      <c r="J130" s="11">
        <v>4000</v>
      </c>
      <c r="K130" s="11">
        <v>4000</v>
      </c>
      <c r="L130" s="11">
        <v>4000</v>
      </c>
      <c r="M130" s="11">
        <v>4000</v>
      </c>
      <c r="N130" s="11">
        <v>4000</v>
      </c>
      <c r="O130" s="11">
        <v>4000</v>
      </c>
      <c r="P130" s="11">
        <v>4000</v>
      </c>
      <c r="Q130" s="11">
        <v>4000</v>
      </c>
      <c r="R130" s="11"/>
      <c r="S130" s="11"/>
      <c r="T130" s="11"/>
      <c r="U130" s="11"/>
      <c r="V130" s="11"/>
      <c r="W130" s="11"/>
      <c r="X130" s="11"/>
      <c r="Y130" s="11"/>
      <c r="Z130" s="16"/>
    </row>
    <row r="131" spans="3:26" x14ac:dyDescent="0.25">
      <c r="C131" s="4" t="str">
        <f>Model!N82</f>
        <v>Affaldsforbrug Ovn2</v>
      </c>
      <c r="D131" s="12" t="str">
        <f>_xlfn.LET(_xlpm.label,Model!O82,IF(ISBLANK(_xlpm.label),"",_xlpm.label))</f>
        <v>ton</v>
      </c>
      <c r="E131" s="11">
        <v>0</v>
      </c>
      <c r="F131" s="11">
        <v>0</v>
      </c>
      <c r="G131" s="11">
        <v>0</v>
      </c>
      <c r="H131" s="11">
        <v>0</v>
      </c>
      <c r="I131" s="11">
        <v>0</v>
      </c>
      <c r="J131" s="11">
        <v>0</v>
      </c>
      <c r="K131" s="11">
        <v>0</v>
      </c>
      <c r="L131" s="11">
        <v>0</v>
      </c>
      <c r="M131" s="11">
        <v>0</v>
      </c>
      <c r="N131" s="11">
        <v>0</v>
      </c>
      <c r="O131" s="11">
        <v>0</v>
      </c>
      <c r="P131" s="11">
        <v>0</v>
      </c>
      <c r="Q131" s="11">
        <v>0</v>
      </c>
      <c r="R131" s="11"/>
      <c r="S131" s="11"/>
      <c r="T131" s="11"/>
      <c r="U131" s="11"/>
      <c r="V131" s="11"/>
      <c r="W131" s="11"/>
      <c r="X131" s="11"/>
      <c r="Y131" s="11"/>
      <c r="Z131" s="15"/>
    </row>
    <row r="132" spans="3:26" x14ac:dyDescent="0.25">
      <c r="C132" s="4" t="str">
        <f>Model!N83</f>
        <v>Affaldsforbrug kølevarme Ovn3</v>
      </c>
      <c r="D132" s="12" t="str">
        <f>_xlfn.LET(_xlpm.label,Model!O83,IF(ISBLANK(_xlpm.label),"",_xlpm.label))</f>
        <v>ton</v>
      </c>
      <c r="E132" s="11">
        <v>0</v>
      </c>
      <c r="F132" s="11">
        <v>0</v>
      </c>
      <c r="G132" s="11">
        <v>0</v>
      </c>
      <c r="H132" s="11">
        <v>0</v>
      </c>
      <c r="I132" s="11">
        <v>0</v>
      </c>
      <c r="J132" s="11">
        <v>0</v>
      </c>
      <c r="K132" s="11">
        <v>0</v>
      </c>
      <c r="L132" s="11">
        <v>0</v>
      </c>
      <c r="M132" s="11">
        <v>0</v>
      </c>
      <c r="N132" s="11">
        <v>0</v>
      </c>
      <c r="O132" s="11">
        <v>0</v>
      </c>
      <c r="P132" s="11">
        <v>0</v>
      </c>
      <c r="Q132" s="11">
        <v>0</v>
      </c>
      <c r="R132" s="11"/>
      <c r="S132" s="11"/>
      <c r="T132" s="11"/>
      <c r="U132" s="11"/>
      <c r="V132" s="11"/>
      <c r="W132" s="11"/>
      <c r="X132" s="11"/>
      <c r="Y132" s="11"/>
      <c r="Z132" s="15"/>
    </row>
    <row r="133" spans="3:26" x14ac:dyDescent="0.25">
      <c r="C133" s="4" t="str">
        <f>Model!N84</f>
        <v>Affaldsforbrug kølevarme Ovn2</v>
      </c>
      <c r="D133" s="12" t="str">
        <f>_xlfn.LET(_xlpm.label,Model!O84,IF(ISBLANK(_xlpm.label),"",_xlpm.label))</f>
        <v>ton</v>
      </c>
      <c r="E133" s="11">
        <v>0</v>
      </c>
      <c r="F133" s="11">
        <v>0</v>
      </c>
      <c r="G133" s="11">
        <v>0</v>
      </c>
      <c r="H133" s="11">
        <v>0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O133" s="11">
        <v>0</v>
      </c>
      <c r="P133" s="11">
        <v>0</v>
      </c>
      <c r="Q133" s="11">
        <v>0</v>
      </c>
      <c r="R133" s="11"/>
      <c r="S133" s="11"/>
      <c r="T133" s="11"/>
      <c r="U133" s="11"/>
      <c r="V133" s="11"/>
      <c r="W133" s="11"/>
      <c r="X133" s="11"/>
      <c r="Y133" s="11"/>
      <c r="Z133" s="16"/>
    </row>
    <row r="134" spans="3:26" x14ac:dyDescent="0.25">
      <c r="C134" s="4" t="str">
        <f>Model!N85</f>
        <v>Udnyttet affald</v>
      </c>
      <c r="D134" s="12" t="str">
        <f>_xlfn.LET(_xlpm.label,Model!O85,IF(ISBLANK(_xlpm.label),"",_xlpm.label))</f>
        <v>ton</v>
      </c>
      <c r="E134" s="11">
        <v>8991.9860627177695</v>
      </c>
      <c r="F134" s="11">
        <v>8991.9860627177695</v>
      </c>
      <c r="G134" s="11">
        <v>8991.9860627177695</v>
      </c>
      <c r="H134" s="11">
        <v>8991.9860627177695</v>
      </c>
      <c r="I134" s="11">
        <v>8991.9860627177695</v>
      </c>
      <c r="J134" s="11">
        <v>8991.9860627177695</v>
      </c>
      <c r="K134" s="11">
        <v>8991.9860627177695</v>
      </c>
      <c r="L134" s="11">
        <v>8991.9860627177695</v>
      </c>
      <c r="M134" s="11">
        <v>8991.9860627177695</v>
      </c>
      <c r="N134" s="11">
        <v>8991.9860627177695</v>
      </c>
      <c r="O134" s="11">
        <v>8991.9860627177695</v>
      </c>
      <c r="P134" s="11">
        <v>8991.9860627177695</v>
      </c>
      <c r="Q134" s="11">
        <v>8991.9860627177695</v>
      </c>
      <c r="R134" s="11"/>
      <c r="S134" s="11"/>
      <c r="T134" s="11"/>
      <c r="U134" s="11"/>
      <c r="V134" s="11"/>
      <c r="W134" s="11"/>
      <c r="X134" s="11"/>
      <c r="Y134" s="11"/>
      <c r="Z134" s="16"/>
    </row>
    <row r="135" spans="3:26" x14ac:dyDescent="0.25">
      <c r="C135" s="4" t="str">
        <f>Model!N86</f>
        <v>Ikke-udnyttet affald</v>
      </c>
      <c r="D135" s="12" t="str">
        <f>_xlfn.LET(_xlpm.label,Model!O86,IF(ISBLANK(_xlpm.label),"",_xlpm.label))</f>
        <v>ton</v>
      </c>
      <c r="E135" s="14">
        <v>3708.0139372822309</v>
      </c>
      <c r="F135" s="14">
        <v>3708.0139372822309</v>
      </c>
      <c r="G135" s="14">
        <v>3708.0139372822309</v>
      </c>
      <c r="H135" s="14">
        <v>3708.0139372822309</v>
      </c>
      <c r="I135" s="14">
        <v>3708.0139372822309</v>
      </c>
      <c r="J135" s="14">
        <v>3708.0139372822309</v>
      </c>
      <c r="K135" s="14">
        <v>3708.0139372822309</v>
      </c>
      <c r="L135" s="14">
        <v>3708.0139372822309</v>
      </c>
      <c r="M135" s="14">
        <v>3708.0139372822309</v>
      </c>
      <c r="N135" s="14">
        <v>3708.0139372822309</v>
      </c>
      <c r="O135" s="14">
        <v>3708.0139372822309</v>
      </c>
      <c r="P135" s="14">
        <v>3708.0139372822309</v>
      </c>
      <c r="Q135" s="14">
        <v>3708.0139372822309</v>
      </c>
      <c r="R135" s="14"/>
      <c r="S135" s="14"/>
      <c r="T135" s="14"/>
      <c r="U135" s="14"/>
      <c r="V135" s="14"/>
      <c r="W135" s="14"/>
      <c r="X135" s="14"/>
      <c r="Y135" s="14"/>
      <c r="Z135" s="16"/>
    </row>
    <row r="136" spans="3:26" x14ac:dyDescent="0.25">
      <c r="C136" s="4" t="str">
        <f>Model!N87</f>
        <v>Fast Fossilt udnyttet</v>
      </c>
      <c r="D136" s="12" t="str">
        <f>_xlfn.LET(_xlpm.label,Model!O87,IF(ISBLANK(_xlpm.label),"",_xlpm.label))</f>
        <v>ton</v>
      </c>
      <c r="E136" s="11">
        <v>8500</v>
      </c>
      <c r="F136" s="11">
        <v>8500</v>
      </c>
      <c r="G136" s="11">
        <v>8500</v>
      </c>
      <c r="H136" s="11">
        <v>8500</v>
      </c>
      <c r="I136" s="11">
        <v>8500</v>
      </c>
      <c r="J136" s="11">
        <v>8500</v>
      </c>
      <c r="K136" s="11">
        <v>8500</v>
      </c>
      <c r="L136" s="11">
        <v>8500</v>
      </c>
      <c r="M136" s="11">
        <v>8500</v>
      </c>
      <c r="N136" s="11">
        <v>8500</v>
      </c>
      <c r="O136" s="11">
        <v>8500</v>
      </c>
      <c r="P136" s="11">
        <v>8500</v>
      </c>
      <c r="Q136" s="11">
        <v>8500</v>
      </c>
      <c r="R136" s="11"/>
      <c r="S136" s="11"/>
      <c r="T136" s="11"/>
      <c r="U136" s="11"/>
      <c r="V136" s="11"/>
      <c r="W136" s="11"/>
      <c r="X136" s="11"/>
      <c r="Y136" s="11"/>
      <c r="Z136" s="16"/>
    </row>
    <row r="137" spans="3:26" x14ac:dyDescent="0.25">
      <c r="C137" s="4" t="str">
        <f>Model!N88</f>
        <v>Frit Fossilt udnyttet</v>
      </c>
      <c r="D137" s="12" t="str">
        <f>_xlfn.LET(_xlpm.label,Model!O88,IF(ISBLANK(_xlpm.label),"",_xlpm.label))</f>
        <v>ton</v>
      </c>
      <c r="E137" s="11">
        <v>491.98606271776907</v>
      </c>
      <c r="F137" s="11">
        <v>491.98606271776907</v>
      </c>
      <c r="G137" s="11">
        <v>491.98606271776907</v>
      </c>
      <c r="H137" s="11">
        <v>491.98606271776907</v>
      </c>
      <c r="I137" s="11">
        <v>491.98606271776907</v>
      </c>
      <c r="J137" s="11">
        <v>491.98606271776907</v>
      </c>
      <c r="K137" s="11">
        <v>491.98606271776907</v>
      </c>
      <c r="L137" s="11">
        <v>491.98606271776907</v>
      </c>
      <c r="M137" s="11">
        <v>491.98606271776907</v>
      </c>
      <c r="N137" s="11">
        <v>491.98606271776907</v>
      </c>
      <c r="O137" s="11">
        <v>491.98606271776907</v>
      </c>
      <c r="P137" s="11">
        <v>491.98606271776907</v>
      </c>
      <c r="Q137" s="11">
        <v>491.98606271776907</v>
      </c>
      <c r="R137" s="11"/>
      <c r="S137" s="11"/>
      <c r="T137" s="11"/>
      <c r="U137" s="11"/>
      <c r="V137" s="11"/>
      <c r="W137" s="11"/>
      <c r="X137" s="11"/>
      <c r="Y137" s="11"/>
      <c r="Z137" s="16"/>
    </row>
    <row r="138" spans="3:26" x14ac:dyDescent="0.25">
      <c r="C138" s="4" t="str">
        <f>Model!N89</f>
        <v>Biogent udnyttet</v>
      </c>
      <c r="D138" s="12" t="str">
        <f>_xlfn.LET(_xlpm.label,Model!O89,IF(ISBLANK(_xlpm.label),"",_xlpm.label))</f>
        <v>ton</v>
      </c>
      <c r="E138" s="14">
        <v>0</v>
      </c>
      <c r="F138" s="14">
        <v>0</v>
      </c>
      <c r="G138" s="14">
        <v>0</v>
      </c>
      <c r="H138" s="14">
        <v>0</v>
      </c>
      <c r="I138" s="14">
        <v>0</v>
      </c>
      <c r="J138" s="14">
        <v>0</v>
      </c>
      <c r="K138" s="14">
        <v>0</v>
      </c>
      <c r="L138" s="14">
        <v>0</v>
      </c>
      <c r="M138" s="14">
        <v>0</v>
      </c>
      <c r="N138" s="14">
        <v>0</v>
      </c>
      <c r="O138" s="14">
        <v>0</v>
      </c>
      <c r="P138" s="14">
        <v>0</v>
      </c>
      <c r="Q138" s="14">
        <v>0</v>
      </c>
      <c r="R138" s="14"/>
      <c r="S138" s="14"/>
      <c r="T138" s="14"/>
      <c r="U138" s="14"/>
      <c r="V138" s="14"/>
      <c r="W138" s="14"/>
      <c r="X138" s="14"/>
      <c r="Y138" s="14"/>
      <c r="Z138" s="16"/>
    </row>
    <row r="139" spans="3:26" x14ac:dyDescent="0.25">
      <c r="C139" s="4" t="str">
        <f>Model!N90</f>
        <v>Fast Fossilt ikke-udnyttet</v>
      </c>
      <c r="D139" s="12" t="str">
        <f>_xlfn.LET(_xlpm.label,Model!O90,IF(ISBLANK(_xlpm.label),"",_xlpm.label))</f>
        <v>ton</v>
      </c>
      <c r="E139" s="11">
        <v>0</v>
      </c>
      <c r="F139" s="11">
        <v>0</v>
      </c>
      <c r="G139" s="11">
        <v>0</v>
      </c>
      <c r="H139" s="11">
        <v>0</v>
      </c>
      <c r="I139" s="11">
        <v>0</v>
      </c>
      <c r="J139" s="11">
        <v>0</v>
      </c>
      <c r="K139" s="11">
        <v>0</v>
      </c>
      <c r="L139" s="11">
        <v>0</v>
      </c>
      <c r="M139" s="11">
        <v>0</v>
      </c>
      <c r="N139" s="11">
        <v>0</v>
      </c>
      <c r="O139" s="11">
        <v>0</v>
      </c>
      <c r="P139" s="11">
        <v>0</v>
      </c>
      <c r="Q139" s="11">
        <v>0</v>
      </c>
      <c r="R139" s="11"/>
      <c r="S139" s="11"/>
      <c r="T139" s="11"/>
      <c r="U139" s="11"/>
      <c r="V139" s="11"/>
      <c r="W139" s="11"/>
      <c r="X139" s="11"/>
      <c r="Y139" s="11"/>
      <c r="Z139" s="16"/>
    </row>
    <row r="140" spans="3:26" x14ac:dyDescent="0.25">
      <c r="C140" s="4" t="str">
        <f>Model!N91</f>
        <v>Frit Fossilt ikke-udnyttet</v>
      </c>
      <c r="D140" s="12" t="str">
        <f>_xlfn.LET(_xlpm.label,Model!O91,IF(ISBLANK(_xlpm.label),"",_xlpm.label))</f>
        <v>ton</v>
      </c>
      <c r="E140" s="11">
        <v>2708.0139372822309</v>
      </c>
      <c r="F140" s="11">
        <v>2708.0139372822309</v>
      </c>
      <c r="G140" s="11">
        <v>2708.0139372822309</v>
      </c>
      <c r="H140" s="11">
        <v>2708.0139372822309</v>
      </c>
      <c r="I140" s="11">
        <v>2708.0139372822309</v>
      </c>
      <c r="J140" s="11">
        <v>2708.0139372822309</v>
      </c>
      <c r="K140" s="11">
        <v>2708.0139372822309</v>
      </c>
      <c r="L140" s="11">
        <v>2708.0139372822309</v>
      </c>
      <c r="M140" s="11">
        <v>2708.0139372822309</v>
      </c>
      <c r="N140" s="11">
        <v>2708.0139372822309</v>
      </c>
      <c r="O140" s="11">
        <v>2708.0139372822309</v>
      </c>
      <c r="P140" s="11">
        <v>2708.0139372822309</v>
      </c>
      <c r="Q140" s="11">
        <v>2708.0139372822309</v>
      </c>
      <c r="R140" s="11"/>
      <c r="S140" s="11"/>
      <c r="T140" s="11"/>
      <c r="U140" s="11"/>
      <c r="V140" s="11"/>
      <c r="W140" s="11"/>
      <c r="X140" s="11"/>
      <c r="Y140" s="11"/>
      <c r="Z140" s="16"/>
    </row>
    <row r="141" spans="3:26" x14ac:dyDescent="0.25">
      <c r="C141" s="4" t="str">
        <f>Model!N92</f>
        <v>Biogent ikke-udnyttet</v>
      </c>
      <c r="D141" s="12" t="str">
        <f>_xlfn.LET(_xlpm.label,Model!O92,IF(ISBLANK(_xlpm.label),"",_xlpm.label))</f>
        <v>ton</v>
      </c>
      <c r="E141" s="14">
        <v>1000</v>
      </c>
      <c r="F141" s="14">
        <v>1000</v>
      </c>
      <c r="G141" s="14">
        <v>1000</v>
      </c>
      <c r="H141" s="14">
        <v>1000</v>
      </c>
      <c r="I141" s="14">
        <v>1000</v>
      </c>
      <c r="J141" s="14">
        <v>1000</v>
      </c>
      <c r="K141" s="14">
        <v>1000</v>
      </c>
      <c r="L141" s="14">
        <v>1000</v>
      </c>
      <c r="M141" s="14">
        <v>1000</v>
      </c>
      <c r="N141" s="14">
        <v>1000</v>
      </c>
      <c r="O141" s="14">
        <v>1000</v>
      </c>
      <c r="P141" s="14">
        <v>1000</v>
      </c>
      <c r="Q141" s="14">
        <v>1000</v>
      </c>
      <c r="R141" s="14"/>
      <c r="S141" s="14"/>
      <c r="T141" s="14"/>
      <c r="U141" s="14"/>
      <c r="V141" s="14"/>
      <c r="W141" s="14"/>
      <c r="X141" s="14"/>
      <c r="Y141" s="14"/>
      <c r="Z141" s="16"/>
    </row>
    <row r="142" spans="3:26" x14ac:dyDescent="0.25">
      <c r="D142" s="12" t="str">
        <f>_xlfn.LET(_xlpm.label,Model!O93,IF(ISBLANK(_xlpm.label),"",_xlpm.label))</f>
        <v/>
      </c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6"/>
    </row>
    <row r="143" spans="3:26" x14ac:dyDescent="0.25">
      <c r="C143" s="6" t="str">
        <f>Model!N94</f>
        <v>Kapacitetsudnyttelse:</v>
      </c>
      <c r="D143" s="12" t="str">
        <f>_xlfn.LET(_xlpm.label,Model!O94,IF(ISBLANK(_xlpm.label),"",_xlpm.label))</f>
        <v/>
      </c>
      <c r="E143" s="11" t="s">
        <v>331</v>
      </c>
      <c r="F143" s="11" t="s">
        <v>331</v>
      </c>
      <c r="G143" s="11" t="s">
        <v>331</v>
      </c>
      <c r="H143" s="11" t="s">
        <v>331</v>
      </c>
      <c r="I143" s="11" t="s">
        <v>331</v>
      </c>
      <c r="J143" s="11" t="s">
        <v>331</v>
      </c>
      <c r="K143" s="11" t="s">
        <v>331</v>
      </c>
      <c r="L143" s="11" t="s">
        <v>331</v>
      </c>
      <c r="M143" s="11" t="s">
        <v>331</v>
      </c>
      <c r="N143" s="11" t="s">
        <v>331</v>
      </c>
      <c r="O143" s="11" t="s">
        <v>331</v>
      </c>
      <c r="P143" s="11" t="s">
        <v>331</v>
      </c>
      <c r="Q143" s="11" t="s">
        <v>331</v>
      </c>
      <c r="R143" s="11"/>
      <c r="S143" s="11"/>
      <c r="T143" s="11"/>
      <c r="U143" s="11"/>
      <c r="V143" s="11"/>
      <c r="W143" s="11"/>
      <c r="X143" s="11"/>
      <c r="Y143" s="11"/>
      <c r="Z143" s="13"/>
    </row>
    <row r="144" spans="3:26" x14ac:dyDescent="0.25">
      <c r="C144" s="4" t="str">
        <f>Model!N95</f>
        <v>Ovn2 udnyttelse</v>
      </c>
      <c r="D144" s="12" t="str">
        <f>_xlfn.LET(_xlpm.label,Model!O95,IF(ISBLANK(_xlpm.label),"",_xlpm.label))</f>
        <v/>
      </c>
      <c r="E144" s="1">
        <v>0.3702664796633941</v>
      </c>
      <c r="F144" s="1">
        <v>0.3702664796633941</v>
      </c>
      <c r="G144" s="1">
        <v>0.3702664796633941</v>
      </c>
      <c r="H144" s="1">
        <v>0.3702664796633941</v>
      </c>
      <c r="I144" s="1">
        <v>0.3702664796633941</v>
      </c>
      <c r="J144" s="1">
        <v>0.3702664796633941</v>
      </c>
      <c r="K144" s="1">
        <v>0.3702664796633941</v>
      </c>
      <c r="L144" s="1">
        <v>0.3702664796633941</v>
      </c>
      <c r="M144" s="1">
        <v>0.3702664796633941</v>
      </c>
      <c r="N144" s="1">
        <v>0.3702664796633941</v>
      </c>
      <c r="O144" s="1">
        <v>0.3702664796633941</v>
      </c>
      <c r="P144" s="1">
        <v>0.3702664796633941</v>
      </c>
      <c r="Q144" s="1">
        <v>0.3702664796633941</v>
      </c>
      <c r="R144" s="1"/>
      <c r="S144" s="1"/>
      <c r="T144" s="1"/>
      <c r="U144" s="1"/>
      <c r="V144" s="1"/>
      <c r="W144" s="1"/>
      <c r="X144" s="1"/>
      <c r="Y144" s="1"/>
      <c r="Z144" s="11"/>
    </row>
    <row r="145" spans="1:26" x14ac:dyDescent="0.25">
      <c r="C145" s="4" t="str">
        <f>Model!N96</f>
        <v>Ovn3 udnyttelse</v>
      </c>
      <c r="D145" s="12" t="str">
        <f>_xlfn.LET(_xlpm.label,Model!O96,IF(ISBLANK(_xlpm.label),"",_xlpm.label))</f>
        <v/>
      </c>
      <c r="E145" s="1">
        <v>1</v>
      </c>
      <c r="F145" s="1">
        <v>1</v>
      </c>
      <c r="G145" s="1">
        <v>1</v>
      </c>
      <c r="H145" s="1">
        <v>1</v>
      </c>
      <c r="I145" s="1">
        <v>1</v>
      </c>
      <c r="J145" s="1">
        <v>1</v>
      </c>
      <c r="K145" s="1">
        <v>1</v>
      </c>
      <c r="L145" s="1">
        <v>1</v>
      </c>
      <c r="M145" s="1">
        <v>1</v>
      </c>
      <c r="N145" s="1">
        <v>1</v>
      </c>
      <c r="O145" s="1">
        <v>1</v>
      </c>
      <c r="P145" s="1">
        <v>1</v>
      </c>
      <c r="Q145" s="1">
        <v>1</v>
      </c>
      <c r="R145" s="1"/>
      <c r="S145" s="1"/>
      <c r="T145" s="1"/>
      <c r="U145" s="1"/>
      <c r="V145" s="1"/>
      <c r="W145" s="1"/>
      <c r="X145" s="1"/>
      <c r="Y145" s="1"/>
      <c r="Z145" s="11"/>
    </row>
    <row r="146" spans="1:26" x14ac:dyDescent="0.25">
      <c r="C146" s="4" t="str">
        <f>Model!N97</f>
        <v>Ovn2 udnyttelse efter køling</v>
      </c>
      <c r="D146" s="12" t="str">
        <f>_xlfn.LET(_xlpm.label,Model!O97,IF(ISBLANK(_xlpm.label),"",_xlpm.label))</f>
        <v/>
      </c>
      <c r="E146" s="1">
        <v>0.3702664796633941</v>
      </c>
      <c r="F146" s="1">
        <v>0.3702664796633941</v>
      </c>
      <c r="G146" s="1">
        <v>0.3702664796633941</v>
      </c>
      <c r="H146" s="1">
        <v>0.3702664796633941</v>
      </c>
      <c r="I146" s="1">
        <v>0.3702664796633941</v>
      </c>
      <c r="J146" s="1">
        <v>0.3702664796633941</v>
      </c>
      <c r="K146" s="1">
        <v>0.3702664796633941</v>
      </c>
      <c r="L146" s="1">
        <v>0.3702664796633941</v>
      </c>
      <c r="M146" s="1">
        <v>0.3702664796633941</v>
      </c>
      <c r="N146" s="1">
        <v>0.3702664796633941</v>
      </c>
      <c r="O146" s="1">
        <v>0.3702664796633941</v>
      </c>
      <c r="P146" s="1">
        <v>0.3702664796633941</v>
      </c>
      <c r="Q146" s="1">
        <v>0.3702664796633941</v>
      </c>
      <c r="R146" s="1"/>
      <c r="S146" s="1"/>
      <c r="T146" s="1"/>
      <c r="U146" s="1"/>
      <c r="V146" s="1"/>
      <c r="W146" s="1"/>
      <c r="X146" s="1"/>
      <c r="Y146" s="1"/>
      <c r="Z146" s="11"/>
    </row>
    <row r="147" spans="1:26" x14ac:dyDescent="0.25">
      <c r="C147" s="4" t="str">
        <f>Model!N98</f>
        <v>Ovn3 udnyttelse efter køling</v>
      </c>
      <c r="D147" s="12" t="str">
        <f>_xlfn.LET(_xlpm.label,Model!O98,IF(ISBLANK(_xlpm.label),"",_xlpm.label))</f>
        <v/>
      </c>
      <c r="E147" s="1">
        <v>1</v>
      </c>
      <c r="F147" s="1">
        <v>1</v>
      </c>
      <c r="G147" s="1">
        <v>1</v>
      </c>
      <c r="H147" s="1">
        <v>1</v>
      </c>
      <c r="I147" s="1">
        <v>1</v>
      </c>
      <c r="J147" s="1">
        <v>1</v>
      </c>
      <c r="K147" s="1">
        <v>1</v>
      </c>
      <c r="L147" s="1">
        <v>1</v>
      </c>
      <c r="M147" s="1">
        <v>1</v>
      </c>
      <c r="N147" s="1">
        <v>1</v>
      </c>
      <c r="O147" s="1">
        <v>1</v>
      </c>
      <c r="P147" s="1">
        <v>1</v>
      </c>
      <c r="Q147" s="1">
        <v>1</v>
      </c>
      <c r="R147" s="1"/>
      <c r="S147" s="1"/>
      <c r="T147" s="1"/>
      <c r="U147" s="1"/>
      <c r="V147" s="1"/>
      <c r="W147" s="1"/>
      <c r="X147" s="1"/>
      <c r="Y147" s="1"/>
      <c r="Z147" s="11"/>
    </row>
    <row r="148" spans="1:26" x14ac:dyDescent="0.25">
      <c r="C148" s="4" t="str">
        <f>Model!N99</f>
        <v>Bortkøleanlæg udnyttelse</v>
      </c>
      <c r="D148" s="12" t="str">
        <f>_xlfn.LET(_xlpm.label,Model!O99,IF(ISBLANK(_xlpm.label),"",_xlpm.label))</f>
        <v/>
      </c>
      <c r="E148" s="1">
        <v>0</v>
      </c>
      <c r="F148" s="1">
        <v>0</v>
      </c>
      <c r="G148" s="1">
        <v>0</v>
      </c>
      <c r="H148" s="1">
        <v>0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/>
      <c r="S148" s="1"/>
      <c r="T148" s="1"/>
      <c r="U148" s="1"/>
      <c r="V148" s="1"/>
      <c r="W148" s="1"/>
      <c r="X148" s="1"/>
      <c r="Y148" s="1"/>
      <c r="Z148" s="11"/>
    </row>
    <row r="149" spans="1:26" x14ac:dyDescent="0.25">
      <c r="C149" s="4" t="str">
        <f>Model!N100</f>
        <v>NS-varme udnyttelse</v>
      </c>
      <c r="D149" s="12" t="str">
        <f>_xlfn.LET(_xlpm.label,Model!O100,IF(ISBLANK(_xlpm.label),"",_xlpm.label))</f>
        <v/>
      </c>
      <c r="E149" s="1">
        <v>1</v>
      </c>
      <c r="F149" s="1">
        <v>1</v>
      </c>
      <c r="G149" s="1">
        <v>1</v>
      </c>
      <c r="H149" s="1">
        <v>1</v>
      </c>
      <c r="I149" s="1">
        <v>1</v>
      </c>
      <c r="J149" s="1">
        <v>1</v>
      </c>
      <c r="K149" s="1">
        <v>1</v>
      </c>
      <c r="L149" s="1">
        <v>1</v>
      </c>
      <c r="M149" s="1">
        <v>1</v>
      </c>
      <c r="N149" s="1">
        <v>1</v>
      </c>
      <c r="O149" s="1">
        <v>1</v>
      </c>
      <c r="P149" s="1">
        <v>1</v>
      </c>
      <c r="Q149" s="1">
        <v>1</v>
      </c>
      <c r="R149" s="1"/>
      <c r="S149" s="1"/>
      <c r="T149" s="1"/>
      <c r="U149" s="1"/>
      <c r="V149" s="1"/>
      <c r="W149" s="1"/>
      <c r="X149" s="1"/>
      <c r="Y149" s="1"/>
      <c r="Z149" s="11"/>
    </row>
    <row r="150" spans="1:26" x14ac:dyDescent="0.25">
      <c r="C150" s="4" t="str">
        <f>Model!N101</f>
        <v>VPO affald</v>
      </c>
      <c r="D150" s="12" t="str">
        <f>_xlfn.LET(_xlpm.label,Model!O101,IF(ISBLANK(_xlpm.label),"",_xlpm.label))</f>
        <v>kr/MWhq</v>
      </c>
      <c r="E150" s="10">
        <v>-9.5820515625282034</v>
      </c>
      <c r="F150" s="10">
        <v>-9.5820515625282034</v>
      </c>
      <c r="G150" s="10">
        <v>-9.5820515625282034</v>
      </c>
      <c r="H150" s="10">
        <v>-9.5820515625282034</v>
      </c>
      <c r="I150" s="10">
        <v>-9.5820515625282034</v>
      </c>
      <c r="J150" s="10">
        <v>-9.5820515625282034</v>
      </c>
      <c r="K150" s="10">
        <v>-9.5820515625282034</v>
      </c>
      <c r="L150" s="10">
        <v>-9.5820515625282034</v>
      </c>
      <c r="M150" s="10">
        <v>-9.5820515625282034</v>
      </c>
      <c r="N150" s="10">
        <v>-9.5820515625282034</v>
      </c>
      <c r="O150" s="10">
        <v>-9.5820515625282034</v>
      </c>
      <c r="P150" s="10">
        <v>-9.5820515625282034</v>
      </c>
      <c r="Q150" s="10">
        <v>-9.5820515625282034</v>
      </c>
      <c r="R150" s="10"/>
      <c r="S150" s="10"/>
      <c r="T150" s="10"/>
      <c r="U150" s="10"/>
      <c r="V150" s="10"/>
      <c r="W150" s="10"/>
      <c r="X150" s="10"/>
      <c r="Y150" s="10"/>
      <c r="Z150" s="11"/>
    </row>
    <row r="151" spans="1:26" x14ac:dyDescent="0.25">
      <c r="A151" s="20"/>
      <c r="Z151" s="11"/>
    </row>
    <row r="152" spans="1:26" x14ac:dyDescent="0.25">
      <c r="A152" s="20"/>
      <c r="Z152" s="16"/>
    </row>
    <row r="153" spans="1:26" x14ac:dyDescent="0.25">
      <c r="Z153" s="11"/>
    </row>
    <row r="154" spans="1:26" x14ac:dyDescent="0.25">
      <c r="Z154" s="11"/>
    </row>
    <row r="155" spans="1:26" x14ac:dyDescent="0.25">
      <c r="Z155" s="11"/>
    </row>
    <row r="156" spans="1:26" x14ac:dyDescent="0.25">
      <c r="Z156" s="11"/>
    </row>
    <row r="157" spans="1:26" x14ac:dyDescent="0.25">
      <c r="Z157" s="11"/>
    </row>
    <row r="158" spans="1:26" x14ac:dyDescent="0.25">
      <c r="Z158" s="11"/>
    </row>
    <row r="159" spans="1:26" x14ac:dyDescent="0.25">
      <c r="Z159" s="11"/>
    </row>
    <row r="160" spans="1:26" x14ac:dyDescent="0.25">
      <c r="A160" s="20"/>
      <c r="Z160" s="14"/>
    </row>
    <row r="161" spans="1:26" x14ac:dyDescent="0.25">
      <c r="A161" s="20"/>
      <c r="B161" s="20"/>
      <c r="Z161" s="11"/>
    </row>
    <row r="162" spans="1:26" x14ac:dyDescent="0.25">
      <c r="Z162" s="11"/>
    </row>
    <row r="163" spans="1:26" x14ac:dyDescent="0.25">
      <c r="Z163" s="1"/>
    </row>
    <row r="164" spans="1:26" x14ac:dyDescent="0.25">
      <c r="Z164" s="1"/>
    </row>
    <row r="165" spans="1:26" x14ac:dyDescent="0.25">
      <c r="Z165" s="1"/>
    </row>
  </sheetData>
  <conditionalFormatting sqref="E7:Y7">
    <cfRule type="cellIs" dxfId="6" priority="5" operator="greaterThan">
      <formula>0</formula>
    </cfRule>
  </conditionalFormatting>
  <conditionalFormatting sqref="D88:D97 D63:D84">
    <cfRule type="cellIs" dxfId="5" priority="4" operator="notEqual">
      <formula>0</formula>
    </cfRule>
  </conditionalFormatting>
  <conditionalFormatting sqref="B25:B46">
    <cfRule type="cellIs" dxfId="4" priority="3" operator="notEqual">
      <formula>0</formula>
    </cfRule>
  </conditionalFormatting>
  <conditionalFormatting sqref="B50:B59">
    <cfRule type="cellIs" dxfId="3" priority="2" operator="notEqual">
      <formula>0</formula>
    </cfRule>
  </conditionalFormatting>
  <dataValidations count="2">
    <dataValidation type="list" allowBlank="1" showInputMessage="1" showErrorMessage="1" sqref="C87 A49" xr:uid="{2757F413-D3A6-4108-A645-CBE93939AB30}">
      <formula1>ranInputNames</formula1>
    </dataValidation>
    <dataValidation type="list" allowBlank="1" showInputMessage="1" showErrorMessage="1" sqref="A50:A59 C88:C98 A25:A45 C63:C84" xr:uid="{5CB5508B-FC87-434F-A304-20043B3CBFFD}">
      <formula1>ranResultNames</formula1>
    </dataValidation>
  </dataValidations>
  <pageMargins left="0.7" right="0.7" top="0.75" bottom="0.75" header="0.3" footer="0.3"/>
  <pageSetup paperSize="9" orientation="portrait" r:id="rId1"/>
  <ignoredErrors>
    <ignoredError sqref="E63:Y84 C90:Y97 E87:Y89" emptyCellReference="1"/>
  </ignoredErrors>
  <drawing r:id="rId2"/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1B796B8A-1840-4946-BF22-0E4CE3DF083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Scenarier!E88:Y88</xm:f>
              <xm:sqref>A104</xm:sqref>
            </x14:sparkline>
            <x14:sparkline>
              <xm:f>Scenarier!E89:Y89</xm:f>
              <xm:sqref>A105</xm:sqref>
            </x14:sparkline>
            <x14:sparkline>
              <xm:f>Scenarier!E90:Y90</xm:f>
              <xm:sqref>A106</xm:sqref>
            </x14:sparkline>
            <x14:sparkline>
              <xm:f>Scenarier!E91:Y91</xm:f>
              <xm:sqref>A107</xm:sqref>
            </x14:sparkline>
            <x14:sparkline>
              <xm:f>Scenarier!E92:Y92</xm:f>
              <xm:sqref>A108</xm:sqref>
            </x14:sparkline>
            <x14:sparkline>
              <xm:f>Scenarier!E93:Y93</xm:f>
              <xm:sqref>A109</xm:sqref>
            </x14:sparkline>
            <x14:sparkline>
              <xm:f>Scenarier!E94:Y94</xm:f>
              <xm:sqref>A110</xm:sqref>
            </x14:sparkline>
            <x14:sparkline>
              <xm:f>Scenarier!E95:Y95</xm:f>
              <xm:sqref>A111</xm:sqref>
            </x14:sparkline>
            <x14:sparkline>
              <xm:f>Scenarier!E96:Y96</xm:f>
              <xm:sqref>A112</xm:sqref>
            </x14:sparkline>
            <x14:sparkline>
              <xm:f>Scenarier!E97:Y97</xm:f>
              <xm:sqref>A113</xm:sqref>
            </x14:sparkline>
            <x14:sparkline>
              <xm:f>Scenarier!E98:Y98</xm:f>
              <xm:sqref>A114</xm:sqref>
            </x14:sparkline>
            <x14:sparkline>
              <xm:f>Scenarier!E99:Y99</xm:f>
              <xm:sqref>A115</xm:sqref>
            </x14:sparkline>
            <x14:sparkline>
              <xm:f>Scenarier!E100:Y100</xm:f>
              <xm:sqref>A116</xm:sqref>
            </x14:sparkline>
            <x14:sparkline>
              <xm:f>Scenarier!E101:Y101</xm:f>
              <xm:sqref>A117</xm:sqref>
            </x14:sparkline>
            <x14:sparkline>
              <xm:f>Scenarier!E102:Y102</xm:f>
              <xm:sqref>A118</xm:sqref>
            </x14:sparkline>
            <x14:sparkline>
              <xm:f>Scenarier!E103:Y103</xm:f>
              <xm:sqref>A119</xm:sqref>
            </x14:sparkline>
            <x14:sparkline>
              <xm:f>Scenarier!E104:Y104</xm:f>
              <xm:sqref>A120</xm:sqref>
            </x14:sparkline>
            <x14:sparkline>
              <xm:f>Scenarier!E105:Y105</xm:f>
              <xm:sqref>A121</xm:sqref>
            </x14:sparkline>
            <x14:sparkline>
              <xm:f>Scenarier!E106:Y106</xm:f>
              <xm:sqref>A122</xm:sqref>
            </x14:sparkline>
            <x14:sparkline>
              <xm:f>Scenarier!E107:Y107</xm:f>
              <xm:sqref>A123</xm:sqref>
            </x14:sparkline>
            <x14:sparkline>
              <xm:f>Scenarier!E108:Y108</xm:f>
              <xm:sqref>A124</xm:sqref>
            </x14:sparkline>
            <x14:sparkline>
              <xm:f>Scenarier!E109:Y109</xm:f>
              <xm:sqref>A125</xm:sqref>
            </x14:sparkline>
            <x14:sparkline>
              <xm:f>Scenarier!E110:Y110</xm:f>
              <xm:sqref>A126</xm:sqref>
            </x14:sparkline>
            <x14:sparkline>
              <xm:f>Scenarier!E111:Y111</xm:f>
              <xm:sqref>A127</xm:sqref>
            </x14:sparkline>
            <x14:sparkline>
              <xm:f>Scenarier!E112:Y112</xm:f>
              <xm:sqref>A128</xm:sqref>
            </x14:sparkline>
            <x14:sparkline>
              <xm:f>Scenarier!E113:Y113</xm:f>
              <xm:sqref>A129</xm:sqref>
            </x14:sparkline>
            <x14:sparkline>
              <xm:f>Scenarier!E114:Y114</xm:f>
              <xm:sqref>A130</xm:sqref>
            </x14:sparkline>
            <x14:sparkline>
              <xm:f>Scenarier!E115:Y115</xm:f>
              <xm:sqref>A131</xm:sqref>
            </x14:sparkline>
            <x14:sparkline>
              <xm:f>Scenarier!E116:Y116</xm:f>
              <xm:sqref>A132</xm:sqref>
            </x14:sparkline>
            <x14:sparkline>
              <xm:f>Scenarier!E117:Y117</xm:f>
              <xm:sqref>A133</xm:sqref>
            </x14:sparkline>
            <x14:sparkline>
              <xm:f>Scenarier!E118:Y118</xm:f>
              <xm:sqref>A134</xm:sqref>
            </x14:sparkline>
            <x14:sparkline>
              <xm:f>Scenarier!E119:Y119</xm:f>
              <xm:sqref>A135</xm:sqref>
            </x14:sparkline>
            <x14:sparkline>
              <xm:f>Scenarier!E120:Y120</xm:f>
              <xm:sqref>A136</xm:sqref>
            </x14:sparkline>
            <x14:sparkline>
              <xm:f>Scenarier!E121:Y121</xm:f>
              <xm:sqref>A137</xm:sqref>
            </x14:sparkline>
            <x14:sparkline>
              <xm:f>Scenarier!E122:Y122</xm:f>
              <xm:sqref>A138</xm:sqref>
            </x14:sparkline>
            <x14:sparkline>
              <xm:f>Scenarier!E123:Y123</xm:f>
              <xm:sqref>A139</xm:sqref>
            </x14:sparkline>
            <x14:sparkline>
              <xm:f>Scenarier!E124:Y124</xm:f>
              <xm:sqref>A140</xm:sqref>
            </x14:sparkline>
            <x14:sparkline>
              <xm:f>Scenarier!E125:Y125</xm:f>
              <xm:sqref>A141</xm:sqref>
            </x14:sparkline>
            <x14:sparkline>
              <xm:f>Scenarier!E126:Y126</xm:f>
              <xm:sqref>A142</xm:sqref>
            </x14:sparkline>
            <x14:sparkline>
              <xm:f>Scenarier!E127:Y127</xm:f>
              <xm:sqref>A143</xm:sqref>
            </x14:sparkline>
            <x14:sparkline>
              <xm:f>Scenarier!E128:Y128</xm:f>
              <xm:sqref>A144</xm:sqref>
            </x14:sparkline>
            <x14:sparkline>
              <xm:f>Scenarier!E129:Y129</xm:f>
              <xm:sqref>A145</xm:sqref>
            </x14:sparkline>
            <x14:sparkline>
              <xm:f>Scenarier!E130:Y130</xm:f>
              <xm:sqref>A146</xm:sqref>
            </x14:sparkline>
            <x14:sparkline>
              <xm:f>Scenarier!E131:Y131</xm:f>
              <xm:sqref>A147</xm:sqref>
            </x14:sparkline>
            <x14:sparkline>
              <xm:f>Scenarier!E132:Y132</xm:f>
              <xm:sqref>A148</xm:sqref>
            </x14:sparkline>
            <x14:sparkline>
              <xm:f>Scenarier!E133:Y133</xm:f>
              <xm:sqref>A149</xm:sqref>
            </x14:sparkline>
            <x14:sparkline>
              <xm:f>Scenarier!E134:Y134</xm:f>
              <xm:sqref>A150</xm:sqref>
            </x14:sparkline>
          </x14:sparklines>
        </x14:sparklineGroup>
        <x14:sparklineGroup displayEmptyCellsAs="gap" xr2:uid="{B127A505-0C49-4BCB-886A-84A5D6F21195}">
          <x14:colorSeries rgb="FF00B050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Scenarier!E8:Y8</xm:f>
              <xm:sqref>A8</xm:sqref>
            </x14:sparkline>
            <x14:sparkline>
              <xm:f>Scenarier!E11:Y11</xm:f>
              <xm:sqref>A11</xm:sqref>
            </x14:sparkline>
            <x14:sparkline>
              <xm:f>Scenarier!E12:Y12</xm:f>
              <xm:sqref>A12</xm:sqref>
            </x14:sparkline>
            <x14:sparkline>
              <xm:f>Scenarier!E13:Y13</xm:f>
              <xm:sqref>A13</xm:sqref>
            </x14:sparkline>
            <x14:sparkline>
              <xm:f>Scenarier!E14:Y14</xm:f>
              <xm:sqref>A14</xm:sqref>
            </x14:sparkline>
            <x14:sparkline>
              <xm:f>Scenarier!E15:Y15</xm:f>
              <xm:sqref>A15</xm:sqref>
            </x14:sparkline>
            <x14:sparkline>
              <xm:f>Scenarier!E16:Y16</xm:f>
              <xm:sqref>A16</xm:sqref>
            </x14:sparkline>
          </x14:sparklines>
        </x14:sparklineGroup>
        <x14:sparklineGroup displayEmptyCellsAs="gap" xr2:uid="{6A266EAB-94F5-44E6-977B-B3B4DF6A7845}">
          <x14:colorSeries rgb="FF00B050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Scenarier!E17:Y17</xm:f>
              <xm:sqref>A17</xm:sqref>
            </x14:sparkline>
            <x14:sparkline>
              <xm:f>Scenarier!E18:Y18</xm:f>
              <xm:sqref>A18</xm:sqref>
            </x14:sparkline>
            <x14:sparkline>
              <xm:f>Scenarier!E19:Y19</xm:f>
              <xm:sqref>A19</xm:sqref>
            </x14:sparkline>
            <x14:sparkline>
              <xm:f>Scenarier!E20:Y20</xm:f>
              <xm:sqref>A20</xm:sqref>
            </x14:sparkline>
            <x14:sparkline>
              <xm:f>Scenarier!E21:Y21</xm:f>
              <xm:sqref>A21</xm:sqref>
            </x14:sparkline>
          </x14:sparklines>
        </x14:sparklineGroup>
        <x14:sparklineGroup displayEmptyCellsAs="gap" xr2:uid="{67BB5FD8-325A-4180-9516-3250CC3A9224}">
          <x14:colorSeries rgb="FF00B050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Scenarier!E9:Y9</xm:f>
              <xm:sqref>A9</xm:sqref>
            </x14:sparkline>
            <x14:sparkline>
              <xm:f>Scenarier!E10:Y10</xm:f>
              <xm:sqref>A10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C6378-8037-4EB2-878B-06F0D19E0E84}">
  <sheetPr codeName="Sheet11"/>
  <dimension ref="A2:V47"/>
  <sheetViews>
    <sheetView zoomScale="85" zoomScaleNormal="85" workbookViewId="0">
      <selection activeCell="S42" sqref="S42"/>
    </sheetView>
  </sheetViews>
  <sheetFormatPr defaultRowHeight="15" x14ac:dyDescent="0.25"/>
  <cols>
    <col min="1" max="1" width="18" customWidth="1"/>
    <col min="2" max="2" width="16" customWidth="1"/>
  </cols>
  <sheetData>
    <row r="2" spans="1:22" ht="15.75" x14ac:dyDescent="0.25">
      <c r="A2" s="11"/>
      <c r="B2" s="138">
        <v>2021</v>
      </c>
      <c r="C2" s="139" t="s">
        <v>307</v>
      </c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</row>
    <row r="3" spans="1:22" x14ac:dyDescent="0.25">
      <c r="A3" s="11"/>
      <c r="B3" s="14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22" x14ac:dyDescent="0.25">
      <c r="A4" s="11"/>
      <c r="B4" s="14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22" x14ac:dyDescent="0.25">
      <c r="A5" s="11"/>
      <c r="B5" s="141"/>
      <c r="C5" s="142" t="s">
        <v>190</v>
      </c>
      <c r="D5" s="142" t="s">
        <v>191</v>
      </c>
      <c r="E5" s="142" t="s">
        <v>192</v>
      </c>
      <c r="F5" s="142" t="s">
        <v>193</v>
      </c>
      <c r="G5" s="142" t="s">
        <v>194</v>
      </c>
      <c r="H5" s="142" t="s">
        <v>195</v>
      </c>
      <c r="I5" s="142" t="s">
        <v>196</v>
      </c>
      <c r="J5" s="142" t="s">
        <v>197</v>
      </c>
      <c r="K5" s="142" t="s">
        <v>198</v>
      </c>
      <c r="L5" s="142" t="s">
        <v>199</v>
      </c>
      <c r="M5" s="142" t="s">
        <v>200</v>
      </c>
      <c r="N5" s="142" t="s">
        <v>201</v>
      </c>
      <c r="O5" s="11"/>
      <c r="P5" s="11" t="s">
        <v>140</v>
      </c>
      <c r="Q5" s="142" t="s">
        <v>308</v>
      </c>
      <c r="R5" s="142" t="s">
        <v>309</v>
      </c>
      <c r="S5" s="142" t="s">
        <v>310</v>
      </c>
      <c r="T5" s="142" t="s">
        <v>311</v>
      </c>
    </row>
    <row r="6" spans="1:22" x14ac:dyDescent="0.25">
      <c r="A6" s="11"/>
      <c r="B6" s="143" t="s">
        <v>67</v>
      </c>
      <c r="C6" s="144">
        <v>3908.64</v>
      </c>
      <c r="D6" s="144">
        <v>973</v>
      </c>
      <c r="E6" s="144">
        <v>1702.59</v>
      </c>
      <c r="F6" s="144">
        <v>1267.99</v>
      </c>
      <c r="G6" s="144">
        <v>105.72</v>
      </c>
      <c r="H6" s="144">
        <v>0</v>
      </c>
      <c r="I6" s="144">
        <v>182.36</v>
      </c>
      <c r="J6" s="144">
        <v>161.74</v>
      </c>
      <c r="K6" s="144">
        <v>1474.88</v>
      </c>
      <c r="L6" s="144">
        <v>1389.91</v>
      </c>
      <c r="M6" s="144">
        <v>187.49</v>
      </c>
      <c r="N6" s="144">
        <v>1560.98</v>
      </c>
      <c r="O6" s="11"/>
      <c r="P6" s="11">
        <f>SUM(C6:N6)</f>
        <v>12915.299999999997</v>
      </c>
      <c r="Q6" s="11">
        <f>IFERROR(_xlfn.STDEV.S(C6:N6),0)</f>
        <v>1106.9990592465415</v>
      </c>
      <c r="R6" s="1">
        <f>IF(P6&gt;0,Q6/P6,"")</f>
        <v>8.5712221879982786E-2</v>
      </c>
      <c r="S6" s="11" cm="1">
        <f t="array" ref="S6">IF(P6&gt;0,MAX(-MIN(C6:N6-P6/12),MAX(C6:N6-P6/12)),"")</f>
        <v>2832.3649999999998</v>
      </c>
      <c r="T6" s="18">
        <f>IF(P6&gt;0,S6/(P6/12),"")</f>
        <v>2.6316368957747787</v>
      </c>
      <c r="U6" s="11">
        <v>12915.3125712</v>
      </c>
      <c r="V6" s="11"/>
    </row>
    <row r="7" spans="1:22" x14ac:dyDescent="0.25">
      <c r="A7" s="11"/>
      <c r="B7" s="143" t="s">
        <v>68</v>
      </c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1"/>
      <c r="P7" s="11">
        <f t="shared" ref="P7:P26" si="0">SUM(C7:N7)</f>
        <v>0</v>
      </c>
      <c r="Q7" s="11">
        <f t="shared" ref="Q7:Q26" si="1">IFERROR(_xlfn.STDEV.S(C7:N7),0)</f>
        <v>0</v>
      </c>
      <c r="R7" s="1" t="str">
        <f t="shared" ref="R7:R26" si="2">IF(P7&gt;0,Q7/P7,"")</f>
        <v/>
      </c>
      <c r="S7" s="11" t="str" cm="1">
        <f t="array" ref="S7">IF(P7&gt;0,MAX(-MIN(C7:N7-P7/12),MAX(C7:N7-P7/12)),"")</f>
        <v/>
      </c>
      <c r="T7" s="18" t="str">
        <f t="shared" ref="T7:T26" si="3">IF(P7&gt;0,S7/(P7/12),"")</f>
        <v/>
      </c>
      <c r="U7" s="11">
        <v>-1.1999999999999997E-13</v>
      </c>
    </row>
    <row r="8" spans="1:22" x14ac:dyDescent="0.25">
      <c r="A8" s="11"/>
      <c r="B8" s="143" t="s">
        <v>69</v>
      </c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1"/>
      <c r="P8" s="11">
        <f t="shared" si="0"/>
        <v>0</v>
      </c>
      <c r="Q8" s="11">
        <f t="shared" si="1"/>
        <v>0</v>
      </c>
      <c r="R8" s="1" t="str">
        <f t="shared" si="2"/>
        <v/>
      </c>
      <c r="S8" s="11" t="str" cm="1">
        <f t="array" ref="S8">IF(P8&gt;0,MAX(-MIN(C8:N8-P8/12),MAX(C8:N8-P8/12)),"")</f>
        <v/>
      </c>
      <c r="T8" s="18" t="str">
        <f t="shared" si="3"/>
        <v/>
      </c>
      <c r="U8" s="11">
        <v>-1.1999999999999997E-13</v>
      </c>
    </row>
    <row r="9" spans="1:22" x14ac:dyDescent="0.25">
      <c r="A9" s="11"/>
      <c r="B9" s="143" t="s">
        <v>70</v>
      </c>
      <c r="C9" s="144">
        <v>2356.98</v>
      </c>
      <c r="D9" s="144">
        <v>2129.9</v>
      </c>
      <c r="E9" s="144">
        <v>2515.21</v>
      </c>
      <c r="F9" s="144">
        <v>2421.34</v>
      </c>
      <c r="G9" s="144">
        <v>2323.06</v>
      </c>
      <c r="H9" s="144">
        <v>2443.7399999999998</v>
      </c>
      <c r="I9" s="144">
        <v>2591.08</v>
      </c>
      <c r="J9" s="144">
        <v>2530.84</v>
      </c>
      <c r="K9" s="144">
        <v>2388.4499999999998</v>
      </c>
      <c r="L9" s="144">
        <v>2269.38</v>
      </c>
      <c r="M9" s="144">
        <v>2350.34</v>
      </c>
      <c r="N9" s="144">
        <v>2446.46</v>
      </c>
      <c r="O9" s="11"/>
      <c r="P9" s="11">
        <f t="shared" si="0"/>
        <v>28766.78</v>
      </c>
      <c r="Q9" s="11">
        <f t="shared" si="1"/>
        <v>124.94535655334462</v>
      </c>
      <c r="R9" s="1">
        <f t="shared" si="2"/>
        <v>4.3433904160752306E-3</v>
      </c>
      <c r="S9" s="11" cm="1">
        <f t="array" ref="S9">IF(P9&gt;0,MAX(-MIN(C9:N9-P9/12),MAX(C9:N9-P9/12)),"")</f>
        <v>267.33166666666648</v>
      </c>
      <c r="T9" s="18">
        <f t="shared" si="3"/>
        <v>0.11151682600555217</v>
      </c>
      <c r="U9" s="11">
        <v>28766.80632304</v>
      </c>
    </row>
    <row r="10" spans="1:22" x14ac:dyDescent="0.25">
      <c r="A10" s="11"/>
      <c r="B10" s="143" t="s">
        <v>71</v>
      </c>
      <c r="C10" s="144">
        <v>437.56</v>
      </c>
      <c r="D10" s="144">
        <v>345</v>
      </c>
      <c r="E10" s="144">
        <v>540.71</v>
      </c>
      <c r="F10" s="144">
        <v>440.19</v>
      </c>
      <c r="G10" s="144">
        <v>404.17</v>
      </c>
      <c r="H10" s="144">
        <v>104.08</v>
      </c>
      <c r="I10" s="144">
        <v>311.55</v>
      </c>
      <c r="J10" s="144">
        <v>308.589</v>
      </c>
      <c r="K10" s="144">
        <v>384.76</v>
      </c>
      <c r="L10" s="144">
        <v>338.54</v>
      </c>
      <c r="M10" s="144">
        <v>295.89</v>
      </c>
      <c r="N10" s="144">
        <v>321.37</v>
      </c>
      <c r="O10" s="11"/>
      <c r="P10" s="11">
        <f t="shared" si="0"/>
        <v>4232.4090000000006</v>
      </c>
      <c r="Q10" s="11">
        <f t="shared" si="1"/>
        <v>106.08754194456978</v>
      </c>
      <c r="R10" s="1">
        <f t="shared" si="2"/>
        <v>2.5065522246212443E-2</v>
      </c>
      <c r="S10" s="11" cm="1">
        <f t="array" ref="S10">IF(P10&gt;0,MAX(-MIN(C10:N10-P10/12),MAX(C10:N10-P10/12)),"")</f>
        <v>248.62075000000004</v>
      </c>
      <c r="T10" s="18">
        <f t="shared" si="3"/>
        <v>0.70490564593355709</v>
      </c>
      <c r="U10" s="11">
        <v>4232.4125081879683</v>
      </c>
    </row>
    <row r="11" spans="1:22" x14ac:dyDescent="0.25">
      <c r="A11" s="11"/>
      <c r="B11" s="143" t="s">
        <v>72</v>
      </c>
      <c r="C11" s="144"/>
      <c r="D11" s="144"/>
      <c r="E11" s="144"/>
      <c r="F11" s="144">
        <v>33.35</v>
      </c>
      <c r="G11" s="144"/>
      <c r="H11" s="144"/>
      <c r="I11" s="144"/>
      <c r="J11" s="144"/>
      <c r="K11" s="144"/>
      <c r="L11" s="144"/>
      <c r="M11" s="144"/>
      <c r="N11" s="144"/>
      <c r="O11" s="11"/>
      <c r="P11" s="11">
        <f t="shared" si="0"/>
        <v>33.35</v>
      </c>
      <c r="Q11" s="11">
        <f t="shared" si="1"/>
        <v>0</v>
      </c>
      <c r="R11" s="1">
        <f t="shared" si="2"/>
        <v>0</v>
      </c>
      <c r="S11" s="11" cm="1">
        <f t="array" ref="S11">IF(P11&gt;0,MAX(-MIN(C11:N11-P11/12),MAX(C11:N11-P11/12)),"")</f>
        <v>30.570833333333333</v>
      </c>
      <c r="T11" s="18">
        <f t="shared" si="3"/>
        <v>11</v>
      </c>
      <c r="U11" s="11">
        <v>33.350033350000082</v>
      </c>
    </row>
    <row r="12" spans="1:22" x14ac:dyDescent="0.25">
      <c r="A12" s="11"/>
      <c r="B12" s="143" t="s">
        <v>73</v>
      </c>
      <c r="C12" s="144">
        <v>291.66000000000003</v>
      </c>
      <c r="D12" s="144">
        <v>260.87</v>
      </c>
      <c r="E12" s="144">
        <v>347.07</v>
      </c>
      <c r="F12" s="144">
        <v>332.39</v>
      </c>
      <c r="G12" s="144">
        <v>330.62</v>
      </c>
      <c r="H12" s="144">
        <v>417.61</v>
      </c>
      <c r="I12" s="144">
        <v>481.77</v>
      </c>
      <c r="J12" s="144">
        <v>404.79</v>
      </c>
      <c r="K12" s="144">
        <v>419.89</v>
      </c>
      <c r="L12" s="144">
        <v>377.54</v>
      </c>
      <c r="M12" s="144">
        <v>311.19</v>
      </c>
      <c r="N12" s="144">
        <v>314.38</v>
      </c>
      <c r="O12" s="11"/>
      <c r="P12" s="11">
        <f t="shared" si="0"/>
        <v>4289.78</v>
      </c>
      <c r="Q12" s="11">
        <f t="shared" si="1"/>
        <v>63.764298337112336</v>
      </c>
      <c r="R12" s="1">
        <f t="shared" si="2"/>
        <v>1.4864235074319042E-2</v>
      </c>
      <c r="S12" s="11" cm="1">
        <f t="array" ref="S12">IF(P12&gt;0,MAX(-MIN(C12:N12-P12/12),MAX(C12:N12-P12/12)),"")</f>
        <v>124.28833333333336</v>
      </c>
      <c r="T12" s="18">
        <f t="shared" si="3"/>
        <v>0.34767750327522634</v>
      </c>
      <c r="U12" s="11">
        <v>4041.3723674673893</v>
      </c>
    </row>
    <row r="13" spans="1:22" x14ac:dyDescent="0.25">
      <c r="A13" s="11"/>
      <c r="B13" s="143" t="s">
        <v>74</v>
      </c>
      <c r="C13" s="144">
        <v>6.15</v>
      </c>
      <c r="D13" s="144">
        <v>4.05</v>
      </c>
      <c r="E13" s="144">
        <v>6.72</v>
      </c>
      <c r="F13" s="144">
        <v>18.61</v>
      </c>
      <c r="G13" s="144">
        <v>9.65</v>
      </c>
      <c r="H13" s="144">
        <v>6.24</v>
      </c>
      <c r="I13" s="144">
        <v>13.02</v>
      </c>
      <c r="J13" s="144">
        <v>3.41</v>
      </c>
      <c r="K13" s="144">
        <v>14.3</v>
      </c>
      <c r="L13" s="144">
        <v>12.24</v>
      </c>
      <c r="M13" s="144">
        <v>4.9400000000000004</v>
      </c>
      <c r="N13" s="144">
        <v>7.57</v>
      </c>
      <c r="O13" s="11"/>
      <c r="P13" s="11">
        <f t="shared" si="0"/>
        <v>106.89999999999998</v>
      </c>
      <c r="Q13" s="11">
        <f t="shared" si="1"/>
        <v>4.6966077377639603</v>
      </c>
      <c r="R13" s="1">
        <f t="shared" si="2"/>
        <v>4.3934590624545945E-2</v>
      </c>
      <c r="S13" s="11" cm="1">
        <f t="array" ref="S13">IF(P13&gt;0,MAX(-MIN(C13:N13-P13/12),MAX(C13:N13-P13/12)),"")</f>
        <v>9.701666666666668</v>
      </c>
      <c r="T13" s="18">
        <f t="shared" si="3"/>
        <v>1.0890551917680078</v>
      </c>
      <c r="U13" s="11">
        <v>106.90010065999999</v>
      </c>
    </row>
    <row r="14" spans="1:22" x14ac:dyDescent="0.25">
      <c r="A14" s="11"/>
      <c r="B14" s="143" t="s">
        <v>75</v>
      </c>
      <c r="C14" s="144">
        <v>257</v>
      </c>
      <c r="D14" s="144">
        <v>257.76</v>
      </c>
      <c r="E14" s="144">
        <v>307.94</v>
      </c>
      <c r="F14" s="144">
        <v>309.31</v>
      </c>
      <c r="G14" s="144">
        <v>337.34</v>
      </c>
      <c r="H14" s="144">
        <v>441.4</v>
      </c>
      <c r="I14" s="144">
        <v>494.33</v>
      </c>
      <c r="J14" s="144">
        <v>298.83999999999997</v>
      </c>
      <c r="K14" s="144">
        <v>458.61</v>
      </c>
      <c r="L14" s="144">
        <v>310.66000000000003</v>
      </c>
      <c r="M14" s="144">
        <v>449.82</v>
      </c>
      <c r="N14" s="144">
        <v>343.27</v>
      </c>
      <c r="O14" s="11"/>
      <c r="P14" s="11">
        <f t="shared" si="0"/>
        <v>4266.2800000000007</v>
      </c>
      <c r="Q14" s="11">
        <f t="shared" si="1"/>
        <v>82.864442350507247</v>
      </c>
      <c r="R14" s="1">
        <f t="shared" si="2"/>
        <v>1.9423113895596922E-2</v>
      </c>
      <c r="S14" s="11" cm="1">
        <f t="array" ref="S14">IF(P14&gt;0,MAX(-MIN(C14:N14-P14/12),MAX(C14:N14-P14/12)),"")</f>
        <v>138.80666666666662</v>
      </c>
      <c r="T14" s="18">
        <f t="shared" si="3"/>
        <v>0.39042913264014534</v>
      </c>
      <c r="U14" s="11">
        <v>4266.2825730999994</v>
      </c>
    </row>
    <row r="15" spans="1:22" x14ac:dyDescent="0.25">
      <c r="A15" s="11"/>
      <c r="B15" s="143" t="s">
        <v>76</v>
      </c>
      <c r="C15" s="144">
        <v>22.8</v>
      </c>
      <c r="D15" s="144">
        <v>23.96</v>
      </c>
      <c r="E15" s="144">
        <v>21.49</v>
      </c>
      <c r="F15" s="144">
        <v>22.12</v>
      </c>
      <c r="G15" s="144">
        <v>24.73</v>
      </c>
      <c r="H15" s="144">
        <v>27.84</v>
      </c>
      <c r="I15" s="144">
        <v>57.59</v>
      </c>
      <c r="J15" s="144">
        <v>49.56</v>
      </c>
      <c r="K15" s="144">
        <v>33.479999999999997</v>
      </c>
      <c r="L15" s="144">
        <v>43.96</v>
      </c>
      <c r="M15" s="144">
        <v>39.01</v>
      </c>
      <c r="N15" s="144">
        <v>31.92</v>
      </c>
      <c r="O15" s="11"/>
      <c r="P15" s="11">
        <f t="shared" si="0"/>
        <v>398.46</v>
      </c>
      <c r="Q15" s="11">
        <f t="shared" si="1"/>
        <v>11.937985592217803</v>
      </c>
      <c r="R15" s="1">
        <f t="shared" si="2"/>
        <v>2.9960311178582052E-2</v>
      </c>
      <c r="S15" s="11" cm="1">
        <f t="array" ref="S15">IF(P15&gt;0,MAX(-MIN(C15:N15-P15/12),MAX(C15:N15-P15/12)),"")</f>
        <v>24.385000000000005</v>
      </c>
      <c r="T15" s="18">
        <f t="shared" si="3"/>
        <v>0.73437735280831218</v>
      </c>
      <c r="U15" s="11">
        <v>398.46037061999994</v>
      </c>
    </row>
    <row r="16" spans="1:22" x14ac:dyDescent="0.25">
      <c r="A16" s="11"/>
      <c r="B16" s="143" t="s">
        <v>312</v>
      </c>
      <c r="C16" s="144">
        <v>1016</v>
      </c>
      <c r="D16" s="144">
        <v>1240.74</v>
      </c>
      <c r="E16" s="144">
        <v>783.2</v>
      </c>
      <c r="F16" s="144">
        <v>577.03</v>
      </c>
      <c r="G16" s="144">
        <v>314.81</v>
      </c>
      <c r="H16" s="144">
        <v>84.14</v>
      </c>
      <c r="I16" s="144">
        <v>329.48</v>
      </c>
      <c r="J16" s="144">
        <v>582.48</v>
      </c>
      <c r="K16" s="144">
        <v>237.45</v>
      </c>
      <c r="L16" s="144">
        <v>406.18</v>
      </c>
      <c r="M16" s="144">
        <v>337.86</v>
      </c>
      <c r="N16" s="144">
        <v>232.3</v>
      </c>
      <c r="O16" s="11"/>
      <c r="P16" s="11">
        <f t="shared" si="0"/>
        <v>6141.6699999999992</v>
      </c>
      <c r="Q16" s="11">
        <f t="shared" si="1"/>
        <v>346.17616864193025</v>
      </c>
      <c r="R16" s="1">
        <f t="shared" si="2"/>
        <v>5.6365152904980287E-2</v>
      </c>
      <c r="S16" s="11" cm="1">
        <f t="array" ref="S16">IF(P16&gt;0,MAX(-MIN(C16:N16-P16/12),MAX(C16:N16-P16/12)),"")</f>
        <v>728.93416666666667</v>
      </c>
      <c r="T16" s="18">
        <f t="shared" si="3"/>
        <v>1.4242396611996413</v>
      </c>
      <c r="U16" s="11">
        <v>6141.6760575299995</v>
      </c>
    </row>
    <row r="17" spans="1:21" x14ac:dyDescent="0.25">
      <c r="A17" s="11"/>
      <c r="B17" s="143" t="s">
        <v>77</v>
      </c>
      <c r="C17" s="144">
        <v>13.53</v>
      </c>
      <c r="D17" s="144">
        <v>1.68</v>
      </c>
      <c r="E17" s="144">
        <v>11.22</v>
      </c>
      <c r="F17" s="144">
        <v>9.2799999999999994</v>
      </c>
      <c r="G17" s="144">
        <v>11.42</v>
      </c>
      <c r="H17" s="144">
        <v>5.75</v>
      </c>
      <c r="I17" s="144">
        <v>3.48</v>
      </c>
      <c r="J17" s="144">
        <v>14.44</v>
      </c>
      <c r="K17" s="144">
        <v>5.71</v>
      </c>
      <c r="L17" s="144">
        <v>44.54</v>
      </c>
      <c r="M17" s="144">
        <v>11.77</v>
      </c>
      <c r="N17" s="144">
        <v>1.37</v>
      </c>
      <c r="O17" s="11"/>
      <c r="P17" s="11">
        <f t="shared" si="0"/>
        <v>134.19</v>
      </c>
      <c r="Q17" s="11">
        <f t="shared" si="1"/>
        <v>11.434552203340065</v>
      </c>
      <c r="R17" s="1">
        <f t="shared" si="2"/>
        <v>8.5211656631195065E-2</v>
      </c>
      <c r="S17" s="11" cm="1">
        <f t="array" ref="S17">IF(P17&gt;0,MAX(-MIN(C17:N17-P17/12),MAX(C17:N17-P17/12)),"")</f>
        <v>33.357500000000002</v>
      </c>
      <c r="T17" s="18">
        <f t="shared" si="3"/>
        <v>2.9830091661077582</v>
      </c>
      <c r="U17" s="11">
        <v>134.19012844000002</v>
      </c>
    </row>
    <row r="18" spans="1:21" x14ac:dyDescent="0.25">
      <c r="A18" s="11"/>
      <c r="B18" s="143" t="s">
        <v>78</v>
      </c>
      <c r="C18" s="144">
        <v>6.79</v>
      </c>
      <c r="D18" s="144">
        <v>2.12</v>
      </c>
      <c r="E18" s="144">
        <v>4.6399999999999997</v>
      </c>
      <c r="F18" s="144">
        <v>3.35</v>
      </c>
      <c r="G18" s="144">
        <v>8.83</v>
      </c>
      <c r="H18" s="144">
        <v>8.82</v>
      </c>
      <c r="I18" s="144">
        <v>3.03</v>
      </c>
      <c r="J18" s="144">
        <v>1.72</v>
      </c>
      <c r="K18" s="144">
        <v>4.71</v>
      </c>
      <c r="L18" s="144">
        <v>2.21</v>
      </c>
      <c r="M18" s="144">
        <v>4.29</v>
      </c>
      <c r="N18" s="144">
        <v>7.27</v>
      </c>
      <c r="O18" s="11"/>
      <c r="P18" s="11">
        <f t="shared" si="0"/>
        <v>57.78</v>
      </c>
      <c r="Q18" s="11">
        <f t="shared" si="1"/>
        <v>2.5471142316533233</v>
      </c>
      <c r="R18" s="1">
        <f t="shared" si="2"/>
        <v>4.408297389500386E-2</v>
      </c>
      <c r="S18" s="11" cm="1">
        <f t="array" ref="S18">IF(P18&gt;0,MAX(-MIN(C18:N18-P18/12),MAX(C18:N18-P18/12)),"")</f>
        <v>4.0149999999999997</v>
      </c>
      <c r="T18" s="18">
        <f t="shared" si="3"/>
        <v>0.83385254413291787</v>
      </c>
      <c r="U18" s="11">
        <v>48.960039500000001</v>
      </c>
    </row>
    <row r="19" spans="1:21" x14ac:dyDescent="0.25">
      <c r="A19" s="11"/>
      <c r="B19" s="143" t="s">
        <v>79</v>
      </c>
      <c r="C19" s="144"/>
      <c r="D19" s="144">
        <v>4.32</v>
      </c>
      <c r="E19" s="144"/>
      <c r="F19" s="144"/>
      <c r="G19" s="144">
        <v>0.45</v>
      </c>
      <c r="H19" s="144"/>
      <c r="I19" s="144">
        <v>2.4700000000000002</v>
      </c>
      <c r="J19" s="144"/>
      <c r="K19" s="144"/>
      <c r="L19" s="144"/>
      <c r="M19" s="144">
        <v>2.5</v>
      </c>
      <c r="N19" s="144">
        <v>3.15</v>
      </c>
      <c r="O19" s="11"/>
      <c r="P19" s="11">
        <f t="shared" si="0"/>
        <v>12.89</v>
      </c>
      <c r="Q19" s="11">
        <f t="shared" si="1"/>
        <v>1.4060476521085619</v>
      </c>
      <c r="R19" s="1">
        <f t="shared" si="2"/>
        <v>0.1090805005514788</v>
      </c>
      <c r="S19" s="11" cm="1">
        <f t="array" ref="S19">IF(P19&gt;0,MAX(-MIN(C19:N19-P19/12),MAX(C19:N19-P19/12)),"")</f>
        <v>3.2458333333333336</v>
      </c>
      <c r="T19" s="18">
        <f t="shared" si="3"/>
        <v>3.0217222653219551</v>
      </c>
      <c r="U19" s="11">
        <v>12.890010420000069</v>
      </c>
    </row>
    <row r="20" spans="1:21" x14ac:dyDescent="0.25">
      <c r="A20" s="11"/>
      <c r="B20" s="143" t="s">
        <v>80</v>
      </c>
      <c r="C20" s="144">
        <v>3226.38</v>
      </c>
      <c r="D20" s="144">
        <v>4072.27</v>
      </c>
      <c r="E20" s="144">
        <v>3888.09</v>
      </c>
      <c r="F20" s="144">
        <v>3229.34</v>
      </c>
      <c r="G20" s="144">
        <v>1665.58</v>
      </c>
      <c r="H20" s="144">
        <v>1131.17</v>
      </c>
      <c r="I20" s="144">
        <v>1712.01</v>
      </c>
      <c r="J20" s="144">
        <v>1884.5</v>
      </c>
      <c r="K20" s="144">
        <v>1798.93</v>
      </c>
      <c r="L20" s="144">
        <v>3232.96</v>
      </c>
      <c r="M20" s="144">
        <v>4388.75</v>
      </c>
      <c r="N20" s="144">
        <v>4002.71</v>
      </c>
      <c r="O20" s="11"/>
      <c r="P20" s="11">
        <f t="shared" si="0"/>
        <v>34232.69</v>
      </c>
      <c r="Q20" s="11">
        <f t="shared" si="1"/>
        <v>1143.7332689880766</v>
      </c>
      <c r="R20" s="1">
        <f t="shared" si="2"/>
        <v>3.3410557831945915E-2</v>
      </c>
      <c r="S20" s="11" cm="1">
        <f t="array" ref="S20">IF(P20&gt;0,MAX(-MIN(C20:N20-P20/12),MAX(C20:N20-P20/12)),"")</f>
        <v>1721.5541666666668</v>
      </c>
      <c r="T20" s="18">
        <f t="shared" si="3"/>
        <v>0.60347726106245225</v>
      </c>
      <c r="U20" s="11">
        <v>34232.717706079995</v>
      </c>
    </row>
    <row r="21" spans="1:21" x14ac:dyDescent="0.25">
      <c r="A21" s="11"/>
      <c r="B21" s="143" t="s">
        <v>81</v>
      </c>
      <c r="C21" s="144"/>
      <c r="D21" s="144"/>
      <c r="E21" s="144"/>
      <c r="F21" s="144">
        <v>154.09</v>
      </c>
      <c r="G21" s="144"/>
      <c r="H21" s="144"/>
      <c r="I21" s="144"/>
      <c r="J21" s="144"/>
      <c r="K21" s="144"/>
      <c r="L21" s="144"/>
      <c r="M21" s="144"/>
      <c r="N21" s="144"/>
      <c r="O21" s="11"/>
      <c r="P21" s="11">
        <f t="shared" si="0"/>
        <v>154.09</v>
      </c>
      <c r="Q21" s="11">
        <f t="shared" si="1"/>
        <v>0</v>
      </c>
      <c r="R21" s="1">
        <f t="shared" si="2"/>
        <v>0</v>
      </c>
      <c r="S21" s="11" cm="1">
        <f t="array" ref="S21">IF(P21&gt;0,MAX(-MIN(C21:N21-P21/12),MAX(C21:N21-P21/12)),"")</f>
        <v>141.24916666666667</v>
      </c>
      <c r="T21" s="18">
        <f t="shared" si="3"/>
        <v>11</v>
      </c>
      <c r="U21" s="11">
        <v>154.09015409000003</v>
      </c>
    </row>
    <row r="22" spans="1:21" x14ac:dyDescent="0.25">
      <c r="A22" s="11"/>
      <c r="B22" s="143" t="s">
        <v>82</v>
      </c>
      <c r="C22" s="144"/>
      <c r="D22" s="144"/>
      <c r="E22" s="144"/>
      <c r="F22" s="144"/>
      <c r="G22" s="144"/>
      <c r="H22" s="144"/>
      <c r="I22" s="144"/>
      <c r="J22" s="144"/>
      <c r="K22" s="144"/>
      <c r="L22" s="144"/>
      <c r="M22" s="144"/>
      <c r="N22" s="144"/>
      <c r="O22" s="11"/>
      <c r="P22" s="11">
        <f t="shared" si="0"/>
        <v>0</v>
      </c>
      <c r="Q22" s="11">
        <f t="shared" si="1"/>
        <v>0</v>
      </c>
      <c r="R22" s="1" t="str">
        <f t="shared" si="2"/>
        <v/>
      </c>
      <c r="S22" s="11" t="str" cm="1">
        <f t="array" ref="S22">IF(P22&gt;0,MAX(-MIN(C22:N22-P22/12),MAX(C22:N22-P22/12)),"")</f>
        <v/>
      </c>
      <c r="T22" s="18" t="str">
        <f t="shared" si="3"/>
        <v/>
      </c>
      <c r="U22" s="11">
        <v>-1.1999999999999997E-13</v>
      </c>
    </row>
    <row r="23" spans="1:21" x14ac:dyDescent="0.25">
      <c r="A23" s="11"/>
      <c r="B23" s="143" t="s">
        <v>83</v>
      </c>
      <c r="C23" s="144">
        <v>57.5</v>
      </c>
      <c r="D23" s="144">
        <v>143.63</v>
      </c>
      <c r="E23" s="144">
        <v>49.69</v>
      </c>
      <c r="F23" s="144">
        <v>116.49</v>
      </c>
      <c r="G23" s="144">
        <v>144.72</v>
      </c>
      <c r="H23" s="144">
        <v>157.86000000000001</v>
      </c>
      <c r="I23" s="144">
        <v>62.1</v>
      </c>
      <c r="J23" s="144">
        <v>2.92</v>
      </c>
      <c r="K23" s="144">
        <v>54.7</v>
      </c>
      <c r="L23" s="144">
        <v>78.22</v>
      </c>
      <c r="M23" s="144">
        <v>92.89</v>
      </c>
      <c r="N23" s="144">
        <v>83.81</v>
      </c>
      <c r="O23" s="11"/>
      <c r="P23" s="11">
        <f t="shared" si="0"/>
        <v>1044.53</v>
      </c>
      <c r="Q23" s="11">
        <f t="shared" si="1"/>
        <v>46.266344229183844</v>
      </c>
      <c r="R23" s="1">
        <f t="shared" si="2"/>
        <v>4.4293935290689444E-2</v>
      </c>
      <c r="S23" s="11" cm="1">
        <f t="array" ref="S23">IF(P23&gt;0,MAX(-MIN(C23:N23-P23/12),MAX(C23:N23-P23/12)),"")</f>
        <v>84.124166666666667</v>
      </c>
      <c r="T23" s="18">
        <f t="shared" si="3"/>
        <v>0.966453811762228</v>
      </c>
      <c r="U23" s="11">
        <v>886.67076695000003</v>
      </c>
    </row>
    <row r="24" spans="1:21" x14ac:dyDescent="0.25">
      <c r="A24" s="11"/>
      <c r="B24" s="143" t="s">
        <v>84</v>
      </c>
      <c r="C24" s="144"/>
      <c r="D24" s="144"/>
      <c r="E24" s="144"/>
      <c r="F24" s="144"/>
      <c r="G24" s="144"/>
      <c r="H24" s="144"/>
      <c r="I24" s="144"/>
      <c r="J24" s="144"/>
      <c r="K24" s="144"/>
      <c r="L24" s="144"/>
      <c r="M24" s="144"/>
      <c r="N24" s="144"/>
      <c r="O24" s="11"/>
      <c r="P24" s="11">
        <f t="shared" si="0"/>
        <v>0</v>
      </c>
      <c r="Q24" s="11">
        <f t="shared" si="1"/>
        <v>0</v>
      </c>
      <c r="R24" s="1" t="str">
        <f t="shared" si="2"/>
        <v/>
      </c>
      <c r="S24" s="11" t="str" cm="1">
        <f t="array" ref="S24">IF(P24&gt;0,MAX(-MIN(C24:N24-P24/12),MAX(C24:N24-P24/12)),"")</f>
        <v/>
      </c>
      <c r="T24" s="18" t="str">
        <f t="shared" si="3"/>
        <v/>
      </c>
      <c r="U24" s="11">
        <v>-1.1999999999999997E-13</v>
      </c>
    </row>
    <row r="25" spans="1:21" x14ac:dyDescent="0.25">
      <c r="A25" s="11"/>
      <c r="B25" s="143" t="s">
        <v>85</v>
      </c>
      <c r="C25" s="144">
        <v>10.62</v>
      </c>
      <c r="D25" s="144">
        <v>9.24</v>
      </c>
      <c r="E25" s="144">
        <v>15.29</v>
      </c>
      <c r="F25" s="144">
        <v>9.17</v>
      </c>
      <c r="G25" s="144">
        <v>12.23</v>
      </c>
      <c r="H25" s="144">
        <v>12.06</v>
      </c>
      <c r="I25" s="144">
        <v>10.96</v>
      </c>
      <c r="J25" s="144">
        <v>10.58</v>
      </c>
      <c r="K25" s="144">
        <v>0.91</v>
      </c>
      <c r="L25" s="144">
        <v>0</v>
      </c>
      <c r="M25" s="144">
        <v>9.4700000000000006</v>
      </c>
      <c r="N25" s="144">
        <v>13.41</v>
      </c>
      <c r="O25" s="11"/>
      <c r="P25" s="11">
        <f t="shared" si="0"/>
        <v>113.93999999999998</v>
      </c>
      <c r="Q25" s="11">
        <f t="shared" si="1"/>
        <v>4.5883875163285888</v>
      </c>
      <c r="R25" s="1">
        <f t="shared" si="2"/>
        <v>4.0270208147521407E-2</v>
      </c>
      <c r="S25" s="11" cm="1">
        <f t="array" ref="S25">IF(P25&gt;0,MAX(-MIN(C25:N25-P25/12),MAX(C25:N25-P25/12)),"")</f>
        <v>9.4949999999999992</v>
      </c>
      <c r="T25" s="18">
        <f t="shared" si="3"/>
        <v>1</v>
      </c>
      <c r="U25" s="11">
        <v>101.88007943000001</v>
      </c>
    </row>
    <row r="26" spans="1:21" x14ac:dyDescent="0.25">
      <c r="A26" s="11"/>
      <c r="B26" s="143" t="s">
        <v>86</v>
      </c>
      <c r="C26" s="144">
        <v>15.19</v>
      </c>
      <c r="D26" s="144">
        <v>5.42</v>
      </c>
      <c r="E26" s="144">
        <v>32.67</v>
      </c>
      <c r="F26" s="144">
        <v>48.46</v>
      </c>
      <c r="G26" s="144">
        <v>9.11</v>
      </c>
      <c r="H26" s="144">
        <v>2.0499999999999998</v>
      </c>
      <c r="I26" s="144">
        <v>23.1</v>
      </c>
      <c r="J26" s="144">
        <v>25.1</v>
      </c>
      <c r="K26" s="144">
        <v>24.47</v>
      </c>
      <c r="L26" s="144">
        <v>15.68</v>
      </c>
      <c r="M26" s="144">
        <v>4.9800000000000004</v>
      </c>
      <c r="N26" s="144">
        <v>5.97</v>
      </c>
      <c r="O26" s="11"/>
      <c r="P26" s="11">
        <f t="shared" si="0"/>
        <v>212.2</v>
      </c>
      <c r="Q26" s="11">
        <f t="shared" si="1"/>
        <v>13.748748262582991</v>
      </c>
      <c r="R26" s="1">
        <f t="shared" si="2"/>
        <v>6.479146212338828E-2</v>
      </c>
      <c r="S26" s="11" cm="1">
        <f t="array" ref="S26">IF(P26&gt;0,MAX(-MIN(C26:N26-P26/12),MAX(C26:N26-P26/12)),"")</f>
        <v>30.776666666666667</v>
      </c>
      <c r="T26" s="18">
        <f t="shared" si="3"/>
        <v>1.7404335532516495</v>
      </c>
      <c r="U26" s="11">
        <v>212.20021014999998</v>
      </c>
    </row>
    <row r="27" spans="1:21" ht="15.75" thickBot="1" x14ac:dyDescent="0.3">
      <c r="A27" s="11"/>
      <c r="B27" s="145" t="s">
        <v>313</v>
      </c>
      <c r="C27" s="146">
        <f t="shared" ref="C27:N27" si="4">SUM(C6:C26)</f>
        <v>11626.800000000003</v>
      </c>
      <c r="D27" s="146">
        <f t="shared" si="4"/>
        <v>9473.9599999999991</v>
      </c>
      <c r="E27" s="146">
        <f t="shared" si="4"/>
        <v>10226.530000000002</v>
      </c>
      <c r="F27" s="146">
        <f t="shared" si="4"/>
        <v>8992.5099999999984</v>
      </c>
      <c r="G27" s="146">
        <f t="shared" si="4"/>
        <v>5702.4399999999987</v>
      </c>
      <c r="H27" s="146">
        <f t="shared" si="4"/>
        <v>4842.76</v>
      </c>
      <c r="I27" s="146">
        <f t="shared" si="4"/>
        <v>6278.3300000000008</v>
      </c>
      <c r="J27" s="146">
        <f t="shared" si="4"/>
        <v>6279.509</v>
      </c>
      <c r="K27" s="146">
        <f t="shared" si="4"/>
        <v>7301.25</v>
      </c>
      <c r="L27" s="146">
        <f t="shared" si="4"/>
        <v>8522.0199999999986</v>
      </c>
      <c r="M27" s="146">
        <f t="shared" si="4"/>
        <v>8491.1899999999987</v>
      </c>
      <c r="N27" s="146">
        <f t="shared" si="4"/>
        <v>9375.9399999999987</v>
      </c>
      <c r="O27" s="11"/>
      <c r="P27" s="146">
        <f>SUM(P6:P26)</f>
        <v>97113.238999999987</v>
      </c>
      <c r="U27" s="11"/>
    </row>
    <row r="28" spans="1:21" ht="15.75" thickTop="1" x14ac:dyDescent="0.25">
      <c r="A28" s="11"/>
      <c r="B28" s="147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11"/>
      <c r="P28" s="40"/>
      <c r="U28" s="11"/>
    </row>
    <row r="29" spans="1:21" x14ac:dyDescent="0.25">
      <c r="A29" s="11"/>
      <c r="B29" s="147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11"/>
      <c r="P29" s="40"/>
      <c r="U29" s="11"/>
    </row>
    <row r="30" spans="1:21" x14ac:dyDescent="0.25">
      <c r="U30" s="11"/>
    </row>
    <row r="31" spans="1:21" x14ac:dyDescent="0.25">
      <c r="B31" t="s">
        <v>314</v>
      </c>
      <c r="C31" s="142" t="s">
        <v>190</v>
      </c>
      <c r="D31" s="142" t="s">
        <v>191</v>
      </c>
      <c r="E31" s="142" t="s">
        <v>192</v>
      </c>
      <c r="F31" s="142" t="s">
        <v>193</v>
      </c>
      <c r="G31" s="142" t="s">
        <v>194</v>
      </c>
      <c r="H31" s="142" t="s">
        <v>195</v>
      </c>
      <c r="I31" s="142" t="s">
        <v>196</v>
      </c>
      <c r="J31" s="142" t="s">
        <v>197</v>
      </c>
      <c r="K31" s="142" t="s">
        <v>198</v>
      </c>
      <c r="L31" s="142" t="s">
        <v>199</v>
      </c>
      <c r="M31" s="142" t="s">
        <v>200</v>
      </c>
      <c r="N31" s="142" t="s">
        <v>201</v>
      </c>
      <c r="U31" s="11"/>
    </row>
    <row r="32" spans="1:21" x14ac:dyDescent="0.25">
      <c r="B32" t="s">
        <v>0</v>
      </c>
      <c r="C32">
        <v>31</v>
      </c>
      <c r="D32">
        <v>27</v>
      </c>
      <c r="E32">
        <v>31</v>
      </c>
      <c r="F32">
        <v>30</v>
      </c>
      <c r="G32">
        <f>31-9</f>
        <v>22</v>
      </c>
      <c r="H32">
        <f>30-15</f>
        <v>15</v>
      </c>
      <c r="I32">
        <v>0</v>
      </c>
      <c r="J32">
        <v>0</v>
      </c>
      <c r="K32">
        <v>0</v>
      </c>
      <c r="L32">
        <v>4</v>
      </c>
      <c r="M32">
        <f>30-11</f>
        <v>19</v>
      </c>
      <c r="N32">
        <v>31</v>
      </c>
      <c r="U32" s="11"/>
    </row>
    <row r="33" spans="2:21" x14ac:dyDescent="0.25">
      <c r="B33" t="s">
        <v>1</v>
      </c>
      <c r="C33">
        <v>31</v>
      </c>
      <c r="D33">
        <v>28</v>
      </c>
      <c r="E33">
        <v>31</v>
      </c>
      <c r="F33">
        <f>30-1</f>
        <v>29</v>
      </c>
      <c r="G33">
        <f>31-14</f>
        <v>17</v>
      </c>
      <c r="H33">
        <f>30-17</f>
        <v>13</v>
      </c>
      <c r="I33">
        <f>31-1</f>
        <v>30</v>
      </c>
      <c r="J33">
        <v>31</v>
      </c>
      <c r="K33">
        <v>30</v>
      </c>
      <c r="L33">
        <f>31-3</f>
        <v>28</v>
      </c>
      <c r="M33">
        <v>31</v>
      </c>
      <c r="N33">
        <v>31</v>
      </c>
      <c r="U33" s="11"/>
    </row>
    <row r="35" spans="2:21" x14ac:dyDescent="0.25">
      <c r="B35" t="str" cm="1">
        <f t="array" ref="B35:D47">TRANSPOSE(B31:N33)</f>
        <v>Driftsdage</v>
      </c>
      <c r="C35" t="str">
        <v>Ovn2</v>
      </c>
      <c r="D35" t="str">
        <v>Ovn3</v>
      </c>
    </row>
    <row r="36" spans="2:21" x14ac:dyDescent="0.25">
      <c r="B36" t="str">
        <v>JAN</v>
      </c>
      <c r="C36">
        <v>31</v>
      </c>
      <c r="D36">
        <v>31</v>
      </c>
    </row>
    <row r="37" spans="2:21" x14ac:dyDescent="0.25">
      <c r="B37" t="str">
        <v>FEB</v>
      </c>
      <c r="C37">
        <v>27</v>
      </c>
      <c r="D37">
        <v>28</v>
      </c>
    </row>
    <row r="38" spans="2:21" x14ac:dyDescent="0.25">
      <c r="B38" t="str">
        <v>MAR</v>
      </c>
      <c r="C38">
        <v>31</v>
      </c>
      <c r="D38">
        <v>31</v>
      </c>
    </row>
    <row r="39" spans="2:21" x14ac:dyDescent="0.25">
      <c r="B39" t="str">
        <v>APR</v>
      </c>
      <c r="C39">
        <v>30</v>
      </c>
      <c r="D39">
        <v>29</v>
      </c>
    </row>
    <row r="40" spans="2:21" x14ac:dyDescent="0.25">
      <c r="B40" t="str">
        <v>MAJ</v>
      </c>
      <c r="C40">
        <v>22</v>
      </c>
      <c r="D40">
        <v>17</v>
      </c>
    </row>
    <row r="41" spans="2:21" x14ac:dyDescent="0.25">
      <c r="B41" t="str">
        <v>JUN</v>
      </c>
      <c r="C41">
        <v>15</v>
      </c>
      <c r="D41">
        <v>13</v>
      </c>
    </row>
    <row r="42" spans="2:21" x14ac:dyDescent="0.25">
      <c r="B42" t="str">
        <v>JUL</v>
      </c>
      <c r="C42">
        <v>0</v>
      </c>
      <c r="D42">
        <v>30</v>
      </c>
    </row>
    <row r="43" spans="2:21" x14ac:dyDescent="0.25">
      <c r="B43" t="str">
        <v>AUG</v>
      </c>
      <c r="C43">
        <v>0</v>
      </c>
      <c r="D43">
        <v>31</v>
      </c>
    </row>
    <row r="44" spans="2:21" x14ac:dyDescent="0.25">
      <c r="B44" t="str">
        <v>SEP</v>
      </c>
      <c r="C44">
        <v>0</v>
      </c>
      <c r="D44">
        <v>30</v>
      </c>
    </row>
    <row r="45" spans="2:21" x14ac:dyDescent="0.25">
      <c r="B45" t="str">
        <v>OKT</v>
      </c>
      <c r="C45">
        <v>4</v>
      </c>
      <c r="D45">
        <v>28</v>
      </c>
    </row>
    <row r="46" spans="2:21" x14ac:dyDescent="0.25">
      <c r="B46" t="str">
        <v>NOV</v>
      </c>
      <c r="C46">
        <v>19</v>
      </c>
      <c r="D46">
        <v>31</v>
      </c>
    </row>
    <row r="47" spans="2:21" x14ac:dyDescent="0.25">
      <c r="B47" t="str">
        <v>DEC</v>
      </c>
      <c r="C47">
        <v>31</v>
      </c>
      <c r="D47">
        <v>31</v>
      </c>
    </row>
  </sheetData>
  <conditionalFormatting sqref="C6:N26">
    <cfRule type="cellIs" dxfId="2" priority="4" operator="between">
      <formula>-0.0000000000001</formula>
      <formula>0.0000000000001</formula>
    </cfRule>
  </conditionalFormatting>
  <conditionalFormatting sqref="T6:T2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:N26">
    <cfRule type="colorScale" priority="6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xr2:uid="{01007786-16EA-4D7C-A2C6-6FB91D281F8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Affald2021!C6:N6</xm:f>
              <xm:sqref>A6</xm:sqref>
            </x14:sparkline>
            <x14:sparkline>
              <xm:f>Affald2021!C7:N7</xm:f>
              <xm:sqref>A7</xm:sqref>
            </x14:sparkline>
            <x14:sparkline>
              <xm:f>Affald2021!C8:N8</xm:f>
              <xm:sqref>A8</xm:sqref>
            </x14:sparkline>
            <x14:sparkline>
              <xm:f>Affald2021!C9:N9</xm:f>
              <xm:sqref>A9</xm:sqref>
            </x14:sparkline>
            <x14:sparkline>
              <xm:f>Affald2021!C10:N10</xm:f>
              <xm:sqref>A10</xm:sqref>
            </x14:sparkline>
            <x14:sparkline>
              <xm:f>Affald2021!C11:N11</xm:f>
              <xm:sqref>A11</xm:sqref>
            </x14:sparkline>
            <x14:sparkline>
              <xm:f>Affald2021!C12:N12</xm:f>
              <xm:sqref>A12</xm:sqref>
            </x14:sparkline>
            <x14:sparkline>
              <xm:f>Affald2021!C13:N13</xm:f>
              <xm:sqref>A13</xm:sqref>
            </x14:sparkline>
            <x14:sparkline>
              <xm:f>Affald2021!C14:N14</xm:f>
              <xm:sqref>A14</xm:sqref>
            </x14:sparkline>
            <x14:sparkline>
              <xm:f>Affald2021!C15:N15</xm:f>
              <xm:sqref>A15</xm:sqref>
            </x14:sparkline>
            <x14:sparkline>
              <xm:f>Affald2021!C16:N16</xm:f>
              <xm:sqref>A16</xm:sqref>
            </x14:sparkline>
            <x14:sparkline>
              <xm:f>Affald2021!C17:N17</xm:f>
              <xm:sqref>A17</xm:sqref>
            </x14:sparkline>
            <x14:sparkline>
              <xm:f>Affald2021!C18:N18</xm:f>
              <xm:sqref>A18</xm:sqref>
            </x14:sparkline>
            <x14:sparkline>
              <xm:f>Affald2021!C19:N19</xm:f>
              <xm:sqref>A19</xm:sqref>
            </x14:sparkline>
            <x14:sparkline>
              <xm:f>Affald2021!C20:N20</xm:f>
              <xm:sqref>A20</xm:sqref>
            </x14:sparkline>
            <x14:sparkline>
              <xm:f>Affald2021!C21:N21</xm:f>
              <xm:sqref>A21</xm:sqref>
            </x14:sparkline>
            <x14:sparkline>
              <xm:f>Affald2021!C22:N22</xm:f>
              <xm:sqref>A22</xm:sqref>
            </x14:sparkline>
            <x14:sparkline>
              <xm:f>Affald2021!C23:N23</xm:f>
              <xm:sqref>A23</xm:sqref>
            </x14:sparkline>
            <x14:sparkline>
              <xm:f>Affald2021!C24:N24</xm:f>
              <xm:sqref>A24</xm:sqref>
            </x14:sparkline>
            <x14:sparkline>
              <xm:f>Affald2021!C25:N25</xm:f>
              <xm:sqref>A25</xm:sqref>
            </x14:sparkline>
            <x14:sparkline>
              <xm:f>Affald2021!C26:N26</xm:f>
              <xm:sqref>A26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110</vt:i4>
      </vt:variant>
    </vt:vector>
  </HeadingPairs>
  <TitlesOfParts>
    <vt:vector size="114" baseType="lpstr">
      <vt:lpstr>ModelOpt</vt:lpstr>
      <vt:lpstr>Model</vt:lpstr>
      <vt:lpstr>Scenarier</vt:lpstr>
      <vt:lpstr>Affald2021</vt:lpstr>
      <vt:lpstr>Model!AFV</vt:lpstr>
      <vt:lpstr>ModelOpt!AFV</vt:lpstr>
      <vt:lpstr>Model!AndelBioaffald</vt:lpstr>
      <vt:lpstr>Model!AndelFossilFast</vt:lpstr>
      <vt:lpstr>Model!AndelFossilFri</vt:lpstr>
      <vt:lpstr>Model!ATL</vt:lpstr>
      <vt:lpstr>ModelOpt!ATL</vt:lpstr>
      <vt:lpstr>AvailDaysCooler</vt:lpstr>
      <vt:lpstr>bFossilFriOverBiogen</vt:lpstr>
      <vt:lpstr>ModelOpt!BioTonnage</vt:lpstr>
      <vt:lpstr>Model!CO2afgift</vt:lpstr>
      <vt:lpstr>ModelOpt!CO2afgift</vt:lpstr>
      <vt:lpstr>Model!CO2indholdAfgift</vt:lpstr>
      <vt:lpstr>ModelOpt!CO2indholdAfgift</vt:lpstr>
      <vt:lpstr>Model!CO2indholdKvote</vt:lpstr>
      <vt:lpstr>ModelOpt!CO2indholdKvote</vt:lpstr>
      <vt:lpstr>Model!DBmedRGK</vt:lpstr>
      <vt:lpstr>ModelOpt!DBmedRGK</vt:lpstr>
      <vt:lpstr>Model!DBudenRGK</vt:lpstr>
      <vt:lpstr>ModelOpt!DBudenRGK</vt:lpstr>
      <vt:lpstr>DoOptim</vt:lpstr>
      <vt:lpstr>DoOptimOpt</vt:lpstr>
      <vt:lpstr>Model!Elpris</vt:lpstr>
      <vt:lpstr>Model!ElprodTarif</vt:lpstr>
      <vt:lpstr>ModelOpt!ElProdTarif</vt:lpstr>
      <vt:lpstr>Model!ENSkvoteLHV</vt:lpstr>
      <vt:lpstr>ModelOpt!ENSkvoteLHV</vt:lpstr>
      <vt:lpstr>Model!EtaE</vt:lpstr>
      <vt:lpstr>ModelOpt!EtaE</vt:lpstr>
      <vt:lpstr>Model!EtaQmaxOvn2</vt:lpstr>
      <vt:lpstr>ModelOpt!EtaQmaxOvn2</vt:lpstr>
      <vt:lpstr>Model!EtaQmaxOvn3</vt:lpstr>
      <vt:lpstr>ModelOpt!EtaQmaxOvn3</vt:lpstr>
      <vt:lpstr>Model!EtaQNomOvn2</vt:lpstr>
      <vt:lpstr>ModelOpt!EtaQNomOvn2</vt:lpstr>
      <vt:lpstr>Model!EtaQNomOvn3</vt:lpstr>
      <vt:lpstr>ModelOpt!EtaQNomOvn3</vt:lpstr>
      <vt:lpstr>Model!EtaRgkOvn2</vt:lpstr>
      <vt:lpstr>ModelOpt!EtaRgkOvn2</vt:lpstr>
      <vt:lpstr>Model!EtaRgkOvn3</vt:lpstr>
      <vt:lpstr>ModelOpt!EtaRgkOvn3</vt:lpstr>
      <vt:lpstr>FastFossilUudnyttet</vt:lpstr>
      <vt:lpstr>Model!FBiogenFri</vt:lpstr>
      <vt:lpstr>FbiogenMax</vt:lpstr>
      <vt:lpstr>FbiogenMin</vt:lpstr>
      <vt:lpstr>FbiogenOvn2</vt:lpstr>
      <vt:lpstr>FbiogenOvn3</vt:lpstr>
      <vt:lpstr>FbioMaxÅr</vt:lpstr>
      <vt:lpstr>FbioMinÅr</vt:lpstr>
      <vt:lpstr>FfastFossilOvn2</vt:lpstr>
      <vt:lpstr>FfastFossilOvn3</vt:lpstr>
      <vt:lpstr>FfastMaxÅr</vt:lpstr>
      <vt:lpstr>FfastMinÅr</vt:lpstr>
      <vt:lpstr>Model!FFossilFast</vt:lpstr>
      <vt:lpstr>FFossilFri</vt:lpstr>
      <vt:lpstr>Ffrak1</vt:lpstr>
      <vt:lpstr>Ffrak2</vt:lpstr>
      <vt:lpstr>Ffrak3</vt:lpstr>
      <vt:lpstr>FfriFossilMax</vt:lpstr>
      <vt:lpstr>FfriFossilMin</vt:lpstr>
      <vt:lpstr>FfriFossilOvn2</vt:lpstr>
      <vt:lpstr>FfriFossilOvn3</vt:lpstr>
      <vt:lpstr>FfriMaxÅr</vt:lpstr>
      <vt:lpstr>FfriMinÅr</vt:lpstr>
      <vt:lpstr>ForbrugInfeasVarme</vt:lpstr>
      <vt:lpstr>ForbrugNSvarme</vt:lpstr>
      <vt:lpstr>ForbrugSRvarme</vt:lpstr>
      <vt:lpstr>Model!Ftotal</vt:lpstr>
      <vt:lpstr>Model!HBiogenFri</vt:lpstr>
      <vt:lpstr>Model!HfossilFast</vt:lpstr>
      <vt:lpstr>Model!HfossilFri</vt:lpstr>
      <vt:lpstr>Hfrak1</vt:lpstr>
      <vt:lpstr>Hfrak2</vt:lpstr>
      <vt:lpstr>Hfrak3</vt:lpstr>
      <vt:lpstr>Model!Htotal</vt:lpstr>
      <vt:lpstr>Model!KapQcool</vt:lpstr>
      <vt:lpstr>ModelOpt!KapQcool</vt:lpstr>
      <vt:lpstr>Model!KapQnomOvn2</vt:lpstr>
      <vt:lpstr>ModelOpt!KapQnomOvn2</vt:lpstr>
      <vt:lpstr>Model!KapQnomOvn3</vt:lpstr>
      <vt:lpstr>ModelOpt!KapQnomOvn3</vt:lpstr>
      <vt:lpstr>Model!Kvotepris</vt:lpstr>
      <vt:lpstr>ModelOpt!LHVbiogent</vt:lpstr>
      <vt:lpstr>ModelOpt!LHVFossilFast</vt:lpstr>
      <vt:lpstr>ModtageprisBiogent</vt:lpstr>
      <vt:lpstr>ModtageprisFastFossil</vt:lpstr>
      <vt:lpstr>NdageKøler</vt:lpstr>
      <vt:lpstr>NdageOvn2</vt:lpstr>
      <vt:lpstr>NdageOvn3</vt:lpstr>
      <vt:lpstr>Model!NSvarme</vt:lpstr>
      <vt:lpstr>ModelOpt!NSvarme</vt:lpstr>
      <vt:lpstr>NSvarmeMax</vt:lpstr>
      <vt:lpstr>PenaltyInfeasVarme</vt:lpstr>
      <vt:lpstr>PenaltyUbrugtFastFossil</vt:lpstr>
      <vt:lpstr>PrisBiogent</vt:lpstr>
      <vt:lpstr>PrisFossilFast</vt:lpstr>
      <vt:lpstr>PrisFossilFri</vt:lpstr>
      <vt:lpstr>Model!Qdemand</vt:lpstr>
      <vt:lpstr>Model!ranCtrlParms</vt:lpstr>
      <vt:lpstr>Scenarier!ranInputNames</vt:lpstr>
      <vt:lpstr>Model!ranModelResult</vt:lpstr>
      <vt:lpstr>ModelOpt!ranModelResult</vt:lpstr>
      <vt:lpstr>Scenarier!ranResultNames</vt:lpstr>
      <vt:lpstr>Scenarier!ranScenOutput</vt:lpstr>
      <vt:lpstr>Scenarier!ranScenOutputRowHeader</vt:lpstr>
      <vt:lpstr>Model!RGKudnyttelse</vt:lpstr>
      <vt:lpstr>Scenarier!TabelScenInput</vt:lpstr>
      <vt:lpstr>Model!Varmesalgspris</vt:lpstr>
      <vt:lpstr>ModelOpt!Varmesalgspris</vt:lpstr>
      <vt:lpstr>VPO_Spidslast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B. Laursen</cp:lastModifiedBy>
  <dcterms:created xsi:type="dcterms:W3CDTF">2022-03-13T11:17:09Z</dcterms:created>
  <dcterms:modified xsi:type="dcterms:W3CDTF">2022-03-24T15:41:02Z</dcterms:modified>
</cp:coreProperties>
</file>