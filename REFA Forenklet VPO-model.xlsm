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38A092F5-20AB-40CC-9AF5-8861FF4F0D45}" xr6:coauthVersionLast="47" xr6:coauthVersionMax="47" xr10:uidLastSave="{00000000-0000-0000-0000-000000000000}"/>
  <bookViews>
    <workbookView xWindow="-120" yWindow="-120" windowWidth="29040" windowHeight="15720" activeTab="3" xr2:uid="{858EECC8-30FB-4D42-A70B-DA5455FDD71D}"/>
  </bookViews>
  <sheets>
    <sheet name="Gemte scenarie Input" sheetId="10" r:id="rId1"/>
    <sheet name="Scenarier" sheetId="9" r:id="rId2"/>
    <sheet name="Model-1" sheetId="1" r:id="rId3"/>
    <sheet name="Model-2" sheetId="11" r:id="rId4"/>
    <sheet name="Scenario 7 GWh" sheetId="8" r:id="rId5"/>
    <sheet name="Scenario 28 GWh" sheetId="6" r:id="rId6"/>
    <sheet name="Scenario 35 GWh" sheetId="7" r:id="rId7"/>
    <sheet name="Affald2021" sheetId="2" r:id="rId8"/>
  </sheets>
  <definedNames>
    <definedName name="_xlpm.col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 localSheetId="3">'Model-2'!$C$28</definedName>
    <definedName name="AFV">'Model-1'!$C$37</definedName>
    <definedName name="AndelAffald" localSheetId="3">'Model-2'!$C$17</definedName>
    <definedName name="AndelAffald">'Model-1'!$C$24</definedName>
    <definedName name="AndelBioaffald" localSheetId="3">'Model-2'!$D$17</definedName>
    <definedName name="AndelBioaffald">'Model-1'!$D$24</definedName>
    <definedName name="ATL" localSheetId="3">'Model-2'!$C$29</definedName>
    <definedName name="ATL">'Model-1'!$C$38</definedName>
    <definedName name="BioAffaldTonnage">'Model-1'!$C$5</definedName>
    <definedName name="BioTonnage" localSheetId="3">'Model-2'!$J$6</definedName>
    <definedName name="BioTonnage">'Model-1'!$C$6</definedName>
    <definedName name="CO2afgift" localSheetId="3">'Model-2'!$C$30</definedName>
    <definedName name="CO2afgift">'Model-1'!$C$39</definedName>
    <definedName name="CO2indholdAfgift" localSheetId="3">'Model-2'!$C$22</definedName>
    <definedName name="CO2indholdAfgift">'Model-1'!$C$29</definedName>
    <definedName name="CO2indholdKvote" localSheetId="3">'Model-2'!$C$23</definedName>
    <definedName name="CO2indholdKvote">'Model-1'!$C$30</definedName>
    <definedName name="DBmedRGK" localSheetId="3">'Model-2'!$J$97</definedName>
    <definedName name="DBmedRGK">'Model-1'!$K$116</definedName>
    <definedName name="DBudenRGK" localSheetId="3">'Model-2'!$L$97</definedName>
    <definedName name="DBudenRGK">'Model-1'!$J$116</definedName>
    <definedName name="Elpris">'Model-1'!$C$34</definedName>
    <definedName name="ElProdTarif" localSheetId="3">'Model-2'!$C$27</definedName>
    <definedName name="ElprodTarif">'Model-1'!$C$35</definedName>
    <definedName name="ENSkvoteLHV" localSheetId="3">'Model-2'!$C$24</definedName>
    <definedName name="ENSkvoteLHV">'Model-1'!$C$31</definedName>
    <definedName name="EtaE" localSheetId="3">'Model-2'!$D$12</definedName>
    <definedName name="EtaE">'Model-1'!$D$19</definedName>
    <definedName name="EtaQmaxOvn2" localSheetId="3">'Model-2'!$C$11</definedName>
    <definedName name="EtaQmaxOvn2">'Model-1'!$C$18</definedName>
    <definedName name="EtaQmaxOvn3" localSheetId="3">'Model-2'!$D$11</definedName>
    <definedName name="EtaQmaxOvn3">'Model-1'!$D$18</definedName>
    <definedName name="EtaQNomOvn2" localSheetId="3">'Model-2'!$C$9</definedName>
    <definedName name="EtaQNomOvn2">'Model-1'!$C$16</definedName>
    <definedName name="EtaQNomOvn3" localSheetId="3">'Model-2'!$D$9</definedName>
    <definedName name="EtaQNomOvn3">'Model-1'!$D$16</definedName>
    <definedName name="EtaRgkOvn2" localSheetId="3">'Model-2'!$C$10</definedName>
    <definedName name="EtaRgkOvn2">'Model-1'!$C$17</definedName>
    <definedName name="EtaRgkOvn3" localSheetId="3">'Model-2'!$D$10</definedName>
    <definedName name="EtaRgkOvn3">'Model-1'!$D$17</definedName>
    <definedName name="Ftotal" localSheetId="3">'Model-2'!$C$18</definedName>
    <definedName name="Ftotal">'Model-1'!$C$25</definedName>
    <definedName name="Htotal" localSheetId="3">'Model-2'!$C$19</definedName>
    <definedName name="Htotal">'Model-1'!$C$26</definedName>
    <definedName name="KapQcool" localSheetId="3">'Model-2'!$E$5</definedName>
    <definedName name="KapQcool">'Model-1'!$E$12</definedName>
    <definedName name="KapQnomOvn2" localSheetId="3">'Model-2'!$C$5</definedName>
    <definedName name="KapQnomOvn2">'Model-1'!$C$12</definedName>
    <definedName name="KapQnomOvn3" localSheetId="3">'Model-2'!$D$5</definedName>
    <definedName name="KapQnomOvn3">'Model-1'!$D$12</definedName>
    <definedName name="Kvotepris">'Model-1'!$C$36</definedName>
    <definedName name="LHVaffald" localSheetId="3">'Model-2'!$C$21</definedName>
    <definedName name="LHVaffald">'Model-1'!$C$28</definedName>
    <definedName name="LHVbioaffald" localSheetId="3">'Model-2'!$D$21</definedName>
    <definedName name="LHVbioaffald">'Model-1'!$D$28</definedName>
    <definedName name="NSvarme" localSheetId="3">'Model-2'!$J$10</definedName>
    <definedName name="NSvarme">'Model-1'!$C$8</definedName>
    <definedName name="Qdemand">'Model-1'!$C$4</definedName>
    <definedName name="ranCtrlParms">'Model-1'!$C$4:$C$8</definedName>
    <definedName name="ranInputNames">Scenarier!$C$8:$C$12</definedName>
    <definedName name="ranModelResult" localSheetId="3">'Model-2'!$AF$51:$AF$89</definedName>
    <definedName name="ranModelResult">'Model-1'!$Q$49:$Q$87</definedName>
    <definedName name="ranResultNames">Scenarier!$A$53:$A$83</definedName>
    <definedName name="ranScenOutput">Scenarier!$C$95:$Y$133</definedName>
    <definedName name="ranScenOutputRowHeader">Scenarier!$C$95:$C$133</definedName>
    <definedName name="ResultRow">_xlfn.LAMBDA(_xlpm.resultName, MATCH(_xlpm.resultName,ranScenOutputRowHeader,0))</definedName>
    <definedName name="ResultValue">_xlfn.LAMBDA(_xlpm.resultName,_xlpm.icol,_xlfn.LET(_xlpm.irow,ResultRow(_xlpm.resultName),INDEX(ranScenOutput,_xlpm.irow,_xlpm.icol)))</definedName>
    <definedName name="RGKudnyttelse" localSheetId="3">'Model-2'!$J$9</definedName>
    <definedName name="RGKudnyttelse">'Model-1'!$C$7</definedName>
    <definedName name="solver_adj" localSheetId="2" hidden="1">'Model-1'!$C$7</definedName>
    <definedName name="solver_adj" localSheetId="3" hidden="1">'Model-2'!$J$9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'Model-1'!$C$7</definedName>
    <definedName name="solver_lhs1" localSheetId="3" hidden="1">'Model-2'!$J$9</definedName>
    <definedName name="solver_lhs2" localSheetId="2" hidden="1">'Model-1'!$C$7</definedName>
    <definedName name="solver_lhs2" localSheetId="3" hidden="1">'Model-2'!$J$9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2</definedName>
    <definedName name="solver_num" localSheetId="3" hidden="1">2</definedName>
    <definedName name="solver_nwt" localSheetId="2" hidden="1">1</definedName>
    <definedName name="solver_nwt" localSheetId="3" hidden="1">1</definedName>
    <definedName name="solver_opt" localSheetId="2" hidden="1">'Model-1'!$K$116</definedName>
    <definedName name="solver_opt" localSheetId="3" hidden="1">'Model-2'!$J$97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1</definedName>
    <definedName name="solver_rel1" localSheetId="3" hidden="1">1</definedName>
    <definedName name="solver_rel2" localSheetId="2" hidden="1">3</definedName>
    <definedName name="solver_rel2" localSheetId="3" hidden="1">3</definedName>
    <definedName name="solver_rhs1" localSheetId="2" hidden="1">1</definedName>
    <definedName name="solver_rhs1" localSheetId="3" hidden="1">1</definedName>
    <definedName name="solver_rhs2" localSheetId="2" hidden="1">0</definedName>
    <definedName name="solver_rhs2" localSheetId="3" hidden="1">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1</definedName>
    <definedName name="solver_typ" localSheetId="3" hidden="1">1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  <definedName name="TabelScenInput">Scenarier!$C$7:$Y$12</definedName>
    <definedName name="Varmesalgspris" localSheetId="3">'Model-2'!$C$26</definedName>
    <definedName name="Varmesalgspris">'Model-1'!$C$33</definedName>
    <definedName name="Z_2B82E035_636B_4F9F_846A_FEE8C149952C_.wvu.Rows" localSheetId="1" hidden="1">Scenarier!$1:$4</definedName>
    <definedName name="Z_2B82E035_636B_4F9F_846A_FEE8C149952C_.wvu.Rows" localSheetId="5" hidden="1">'Scenario 28 GWh'!$4:$4</definedName>
    <definedName name="Z_2B82E035_636B_4F9F_846A_FEE8C149952C_.wvu.Rows" localSheetId="6" hidden="1">'Scenario 35 GWh'!$4:$4</definedName>
    <definedName name="Z_2B82E035_636B_4F9F_846A_FEE8C149952C_.wvu.Rows" localSheetId="4" hidden="1">'Scenario 7 GWh'!$4:$4</definedName>
    <definedName name="Z_B8935784_587B_4D0A_AED7_A4A9B4EF97F4_.wvu.Cols" localSheetId="2" hidden="1">'Model-1'!$A:$F</definedName>
    <definedName name="Z_B8935784_587B_4D0A_AED7_A4A9B4EF97F4_.wvu.Cols" localSheetId="3" hidden="1">'Model-2'!$H:$M</definedName>
    <definedName name="Z_B8935784_587B_4D0A_AED7_A4A9B4EF97F4_.wvu.Rows" localSheetId="1" hidden="1">Scenarier!$1:$4</definedName>
    <definedName name="Z_B8935784_587B_4D0A_AED7_A4A9B4EF97F4_.wvu.Rows" localSheetId="5" hidden="1">'Scenario 28 GWh'!$4:$4</definedName>
    <definedName name="Z_B8935784_587B_4D0A_AED7_A4A9B4EF97F4_.wvu.Rows" localSheetId="6" hidden="1">'Scenario 35 GWh'!$4:$4</definedName>
    <definedName name="Z_B8935784_587B_4D0A_AED7_A4A9B4EF97F4_.wvu.Rows" localSheetId="4" hidden="1">'Scenario 7 GWh'!$4:$4</definedName>
    <definedName name="Z_EEB625C4_AF57_4951_B4C5_8C71271FF126_.wvu.Rows" localSheetId="1" hidden="1">Scenarier!$1:$4</definedName>
    <definedName name="Z_EEB625C4_AF57_4951_B4C5_8C71271FF126_.wvu.Rows" localSheetId="5" hidden="1">'Scenario 28 GWh'!$4:$4</definedName>
    <definedName name="Z_EEB625C4_AF57_4951_B4C5_8C71271FF126_.wvu.Rows" localSheetId="6" hidden="1">'Scenario 35 GWh'!$4:$4</definedName>
    <definedName name="Z_EEB625C4_AF57_4951_B4C5_8C71271FF126_.wvu.Rows" localSheetId="4" hidden="1">'Scenario 7 GWh'!$4:$4</definedName>
  </definedNames>
  <calcPr calcId="191029"/>
  <customWorkbookViews>
    <customWorkbookView name="MedInput" guid="{EEB625C4-AF57-4951-B4C5-8C71271FF126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All" guid="{2B82E035-636B-4F9F-846A-FEE8C149952C}" maximized="1" xWindow="-8" yWindow="-8" windowWidth="1936" windowHeight="10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88" i="11" l="1"/>
  <c r="K96" i="11" s="1"/>
  <c r="L88" i="11"/>
  <c r="M88" i="11"/>
  <c r="N88" i="11"/>
  <c r="O88" i="11"/>
  <c r="P88" i="11"/>
  <c r="Q88" i="11"/>
  <c r="R88" i="11"/>
  <c r="R96" i="11" s="1"/>
  <c r="S88" i="11"/>
  <c r="S96" i="11" s="1"/>
  <c r="T88" i="11"/>
  <c r="U88" i="11"/>
  <c r="K89" i="11"/>
  <c r="L89" i="11"/>
  <c r="M89" i="11"/>
  <c r="N89" i="11"/>
  <c r="O89" i="11"/>
  <c r="O96" i="11" s="1"/>
  <c r="P89" i="11"/>
  <c r="P96" i="11" s="1"/>
  <c r="Q89" i="11"/>
  <c r="R89" i="11"/>
  <c r="S89" i="11"/>
  <c r="T89" i="11"/>
  <c r="U89" i="11"/>
  <c r="K90" i="11"/>
  <c r="L90" i="11"/>
  <c r="L96" i="11" s="1"/>
  <c r="M90" i="11"/>
  <c r="M96" i="11" s="1"/>
  <c r="N90" i="11"/>
  <c r="O90" i="11"/>
  <c r="P90" i="11"/>
  <c r="Q90" i="11"/>
  <c r="R90" i="11"/>
  <c r="S90" i="11"/>
  <c r="T90" i="11"/>
  <c r="T96" i="11" s="1"/>
  <c r="U90" i="11"/>
  <c r="U96" i="11" s="1"/>
  <c r="K91" i="11"/>
  <c r="L91" i="11"/>
  <c r="M91" i="11"/>
  <c r="N91" i="11"/>
  <c r="O91" i="11"/>
  <c r="P91" i="11"/>
  <c r="Q91" i="11"/>
  <c r="Q96" i="11" s="1"/>
  <c r="R91" i="11"/>
  <c r="S91" i="11"/>
  <c r="T91" i="11"/>
  <c r="U91" i="11"/>
  <c r="K92" i="11"/>
  <c r="L92" i="11"/>
  <c r="M92" i="11"/>
  <c r="N92" i="11"/>
  <c r="O92" i="11"/>
  <c r="P92" i="11"/>
  <c r="Q92" i="11"/>
  <c r="R92" i="11"/>
  <c r="S92" i="11"/>
  <c r="T92" i="11"/>
  <c r="U92" i="11"/>
  <c r="K93" i="11"/>
  <c r="L93" i="11"/>
  <c r="M93" i="11"/>
  <c r="N93" i="11"/>
  <c r="O93" i="11"/>
  <c r="P93" i="11"/>
  <c r="Q93" i="11"/>
  <c r="R93" i="11"/>
  <c r="S93" i="11"/>
  <c r="T93" i="11"/>
  <c r="U93" i="11"/>
  <c r="N96" i="11"/>
  <c r="J108" i="1"/>
  <c r="K20" i="11"/>
  <c r="L20" i="11"/>
  <c r="M20" i="11"/>
  <c r="N20" i="11"/>
  <c r="O20" i="11"/>
  <c r="P20" i="11"/>
  <c r="Q20" i="11"/>
  <c r="R20" i="11"/>
  <c r="S20" i="11"/>
  <c r="T20" i="11"/>
  <c r="U20" i="11"/>
  <c r="J20" i="11"/>
  <c r="K63" i="11"/>
  <c r="L63" i="11"/>
  <c r="M63" i="11"/>
  <c r="N63" i="11"/>
  <c r="O63" i="11"/>
  <c r="P63" i="11"/>
  <c r="Q63" i="11"/>
  <c r="R63" i="11"/>
  <c r="S63" i="11"/>
  <c r="T63" i="11"/>
  <c r="U63" i="11"/>
  <c r="J71" i="1"/>
  <c r="J70" i="1"/>
  <c r="J16" i="11"/>
  <c r="K18" i="11" l="1"/>
  <c r="L18" i="11"/>
  <c r="M18" i="11"/>
  <c r="N18" i="11"/>
  <c r="O18" i="11"/>
  <c r="P18" i="11"/>
  <c r="Q18" i="11"/>
  <c r="R18" i="11"/>
  <c r="S18" i="11"/>
  <c r="T18" i="11"/>
  <c r="U18" i="11"/>
  <c r="J18" i="11"/>
  <c r="K14" i="11"/>
  <c r="L14" i="11"/>
  <c r="M14" i="11"/>
  <c r="N14" i="11"/>
  <c r="O14" i="11"/>
  <c r="P14" i="11"/>
  <c r="Q14" i="11"/>
  <c r="R14" i="11"/>
  <c r="S14" i="11"/>
  <c r="T14" i="11"/>
  <c r="U14" i="11"/>
  <c r="J14" i="11"/>
  <c r="K17" i="11"/>
  <c r="L17" i="11"/>
  <c r="M17" i="11"/>
  <c r="N17" i="11"/>
  <c r="O17" i="11"/>
  <c r="P17" i="11"/>
  <c r="Q17" i="11"/>
  <c r="R17" i="11"/>
  <c r="S17" i="11"/>
  <c r="T17" i="11"/>
  <c r="U17" i="11"/>
  <c r="J17" i="11"/>
  <c r="K31" i="11"/>
  <c r="K32" i="11" s="1"/>
  <c r="L31" i="11"/>
  <c r="L32" i="11" s="1"/>
  <c r="M31" i="11"/>
  <c r="M32" i="11" s="1"/>
  <c r="N31" i="11"/>
  <c r="N32" i="11" s="1"/>
  <c r="O31" i="11"/>
  <c r="O32" i="11" s="1"/>
  <c r="P31" i="11"/>
  <c r="P32" i="11" s="1"/>
  <c r="Q31" i="11"/>
  <c r="Q32" i="11" s="1"/>
  <c r="R31" i="11"/>
  <c r="R32" i="11" s="1"/>
  <c r="S31" i="11"/>
  <c r="S32" i="11" s="1"/>
  <c r="T31" i="11"/>
  <c r="T32" i="11" s="1"/>
  <c r="U31" i="11"/>
  <c r="U32" i="11" s="1"/>
  <c r="L25" i="11"/>
  <c r="K24" i="11"/>
  <c r="K25" i="11" s="1"/>
  <c r="L24" i="11"/>
  <c r="M24" i="11"/>
  <c r="M25" i="11" s="1"/>
  <c r="N24" i="11"/>
  <c r="N25" i="11" s="1"/>
  <c r="O24" i="11"/>
  <c r="O25" i="11" s="1"/>
  <c r="P24" i="11"/>
  <c r="P25" i="11" s="1"/>
  <c r="Q24" i="11"/>
  <c r="Q25" i="11" s="1"/>
  <c r="R24" i="11"/>
  <c r="R25" i="11" s="1"/>
  <c r="S24" i="11"/>
  <c r="S25" i="11" s="1"/>
  <c r="T24" i="11"/>
  <c r="T25" i="11" s="1"/>
  <c r="U24" i="11"/>
  <c r="U25" i="11" s="1"/>
  <c r="K38" i="11"/>
  <c r="K73" i="11" s="1"/>
  <c r="L38" i="11"/>
  <c r="L73" i="11" s="1"/>
  <c r="M38" i="11"/>
  <c r="M73" i="11" s="1"/>
  <c r="N38" i="11"/>
  <c r="N73" i="11" s="1"/>
  <c r="O38" i="11"/>
  <c r="O23" i="11" s="1"/>
  <c r="P38" i="11"/>
  <c r="P23" i="11" s="1"/>
  <c r="Q38" i="11"/>
  <c r="Q73" i="11" s="1"/>
  <c r="R38" i="11"/>
  <c r="R82" i="11" s="1"/>
  <c r="S38" i="11"/>
  <c r="S73" i="11" s="1"/>
  <c r="T38" i="11"/>
  <c r="T82" i="11" s="1"/>
  <c r="U38" i="11"/>
  <c r="U73" i="11" s="1"/>
  <c r="J38" i="11"/>
  <c r="J82" i="11" s="1"/>
  <c r="AF50" i="11" s="1"/>
  <c r="J8" i="11"/>
  <c r="J7" i="11"/>
  <c r="J24" i="11" s="1"/>
  <c r="J25" i="11" s="1"/>
  <c r="C10" i="11"/>
  <c r="D10" i="11"/>
  <c r="D11" i="11" s="1"/>
  <c r="C17" i="11"/>
  <c r="D17" i="11" s="1"/>
  <c r="C18" i="11"/>
  <c r="C19" i="11" s="1"/>
  <c r="D20" i="11"/>
  <c r="AC73" i="11"/>
  <c r="AC72" i="11"/>
  <c r="AC71" i="11"/>
  <c r="AC70" i="11"/>
  <c r="AC69" i="11"/>
  <c r="AC68" i="11"/>
  <c r="AD65" i="11"/>
  <c r="AC65" i="11"/>
  <c r="AD64" i="11"/>
  <c r="AC64" i="11"/>
  <c r="AD63" i="11"/>
  <c r="AC63" i="11"/>
  <c r="AD62" i="11"/>
  <c r="AC62" i="11"/>
  <c r="AD61" i="11"/>
  <c r="AC61" i="11"/>
  <c r="AD60" i="11"/>
  <c r="AC60" i="11"/>
  <c r="AD58" i="11"/>
  <c r="AC58" i="11"/>
  <c r="AD57" i="11"/>
  <c r="AC57" i="11"/>
  <c r="AD56" i="11"/>
  <c r="AC56" i="11"/>
  <c r="AD55" i="11"/>
  <c r="AC55" i="11"/>
  <c r="AD53" i="11"/>
  <c r="AC53" i="11"/>
  <c r="AD52" i="11"/>
  <c r="AC52" i="11"/>
  <c r="AD51" i="11"/>
  <c r="AC51" i="11"/>
  <c r="AG50" i="11"/>
  <c r="BA4" i="11"/>
  <c r="BA3" i="11"/>
  <c r="BA2" i="11"/>
  <c r="W1" i="11"/>
  <c r="D74" i="9"/>
  <c r="R74" i="9" s="1" a="1"/>
  <c r="R74" i="9" s="1"/>
  <c r="C74" i="9"/>
  <c r="D73" i="9"/>
  <c r="D75" i="9"/>
  <c r="D98" i="9"/>
  <c r="D103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C132" i="9"/>
  <c r="C133" i="9"/>
  <c r="H1" i="1"/>
  <c r="AL3" i="1"/>
  <c r="AL2" i="1"/>
  <c r="AL4" i="1"/>
  <c r="C80" i="9"/>
  <c r="C81" i="9"/>
  <c r="C82" i="9"/>
  <c r="C83" i="9"/>
  <c r="C84" i="9"/>
  <c r="C85" i="9"/>
  <c r="C86" i="9"/>
  <c r="C87" i="9"/>
  <c r="C88" i="9"/>
  <c r="C79" i="9"/>
  <c r="C78" i="9"/>
  <c r="D85" i="9"/>
  <c r="J85" i="9" s="1" a="1"/>
  <c r="J85" i="9" s="1"/>
  <c r="D86" i="9"/>
  <c r="E86" i="9" s="1" a="1"/>
  <c r="E86" i="9" s="1"/>
  <c r="D87" i="9"/>
  <c r="I87" i="9" s="1" a="1"/>
  <c r="I87" i="9" s="1"/>
  <c r="D88" i="9"/>
  <c r="K88" i="9" s="1" a="1"/>
  <c r="K88" i="9" s="1"/>
  <c r="D79" i="9"/>
  <c r="D80" i="9"/>
  <c r="D81" i="9"/>
  <c r="G81" i="9" s="1" a="1"/>
  <c r="G81" i="9" s="1"/>
  <c r="D82" i="9"/>
  <c r="I82" i="9" s="1" a="1"/>
  <c r="I82" i="9" s="1"/>
  <c r="D83" i="9"/>
  <c r="L83" i="9" s="1" a="1"/>
  <c r="L83" i="9" s="1"/>
  <c r="D84" i="9"/>
  <c r="G84" i="9" s="1" a="1"/>
  <c r="G84" i="9" s="1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54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8" i="9"/>
  <c r="F53" i="9"/>
  <c r="F77" i="9" s="1"/>
  <c r="G53" i="9"/>
  <c r="G77" i="9" s="1"/>
  <c r="H53" i="9"/>
  <c r="H77" i="9" s="1"/>
  <c r="I53" i="9"/>
  <c r="I77" i="9" s="1"/>
  <c r="J53" i="9"/>
  <c r="J77" i="9" s="1"/>
  <c r="K53" i="9"/>
  <c r="K77" i="9" s="1"/>
  <c r="L53" i="9"/>
  <c r="L77" i="9" s="1"/>
  <c r="M53" i="9"/>
  <c r="M77" i="9" s="1"/>
  <c r="N53" i="9"/>
  <c r="N77" i="9" s="1"/>
  <c r="O53" i="9"/>
  <c r="O77" i="9" s="1"/>
  <c r="P53" i="9"/>
  <c r="P77" i="9" s="1"/>
  <c r="Q53" i="9"/>
  <c r="Q77" i="9" s="1"/>
  <c r="R53" i="9"/>
  <c r="R77" i="9" s="1"/>
  <c r="S53" i="9"/>
  <c r="S77" i="9" s="1"/>
  <c r="T53" i="9"/>
  <c r="T77" i="9" s="1"/>
  <c r="U53" i="9"/>
  <c r="U77" i="9" s="1"/>
  <c r="V53" i="9"/>
  <c r="V77" i="9" s="1"/>
  <c r="W53" i="9"/>
  <c r="W77" i="9" s="1"/>
  <c r="X53" i="9"/>
  <c r="X77" i="9" s="1"/>
  <c r="Y53" i="9"/>
  <c r="Y77" i="9" s="1"/>
  <c r="E53" i="9"/>
  <c r="C9" i="9"/>
  <c r="D9" i="9"/>
  <c r="E9" i="9"/>
  <c r="C10" i="9"/>
  <c r="D10" i="9"/>
  <c r="E10" i="9"/>
  <c r="C11" i="9"/>
  <c r="D11" i="9"/>
  <c r="C12" i="9"/>
  <c r="D12" i="9"/>
  <c r="E12" i="9"/>
  <c r="D8" i="9"/>
  <c r="C8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E94" i="9"/>
  <c r="C94" i="9"/>
  <c r="D94" i="9"/>
  <c r="C111" i="9"/>
  <c r="C119" i="9"/>
  <c r="C120" i="9"/>
  <c r="C121" i="9"/>
  <c r="C122" i="9"/>
  <c r="C123" i="9"/>
  <c r="C124" i="9"/>
  <c r="C125" i="9"/>
  <c r="C126" i="9"/>
  <c r="C128" i="9"/>
  <c r="C129" i="9"/>
  <c r="C130" i="9"/>
  <c r="C131" i="9"/>
  <c r="C25" i="1"/>
  <c r="C24" i="1"/>
  <c r="D24" i="1" s="1"/>
  <c r="A39" i="8"/>
  <c r="A38" i="8"/>
  <c r="A37" i="8"/>
  <c r="A36" i="8"/>
  <c r="A35" i="8"/>
  <c r="A34" i="8"/>
  <c r="A33" i="8"/>
  <c r="A32" i="8"/>
  <c r="A31" i="8"/>
  <c r="A24" i="8"/>
  <c r="A23" i="8"/>
  <c r="A16" i="8"/>
  <c r="A11" i="8"/>
  <c r="A39" i="7"/>
  <c r="A38" i="7"/>
  <c r="A37" i="7"/>
  <c r="A36" i="7"/>
  <c r="A35" i="7"/>
  <c r="A34" i="7"/>
  <c r="A33" i="7"/>
  <c r="A32" i="7"/>
  <c r="A31" i="7"/>
  <c r="A24" i="7"/>
  <c r="A23" i="7"/>
  <c r="A16" i="7"/>
  <c r="A11" i="7"/>
  <c r="A39" i="6"/>
  <c r="A38" i="6"/>
  <c r="A37" i="6"/>
  <c r="A36" i="6"/>
  <c r="A35" i="6"/>
  <c r="A34" i="6"/>
  <c r="A33" i="6"/>
  <c r="A32" i="6"/>
  <c r="A31" i="6"/>
  <c r="A24" i="6"/>
  <c r="A23" i="6"/>
  <c r="A16" i="6"/>
  <c r="A11" i="6"/>
  <c r="U19" i="11" l="1"/>
  <c r="M19" i="11"/>
  <c r="J19" i="11"/>
  <c r="T19" i="11"/>
  <c r="L19" i="11"/>
  <c r="N19" i="11"/>
  <c r="U23" i="11"/>
  <c r="S19" i="11"/>
  <c r="K19" i="11"/>
  <c r="T23" i="11"/>
  <c r="R19" i="11"/>
  <c r="K23" i="11"/>
  <c r="Q82" i="11"/>
  <c r="O35" i="11"/>
  <c r="O36" i="11" s="1"/>
  <c r="N28" i="11"/>
  <c r="N29" i="11" s="1"/>
  <c r="U28" i="11"/>
  <c r="U29" i="11" s="1"/>
  <c r="T26" i="11"/>
  <c r="T27" i="11" s="1"/>
  <c r="R35" i="11"/>
  <c r="R36" i="11" s="1"/>
  <c r="P35" i="11"/>
  <c r="P36" i="11" s="1"/>
  <c r="S23" i="11"/>
  <c r="P82" i="11"/>
  <c r="L26" i="11"/>
  <c r="L27" i="11" s="1"/>
  <c r="Q23" i="11"/>
  <c r="K28" i="11"/>
  <c r="K29" i="11" s="1"/>
  <c r="R73" i="11"/>
  <c r="N23" i="11"/>
  <c r="Q19" i="11"/>
  <c r="C11" i="11"/>
  <c r="M23" i="11"/>
  <c r="S28" i="11"/>
  <c r="S29" i="11" s="1"/>
  <c r="P19" i="11"/>
  <c r="P73" i="11"/>
  <c r="L23" i="11"/>
  <c r="O19" i="11"/>
  <c r="J31" i="11"/>
  <c r="J32" i="11" s="1"/>
  <c r="J63" i="11"/>
  <c r="J23" i="11"/>
  <c r="M33" i="11"/>
  <c r="M34" i="11" s="1"/>
  <c r="M35" i="11"/>
  <c r="M36" i="11" s="1"/>
  <c r="R28" i="11"/>
  <c r="R29" i="11" s="1"/>
  <c r="T33" i="11"/>
  <c r="T34" i="11" s="1"/>
  <c r="T35" i="11"/>
  <c r="T36" i="11" s="1"/>
  <c r="L35" i="11"/>
  <c r="L36" i="11" s="1"/>
  <c r="L33" i="11"/>
  <c r="L34" i="11" s="1"/>
  <c r="L39" i="11" s="1"/>
  <c r="Q26" i="11"/>
  <c r="Q27" i="11" s="1"/>
  <c r="Q28" i="11"/>
  <c r="Q29" i="11" s="1"/>
  <c r="S33" i="11"/>
  <c r="S34" i="11" s="1"/>
  <c r="S39" i="11" s="1"/>
  <c r="S35" i="11"/>
  <c r="S36" i="11" s="1"/>
  <c r="K35" i="11"/>
  <c r="K36" i="11" s="1"/>
  <c r="K33" i="11"/>
  <c r="K34" i="11" s="1"/>
  <c r="K39" i="11" s="1"/>
  <c r="U33" i="11"/>
  <c r="U34" i="11" s="1"/>
  <c r="U39" i="11" s="1"/>
  <c r="U35" i="11"/>
  <c r="U36" i="11" s="1"/>
  <c r="O28" i="11"/>
  <c r="O29" i="11" s="1"/>
  <c r="O26" i="11"/>
  <c r="O27" i="11" s="1"/>
  <c r="N35" i="11"/>
  <c r="N36" i="11" s="1"/>
  <c r="P28" i="11"/>
  <c r="P29" i="11" s="1"/>
  <c r="P26" i="11"/>
  <c r="P27" i="11"/>
  <c r="M28" i="11"/>
  <c r="M29" i="11" s="1"/>
  <c r="Q35" i="11"/>
  <c r="Q36" i="11" s="1"/>
  <c r="O82" i="11"/>
  <c r="O73" i="11"/>
  <c r="N26" i="11"/>
  <c r="N27" i="11" s="1"/>
  <c r="T28" i="11"/>
  <c r="T29" i="11" s="1"/>
  <c r="L28" i="11"/>
  <c r="L29" i="11" s="1"/>
  <c r="R33" i="11"/>
  <c r="R34" i="11" s="1"/>
  <c r="R39" i="11" s="1"/>
  <c r="N82" i="11"/>
  <c r="R23" i="11"/>
  <c r="U26" i="11"/>
  <c r="M26" i="11"/>
  <c r="M27" i="11" s="1"/>
  <c r="Q33" i="11"/>
  <c r="Q34" i="11" s="1"/>
  <c r="U82" i="11"/>
  <c r="M82" i="11"/>
  <c r="L82" i="11"/>
  <c r="AE50" i="11" s="1"/>
  <c r="AE75" i="11" s="1"/>
  <c r="T73" i="11"/>
  <c r="S26" i="11"/>
  <c r="S27" i="11" s="1"/>
  <c r="K26" i="11"/>
  <c r="K27" i="11" s="1"/>
  <c r="O33" i="11"/>
  <c r="O34" i="11" s="1"/>
  <c r="S82" i="11"/>
  <c r="K82" i="11"/>
  <c r="P33" i="11"/>
  <c r="P34" i="11" s="1"/>
  <c r="R26" i="11"/>
  <c r="R27" i="11" s="1"/>
  <c r="U27" i="11"/>
  <c r="N33" i="11"/>
  <c r="N34" i="11" s="1"/>
  <c r="N39" i="11" s="1"/>
  <c r="J73" i="11"/>
  <c r="AF67" i="11"/>
  <c r="AF84" i="11"/>
  <c r="AF75" i="11"/>
  <c r="J28" i="11"/>
  <c r="J29" i="11" s="1"/>
  <c r="J26" i="11"/>
  <c r="J35" i="11"/>
  <c r="J36" i="11" s="1"/>
  <c r="J33" i="11"/>
  <c r="J34" i="11" s="1"/>
  <c r="J39" i="11" s="1"/>
  <c r="J40" i="11" s="1"/>
  <c r="T74" i="9" a="1"/>
  <c r="T74" i="9" s="1"/>
  <c r="J74" i="9" a="1"/>
  <c r="J74" i="9" s="1"/>
  <c r="L74" i="9" a="1"/>
  <c r="L74" i="9" s="1"/>
  <c r="E74" i="9" a="1"/>
  <c r="E74" i="9" s="1"/>
  <c r="S74" i="9" a="1"/>
  <c r="S74" i="9" s="1"/>
  <c r="K74" i="9" a="1"/>
  <c r="K74" i="9" s="1"/>
  <c r="Y74" i="9" a="1"/>
  <c r="Y74" i="9" s="1"/>
  <c r="Q74" i="9" a="1"/>
  <c r="Q74" i="9" s="1"/>
  <c r="I74" i="9" a="1"/>
  <c r="I74" i="9" s="1"/>
  <c r="X74" i="9" a="1"/>
  <c r="X74" i="9" s="1"/>
  <c r="P74" i="9" a="1"/>
  <c r="P74" i="9" s="1"/>
  <c r="H74" i="9" a="1"/>
  <c r="H74" i="9" s="1"/>
  <c r="W74" i="9" a="1"/>
  <c r="W74" i="9" s="1"/>
  <c r="O74" i="9" a="1"/>
  <c r="O74" i="9" s="1"/>
  <c r="G74" i="9" a="1"/>
  <c r="G74" i="9" s="1"/>
  <c r="V74" i="9" a="1"/>
  <c r="V74" i="9" s="1"/>
  <c r="N74" i="9" a="1"/>
  <c r="N74" i="9" s="1"/>
  <c r="F74" i="9" a="1"/>
  <c r="F74" i="9" s="1"/>
  <c r="U74" i="9" a="1"/>
  <c r="U74" i="9" s="1"/>
  <c r="M74" i="9" a="1"/>
  <c r="M74" i="9" s="1"/>
  <c r="A53" i="9" a="1"/>
  <c r="A53" i="9" s="1"/>
  <c r="X81" i="9" a="1"/>
  <c r="X81" i="9" s="1"/>
  <c r="X87" i="9" a="1"/>
  <c r="X87" i="9" s="1"/>
  <c r="S86" i="9" a="1"/>
  <c r="S86" i="9" s="1"/>
  <c r="X82" i="9" a="1"/>
  <c r="X82" i="9" s="1"/>
  <c r="U84" i="9" a="1"/>
  <c r="U84" i="9" s="1"/>
  <c r="E84" i="9" a="1"/>
  <c r="E84" i="9" s="1"/>
  <c r="R88" i="9" a="1"/>
  <c r="R88" i="9" s="1"/>
  <c r="H81" i="9" a="1"/>
  <c r="H81" i="9" s="1"/>
  <c r="Q88" i="9" a="1"/>
  <c r="Q88" i="9" s="1"/>
  <c r="W87" i="9" a="1"/>
  <c r="W87" i="9" s="1"/>
  <c r="G87" i="9" a="1"/>
  <c r="G87" i="9" s="1"/>
  <c r="V81" i="9" a="1"/>
  <c r="V81" i="9" s="1"/>
  <c r="F81" i="9" a="1"/>
  <c r="F81" i="9" s="1"/>
  <c r="V87" i="9" a="1"/>
  <c r="V87" i="9" s="1"/>
  <c r="F87" i="9" a="1"/>
  <c r="F87" i="9" s="1"/>
  <c r="M84" i="9" a="1"/>
  <c r="M84" i="9" s="1"/>
  <c r="U81" i="9" a="1"/>
  <c r="U81" i="9" s="1"/>
  <c r="E81" i="9" a="1"/>
  <c r="E81" i="9" s="1"/>
  <c r="H87" i="9" a="1"/>
  <c r="H87" i="9" s="1"/>
  <c r="N84" i="9" a="1"/>
  <c r="N84" i="9" s="1"/>
  <c r="Y88" i="9" a="1"/>
  <c r="Y88" i="9" s="1"/>
  <c r="R87" i="9" a="1"/>
  <c r="R87" i="9" s="1"/>
  <c r="T86" i="9" a="1"/>
  <c r="T86" i="9" s="1"/>
  <c r="F84" i="9" a="1"/>
  <c r="F84" i="9" s="1"/>
  <c r="T81" i="9" a="1"/>
  <c r="T81" i="9" s="1"/>
  <c r="P87" i="9" a="1"/>
  <c r="P87" i="9" s="1"/>
  <c r="P81" i="9" a="1"/>
  <c r="P81" i="9" s="1"/>
  <c r="O87" i="9" a="1"/>
  <c r="O87" i="9" s="1"/>
  <c r="L86" i="9" a="1"/>
  <c r="L86" i="9" s="1"/>
  <c r="N81" i="9" a="1"/>
  <c r="N81" i="9" s="1"/>
  <c r="J88" i="9" a="1"/>
  <c r="J88" i="9" s="1"/>
  <c r="N87" i="9" a="1"/>
  <c r="N87" i="9" s="1"/>
  <c r="K86" i="9" a="1"/>
  <c r="K86" i="9" s="1"/>
  <c r="P82" i="9" a="1"/>
  <c r="P82" i="9" s="1"/>
  <c r="M81" i="9" a="1"/>
  <c r="M81" i="9" s="1"/>
  <c r="I88" i="9" a="1"/>
  <c r="I88" i="9" s="1"/>
  <c r="J87" i="9" a="1"/>
  <c r="J87" i="9" s="1"/>
  <c r="V84" i="9" a="1"/>
  <c r="V84" i="9" s="1"/>
  <c r="H82" i="9" a="1"/>
  <c r="H82" i="9" s="1"/>
  <c r="L81" i="9" a="1"/>
  <c r="L81" i="9" s="1"/>
  <c r="K83" i="9" a="1"/>
  <c r="K83" i="9" s="1"/>
  <c r="H85" i="9" a="1"/>
  <c r="H85" i="9" s="1"/>
  <c r="X88" i="9" a="1"/>
  <c r="X88" i="9" s="1"/>
  <c r="P88" i="9" a="1"/>
  <c r="P88" i="9" s="1"/>
  <c r="H88" i="9" a="1"/>
  <c r="H88" i="9" s="1"/>
  <c r="U87" i="9" a="1"/>
  <c r="U87" i="9" s="1"/>
  <c r="M87" i="9" a="1"/>
  <c r="M87" i="9" s="1"/>
  <c r="E87" i="9" a="1"/>
  <c r="E87" i="9" s="1"/>
  <c r="R86" i="9" a="1"/>
  <c r="R86" i="9" s="1"/>
  <c r="J86" i="9" a="1"/>
  <c r="J86" i="9" s="1"/>
  <c r="W85" i="9" a="1"/>
  <c r="W85" i="9" s="1"/>
  <c r="O85" i="9" a="1"/>
  <c r="O85" i="9" s="1"/>
  <c r="G85" i="9" a="1"/>
  <c r="G85" i="9" s="1"/>
  <c r="T84" i="9" a="1"/>
  <c r="T84" i="9" s="1"/>
  <c r="L84" i="9" a="1"/>
  <c r="L84" i="9" s="1"/>
  <c r="Y83" i="9" a="1"/>
  <c r="Y83" i="9" s="1"/>
  <c r="Q83" i="9" a="1"/>
  <c r="Q83" i="9" s="1"/>
  <c r="I83" i="9" a="1"/>
  <c r="I83" i="9" s="1"/>
  <c r="V82" i="9" a="1"/>
  <c r="V82" i="9" s="1"/>
  <c r="N82" i="9" a="1"/>
  <c r="N82" i="9" s="1"/>
  <c r="F82" i="9" a="1"/>
  <c r="F82" i="9" s="1"/>
  <c r="S81" i="9" a="1"/>
  <c r="S81" i="9" s="1"/>
  <c r="K81" i="9" a="1"/>
  <c r="K81" i="9" s="1"/>
  <c r="Y85" i="9" a="1"/>
  <c r="Y85" i="9" s="1"/>
  <c r="R83" i="9" a="1"/>
  <c r="R83" i="9" s="1"/>
  <c r="J83" i="9" a="1"/>
  <c r="J83" i="9" s="1"/>
  <c r="O82" i="9" a="1"/>
  <c r="O82" i="9" s="1"/>
  <c r="G82" i="9" a="1"/>
  <c r="G82" i="9" s="1"/>
  <c r="W88" i="9" a="1"/>
  <c r="W88" i="9" s="1"/>
  <c r="O88" i="9" a="1"/>
  <c r="O88" i="9" s="1"/>
  <c r="G88" i="9" a="1"/>
  <c r="G88" i="9" s="1"/>
  <c r="T87" i="9" a="1"/>
  <c r="T87" i="9" s="1"/>
  <c r="L87" i="9" a="1"/>
  <c r="L87" i="9" s="1"/>
  <c r="Y86" i="9" a="1"/>
  <c r="Y86" i="9" s="1"/>
  <c r="Q86" i="9" a="1"/>
  <c r="Q86" i="9" s="1"/>
  <c r="I86" i="9" a="1"/>
  <c r="I86" i="9" s="1"/>
  <c r="V85" i="9" a="1"/>
  <c r="V85" i="9" s="1"/>
  <c r="N85" i="9" a="1"/>
  <c r="N85" i="9" s="1"/>
  <c r="F85" i="9" a="1"/>
  <c r="F85" i="9" s="1"/>
  <c r="S84" i="9" a="1"/>
  <c r="S84" i="9" s="1"/>
  <c r="K84" i="9" a="1"/>
  <c r="K84" i="9" s="1"/>
  <c r="X83" i="9" a="1"/>
  <c r="X83" i="9" s="1"/>
  <c r="P83" i="9" a="1"/>
  <c r="P83" i="9" s="1"/>
  <c r="H83" i="9" a="1"/>
  <c r="H83" i="9" s="1"/>
  <c r="U82" i="9" a="1"/>
  <c r="U82" i="9" s="1"/>
  <c r="M82" i="9" a="1"/>
  <c r="M82" i="9" s="1"/>
  <c r="E82" i="9" a="1"/>
  <c r="E82" i="9" s="1"/>
  <c r="R81" i="9" a="1"/>
  <c r="R81" i="9" s="1"/>
  <c r="J81" i="9" a="1"/>
  <c r="J81" i="9" s="1"/>
  <c r="I85" i="9" a="1"/>
  <c r="I85" i="9" s="1"/>
  <c r="X85" i="9" a="1"/>
  <c r="X85" i="9" s="1"/>
  <c r="V88" i="9" a="1"/>
  <c r="V88" i="9" s="1"/>
  <c r="N88" i="9" a="1"/>
  <c r="N88" i="9" s="1"/>
  <c r="F88" i="9" a="1"/>
  <c r="F88" i="9" s="1"/>
  <c r="S87" i="9" a="1"/>
  <c r="S87" i="9" s="1"/>
  <c r="K87" i="9" a="1"/>
  <c r="K87" i="9" s="1"/>
  <c r="X86" i="9" a="1"/>
  <c r="X86" i="9" s="1"/>
  <c r="P86" i="9" a="1"/>
  <c r="P86" i="9" s="1"/>
  <c r="H86" i="9" a="1"/>
  <c r="H86" i="9" s="1"/>
  <c r="U85" i="9" a="1"/>
  <c r="U85" i="9" s="1"/>
  <c r="M85" i="9" a="1"/>
  <c r="M85" i="9" s="1"/>
  <c r="E85" i="9" a="1"/>
  <c r="E85" i="9" s="1"/>
  <c r="R84" i="9" a="1"/>
  <c r="R84" i="9" s="1"/>
  <c r="J84" i="9" a="1"/>
  <c r="J84" i="9" s="1"/>
  <c r="W83" i="9" a="1"/>
  <c r="W83" i="9" s="1"/>
  <c r="O83" i="9" a="1"/>
  <c r="O83" i="9" s="1"/>
  <c r="G83" i="9" a="1"/>
  <c r="G83" i="9" s="1"/>
  <c r="T82" i="9" a="1"/>
  <c r="T82" i="9" s="1"/>
  <c r="L82" i="9" a="1"/>
  <c r="L82" i="9" s="1"/>
  <c r="Y81" i="9" a="1"/>
  <c r="Y81" i="9" s="1"/>
  <c r="Q81" i="9" a="1"/>
  <c r="Q81" i="9" s="1"/>
  <c r="I81" i="9" a="1"/>
  <c r="I81" i="9" s="1"/>
  <c r="Q85" i="9" a="1"/>
  <c r="Q85" i="9" s="1"/>
  <c r="S83" i="9" a="1"/>
  <c r="S83" i="9" s="1"/>
  <c r="U88" i="9" a="1"/>
  <c r="U88" i="9" s="1"/>
  <c r="M88" i="9" a="1"/>
  <c r="M88" i="9" s="1"/>
  <c r="E88" i="9" a="1"/>
  <c r="E88" i="9" s="1"/>
  <c r="W86" i="9" a="1"/>
  <c r="W86" i="9" s="1"/>
  <c r="O86" i="9" a="1"/>
  <c r="O86" i="9" s="1"/>
  <c r="G86" i="9" a="1"/>
  <c r="G86" i="9" s="1"/>
  <c r="T85" i="9" a="1"/>
  <c r="T85" i="9" s="1"/>
  <c r="L85" i="9" a="1"/>
  <c r="L85" i="9" s="1"/>
  <c r="Y84" i="9" a="1"/>
  <c r="Y84" i="9" s="1"/>
  <c r="Q84" i="9" a="1"/>
  <c r="Q84" i="9" s="1"/>
  <c r="I84" i="9" a="1"/>
  <c r="I84" i="9" s="1"/>
  <c r="V83" i="9" a="1"/>
  <c r="V83" i="9" s="1"/>
  <c r="N83" i="9" a="1"/>
  <c r="N83" i="9" s="1"/>
  <c r="F83" i="9" a="1"/>
  <c r="F83" i="9" s="1"/>
  <c r="S82" i="9" a="1"/>
  <c r="S82" i="9" s="1"/>
  <c r="K82" i="9" a="1"/>
  <c r="K82" i="9" s="1"/>
  <c r="P85" i="9" a="1"/>
  <c r="P85" i="9" s="1"/>
  <c r="W82" i="9" a="1"/>
  <c r="W82" i="9" s="1"/>
  <c r="T88" i="9" a="1"/>
  <c r="T88" i="9" s="1"/>
  <c r="L88" i="9" a="1"/>
  <c r="L88" i="9" s="1"/>
  <c r="Y87" i="9" a="1"/>
  <c r="Y87" i="9" s="1"/>
  <c r="Q87" i="9" a="1"/>
  <c r="Q87" i="9" s="1"/>
  <c r="V86" i="9" a="1"/>
  <c r="V86" i="9" s="1"/>
  <c r="N86" i="9" a="1"/>
  <c r="N86" i="9" s="1"/>
  <c r="F86" i="9" a="1"/>
  <c r="F86" i="9" s="1"/>
  <c r="S85" i="9" a="1"/>
  <c r="S85" i="9" s="1"/>
  <c r="K85" i="9" a="1"/>
  <c r="K85" i="9" s="1"/>
  <c r="X84" i="9" a="1"/>
  <c r="X84" i="9" s="1"/>
  <c r="P84" i="9" a="1"/>
  <c r="P84" i="9" s="1"/>
  <c r="H84" i="9" a="1"/>
  <c r="H84" i="9" s="1"/>
  <c r="U83" i="9" a="1"/>
  <c r="U83" i="9" s="1"/>
  <c r="M83" i="9" a="1"/>
  <c r="M83" i="9" s="1"/>
  <c r="E83" i="9" a="1"/>
  <c r="E83" i="9" s="1"/>
  <c r="R82" i="9" a="1"/>
  <c r="R82" i="9" s="1"/>
  <c r="J82" i="9" a="1"/>
  <c r="J82" i="9" s="1"/>
  <c r="W81" i="9" a="1"/>
  <c r="W81" i="9" s="1"/>
  <c r="O81" i="9" a="1"/>
  <c r="O81" i="9" s="1"/>
  <c r="S88" i="9" a="1"/>
  <c r="S88" i="9" s="1"/>
  <c r="U86" i="9" a="1"/>
  <c r="U86" i="9" s="1"/>
  <c r="M86" i="9" a="1"/>
  <c r="M86" i="9" s="1"/>
  <c r="R85" i="9" a="1"/>
  <c r="R85" i="9" s="1"/>
  <c r="W84" i="9" a="1"/>
  <c r="W84" i="9" s="1"/>
  <c r="O84" i="9" a="1"/>
  <c r="O84" i="9" s="1"/>
  <c r="T83" i="9" a="1"/>
  <c r="T83" i="9" s="1"/>
  <c r="Y82" i="9" a="1"/>
  <c r="Y82" i="9" s="1"/>
  <c r="Q82" i="9" a="1"/>
  <c r="Q82" i="9" s="1"/>
  <c r="P78" i="9" a="1"/>
  <c r="P78" i="9" s="1"/>
  <c r="E78" i="9" a="1"/>
  <c r="E78" i="9" s="1"/>
  <c r="J78" i="9" a="1"/>
  <c r="J78" i="9" s="1"/>
  <c r="U78" i="9" a="1"/>
  <c r="U78" i="9" s="1"/>
  <c r="O78" i="9" a="1"/>
  <c r="O78" i="9" s="1"/>
  <c r="T78" i="9" a="1"/>
  <c r="T78" i="9" s="1"/>
  <c r="Y78" i="9" a="1"/>
  <c r="Y78" i="9" s="1"/>
  <c r="S78" i="9" a="1"/>
  <c r="S78" i="9" s="1"/>
  <c r="N78" i="9" a="1"/>
  <c r="N78" i="9" s="1"/>
  <c r="I78" i="9" a="1"/>
  <c r="I78" i="9" s="1"/>
  <c r="X78" i="9" a="1"/>
  <c r="X78" i="9" s="1"/>
  <c r="H78" i="9" a="1"/>
  <c r="H78" i="9" s="1"/>
  <c r="W78" i="9" a="1"/>
  <c r="W78" i="9" s="1"/>
  <c r="R78" i="9" a="1"/>
  <c r="R78" i="9" s="1"/>
  <c r="M78" i="9" a="1"/>
  <c r="M78" i="9" s="1"/>
  <c r="G78" i="9" a="1"/>
  <c r="G78" i="9" s="1"/>
  <c r="L78" i="9" a="1"/>
  <c r="L78" i="9" s="1"/>
  <c r="V78" i="9" a="1"/>
  <c r="V78" i="9" s="1"/>
  <c r="Q78" i="9" a="1"/>
  <c r="Q78" i="9" s="1"/>
  <c r="K78" i="9" a="1"/>
  <c r="K78" i="9" s="1"/>
  <c r="F78" i="9" a="1"/>
  <c r="F78" i="9" s="1"/>
  <c r="T39" i="11" l="1"/>
  <c r="M39" i="11"/>
  <c r="P39" i="11"/>
  <c r="O39" i="11"/>
  <c r="O41" i="11" s="1"/>
  <c r="AE84" i="11"/>
  <c r="AE67" i="11"/>
  <c r="U40" i="11"/>
  <c r="U41" i="11"/>
  <c r="P41" i="11"/>
  <c r="P40" i="11"/>
  <c r="K40" i="11"/>
  <c r="K41" i="11"/>
  <c r="S40" i="11"/>
  <c r="S41" i="11"/>
  <c r="T40" i="11"/>
  <c r="T41" i="11"/>
  <c r="L41" i="11"/>
  <c r="L40" i="11"/>
  <c r="R40" i="11"/>
  <c r="R41" i="11"/>
  <c r="R43" i="11" s="1"/>
  <c r="M40" i="11"/>
  <c r="M41" i="11"/>
  <c r="N41" i="11"/>
  <c r="N40" i="11"/>
  <c r="J52" i="11"/>
  <c r="Q39" i="11"/>
  <c r="J41" i="11"/>
  <c r="J43" i="11" s="1"/>
  <c r="J27" i="11"/>
  <c r="O54" i="1"/>
  <c r="D100" i="9" s="1"/>
  <c r="O55" i="1"/>
  <c r="D101" i="9" s="1"/>
  <c r="P55" i="1"/>
  <c r="O56" i="1"/>
  <c r="D102" i="9" s="1"/>
  <c r="O58" i="1"/>
  <c r="D104" i="9" s="1"/>
  <c r="O59" i="1"/>
  <c r="D105" i="9" s="1"/>
  <c r="O60" i="1"/>
  <c r="D106" i="9" s="1"/>
  <c r="O61" i="1"/>
  <c r="D107" i="9" s="1"/>
  <c r="O62" i="1"/>
  <c r="D108" i="9" s="1"/>
  <c r="O63" i="1"/>
  <c r="D109" i="9" s="1"/>
  <c r="O49" i="1"/>
  <c r="D95" i="9" s="1"/>
  <c r="O50" i="1"/>
  <c r="D96" i="9" s="1"/>
  <c r="O51" i="1"/>
  <c r="D97" i="9" s="1"/>
  <c r="N54" i="1"/>
  <c r="N55" i="1"/>
  <c r="N56" i="1"/>
  <c r="N58" i="1"/>
  <c r="N59" i="1"/>
  <c r="N60" i="1"/>
  <c r="N61" i="1"/>
  <c r="N62" i="1"/>
  <c r="N63" i="1"/>
  <c r="N49" i="1"/>
  <c r="N50" i="1"/>
  <c r="N51" i="1"/>
  <c r="R48" i="1"/>
  <c r="O53" i="1"/>
  <c r="D99" i="9" s="1"/>
  <c r="N53" i="1"/>
  <c r="K57" i="1"/>
  <c r="O40" i="11" l="1"/>
  <c r="T43" i="11"/>
  <c r="T44" i="11" s="1"/>
  <c r="K42" i="11"/>
  <c r="K52" i="11"/>
  <c r="N42" i="11"/>
  <c r="N52" i="11"/>
  <c r="R42" i="11"/>
  <c r="R45" i="11" s="1"/>
  <c r="R52" i="11"/>
  <c r="T42" i="11"/>
  <c r="T52" i="11"/>
  <c r="P42" i="11"/>
  <c r="P52" i="11"/>
  <c r="N43" i="11"/>
  <c r="N44" i="11" s="1"/>
  <c r="L42" i="11"/>
  <c r="L52" i="11"/>
  <c r="P43" i="11"/>
  <c r="P44" i="11" s="1"/>
  <c r="L43" i="11"/>
  <c r="L44" i="11" s="1"/>
  <c r="S43" i="11"/>
  <c r="S44" i="11" s="1"/>
  <c r="R44" i="11"/>
  <c r="M43" i="11"/>
  <c r="M44" i="11" s="1"/>
  <c r="U43" i="11"/>
  <c r="U44" i="11" s="1"/>
  <c r="Q40" i="11"/>
  <c r="Q41" i="11"/>
  <c r="O42" i="11"/>
  <c r="O52" i="11"/>
  <c r="S42" i="11"/>
  <c r="S52" i="11"/>
  <c r="M42" i="11"/>
  <c r="M52" i="11"/>
  <c r="O43" i="11"/>
  <c r="O44" i="11" s="1"/>
  <c r="K43" i="11"/>
  <c r="K44" i="11" s="1"/>
  <c r="U42" i="11"/>
  <c r="U52" i="11"/>
  <c r="C109" i="9"/>
  <c r="C108" i="9"/>
  <c r="C99" i="9"/>
  <c r="C107" i="9"/>
  <c r="C106" i="9"/>
  <c r="C105" i="9"/>
  <c r="C100" i="9"/>
  <c r="C104" i="9"/>
  <c r="C97" i="9"/>
  <c r="C102" i="9"/>
  <c r="C96" i="9"/>
  <c r="C95" i="9"/>
  <c r="C101" i="9"/>
  <c r="A21" i="8"/>
  <c r="A21" i="7"/>
  <c r="A20" i="8"/>
  <c r="A20" i="7"/>
  <c r="A19" i="8"/>
  <c r="A19" i="7"/>
  <c r="A13" i="8"/>
  <c r="A13" i="7"/>
  <c r="A18" i="8"/>
  <c r="A18" i="7"/>
  <c r="A10" i="8"/>
  <c r="A10" i="7"/>
  <c r="A17" i="8"/>
  <c r="A17" i="7"/>
  <c r="A9" i="8"/>
  <c r="A9" i="7"/>
  <c r="A15" i="8"/>
  <c r="A15" i="7"/>
  <c r="A22" i="8"/>
  <c r="A22" i="7"/>
  <c r="A12" i="8"/>
  <c r="A12" i="7"/>
  <c r="A8" i="7"/>
  <c r="A8" i="8"/>
  <c r="A14" i="8"/>
  <c r="A14" i="7"/>
  <c r="A22" i="6"/>
  <c r="A13" i="6"/>
  <c r="A12" i="6"/>
  <c r="A20" i="6"/>
  <c r="A19" i="6"/>
  <c r="A21" i="6"/>
  <c r="A18" i="6"/>
  <c r="A17" i="6"/>
  <c r="A10" i="6"/>
  <c r="A9" i="6"/>
  <c r="A15" i="6"/>
  <c r="A8" i="6"/>
  <c r="A14" i="6"/>
  <c r="N69" i="1"/>
  <c r="P68" i="1"/>
  <c r="N70" i="1"/>
  <c r="N71" i="1"/>
  <c r="N68" i="1"/>
  <c r="N67" i="1"/>
  <c r="N66" i="1"/>
  <c r="J101" i="1"/>
  <c r="P48" i="1" s="1"/>
  <c r="K101" i="1"/>
  <c r="Q48" i="1" s="1"/>
  <c r="D17" i="1"/>
  <c r="C17" i="1"/>
  <c r="T45" i="11" l="1"/>
  <c r="M45" i="11"/>
  <c r="M46" i="11" s="1"/>
  <c r="N45" i="11"/>
  <c r="N47" i="11" s="1"/>
  <c r="N50" i="11" s="1"/>
  <c r="S45" i="11"/>
  <c r="M47" i="11"/>
  <c r="M50" i="11" s="1"/>
  <c r="Q42" i="11"/>
  <c r="Q52" i="11"/>
  <c r="M49" i="11"/>
  <c r="O45" i="11"/>
  <c r="P45" i="11"/>
  <c r="K45" i="11"/>
  <c r="T47" i="11"/>
  <c r="T50" i="11" s="1"/>
  <c r="Q43" i="11"/>
  <c r="Q44" i="11" s="1"/>
  <c r="L45" i="11"/>
  <c r="U45" i="11"/>
  <c r="U47" i="11" s="1"/>
  <c r="U50" i="11" s="1"/>
  <c r="R46" i="11"/>
  <c r="R49" i="11"/>
  <c r="R47" i="11"/>
  <c r="R50" i="11" s="1"/>
  <c r="P82" i="1"/>
  <c r="P73" i="1"/>
  <c r="P65" i="1"/>
  <c r="Q82" i="1"/>
  <c r="Q73" i="1"/>
  <c r="Q65" i="1"/>
  <c r="C116" i="9"/>
  <c r="J57" i="9" a="1"/>
  <c r="J57" i="9" s="1"/>
  <c r="U58" i="9" a="1"/>
  <c r="U58" i="9" s="1"/>
  <c r="J58" i="9" a="1"/>
  <c r="J58" i="9" s="1"/>
  <c r="O58" i="9" a="1"/>
  <c r="O58" i="9" s="1"/>
  <c r="V57" i="9" a="1"/>
  <c r="V57" i="9" s="1"/>
  <c r="T57" i="9" a="1"/>
  <c r="T57" i="9" s="1"/>
  <c r="F55" i="9" a="1"/>
  <c r="F55" i="9" s="1"/>
  <c r="O54" i="9" a="1"/>
  <c r="O54" i="9" s="1"/>
  <c r="N59" i="9" a="1"/>
  <c r="N59" i="9" s="1"/>
  <c r="L56" i="9" a="1"/>
  <c r="L56" i="9" s="1"/>
  <c r="Q80" i="9" a="1"/>
  <c r="Q80" i="9" s="1"/>
  <c r="Y59" i="9" a="1"/>
  <c r="Y59" i="9" s="1"/>
  <c r="U54" i="9" a="1"/>
  <c r="U54" i="9" s="1"/>
  <c r="J56" i="9" a="1"/>
  <c r="J56" i="9" s="1"/>
  <c r="V79" i="9" a="1"/>
  <c r="V79" i="9" s="1"/>
  <c r="W59" i="9" a="1"/>
  <c r="W59" i="9" s="1"/>
  <c r="G55" i="9" a="1"/>
  <c r="G55" i="9" s="1"/>
  <c r="U59" i="9" a="1"/>
  <c r="U59" i="9" s="1"/>
  <c r="Q54" i="9" a="1"/>
  <c r="Q54" i="9" s="1"/>
  <c r="F56" i="9" a="1"/>
  <c r="F56" i="9" s="1"/>
  <c r="L80" i="9" a="1"/>
  <c r="L80" i="9" s="1"/>
  <c r="F79" i="9" a="1"/>
  <c r="F79" i="9" s="1"/>
  <c r="X56" i="9" a="1"/>
  <c r="X56" i="9" s="1"/>
  <c r="M56" i="9" a="1"/>
  <c r="M56" i="9" s="1"/>
  <c r="G58" i="9" a="1"/>
  <c r="G58" i="9" s="1"/>
  <c r="M58" i="9" a="1"/>
  <c r="M58" i="9" s="1"/>
  <c r="Y58" i="9" a="1"/>
  <c r="Y58" i="9" s="1"/>
  <c r="Y57" i="9" a="1"/>
  <c r="Y57" i="9" s="1"/>
  <c r="N57" i="9" a="1"/>
  <c r="N57" i="9" s="1"/>
  <c r="R57" i="9" a="1"/>
  <c r="R57" i="9" s="1"/>
  <c r="V56" i="9" a="1"/>
  <c r="V56" i="9" s="1"/>
  <c r="S59" i="9" a="1"/>
  <c r="S59" i="9" s="1"/>
  <c r="H54" i="9" a="1"/>
  <c r="H54" i="9" s="1"/>
  <c r="U79" i="9" a="1"/>
  <c r="U79" i="9" s="1"/>
  <c r="Q55" i="9" a="1"/>
  <c r="Q55" i="9" s="1"/>
  <c r="J80" i="9" a="1"/>
  <c r="J80" i="9" s="1"/>
  <c r="Q59" i="9" a="1"/>
  <c r="Q59" i="9" s="1"/>
  <c r="M54" i="9" a="1"/>
  <c r="M54" i="9" s="1"/>
  <c r="E54" i="9" a="1"/>
  <c r="E54" i="9" s="1"/>
  <c r="W55" i="9" a="1"/>
  <c r="W55" i="9" s="1"/>
  <c r="P79" i="9" a="1"/>
  <c r="P79" i="9" s="1"/>
  <c r="O59" i="9" a="1"/>
  <c r="O59" i="9" s="1"/>
  <c r="S54" i="9" a="1"/>
  <c r="S54" i="9" s="1"/>
  <c r="M59" i="9" a="1"/>
  <c r="M59" i="9" s="1"/>
  <c r="J54" i="9" a="1"/>
  <c r="J54" i="9" s="1"/>
  <c r="S55" i="9" a="1"/>
  <c r="S55" i="9" s="1"/>
  <c r="S79" i="9" a="1"/>
  <c r="S79" i="9" s="1"/>
  <c r="W80" i="9" a="1"/>
  <c r="W80" i="9" s="1"/>
  <c r="I55" i="9" a="1"/>
  <c r="I55" i="9" s="1"/>
  <c r="V58" i="9" a="1"/>
  <c r="V58" i="9" s="1"/>
  <c r="T58" i="9" a="1"/>
  <c r="T58" i="9" s="1"/>
  <c r="Q58" i="9" a="1"/>
  <c r="Q58" i="9" s="1"/>
  <c r="Q57" i="9" a="1"/>
  <c r="Q57" i="9" s="1"/>
  <c r="F57" i="9" a="1"/>
  <c r="F57" i="9" s="1"/>
  <c r="R54" i="9" a="1"/>
  <c r="R54" i="9" s="1"/>
  <c r="O56" i="9" a="1"/>
  <c r="O56" i="9" s="1"/>
  <c r="V59" i="9" a="1"/>
  <c r="V59" i="9" s="1"/>
  <c r="L59" i="9" a="1"/>
  <c r="L59" i="9" s="1"/>
  <c r="X80" i="9" a="1"/>
  <c r="X80" i="9" s="1"/>
  <c r="J55" i="9" a="1"/>
  <c r="J55" i="9" s="1"/>
  <c r="X79" i="9" a="1"/>
  <c r="X79" i="9" s="1"/>
  <c r="J59" i="9" a="1"/>
  <c r="J59" i="9" s="1"/>
  <c r="F54" i="9" a="1"/>
  <c r="F54" i="9" s="1"/>
  <c r="O55" i="9" a="1"/>
  <c r="O55" i="9" s="1"/>
  <c r="H59" i="9" a="1"/>
  <c r="H59" i="9" s="1"/>
  <c r="L54" i="9" a="1"/>
  <c r="L54" i="9" s="1"/>
  <c r="F59" i="9" a="1"/>
  <c r="F59" i="9" s="1"/>
  <c r="S80" i="9" a="1"/>
  <c r="S80" i="9" s="1"/>
  <c r="L55" i="9" a="1"/>
  <c r="L55" i="9" s="1"/>
  <c r="M79" i="9" a="1"/>
  <c r="M79" i="9" s="1"/>
  <c r="M55" i="9" a="1"/>
  <c r="M55" i="9" s="1"/>
  <c r="J79" i="9" a="1"/>
  <c r="J79" i="9" s="1"/>
  <c r="I79" i="9" a="1"/>
  <c r="I79" i="9" s="1"/>
  <c r="R80" i="9" a="1"/>
  <c r="R80" i="9" s="1"/>
  <c r="N58" i="9" a="1"/>
  <c r="N58" i="9" s="1"/>
  <c r="L58" i="9" a="1"/>
  <c r="L58" i="9" s="1"/>
  <c r="I58" i="9" a="1"/>
  <c r="I58" i="9" s="1"/>
  <c r="I57" i="9" a="1"/>
  <c r="I57" i="9" s="1"/>
  <c r="U57" i="9" a="1"/>
  <c r="U57" i="9" s="1"/>
  <c r="N79" i="9" a="1"/>
  <c r="N79" i="9" s="1"/>
  <c r="G80" i="9" a="1"/>
  <c r="G80" i="9" s="1"/>
  <c r="S56" i="9" a="1"/>
  <c r="S56" i="9" s="1"/>
  <c r="K80" i="9" a="1"/>
  <c r="K80" i="9" s="1"/>
  <c r="V54" i="9" a="1"/>
  <c r="V54" i="9" s="1"/>
  <c r="K79" i="9" a="1"/>
  <c r="K79" i="9" s="1"/>
  <c r="Q56" i="9" a="1"/>
  <c r="Q56" i="9" s="1"/>
  <c r="V80" i="9" a="1"/>
  <c r="V80" i="9" s="1"/>
  <c r="H55" i="9" a="1"/>
  <c r="H55" i="9" s="1"/>
  <c r="W56" i="9" a="1"/>
  <c r="W56" i="9" s="1"/>
  <c r="U80" i="9" a="1"/>
  <c r="U80" i="9" s="1"/>
  <c r="H79" i="9" a="1"/>
  <c r="H79" i="9" s="1"/>
  <c r="U56" i="9" a="1"/>
  <c r="U56" i="9" s="1"/>
  <c r="M80" i="9" a="1"/>
  <c r="M80" i="9" s="1"/>
  <c r="X54" i="9" a="1"/>
  <c r="X54" i="9" s="1"/>
  <c r="F58" i="9" a="1"/>
  <c r="F58" i="9" s="1"/>
  <c r="S58" i="9" a="1"/>
  <c r="S58" i="9" s="1"/>
  <c r="P58" i="9" a="1"/>
  <c r="P58" i="9" s="1"/>
  <c r="X57" i="9" a="1"/>
  <c r="X57" i="9" s="1"/>
  <c r="M57" i="9" a="1"/>
  <c r="M57" i="9" s="1"/>
  <c r="Y55" i="9" a="1"/>
  <c r="Y55" i="9" s="1"/>
  <c r="Y79" i="9" a="1"/>
  <c r="Y79" i="9" s="1"/>
  <c r="R59" i="9" a="1"/>
  <c r="R59" i="9" s="1"/>
  <c r="N54" i="9" a="1"/>
  <c r="N54" i="9" s="1"/>
  <c r="K56" i="9" a="1"/>
  <c r="K56" i="9" s="1"/>
  <c r="P80" i="9" a="1"/>
  <c r="P80" i="9" s="1"/>
  <c r="X59" i="9" a="1"/>
  <c r="X59" i="9" s="1"/>
  <c r="T54" i="9" a="1"/>
  <c r="T54" i="9" s="1"/>
  <c r="T80" i="9" a="1"/>
  <c r="T80" i="9" s="1"/>
  <c r="P56" i="9" a="1"/>
  <c r="P56" i="9" s="1"/>
  <c r="N80" i="9" a="1"/>
  <c r="N80" i="9" s="1"/>
  <c r="N56" i="9" a="1"/>
  <c r="N56" i="9" s="1"/>
  <c r="F80" i="9" a="1"/>
  <c r="F80" i="9" s="1"/>
  <c r="P54" i="9" a="1"/>
  <c r="P54" i="9" s="1"/>
  <c r="W58" i="9" a="1"/>
  <c r="W58" i="9" s="1"/>
  <c r="E57" i="9" a="1"/>
  <c r="E57" i="9" s="1"/>
  <c r="R56" i="9" a="1"/>
  <c r="R56" i="9" s="1"/>
  <c r="N55" i="9" a="1"/>
  <c r="N55" i="9" s="1"/>
  <c r="O57" i="9" a="1"/>
  <c r="O57" i="9" s="1"/>
  <c r="K58" i="9" a="1"/>
  <c r="K58" i="9" s="1"/>
  <c r="H58" i="9" a="1"/>
  <c r="H58" i="9" s="1"/>
  <c r="P57" i="9" a="1"/>
  <c r="P57" i="9" s="1"/>
  <c r="L57" i="9" a="1"/>
  <c r="L57" i="9" s="1"/>
  <c r="K54" i="9" a="1"/>
  <c r="K54" i="9" s="1"/>
  <c r="H56" i="9" a="1"/>
  <c r="H56" i="9" s="1"/>
  <c r="E59" i="9" a="1"/>
  <c r="E59" i="9" s="1"/>
  <c r="R55" i="9" a="1"/>
  <c r="R55" i="9" s="1"/>
  <c r="R79" i="9" a="1"/>
  <c r="R79" i="9" s="1"/>
  <c r="K59" i="9" a="1"/>
  <c r="K59" i="9" s="1"/>
  <c r="G54" i="9" a="1"/>
  <c r="G54" i="9" s="1"/>
  <c r="G59" i="9" a="1"/>
  <c r="G59" i="9" s="1"/>
  <c r="X55" i="9" a="1"/>
  <c r="X55" i="9" s="1"/>
  <c r="W79" i="9" a="1"/>
  <c r="W79" i="9" s="1"/>
  <c r="P59" i="9" a="1"/>
  <c r="P59" i="9" s="1"/>
  <c r="E79" i="9" a="1"/>
  <c r="E79" i="9" s="1"/>
  <c r="I56" i="9" a="1"/>
  <c r="I56" i="9" s="1"/>
  <c r="H80" i="9" a="1"/>
  <c r="H80" i="9" s="1"/>
  <c r="G56" i="9" a="1"/>
  <c r="G56" i="9" s="1"/>
  <c r="T79" i="9" a="1"/>
  <c r="T79" i="9" s="1"/>
  <c r="T59" i="9" a="1"/>
  <c r="T59" i="9" s="1"/>
  <c r="I54" i="9" a="1"/>
  <c r="I54" i="9" s="1"/>
  <c r="R58" i="9" a="1"/>
  <c r="R58" i="9" s="1"/>
  <c r="W54" i="9" a="1"/>
  <c r="W54" i="9" s="1"/>
  <c r="I80" i="9" a="1"/>
  <c r="I80" i="9" s="1"/>
  <c r="Y54" i="9" a="1"/>
  <c r="Y54" i="9" s="1"/>
  <c r="G57" i="9" a="1"/>
  <c r="G57" i="9" s="1"/>
  <c r="E58" i="9" a="1"/>
  <c r="E58" i="9" s="1"/>
  <c r="X58" i="9" a="1"/>
  <c r="X58" i="9" s="1"/>
  <c r="H57" i="9" a="1"/>
  <c r="H57" i="9" s="1"/>
  <c r="S57" i="9" a="1"/>
  <c r="S57" i="9" s="1"/>
  <c r="E55" i="9" a="1"/>
  <c r="E55" i="9" s="1"/>
  <c r="U55" i="9" a="1"/>
  <c r="U55" i="9" s="1"/>
  <c r="K55" i="9" a="1"/>
  <c r="K55" i="9" s="1"/>
  <c r="L79" i="9" a="1"/>
  <c r="L79" i="9" s="1"/>
  <c r="Y56" i="9" a="1"/>
  <c r="Y56" i="9" s="1"/>
  <c r="E80" i="9" a="1"/>
  <c r="E80" i="9" s="1"/>
  <c r="P55" i="9" a="1"/>
  <c r="P55" i="9" s="1"/>
  <c r="Q79" i="9" a="1"/>
  <c r="Q79" i="9" s="1"/>
  <c r="I59" i="9" a="1"/>
  <c r="I59" i="9" s="1"/>
  <c r="O80" i="9" a="1"/>
  <c r="O80" i="9" s="1"/>
  <c r="E56" i="9" a="1"/>
  <c r="E56" i="9" s="1"/>
  <c r="V55" i="9" a="1"/>
  <c r="V55" i="9" s="1"/>
  <c r="O79" i="9" a="1"/>
  <c r="O79" i="9" s="1"/>
  <c r="T55" i="9" a="1"/>
  <c r="T55" i="9" s="1"/>
  <c r="G79" i="9" a="1"/>
  <c r="G79" i="9" s="1"/>
  <c r="T56" i="9" a="1"/>
  <c r="T56" i="9" s="1"/>
  <c r="Y80" i="9" a="1"/>
  <c r="Y80" i="9" s="1"/>
  <c r="W57" i="9" a="1"/>
  <c r="W57" i="9" s="1"/>
  <c r="K57" i="9" a="1"/>
  <c r="K57" i="9" s="1"/>
  <c r="C115" i="9"/>
  <c r="C112" i="9"/>
  <c r="W60" i="9" s="1" a="1"/>
  <c r="W60" i="9" s="1"/>
  <c r="C113" i="9"/>
  <c r="C114" i="9"/>
  <c r="C117" i="9"/>
  <c r="A28" i="8"/>
  <c r="A28" i="7"/>
  <c r="A29" i="7"/>
  <c r="A29" i="8"/>
  <c r="A25" i="8"/>
  <c r="A25" i="7"/>
  <c r="A26" i="7"/>
  <c r="A26" i="8"/>
  <c r="A27" i="8"/>
  <c r="A27" i="7"/>
  <c r="A30" i="7"/>
  <c r="A30" i="8"/>
  <c r="A27" i="6"/>
  <c r="A30" i="6"/>
  <c r="A28" i="6"/>
  <c r="A26" i="6"/>
  <c r="A29" i="6"/>
  <c r="A25" i="6"/>
  <c r="K82" i="1"/>
  <c r="J82" i="1"/>
  <c r="D28" i="2"/>
  <c r="N27" i="2"/>
  <c r="M27" i="2"/>
  <c r="M5" i="2"/>
  <c r="N5" i="2"/>
  <c r="M6" i="2"/>
  <c r="N6" i="2"/>
  <c r="M7" i="2"/>
  <c r="N7" i="2"/>
  <c r="M8" i="2"/>
  <c r="N8" i="2"/>
  <c r="N25" i="2" s="1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M21" i="2"/>
  <c r="N21" i="2"/>
  <c r="M22" i="2"/>
  <c r="N22" i="2"/>
  <c r="M23" i="2"/>
  <c r="N23" i="2"/>
  <c r="M24" i="2"/>
  <c r="N24" i="2"/>
  <c r="N4" i="2"/>
  <c r="M4" i="2"/>
  <c r="D25" i="2"/>
  <c r="D26" i="2" s="1"/>
  <c r="T46" i="11" l="1"/>
  <c r="T49" i="11"/>
  <c r="K46" i="11"/>
  <c r="K49" i="11"/>
  <c r="R48" i="11"/>
  <c r="R51" i="11"/>
  <c r="R68" i="11"/>
  <c r="P49" i="11"/>
  <c r="P46" i="11"/>
  <c r="Q45" i="11"/>
  <c r="U46" i="11"/>
  <c r="U49" i="11"/>
  <c r="O47" i="11"/>
  <c r="O50" i="11" s="1"/>
  <c r="O46" i="11"/>
  <c r="O49" i="11"/>
  <c r="L46" i="11"/>
  <c r="L49" i="11"/>
  <c r="P47" i="11"/>
  <c r="P50" i="11" s="1"/>
  <c r="M48" i="11"/>
  <c r="M51" i="11"/>
  <c r="M68" i="11"/>
  <c r="S46" i="11"/>
  <c r="S49" i="11"/>
  <c r="L47" i="11"/>
  <c r="L50" i="11" s="1"/>
  <c r="K47" i="11"/>
  <c r="K50" i="11" s="1"/>
  <c r="N46" i="11"/>
  <c r="N49" i="11"/>
  <c r="S47" i="11"/>
  <c r="S50" i="11" s="1"/>
  <c r="Q75" i="9" a="1"/>
  <c r="Q75" i="9" s="1"/>
  <c r="J75" i="9" a="1"/>
  <c r="J75" i="9" s="1"/>
  <c r="Y75" i="9" a="1"/>
  <c r="Y75" i="9" s="1"/>
  <c r="W75" i="9" a="1"/>
  <c r="W75" i="9" s="1"/>
  <c r="G75" i="9" a="1"/>
  <c r="G75" i="9" s="1"/>
  <c r="U75" i="9" a="1"/>
  <c r="U75" i="9" s="1"/>
  <c r="M75" i="9" a="1"/>
  <c r="M75" i="9" s="1"/>
  <c r="E75" i="9" a="1"/>
  <c r="E75" i="9" s="1"/>
  <c r="N75" i="9" a="1"/>
  <c r="N75" i="9" s="1"/>
  <c r="T75" i="9" a="1"/>
  <c r="T75" i="9" s="1"/>
  <c r="R75" i="9" a="1"/>
  <c r="R75" i="9" s="1"/>
  <c r="H75" i="9" a="1"/>
  <c r="H75" i="9" s="1"/>
  <c r="V75" i="9" a="1"/>
  <c r="V75" i="9" s="1"/>
  <c r="L75" i="9" a="1"/>
  <c r="L75" i="9" s="1"/>
  <c r="P75" i="9" a="1"/>
  <c r="P75" i="9" s="1"/>
  <c r="O75" i="9" a="1"/>
  <c r="O75" i="9" s="1"/>
  <c r="X75" i="9" a="1"/>
  <c r="X75" i="9" s="1"/>
  <c r="S75" i="9" a="1"/>
  <c r="S75" i="9" s="1"/>
  <c r="K75" i="9" a="1"/>
  <c r="K75" i="9" s="1"/>
  <c r="I75" i="9" a="1"/>
  <c r="I75" i="9" s="1"/>
  <c r="F75" i="9" a="1"/>
  <c r="F75" i="9" s="1"/>
  <c r="V63" i="9" a="1"/>
  <c r="V63" i="9" s="1"/>
  <c r="J72" i="9" a="1"/>
  <c r="J72" i="9" s="1"/>
  <c r="L60" i="9" a="1"/>
  <c r="L60" i="9" s="1"/>
  <c r="M60" i="9" a="1"/>
  <c r="M60" i="9" s="1"/>
  <c r="Y63" i="9" a="1"/>
  <c r="Y63" i="9" s="1"/>
  <c r="Q70" i="9" a="1"/>
  <c r="Q70" i="9" s="1"/>
  <c r="N63" i="9" a="1"/>
  <c r="N63" i="9" s="1"/>
  <c r="I67" i="9" a="1"/>
  <c r="I67" i="9" s="1"/>
  <c r="K62" i="9" a="1"/>
  <c r="K62" i="9" s="1"/>
  <c r="W64" i="9" a="1"/>
  <c r="W64" i="9" s="1"/>
  <c r="Q73" i="9" a="1"/>
  <c r="Q73" i="9" s="1"/>
  <c r="N67" i="9" a="1"/>
  <c r="N67" i="9" s="1"/>
  <c r="I70" i="9" a="1"/>
  <c r="I70" i="9" s="1"/>
  <c r="P63" i="9" a="1"/>
  <c r="P63" i="9" s="1"/>
  <c r="N73" i="9" a="1"/>
  <c r="N73" i="9" s="1"/>
  <c r="H61" i="9" a="1"/>
  <c r="H61" i="9" s="1"/>
  <c r="P62" i="9" a="1"/>
  <c r="P62" i="9" s="1"/>
  <c r="L66" i="9" a="1"/>
  <c r="L66" i="9" s="1"/>
  <c r="S71" i="9" a="1"/>
  <c r="S71" i="9" s="1"/>
  <c r="O69" i="9" a="1"/>
  <c r="O69" i="9" s="1"/>
  <c r="X71" i="9" a="1"/>
  <c r="X71" i="9" s="1"/>
  <c r="N61" i="9" a="1"/>
  <c r="N61" i="9" s="1"/>
  <c r="U64" i="9" a="1"/>
  <c r="U64" i="9" s="1"/>
  <c r="T73" i="9" a="1"/>
  <c r="T73" i="9" s="1"/>
  <c r="F70" i="9" a="1"/>
  <c r="F70" i="9" s="1"/>
  <c r="G62" i="9" a="1"/>
  <c r="G62" i="9" s="1"/>
  <c r="O63" i="9" a="1"/>
  <c r="O63" i="9" s="1"/>
  <c r="Y65" i="9" a="1"/>
  <c r="Y65" i="9" s="1"/>
  <c r="K71" i="9" a="1"/>
  <c r="K71" i="9" s="1"/>
  <c r="T68" i="9" a="1"/>
  <c r="T68" i="9" s="1"/>
  <c r="U61" i="9" a="1"/>
  <c r="U61" i="9" s="1"/>
  <c r="Q60" i="9" a="1"/>
  <c r="Q60" i="9" s="1"/>
  <c r="W63" i="9" a="1"/>
  <c r="W63" i="9" s="1"/>
  <c r="R64" i="9" a="1"/>
  <c r="R64" i="9" s="1"/>
  <c r="V72" i="9" a="1"/>
  <c r="V72" i="9" s="1"/>
  <c r="T72" i="9" a="1"/>
  <c r="T72" i="9" s="1"/>
  <c r="X60" i="9" a="1"/>
  <c r="X60" i="9" s="1"/>
  <c r="H64" i="9" a="1"/>
  <c r="H64" i="9" s="1"/>
  <c r="R72" i="9" a="1"/>
  <c r="R72" i="9" s="1"/>
  <c r="M71" i="9" a="1"/>
  <c r="M71" i="9" s="1"/>
  <c r="L61" i="9" a="1"/>
  <c r="L61" i="9" s="1"/>
  <c r="X66" i="9" a="1"/>
  <c r="X66" i="9" s="1"/>
  <c r="N72" i="9" a="1"/>
  <c r="N72" i="9" s="1"/>
  <c r="V70" i="9" a="1"/>
  <c r="V70" i="9" s="1"/>
  <c r="H68" i="9" a="1"/>
  <c r="H68" i="9" s="1"/>
  <c r="U60" i="9" a="1"/>
  <c r="U60" i="9" s="1"/>
  <c r="I62" i="9" a="1"/>
  <c r="I62" i="9" s="1"/>
  <c r="P66" i="9" a="1"/>
  <c r="P66" i="9" s="1"/>
  <c r="F72" i="9" a="1"/>
  <c r="F72" i="9" s="1"/>
  <c r="W69" i="9" a="1"/>
  <c r="W69" i="9" s="1"/>
  <c r="M70" i="9" a="1"/>
  <c r="M70" i="9" s="1"/>
  <c r="E61" i="9" a="1"/>
  <c r="E61" i="9" s="1"/>
  <c r="V64" i="9" a="1"/>
  <c r="V64" i="9" s="1"/>
  <c r="Q69" i="9" a="1"/>
  <c r="Q69" i="9" s="1"/>
  <c r="K68" i="9" a="1"/>
  <c r="K68" i="9" s="1"/>
  <c r="U66" i="9" a="1"/>
  <c r="U66" i="9" s="1"/>
  <c r="S61" i="9" a="1"/>
  <c r="S61" i="9" s="1"/>
  <c r="J66" i="9" a="1"/>
  <c r="J66" i="9" s="1"/>
  <c r="I72" i="9" a="1"/>
  <c r="I72" i="9" s="1"/>
  <c r="E67" i="9" a="1"/>
  <c r="E67" i="9" s="1"/>
  <c r="J64" i="9" a="1"/>
  <c r="J64" i="9" s="1"/>
  <c r="V68" i="9" a="1"/>
  <c r="V68" i="9" s="1"/>
  <c r="S73" i="9" a="1"/>
  <c r="S73" i="9" s="1"/>
  <c r="M62" i="9" a="1"/>
  <c r="M62" i="9" s="1"/>
  <c r="U63" i="9" a="1"/>
  <c r="U63" i="9" s="1"/>
  <c r="U65" i="9" a="1"/>
  <c r="U65" i="9" s="1"/>
  <c r="G71" i="9" a="1"/>
  <c r="G71" i="9" s="1"/>
  <c r="L68" i="9" a="1"/>
  <c r="L68" i="9" s="1"/>
  <c r="T62" i="9" a="1"/>
  <c r="T62" i="9" s="1"/>
  <c r="Q65" i="9" a="1"/>
  <c r="Q65" i="9" s="1"/>
  <c r="X70" i="9" a="1"/>
  <c r="X70" i="9" s="1"/>
  <c r="Y67" i="9" a="1"/>
  <c r="Y67" i="9" s="1"/>
  <c r="R61" i="9" a="1"/>
  <c r="R61" i="9" s="1"/>
  <c r="J61" i="9" a="1"/>
  <c r="J61" i="9" s="1"/>
  <c r="M65" i="9" a="1"/>
  <c r="M65" i="9" s="1"/>
  <c r="P70" i="9" a="1"/>
  <c r="P70" i="9" s="1"/>
  <c r="Q67" i="9" a="1"/>
  <c r="Q67" i="9" s="1"/>
  <c r="E65" i="9" a="1"/>
  <c r="E65" i="9" s="1"/>
  <c r="Y69" i="9" a="1"/>
  <c r="Y69" i="9" s="1"/>
  <c r="R69" i="9" a="1"/>
  <c r="R69" i="9" s="1"/>
  <c r="F65" i="9" a="1"/>
  <c r="F65" i="9" s="1"/>
  <c r="F61" i="9" a="1"/>
  <c r="F61" i="9" s="1"/>
  <c r="S66" i="9" a="1"/>
  <c r="S66" i="9" s="1"/>
  <c r="L67" i="9" a="1"/>
  <c r="L67" i="9" s="1"/>
  <c r="L72" i="9" a="1"/>
  <c r="L72" i="9" s="1"/>
  <c r="I65" i="9" a="1"/>
  <c r="I65" i="9" s="1"/>
  <c r="Q61" i="9" a="1"/>
  <c r="Q61" i="9" s="1"/>
  <c r="R65" i="9" a="1"/>
  <c r="R65" i="9" s="1"/>
  <c r="T70" i="9" a="1"/>
  <c r="T70" i="9" s="1"/>
  <c r="S70" i="9" a="1"/>
  <c r="S70" i="9" s="1"/>
  <c r="W72" i="9" a="1"/>
  <c r="W72" i="9" s="1"/>
  <c r="Y61" i="9" a="1"/>
  <c r="Y61" i="9" s="1"/>
  <c r="K66" i="9" a="1"/>
  <c r="K66" i="9" s="1"/>
  <c r="M68" i="9" a="1"/>
  <c r="M68" i="9" s="1"/>
  <c r="Y71" i="9" a="1"/>
  <c r="Y71" i="9" s="1"/>
  <c r="R68" i="9" a="1"/>
  <c r="R68" i="9" s="1"/>
  <c r="V60" i="9" a="1"/>
  <c r="V60" i="9" s="1"/>
  <c r="F64" i="9" a="1"/>
  <c r="F64" i="9" s="1"/>
  <c r="N68" i="9" a="1"/>
  <c r="N68" i="9" s="1"/>
  <c r="O73" i="9" a="1"/>
  <c r="O73" i="9" s="1"/>
  <c r="Q63" i="9" a="1"/>
  <c r="Q63" i="9" s="1"/>
  <c r="N62" i="9" a="1"/>
  <c r="N62" i="9" s="1"/>
  <c r="Y64" i="9" a="1"/>
  <c r="Y64" i="9" s="1"/>
  <c r="W67" i="9" a="1"/>
  <c r="W67" i="9" s="1"/>
  <c r="K73" i="9" a="1"/>
  <c r="K73" i="9" s="1"/>
  <c r="F63" i="9" a="1"/>
  <c r="F63" i="9" s="1"/>
  <c r="G63" i="9" a="1"/>
  <c r="G63" i="9" s="1"/>
  <c r="E64" i="9" a="1"/>
  <c r="E64" i="9" s="1"/>
  <c r="O67" i="9" a="1"/>
  <c r="O67" i="9" s="1"/>
  <c r="G73" i="9" a="1"/>
  <c r="G73" i="9" s="1"/>
  <c r="T66" i="9" a="1"/>
  <c r="T66" i="9" s="1"/>
  <c r="T60" i="9" a="1"/>
  <c r="T60" i="9" s="1"/>
  <c r="W66" i="9" a="1"/>
  <c r="W66" i="9" s="1"/>
  <c r="W68" i="9" a="1"/>
  <c r="W68" i="9" s="1"/>
  <c r="P72" i="9" a="1"/>
  <c r="P72" i="9" s="1"/>
  <c r="V66" i="9" a="1"/>
  <c r="V66" i="9" s="1"/>
  <c r="K61" i="9" a="1"/>
  <c r="K61" i="9" s="1"/>
  <c r="H65" i="9" a="1"/>
  <c r="H65" i="9" s="1"/>
  <c r="X73" i="9" a="1"/>
  <c r="X73" i="9" s="1"/>
  <c r="J70" i="9" a="1"/>
  <c r="J70" i="9" s="1"/>
  <c r="U73" i="9" a="1"/>
  <c r="U73" i="9" s="1"/>
  <c r="P61" i="9" a="1"/>
  <c r="P61" i="9" s="1"/>
  <c r="H62" i="9" a="1"/>
  <c r="H62" i="9" s="1"/>
  <c r="I66" i="9" a="1"/>
  <c r="I66" i="9" s="1"/>
  <c r="S67" i="9" a="1"/>
  <c r="S67" i="9" s="1"/>
  <c r="Y68" i="9" a="1"/>
  <c r="Y68" i="9" s="1"/>
  <c r="L71" i="9" a="1"/>
  <c r="L71" i="9" s="1"/>
  <c r="X61" i="9" a="1"/>
  <c r="X61" i="9" s="1"/>
  <c r="Q64" i="9" a="1"/>
  <c r="Q64" i="9" s="1"/>
  <c r="P73" i="9" a="1"/>
  <c r="P73" i="9" s="1"/>
  <c r="S69" i="9" a="1"/>
  <c r="S69" i="9" s="1"/>
  <c r="L62" i="9" a="1"/>
  <c r="L62" i="9" s="1"/>
  <c r="G66" i="9" a="1"/>
  <c r="G66" i="9" s="1"/>
  <c r="V67" i="9" a="1"/>
  <c r="V67" i="9" s="1"/>
  <c r="U71" i="9" a="1"/>
  <c r="U71" i="9" s="1"/>
  <c r="K65" i="9" a="1"/>
  <c r="K65" i="9" s="1"/>
  <c r="R62" i="9" a="1"/>
  <c r="R62" i="9" s="1"/>
  <c r="X65" i="9" a="1"/>
  <c r="X65" i="9" s="1"/>
  <c r="J67" i="9" a="1"/>
  <c r="J67" i="9" s="1"/>
  <c r="Q71" i="9" a="1"/>
  <c r="Q71" i="9" s="1"/>
  <c r="T64" i="9" a="1"/>
  <c r="T64" i="9" s="1"/>
  <c r="E62" i="9" a="1"/>
  <c r="E62" i="9" s="1"/>
  <c r="G60" i="9" a="1"/>
  <c r="G60" i="9" s="1"/>
  <c r="T65" i="9" a="1"/>
  <c r="T65" i="9" s="1"/>
  <c r="V69" i="9" a="1"/>
  <c r="V69" i="9" s="1"/>
  <c r="I71" i="9" a="1"/>
  <c r="I71" i="9" s="1"/>
  <c r="P65" i="9" a="1"/>
  <c r="P65" i="9" s="1"/>
  <c r="R60" i="9" a="1"/>
  <c r="R60" i="9" s="1"/>
  <c r="X63" i="9" a="1"/>
  <c r="X63" i="9" s="1"/>
  <c r="L65" i="9" a="1"/>
  <c r="L65" i="9" s="1"/>
  <c r="H67" i="9" a="1"/>
  <c r="H67" i="9" s="1"/>
  <c r="R70" i="9" a="1"/>
  <c r="R70" i="9" s="1"/>
  <c r="H70" i="9" a="1"/>
  <c r="H70" i="9" s="1"/>
  <c r="I61" i="9" a="1"/>
  <c r="I61" i="9" s="1"/>
  <c r="N66" i="9" a="1"/>
  <c r="N66" i="9" s="1"/>
  <c r="M72" i="9" a="1"/>
  <c r="M72" i="9" s="1"/>
  <c r="M67" i="9" a="1"/>
  <c r="M67" i="9" s="1"/>
  <c r="G67" i="9" a="1"/>
  <c r="G67" i="9" s="1"/>
  <c r="H60" i="9" a="1"/>
  <c r="H60" i="9" s="1"/>
  <c r="K64" i="9" a="1"/>
  <c r="K64" i="9" s="1"/>
  <c r="I73" i="9" a="1"/>
  <c r="I73" i="9" s="1"/>
  <c r="E70" i="9" a="1"/>
  <c r="E70" i="9" s="1"/>
  <c r="S68" i="9" a="1"/>
  <c r="S68" i="9" s="1"/>
  <c r="N60" i="9" a="1"/>
  <c r="N60" i="9" s="1"/>
  <c r="V61" i="9" a="1"/>
  <c r="V61" i="9" s="1"/>
  <c r="F66" i="9" a="1"/>
  <c r="F66" i="9" s="1"/>
  <c r="E72" i="9" a="1"/>
  <c r="E72" i="9" s="1"/>
  <c r="N69" i="9" a="1"/>
  <c r="N69" i="9" s="1"/>
  <c r="J62" i="9" a="1"/>
  <c r="J62" i="9" s="1"/>
  <c r="M64" i="9" a="1"/>
  <c r="M64" i="9" s="1"/>
  <c r="L73" i="9" a="1"/>
  <c r="L73" i="9" s="1"/>
  <c r="G69" i="9" a="1"/>
  <c r="G69" i="9" s="1"/>
  <c r="W62" i="9" a="1"/>
  <c r="W62" i="9" s="1"/>
  <c r="T63" i="9" a="1"/>
  <c r="T63" i="9" s="1"/>
  <c r="I64" i="9" a="1"/>
  <c r="I64" i="9" s="1"/>
  <c r="H73" i="9" a="1"/>
  <c r="H73" i="9" s="1"/>
  <c r="X68" i="9" a="1"/>
  <c r="X68" i="9" s="1"/>
  <c r="K63" i="9" a="1"/>
  <c r="K63" i="9" s="1"/>
  <c r="G65" i="9" a="1"/>
  <c r="G65" i="9" s="1"/>
  <c r="Y72" i="9" a="1"/>
  <c r="Y72" i="9" s="1"/>
  <c r="P68" i="9" a="1"/>
  <c r="P68" i="9" s="1"/>
  <c r="R66" i="9" a="1"/>
  <c r="R66" i="9" s="1"/>
  <c r="Q72" i="9" a="1"/>
  <c r="Q72" i="9" s="1"/>
  <c r="U67" i="9" a="1"/>
  <c r="U67" i="9" s="1"/>
  <c r="U72" i="9" a="1"/>
  <c r="U72" i="9" s="1"/>
  <c r="Y62" i="9" a="1"/>
  <c r="Y62" i="9" s="1"/>
  <c r="E63" i="9" a="1"/>
  <c r="E63" i="9" s="1"/>
  <c r="W71" i="9" a="1"/>
  <c r="W71" i="9" s="1"/>
  <c r="W70" i="9" a="1"/>
  <c r="W70" i="9" s="1"/>
  <c r="F73" i="9" a="1"/>
  <c r="F73" i="9" s="1"/>
  <c r="F62" i="9" a="1"/>
  <c r="F62" i="9" s="1"/>
  <c r="J71" i="9" a="1"/>
  <c r="J71" i="9" s="1"/>
  <c r="L63" i="9" a="1"/>
  <c r="L63" i="9" s="1"/>
  <c r="H66" i="9" a="1"/>
  <c r="H66" i="9" s="1"/>
  <c r="O71" i="9" a="1"/>
  <c r="O71" i="9" s="1"/>
  <c r="K69" i="9" a="1"/>
  <c r="K69" i="9" s="1"/>
  <c r="R63" i="9" a="1"/>
  <c r="R63" i="9" s="1"/>
  <c r="P60" i="9" a="1"/>
  <c r="P60" i="9" s="1"/>
  <c r="O64" i="9" a="1"/>
  <c r="O64" i="9" s="1"/>
  <c r="L70" i="9" a="1"/>
  <c r="L70" i="9" s="1"/>
  <c r="O70" i="9" a="1"/>
  <c r="O70" i="9" s="1"/>
  <c r="S72" i="9" a="1"/>
  <c r="S72" i="9" s="1"/>
  <c r="G61" i="9" a="1"/>
  <c r="G61" i="9" s="1"/>
  <c r="O62" i="9" a="1"/>
  <c r="O62" i="9" s="1"/>
  <c r="W65" i="9" a="1"/>
  <c r="W65" i="9" s="1"/>
  <c r="V71" i="9" a="1"/>
  <c r="V71" i="9" s="1"/>
  <c r="T67" i="9" a="1"/>
  <c r="T67" i="9" s="1"/>
  <c r="U62" i="9" a="1"/>
  <c r="U62" i="9" s="1"/>
  <c r="S65" i="9" a="1"/>
  <c r="S65" i="9" s="1"/>
  <c r="R71" i="9" a="1"/>
  <c r="R71" i="9" s="1"/>
  <c r="V73" i="9" a="1"/>
  <c r="V73" i="9" s="1"/>
  <c r="I63" i="9" a="1"/>
  <c r="I63" i="9" s="1"/>
  <c r="O65" i="9" a="1"/>
  <c r="O65" i="9" s="1"/>
  <c r="N71" i="9" a="1"/>
  <c r="N71" i="9" s="1"/>
  <c r="R73" i="9" a="1"/>
  <c r="R73" i="9" s="1"/>
  <c r="S62" i="9" a="1"/>
  <c r="S62" i="9" s="1"/>
  <c r="X64" i="9" a="1"/>
  <c r="X64" i="9" s="1"/>
  <c r="F71" i="9" a="1"/>
  <c r="F71" i="9" s="1"/>
  <c r="J73" i="9" a="1"/>
  <c r="J73" i="9" s="1"/>
  <c r="R67" i="9" a="1"/>
  <c r="R67" i="9" s="1"/>
  <c r="M66" i="9" a="1"/>
  <c r="M66" i="9" s="1"/>
  <c r="F68" i="9" a="1"/>
  <c r="F68" i="9" s="1"/>
  <c r="H69" i="9" a="1"/>
  <c r="H69" i="9" s="1"/>
  <c r="P71" i="9" a="1"/>
  <c r="P71" i="9" s="1"/>
  <c r="N70" i="9" a="1"/>
  <c r="N70" i="9" s="1"/>
  <c r="X62" i="9" a="1"/>
  <c r="X62" i="9" s="1"/>
  <c r="N64" i="9" a="1"/>
  <c r="N64" i="9" s="1"/>
  <c r="I69" i="9" a="1"/>
  <c r="I69" i="9" s="1"/>
  <c r="W73" i="9" a="1"/>
  <c r="W73" i="9" s="1"/>
  <c r="F60" i="9" a="1"/>
  <c r="F60" i="9" s="1"/>
  <c r="E66" i="9" a="1"/>
  <c r="E66" i="9" s="1"/>
  <c r="K67" i="9" a="1"/>
  <c r="K67" i="9" s="1"/>
  <c r="U68" i="9" a="1"/>
  <c r="U68" i="9" s="1"/>
  <c r="H71" i="9" a="1"/>
  <c r="H71" i="9" s="1"/>
  <c r="E60" i="9" a="1"/>
  <c r="E60" i="9" s="1"/>
  <c r="O61" i="9" a="1"/>
  <c r="O61" i="9" s="1"/>
  <c r="G64" i="9" a="1"/>
  <c r="G64" i="9" s="1"/>
  <c r="U69" i="9" a="1"/>
  <c r="U69" i="9" s="1"/>
  <c r="K70" i="9" a="1"/>
  <c r="K70" i="9" s="1"/>
  <c r="O72" i="9" a="1"/>
  <c r="O72" i="9" s="1"/>
  <c r="M63" i="9" a="1"/>
  <c r="M63" i="9" s="1"/>
  <c r="M61" i="9" a="1"/>
  <c r="M61" i="9" s="1"/>
  <c r="L64" i="9" a="1"/>
  <c r="L64" i="9" s="1"/>
  <c r="M69" i="9" a="1"/>
  <c r="M69" i="9" s="1"/>
  <c r="G70" i="9" a="1"/>
  <c r="G70" i="9" s="1"/>
  <c r="K72" i="9" a="1"/>
  <c r="K72" i="9" s="1"/>
  <c r="T61" i="9" a="1"/>
  <c r="T61" i="9" s="1"/>
  <c r="H63" i="9" a="1"/>
  <c r="H63" i="9" s="1"/>
  <c r="Y66" i="9" a="1"/>
  <c r="Y66" i="9" s="1"/>
  <c r="E69" i="9" a="1"/>
  <c r="E69" i="9" s="1"/>
  <c r="X69" i="9" a="1"/>
  <c r="X69" i="9" s="1"/>
  <c r="G72" i="9" a="1"/>
  <c r="G72" i="9" s="1"/>
  <c r="O68" i="9" a="1"/>
  <c r="O68" i="9" s="1"/>
  <c r="O60" i="9" a="1"/>
  <c r="O60" i="9" s="1"/>
  <c r="T69" i="9" a="1"/>
  <c r="T69" i="9" s="1"/>
  <c r="Q66" i="9" a="1"/>
  <c r="Q66" i="9" s="1"/>
  <c r="J68" i="9" a="1"/>
  <c r="J68" i="9" s="1"/>
  <c r="P69" i="9" a="1"/>
  <c r="P69" i="9" s="1"/>
  <c r="T71" i="9" a="1"/>
  <c r="T71" i="9" s="1"/>
  <c r="X72" i="9" a="1"/>
  <c r="X72" i="9" s="1"/>
  <c r="Q62" i="9" a="1"/>
  <c r="Q62" i="9" s="1"/>
  <c r="S64" i="9" a="1"/>
  <c r="S64" i="9" s="1"/>
  <c r="M73" i="9" a="1"/>
  <c r="M73" i="9" s="1"/>
  <c r="F67" i="9" a="1"/>
  <c r="F67" i="9" s="1"/>
  <c r="J69" i="9" a="1"/>
  <c r="J69" i="9" s="1"/>
  <c r="W61" i="9" a="1"/>
  <c r="W61" i="9" s="1"/>
  <c r="E71" i="9" a="1"/>
  <c r="E71" i="9" s="1"/>
  <c r="V62" i="9" a="1"/>
  <c r="V62" i="9" s="1"/>
  <c r="O66" i="9" a="1"/>
  <c r="O66" i="9" s="1"/>
  <c r="L69" i="9" a="1"/>
  <c r="L69" i="9" s="1"/>
  <c r="H72" i="9" a="1"/>
  <c r="H72" i="9" s="1"/>
  <c r="K60" i="9" a="1"/>
  <c r="K60" i="9" s="1"/>
  <c r="J63" i="9" a="1"/>
  <c r="J63" i="9" s="1"/>
  <c r="P64" i="9" a="1"/>
  <c r="P64" i="9" s="1"/>
  <c r="E73" i="9" a="1"/>
  <c r="E73" i="9" s="1"/>
  <c r="G68" i="9" a="1"/>
  <c r="G68" i="9" s="1"/>
  <c r="X67" i="9" a="1"/>
  <c r="X67" i="9" s="1"/>
  <c r="S60" i="9" a="1"/>
  <c r="S60" i="9" s="1"/>
  <c r="V65" i="9" a="1"/>
  <c r="V65" i="9" s="1"/>
  <c r="F69" i="9" a="1"/>
  <c r="F69" i="9" s="1"/>
  <c r="Q68" i="9" a="1"/>
  <c r="Q68" i="9" s="1"/>
  <c r="Y70" i="9" a="1"/>
  <c r="Y70" i="9" s="1"/>
  <c r="J60" i="9" a="1"/>
  <c r="J60" i="9" s="1"/>
  <c r="Y60" i="9" a="1"/>
  <c r="Y60" i="9" s="1"/>
  <c r="N65" i="9" a="1"/>
  <c r="N65" i="9" s="1"/>
  <c r="P67" i="9" a="1"/>
  <c r="P67" i="9" s="1"/>
  <c r="I68" i="9" a="1"/>
  <c r="I68" i="9" s="1"/>
  <c r="U70" i="9" a="1"/>
  <c r="U70" i="9" s="1"/>
  <c r="S63" i="9" a="1"/>
  <c r="S63" i="9" s="1"/>
  <c r="I60" i="9" a="1"/>
  <c r="I60" i="9" s="1"/>
  <c r="J65" i="9" a="1"/>
  <c r="J65" i="9" s="1"/>
  <c r="Y73" i="9" a="1"/>
  <c r="Y73" i="9" s="1"/>
  <c r="E68" i="9" a="1"/>
  <c r="E68" i="9" s="1"/>
  <c r="L82" i="1"/>
  <c r="D29" i="2"/>
  <c r="M25" i="2"/>
  <c r="T48" i="11" l="1"/>
  <c r="T51" i="11"/>
  <c r="T68" i="11"/>
  <c r="S48" i="11"/>
  <c r="S51" i="11"/>
  <c r="S68" i="11"/>
  <c r="U48" i="11"/>
  <c r="U51" i="11"/>
  <c r="U68" i="11"/>
  <c r="R61" i="11"/>
  <c r="R53" i="11"/>
  <c r="L48" i="11"/>
  <c r="L51" i="11"/>
  <c r="L68" i="11"/>
  <c r="Q49" i="11"/>
  <c r="Q46" i="11"/>
  <c r="K48" i="11"/>
  <c r="K51" i="11"/>
  <c r="K68" i="11"/>
  <c r="N48" i="11"/>
  <c r="N51" i="11"/>
  <c r="N68" i="11"/>
  <c r="M53" i="11"/>
  <c r="M61" i="11"/>
  <c r="P48" i="11"/>
  <c r="P51" i="11"/>
  <c r="P68" i="11"/>
  <c r="O48" i="11"/>
  <c r="O51" i="11"/>
  <c r="O68" i="11"/>
  <c r="Q47" i="11"/>
  <c r="Q50" i="11" s="1"/>
  <c r="K50" i="1"/>
  <c r="K51" i="1" s="1"/>
  <c r="J50" i="1"/>
  <c r="J51" i="1" s="1"/>
  <c r="D27" i="1"/>
  <c r="D18" i="1"/>
  <c r="C18" i="1"/>
  <c r="R60" i="11" l="1"/>
  <c r="R86" i="11"/>
  <c r="AE70" i="11"/>
  <c r="M60" i="11"/>
  <c r="M74" i="11" s="1"/>
  <c r="M86" i="11"/>
  <c r="R75" i="11"/>
  <c r="R74" i="11"/>
  <c r="M75" i="11"/>
  <c r="T53" i="11"/>
  <c r="T61" i="11"/>
  <c r="U53" i="11"/>
  <c r="U61" i="11"/>
  <c r="P53" i="11"/>
  <c r="P61" i="11"/>
  <c r="N53" i="11"/>
  <c r="N61" i="11"/>
  <c r="L61" i="11"/>
  <c r="L53" i="11"/>
  <c r="K53" i="11"/>
  <c r="K61" i="11"/>
  <c r="R54" i="11"/>
  <c r="R66" i="11"/>
  <c r="M54" i="11"/>
  <c r="M66" i="11"/>
  <c r="Q48" i="11"/>
  <c r="Q51" i="11"/>
  <c r="Q68" i="11"/>
  <c r="O61" i="11"/>
  <c r="O53" i="11"/>
  <c r="S61" i="11"/>
  <c r="S53" i="11"/>
  <c r="L51" i="1"/>
  <c r="K52" i="1"/>
  <c r="C26" i="1"/>
  <c r="K54" i="1"/>
  <c r="J54" i="1"/>
  <c r="J52" i="1"/>
  <c r="S60" i="11" l="1"/>
  <c r="S86" i="11"/>
  <c r="P60" i="11"/>
  <c r="P86" i="11"/>
  <c r="O60" i="11"/>
  <c r="O86" i="11"/>
  <c r="K60" i="11"/>
  <c r="K74" i="11" s="1"/>
  <c r="K86" i="11"/>
  <c r="U60" i="11"/>
  <c r="U86" i="11"/>
  <c r="T60" i="11"/>
  <c r="T74" i="11" s="1"/>
  <c r="T86" i="11"/>
  <c r="L60" i="11"/>
  <c r="L74" i="11" s="1"/>
  <c r="L86" i="11"/>
  <c r="N60" i="11"/>
  <c r="N74" i="11" s="1"/>
  <c r="N86" i="11"/>
  <c r="T54" i="11"/>
  <c r="T66" i="11"/>
  <c r="U74" i="11"/>
  <c r="U75" i="11"/>
  <c r="S74" i="11"/>
  <c r="S75" i="11"/>
  <c r="O74" i="11"/>
  <c r="O75" i="11"/>
  <c r="P75" i="11"/>
  <c r="P74" i="11"/>
  <c r="O54" i="11"/>
  <c r="O66" i="11"/>
  <c r="N54" i="11"/>
  <c r="N66" i="11"/>
  <c r="M62" i="11"/>
  <c r="M55" i="11"/>
  <c r="M56" i="11" s="1"/>
  <c r="K54" i="11"/>
  <c r="K66" i="11"/>
  <c r="P54" i="11"/>
  <c r="P66" i="11"/>
  <c r="R62" i="11"/>
  <c r="R64" i="11" s="1"/>
  <c r="R84" i="11" s="1"/>
  <c r="R55" i="11"/>
  <c r="R56" i="11" s="1"/>
  <c r="L54" i="11"/>
  <c r="L66" i="11"/>
  <c r="S54" i="11"/>
  <c r="S66" i="11"/>
  <c r="Q61" i="11"/>
  <c r="Q53" i="11"/>
  <c r="U54" i="11"/>
  <c r="U66" i="11"/>
  <c r="D19" i="11"/>
  <c r="L52" i="1"/>
  <c r="L54" i="1"/>
  <c r="J58" i="1"/>
  <c r="K55" i="1"/>
  <c r="J55" i="1"/>
  <c r="D26" i="1"/>
  <c r="J53" i="1"/>
  <c r="K53" i="1"/>
  <c r="K58" i="1" s="1"/>
  <c r="L75" i="11" l="1"/>
  <c r="Q60" i="11"/>
  <c r="Q75" i="11" s="1"/>
  <c r="Q86" i="11"/>
  <c r="K75" i="11"/>
  <c r="N75" i="11"/>
  <c r="T75" i="11"/>
  <c r="T62" i="11"/>
  <c r="T55" i="11"/>
  <c r="T56" i="11" s="1"/>
  <c r="Q74" i="11"/>
  <c r="M64" i="11"/>
  <c r="M84" i="11" s="1"/>
  <c r="M57" i="11"/>
  <c r="M58" i="11" s="1"/>
  <c r="M65" i="11"/>
  <c r="M67" i="11" s="1"/>
  <c r="M59" i="11"/>
  <c r="S62" i="11"/>
  <c r="S55" i="11"/>
  <c r="S56" i="11" s="1"/>
  <c r="U62" i="11"/>
  <c r="U55" i="11"/>
  <c r="U56" i="11" s="1"/>
  <c r="K62" i="11"/>
  <c r="K55" i="11"/>
  <c r="K56" i="11" s="1"/>
  <c r="P62" i="11"/>
  <c r="P55" i="11"/>
  <c r="P56" i="11" s="1"/>
  <c r="N62" i="11"/>
  <c r="N55" i="11"/>
  <c r="N56" i="11" s="1"/>
  <c r="R57" i="11"/>
  <c r="R58" i="11" s="1"/>
  <c r="R65" i="11"/>
  <c r="R67" i="11" s="1"/>
  <c r="R59" i="11"/>
  <c r="Q54" i="11"/>
  <c r="Q66" i="11"/>
  <c r="L62" i="11"/>
  <c r="L55" i="11"/>
  <c r="L56" i="11" s="1"/>
  <c r="O62" i="11"/>
  <c r="O55" i="11"/>
  <c r="O56" i="11" s="1"/>
  <c r="J42" i="11"/>
  <c r="L53" i="1"/>
  <c r="L55" i="1"/>
  <c r="K59" i="1"/>
  <c r="Q74" i="1" s="1"/>
  <c r="L58" i="1"/>
  <c r="P64" i="11" l="1"/>
  <c r="P84" i="11" s="1"/>
  <c r="S64" i="11"/>
  <c r="S84" i="11" s="1"/>
  <c r="K64" i="11"/>
  <c r="K84" i="11" s="1"/>
  <c r="T57" i="11"/>
  <c r="T58" i="11" s="1"/>
  <c r="T65" i="11"/>
  <c r="T67" i="11" s="1"/>
  <c r="T59" i="11"/>
  <c r="T64" i="11"/>
  <c r="T84" i="11" s="1"/>
  <c r="O64" i="11"/>
  <c r="O84" i="11" s="1"/>
  <c r="N64" i="11"/>
  <c r="N84" i="11" s="1"/>
  <c r="U64" i="11"/>
  <c r="U84" i="11" s="1"/>
  <c r="L64" i="11"/>
  <c r="L84" i="11" s="1"/>
  <c r="N57" i="11"/>
  <c r="N58" i="11" s="1"/>
  <c r="N65" i="11"/>
  <c r="N67" i="11" s="1"/>
  <c r="N59" i="11"/>
  <c r="S57" i="11"/>
  <c r="S58" i="11" s="1"/>
  <c r="S65" i="11"/>
  <c r="S67" i="11" s="1"/>
  <c r="S59" i="11"/>
  <c r="U57" i="11"/>
  <c r="U58" i="11" s="1"/>
  <c r="U65" i="11"/>
  <c r="U67" i="11" s="1"/>
  <c r="U59" i="11"/>
  <c r="Q62" i="11"/>
  <c r="Q55" i="11"/>
  <c r="Q56" i="11" s="1"/>
  <c r="L57" i="11"/>
  <c r="L58" i="11" s="1"/>
  <c r="L65" i="11"/>
  <c r="L67" i="11" s="1"/>
  <c r="L59" i="11"/>
  <c r="P57" i="11"/>
  <c r="P58" i="11" s="1"/>
  <c r="P65" i="11"/>
  <c r="P67" i="11" s="1"/>
  <c r="P59" i="11"/>
  <c r="R70" i="11"/>
  <c r="R85" i="11" s="1"/>
  <c r="R95" i="11" s="1"/>
  <c r="R97" i="11" s="1"/>
  <c r="R71" i="11"/>
  <c r="O59" i="11"/>
  <c r="O57" i="11"/>
  <c r="O58" i="11" s="1"/>
  <c r="O65" i="11"/>
  <c r="O67" i="11" s="1"/>
  <c r="M70" i="11"/>
  <c r="M85" i="11" s="1"/>
  <c r="M95" i="11" s="1"/>
  <c r="M97" i="11" s="1"/>
  <c r="M71" i="11"/>
  <c r="K57" i="11"/>
  <c r="K58" i="11" s="1"/>
  <c r="K65" i="11"/>
  <c r="K67" i="11" s="1"/>
  <c r="K59" i="11"/>
  <c r="AE76" i="11"/>
  <c r="AE77" i="11"/>
  <c r="AE88" i="11" s="1"/>
  <c r="AF76" i="11"/>
  <c r="K60" i="1"/>
  <c r="K71" i="1"/>
  <c r="L71" i="1" s="1"/>
  <c r="J59" i="1"/>
  <c r="J60" i="1"/>
  <c r="J62" i="1" s="1"/>
  <c r="P75" i="1" s="1"/>
  <c r="P86" i="1" s="1"/>
  <c r="R72" i="11" l="1"/>
  <c r="R83" i="11"/>
  <c r="M72" i="11"/>
  <c r="M83" i="11"/>
  <c r="Q64" i="11"/>
  <c r="Q84" i="11" s="1"/>
  <c r="M69" i="11"/>
  <c r="M76" i="11"/>
  <c r="T71" i="11"/>
  <c r="T70" i="11"/>
  <c r="T85" i="11" s="1"/>
  <c r="T95" i="11" s="1"/>
  <c r="T97" i="11" s="1"/>
  <c r="R69" i="11"/>
  <c r="R76" i="11"/>
  <c r="O71" i="11"/>
  <c r="O70" i="11"/>
  <c r="O85" i="11" s="1"/>
  <c r="O95" i="11" s="1"/>
  <c r="O97" i="11" s="1"/>
  <c r="L70" i="11"/>
  <c r="L85" i="11" s="1"/>
  <c r="L71" i="11"/>
  <c r="S70" i="11"/>
  <c r="S85" i="11" s="1"/>
  <c r="S95" i="11" s="1"/>
  <c r="S97" i="11" s="1"/>
  <c r="S71" i="11"/>
  <c r="Q59" i="11"/>
  <c r="Q57" i="11"/>
  <c r="Q58" i="11" s="1"/>
  <c r="Q65" i="11"/>
  <c r="Q67" i="11" s="1"/>
  <c r="N70" i="11"/>
  <c r="N85" i="11" s="1"/>
  <c r="N95" i="11" s="1"/>
  <c r="N97" i="11" s="1"/>
  <c r="N71" i="11"/>
  <c r="K70" i="11"/>
  <c r="K85" i="11" s="1"/>
  <c r="K95" i="11" s="1"/>
  <c r="K97" i="11" s="1"/>
  <c r="K71" i="11"/>
  <c r="P71" i="11"/>
  <c r="P70" i="11"/>
  <c r="P85" i="11" s="1"/>
  <c r="P95" i="11" s="1"/>
  <c r="P97" i="11" s="1"/>
  <c r="U70" i="11"/>
  <c r="U85" i="11" s="1"/>
  <c r="U95" i="11" s="1"/>
  <c r="U97" i="11" s="1"/>
  <c r="U71" i="11"/>
  <c r="AG76" i="11"/>
  <c r="J44" i="11"/>
  <c r="J45" i="11" s="1"/>
  <c r="J46" i="11" s="1"/>
  <c r="AF77" i="11"/>
  <c r="L59" i="1"/>
  <c r="P74" i="1"/>
  <c r="K62" i="1"/>
  <c r="L60" i="1"/>
  <c r="K61" i="1"/>
  <c r="J61" i="1"/>
  <c r="J63" i="1"/>
  <c r="AE57" i="11" l="1"/>
  <c r="L95" i="11"/>
  <c r="L97" i="11" s="1"/>
  <c r="L72" i="11"/>
  <c r="L83" i="11"/>
  <c r="U72" i="11"/>
  <c r="U83" i="11"/>
  <c r="O72" i="11"/>
  <c r="O83" i="11"/>
  <c r="K72" i="11"/>
  <c r="K83" i="11"/>
  <c r="T72" i="11"/>
  <c r="T83" i="11"/>
  <c r="N72" i="11"/>
  <c r="N83" i="11"/>
  <c r="P72" i="11"/>
  <c r="P83" i="11"/>
  <c r="S72" i="11"/>
  <c r="S83" i="11"/>
  <c r="R78" i="11"/>
  <c r="R77" i="11"/>
  <c r="R79" i="11" s="1"/>
  <c r="R80" i="11" s="1"/>
  <c r="M78" i="11"/>
  <c r="M77" i="11"/>
  <c r="M79" i="11" s="1"/>
  <c r="M80" i="11" s="1"/>
  <c r="N69" i="11"/>
  <c r="N76" i="11"/>
  <c r="P69" i="11"/>
  <c r="P76" i="11"/>
  <c r="S69" i="11"/>
  <c r="S76" i="11"/>
  <c r="T69" i="11"/>
  <c r="T76" i="11"/>
  <c r="O69" i="11"/>
  <c r="O76" i="11"/>
  <c r="U69" i="11"/>
  <c r="U76" i="11"/>
  <c r="K69" i="11"/>
  <c r="K76" i="11"/>
  <c r="L69" i="11"/>
  <c r="L76" i="11"/>
  <c r="J51" i="11"/>
  <c r="J68" i="11"/>
  <c r="Q71" i="11"/>
  <c r="Q70" i="11"/>
  <c r="Q85" i="11" s="1"/>
  <c r="Q95" i="11" s="1"/>
  <c r="Q97" i="11" s="1"/>
  <c r="J49" i="11"/>
  <c r="AG77" i="11"/>
  <c r="AF88" i="11"/>
  <c r="AG88" i="11" s="1"/>
  <c r="J47" i="11"/>
  <c r="L62" i="1"/>
  <c r="Q75" i="1"/>
  <c r="Q86" i="1" s="1"/>
  <c r="R86" i="1" s="1"/>
  <c r="R74" i="1"/>
  <c r="K63" i="1"/>
  <c r="L61" i="1"/>
  <c r="J64" i="1"/>
  <c r="Q72" i="11" l="1"/>
  <c r="Q83" i="11"/>
  <c r="N77" i="11"/>
  <c r="N78" i="11"/>
  <c r="N79" i="11" s="1"/>
  <c r="N80" i="11" s="1"/>
  <c r="T78" i="11"/>
  <c r="T77" i="11"/>
  <c r="T79" i="11" s="1"/>
  <c r="T80" i="11" s="1"/>
  <c r="O78" i="11"/>
  <c r="O77" i="11"/>
  <c r="O79" i="11" s="1"/>
  <c r="O80" i="11" s="1"/>
  <c r="L78" i="11"/>
  <c r="L77" i="11"/>
  <c r="L79" i="11" s="1"/>
  <c r="L80" i="11" s="1"/>
  <c r="K78" i="11"/>
  <c r="K77" i="11"/>
  <c r="K79" i="11" s="1"/>
  <c r="K80" i="11" s="1"/>
  <c r="S78" i="11"/>
  <c r="S77" i="11"/>
  <c r="S79" i="11" s="1"/>
  <c r="S80" i="11" s="1"/>
  <c r="Q69" i="11"/>
  <c r="Q76" i="11"/>
  <c r="U78" i="11"/>
  <c r="U77" i="11"/>
  <c r="U79" i="11" s="1"/>
  <c r="U80" i="11" s="1"/>
  <c r="P77" i="11"/>
  <c r="P78" i="11"/>
  <c r="P79" i="11" s="1"/>
  <c r="P80" i="11" s="1"/>
  <c r="J50" i="11"/>
  <c r="AF78" i="11"/>
  <c r="J48" i="11"/>
  <c r="J53" i="11" s="1"/>
  <c r="J54" i="11" s="1"/>
  <c r="J62" i="11" s="1"/>
  <c r="R75" i="1"/>
  <c r="L63" i="1"/>
  <c r="K64" i="1"/>
  <c r="K65" i="1" s="1"/>
  <c r="J66" i="1"/>
  <c r="J69" i="1" s="1"/>
  <c r="J68" i="1"/>
  <c r="K70" i="1"/>
  <c r="L70" i="1" s="1"/>
  <c r="J65" i="1"/>
  <c r="Q78" i="11" l="1"/>
  <c r="Q77" i="11"/>
  <c r="Q79" i="11" s="1"/>
  <c r="Q80" i="11" s="1"/>
  <c r="J61" i="11"/>
  <c r="AE78" i="11"/>
  <c r="AG78" i="11" s="1"/>
  <c r="AF70" i="11"/>
  <c r="AG70" i="11" s="1"/>
  <c r="J67" i="1"/>
  <c r="J80" i="1" s="1"/>
  <c r="P76" i="1"/>
  <c r="K66" i="1"/>
  <c r="K69" i="1" s="1"/>
  <c r="L69" i="1" s="1"/>
  <c r="K68" i="1"/>
  <c r="L68" i="1" s="1"/>
  <c r="L64" i="1"/>
  <c r="J60" i="11" l="1"/>
  <c r="J93" i="11" s="1"/>
  <c r="J88" i="11"/>
  <c r="J86" i="11"/>
  <c r="J74" i="11"/>
  <c r="J75" i="11"/>
  <c r="AF82" i="11"/>
  <c r="J66" i="11"/>
  <c r="P80" i="1"/>
  <c r="J79" i="1"/>
  <c r="J72" i="1"/>
  <c r="J73" i="1" s="1"/>
  <c r="P77" i="1" s="1"/>
  <c r="P83" i="1" s="1"/>
  <c r="K67" i="1"/>
  <c r="K80" i="1" s="1"/>
  <c r="Q76" i="1"/>
  <c r="L65" i="1"/>
  <c r="K87" i="1"/>
  <c r="L87" i="1" s="1"/>
  <c r="L66" i="1"/>
  <c r="J107" i="1"/>
  <c r="P58" i="1" s="1"/>
  <c r="J105" i="1"/>
  <c r="P56" i="1" s="1"/>
  <c r="AF60" i="11" l="1"/>
  <c r="AE58" i="11"/>
  <c r="AE82" i="11"/>
  <c r="AG82" i="11" s="1"/>
  <c r="AF69" i="11"/>
  <c r="AF58" i="11"/>
  <c r="AF79" i="11"/>
  <c r="J55" i="11"/>
  <c r="J56" i="11" s="1"/>
  <c r="J57" i="11" s="1"/>
  <c r="AE69" i="11"/>
  <c r="Q80" i="1"/>
  <c r="K79" i="1"/>
  <c r="K94" i="1" s="1"/>
  <c r="K107" i="1"/>
  <c r="Q58" i="1" s="1"/>
  <c r="K105" i="1"/>
  <c r="Q56" i="1" s="1"/>
  <c r="L80" i="1"/>
  <c r="K72" i="1"/>
  <c r="K73" i="1" s="1"/>
  <c r="Q77" i="1" s="1"/>
  <c r="J85" i="1"/>
  <c r="P67" i="1" s="1"/>
  <c r="L67" i="1"/>
  <c r="J74" i="1"/>
  <c r="J75" i="1" s="1"/>
  <c r="J84" i="1" s="1"/>
  <c r="J81" i="1"/>
  <c r="J83" i="1" s="1"/>
  <c r="J103" i="1" s="1"/>
  <c r="P54" i="1" s="1"/>
  <c r="R76" i="1"/>
  <c r="Q68" i="1"/>
  <c r="J112" i="1"/>
  <c r="P63" i="1" s="1"/>
  <c r="J94" i="1"/>
  <c r="J93" i="1"/>
  <c r="AG58" i="11" l="1"/>
  <c r="AF65" i="11"/>
  <c r="AF85" i="11"/>
  <c r="AG69" i="11"/>
  <c r="AE79" i="11"/>
  <c r="AG79" i="11" s="1"/>
  <c r="AE65" i="11"/>
  <c r="AE60" i="11"/>
  <c r="J64" i="11"/>
  <c r="J84" i="11" s="1"/>
  <c r="AG60" i="11"/>
  <c r="R68" i="1"/>
  <c r="R80" i="1"/>
  <c r="R77" i="1"/>
  <c r="L94" i="1"/>
  <c r="L79" i="1"/>
  <c r="K112" i="1"/>
  <c r="Q63" i="1" s="1"/>
  <c r="K93" i="1"/>
  <c r="L93" i="1" s="1"/>
  <c r="L107" i="1"/>
  <c r="R58" i="1" s="1"/>
  <c r="Q83" i="1"/>
  <c r="K74" i="1"/>
  <c r="L74" i="1" s="1"/>
  <c r="L105" i="1"/>
  <c r="R56" i="1" s="1"/>
  <c r="K85" i="1"/>
  <c r="Q67" i="1" s="1"/>
  <c r="L73" i="1"/>
  <c r="L72" i="1"/>
  <c r="K81" i="1"/>
  <c r="K83" i="1" s="1"/>
  <c r="J76" i="1"/>
  <c r="P66" i="1"/>
  <c r="J86" i="1"/>
  <c r="J89" i="1" s="1"/>
  <c r="J95" i="1" s="1"/>
  <c r="J96" i="1" s="1"/>
  <c r="J98" i="1" s="1"/>
  <c r="J110" i="1" s="1"/>
  <c r="P61" i="1" s="1"/>
  <c r="J78" i="1"/>
  <c r="P69" i="1" s="1"/>
  <c r="P85" i="1" s="1"/>
  <c r="AE56" i="11" l="1"/>
  <c r="J65" i="11"/>
  <c r="J89" i="11" s="1"/>
  <c r="J59" i="11"/>
  <c r="AE85" i="11"/>
  <c r="AG85" i="11" s="1"/>
  <c r="AG65" i="11"/>
  <c r="R83" i="1"/>
  <c r="R67" i="1"/>
  <c r="L112" i="1"/>
  <c r="R63" i="1" s="1"/>
  <c r="K75" i="1"/>
  <c r="K84" i="1" s="1"/>
  <c r="L81" i="1"/>
  <c r="L85" i="1"/>
  <c r="J77" i="1"/>
  <c r="P78" i="1"/>
  <c r="K103" i="1"/>
  <c r="L83" i="1"/>
  <c r="J90" i="1"/>
  <c r="P70" i="1" s="1"/>
  <c r="J111" i="1"/>
  <c r="P62" i="1" s="1"/>
  <c r="J99" i="1"/>
  <c r="J97" i="1"/>
  <c r="AF56" i="11" l="1"/>
  <c r="AG56" i="11"/>
  <c r="AF71" i="11"/>
  <c r="J67" i="11"/>
  <c r="AF68" i="11"/>
  <c r="AE71" i="11"/>
  <c r="AE87" i="11" s="1"/>
  <c r="AF80" i="11"/>
  <c r="J58" i="11"/>
  <c r="K76" i="1"/>
  <c r="Q78" i="1" s="1"/>
  <c r="L75" i="1"/>
  <c r="K78" i="1"/>
  <c r="Q69" i="1" s="1"/>
  <c r="P84" i="1"/>
  <c r="P79" i="1"/>
  <c r="L103" i="1"/>
  <c r="R54" i="1" s="1"/>
  <c r="Q54" i="1"/>
  <c r="K108" i="1"/>
  <c r="Q59" i="1" s="1"/>
  <c r="P59" i="1"/>
  <c r="J102" i="1"/>
  <c r="J91" i="1"/>
  <c r="P71" i="1" s="1"/>
  <c r="J109" i="1"/>
  <c r="L84" i="1"/>
  <c r="Q66" i="1"/>
  <c r="K86" i="1"/>
  <c r="J71" i="11" l="1"/>
  <c r="J72" i="11" s="1"/>
  <c r="J70" i="11"/>
  <c r="J76" i="11" s="1"/>
  <c r="AE68" i="11"/>
  <c r="AG68" i="11" s="1"/>
  <c r="AE80" i="11"/>
  <c r="AG80" i="11" s="1"/>
  <c r="AF87" i="11"/>
  <c r="AG87" i="11" s="1"/>
  <c r="AG71" i="11"/>
  <c r="AF86" i="11"/>
  <c r="AF81" i="11"/>
  <c r="R66" i="1"/>
  <c r="Q84" i="1"/>
  <c r="K77" i="1"/>
  <c r="L77" i="1" s="1"/>
  <c r="Q79" i="1"/>
  <c r="R78" i="1"/>
  <c r="L76" i="1"/>
  <c r="L78" i="1"/>
  <c r="R69" i="1"/>
  <c r="Q85" i="1"/>
  <c r="L108" i="1"/>
  <c r="R59" i="1" s="1"/>
  <c r="J115" i="1"/>
  <c r="P50" i="1" s="1"/>
  <c r="P60" i="1"/>
  <c r="P87" i="1" s="1"/>
  <c r="J114" i="1"/>
  <c r="P49" i="1" s="1"/>
  <c r="P53" i="1"/>
  <c r="K89" i="1"/>
  <c r="K95" i="1" s="1"/>
  <c r="L86" i="1"/>
  <c r="K90" i="1"/>
  <c r="J90" i="11" l="1"/>
  <c r="J83" i="11"/>
  <c r="AF72" i="11"/>
  <c r="AE61" i="11"/>
  <c r="J69" i="11"/>
  <c r="AE86" i="11"/>
  <c r="AG86" i="11" s="1"/>
  <c r="AE81" i="11"/>
  <c r="AG81" i="11" s="1"/>
  <c r="R84" i="1"/>
  <c r="R79" i="1"/>
  <c r="R85" i="1"/>
  <c r="J116" i="1"/>
  <c r="L90" i="1"/>
  <c r="Q70" i="1"/>
  <c r="K102" i="1"/>
  <c r="K91" i="1"/>
  <c r="K109" i="1"/>
  <c r="K88" i="1"/>
  <c r="L88" i="1" s="1"/>
  <c r="L89" i="1"/>
  <c r="AE63" i="11" l="1"/>
  <c r="AF61" i="11"/>
  <c r="AG61" i="11"/>
  <c r="AE73" i="11"/>
  <c r="AG55" i="11"/>
  <c r="AE72" i="11"/>
  <c r="AG72" i="11" s="1"/>
  <c r="AF73" i="11"/>
  <c r="AF55" i="11"/>
  <c r="AF62" i="11"/>
  <c r="J78" i="11"/>
  <c r="J77" i="11"/>
  <c r="R70" i="1"/>
  <c r="P51" i="1"/>
  <c r="L109" i="1"/>
  <c r="R60" i="1" s="1"/>
  <c r="Q60" i="1"/>
  <c r="L102" i="1"/>
  <c r="R53" i="1" s="1"/>
  <c r="Q53" i="1"/>
  <c r="L95" i="1"/>
  <c r="K97" i="1"/>
  <c r="L97" i="1" s="1"/>
  <c r="K96" i="1"/>
  <c r="Q71" i="1"/>
  <c r="L91" i="1"/>
  <c r="AE64" i="11" l="1"/>
  <c r="J79" i="11"/>
  <c r="AE62" i="11"/>
  <c r="AE89" i="11" s="1"/>
  <c r="AE52" i="11"/>
  <c r="AG73" i="11"/>
  <c r="AG62" i="11"/>
  <c r="AE55" i="11"/>
  <c r="K98" i="1"/>
  <c r="R71" i="1"/>
  <c r="L96" i="1"/>
  <c r="J80" i="11" l="1"/>
  <c r="J92" i="11"/>
  <c r="J91" i="11"/>
  <c r="AE53" i="11"/>
  <c r="AE51" i="11"/>
  <c r="L98" i="1"/>
  <c r="K99" i="1"/>
  <c r="L99" i="1" s="1"/>
  <c r="K110" i="1"/>
  <c r="Q61" i="1" s="1"/>
  <c r="K111" i="1"/>
  <c r="AF63" i="11" l="1"/>
  <c r="AG63" i="11"/>
  <c r="J85" i="11"/>
  <c r="J96" i="11"/>
  <c r="AF64" i="11"/>
  <c r="AG64" i="11"/>
  <c r="L111" i="1"/>
  <c r="R62" i="1" s="1"/>
  <c r="Q62" i="1"/>
  <c r="L110" i="1"/>
  <c r="R61" i="1" s="1"/>
  <c r="K104" i="1"/>
  <c r="Q55" i="1" s="1"/>
  <c r="K115" i="1"/>
  <c r="AG52" i="11" l="1"/>
  <c r="AF52" i="11"/>
  <c r="AG57" i="11"/>
  <c r="AF57" i="11"/>
  <c r="J95" i="11"/>
  <c r="AF89" i="11"/>
  <c r="AG89" i="11" s="1"/>
  <c r="Q87" i="1"/>
  <c r="R87" i="1" s="1"/>
  <c r="L115" i="1"/>
  <c r="R50" i="1" s="1"/>
  <c r="Q50" i="1"/>
  <c r="K114" i="1"/>
  <c r="Q49" i="1" s="1"/>
  <c r="L104" i="1"/>
  <c r="R55" i="1" s="1"/>
  <c r="J97" i="11" l="1"/>
  <c r="AG51" i="11"/>
  <c r="AF51" i="11"/>
  <c r="L114" i="1"/>
  <c r="R49" i="1" s="1"/>
  <c r="K116" i="1"/>
  <c r="Q51" i="1" s="1"/>
  <c r="AF53" i="11" l="1"/>
  <c r="AG53" i="11"/>
  <c r="L116" i="1"/>
  <c r="R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9" authorId="0" shapeId="0" xr:uid="{0235EB0A-1924-4905-8FB4-DF37FAAC61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11" authorId="0" shapeId="0" xr:uid="{7C6AC104-1F23-4C18-B47B-1F181DD4920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15" authorId="0" shapeId="0" xr:uid="{CB41652B-4D34-48FA-9876-B13894D1C37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0" authorId="0" shapeId="0" xr:uid="{9E9BA144-F652-4F2B-BCF8-DAB2B8A41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53" authorId="0" shapeId="0" xr:uid="{B03CA1D6-EEFF-4151-934F-F2FD0259E65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78" authorId="0" shapeId="0" xr:uid="{35553203-6717-48AD-B211-314B0EF8A63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7" authorId="0" shapeId="0" xr:uid="{9E6784D6-CFB9-4ADD-B826-0EEF251BF12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E22" authorId="0" shapeId="0" xr:uid="{855CB3BC-8157-4FCA-8936-7A86AB213DE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9" authorId="0" shapeId="0" xr:uid="{2280859C-2DF6-4A51-A57E-C182B3B129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0" authorId="0" shapeId="0" xr:uid="{27A6E152-F1EA-4DA9-9A23-A1C43403FE8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1" authorId="0" shapeId="0" xr:uid="{99E6E9A7-E7BD-4D43-896C-155B1FA9758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2" authorId="0" shapeId="0" xr:uid="{4D7CFC1E-0B74-43AD-9F74-D693C0CFD2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3" authorId="0" shapeId="0" xr:uid="{E8D6452C-48C2-409C-B1FE-5EF855F4305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4" authorId="0" shapeId="0" xr:uid="{B69B3E21-4228-486A-B428-B190A9EE4DD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5" authorId="0" shapeId="0" xr:uid="{C1760424-EF25-4286-83F8-5D112E5AD22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D2876E8E-868B-4C35-AE54-6F4911DC146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4A972A95-DA8E-4F46-A3AD-84F96433A26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K95" authorId="0" shapeId="0" xr:uid="{13AC1DFB-EE37-454A-B29C-CD773EE4A0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98" authorId="0" shapeId="0" xr:uid="{6BB5D98D-49B4-412D-BA71-7CA4265285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9" authorId="0" shapeId="0" xr:uid="{92473D5D-7359-495D-963A-5C7217C47F7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E15" authorId="0" shapeId="0" xr:uid="{EF9D517D-E880-41FC-8342-B1708E01EE7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2" authorId="0" shapeId="0" xr:uid="{237C4E21-54F6-4598-A653-0A5DC891F29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23" authorId="0" shapeId="0" xr:uid="{97747213-2C9B-48DC-8156-B92B084828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25" authorId="0" shapeId="0" xr:uid="{4CB677D0-B670-452C-9232-B4FAF32454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26" authorId="0" shapeId="0" xr:uid="{6AE30B97-927D-44C5-97FD-5857FA3064C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27" authorId="0" shapeId="0" xr:uid="{EB7840DF-0173-4028-89D0-4C665A84C65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28" authorId="0" shapeId="0" xr:uid="{AE7FE634-570B-4803-854E-70BD3B3B46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29" authorId="0" shapeId="0" xr:uid="{A9519F75-FED9-49AE-B28B-2692C49EFA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32" authorId="0" shapeId="0" xr:uid="{13319115-2FA1-4CEB-A4F8-A648CB87CA8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33" authorId="0" shapeId="0" xr:uid="{A6477C5D-B1EA-4709-A579-69C20567AE6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34" authorId="0" shapeId="0" xr:uid="{1BE7FFA4-2B57-495E-BD4A-7E50396941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35" authorId="0" shapeId="0" xr:uid="{47A11DFF-8F11-420E-A776-7114AFC2859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36" authorId="0" shapeId="0" xr:uid="{E2CBAC6E-A1B3-4F2B-91AC-47D88BA422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51" authorId="0" shapeId="0" xr:uid="{0809D7D5-EEB6-47B2-BCEA-3187D84E309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52" authorId="0" shapeId="0" xr:uid="{6C79A2E9-5C2A-4B12-A307-D92BD02F27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J76" authorId="0" shapeId="0" xr:uid="{35944CB2-93CC-4104-A43C-92622984A4B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J79" authorId="0" shapeId="0" xr:uid="{C33DC7EB-36C2-497D-9768-C7E4139FA35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<sst xmlns="http://schemas.openxmlformats.org/spreadsheetml/2006/main" count="935" uniqueCount="297">
  <si>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</si>
  <si>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</si>
  <si>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</si>
  <si>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</si>
  <si>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</si>
  <si>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</si>
  <si>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</si>
  <si>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</si>
  <si>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</si>
  <si>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</si>
  <si>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</si>
  <si>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</si>
  <si>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</si>
  <si>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</si>
  <si>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</si>
  <si>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</si>
  <si>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Affald</t>
  </si>
  <si>
    <t>ton</t>
  </si>
  <si>
    <t>Bioaffald</t>
  </si>
  <si>
    <t>Rådig mængde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</si>
  <si>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</si>
  <si>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</si>
  <si>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</si>
  <si>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</si>
  <si>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</si>
  <si>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</si>
  <si>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</si>
  <si>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</si>
  <si>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</si>
  <si>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</si>
  <si>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</si>
  <si>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</si>
  <si>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</si>
  <si>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</si>
  <si>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</si>
  <si>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</si>
  <si>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</si>
  <si>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</si>
  <si>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</si>
  <si>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</si>
  <si>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</si>
  <si>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</si>
  <si>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</si>
  <si>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</si>
  <si>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</si>
  <si>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</si>
  <si>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</si>
  <si>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</si>
  <si>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</si>
  <si>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</si>
  <si>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</si>
  <si>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</si>
  <si>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</si>
  <si>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</si>
  <si>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</si>
  <si>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</si>
  <si>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</si>
  <si>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</si>
  <si>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</si>
  <si>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</si>
  <si>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</si>
  <si>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</si>
  <si>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</si>
  <si>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</si>
  <si>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</si>
  <si>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</si>
  <si>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</si>
  <si>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</si>
  <si>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</si>
  <si>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</si>
  <si>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mo1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</si>
  <si>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</si>
  <si>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</si>
  <si>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</si>
  <si>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</si>
  <si>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</si>
  <si>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</si>
  <si>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</si>
  <si>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</si>
  <si>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</si>
  <si>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</si>
  <si>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</si>
  <si>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</si>
  <si>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</si>
  <si>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</si>
  <si>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</si>
  <si>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</si>
  <si>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</si>
  <si>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</si>
  <si>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</si>
  <si>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</si>
  <si>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</si>
  <si>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FuelConsP</t>
  </si>
  <si>
    <t>LHV</t>
  </si>
  <si>
    <t>FlisK</t>
  </si>
  <si>
    <t>Qm</t>
  </si>
  <si>
    <t>Fp</t>
  </si>
  <si>
    <t>GJ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</si>
  <si>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</si>
  <si>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</si>
  <si>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</si>
  <si>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</si>
  <si>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</si>
  <si>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</si>
  <si>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</si>
  <si>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</si>
  <si>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</si>
  <si>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</si>
  <si>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</si>
  <si>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</si>
  <si>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</si>
  <si>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</si>
  <si>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</si>
  <si>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</si>
  <si>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</si>
  <si>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</si>
  <si>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</si>
  <si>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</si>
  <si>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</si>
  <si>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</si>
  <si>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</si>
  <si>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</si>
  <si>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</si>
  <si>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</si>
  <si>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</si>
  <si>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fossilt affald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</si>
  <si>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</si>
  <si>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</si>
  <si>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</si>
  <si>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</si>
  <si>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</si>
  <si>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</si>
  <si>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</si>
  <si>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</si>
  <si>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</si>
  <si>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</si>
  <si>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FuelConsT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</si>
  <si>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</si>
  <si>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</si>
  <si>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</si>
  <si>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</si>
  <si>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</si>
  <si>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</si>
  <si>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</si>
  <si>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</si>
  <si>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</si>
  <si>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</si>
  <si>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</si>
  <si>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</si>
  <si>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</si>
  <si>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</si>
  <si>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</si>
  <si>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</si>
  <si>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RGKudnyttelse</t>
  </si>
  <si>
    <t>$Q$5</t>
  </si>
  <si>
    <t>$Q$6</t>
  </si>
  <si>
    <t>$Q$7</t>
  </si>
  <si>
    <t>$Q$8</t>
  </si>
  <si>
    <t>$Q$9</t>
  </si>
  <si>
    <t>$Q$10</t>
  </si>
  <si>
    <t>$Q$11</t>
  </si>
  <si>
    <t>$Q$12</t>
  </si>
  <si>
    <t>$Q$13</t>
  </si>
  <si>
    <t>$Q$14</t>
  </si>
  <si>
    <t>$Q$15</t>
  </si>
  <si>
    <t>$Q$16</t>
  </si>
  <si>
    <t>$Q$17</t>
  </si>
  <si>
    <t>$Q$18</t>
  </si>
  <si>
    <t>$Q$19</t>
  </si>
  <si>
    <t>$Q$20</t>
  </si>
  <si>
    <t>$Q$21</t>
  </si>
  <si>
    <t>$Q$22</t>
  </si>
  <si>
    <t>$Q$23</t>
  </si>
  <si>
    <t>$Q$24</t>
  </si>
  <si>
    <t>$Q$25</t>
  </si>
  <si>
    <t>$Q$26</t>
  </si>
  <si>
    <t>$Q$27</t>
  </si>
  <si>
    <t>$Q$28</t>
  </si>
  <si>
    <t>$Q$29</t>
  </si>
  <si>
    <t>$Q$30</t>
  </si>
  <si>
    <t>$Q$31</t>
  </si>
  <si>
    <t>$Q$32</t>
  </si>
  <si>
    <t>$Q$33</t>
  </si>
  <si>
    <t>$Q$34</t>
  </si>
  <si>
    <t>$Q$35</t>
  </si>
  <si>
    <t>$Q$36</t>
  </si>
  <si>
    <t>RGK 10 %</t>
  </si>
  <si>
    <t>Created by Mogens Bech Laursen on 16-03-2022</t>
  </si>
  <si>
    <t>RGK 20 %</t>
  </si>
  <si>
    <t>RGK 30 %</t>
  </si>
  <si>
    <t>RGK 40 %</t>
  </si>
  <si>
    <t>RGK 50 %</t>
  </si>
  <si>
    <t>RGK 60 %</t>
  </si>
  <si>
    <t>RGK 70 %</t>
  </si>
  <si>
    <t>RGK 80 %</t>
  </si>
  <si>
    <t>RGK 90 %</t>
  </si>
  <si>
    <t>RGK 100 %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</si>
  <si>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</si>
  <si>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</si>
  <si>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</si>
  <si>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</si>
  <si>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</si>
  <si>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</si>
  <si>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</si>
  <si>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FJV-behov</t>
  </si>
  <si>
    <t>Affaldstonnage Fossil</t>
  </si>
  <si>
    <t>Affaldstonnage Biogen</t>
  </si>
  <si>
    <t>NordicSugar varme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</si>
  <si>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</si>
  <si>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</si>
  <si>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</si>
  <si>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</si>
  <si>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</si>
  <si>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</si>
  <si>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</si>
  <si>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</si>
  <si>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</si>
  <si>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</si>
  <si>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</si>
  <si>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</si>
  <si>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</si>
  <si>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</si>
  <si>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</si>
  <si>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</si>
  <si>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</si>
  <si>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</si>
  <si>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</si>
  <si>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</si>
  <si>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</si>
  <si>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</si>
  <si>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</si>
  <si>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</si>
  <si>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</si>
  <si>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</si>
  <si>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</si>
  <si>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</si>
  <si>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</si>
  <si>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</si>
  <si>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</si>
  <si>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</si>
  <si>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</si>
  <si>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</si>
  <si>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</si>
  <si>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</si>
  <si>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</si>
  <si>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</si>
  <si>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</si>
  <si>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Med 100% RGK</t>
  </si>
  <si>
    <t>Med 5% RGK</t>
  </si>
  <si>
    <t>Med 10% RGK</t>
  </si>
  <si>
    <t>Med 15% RGK</t>
  </si>
  <si>
    <t>Med 20% RGK</t>
  </si>
  <si>
    <t>Med 25% RGK</t>
  </si>
  <si>
    <t>Med 30% RGK</t>
  </si>
  <si>
    <t>Med 35% RGK</t>
  </si>
  <si>
    <t>Med 40% RGK</t>
  </si>
  <si>
    <t>Med 45% RGK</t>
  </si>
  <si>
    <t>Med 50% RGK</t>
  </si>
  <si>
    <t>Med 55% RGK</t>
  </si>
  <si>
    <t>Med 60% RGK</t>
  </si>
  <si>
    <t>Med 65% RGK</t>
  </si>
  <si>
    <t>Med 70% RGK</t>
  </si>
  <si>
    <t>Med 75% RGK</t>
  </si>
  <si>
    <t>Med 80% RGK</t>
  </si>
  <si>
    <t>Med 85% RGK</t>
  </si>
  <si>
    <t>Med 90% RGK</t>
  </si>
  <si>
    <t>Med 95% RGK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</si>
  <si>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</si>
  <si>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</si>
  <si>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</si>
  <si>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</si>
  <si>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</si>
  <si>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Scenarie-beskrivelse:</t>
  </si>
  <si>
    <t>Varierende RGK-udnyttelse</t>
  </si>
  <si>
    <t>Rådige døgn Ovn2</t>
  </si>
  <si>
    <t>Rådige døgn Ovn3</t>
  </si>
  <si>
    <t>dage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</si>
  <si>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</si>
  <si>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</si>
  <si>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</si>
  <si>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</si>
  <si>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</si>
  <si>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</si>
  <si>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</si>
  <si>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</si>
  <si>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</si>
  <si>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</si>
  <si>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</si>
  <si>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</si>
  <si>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Htotal</t>
  </si>
  <si>
    <t>Fossilt</t>
  </si>
  <si>
    <t>Biogent</t>
  </si>
  <si>
    <t>DV-omkostnings sats</t>
  </si>
  <si>
    <t>Ftotal</t>
  </si>
  <si>
    <t>Ptotal</t>
  </si>
  <si>
    <t>Antal dage</t>
  </si>
  <si>
    <t>BiogenAndel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</si>
</sst>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"/>
    <numFmt numFmtId="167" formatCode="#,##0,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theme="9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0" applyNumberFormat="0" applyBorder="0" applyAlignment="0" applyProtection="0"/>
    <xf numFmtId="0" fontId="7" fillId="7" borderId="1" applyNumberFormat="0" applyAlignment="0" applyProtection="0"/>
    <xf numFmtId="0" fontId="19" fillId="14" borderId="0" applyNumberFormat="0" applyBorder="0" applyAlignment="0" applyProtection="0"/>
  </cellStyleXfs>
  <cellXfs count="135">
    <xf numFmtId="0" fontId="0" fillId="0" borderId="0" xfId="0"/>
    <xf numFmtId="10" fontId="0" fillId="0" borderId="0" xfId="0" applyNumberFormat="1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166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0" fontId="3" fillId="8" borderId="0" xfId="0" applyFont="1" applyFill="1" applyAlignment="1">
      <alignment horizontal="center"/>
    </xf>
    <xf numFmtId="9" fontId="0" fillId="0" borderId="0" xfId="1" applyFon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167" fontId="0" fillId="0" borderId="0" xfId="0" applyNumberFormat="1" applyFill="1" applyBorder="1" applyAlignment="1"/>
    <xf numFmtId="3" fontId="0" fillId="0" borderId="0" xfId="0" applyNumberFormat="1" applyFill="1" applyBorder="1" applyAlignment="1"/>
    <xf numFmtId="3" fontId="0" fillId="0" borderId="3" xfId="0" applyNumberFormat="1" applyFill="1" applyBorder="1" applyAlignment="1"/>
    <xf numFmtId="0" fontId="8" fillId="9" borderId="4" xfId="0" applyFont="1" applyFill="1" applyBorder="1" applyAlignment="1">
      <alignment horizontal="left"/>
    </xf>
    <xf numFmtId="0" fontId="8" fillId="9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9" fillId="10" borderId="0" xfId="0" applyFont="1" applyFill="1" applyBorder="1" applyAlignment="1">
      <alignment horizontal="left"/>
    </xf>
    <xf numFmtId="0" fontId="10" fillId="10" borderId="5" xfId="0" applyFont="1" applyFill="1" applyBorder="1" applyAlignment="1">
      <alignment horizontal="left"/>
    </xf>
    <xf numFmtId="0" fontId="9" fillId="10" borderId="3" xfId="0" applyFont="1" applyFill="1" applyBorder="1" applyAlignment="1">
      <alignment horizontal="left"/>
    </xf>
    <xf numFmtId="0" fontId="11" fillId="9" borderId="2" xfId="0" applyFont="1" applyFill="1" applyBorder="1" applyAlignment="1">
      <alignment horizontal="right"/>
    </xf>
    <xf numFmtId="0" fontId="11" fillId="9" borderId="4" xfId="0" applyFont="1" applyFill="1" applyBorder="1" applyAlignment="1">
      <alignment horizontal="right"/>
    </xf>
    <xf numFmtId="9" fontId="0" fillId="11" borderId="0" xfId="0" applyNumberFormat="1" applyFill="1" applyBorder="1" applyAlignment="1"/>
    <xf numFmtId="0" fontId="12" fillId="0" borderId="0" xfId="0" applyFont="1" applyFill="1" applyBorder="1" applyAlignment="1">
      <alignment vertical="top" wrapText="1"/>
    </xf>
    <xf numFmtId="3" fontId="13" fillId="0" borderId="3" xfId="3" applyNumberFormat="1" applyFont="1" applyFill="1" applyBorder="1" applyAlignment="1"/>
    <xf numFmtId="0" fontId="0" fillId="3" borderId="0" xfId="0" applyFill="1"/>
    <xf numFmtId="3" fontId="15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15" fillId="0" borderId="0" xfId="0" applyFont="1"/>
    <xf numFmtId="0" fontId="16" fillId="0" borderId="0" xfId="0" applyFont="1"/>
    <xf numFmtId="0" fontId="13" fillId="0" borderId="0" xfId="0" applyFont="1"/>
    <xf numFmtId="0" fontId="0" fillId="12" borderId="0" xfId="0" applyFill="1"/>
    <xf numFmtId="0" fontId="0" fillId="12" borderId="0" xfId="0" applyFill="1" applyAlignment="1">
      <alignment horizontal="left" indent="1"/>
    </xf>
    <xf numFmtId="3" fontId="0" fillId="12" borderId="0" xfId="0" applyNumberFormat="1" applyFill="1"/>
    <xf numFmtId="0" fontId="3" fillId="12" borderId="0" xfId="0" applyFont="1" applyFill="1"/>
    <xf numFmtId="0" fontId="3" fillId="12" borderId="0" xfId="0" applyFont="1" applyFill="1" applyAlignment="1"/>
    <xf numFmtId="0" fontId="0" fillId="0" borderId="9" xfId="0" applyBorder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164" fontId="0" fillId="0" borderId="0" xfId="1" applyNumberFormat="1" applyFont="1" applyBorder="1"/>
    <xf numFmtId="2" fontId="0" fillId="0" borderId="0" xfId="0" applyNumberFormat="1" applyBorder="1"/>
    <xf numFmtId="0" fontId="3" fillId="12" borderId="0" xfId="0" applyFont="1" applyFill="1" applyAlignment="1">
      <alignment horizontal="left"/>
    </xf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12" borderId="0" xfId="0" applyFont="1" applyFill="1" applyAlignment="1">
      <alignment horizontal="left"/>
    </xf>
    <xf numFmtId="2" fontId="0" fillId="0" borderId="0" xfId="1" applyNumberFormat="1" applyFont="1"/>
    <xf numFmtId="0" fontId="0" fillId="12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8" fillId="13" borderId="0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8" fillId="13" borderId="7" xfId="0" applyFont="1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3" borderId="9" xfId="0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/>
    </xf>
    <xf numFmtId="0" fontId="20" fillId="15" borderId="11" xfId="0" applyFont="1" applyFill="1" applyBorder="1"/>
    <xf numFmtId="0" fontId="20" fillId="15" borderId="12" xfId="0" applyFont="1" applyFill="1" applyBorder="1" applyAlignment="1">
      <alignment horizontal="left" indent="1"/>
    </xf>
    <xf numFmtId="0" fontId="20" fillId="15" borderId="12" xfId="0" applyFont="1" applyFill="1" applyBorder="1" applyAlignment="1">
      <alignment horizontal="center"/>
    </xf>
    <xf numFmtId="0" fontId="20" fillId="15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3" fontId="0" fillId="0" borderId="13" xfId="0" applyNumberFormat="1" applyFont="1" applyBorder="1"/>
    <xf numFmtId="9" fontId="0" fillId="0" borderId="12" xfId="0" applyNumberFormat="1" applyFont="1" applyBorder="1"/>
    <xf numFmtId="9" fontId="0" fillId="0" borderId="13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16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right" indent="1"/>
    </xf>
    <xf numFmtId="0" fontId="7" fillId="12" borderId="6" xfId="4" applyFill="1" applyBorder="1"/>
    <xf numFmtId="3" fontId="7" fillId="12" borderId="6" xfId="4" applyNumberFormat="1" applyFill="1" applyBorder="1"/>
    <xf numFmtId="3" fontId="7" fillId="12" borderId="6" xfId="4" applyNumberFormat="1" applyFill="1" applyBorder="1" applyAlignment="1">
      <alignment horizontal="right"/>
    </xf>
    <xf numFmtId="0" fontId="0" fillId="12" borderId="4" xfId="0" applyFill="1" applyBorder="1"/>
    <xf numFmtId="0" fontId="17" fillId="12" borderId="0" xfId="0" applyFont="1" applyFill="1"/>
    <xf numFmtId="0" fontId="0" fillId="12" borderId="17" xfId="0" applyFill="1" applyBorder="1"/>
    <xf numFmtId="0" fontId="3" fillId="0" borderId="18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9" xfId="0" applyFont="1" applyBorder="1" applyAlignment="1">
      <alignment horizontal="left"/>
    </xf>
    <xf numFmtId="0" fontId="0" fillId="0" borderId="20" xfId="0" applyBorder="1" applyAlignment="1">
      <alignment horizontal="left" indent="1"/>
    </xf>
    <xf numFmtId="0" fontId="0" fillId="0" borderId="21" xfId="0" applyBorder="1"/>
    <xf numFmtId="0" fontId="0" fillId="0" borderId="22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3" xfId="0" applyBorder="1"/>
    <xf numFmtId="0" fontId="3" fillId="0" borderId="19" xfId="0" applyFont="1" applyBorder="1" applyAlignment="1">
      <alignment horizontal="center"/>
    </xf>
    <xf numFmtId="164" fontId="2" fillId="2" borderId="0" xfId="2" applyNumberFormat="1" applyBorder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9" xfId="0" applyBorder="1"/>
    <xf numFmtId="0" fontId="2" fillId="2" borderId="0" xfId="2" applyBorder="1"/>
    <xf numFmtId="165" fontId="2" fillId="2" borderId="0" xfId="2" applyNumberFormat="1" applyBorder="1"/>
    <xf numFmtId="0" fontId="0" fillId="0" borderId="2" xfId="0" applyBorder="1"/>
    <xf numFmtId="0" fontId="0" fillId="0" borderId="24" xfId="0" applyBorder="1"/>
    <xf numFmtId="0" fontId="0" fillId="0" borderId="0" xfId="0" applyFill="1" applyBorder="1"/>
    <xf numFmtId="0" fontId="3" fillId="8" borderId="0" xfId="0" applyFont="1" applyFill="1" applyAlignment="1"/>
    <xf numFmtId="166" fontId="0" fillId="0" borderId="0" xfId="0" applyNumberFormat="1" applyFont="1" applyAlignment="1"/>
    <xf numFmtId="3" fontId="0" fillId="0" borderId="0" xfId="0" applyNumberFormat="1" applyFont="1" applyAlignment="1"/>
    <xf numFmtId="0" fontId="19" fillId="14" borderId="0" xfId="5"/>
    <xf numFmtId="164" fontId="0" fillId="0" borderId="0" xfId="1" applyNumberFormat="1" applyFont="1" applyAlignment="1"/>
  </cellXfs>
  <cellStyles count="6">
    <cellStyle name="Bad" xfId="3" builtinId="27"/>
    <cellStyle name="Calculation" xfId="2" builtinId="22"/>
    <cellStyle name="Input" xfId="4" builtinId="20"/>
    <cellStyle name="Neutral" xfId="5" builtinId="28"/>
    <cellStyle name="Normal" xfId="0" builtinId="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Scenarier!$K$14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Scenarier!$C$54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Scenarier!$E$54:$Y$54</c:f>
              <c:numCache>
                <c:formatCode>#,##0</c:formatCode>
                <c:ptCount val="21"/>
                <c:pt idx="0">
                  <c:v>8081.0686816686157</c:v>
                </c:pt>
                <c:pt idx="1">
                  <c:v>8329.056190743413</c:v>
                </c:pt>
                <c:pt idx="2">
                  <c:v>8301.1435517990449</c:v>
                </c:pt>
                <c:pt idx="3">
                  <c:v>8273.7919741592195</c:v>
                </c:pt>
                <c:pt idx="4">
                  <c:v>8246.984455966227</c:v>
                </c:pt>
                <c:pt idx="5">
                  <c:v>8220.7046754366638</c:v>
                </c:pt>
                <c:pt idx="6">
                  <c:v>8194.9369571943898</c:v>
                </c:pt>
                <c:pt idx="7">
                  <c:v>8169.6662405838888</c:v>
                </c:pt>
                <c:pt idx="8">
                  <c:v>8345.471851640461</c:v>
                </c:pt>
                <c:pt idx="9">
                  <c:v>8321.1522677270732</c:v>
                </c:pt>
                <c:pt idx="10">
                  <c:v>8297.2879018878102</c:v>
                </c:pt>
                <c:pt idx="11">
                  <c:v>8273.8658705922808</c:v>
                </c:pt>
                <c:pt idx="12">
                  <c:v>8250.8737719373821</c:v>
                </c:pt>
                <c:pt idx="13">
                  <c:v>8228.2996633497696</c:v>
                </c:pt>
                <c:pt idx="14">
                  <c:v>8206.1320405156621</c:v>
                </c:pt>
                <c:pt idx="15">
                  <c:v>8184.3598174599611</c:v>
                </c:pt>
                <c:pt idx="16">
                  <c:v>8162.9723077021736</c:v>
                </c:pt>
                <c:pt idx="17">
                  <c:v>8141.9592064218168</c:v>
                </c:pt>
                <c:pt idx="18">
                  <c:v>8121.3105735708205</c:v>
                </c:pt>
                <c:pt idx="19">
                  <c:v>8101.0168178747244</c:v>
                </c:pt>
                <c:pt idx="20">
                  <c:v>8081.0686816686157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7-42B2-B353-28C953E21D03}"/>
            </c:ext>
          </c:extLst>
        </c:ser>
        <c:ser>
          <c:idx val="1"/>
          <c:order val="1"/>
          <c:tx>
            <c:strRef>
              <c:f>Scenarier!$C$55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Scenarier!$E$55:$Y$55</c:f>
              <c:numCache>
                <c:formatCode>#,##0</c:formatCode>
                <c:ptCount val="21"/>
                <c:pt idx="0">
                  <c:v>15652.263443326186</c:v>
                </c:pt>
                <c:pt idx="1">
                  <c:v>16181.783291652784</c:v>
                </c:pt>
                <c:pt idx="2">
                  <c:v>16136.225467580172</c:v>
                </c:pt>
                <c:pt idx="3">
                  <c:v>16091.597395019249</c:v>
                </c:pt>
                <c:pt idx="4">
                  <c:v>16047.870899681777</c:v>
                </c:pt>
                <c:pt idx="5">
                  <c:v>16005.018934251055</c:v>
                </c:pt>
                <c:pt idx="6">
                  <c:v>15963.01552259124</c:v>
                </c:pt>
                <c:pt idx="7">
                  <c:v>15921.835707238479</c:v>
                </c:pt>
                <c:pt idx="8">
                  <c:v>16082.049301761796</c:v>
                </c:pt>
                <c:pt idx="9">
                  <c:v>16042.445636921975</c:v>
                </c:pt>
                <c:pt idx="10">
                  <c:v>16003.596327602914</c:v>
                </c:pt>
                <c:pt idx="11">
                  <c:v>15965.480024120061</c:v>
                </c:pt>
                <c:pt idx="12">
                  <c:v>15928.076174907916</c:v>
                </c:pt>
                <c:pt idx="13">
                  <c:v>15891.364989570069</c:v>
                </c:pt>
                <c:pt idx="14">
                  <c:v>15855.327403963192</c:v>
                </c:pt>
                <c:pt idx="15">
                  <c:v>15819.945047185534</c:v>
                </c:pt>
                <c:pt idx="16">
                  <c:v>15785.200210349813</c:v>
                </c:pt>
                <c:pt idx="17">
                  <c:v>15751.075817029016</c:v>
                </c:pt>
                <c:pt idx="18">
                  <c:v>15717.55539527142</c:v>
                </c:pt>
                <c:pt idx="19">
                  <c:v>15684.623051088518</c:v>
                </c:pt>
                <c:pt idx="20">
                  <c:v>15652.263443326186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7-42B2-B353-28C953E21D03}"/>
            </c:ext>
          </c:extLst>
        </c:ser>
        <c:ser>
          <c:idx val="2"/>
          <c:order val="2"/>
          <c:tx>
            <c:strRef>
              <c:f>Scenarier!$C$56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Scenarier!$E$56:$Y$56</c:f>
              <c:numCache>
                <c:formatCode>#,##0</c:formatCode>
                <c:ptCount val="21"/>
                <c:pt idx="0">
                  <c:v>-7571.1947616575708</c:v>
                </c:pt>
                <c:pt idx="1">
                  <c:v>-7852.7271009093702</c:v>
                </c:pt>
                <c:pt idx="2">
                  <c:v>-7835.0819157811293</c:v>
                </c:pt>
                <c:pt idx="3">
                  <c:v>-7817.8054208600297</c:v>
                </c:pt>
                <c:pt idx="4">
                  <c:v>-7800.8864437155489</c:v>
                </c:pt>
                <c:pt idx="5">
                  <c:v>-7784.314258814391</c:v>
                </c:pt>
                <c:pt idx="6">
                  <c:v>-7768.0785653968505</c:v>
                </c:pt>
                <c:pt idx="7">
                  <c:v>-7752.1694666545891</c:v>
                </c:pt>
                <c:pt idx="8">
                  <c:v>-7736.5774501213346</c:v>
                </c:pt>
                <c:pt idx="9">
                  <c:v>-7721.2933691949038</c:v>
                </c:pt>
                <c:pt idx="10">
                  <c:v>-7706.3084257151031</c:v>
                </c:pt>
                <c:pt idx="11">
                  <c:v>-7691.6141535277802</c:v>
                </c:pt>
                <c:pt idx="12">
                  <c:v>-7677.2024029705326</c:v>
                </c:pt>
                <c:pt idx="13">
                  <c:v>-7663.0653262203014</c:v>
                </c:pt>
                <c:pt idx="14">
                  <c:v>-7649.1953634475321</c:v>
                </c:pt>
                <c:pt idx="15">
                  <c:v>-7635.5852297255733</c:v>
                </c:pt>
                <c:pt idx="16">
                  <c:v>-7622.2279026476399</c:v>
                </c:pt>
                <c:pt idx="17">
                  <c:v>-7609.1166106071996</c:v>
                </c:pt>
                <c:pt idx="18">
                  <c:v>-7596.2448217006004</c:v>
                </c:pt>
                <c:pt idx="19">
                  <c:v>-7583.6062332137935</c:v>
                </c:pt>
                <c:pt idx="20">
                  <c:v>-7571.1947616575708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7-42B2-B353-28C953E21D03}"/>
            </c:ext>
          </c:extLst>
        </c:ser>
        <c:ser>
          <c:idx val="3"/>
          <c:order val="3"/>
          <c:tx>
            <c:strRef>
              <c:f>Scenarier!$C$57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Scenarier!$E$57:$Y$57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  <c:pt idx="20">
                  <c:v>200.59380181097563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6F7-42B2-B353-28C953E21D03}"/>
            </c:ext>
          </c:extLst>
        </c:ser>
        <c:ser>
          <c:idx val="4"/>
          <c:order val="4"/>
          <c:tx>
            <c:strRef>
              <c:f>Scenarier!$C$58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Scenarier!$E$58:$Y$58</c:f>
              <c:numCache>
                <c:formatCode>#,##0</c:formatCode>
                <c:ptCount val="21"/>
                <c:pt idx="0">
                  <c:v>4040.3371902956987</c:v>
                </c:pt>
                <c:pt idx="1">
                  <c:v>4770.4508404332728</c:v>
                </c:pt>
                <c:pt idx="2">
                  <c:v>4724.8930163606619</c:v>
                </c:pt>
                <c:pt idx="3">
                  <c:v>4680.2649437997379</c:v>
                </c:pt>
                <c:pt idx="4">
                  <c:v>4636.5384484622655</c:v>
                </c:pt>
                <c:pt idx="5">
                  <c:v>4593.6864830315435</c:v>
                </c:pt>
                <c:pt idx="6">
                  <c:v>4551.6830713717272</c:v>
                </c:pt>
                <c:pt idx="7">
                  <c:v>4510.5032560189666</c:v>
                </c:pt>
                <c:pt idx="8">
                  <c:v>4470.1230487313078</c:v>
                </c:pt>
                <c:pt idx="9">
                  <c:v>4430.5193838914875</c:v>
                </c:pt>
                <c:pt idx="10">
                  <c:v>4391.6700745724256</c:v>
                </c:pt>
                <c:pt idx="11">
                  <c:v>4353.5537710895724</c:v>
                </c:pt>
                <c:pt idx="12">
                  <c:v>4316.1499218774279</c:v>
                </c:pt>
                <c:pt idx="13">
                  <c:v>4279.4387365395824</c:v>
                </c:pt>
                <c:pt idx="14">
                  <c:v>4243.4011509327056</c:v>
                </c:pt>
                <c:pt idx="15">
                  <c:v>4208.0187941550466</c:v>
                </c:pt>
                <c:pt idx="16">
                  <c:v>4173.2739573193248</c:v>
                </c:pt>
                <c:pt idx="17">
                  <c:v>4139.1495639985287</c:v>
                </c:pt>
                <c:pt idx="18">
                  <c:v>4105.6291422409313</c:v>
                </c:pt>
                <c:pt idx="19">
                  <c:v>4072.6967980580289</c:v>
                </c:pt>
                <c:pt idx="20">
                  <c:v>4040.3371902956987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F7-42B2-B353-28C953E21D03}"/>
            </c:ext>
          </c:extLst>
        </c:ser>
        <c:ser>
          <c:idx val="5"/>
          <c:order val="5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6F7-42B2-B353-28C953E21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Scenarier!$D$14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Scenarier!$C$79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564-4A1A-BA54-14E76CACE87F}"/>
              </c:ext>
            </c:extLst>
          </c:dPt>
          <c:xVal>
            <c:numRef>
              <c:f>Scenarier!$F$78:$Y$78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Scenarier!$F$79:$Y$79</c:f>
              <c:numCache>
                <c:formatCode>#,##0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200.59380181097563</c:v>
                </c:pt>
                <c:pt idx="14">
                  <c:v>200.59380181097563</c:v>
                </c:pt>
                <c:pt idx="15">
                  <c:v>200.59380181097563</c:v>
                </c:pt>
                <c:pt idx="16">
                  <c:v>200.59380181097563</c:v>
                </c:pt>
                <c:pt idx="17">
                  <c:v>200.59380181097563</c:v>
                </c:pt>
                <c:pt idx="18">
                  <c:v>200.59380181097563</c:v>
                </c:pt>
                <c:pt idx="19">
                  <c:v>200.59380181097563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4-4A1A-BA54-14E76CACE87F}"/>
            </c:ext>
          </c:extLst>
        </c:ser>
        <c:ser>
          <c:idx val="1"/>
          <c:order val="1"/>
          <c:tx>
            <c:strRef>
              <c:f>Scenarier!$C$80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64-4A1A-BA54-14E76CACE87F}"/>
              </c:ext>
            </c:extLst>
          </c:dPt>
          <c:xVal>
            <c:numRef>
              <c:f>Scenarier!$F$78:$Y$78</c:f>
              <c:numCache>
                <c:formatCode>0%</c:formatCode>
                <c:ptCount val="20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  <c:pt idx="19">
                  <c:v>0</c:v>
                </c:pt>
              </c:numCache>
            </c:numRef>
          </c:xVal>
          <c:yVal>
            <c:numRef>
              <c:f>Scenarier!$F$80:$Y$80</c:f>
              <c:numCache>
                <c:formatCode>#,##0</c:formatCode>
                <c:ptCount val="20"/>
                <c:pt idx="0">
                  <c:v>4770.4508404332728</c:v>
                </c:pt>
                <c:pt idx="1">
                  <c:v>4724.8930163606619</c:v>
                </c:pt>
                <c:pt idx="2">
                  <c:v>4680.2649437997379</c:v>
                </c:pt>
                <c:pt idx="3">
                  <c:v>4636.5384484622655</c:v>
                </c:pt>
                <c:pt idx="4">
                  <c:v>4593.6864830315435</c:v>
                </c:pt>
                <c:pt idx="5">
                  <c:v>4551.6830713717272</c:v>
                </c:pt>
                <c:pt idx="6">
                  <c:v>4510.5032560189666</c:v>
                </c:pt>
                <c:pt idx="7">
                  <c:v>4470.1230487313078</c:v>
                </c:pt>
                <c:pt idx="8">
                  <c:v>4430.5193838914875</c:v>
                </c:pt>
                <c:pt idx="9">
                  <c:v>4391.6700745724256</c:v>
                </c:pt>
                <c:pt idx="10">
                  <c:v>4353.5537710895724</c:v>
                </c:pt>
                <c:pt idx="11">
                  <c:v>4316.1499218774279</c:v>
                </c:pt>
                <c:pt idx="12">
                  <c:v>4279.4387365395824</c:v>
                </c:pt>
                <c:pt idx="13">
                  <c:v>4243.4011509327056</c:v>
                </c:pt>
                <c:pt idx="14">
                  <c:v>4208.0187941550466</c:v>
                </c:pt>
                <c:pt idx="15">
                  <c:v>4173.2739573193248</c:v>
                </c:pt>
                <c:pt idx="16">
                  <c:v>4139.1495639985287</c:v>
                </c:pt>
                <c:pt idx="17">
                  <c:v>4105.6291422409313</c:v>
                </c:pt>
                <c:pt idx="18">
                  <c:v>4072.6967980580289</c:v>
                </c:pt>
                <c:pt idx="19">
                  <c:v>4040.3371902956987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4-4A1A-BA54-14E76CAC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Scenarier!$T$14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Scenarier!$C$59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Scenarier!$E$59:$Y$59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7464</c:v>
                </c:pt>
                <c:pt idx="14">
                  <c:v>7464</c:v>
                </c:pt>
                <c:pt idx="15">
                  <c:v>7464</c:v>
                </c:pt>
                <c:pt idx="16">
                  <c:v>7464</c:v>
                </c:pt>
                <c:pt idx="17">
                  <c:v>7464</c:v>
                </c:pt>
                <c:pt idx="18">
                  <c:v>7464</c:v>
                </c:pt>
                <c:pt idx="19">
                  <c:v>7464</c:v>
                </c:pt>
                <c:pt idx="20">
                  <c:v>7464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C-4A3E-879F-9C74DD9D4B81}"/>
            </c:ext>
          </c:extLst>
        </c:ser>
        <c:ser>
          <c:idx val="1"/>
          <c:order val="1"/>
          <c:tx>
            <c:strRef>
              <c:f>Scenarier!$C$60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Scenarier!$E$60:$Y$60</c:f>
              <c:numCache>
                <c:formatCode>#,##0</c:formatCode>
                <c:ptCount val="21"/>
                <c:pt idx="0">
                  <c:v>3168</c:v>
                </c:pt>
                <c:pt idx="1">
                  <c:v>7055.4000000000015</c:v>
                </c:pt>
                <c:pt idx="2">
                  <c:v>6850.7999999999993</c:v>
                </c:pt>
                <c:pt idx="3">
                  <c:v>6646.2000000000007</c:v>
                </c:pt>
                <c:pt idx="4">
                  <c:v>6441.5999999999985</c:v>
                </c:pt>
                <c:pt idx="5">
                  <c:v>6237</c:v>
                </c:pt>
                <c:pt idx="6">
                  <c:v>6032.4000000000015</c:v>
                </c:pt>
                <c:pt idx="7">
                  <c:v>5827.7999999999993</c:v>
                </c:pt>
                <c:pt idx="8">
                  <c:v>5623.2000000000007</c:v>
                </c:pt>
                <c:pt idx="9">
                  <c:v>5418.5999999999985</c:v>
                </c:pt>
                <c:pt idx="10">
                  <c:v>5214</c:v>
                </c:pt>
                <c:pt idx="11">
                  <c:v>5009.4000000000015</c:v>
                </c:pt>
                <c:pt idx="12">
                  <c:v>4804.7999999999993</c:v>
                </c:pt>
                <c:pt idx="13">
                  <c:v>4600.2000000000007</c:v>
                </c:pt>
                <c:pt idx="14">
                  <c:v>4395.5999999999985</c:v>
                </c:pt>
                <c:pt idx="15">
                  <c:v>4191</c:v>
                </c:pt>
                <c:pt idx="16">
                  <c:v>3986.4000000000015</c:v>
                </c:pt>
                <c:pt idx="17">
                  <c:v>3781.7999999999993</c:v>
                </c:pt>
                <c:pt idx="18">
                  <c:v>3577.2000000000007</c:v>
                </c:pt>
                <c:pt idx="19">
                  <c:v>3372.5999999999985</c:v>
                </c:pt>
                <c:pt idx="20">
                  <c:v>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8C-4A3E-879F-9C74DD9D4B81}"/>
            </c:ext>
          </c:extLst>
        </c:ser>
        <c:ser>
          <c:idx val="2"/>
          <c:order val="2"/>
          <c:tx>
            <c:strRef>
              <c:f>Scenarier!$C$61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Scenarier!$E$61:$Y$61</c:f>
              <c:numCache>
                <c:formatCode>#,##0</c:formatCode>
                <c:ptCount val="21"/>
                <c:pt idx="0">
                  <c:v>20832</c:v>
                </c:pt>
                <c:pt idx="1">
                  <c:v>16944.599999999999</c:v>
                </c:pt>
                <c:pt idx="2">
                  <c:v>17149.2</c:v>
                </c:pt>
                <c:pt idx="3">
                  <c:v>17353.8</c:v>
                </c:pt>
                <c:pt idx="4">
                  <c:v>17558.400000000001</c:v>
                </c:pt>
                <c:pt idx="5">
                  <c:v>17763</c:v>
                </c:pt>
                <c:pt idx="6">
                  <c:v>17967.599999999999</c:v>
                </c:pt>
                <c:pt idx="7">
                  <c:v>18172.2</c:v>
                </c:pt>
                <c:pt idx="8">
                  <c:v>18376.8</c:v>
                </c:pt>
                <c:pt idx="9">
                  <c:v>18581.400000000001</c:v>
                </c:pt>
                <c:pt idx="10">
                  <c:v>18786</c:v>
                </c:pt>
                <c:pt idx="11">
                  <c:v>18990.599999999999</c:v>
                </c:pt>
                <c:pt idx="12">
                  <c:v>19195.2</c:v>
                </c:pt>
                <c:pt idx="13">
                  <c:v>19399.8</c:v>
                </c:pt>
                <c:pt idx="14">
                  <c:v>19604.400000000001</c:v>
                </c:pt>
                <c:pt idx="15">
                  <c:v>19809</c:v>
                </c:pt>
                <c:pt idx="16">
                  <c:v>20013.599999999999</c:v>
                </c:pt>
                <c:pt idx="17">
                  <c:v>20218.2</c:v>
                </c:pt>
                <c:pt idx="18">
                  <c:v>20422.8</c:v>
                </c:pt>
                <c:pt idx="19">
                  <c:v>20627.400000000001</c:v>
                </c:pt>
                <c:pt idx="20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8C-4A3E-879F-9C74DD9D4B81}"/>
            </c:ext>
          </c:extLst>
        </c:ser>
        <c:ser>
          <c:idx val="3"/>
          <c:order val="3"/>
          <c:tx>
            <c:strRef>
              <c:f>Scenarier!$C$62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Scenarier!$E$62:$Y$62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8C-4A3E-879F-9C74DD9D4B81}"/>
            </c:ext>
          </c:extLst>
        </c:ser>
        <c:ser>
          <c:idx val="4"/>
          <c:order val="4"/>
          <c:tx>
            <c:strRef>
              <c:f>Scenarier!$C$63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24000</c:v>
                </c:pt>
                <c:pt idx="4">
                  <c:v>24000</c:v>
                </c:pt>
                <c:pt idx="5">
                  <c:v>24000</c:v>
                </c:pt>
                <c:pt idx="6">
                  <c:v>24000</c:v>
                </c:pt>
                <c:pt idx="7">
                  <c:v>24000</c:v>
                </c:pt>
                <c:pt idx="8">
                  <c:v>24000</c:v>
                </c:pt>
                <c:pt idx="9">
                  <c:v>24000</c:v>
                </c:pt>
                <c:pt idx="10">
                  <c:v>24000</c:v>
                </c:pt>
                <c:pt idx="11">
                  <c:v>24000</c:v>
                </c:pt>
                <c:pt idx="12">
                  <c:v>24000</c:v>
                </c:pt>
                <c:pt idx="13">
                  <c:v>24000</c:v>
                </c:pt>
                <c:pt idx="14">
                  <c:v>24000</c:v>
                </c:pt>
                <c:pt idx="15">
                  <c:v>24000</c:v>
                </c:pt>
                <c:pt idx="16">
                  <c:v>24000</c:v>
                </c:pt>
                <c:pt idx="17">
                  <c:v>24000</c:v>
                </c:pt>
                <c:pt idx="18">
                  <c:v>24000</c:v>
                </c:pt>
                <c:pt idx="19">
                  <c:v>24000</c:v>
                </c:pt>
                <c:pt idx="20">
                  <c:v>24000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8C-4A3E-879F-9C74DD9D4B81}"/>
            </c:ext>
          </c:extLst>
        </c:ser>
        <c:ser>
          <c:idx val="5"/>
          <c:order val="5"/>
          <c:tx>
            <c:strRef>
              <c:f>Scenarier!$C$64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8C-4A3E-879F-9C74DD9D4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Scenarier!$K$33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Scenarier!$C$65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1094.3867347062462</c:v>
                </c:pt>
                <c:pt idx="1">
                  <c:v>2919.670860050182</c:v>
                </c:pt>
                <c:pt idx="2">
                  <c:v>2805.7762998686553</c:v>
                </c:pt>
                <c:pt idx="3">
                  <c:v>2694.2061184663444</c:v>
                </c:pt>
                <c:pt idx="4">
                  <c:v>2584.8898801226651</c:v>
                </c:pt>
                <c:pt idx="5">
                  <c:v>2477.7599665458606</c:v>
                </c:pt>
                <c:pt idx="6">
                  <c:v>2372.751437396319</c:v>
                </c:pt>
                <c:pt idx="7">
                  <c:v>2269.8018990144151</c:v>
                </c:pt>
                <c:pt idx="8">
                  <c:v>2168.8513807952672</c:v>
                </c:pt>
                <c:pt idx="9">
                  <c:v>2069.8422186957168</c:v>
                </c:pt>
                <c:pt idx="10">
                  <c:v>1972.7189453980645</c:v>
                </c:pt>
                <c:pt idx="11">
                  <c:v>1877.4281866909339</c:v>
                </c:pt>
                <c:pt idx="12">
                  <c:v>1783.9185636605707</c:v>
                </c:pt>
                <c:pt idx="13">
                  <c:v>1692.1406003159564</c:v>
                </c:pt>
                <c:pt idx="14">
                  <c:v>1602.0466362987647</c:v>
                </c:pt>
                <c:pt idx="15">
                  <c:v>1513.5907443546141</c:v>
                </c:pt>
                <c:pt idx="16">
                  <c:v>1426.728652265313</c:v>
                </c:pt>
                <c:pt idx="17">
                  <c:v>1341.41766896332</c:v>
                </c:pt>
                <c:pt idx="18">
                  <c:v>1257.6166145693278</c:v>
                </c:pt>
                <c:pt idx="19">
                  <c:v>1175.2857541120711</c:v>
                </c:pt>
                <c:pt idx="20">
                  <c:v>1094.3867347062462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F8E-9C43-539F0400EE89}"/>
            </c:ext>
          </c:extLst>
        </c:ser>
        <c:ser>
          <c:idx val="1"/>
          <c:order val="1"/>
          <c:tx>
            <c:strRef>
              <c:f>Scenarier!$C$66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9006.456241033</c:v>
                </c:pt>
                <c:pt idx="1">
                  <c:v>9006.4562410329982</c:v>
                </c:pt>
                <c:pt idx="2">
                  <c:v>9006.456241033</c:v>
                </c:pt>
                <c:pt idx="3">
                  <c:v>9006.4562410329982</c:v>
                </c:pt>
                <c:pt idx="4">
                  <c:v>9006.456241033</c:v>
                </c:pt>
                <c:pt idx="5">
                  <c:v>9006.456241033</c:v>
                </c:pt>
                <c:pt idx="6">
                  <c:v>9006.456241033</c:v>
                </c:pt>
                <c:pt idx="7">
                  <c:v>9006.456241033</c:v>
                </c:pt>
                <c:pt idx="8">
                  <c:v>9006.456241033</c:v>
                </c:pt>
                <c:pt idx="9">
                  <c:v>9006.456241033</c:v>
                </c:pt>
                <c:pt idx="10">
                  <c:v>9006.456241033</c:v>
                </c:pt>
                <c:pt idx="11">
                  <c:v>9006.4562410329982</c:v>
                </c:pt>
                <c:pt idx="12">
                  <c:v>9006.456241033</c:v>
                </c:pt>
                <c:pt idx="13">
                  <c:v>9006.456241033</c:v>
                </c:pt>
                <c:pt idx="14">
                  <c:v>9006.456241033</c:v>
                </c:pt>
                <c:pt idx="15">
                  <c:v>9006.456241033</c:v>
                </c:pt>
                <c:pt idx="16">
                  <c:v>9006.456241033</c:v>
                </c:pt>
                <c:pt idx="17">
                  <c:v>9006.456241033</c:v>
                </c:pt>
                <c:pt idx="18">
                  <c:v>9006.456241033</c:v>
                </c:pt>
                <c:pt idx="19">
                  <c:v>9006.456241033</c:v>
                </c:pt>
                <c:pt idx="20">
                  <c:v>9006.456241033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7-4F8E-9C43-539F0400EE89}"/>
            </c:ext>
          </c:extLst>
        </c:ser>
        <c:ser>
          <c:idx val="2"/>
          <c:order val="2"/>
          <c:tx>
            <c:strRef>
              <c:f>Scenarier!$C$67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7-4F8E-9C43-539F0400EE89}"/>
            </c:ext>
          </c:extLst>
        </c:ser>
        <c:ser>
          <c:idx val="3"/>
          <c:order val="3"/>
          <c:tx>
            <c:strRef>
              <c:f>Scenarier!$C$68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7-4F8E-9C43-539F0400EE89}"/>
            </c:ext>
          </c:extLst>
        </c:ser>
        <c:ser>
          <c:idx val="4"/>
          <c:order val="4"/>
          <c:tx>
            <c:strRef>
              <c:f>Scenarier!$C$69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10100.842975739246</c:v>
                </c:pt>
                <c:pt idx="1">
                  <c:v>11926.127101083181</c:v>
                </c:pt>
                <c:pt idx="2">
                  <c:v>11812.232540901656</c:v>
                </c:pt>
                <c:pt idx="3">
                  <c:v>11700.662359499343</c:v>
                </c:pt>
                <c:pt idx="4">
                  <c:v>11591.346121155664</c:v>
                </c:pt>
                <c:pt idx="5">
                  <c:v>11484.21620757886</c:v>
                </c:pt>
                <c:pt idx="6">
                  <c:v>11379.207678429319</c:v>
                </c:pt>
                <c:pt idx="7">
                  <c:v>11276.258140047416</c:v>
                </c:pt>
                <c:pt idx="8">
                  <c:v>11175.307621828268</c:v>
                </c:pt>
                <c:pt idx="9">
                  <c:v>11076.298459728718</c:v>
                </c:pt>
                <c:pt idx="10">
                  <c:v>10979.175186431065</c:v>
                </c:pt>
                <c:pt idx="11">
                  <c:v>10883.884427723931</c:v>
                </c:pt>
                <c:pt idx="12">
                  <c:v>10790.374804693571</c:v>
                </c:pt>
                <c:pt idx="13">
                  <c:v>10698.596841348957</c:v>
                </c:pt>
                <c:pt idx="14">
                  <c:v>10608.502877331764</c:v>
                </c:pt>
                <c:pt idx="15">
                  <c:v>10520.046985387615</c:v>
                </c:pt>
                <c:pt idx="16">
                  <c:v>10433.184893298312</c:v>
                </c:pt>
                <c:pt idx="17">
                  <c:v>10347.87390999632</c:v>
                </c:pt>
                <c:pt idx="18">
                  <c:v>10264.072855602328</c:v>
                </c:pt>
                <c:pt idx="19">
                  <c:v>10181.741995145072</c:v>
                </c:pt>
                <c:pt idx="20">
                  <c:v>10100.842975739246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C7-4F8E-9C43-539F0400EE89}"/>
            </c:ext>
          </c:extLst>
        </c:ser>
        <c:ser>
          <c:idx val="5"/>
          <c:order val="5"/>
          <c:tx>
            <c:strRef>
              <c:f>Scenarier!$C$70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1899.1570242607538</c:v>
                </c:pt>
                <c:pt idx="1">
                  <c:v>73.87289891681985</c:v>
                </c:pt>
                <c:pt idx="2">
                  <c:v>187.76745909834472</c:v>
                </c:pt>
                <c:pt idx="3">
                  <c:v>299.33764050065747</c:v>
                </c:pt>
                <c:pt idx="4">
                  <c:v>408.65387884433494</c:v>
                </c:pt>
                <c:pt idx="5">
                  <c:v>515.78379242113942</c:v>
                </c:pt>
                <c:pt idx="6">
                  <c:v>620.792321570681</c:v>
                </c:pt>
                <c:pt idx="7">
                  <c:v>723.74185995258495</c:v>
                </c:pt>
                <c:pt idx="8">
                  <c:v>824.6923781717328</c:v>
                </c:pt>
                <c:pt idx="9">
                  <c:v>923.70154027128319</c:v>
                </c:pt>
                <c:pt idx="10">
                  <c:v>1020.8248135689355</c:v>
                </c:pt>
                <c:pt idx="11">
                  <c:v>1116.115572276068</c:v>
                </c:pt>
                <c:pt idx="12">
                  <c:v>1209.6251953064293</c:v>
                </c:pt>
                <c:pt idx="13">
                  <c:v>1301.4031586510437</c:v>
                </c:pt>
                <c:pt idx="14">
                  <c:v>1391.4971226682353</c:v>
                </c:pt>
                <c:pt idx="15">
                  <c:v>1479.9530146123859</c:v>
                </c:pt>
                <c:pt idx="16">
                  <c:v>1566.815106701687</c:v>
                </c:pt>
                <c:pt idx="17">
                  <c:v>1652.12609000368</c:v>
                </c:pt>
                <c:pt idx="18">
                  <c:v>1735.9271443976722</c:v>
                </c:pt>
                <c:pt idx="19">
                  <c:v>1818.2580048549289</c:v>
                </c:pt>
                <c:pt idx="20">
                  <c:v>1899.1570242607538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C7-4F8E-9C43-539F0400E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Scenarier!$T$33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Scenarier!$C$71</c:f>
              <c:strCache>
                <c:ptCount val="1"/>
                <c:pt idx="0">
                  <c:v>Ovn2 tonnageudnyttelse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0.98781922043010761</c:v>
                </c:pt>
                <c:pt idx="2">
                  <c:v>0.94928500166278673</c:v>
                </c:pt>
                <c:pt idx="3">
                  <c:v>0.91153719552337065</c:v>
                </c:pt>
                <c:pt idx="4">
                  <c:v>0.87455197132616469</c:v>
                </c:pt>
                <c:pt idx="5">
                  <c:v>0.83830645161290329</c:v>
                </c:pt>
                <c:pt idx="6">
                  <c:v>0.80277866496327055</c:v>
                </c:pt>
                <c:pt idx="7">
                  <c:v>0.76794750158127767</c:v>
                </c:pt>
                <c:pt idx="8">
                  <c:v>0.7337926714688382</c:v>
                </c:pt>
                <c:pt idx="9">
                  <c:v>0.70029466501240667</c:v>
                </c:pt>
                <c:pt idx="10">
                  <c:v>0.66743471582181246</c:v>
                </c:pt>
                <c:pt idx="11">
                  <c:v>0.63519476567255029</c:v>
                </c:pt>
                <c:pt idx="12">
                  <c:v>0.60355743141392815</c:v>
                </c:pt>
                <c:pt idx="13">
                  <c:v>0.57250597371565126</c:v>
                </c:pt>
                <c:pt idx="14">
                  <c:v>0.5420242675347734</c:v>
                </c:pt>
                <c:pt idx="15">
                  <c:v>0.51209677419354838</c:v>
                </c:pt>
                <c:pt idx="16">
                  <c:v>0.48270851496657963</c:v>
                </c:pt>
                <c:pt idx="17">
                  <c:v>0.45384504608294923</c:v>
                </c:pt>
                <c:pt idx="18">
                  <c:v>0.4254924350556667</c:v>
                </c:pt>
                <c:pt idx="19">
                  <c:v>0.39763723825693248</c:v>
                </c:pt>
                <c:pt idx="20">
                  <c:v>0.3702664796633941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B-483C-9BB7-342CDF6944DE}"/>
            </c:ext>
          </c:extLst>
        </c:ser>
        <c:ser>
          <c:idx val="1"/>
          <c:order val="1"/>
          <c:tx>
            <c:strRef>
              <c:f>Scenarier!$C$72</c:f>
              <c:strCache>
                <c:ptCount val="1"/>
                <c:pt idx="0">
                  <c:v>Ovn3 tonnageudnyttelse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1</c:v>
                </c:pt>
                <c:pt idx="1">
                  <c:v>0.99999999999999978</c:v>
                </c:pt>
                <c:pt idx="2">
                  <c:v>1</c:v>
                </c:pt>
                <c:pt idx="3">
                  <c:v>0.99999999999999978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0.99999999999999978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B-483C-9BB7-342CDF6944DE}"/>
            </c:ext>
          </c:extLst>
        </c:ser>
        <c:ser>
          <c:idx val="2"/>
          <c:order val="2"/>
          <c:tx>
            <c:strRef>
              <c:f>Scenarier!$C$73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B-483C-9BB7-342CDF6944DE}"/>
            </c:ext>
          </c:extLst>
        </c:ser>
        <c:ser>
          <c:idx val="3"/>
          <c:order val="3"/>
          <c:tx>
            <c:strRef>
              <c:f>Scenarier!$C$74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Scenarier!$E$74:$Y$74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9-4E14-BA2D-4B06EB792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Scenarier!$E$33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Scenarier!$C$75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661-4B10-9D4F-6B278E76E958}"/>
              </c:ext>
            </c:extLst>
          </c:dPt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Scenarier!$E$75:$Y$75</c:f>
              <c:numCache>
                <c:formatCode>#,##0</c:formatCode>
                <c:ptCount val="21"/>
                <c:pt idx="0">
                  <c:v>-25.711195069525662</c:v>
                </c:pt>
                <c:pt idx="1">
                  <c:v>-36.044007947642243</c:v>
                </c:pt>
                <c:pt idx="2">
                  <c:v>-34.880981324960246</c:v>
                </c:pt>
                <c:pt idx="3">
                  <c:v>-33.741332256634173</c:v>
                </c:pt>
                <c:pt idx="4">
                  <c:v>-32.624352331926232</c:v>
                </c:pt>
                <c:pt idx="5">
                  <c:v>-31.529361476527761</c:v>
                </c:pt>
                <c:pt idx="6">
                  <c:v>-30.455706549766241</c:v>
                </c:pt>
                <c:pt idx="7">
                  <c:v>-29.402760024328717</c:v>
                </c:pt>
                <c:pt idx="8">
                  <c:v>-36.727993818352502</c:v>
                </c:pt>
                <c:pt idx="9">
                  <c:v>-35.714677821961345</c:v>
                </c:pt>
                <c:pt idx="10">
                  <c:v>-34.720329245325452</c:v>
                </c:pt>
                <c:pt idx="11">
                  <c:v>-33.744411274678271</c:v>
                </c:pt>
                <c:pt idx="12">
                  <c:v>-32.7864071640576</c:v>
                </c:pt>
                <c:pt idx="13">
                  <c:v>-31.845819306240379</c:v>
                </c:pt>
                <c:pt idx="14">
                  <c:v>-30.922168354819217</c:v>
                </c:pt>
                <c:pt idx="15">
                  <c:v>-30.014992394165059</c:v>
                </c:pt>
                <c:pt idx="16">
                  <c:v>-29.12384615425723</c:v>
                </c:pt>
                <c:pt idx="17">
                  <c:v>-28.248300267575697</c:v>
                </c:pt>
                <c:pt idx="18">
                  <c:v>-27.387940565450815</c:v>
                </c:pt>
                <c:pt idx="19">
                  <c:v>-26.542367411446836</c:v>
                </c:pt>
                <c:pt idx="20">
                  <c:v>-25.711195069525662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1-4B10-9D4F-6B278E76E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'Model-1'!$P$48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'Model-1'!$P$49:$P$63</c:f>
              <c:numCache>
                <c:formatCode>#,##0,</c:formatCode>
                <c:ptCount val="15"/>
                <c:pt idx="0">
                  <c:v>16136472.253459308</c:v>
                </c:pt>
                <c:pt idx="1">
                  <c:v>8158905.7849090286</c:v>
                </c:pt>
                <c:pt idx="2">
                  <c:v>7977566.4685502797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4784851.8022397961</c:v>
                </c:pt>
                <c:pt idx="9">
                  <c:v>0</c:v>
                </c:pt>
                <c:pt idx="10">
                  <c:v>1049040</c:v>
                </c:pt>
                <c:pt idx="11">
                  <c:v>2211287.04</c:v>
                </c:pt>
                <c:pt idx="12">
                  <c:v>2271283.2000000002</c:v>
                </c:pt>
                <c:pt idx="13">
                  <c:v>471719.80799999996</c:v>
                </c:pt>
                <c:pt idx="14">
                  <c:v>2155575.7369090281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7-4151-9579-4A35B12BE046}"/>
            </c:ext>
          </c:extLst>
        </c:ser>
        <c:ser>
          <c:idx val="1"/>
          <c:order val="1"/>
          <c:tx>
            <c:strRef>
              <c:f>'Model-1'!$Q$48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'Model-1'!$Q$49:$Q$63</c:f>
              <c:numCache>
                <c:formatCode>#,##0,</c:formatCode>
                <c:ptCount val="15"/>
                <c:pt idx="0">
                  <c:v>15652263.443326186</c:v>
                </c:pt>
                <c:pt idx="1">
                  <c:v>7571194.7616575705</c:v>
                </c:pt>
                <c:pt idx="2">
                  <c:v>8081068.6816686159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4040337.1902956986</c:v>
                </c:pt>
                <c:pt idx="9">
                  <c:v>0</c:v>
                </c:pt>
                <c:pt idx="10">
                  <c:v>1099354.221690486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1820171.9042282121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7-4151-9579-4A35B12B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'Model-1'!$P$66:$P$71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4-49F1-B745-D6FCA8553D30}"/>
            </c:ext>
          </c:extLst>
        </c:ser>
        <c:ser>
          <c:idx val="1"/>
          <c:order val="1"/>
          <c:tx>
            <c:strRef>
              <c:f>'Model-1'!$Q$65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'Model-1'!$N$66:$N$71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'Model-1'!$Q$66:$Q$71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5031.4221690485911</c:v>
                </c:pt>
                <c:pt idx="3">
                  <c:v>0</c:v>
                </c:pt>
                <c:pt idx="4">
                  <c:v>24000</c:v>
                </c:pt>
                <c:pt idx="5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4-49F1-B745-D6FCA8553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'Model-1'!$N$49:$N$63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'Model-1'!$R$49:$R$63</c:f>
              <c:numCache>
                <c:formatCode>#,##0,</c:formatCode>
                <c:ptCount val="15"/>
                <c:pt idx="0">
                  <c:v>-484208.81013312191</c:v>
                </c:pt>
                <c:pt idx="1">
                  <c:v>-587711.02325145807</c:v>
                </c:pt>
                <c:pt idx="2">
                  <c:v>103502.21311833616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-744514.61194409756</c:v>
                </c:pt>
                <c:pt idx="9">
                  <c:v>0</c:v>
                </c:pt>
                <c:pt idx="10">
                  <c:v>50314.221690485952</c:v>
                </c:pt>
                <c:pt idx="11">
                  <c:v>17832.959999999963</c:v>
                </c:pt>
                <c:pt idx="12">
                  <c:v>-265345.18189024413</c:v>
                </c:pt>
                <c:pt idx="13">
                  <c:v>-55109.190370884142</c:v>
                </c:pt>
                <c:pt idx="14">
                  <c:v>-335403.83268081606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42-4788-BDF9-D7F6BC1C9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'Model-1'!$P$65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'Model-1'!$P$74:$P$80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2955.6732645664906</c:v>
                </c:pt>
                <c:pt idx="3">
                  <c:v>0</c:v>
                </c:pt>
                <c:pt idx="4">
                  <c:v>0</c:v>
                </c:pt>
                <c:pt idx="5">
                  <c:v>11962.129505599491</c:v>
                </c:pt>
                <c:pt idx="6">
                  <c:v>37.870494400509415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6-465E-A0B7-74DF2F1D0226}"/>
            </c:ext>
          </c:extLst>
        </c:ser>
        <c:ser>
          <c:idx val="1"/>
          <c:order val="1"/>
          <c:tx>
            <c:strRef>
              <c:f>'Model-1'!$Q$65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'Model-1'!$N$74:$N$80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'Model-1'!$Q$74:$Q$80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1094.3867347062462</c:v>
                </c:pt>
                <c:pt idx="3">
                  <c:v>0</c:v>
                </c:pt>
                <c:pt idx="4">
                  <c:v>0</c:v>
                </c:pt>
                <c:pt idx="5">
                  <c:v>10100.842975739246</c:v>
                </c:pt>
                <c:pt idx="6">
                  <c:v>1899.1570242607538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6-465E-A0B7-74DF2F1D0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'Model-1'!$P$82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'Model-1'!$N$83:$N$86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'Model-1'!$P$83:$P$86</c:f>
              <c:numCache>
                <c:formatCode>0.0%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0-4EBE-89BC-334B484A3527}"/>
            </c:ext>
          </c:extLst>
        </c:ser>
        <c:ser>
          <c:idx val="2"/>
          <c:order val="2"/>
          <c:tx>
            <c:strRef>
              <c:f>'Model-1'!$Q$82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'Model-1'!$N$83:$N$86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'Model-1'!$Q$83:$Q$86</c:f>
              <c:numCache>
                <c:formatCode>0.0%</c:formatCode>
                <c:ptCount val="4"/>
                <c:pt idx="0">
                  <c:v>1</c:v>
                </c:pt>
                <c:pt idx="1">
                  <c:v>0.3702664796633941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0-4EBE-89BC-334B484A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'Model-1'!$O$82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'Model-1'!$N$83:$N$86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'Model-1'!$O$83:$O$86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D60-4EBE-89BC-334B484A352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'Model-1'!$AL$6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'Model-1'!$P$82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'Model-1'!$P$87</c:f>
              <c:numCache>
                <c:formatCode>0.00</c:formatCode>
                <c:ptCount val="1"/>
                <c:pt idx="0">
                  <c:v>-24.079236750263767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7-4827-A078-A7C8C832BBE2}"/>
            </c:ext>
          </c:extLst>
        </c:ser>
        <c:ser>
          <c:idx val="2"/>
          <c:order val="2"/>
          <c:tx>
            <c:strRef>
              <c:f>'Model-1'!$Q$82</c:f>
              <c:strCache>
                <c:ptCount val="1"/>
                <c:pt idx="0">
                  <c:v>Med 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'Model-1'!$N$87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'Model-1'!$Q$87</c:f>
              <c:numCache>
                <c:formatCode>0.00</c:formatCode>
                <c:ptCount val="1"/>
                <c:pt idx="0">
                  <c:v>-25.711195069525662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7-4827-A078-A7C8C832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'Model-1'!$O$82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'Model-1'!$N$87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'Model-1'!$O$87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D47-4827-A078-A7C8C832BBE2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'Model-2'!$AE$50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'Model-2'!$AE$51:$AE$65</c:f>
              <c:numCache>
                <c:formatCode>#,##0,</c:formatCode>
                <c:ptCount val="15"/>
                <c:pt idx="0">
                  <c:v>17199880.882944107</c:v>
                </c:pt>
                <c:pt idx="1">
                  <c:v>8830741.1271111201</c:v>
                </c:pt>
                <c:pt idx="2">
                  <c:v>8369139.7558329869</c:v>
                </c:pt>
                <c:pt idx="4">
                  <c:v>8507405</c:v>
                </c:pt>
                <c:pt idx="5">
                  <c:v>3947332.4512195126</c:v>
                </c:pt>
                <c:pt idx="6">
                  <c:v>241211.86075472177</c:v>
                </c:pt>
                <c:pt idx="7">
                  <c:v>4503931.5709698722</c:v>
                </c:pt>
                <c:pt idx="9">
                  <c:v>0</c:v>
                </c:pt>
                <c:pt idx="10">
                  <c:v>1347899.2190575211</c:v>
                </c:pt>
                <c:pt idx="11">
                  <c:v>2540732.4000000004</c:v>
                </c:pt>
                <c:pt idx="12">
                  <c:v>2412118.6075472175</c:v>
                </c:pt>
                <c:pt idx="13">
                  <c:v>500969.72778445273</c:v>
                </c:pt>
                <c:pt idx="14">
                  <c:v>2029021.1727219273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D-43ED-955C-B6E56812DFB1}"/>
            </c:ext>
          </c:extLst>
        </c:ser>
        <c:ser>
          <c:idx val="1"/>
          <c:order val="1"/>
          <c:tx>
            <c:strRef>
              <c:f>'Model-2'!$AF$50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'Model-2'!$AF$51:$AF$65</c:f>
              <c:numCache>
                <c:formatCode>#,##0,</c:formatCode>
                <c:ptCount val="15"/>
                <c:pt idx="0">
                  <c:v>15734580.289489966</c:v>
                </c:pt>
                <c:pt idx="1">
                  <c:v>8188798.6563215032</c:v>
                </c:pt>
                <c:pt idx="2">
                  <c:v>7545781.6331684627</c:v>
                </c:pt>
                <c:pt idx="4">
                  <c:v>7499765</c:v>
                </c:pt>
                <c:pt idx="5">
                  <c:v>3947332.4512195126</c:v>
                </c:pt>
                <c:pt idx="6">
                  <c:v>231254.93149859153</c:v>
                </c:pt>
                <c:pt idx="7">
                  <c:v>4056227.9067718629</c:v>
                </c:pt>
                <c:pt idx="9">
                  <c:v>0</c:v>
                </c:pt>
                <c:pt idx="10">
                  <c:v>1328827.156415856</c:v>
                </c:pt>
                <c:pt idx="11">
                  <c:v>2239801.2000000002</c:v>
                </c:pt>
                <c:pt idx="12">
                  <c:v>2312549.3149859151</c:v>
                </c:pt>
                <c:pt idx="13">
                  <c:v>480290.3129190086</c:v>
                </c:pt>
                <c:pt idx="14">
                  <c:v>1827330.6720007241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0D-43ED-955C-B6E56812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'Model-2'!$AE$68:$AE$73</c:f>
              <c:numCache>
                <c:formatCode>#,##0</c:formatCode>
                <c:ptCount val="6"/>
                <c:pt idx="0">
                  <c:v>7898.7313002266601</c:v>
                </c:pt>
                <c:pt idx="1">
                  <c:v>20832</c:v>
                </c:pt>
                <c:pt idx="2">
                  <c:v>5557.9967048454637</c:v>
                </c:pt>
                <c:pt idx="3">
                  <c:v>1375.7313002266606</c:v>
                </c:pt>
                <c:pt idx="4">
                  <c:v>27355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F-41FC-9A14-7E1800988E17}"/>
            </c:ext>
          </c:extLst>
        </c:ser>
        <c:ser>
          <c:idx val="1"/>
          <c:order val="1"/>
          <c:tx>
            <c:strRef>
              <c:f>'Model-2'!$AF$67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'Model-2'!$AF$68:$AF$73</c:f>
              <c:numCache>
                <c:formatCode>#,##0</c:formatCode>
                <c:ptCount val="6"/>
                <c:pt idx="0">
                  <c:v>6739.0609932000789</c:v>
                </c:pt>
                <c:pt idx="1">
                  <c:v>20832</c:v>
                </c:pt>
                <c:pt idx="2">
                  <c:v>5049.4716687852942</c:v>
                </c:pt>
                <c:pt idx="3">
                  <c:v>3456.0609932000789</c:v>
                </c:pt>
                <c:pt idx="4">
                  <c:v>24115</c:v>
                </c:pt>
                <c:pt idx="5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8F-41FC-9A14-7E1800988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'Model-2'!$AG$51:$AG$65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2-43AD-B48E-6049F8721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'Model-2'!$AE$67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'Model-2'!$AE$76:$AE$82</c:f>
              <c:numCache>
                <c:formatCode>#,##0</c:formatCode>
                <c:ptCount val="7"/>
                <c:pt idx="0">
                  <c:v>9006.456241033</c:v>
                </c:pt>
                <c:pt idx="1">
                  <c:v>0</c:v>
                </c:pt>
                <c:pt idx="2">
                  <c:v>2253.3726863916804</c:v>
                </c:pt>
                <c:pt idx="3">
                  <c:v>0</c:v>
                </c:pt>
                <c:pt idx="4">
                  <c:v>575.298843139111</c:v>
                </c:pt>
                <c:pt idx="5">
                  <c:v>11835.127770563791</c:v>
                </c:pt>
                <c:pt idx="6">
                  <c:v>740.17107257531961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E-4CB8-B9B3-D8DE634DEA3D}"/>
            </c:ext>
          </c:extLst>
        </c:ser>
        <c:ser>
          <c:idx val="1"/>
          <c:order val="1"/>
          <c:tx>
            <c:strRef>
              <c:f>'Model-2'!$AF$67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'Model-2'!$AF$76:$AF$82</c:f>
              <c:numCache>
                <c:formatCode>#,##0</c:formatCode>
                <c:ptCount val="7"/>
                <c:pt idx="0">
                  <c:v>9006.456241033</c:v>
                </c:pt>
                <c:pt idx="1">
                  <c:v>4000</c:v>
                </c:pt>
                <c:pt idx="2">
                  <c:v>1134.113525896656</c:v>
                </c:pt>
                <c:pt idx="3">
                  <c:v>0</c:v>
                </c:pt>
                <c:pt idx="4">
                  <c:v>1445.2443517703148</c:v>
                </c:pt>
                <c:pt idx="5">
                  <c:v>11585.814118699971</c:v>
                </c:pt>
                <c:pt idx="6">
                  <c:v>1859.430233070344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E-4CB8-B9B3-D8DE634DE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'Model-2'!$BA$9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'Model-2'!$AE$84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'Model-2'!$AE$85:$AE$88</c:f>
              <c:numCache>
                <c:formatCode>0.0%</c:formatCode>
                <c:ptCount val="4"/>
                <c:pt idx="0">
                  <c:v>1</c:v>
                </c:pt>
                <c:pt idx="1">
                  <c:v>0.95703119943661075</c:v>
                </c:pt>
                <c:pt idx="2">
                  <c:v>0.1232734139988047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0-4E39-B61E-CD1A9A59E8D7}"/>
            </c:ext>
          </c:extLst>
        </c:ser>
        <c:ser>
          <c:idx val="2"/>
          <c:order val="2"/>
          <c:tx>
            <c:strRef>
              <c:f>'Model-2'!$AF$84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'Model-2'!$AF$85:$AF$88</c:f>
              <c:numCache>
                <c:formatCode>0.0%</c:formatCode>
                <c:ptCount val="4"/>
                <c:pt idx="0">
                  <c:v>1</c:v>
                </c:pt>
                <c:pt idx="1">
                  <c:v>0.87268031571320726</c:v>
                </c:pt>
                <c:pt idx="2">
                  <c:v>0.30968288469534755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0-4E39-B61E-CD1A9A59E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'Model-2'!$AD$84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'Model-2'!$AC$85:$AC$88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'Model-2'!$AD$85:$AD$88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C60-4E39-B61E-CD1A9A59E8D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'Model-2'!$BA$6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'Model-2'!$AE$84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'Model-2'!$AE$89</c:f>
              <c:numCache>
                <c:formatCode>0.00</c:formatCode>
                <c:ptCount val="1"/>
                <c:pt idx="0">
                  <c:v>5.0544779443250993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1-4D32-BB18-A8FA5E26F26E}"/>
            </c:ext>
          </c:extLst>
        </c:ser>
        <c:ser>
          <c:idx val="2"/>
          <c:order val="2"/>
          <c:tx>
            <c:strRef>
              <c:f>'Model-2'!$AF$84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'Model-2'!$AC$89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'Model-2'!$AF$89</c:f>
              <c:numCache>
                <c:formatCode>0.00</c:formatCode>
                <c:ptCount val="1"/>
                <c:pt idx="0">
                  <c:v>-1.9082161794925812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1-4D32-BB18-A8FA5E26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'Model-2'!$AD$84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'Model-2'!$AC$89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'Model-2'!$AD$89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C81-4D32-BB18-A8FA5E26F26E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7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GWh'!$E$9:$N$9</c:f>
              <c:numCache>
                <c:formatCode>#,##0,</c:formatCode>
                <c:ptCount val="10"/>
                <c:pt idx="0">
                  <c:v>4123321.3703158302</c:v>
                </c:pt>
                <c:pt idx="1">
                  <c:v>4110275.5213671499</c:v>
                </c:pt>
                <c:pt idx="2">
                  <c:v>4097823.8932815501</c:v>
                </c:pt>
                <c:pt idx="3">
                  <c:v>4085926.79114307</c:v>
                </c:pt>
                <c:pt idx="4">
                  <c:v>4074547.97860272</c:v>
                </c:pt>
                <c:pt idx="5">
                  <c:v>4063654.3092326801</c:v>
                </c:pt>
                <c:pt idx="6">
                  <c:v>4053215.4040488801</c:v>
                </c:pt>
                <c:pt idx="7">
                  <c:v>4043203.3685937799</c:v>
                </c:pt>
                <c:pt idx="8">
                  <c:v>4033592.5440312298</c:v>
                </c:pt>
                <c:pt idx="9">
                  <c:v>4024359.2875764999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3-407E-96F8-7C95247B1AE9}"/>
            </c:ext>
          </c:extLst>
        </c:ser>
        <c:ser>
          <c:idx val="2"/>
          <c:order val="1"/>
          <c:tx>
            <c:strRef>
              <c:f>'Scenario 7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7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7 GWh'!$E$10:$N$10</c:f>
              <c:numCache>
                <c:formatCode>#,##0,</c:formatCode>
                <c:ptCount val="10"/>
                <c:pt idx="0">
                  <c:v>3425980.5598761602</c:v>
                </c:pt>
                <c:pt idx="1">
                  <c:v>3361337.75855528</c:v>
                </c:pt>
                <c:pt idx="2">
                  <c:v>3299639.34984115</c:v>
                </c:pt>
                <c:pt idx="3">
                  <c:v>3240688.6435393998</c:v>
                </c:pt>
                <c:pt idx="4">
                  <c:v>3184306.0868191002</c:v>
                </c:pt>
                <c:pt idx="5">
                  <c:v>3130327.4375558798</c:v>
                </c:pt>
                <c:pt idx="6">
                  <c:v>3078602.1664402601</c:v>
                </c:pt>
                <c:pt idx="7">
                  <c:v>3028992.0551100401</c:v>
                </c:pt>
                <c:pt idx="8">
                  <c:v>2981369.9628130901</c:v>
                </c:pt>
                <c:pt idx="9">
                  <c:v>2935618.7384278099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3-407E-96F8-7C95247B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28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GWh'!$E$9:$N$9</c:f>
              <c:numCache>
                <c:formatCode>#,##0,</c:formatCode>
                <c:ptCount val="10"/>
                <c:pt idx="0">
                  <c:v>7866196.3108281298</c:v>
                </c:pt>
                <c:pt idx="1">
                  <c:v>7831849.9144885596</c:v>
                </c:pt>
                <c:pt idx="2">
                  <c:v>7798897.0890948502</c:v>
                </c:pt>
                <c:pt idx="3">
                  <c:v>7767256.6557569401</c:v>
                </c:pt>
                <c:pt idx="4">
                  <c:v>7736853.6206430802</c:v>
                </c:pt>
                <c:pt idx="5">
                  <c:v>7707618.5969369598</c:v>
                </c:pt>
                <c:pt idx="6">
                  <c:v>7679487.2904326404</c:v>
                </c:pt>
                <c:pt idx="7">
                  <c:v>7652400.0407408504</c:v>
                </c:pt>
                <c:pt idx="8">
                  <c:v>7626301.4112166697</c:v>
                </c:pt>
                <c:pt idx="9">
                  <c:v>7601139.8216774501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9-4995-94D5-E3D25067DFCE}"/>
            </c:ext>
          </c:extLst>
        </c:ser>
        <c:ser>
          <c:idx val="2"/>
          <c:order val="1"/>
          <c:tx>
            <c:strRef>
              <c:f>'Scenario 28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28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28 GWh'!$E$10:$N$10</c:f>
              <c:numCache>
                <c:formatCode>#,##0,</c:formatCode>
                <c:ptCount val="10"/>
                <c:pt idx="0">
                  <c:v>8324633.6659763698</c:v>
                </c:pt>
                <c:pt idx="1">
                  <c:v>8270244.8982715895</c:v>
                </c:pt>
                <c:pt idx="2">
                  <c:v>8217976.8235435002</c:v>
                </c:pt>
                <c:pt idx="3">
                  <c:v>8369287.0980898896</c:v>
                </c:pt>
                <c:pt idx="4">
                  <c:v>8320899.2150051603</c:v>
                </c:pt>
                <c:pt idx="5">
                  <c:v>8274288.7753986102</c:v>
                </c:pt>
                <c:pt idx="6">
                  <c:v>8229357.9383448502</c:v>
                </c:pt>
                <c:pt idx="7">
                  <c:v>8186015.9145167004</c:v>
                </c:pt>
                <c:pt idx="8">
                  <c:v>8144178.3421499496</c:v>
                </c:pt>
                <c:pt idx="9">
                  <c:v>8103766.7281248998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9-4995-94D5-E3D25067D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'Scenario 35 GWh'!$A$9</c:f>
              <c:strCache>
                <c:ptCount val="1"/>
                <c:pt idx="0">
                  <c:v>Omkostninger 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GWh'!$E$9:$N$9</c:f>
              <c:numCache>
                <c:formatCode>#,##0,</c:formatCode>
                <c:ptCount val="10"/>
                <c:pt idx="0">
                  <c:v>7934106.8600176601</c:v>
                </c:pt>
                <c:pt idx="1">
                  <c:v>8049671.2001874102</c:v>
                </c:pt>
                <c:pt idx="2">
                  <c:v>8165235.5403571697</c:v>
                </c:pt>
                <c:pt idx="3">
                  <c:v>8280799.8805269198</c:v>
                </c:pt>
                <c:pt idx="4">
                  <c:v>8396364.2206966802</c:v>
                </c:pt>
                <c:pt idx="5">
                  <c:v>8511928.5608664397</c:v>
                </c:pt>
                <c:pt idx="6">
                  <c:v>8627492.9010361899</c:v>
                </c:pt>
                <c:pt idx="7">
                  <c:v>8743057.2412059493</c:v>
                </c:pt>
                <c:pt idx="8">
                  <c:v>8858621.5813757107</c:v>
                </c:pt>
                <c:pt idx="9">
                  <c:v>8974185.9215454608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F-4161-9C5F-96CAE1FF0B02}"/>
            </c:ext>
          </c:extLst>
        </c:ser>
        <c:ser>
          <c:idx val="2"/>
          <c:order val="1"/>
          <c:tx>
            <c:strRef>
              <c:f>'Scenario 35 GWh'!$A$10</c:f>
              <c:strCache>
                <c:ptCount val="1"/>
                <c:pt idx="0">
                  <c:v>Dækningsbidrag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'Scenario 35 GWh'!$E$3:$N$3</c:f>
              <c:strCache>
                <c:ptCount val="10"/>
                <c:pt idx="0">
                  <c:v>RGK 10 %</c:v>
                </c:pt>
                <c:pt idx="1">
                  <c:v>RGK 20 %</c:v>
                </c:pt>
                <c:pt idx="2">
                  <c:v>RGK 30 %</c:v>
                </c:pt>
                <c:pt idx="3">
                  <c:v>RGK 40 %</c:v>
                </c:pt>
                <c:pt idx="4">
                  <c:v>RGK 50 %</c:v>
                </c:pt>
                <c:pt idx="5">
                  <c:v>RGK 60 %</c:v>
                </c:pt>
                <c:pt idx="6">
                  <c:v>RGK 70 %</c:v>
                </c:pt>
                <c:pt idx="7">
                  <c:v>RGK 80 %</c:v>
                </c:pt>
                <c:pt idx="8">
                  <c:v>RGK 90 %</c:v>
                </c:pt>
                <c:pt idx="9">
                  <c:v>RGK 100 %</c:v>
                </c:pt>
              </c:strCache>
            </c:strRef>
          </c:cat>
          <c:val>
            <c:numRef>
              <c:f>'Scenario 35 GWh'!$E$10:$N$10</c:f>
              <c:numCache>
                <c:formatCode>#,##0,</c:formatCode>
                <c:ptCount val="10"/>
                <c:pt idx="0">
                  <c:v>8375903.3934416501</c:v>
                </c:pt>
                <c:pt idx="1">
                  <c:v>8433877.0532719009</c:v>
                </c:pt>
                <c:pt idx="2">
                  <c:v>8491850.7131021395</c:v>
                </c:pt>
                <c:pt idx="3">
                  <c:v>8767933.6147433594</c:v>
                </c:pt>
                <c:pt idx="4">
                  <c:v>8830698.2625735998</c:v>
                </c:pt>
                <c:pt idx="5">
                  <c:v>8893462.9104038496</c:v>
                </c:pt>
                <c:pt idx="6">
                  <c:v>8956227.55823409</c:v>
                </c:pt>
                <c:pt idx="7">
                  <c:v>9018992.2060643304</c:v>
                </c:pt>
                <c:pt idx="8">
                  <c:v>9081756.8538945802</c:v>
                </c:pt>
                <c:pt idx="9">
                  <c:v>9144521.5017248206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0F-4161-9C5F-96CAE1FF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1000192"/>
        <c:axId val="604163440"/>
      </c:barChart>
      <c:catAx>
        <c:axId val="20010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04163440"/>
        <c:crosses val="autoZero"/>
        <c:auto val="1"/>
        <c:lblAlgn val="ctr"/>
        <c:lblOffset val="100"/>
        <c:noMultiLvlLbl val="0"/>
      </c:catAx>
      <c:valAx>
        <c:axId val="60416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0100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BE63B5-BB0B-42BB-B63B-E561DE980B45}"/>
            </a:ext>
          </a:extLst>
        </xdr:cNvPr>
        <xdr:cNvSpPr/>
      </xdr:nvSpPr>
      <xdr:spPr>
        <a:xfrm>
          <a:off x="257734" y="795617"/>
          <a:ext cx="1165412" cy="3137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14</xdr:row>
      <xdr:rowOff>21012</xdr:rowOff>
    </xdr:from>
    <xdr:to>
      <xdr:col>17</xdr:col>
      <xdr:colOff>748187</xdr:colOff>
      <xdr:row>31</xdr:row>
      <xdr:rowOff>22512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7BA95A-D40D-44DF-A1D6-3E9E8BFE7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14</xdr:row>
      <xdr:rowOff>23530</xdr:rowOff>
    </xdr:from>
    <xdr:to>
      <xdr:col>8</xdr:col>
      <xdr:colOff>559603</xdr:colOff>
      <xdr:row>31</xdr:row>
      <xdr:rowOff>25030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B42506-7FE5-47C8-B2D5-C55E170D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14</xdr:row>
      <xdr:rowOff>0</xdr:rowOff>
    </xdr:from>
    <xdr:to>
      <xdr:col>27</xdr:col>
      <xdr:colOff>249530</xdr:colOff>
      <xdr:row>31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F656D25-C713-46DE-93FC-5636B02BE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33</xdr:row>
      <xdr:rowOff>34636</xdr:rowOff>
    </xdr:from>
    <xdr:to>
      <xdr:col>17</xdr:col>
      <xdr:colOff>751758</xdr:colOff>
      <xdr:row>50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C96A5B-8D07-4369-89FE-0DF092874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33</xdr:row>
      <xdr:rowOff>34636</xdr:rowOff>
    </xdr:from>
    <xdr:to>
      <xdr:col>27</xdr:col>
      <xdr:colOff>249530</xdr:colOff>
      <xdr:row>50</xdr:row>
      <xdr:rowOff>36136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6DC65D-2668-4D69-AFFF-212F529D2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33</xdr:row>
      <xdr:rowOff>22412</xdr:rowOff>
    </xdr:from>
    <xdr:to>
      <xdr:col>8</xdr:col>
      <xdr:colOff>552090</xdr:colOff>
      <xdr:row>50</xdr:row>
      <xdr:rowOff>23912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5E14A8-5003-4D6B-8D8D-096FAE72CE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892725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9CC451-141C-42FB-9C6D-598CDB10E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892725</xdr:colOff>
      <xdr:row>38</xdr:row>
      <xdr:rowOff>186688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2EC5D3-8CF7-46F7-AF51-A9935B033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0</xdr:colOff>
      <xdr:row>1</xdr:row>
      <xdr:rowOff>9525</xdr:rowOff>
    </xdr:from>
    <xdr:to>
      <xdr:col>19</xdr:col>
      <xdr:colOff>6900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F3D20A-DAAF-45D8-BA9E-4526496A45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952500</xdr:colOff>
      <xdr:row>20</xdr:row>
      <xdr:rowOff>38100</xdr:rowOff>
    </xdr:from>
    <xdr:to>
      <xdr:col>18</xdr:col>
      <xdr:colOff>273600</xdr:colOff>
      <xdr:row>38</xdr:row>
      <xdr:rowOff>186688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FC4AFB3-7E4E-4257-BD31-C94CF7A81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95249</xdr:colOff>
      <xdr:row>20</xdr:row>
      <xdr:rowOff>44823</xdr:rowOff>
    </xdr:from>
    <xdr:to>
      <xdr:col>23</xdr:col>
      <xdr:colOff>568984</xdr:colOff>
      <xdr:row>38</xdr:row>
      <xdr:rowOff>193411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A55ABC-F952-457E-905D-3CD7D43069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89647</xdr:colOff>
      <xdr:row>1</xdr:row>
      <xdr:rowOff>9525</xdr:rowOff>
    </xdr:from>
    <xdr:to>
      <xdr:col>23</xdr:col>
      <xdr:colOff>563382</xdr:colOff>
      <xdr:row>19</xdr:row>
      <xdr:rowOff>146908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ED4104-C0DA-4536-A9AD-D45182588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" textlink="">
      <xdr:nvSpPr>
        <xdr:cNvPr id="3" name="Rectangle: Rounded Corners 2" hidden="1">
          <a:extLst>
            <a:ext uri="{FF2B5EF4-FFF2-40B4-BE49-F238E27FC236}">
              <a16:creationId xmlns:a16="http://schemas.microsoft.com/office/drawing/2014/main" id="{17CAFD58-C3C5-4765-80AA-CC95613CE43B}"/>
            </a:ext>
          </a:extLst>
        </xdr:cNvPr>
        <xdr:cNvSpPr/>
      </xdr:nvSpPr>
      <xdr:spPr>
        <a:xfrm>
          <a:off x="3429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B675F12-0546-4A50-8037-A1AA9D3E8830}"/>
            </a:ext>
          </a:extLst>
        </xdr:cNvPr>
        <xdr:cNvSpPr/>
      </xdr:nvSpPr>
      <xdr:spPr>
        <a:xfrm>
          <a:off x="3924300" y="81242"/>
          <a:ext cx="11049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261937</xdr:colOff>
      <xdr:row>2</xdr:row>
      <xdr:rowOff>80963</xdr:rowOff>
    </xdr:from>
    <xdr:to>
      <xdr:col>48</xdr:col>
      <xdr:colOff>440287</xdr:colOff>
      <xdr:row>21</xdr:row>
      <xdr:rowOff>14239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AB2867-52F8-4D59-9F75-EC3FFA255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39</xdr:col>
      <xdr:colOff>261937</xdr:colOff>
      <xdr:row>25</xdr:row>
      <xdr:rowOff>109538</xdr:rowOff>
    </xdr:from>
    <xdr:to>
      <xdr:col>48</xdr:col>
      <xdr:colOff>440287</xdr:colOff>
      <xdr:row>44</xdr:row>
      <xdr:rowOff>70028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43D8B-682E-42B4-B51D-8FD0F9D34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48</xdr:col>
      <xdr:colOff>500062</xdr:colOff>
      <xdr:row>2</xdr:row>
      <xdr:rowOff>80963</xdr:rowOff>
    </xdr:from>
    <xdr:to>
      <xdr:col>58</xdr:col>
      <xdr:colOff>78336</xdr:colOff>
      <xdr:row>21</xdr:row>
      <xdr:rowOff>14239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40EBCD-CFA4-4D21-BE3B-3A6BFAE85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48</xdr:col>
      <xdr:colOff>500062</xdr:colOff>
      <xdr:row>25</xdr:row>
      <xdr:rowOff>109538</xdr:rowOff>
    </xdr:from>
    <xdr:to>
      <xdr:col>58</xdr:col>
      <xdr:colOff>59286</xdr:colOff>
      <xdr:row>44</xdr:row>
      <xdr:rowOff>70028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496411-327D-4432-ABB8-166D87873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58</xdr:col>
      <xdr:colOff>166686</xdr:colOff>
      <xdr:row>25</xdr:row>
      <xdr:rowOff>116261</xdr:rowOff>
    </xdr:from>
    <xdr:to>
      <xdr:col>65</xdr:col>
      <xdr:colOff>607084</xdr:colOff>
      <xdr:row>44</xdr:row>
      <xdr:rowOff>76751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1F88531-9C18-4F8D-A444-04BD27768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58</xdr:col>
      <xdr:colOff>161084</xdr:colOff>
      <xdr:row>2</xdr:row>
      <xdr:rowOff>80963</xdr:rowOff>
    </xdr:from>
    <xdr:to>
      <xdr:col>65</xdr:col>
      <xdr:colOff>611007</xdr:colOff>
      <xdr:row>21</xdr:row>
      <xdr:rowOff>14239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75CEFD-7418-489E-8576-1FC7A4B24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152400</xdr:colOff>
      <xdr:row>0</xdr:row>
      <xdr:rowOff>85725</xdr:rowOff>
    </xdr:from>
    <xdr:to>
      <xdr:col>22</xdr:col>
      <xdr:colOff>1066800</xdr:colOff>
      <xdr:row>0</xdr:row>
      <xdr:rowOff>342900</xdr:rowOff>
    </xdr:to>
    <xdr:sp macro="[0]!ShowInputView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A95A7C53-AEE4-405B-9C6E-A5EC3BC230A6}"/>
            </a:ext>
          </a:extLst>
        </xdr:cNvPr>
        <xdr:cNvSpPr/>
      </xdr:nvSpPr>
      <xdr:spPr>
        <a:xfrm>
          <a:off x="55245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10</xdr:col>
      <xdr:colOff>596153</xdr:colOff>
      <xdr:row>0</xdr:row>
      <xdr:rowOff>81242</xdr:rowOff>
    </xdr:from>
    <xdr:to>
      <xdr:col>12</xdr:col>
      <xdr:colOff>490818</xdr:colOff>
      <xdr:row>0</xdr:row>
      <xdr:rowOff>338417</xdr:rowOff>
    </xdr:to>
    <xdr:sp macro="[0]!HideInputVie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02434A-50EA-4220-ADBC-66893347CE52}"/>
            </a:ext>
          </a:extLst>
        </xdr:cNvPr>
        <xdr:cNvSpPr/>
      </xdr:nvSpPr>
      <xdr:spPr>
        <a:xfrm>
          <a:off x="3929903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7CC950-9C2B-48DC-B9AC-47177C8A9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6723</xdr:rowOff>
    </xdr:from>
    <xdr:to>
      <xdr:col>25</xdr:col>
      <xdr:colOff>526676</xdr:colOff>
      <xdr:row>21</xdr:row>
      <xdr:rowOff>82923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A4D9C9-768C-4DAE-8849-6EB3EDF6D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145677</xdr:colOff>
      <xdr:row>0</xdr:row>
      <xdr:rowOff>22412</xdr:rowOff>
    </xdr:from>
    <xdr:to>
      <xdr:col>25</xdr:col>
      <xdr:colOff>560295</xdr:colOff>
      <xdr:row>7</xdr:row>
      <xdr:rowOff>11206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FCCF80-8E07-44A5-9B7D-AB6F722FDE5A}"/>
            </a:ext>
          </a:extLst>
        </xdr:cNvPr>
        <xdr:cNvSpPr txBox="1"/>
      </xdr:nvSpPr>
      <xdr:spPr>
        <a:xfrm>
          <a:off x="14847795" y="22412"/>
          <a:ext cx="5860676" cy="116541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Maksimal</a:t>
          </a:r>
          <a:r>
            <a:rPr lang="da-DK" sz="1400" baseline="0"/>
            <a:t> DB opnås her, når RGK-graden netop udløser RGK-rabatten. </a:t>
          </a:r>
        </a:p>
        <a:p>
          <a:r>
            <a:rPr lang="da-DK" sz="1400" baseline="0"/>
            <a:t>For større RGK-grad falder modtagebetalingen. </a:t>
          </a:r>
        </a:p>
        <a:p>
          <a:r>
            <a:rPr lang="da-DK" sz="1400" baseline="0"/>
            <a:t>Denne situation opstår, når varmebehovet ikke udnytter ovnkapaciteterne fuldt ud, om vinteren når NordicSugar-varme kommer ind, og om sommeren, når varmebehovet falder.</a:t>
          </a:r>
          <a:endParaRPr lang="da-DK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25</xdr:col>
      <xdr:colOff>526675</xdr:colOff>
      <xdr:row>21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69395D-72BD-4C7E-A718-632CAABE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comments" Target="../comments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5041-A897-4B9A-847B-80A5909CEA13}">
  <sheetPr codeName="Sheet7"/>
  <dimension ref="C3:Y10"/>
  <sheetViews>
    <sheetView zoomScale="85" zoomScaleNormal="85" workbookViewId="0">
      <selection activeCell="D3" sqref="D3"/>
    </sheetView>
  </sheetViews>
  <sheetFormatPr defaultRowHeight="15" x14ac:dyDescent="0.25"/>
  <cols>
    <col min="3" max="3" width="24" bestFit="1" customWidth="1"/>
    <col min="4" max="4" width="9.42578125" bestFit="1" customWidth="1"/>
  </cols>
  <sheetData>
    <row r="3" spans="3:25" x14ac:dyDescent="0.25">
      <c r="C3" t="s">
        <v>272</v>
      </c>
      <c r="D3" t="s">
        <v>273</v>
      </c>
    </row>
    <row r="4" spans="3:25" x14ac:dyDescent="0.25">
      <c r="C4" s="83" t="s">
        <v>133</v>
      </c>
      <c r="D4" s="84" t="s">
        <v>49</v>
      </c>
      <c r="E4" s="85" t="s">
        <v>209</v>
      </c>
      <c r="F4" s="85" t="s">
        <v>210</v>
      </c>
      <c r="G4" s="85" t="s">
        <v>211</v>
      </c>
      <c r="H4" s="85" t="s">
        <v>212</v>
      </c>
      <c r="I4" s="85" t="s">
        <v>213</v>
      </c>
      <c r="J4" s="85" t="s">
        <v>214</v>
      </c>
      <c r="K4" s="85" t="s">
        <v>215</v>
      </c>
      <c r="L4" s="85" t="s">
        <v>216</v>
      </c>
      <c r="M4" s="85" t="s">
        <v>217</v>
      </c>
      <c r="N4" s="85" t="s">
        <v>218</v>
      </c>
      <c r="O4" s="85" t="s">
        <v>219</v>
      </c>
      <c r="P4" s="85" t="s">
        <v>220</v>
      </c>
      <c r="Q4" s="85" t="s">
        <v>221</v>
      </c>
      <c r="R4" s="85" t="s">
        <v>222</v>
      </c>
      <c r="S4" s="85" t="s">
        <v>223</v>
      </c>
      <c r="T4" s="85" t="s">
        <v>224</v>
      </c>
      <c r="U4" s="85" t="s">
        <v>225</v>
      </c>
      <c r="V4" s="85" t="s">
        <v>226</v>
      </c>
      <c r="W4" s="85" t="s">
        <v>227</v>
      </c>
      <c r="X4" s="85" t="s">
        <v>228</v>
      </c>
      <c r="Y4" s="86" t="s">
        <v>229</v>
      </c>
    </row>
    <row r="5" spans="3:25" x14ac:dyDescent="0.25">
      <c r="C5" s="87" t="s">
        <v>230</v>
      </c>
      <c r="D5" s="88"/>
      <c r="E5" s="89">
        <v>1</v>
      </c>
      <c r="F5" s="89">
        <v>1</v>
      </c>
      <c r="G5" s="89">
        <v>1</v>
      </c>
      <c r="H5" s="89">
        <v>1</v>
      </c>
      <c r="I5" s="89">
        <v>1</v>
      </c>
      <c r="J5" s="89">
        <v>1</v>
      </c>
      <c r="K5" s="89">
        <v>1</v>
      </c>
      <c r="L5" s="89">
        <v>1</v>
      </c>
      <c r="M5" s="89">
        <v>1</v>
      </c>
      <c r="N5" s="89">
        <v>1</v>
      </c>
      <c r="O5" s="89">
        <v>1</v>
      </c>
      <c r="P5" s="89">
        <v>1</v>
      </c>
      <c r="Q5" s="89">
        <v>1</v>
      </c>
      <c r="R5" s="89">
        <v>1</v>
      </c>
      <c r="S5" s="89">
        <v>1</v>
      </c>
      <c r="T5" s="89">
        <v>1</v>
      </c>
      <c r="U5" s="89">
        <v>1</v>
      </c>
      <c r="V5" s="89">
        <v>1</v>
      </c>
      <c r="W5" s="89">
        <v>1</v>
      </c>
      <c r="X5" s="89">
        <v>1</v>
      </c>
      <c r="Y5" s="90">
        <v>1</v>
      </c>
    </row>
    <row r="6" spans="3:25" x14ac:dyDescent="0.25">
      <c r="C6" s="87" t="s">
        <v>204</v>
      </c>
      <c r="D6" s="91" t="s">
        <v>43</v>
      </c>
      <c r="E6" s="92">
        <v>28000</v>
      </c>
      <c r="F6" s="92">
        <v>28000</v>
      </c>
      <c r="G6" s="92">
        <v>28000</v>
      </c>
      <c r="H6" s="92">
        <v>28000</v>
      </c>
      <c r="I6" s="92">
        <v>28000</v>
      </c>
      <c r="J6" s="92">
        <v>28000</v>
      </c>
      <c r="K6" s="92">
        <v>28000</v>
      </c>
      <c r="L6" s="92">
        <v>28000</v>
      </c>
      <c r="M6" s="92">
        <v>28000</v>
      </c>
      <c r="N6" s="92">
        <v>28000</v>
      </c>
      <c r="O6" s="92">
        <v>28000</v>
      </c>
      <c r="P6" s="92">
        <v>28000</v>
      </c>
      <c r="Q6" s="92">
        <v>28000</v>
      </c>
      <c r="R6" s="92">
        <v>28000</v>
      </c>
      <c r="S6" s="92">
        <v>28000</v>
      </c>
      <c r="T6" s="92">
        <v>28000</v>
      </c>
      <c r="U6" s="92">
        <v>28000</v>
      </c>
      <c r="V6" s="92">
        <v>28000</v>
      </c>
      <c r="W6" s="92">
        <v>28000</v>
      </c>
      <c r="X6" s="92">
        <v>28000</v>
      </c>
      <c r="Y6" s="93">
        <v>28000</v>
      </c>
    </row>
    <row r="7" spans="3:25" x14ac:dyDescent="0.25">
      <c r="C7" s="87" t="s">
        <v>205</v>
      </c>
      <c r="D7" s="91" t="s">
        <v>17</v>
      </c>
      <c r="E7" s="92">
        <v>12000</v>
      </c>
      <c r="F7" s="92">
        <v>12000</v>
      </c>
      <c r="G7" s="92">
        <v>12000</v>
      </c>
      <c r="H7" s="92">
        <v>12000</v>
      </c>
      <c r="I7" s="92">
        <v>12000</v>
      </c>
      <c r="J7" s="92">
        <v>12000</v>
      </c>
      <c r="K7" s="92">
        <v>12000</v>
      </c>
      <c r="L7" s="92">
        <v>12000</v>
      </c>
      <c r="M7" s="92">
        <v>12000</v>
      </c>
      <c r="N7" s="92">
        <v>12000</v>
      </c>
      <c r="O7" s="92">
        <v>12000</v>
      </c>
      <c r="P7" s="92">
        <v>12000</v>
      </c>
      <c r="Q7" s="92">
        <v>12000</v>
      </c>
      <c r="R7" s="92">
        <v>12000</v>
      </c>
      <c r="S7" s="92">
        <v>12000</v>
      </c>
      <c r="T7" s="92">
        <v>12000</v>
      </c>
      <c r="U7" s="92">
        <v>12000</v>
      </c>
      <c r="V7" s="92">
        <v>12000</v>
      </c>
      <c r="W7" s="92">
        <v>12000</v>
      </c>
      <c r="X7" s="92">
        <v>12000</v>
      </c>
      <c r="Y7" s="93">
        <v>12000</v>
      </c>
    </row>
    <row r="8" spans="3:25" x14ac:dyDescent="0.25">
      <c r="C8" s="87" t="s">
        <v>206</v>
      </c>
      <c r="D8" s="91" t="s">
        <v>17</v>
      </c>
      <c r="E8" s="92">
        <v>0</v>
      </c>
      <c r="F8" s="92">
        <v>0</v>
      </c>
      <c r="G8" s="92">
        <v>0</v>
      </c>
      <c r="H8" s="92">
        <v>0</v>
      </c>
      <c r="I8" s="92">
        <v>0</v>
      </c>
      <c r="J8" s="92">
        <v>0</v>
      </c>
      <c r="K8" s="92">
        <v>0</v>
      </c>
      <c r="L8" s="92">
        <v>0</v>
      </c>
      <c r="M8" s="92">
        <v>0</v>
      </c>
      <c r="N8" s="92">
        <v>0</v>
      </c>
      <c r="O8" s="92">
        <v>0</v>
      </c>
      <c r="P8" s="92">
        <v>0</v>
      </c>
      <c r="Q8" s="92">
        <v>0</v>
      </c>
      <c r="R8" s="92">
        <v>0</v>
      </c>
      <c r="S8" s="92">
        <v>0</v>
      </c>
      <c r="T8" s="92">
        <v>0</v>
      </c>
      <c r="U8" s="92">
        <v>0</v>
      </c>
      <c r="V8" s="92">
        <v>0</v>
      </c>
      <c r="W8" s="92">
        <v>0</v>
      </c>
      <c r="X8" s="92">
        <v>0</v>
      </c>
      <c r="Y8" s="93">
        <v>0</v>
      </c>
    </row>
    <row r="9" spans="3:25" x14ac:dyDescent="0.25">
      <c r="C9" s="87" t="s">
        <v>132</v>
      </c>
      <c r="D9" s="91" t="s">
        <v>134</v>
      </c>
      <c r="E9" s="94">
        <v>1</v>
      </c>
      <c r="F9" s="94">
        <v>0.05</v>
      </c>
      <c r="G9" s="94">
        <v>0.1</v>
      </c>
      <c r="H9" s="94">
        <v>0.15</v>
      </c>
      <c r="I9" s="94">
        <v>0.2</v>
      </c>
      <c r="J9" s="94">
        <v>0.25</v>
      </c>
      <c r="K9" s="94">
        <v>0.3</v>
      </c>
      <c r="L9" s="94">
        <v>0.35</v>
      </c>
      <c r="M9" s="94">
        <v>0.4</v>
      </c>
      <c r="N9" s="94">
        <v>0.45</v>
      </c>
      <c r="O9" s="94">
        <v>0.5</v>
      </c>
      <c r="P9" s="94">
        <v>0.55000000000000004</v>
      </c>
      <c r="Q9" s="94">
        <v>0.6</v>
      </c>
      <c r="R9" s="94">
        <v>0.65</v>
      </c>
      <c r="S9" s="94">
        <v>0.7</v>
      </c>
      <c r="T9" s="94">
        <v>0.75</v>
      </c>
      <c r="U9" s="94">
        <v>0.8</v>
      </c>
      <c r="V9" s="94">
        <v>0.85</v>
      </c>
      <c r="W9" s="94">
        <v>0.9</v>
      </c>
      <c r="X9" s="94">
        <v>0.95</v>
      </c>
      <c r="Y9" s="95">
        <v>1</v>
      </c>
    </row>
    <row r="10" spans="3:25" x14ac:dyDescent="0.25">
      <c r="C10" s="96" t="s">
        <v>207</v>
      </c>
      <c r="D10" s="97" t="s">
        <v>43</v>
      </c>
      <c r="E10" s="98">
        <v>4000</v>
      </c>
      <c r="F10" s="98">
        <v>4000</v>
      </c>
      <c r="G10" s="98">
        <v>4000</v>
      </c>
      <c r="H10" s="98">
        <v>4000</v>
      </c>
      <c r="I10" s="98">
        <v>4000</v>
      </c>
      <c r="J10" s="98">
        <v>4000</v>
      </c>
      <c r="K10" s="98">
        <v>4000</v>
      </c>
      <c r="L10" s="98">
        <v>4000</v>
      </c>
      <c r="M10" s="98">
        <v>4000</v>
      </c>
      <c r="N10" s="98">
        <v>4000</v>
      </c>
      <c r="O10" s="98">
        <v>4000</v>
      </c>
      <c r="P10" s="98">
        <v>4000</v>
      </c>
      <c r="Q10" s="98">
        <v>4000</v>
      </c>
      <c r="R10" s="98">
        <v>4000</v>
      </c>
      <c r="S10" s="98">
        <v>4000</v>
      </c>
      <c r="T10" s="98">
        <v>4000</v>
      </c>
      <c r="U10" s="98">
        <v>4000</v>
      </c>
      <c r="V10" s="98">
        <v>4000</v>
      </c>
      <c r="W10" s="98">
        <v>4000</v>
      </c>
      <c r="X10" s="98">
        <v>4000</v>
      </c>
      <c r="Y10" s="99">
        <v>4000</v>
      </c>
    </row>
  </sheetData>
  <conditionalFormatting sqref="E5:Y5">
    <cfRule type="cellIs" dxfId="6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A8DB-58B5-4F5D-9E46-7BD8B1B89D7C}">
  <sheetPr codeName="Sheet1"/>
  <dimension ref="A1:AE148"/>
  <sheetViews>
    <sheetView topLeftCell="B5" zoomScale="85" zoomScaleNormal="85" workbookViewId="0">
      <selection activeCell="E109" sqref="E109:Y109"/>
    </sheetView>
  </sheetViews>
  <sheetFormatPr defaultRowHeight="15" outlineLevelRow="1" x14ac:dyDescent="0.25"/>
  <cols>
    <col min="1" max="1" width="23.42578125" customWidth="1"/>
    <col min="2" max="2" width="10.85546875" bestFit="1" customWidth="1"/>
    <col min="3" max="3" width="31.28515625" bestFit="1" customWidth="1"/>
    <col min="4" max="4" width="11.42578125" customWidth="1"/>
    <col min="5" max="5" width="10.85546875" customWidth="1"/>
    <col min="6" max="6" width="14.42578125" bestFit="1" customWidth="1"/>
    <col min="7" max="17" width="10.7109375" customWidth="1"/>
    <col min="18" max="18" width="11.85546875" customWidth="1"/>
    <col min="19" max="25" width="10.7109375" customWidth="1"/>
  </cols>
  <sheetData>
    <row r="1" spans="1:31" hidden="1" outlineLevel="1" x14ac:dyDescent="0.25"/>
    <row r="2" spans="1:31" hidden="1" outlineLevel="1" x14ac:dyDescent="0.25"/>
    <row r="3" spans="1:31" hidden="1" outlineLevel="1" x14ac:dyDescent="0.25"/>
    <row r="4" spans="1:31" hidden="1" outlineLevel="1" x14ac:dyDescent="0.25"/>
    <row r="5" spans="1:31" ht="21" collapsed="1" x14ac:dyDescent="0.35">
      <c r="A5" s="49"/>
      <c r="B5" s="49"/>
      <c r="C5" s="107" t="s">
        <v>241</v>
      </c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</row>
    <row r="6" spans="1:31" x14ac:dyDescent="0.25">
      <c r="A6" s="49"/>
      <c r="B6" s="49"/>
      <c r="C6" s="83" t="s">
        <v>133</v>
      </c>
      <c r="D6" s="84" t="s">
        <v>49</v>
      </c>
      <c r="E6" s="85" t="s">
        <v>209</v>
      </c>
      <c r="F6" s="85" t="s">
        <v>210</v>
      </c>
      <c r="G6" s="85" t="s">
        <v>211</v>
      </c>
      <c r="H6" s="85" t="s">
        <v>212</v>
      </c>
      <c r="I6" s="85" t="s">
        <v>213</v>
      </c>
      <c r="J6" s="85" t="s">
        <v>214</v>
      </c>
      <c r="K6" s="85" t="s">
        <v>215</v>
      </c>
      <c r="L6" s="85" t="s">
        <v>216</v>
      </c>
      <c r="M6" s="85" t="s">
        <v>217</v>
      </c>
      <c r="N6" s="85" t="s">
        <v>218</v>
      </c>
      <c r="O6" s="85" t="s">
        <v>219</v>
      </c>
      <c r="P6" s="85" t="s">
        <v>220</v>
      </c>
      <c r="Q6" s="85" t="s">
        <v>221</v>
      </c>
      <c r="R6" s="85" t="s">
        <v>222</v>
      </c>
      <c r="S6" s="85" t="s">
        <v>223</v>
      </c>
      <c r="T6" s="85" t="s">
        <v>224</v>
      </c>
      <c r="U6" s="85" t="s">
        <v>225</v>
      </c>
      <c r="V6" s="85" t="s">
        <v>226</v>
      </c>
      <c r="W6" s="85" t="s">
        <v>227</v>
      </c>
      <c r="X6" s="85" t="s">
        <v>228</v>
      </c>
      <c r="Y6" s="86" t="s">
        <v>229</v>
      </c>
      <c r="Z6" s="49"/>
      <c r="AA6" s="49"/>
      <c r="AB6" s="49"/>
      <c r="AC6" s="49"/>
      <c r="AD6" s="49"/>
      <c r="AE6" s="49"/>
    </row>
    <row r="7" spans="1:31" x14ac:dyDescent="0.25">
      <c r="A7" s="49"/>
      <c r="B7" s="49"/>
      <c r="C7" s="87" t="s">
        <v>230</v>
      </c>
      <c r="D7" s="88"/>
      <c r="E7" s="89">
        <v>1</v>
      </c>
      <c r="F7" s="89">
        <v>1</v>
      </c>
      <c r="G7" s="89">
        <v>1</v>
      </c>
      <c r="H7" s="89">
        <v>1</v>
      </c>
      <c r="I7" s="89">
        <v>1</v>
      </c>
      <c r="J7" s="89">
        <v>1</v>
      </c>
      <c r="K7" s="89">
        <v>1</v>
      </c>
      <c r="L7" s="89">
        <v>1</v>
      </c>
      <c r="M7" s="89">
        <v>1</v>
      </c>
      <c r="N7" s="89">
        <v>1</v>
      </c>
      <c r="O7" s="89">
        <v>1</v>
      </c>
      <c r="P7" s="89">
        <v>1</v>
      </c>
      <c r="Q7" s="89">
        <v>1</v>
      </c>
      <c r="R7" s="89">
        <v>1</v>
      </c>
      <c r="S7" s="89">
        <v>1</v>
      </c>
      <c r="T7" s="89">
        <v>1</v>
      </c>
      <c r="U7" s="89">
        <v>1</v>
      </c>
      <c r="V7" s="89">
        <v>1</v>
      </c>
      <c r="W7" s="89">
        <v>1</v>
      </c>
      <c r="X7" s="89">
        <v>1</v>
      </c>
      <c r="Y7" s="90">
        <v>1</v>
      </c>
      <c r="Z7" s="49"/>
      <c r="AA7" s="49"/>
      <c r="AB7" s="49"/>
      <c r="AC7" s="49"/>
      <c r="AD7" s="49"/>
      <c r="AE7" s="49"/>
    </row>
    <row r="8" spans="1:31" x14ac:dyDescent="0.25">
      <c r="A8" s="108"/>
      <c r="B8" s="49"/>
      <c r="C8" s="87" t="str">
        <f>'Model-1'!A4</f>
        <v>FJV-behov</v>
      </c>
      <c r="D8" s="91" t="str">
        <f>'Model-1'!B4</f>
        <v>MWhq</v>
      </c>
      <c r="E8" s="92">
        <f>28000</f>
        <v>28000</v>
      </c>
      <c r="F8" s="92">
        <f>28000</f>
        <v>28000</v>
      </c>
      <c r="G8" s="92">
        <f>28000</f>
        <v>28000</v>
      </c>
      <c r="H8" s="92">
        <f>28000</f>
        <v>28000</v>
      </c>
      <c r="I8" s="92">
        <f>28000</f>
        <v>28000</v>
      </c>
      <c r="J8" s="92">
        <f>28000</f>
        <v>28000</v>
      </c>
      <c r="K8" s="92">
        <f>28000</f>
        <v>28000</v>
      </c>
      <c r="L8" s="92">
        <f>28000</f>
        <v>28000</v>
      </c>
      <c r="M8" s="92">
        <f>28000</f>
        <v>28000</v>
      </c>
      <c r="N8" s="92">
        <f>28000</f>
        <v>28000</v>
      </c>
      <c r="O8" s="92">
        <f>28000</f>
        <v>28000</v>
      </c>
      <c r="P8" s="92">
        <f>28000</f>
        <v>28000</v>
      </c>
      <c r="Q8" s="92">
        <f>28000</f>
        <v>28000</v>
      </c>
      <c r="R8" s="92">
        <f>28000</f>
        <v>28000</v>
      </c>
      <c r="S8" s="92">
        <f>28000</f>
        <v>28000</v>
      </c>
      <c r="T8" s="92">
        <f>28000</f>
        <v>28000</v>
      </c>
      <c r="U8" s="92">
        <f>28000</f>
        <v>28000</v>
      </c>
      <c r="V8" s="92">
        <f>28000</f>
        <v>28000</v>
      </c>
      <c r="W8" s="92">
        <f>28000</f>
        <v>28000</v>
      </c>
      <c r="X8" s="92">
        <f>28000</f>
        <v>28000</v>
      </c>
      <c r="Y8" s="93">
        <f>28000</f>
        <v>28000</v>
      </c>
      <c r="Z8" s="49"/>
      <c r="AA8" s="49"/>
      <c r="AB8" s="49"/>
      <c r="AC8" s="49"/>
      <c r="AD8" s="49"/>
      <c r="AE8" s="49"/>
    </row>
    <row r="9" spans="1:31" x14ac:dyDescent="0.25">
      <c r="A9" s="108"/>
      <c r="B9" s="49"/>
      <c r="C9" s="87" t="str">
        <f>'Model-1'!A5</f>
        <v>Affaldstonnage Fossil</v>
      </c>
      <c r="D9" s="91" t="str">
        <f>'Model-1'!B5</f>
        <v>ton</v>
      </c>
      <c r="E9" s="92">
        <f>'Model-1'!C5</f>
        <v>12000</v>
      </c>
      <c r="F9" s="92">
        <v>12000</v>
      </c>
      <c r="G9" s="92">
        <v>12000</v>
      </c>
      <c r="H9" s="92">
        <v>12000</v>
      </c>
      <c r="I9" s="92">
        <v>12000</v>
      </c>
      <c r="J9" s="92">
        <v>12000</v>
      </c>
      <c r="K9" s="92">
        <v>12000</v>
      </c>
      <c r="L9" s="92">
        <v>12000</v>
      </c>
      <c r="M9" s="92">
        <v>12000</v>
      </c>
      <c r="N9" s="92">
        <v>12000</v>
      </c>
      <c r="O9" s="92">
        <v>12000</v>
      </c>
      <c r="P9" s="92">
        <v>12000</v>
      </c>
      <c r="Q9" s="92">
        <v>12000</v>
      </c>
      <c r="R9" s="92">
        <v>12000</v>
      </c>
      <c r="S9" s="92">
        <v>12000</v>
      </c>
      <c r="T9" s="92">
        <v>12000</v>
      </c>
      <c r="U9" s="92">
        <v>12000</v>
      </c>
      <c r="V9" s="92">
        <v>12000</v>
      </c>
      <c r="W9" s="92">
        <v>12000</v>
      </c>
      <c r="X9" s="92">
        <v>12000</v>
      </c>
      <c r="Y9" s="93">
        <v>12000</v>
      </c>
      <c r="Z9" s="49"/>
      <c r="AA9" s="49"/>
      <c r="AB9" s="49"/>
      <c r="AC9" s="49"/>
      <c r="AD9" s="49"/>
      <c r="AE9" s="49"/>
    </row>
    <row r="10" spans="1:31" x14ac:dyDescent="0.25">
      <c r="A10" s="108"/>
      <c r="B10" s="49"/>
      <c r="C10" s="87" t="str">
        <f>'Model-1'!A6</f>
        <v>Affaldstonnage Biogen</v>
      </c>
      <c r="D10" s="91" t="str">
        <f>'Model-1'!B6</f>
        <v>ton</v>
      </c>
      <c r="E10" s="92">
        <f>'Model-1'!C6</f>
        <v>0</v>
      </c>
      <c r="F10" s="92">
        <v>0</v>
      </c>
      <c r="G10" s="92">
        <v>0</v>
      </c>
      <c r="H10" s="92">
        <v>0</v>
      </c>
      <c r="I10" s="92">
        <v>0</v>
      </c>
      <c r="J10" s="92">
        <v>0</v>
      </c>
      <c r="K10" s="92">
        <v>0</v>
      </c>
      <c r="L10" s="92">
        <v>0</v>
      </c>
      <c r="M10" s="92">
        <v>0</v>
      </c>
      <c r="N10" s="92">
        <v>0</v>
      </c>
      <c r="O10" s="92">
        <v>0</v>
      </c>
      <c r="P10" s="92">
        <v>0</v>
      </c>
      <c r="Q10" s="92">
        <v>0</v>
      </c>
      <c r="R10" s="92">
        <v>0</v>
      </c>
      <c r="S10" s="92">
        <v>0</v>
      </c>
      <c r="T10" s="92">
        <v>0</v>
      </c>
      <c r="U10" s="92">
        <v>0</v>
      </c>
      <c r="V10" s="92">
        <v>0</v>
      </c>
      <c r="W10" s="92">
        <v>0</v>
      </c>
      <c r="X10" s="92">
        <v>0</v>
      </c>
      <c r="Y10" s="93">
        <v>0</v>
      </c>
      <c r="Z10" s="49"/>
      <c r="AA10" s="49"/>
      <c r="AB10" s="49"/>
      <c r="AC10" s="49"/>
      <c r="AD10" s="49"/>
      <c r="AE10" s="49"/>
    </row>
    <row r="11" spans="1:31" x14ac:dyDescent="0.25">
      <c r="A11" s="108"/>
      <c r="B11" s="49"/>
      <c r="C11" s="87" t="str">
        <f>'Model-1'!A7</f>
        <v>RGK-udnyttelse</v>
      </c>
      <c r="D11" s="91" t="str">
        <f>'Model-1'!B7</f>
        <v>procent</v>
      </c>
      <c r="E11" s="94">
        <v>1</v>
      </c>
      <c r="F11" s="94">
        <v>0.05</v>
      </c>
      <c r="G11" s="94">
        <v>0.1</v>
      </c>
      <c r="H11" s="94">
        <v>0.15</v>
      </c>
      <c r="I11" s="94">
        <v>0.2</v>
      </c>
      <c r="J11" s="94">
        <v>0.25</v>
      </c>
      <c r="K11" s="94">
        <v>0.3</v>
      </c>
      <c r="L11" s="94">
        <v>0.35</v>
      </c>
      <c r="M11" s="94">
        <v>0.4</v>
      </c>
      <c r="N11" s="94">
        <v>0.45</v>
      </c>
      <c r="O11" s="94">
        <v>0.5</v>
      </c>
      <c r="P11" s="94">
        <v>0.55000000000000004</v>
      </c>
      <c r="Q11" s="94">
        <v>0.6</v>
      </c>
      <c r="R11" s="94">
        <v>0.65</v>
      </c>
      <c r="S11" s="94">
        <v>0.7</v>
      </c>
      <c r="T11" s="94">
        <v>0.75</v>
      </c>
      <c r="U11" s="94">
        <v>0.8</v>
      </c>
      <c r="V11" s="94">
        <v>0.85</v>
      </c>
      <c r="W11" s="94">
        <v>0.9</v>
      </c>
      <c r="X11" s="94">
        <v>0.95</v>
      </c>
      <c r="Y11" s="95">
        <v>1</v>
      </c>
      <c r="Z11" s="49"/>
      <c r="AA11" s="49"/>
      <c r="AB11" s="49"/>
      <c r="AC11" s="49"/>
      <c r="AD11" s="49"/>
      <c r="AE11" s="49"/>
    </row>
    <row r="12" spans="1:31" x14ac:dyDescent="0.25">
      <c r="A12" s="108"/>
      <c r="B12" s="49"/>
      <c r="C12" s="96" t="str">
        <f>'Model-1'!A8</f>
        <v>NordicSugar varme</v>
      </c>
      <c r="D12" s="97" t="str">
        <f>'Model-1'!B8</f>
        <v>MWhq</v>
      </c>
      <c r="E12" s="98">
        <f>'Model-1'!C8</f>
        <v>4000</v>
      </c>
      <c r="F12" s="98">
        <v>4000</v>
      </c>
      <c r="G12" s="98">
        <v>4000</v>
      </c>
      <c r="H12" s="98">
        <v>4000</v>
      </c>
      <c r="I12" s="98">
        <v>4000</v>
      </c>
      <c r="J12" s="98">
        <v>4000</v>
      </c>
      <c r="K12" s="98">
        <v>4000</v>
      </c>
      <c r="L12" s="98">
        <v>4000</v>
      </c>
      <c r="M12" s="98">
        <v>4000</v>
      </c>
      <c r="N12" s="98">
        <v>4000</v>
      </c>
      <c r="O12" s="98">
        <v>4000</v>
      </c>
      <c r="P12" s="98">
        <v>4000</v>
      </c>
      <c r="Q12" s="98">
        <v>4000</v>
      </c>
      <c r="R12" s="98">
        <v>4000</v>
      </c>
      <c r="S12" s="98">
        <v>4000</v>
      </c>
      <c r="T12" s="98">
        <v>4000</v>
      </c>
      <c r="U12" s="98">
        <v>4000</v>
      </c>
      <c r="V12" s="98">
        <v>4000</v>
      </c>
      <c r="W12" s="98">
        <v>4000</v>
      </c>
      <c r="X12" s="98">
        <v>4000</v>
      </c>
      <c r="Y12" s="99">
        <v>4000</v>
      </c>
      <c r="Z12" s="49"/>
      <c r="AA12" s="49"/>
      <c r="AB12" s="49"/>
      <c r="AC12" s="49"/>
      <c r="AD12" s="49"/>
      <c r="AE12" s="49"/>
    </row>
    <row r="13" spans="1:31" x14ac:dyDescent="0.25">
      <c r="A13" s="49"/>
      <c r="B13" s="49"/>
      <c r="C13" s="50"/>
      <c r="D13" s="50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49"/>
      <c r="AA13" s="49"/>
      <c r="AB13" s="49"/>
      <c r="AC13" s="49"/>
      <c r="AD13" s="49"/>
      <c r="AE13" s="49"/>
    </row>
    <row r="14" spans="1:31" x14ac:dyDescent="0.25">
      <c r="A14" s="49"/>
      <c r="B14" s="49"/>
      <c r="C14" s="102" t="s">
        <v>238</v>
      </c>
      <c r="D14" s="103" t="s">
        <v>239</v>
      </c>
      <c r="E14" s="104"/>
      <c r="F14" s="104"/>
      <c r="G14" s="104"/>
      <c r="H14" s="104"/>
      <c r="I14" s="103"/>
      <c r="J14" s="102" t="s">
        <v>238</v>
      </c>
      <c r="K14" s="103" t="s">
        <v>243</v>
      </c>
      <c r="L14" s="104"/>
      <c r="M14" s="104"/>
      <c r="N14" s="104"/>
      <c r="O14" s="104"/>
      <c r="P14" s="104"/>
      <c r="Q14" s="104"/>
      <c r="R14" s="104"/>
      <c r="S14" s="104" t="s">
        <v>238</v>
      </c>
      <c r="T14" s="104" t="s">
        <v>142</v>
      </c>
      <c r="U14" s="104"/>
      <c r="V14" s="104"/>
      <c r="W14" s="104"/>
      <c r="X14" s="104"/>
      <c r="Y14" s="104"/>
      <c r="Z14" s="104"/>
      <c r="AA14" s="104"/>
      <c r="AB14" s="104"/>
      <c r="AC14" s="49"/>
      <c r="AD14" s="49"/>
      <c r="AE14" s="49"/>
    </row>
    <row r="15" spans="1:31" x14ac:dyDescent="0.25">
      <c r="A15" s="41" t="s">
        <v>242</v>
      </c>
      <c r="B15" s="44" t="s">
        <v>240</v>
      </c>
      <c r="C15" s="50"/>
      <c r="D15" s="50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49"/>
      <c r="AA15" s="49"/>
      <c r="AB15" s="49"/>
      <c r="AC15" s="49"/>
      <c r="AD15" s="49"/>
      <c r="AE15" s="49"/>
    </row>
    <row r="16" spans="1:31" x14ac:dyDescent="0.25">
      <c r="A16" t="s">
        <v>122</v>
      </c>
      <c r="B16" s="39">
        <v>1000</v>
      </c>
      <c r="C16" s="50"/>
      <c r="D16" s="50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49"/>
      <c r="AA16" s="49"/>
      <c r="AB16" s="49"/>
      <c r="AC16" s="49"/>
      <c r="AD16" s="49"/>
      <c r="AE16" s="49"/>
    </row>
    <row r="17" spans="1:31" x14ac:dyDescent="0.25">
      <c r="A17" t="s">
        <v>120</v>
      </c>
      <c r="B17" s="39">
        <v>1000</v>
      </c>
      <c r="C17" s="50"/>
      <c r="D17" s="50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49"/>
      <c r="AA17" s="49"/>
      <c r="AB17" s="49"/>
      <c r="AC17" s="49"/>
      <c r="AD17" s="49"/>
      <c r="AE17" s="49"/>
    </row>
    <row r="18" spans="1:31" x14ac:dyDescent="0.25">
      <c r="A18" t="s">
        <v>121</v>
      </c>
      <c r="B18" s="39">
        <v>-1000</v>
      </c>
      <c r="C18" s="50"/>
      <c r="D18" s="50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49"/>
      <c r="AA18" s="49"/>
      <c r="AB18" s="49"/>
      <c r="AC18" s="49"/>
      <c r="AD18" s="49"/>
      <c r="AE18" s="49"/>
    </row>
    <row r="19" spans="1:31" x14ac:dyDescent="0.25">
      <c r="A19" t="s">
        <v>107</v>
      </c>
      <c r="B19" s="39">
        <v>1000</v>
      </c>
      <c r="C19" s="50"/>
      <c r="D19" s="50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49"/>
      <c r="AA19" s="49"/>
      <c r="AB19" s="49"/>
      <c r="AC19" s="49"/>
      <c r="AD19" s="49"/>
      <c r="AE19" s="49"/>
    </row>
    <row r="20" spans="1:31" x14ac:dyDescent="0.25">
      <c r="A20" t="s">
        <v>105</v>
      </c>
      <c r="B20" s="39">
        <v>1000</v>
      </c>
      <c r="C20" s="50"/>
      <c r="D20" s="50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49"/>
      <c r="AA20" s="49"/>
      <c r="AB20" s="49"/>
      <c r="AC20" s="49"/>
      <c r="AD20" s="49"/>
      <c r="AE20" s="49"/>
    </row>
    <row r="21" spans="1:31" x14ac:dyDescent="0.25">
      <c r="A21" t="s">
        <v>24</v>
      </c>
      <c r="B21" s="39">
        <v>1000</v>
      </c>
      <c r="C21" s="50"/>
      <c r="D21" s="50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49"/>
      <c r="AA21" s="49"/>
      <c r="AB21" s="49"/>
      <c r="AC21" s="49"/>
      <c r="AD21" s="49"/>
      <c r="AE21" s="49"/>
    </row>
    <row r="22" spans="1:31" x14ac:dyDescent="0.25">
      <c r="A22" t="s">
        <v>114</v>
      </c>
      <c r="B22" s="39">
        <v>1</v>
      </c>
      <c r="C22" s="50"/>
      <c r="D22" s="50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49"/>
      <c r="AA22" s="49"/>
      <c r="AB22" s="49"/>
      <c r="AC22" s="49"/>
      <c r="AD22" s="49"/>
      <c r="AE22" s="49"/>
    </row>
    <row r="23" spans="1:31" x14ac:dyDescent="0.25">
      <c r="A23" t="s">
        <v>115</v>
      </c>
      <c r="B23" s="39">
        <v>1</v>
      </c>
      <c r="C23" s="50"/>
      <c r="D23" s="50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49"/>
      <c r="AA23" s="49"/>
      <c r="AB23" s="49"/>
      <c r="AC23" s="49"/>
      <c r="AD23" s="49"/>
      <c r="AE23" s="49"/>
    </row>
    <row r="24" spans="1:31" x14ac:dyDescent="0.25">
      <c r="A24" t="s">
        <v>46</v>
      </c>
      <c r="B24" s="39">
        <v>-1</v>
      </c>
      <c r="C24" s="50"/>
      <c r="D24" s="50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49"/>
      <c r="AA24" s="49"/>
      <c r="AB24" s="49"/>
      <c r="AC24" s="49"/>
      <c r="AD24" s="49"/>
      <c r="AE24" s="49"/>
    </row>
    <row r="25" spans="1:31" x14ac:dyDescent="0.25">
      <c r="A25" t="s">
        <v>111</v>
      </c>
      <c r="B25" s="39">
        <v>1</v>
      </c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49"/>
      <c r="AA25" s="49"/>
      <c r="AB25" s="49"/>
      <c r="AC25" s="49"/>
      <c r="AD25" s="49"/>
      <c r="AE25" s="49"/>
    </row>
    <row r="26" spans="1:31" x14ac:dyDescent="0.25">
      <c r="A26" t="s">
        <v>135</v>
      </c>
      <c r="B26" s="39">
        <v>1</v>
      </c>
      <c r="C26" s="50"/>
      <c r="D26" s="50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49"/>
      <c r="AA26" s="49"/>
      <c r="AB26" s="49"/>
      <c r="AC26" s="49"/>
      <c r="AD26" s="49"/>
      <c r="AE26" s="49"/>
    </row>
    <row r="27" spans="1:31" x14ac:dyDescent="0.25">
      <c r="A27" t="s">
        <v>147</v>
      </c>
      <c r="B27" s="39">
        <v>1</v>
      </c>
      <c r="C27" s="50"/>
      <c r="D27" s="50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49"/>
      <c r="AA27" s="49"/>
      <c r="AB27" s="49"/>
      <c r="AC27" s="49"/>
      <c r="AD27" s="49"/>
      <c r="AE27" s="49"/>
    </row>
    <row r="28" spans="1:31" x14ac:dyDescent="0.25">
      <c r="A28" t="s">
        <v>145</v>
      </c>
      <c r="B28" s="39">
        <v>1</v>
      </c>
      <c r="C28" s="50"/>
      <c r="D28" s="50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49"/>
      <c r="AA28" s="49"/>
      <c r="AB28" s="49"/>
      <c r="AC28" s="49"/>
      <c r="AD28" s="49"/>
      <c r="AE28" s="49"/>
    </row>
    <row r="29" spans="1:31" x14ac:dyDescent="0.25">
      <c r="A29" t="s">
        <v>103</v>
      </c>
      <c r="B29" s="39">
        <v>1</v>
      </c>
      <c r="C29" s="50"/>
      <c r="D29" s="50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49"/>
      <c r="AA29" s="49"/>
      <c r="AB29" s="49"/>
      <c r="AC29" s="49"/>
      <c r="AD29" s="49"/>
      <c r="AE29" s="49"/>
    </row>
    <row r="30" spans="1:31" x14ac:dyDescent="0.25">
      <c r="A30" t="s">
        <v>102</v>
      </c>
      <c r="B30" s="39">
        <v>1</v>
      </c>
      <c r="C30" s="50"/>
      <c r="D30" s="50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49"/>
      <c r="AA30" s="49"/>
      <c r="AB30" s="49"/>
      <c r="AC30" s="49"/>
      <c r="AD30" s="49"/>
      <c r="AE30" s="49"/>
    </row>
    <row r="31" spans="1:31" x14ac:dyDescent="0.25">
      <c r="A31" t="s">
        <v>149</v>
      </c>
      <c r="B31" s="39">
        <v>1</v>
      </c>
      <c r="C31" s="50"/>
      <c r="D31" s="50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49"/>
      <c r="AA31" s="49"/>
      <c r="AB31" s="49"/>
      <c r="AC31" s="49"/>
      <c r="AD31" s="49"/>
      <c r="AE31" s="49"/>
    </row>
    <row r="32" spans="1:31" x14ac:dyDescent="0.25">
      <c r="A32" t="s">
        <v>148</v>
      </c>
      <c r="B32" s="39">
        <v>1</v>
      </c>
      <c r="C32" s="50"/>
      <c r="D32" s="50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49"/>
      <c r="AA32" s="49"/>
      <c r="AB32" s="49"/>
      <c r="AC32" s="49"/>
      <c r="AD32" s="49"/>
      <c r="AE32" s="49"/>
    </row>
    <row r="33" spans="1:31" x14ac:dyDescent="0.25">
      <c r="A33" t="s">
        <v>268</v>
      </c>
      <c r="B33" s="39">
        <v>1</v>
      </c>
      <c r="C33" s="102"/>
      <c r="D33" s="105" t="s">
        <v>238</v>
      </c>
      <c r="E33" s="104" t="s">
        <v>271</v>
      </c>
      <c r="F33" s="104"/>
      <c r="G33" s="104"/>
      <c r="H33" s="104"/>
      <c r="I33" s="104"/>
      <c r="J33" s="104" t="s">
        <v>238</v>
      </c>
      <c r="K33" s="104" t="s">
        <v>150</v>
      </c>
      <c r="L33" s="104"/>
      <c r="M33" s="104"/>
      <c r="N33" s="104"/>
      <c r="O33" s="104"/>
      <c r="P33" s="104"/>
      <c r="Q33" s="104"/>
      <c r="R33" s="104"/>
      <c r="S33" s="104" t="s">
        <v>238</v>
      </c>
      <c r="T33" s="104" t="s">
        <v>151</v>
      </c>
      <c r="U33" s="104"/>
      <c r="V33" s="104"/>
      <c r="W33" s="104"/>
      <c r="X33" s="104"/>
      <c r="Y33" s="104"/>
      <c r="Z33" s="104"/>
      <c r="AA33" s="104"/>
      <c r="AB33" s="104"/>
      <c r="AC33" s="49"/>
      <c r="AD33" s="49"/>
      <c r="AE33" s="49"/>
    </row>
    <row r="34" spans="1:31" x14ac:dyDescent="0.25">
      <c r="A34" t="s">
        <v>267</v>
      </c>
      <c r="B34" s="39">
        <v>1</v>
      </c>
      <c r="C34" s="50"/>
      <c r="D34" s="50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49"/>
      <c r="AA34" s="49"/>
      <c r="AB34" s="49"/>
      <c r="AC34" s="49"/>
      <c r="AD34" s="49"/>
      <c r="AE34" s="49"/>
    </row>
    <row r="35" spans="1:31" x14ac:dyDescent="0.25">
      <c r="A35" t="s">
        <v>269</v>
      </c>
      <c r="B35" s="39">
        <v>1</v>
      </c>
      <c r="C35" s="50"/>
      <c r="D35" s="50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49"/>
      <c r="AA35" s="49"/>
      <c r="AB35" s="49"/>
      <c r="AC35" s="49"/>
      <c r="AD35" s="49"/>
      <c r="AE35" s="49"/>
    </row>
    <row r="36" spans="1:31" x14ac:dyDescent="0.25">
      <c r="A36" t="s">
        <v>270</v>
      </c>
      <c r="B36" s="101">
        <v>1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</row>
    <row r="37" spans="1:31" x14ac:dyDescent="0.25">
      <c r="A37" t="s">
        <v>245</v>
      </c>
      <c r="B37" s="101">
        <v>1</v>
      </c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</row>
    <row r="38" spans="1:31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</row>
    <row r="39" spans="1:31" x14ac:dyDescent="0.25">
      <c r="A39" s="41" t="s">
        <v>237</v>
      </c>
      <c r="B39" s="42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</row>
    <row r="40" spans="1:31" x14ac:dyDescent="0.25">
      <c r="A40" s="37" t="s">
        <v>132</v>
      </c>
      <c r="B40" s="4" t="s">
        <v>240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</row>
    <row r="41" spans="1:31" x14ac:dyDescent="0.25">
      <c r="A41" s="40" t="s">
        <v>107</v>
      </c>
      <c r="B41" s="39">
        <v>1000</v>
      </c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</row>
    <row r="42" spans="1:31" x14ac:dyDescent="0.25">
      <c r="A42" s="40" t="s">
        <v>105</v>
      </c>
      <c r="B42" s="39">
        <v>1000</v>
      </c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</row>
    <row r="43" spans="1:31" x14ac:dyDescent="0.25">
      <c r="A43" s="40"/>
      <c r="B43" s="39">
        <v>0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</row>
    <row r="44" spans="1:31" x14ac:dyDescent="0.25">
      <c r="A44" s="40"/>
      <c r="B44" s="39">
        <v>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</row>
    <row r="45" spans="1:31" x14ac:dyDescent="0.25">
      <c r="A45" s="40"/>
      <c r="B45" s="39">
        <v>0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</row>
    <row r="46" spans="1:31" x14ac:dyDescent="0.25">
      <c r="A46" s="40"/>
      <c r="B46" s="39">
        <v>0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</row>
    <row r="47" spans="1:31" x14ac:dyDescent="0.25">
      <c r="A47" s="40"/>
      <c r="B47" s="39">
        <v>0</v>
      </c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</row>
    <row r="48" spans="1:31" x14ac:dyDescent="0.25">
      <c r="A48" s="40"/>
      <c r="B48" s="39">
        <v>0</v>
      </c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</row>
    <row r="49" spans="1:31" x14ac:dyDescent="0.25">
      <c r="A49" s="40"/>
      <c r="B49" s="39">
        <v>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</row>
    <row r="50" spans="1:31" x14ac:dyDescent="0.25">
      <c r="A50" s="40"/>
      <c r="B50" s="39">
        <v>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</row>
    <row r="51" spans="1:31" x14ac:dyDescent="0.25"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49"/>
      <c r="AD51" s="49"/>
      <c r="AE51" s="49"/>
    </row>
    <row r="52" spans="1:31" x14ac:dyDescent="0.25">
      <c r="A52" s="47" t="s">
        <v>236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</row>
    <row r="53" spans="1:31" x14ac:dyDescent="0.25">
      <c r="A53" s="48" t="str" cm="1">
        <f t="array" ref="A53:A83">_xlfn.LET(_xlpm.ran,C94:C133,_xlfn._xlws.FILTER(_xlpm.ran,(LEN(_xlpm.ran)&gt;0)*(IFERROR(FIND(":",_xlpm.ran)=0,TRUE))))</f>
        <v>Indtægter total</v>
      </c>
      <c r="C53" s="41" t="s">
        <v>242</v>
      </c>
      <c r="D53" s="41" t="s">
        <v>240</v>
      </c>
      <c r="E53" s="44" t="str">
        <f>Scenarier!$E$6</f>
        <v>Nominelt</v>
      </c>
      <c r="F53" s="44" t="str">
        <f>Scenarier!$F$6</f>
        <v>sc1</v>
      </c>
      <c r="G53" s="44" t="str">
        <f>Scenarier!$G$6</f>
        <v>sc2</v>
      </c>
      <c r="H53" s="44" t="str">
        <f>Scenarier!$H$6</f>
        <v>sc3</v>
      </c>
      <c r="I53" s="44" t="str">
        <f>Scenarier!$I$6</f>
        <v>sc4</v>
      </c>
      <c r="J53" s="44" t="str">
        <f>Scenarier!$J$6</f>
        <v>sc5</v>
      </c>
      <c r="K53" s="44" t="str">
        <f>Scenarier!$K$6</f>
        <v>sc6</v>
      </c>
      <c r="L53" s="44" t="str">
        <f>Scenarier!$L$6</f>
        <v>sc7</v>
      </c>
      <c r="M53" s="44" t="str">
        <f>Scenarier!$M$6</f>
        <v>sc8</v>
      </c>
      <c r="N53" s="44" t="str">
        <f>Scenarier!$N$6</f>
        <v>sc9</v>
      </c>
      <c r="O53" s="44" t="str">
        <f>Scenarier!$O$6</f>
        <v>sc10</v>
      </c>
      <c r="P53" s="44" t="str">
        <f>Scenarier!$P$6</f>
        <v>sc11</v>
      </c>
      <c r="Q53" s="44" t="str">
        <f>Scenarier!$Q$6</f>
        <v>sc12</v>
      </c>
      <c r="R53" s="44" t="str">
        <f>Scenarier!$R$6</f>
        <v>sc13</v>
      </c>
      <c r="S53" s="44" t="str">
        <f>Scenarier!$S$6</f>
        <v>sc14</v>
      </c>
      <c r="T53" s="44" t="str">
        <f>Scenarier!$T$6</f>
        <v>sc15</v>
      </c>
      <c r="U53" s="44" t="str">
        <f>Scenarier!$U$6</f>
        <v>sc16</v>
      </c>
      <c r="V53" s="44" t="str">
        <f>Scenarier!$V$6</f>
        <v>sc17</v>
      </c>
      <c r="W53" s="44" t="str">
        <f>Scenarier!$W$6</f>
        <v>sc18</v>
      </c>
      <c r="X53" s="44" t="str">
        <f>Scenarier!$X$6</f>
        <v>sc19</v>
      </c>
      <c r="Y53" s="44" t="str">
        <f>Scenarier!$Y$6</f>
        <v>sc20</v>
      </c>
    </row>
    <row r="54" spans="1:31" x14ac:dyDescent="0.25">
      <c r="A54" t="str">
        <v>Omkostninger total</v>
      </c>
      <c r="B54" s="46"/>
      <c r="C54" t="str">
        <f t="shared" ref="C54:C74" si="0">IF(ISBLANK(A16),"",A16)</f>
        <v>Dækningsbidrag</v>
      </c>
      <c r="D54" s="39">
        <f t="shared" ref="D54:D74" si="1">B16</f>
        <v>1000</v>
      </c>
      <c r="E54" s="12" cm="1">
        <f t="array" ref="E54">IFERROR(IF($D54 &lt;&gt;0,ResultValue($C54,COLUMN(F54)-COLUMN($C54))/$D54,""),"")</f>
        <v>8081.0686816686157</v>
      </c>
      <c r="F54" s="12" cm="1">
        <f t="array" ref="F54">IFERROR(IF($D54 &lt;&gt;0,ResultValue($C54,COLUMN(G54)-COLUMN($C54))/$D54,""),"")</f>
        <v>8329.056190743413</v>
      </c>
      <c r="G54" s="12" cm="1">
        <f t="array" ref="G54">IFERROR(IF($D54 &lt;&gt;0,ResultValue($C54,COLUMN(H54)-COLUMN($C54))/$D54,""),"")</f>
        <v>8301.1435517990449</v>
      </c>
      <c r="H54" s="12" cm="1">
        <f t="array" ref="H54">IFERROR(IF($D54 &lt;&gt;0,ResultValue($C54,COLUMN(I54)-COLUMN($C54))/$D54,""),"")</f>
        <v>8273.7919741592195</v>
      </c>
      <c r="I54" s="12" cm="1">
        <f t="array" ref="I54">IFERROR(IF($D54 &lt;&gt;0,ResultValue($C54,COLUMN(J54)-COLUMN($C54))/$D54,""),"")</f>
        <v>8246.984455966227</v>
      </c>
      <c r="J54" s="12" cm="1">
        <f t="array" ref="J54">IFERROR(IF($D54 &lt;&gt;0,ResultValue($C54,COLUMN(K54)-COLUMN($C54))/$D54,""),"")</f>
        <v>8220.7046754366638</v>
      </c>
      <c r="K54" s="12" cm="1">
        <f t="array" ref="K54">IFERROR(IF($D54 &lt;&gt;0,ResultValue($C54,COLUMN(L54)-COLUMN($C54))/$D54,""),"")</f>
        <v>8194.9369571943898</v>
      </c>
      <c r="L54" s="12" cm="1">
        <f t="array" ref="L54">IFERROR(IF($D54 &lt;&gt;0,ResultValue($C54,COLUMN(M54)-COLUMN($C54))/$D54,""),"")</f>
        <v>8169.6662405838888</v>
      </c>
      <c r="M54" s="12" cm="1">
        <f t="array" ref="M54">IFERROR(IF($D54 &lt;&gt;0,ResultValue($C54,COLUMN(N54)-COLUMN($C54))/$D54,""),"")</f>
        <v>8345.471851640461</v>
      </c>
      <c r="N54" s="12" cm="1">
        <f t="array" ref="N54">IFERROR(IF($D54 &lt;&gt;0,ResultValue($C54,COLUMN(O54)-COLUMN($C54))/$D54,""),"")</f>
        <v>8321.1522677270732</v>
      </c>
      <c r="O54" s="12" cm="1">
        <f t="array" ref="O54">IFERROR(IF($D54 &lt;&gt;0,ResultValue($C54,COLUMN(P54)-COLUMN($C54))/$D54,""),"")</f>
        <v>8297.2879018878102</v>
      </c>
      <c r="P54" s="12" cm="1">
        <f t="array" ref="P54">IFERROR(IF($D54 &lt;&gt;0,ResultValue($C54,COLUMN(Q54)-COLUMN($C54))/$D54,""),"")</f>
        <v>8273.8658705922808</v>
      </c>
      <c r="Q54" s="12" cm="1">
        <f t="array" ref="Q54">IFERROR(IF($D54 &lt;&gt;0,ResultValue($C54,COLUMN(R54)-COLUMN($C54))/$D54,""),"")</f>
        <v>8250.8737719373821</v>
      </c>
      <c r="R54" s="12" cm="1">
        <f t="array" ref="R54">IFERROR(IF($D54 &lt;&gt;0,ResultValue($C54,COLUMN(S54)-COLUMN($C54))/$D54,""),"")</f>
        <v>8228.2996633497696</v>
      </c>
      <c r="S54" s="12" cm="1">
        <f t="array" ref="S54">IFERROR(IF($D54 &lt;&gt;0,ResultValue($C54,COLUMN(T54)-COLUMN($C54))/$D54,""),"")</f>
        <v>8206.1320405156621</v>
      </c>
      <c r="T54" s="12" cm="1">
        <f t="array" ref="T54">IFERROR(IF($D54 &lt;&gt;0,ResultValue($C54,COLUMN(U54)-COLUMN($C54))/$D54,""),"")</f>
        <v>8184.3598174599611</v>
      </c>
      <c r="U54" s="12" cm="1">
        <f t="array" ref="U54">IFERROR(IF($D54 &lt;&gt;0,ResultValue($C54,COLUMN(V54)-COLUMN($C54))/$D54,""),"")</f>
        <v>8162.9723077021736</v>
      </c>
      <c r="V54" s="12" cm="1">
        <f t="array" ref="V54">IFERROR(IF($D54 &lt;&gt;0,ResultValue($C54,COLUMN(W54)-COLUMN($C54))/$D54,""),"")</f>
        <v>8141.9592064218168</v>
      </c>
      <c r="W54" s="12" cm="1">
        <f t="array" ref="W54">IFERROR(IF($D54 &lt;&gt;0,ResultValue($C54,COLUMN(X54)-COLUMN($C54))/$D54,""),"")</f>
        <v>8121.3105735708205</v>
      </c>
      <c r="X54" s="12" cm="1">
        <f t="array" ref="X54">IFERROR(IF($D54 &lt;&gt;0,ResultValue($C54,COLUMN(Y54)-COLUMN($C54))/$D54,""),"")</f>
        <v>8101.0168178747244</v>
      </c>
      <c r="Y54" s="12" cm="1">
        <f t="array" ref="Y54">IFERROR(IF($D54 &lt;&gt;0,ResultValue($C54,COLUMN(Z54)-COLUMN($C54))/$D54,""),"")</f>
        <v>8081.0686816686157</v>
      </c>
    </row>
    <row r="55" spans="1:31" x14ac:dyDescent="0.25">
      <c r="A55" t="str">
        <v>Dækningsbidrag</v>
      </c>
      <c r="B55" s="46"/>
      <c r="C55" t="str">
        <f t="shared" si="0"/>
        <v>Indtægter total</v>
      </c>
      <c r="D55" s="39">
        <f t="shared" si="1"/>
        <v>1000</v>
      </c>
      <c r="E55" s="12" cm="1">
        <f t="array" ref="E55">IFERROR(IF($D55 &lt;&gt;0,ResultValue($C55,COLUMN(F55)-COLUMN($C55))/$D55,""),"")</f>
        <v>15652.263443326186</v>
      </c>
      <c r="F55" s="12" cm="1">
        <f t="array" ref="F55">IFERROR(IF($D55 &lt;&gt;0,ResultValue($C55,COLUMN(G55)-COLUMN($C55))/$D55,""),"")</f>
        <v>16181.783291652784</v>
      </c>
      <c r="G55" s="12" cm="1">
        <f t="array" ref="G55">IFERROR(IF($D55 &lt;&gt;0,ResultValue($C55,COLUMN(H55)-COLUMN($C55))/$D55,""),"")</f>
        <v>16136.225467580172</v>
      </c>
      <c r="H55" s="12" cm="1">
        <f t="array" ref="H55">IFERROR(IF($D55 &lt;&gt;0,ResultValue($C55,COLUMN(I55)-COLUMN($C55))/$D55,""),"")</f>
        <v>16091.597395019249</v>
      </c>
      <c r="I55" s="12" cm="1">
        <f t="array" ref="I55">IFERROR(IF($D55 &lt;&gt;0,ResultValue($C55,COLUMN(J55)-COLUMN($C55))/$D55,""),"")</f>
        <v>16047.870899681777</v>
      </c>
      <c r="J55" s="12" cm="1">
        <f t="array" ref="J55">IFERROR(IF($D55 &lt;&gt;0,ResultValue($C55,COLUMN(K55)-COLUMN($C55))/$D55,""),"")</f>
        <v>16005.018934251055</v>
      </c>
      <c r="K55" s="12" cm="1">
        <f t="array" ref="K55">IFERROR(IF($D55 &lt;&gt;0,ResultValue($C55,COLUMN(L55)-COLUMN($C55))/$D55,""),"")</f>
        <v>15963.01552259124</v>
      </c>
      <c r="L55" s="12" cm="1">
        <f t="array" ref="L55">IFERROR(IF($D55 &lt;&gt;0,ResultValue($C55,COLUMN(M55)-COLUMN($C55))/$D55,""),"")</f>
        <v>15921.835707238479</v>
      </c>
      <c r="M55" s="12" cm="1">
        <f t="array" ref="M55">IFERROR(IF($D55 &lt;&gt;0,ResultValue($C55,COLUMN(N55)-COLUMN($C55))/$D55,""),"")</f>
        <v>16082.049301761796</v>
      </c>
      <c r="N55" s="12" cm="1">
        <f t="array" ref="N55">IFERROR(IF($D55 &lt;&gt;0,ResultValue($C55,COLUMN(O55)-COLUMN($C55))/$D55,""),"")</f>
        <v>16042.445636921975</v>
      </c>
      <c r="O55" s="12" cm="1">
        <f t="array" ref="O55">IFERROR(IF($D55 &lt;&gt;0,ResultValue($C55,COLUMN(P55)-COLUMN($C55))/$D55,""),"")</f>
        <v>16003.596327602914</v>
      </c>
      <c r="P55" s="12" cm="1">
        <f t="array" ref="P55">IFERROR(IF($D55 &lt;&gt;0,ResultValue($C55,COLUMN(Q55)-COLUMN($C55))/$D55,""),"")</f>
        <v>15965.480024120061</v>
      </c>
      <c r="Q55" s="12" cm="1">
        <f t="array" ref="Q55">IFERROR(IF($D55 &lt;&gt;0,ResultValue($C55,COLUMN(R55)-COLUMN($C55))/$D55,""),"")</f>
        <v>15928.076174907916</v>
      </c>
      <c r="R55" s="12" cm="1">
        <f t="array" ref="R55">IFERROR(IF($D55 &lt;&gt;0,ResultValue($C55,COLUMN(S55)-COLUMN($C55))/$D55,""),"")</f>
        <v>15891.364989570069</v>
      </c>
      <c r="S55" s="12" cm="1">
        <f t="array" ref="S55">IFERROR(IF($D55 &lt;&gt;0,ResultValue($C55,COLUMN(T55)-COLUMN($C55))/$D55,""),"")</f>
        <v>15855.327403963192</v>
      </c>
      <c r="T55" s="12" cm="1">
        <f t="array" ref="T55">IFERROR(IF($D55 &lt;&gt;0,ResultValue($C55,COLUMN(U55)-COLUMN($C55))/$D55,""),"")</f>
        <v>15819.945047185534</v>
      </c>
      <c r="U55" s="12" cm="1">
        <f t="array" ref="U55">IFERROR(IF($D55 &lt;&gt;0,ResultValue($C55,COLUMN(V55)-COLUMN($C55))/$D55,""),"")</f>
        <v>15785.200210349813</v>
      </c>
      <c r="V55" s="12" cm="1">
        <f t="array" ref="V55">IFERROR(IF($D55 &lt;&gt;0,ResultValue($C55,COLUMN(W55)-COLUMN($C55))/$D55,""),"")</f>
        <v>15751.075817029016</v>
      </c>
      <c r="W55" s="12" cm="1">
        <f t="array" ref="W55">IFERROR(IF($D55 &lt;&gt;0,ResultValue($C55,COLUMN(X55)-COLUMN($C55))/$D55,""),"")</f>
        <v>15717.55539527142</v>
      </c>
      <c r="X55" s="12" cm="1">
        <f t="array" ref="X55">IFERROR(IF($D55 &lt;&gt;0,ResultValue($C55,COLUMN(Y55)-COLUMN($C55))/$D55,""),"")</f>
        <v>15684.623051088518</v>
      </c>
      <c r="Y55" s="12" cm="1">
        <f t="array" ref="Y55">IFERROR(IF($D55 &lt;&gt;0,ResultValue($C55,COLUMN(Z55)-COLUMN($C55))/$D55,""),"")</f>
        <v>15652.263443326186</v>
      </c>
    </row>
    <row r="56" spans="1:31" x14ac:dyDescent="0.25">
      <c r="A56" t="str">
        <v>Varmesalg</v>
      </c>
      <c r="B56" s="46"/>
      <c r="C56" t="str">
        <f t="shared" si="0"/>
        <v>Omkostninger total</v>
      </c>
      <c r="D56" s="39">
        <f t="shared" si="1"/>
        <v>-1000</v>
      </c>
      <c r="E56" s="12" cm="1">
        <f t="array" ref="E56">IFERROR(IF($D56 &lt;&gt;0,ResultValue($C56,COLUMN(F56)-COLUMN($C56))/$D56,""),"")</f>
        <v>-7571.1947616575708</v>
      </c>
      <c r="F56" s="12" cm="1">
        <f t="array" ref="F56">IFERROR(IF($D56 &lt;&gt;0,ResultValue($C56,COLUMN(G56)-COLUMN($C56))/$D56,""),"")</f>
        <v>-7852.7271009093702</v>
      </c>
      <c r="G56" s="12" cm="1">
        <f t="array" ref="G56">IFERROR(IF($D56 &lt;&gt;0,ResultValue($C56,COLUMN(H56)-COLUMN($C56))/$D56,""),"")</f>
        <v>-7835.0819157811293</v>
      </c>
      <c r="H56" s="12" cm="1">
        <f t="array" ref="H56">IFERROR(IF($D56 &lt;&gt;0,ResultValue($C56,COLUMN(I56)-COLUMN($C56))/$D56,""),"")</f>
        <v>-7817.8054208600297</v>
      </c>
      <c r="I56" s="12" cm="1">
        <f t="array" ref="I56">IFERROR(IF($D56 &lt;&gt;0,ResultValue($C56,COLUMN(J56)-COLUMN($C56))/$D56,""),"")</f>
        <v>-7800.8864437155489</v>
      </c>
      <c r="J56" s="12" cm="1">
        <f t="array" ref="J56">IFERROR(IF($D56 &lt;&gt;0,ResultValue($C56,COLUMN(K56)-COLUMN($C56))/$D56,""),"")</f>
        <v>-7784.314258814391</v>
      </c>
      <c r="K56" s="12" cm="1">
        <f t="array" ref="K56">IFERROR(IF($D56 &lt;&gt;0,ResultValue($C56,COLUMN(L56)-COLUMN($C56))/$D56,""),"")</f>
        <v>-7768.0785653968505</v>
      </c>
      <c r="L56" s="12" cm="1">
        <f t="array" ref="L56">IFERROR(IF($D56 &lt;&gt;0,ResultValue($C56,COLUMN(M56)-COLUMN($C56))/$D56,""),"")</f>
        <v>-7752.1694666545891</v>
      </c>
      <c r="M56" s="12" cm="1">
        <f t="array" ref="M56">IFERROR(IF($D56 &lt;&gt;0,ResultValue($C56,COLUMN(N56)-COLUMN($C56))/$D56,""),"")</f>
        <v>-7736.5774501213346</v>
      </c>
      <c r="N56" s="12" cm="1">
        <f t="array" ref="N56">IFERROR(IF($D56 &lt;&gt;0,ResultValue($C56,COLUMN(O56)-COLUMN($C56))/$D56,""),"")</f>
        <v>-7721.2933691949038</v>
      </c>
      <c r="O56" s="12" cm="1">
        <f t="array" ref="O56">IFERROR(IF($D56 &lt;&gt;0,ResultValue($C56,COLUMN(P56)-COLUMN($C56))/$D56,""),"")</f>
        <v>-7706.3084257151031</v>
      </c>
      <c r="P56" s="12" cm="1">
        <f t="array" ref="P56">IFERROR(IF($D56 &lt;&gt;0,ResultValue($C56,COLUMN(Q56)-COLUMN($C56))/$D56,""),"")</f>
        <v>-7691.6141535277802</v>
      </c>
      <c r="Q56" s="12" cm="1">
        <f t="array" ref="Q56">IFERROR(IF($D56 &lt;&gt;0,ResultValue($C56,COLUMN(R56)-COLUMN($C56))/$D56,""),"")</f>
        <v>-7677.2024029705326</v>
      </c>
      <c r="R56" s="12" cm="1">
        <f t="array" ref="R56">IFERROR(IF($D56 &lt;&gt;0,ResultValue($C56,COLUMN(S56)-COLUMN($C56))/$D56,""),"")</f>
        <v>-7663.0653262203014</v>
      </c>
      <c r="S56" s="12" cm="1">
        <f t="array" ref="S56">IFERROR(IF($D56 &lt;&gt;0,ResultValue($C56,COLUMN(T56)-COLUMN($C56))/$D56,""),"")</f>
        <v>-7649.1953634475321</v>
      </c>
      <c r="T56" s="12" cm="1">
        <f t="array" ref="T56">IFERROR(IF($D56 &lt;&gt;0,ResultValue($C56,COLUMN(U56)-COLUMN($C56))/$D56,""),"")</f>
        <v>-7635.5852297255733</v>
      </c>
      <c r="U56" s="12" cm="1">
        <f t="array" ref="U56">IFERROR(IF($D56 &lt;&gt;0,ResultValue($C56,COLUMN(V56)-COLUMN($C56))/$D56,""),"")</f>
        <v>-7622.2279026476399</v>
      </c>
      <c r="V56" s="12" cm="1">
        <f t="array" ref="V56">IFERROR(IF($D56 &lt;&gt;0,ResultValue($C56,COLUMN(W56)-COLUMN($C56))/$D56,""),"")</f>
        <v>-7609.1166106071996</v>
      </c>
      <c r="W56" s="12" cm="1">
        <f t="array" ref="W56">IFERROR(IF($D56 &lt;&gt;0,ResultValue($C56,COLUMN(X56)-COLUMN($C56))/$D56,""),"")</f>
        <v>-7596.2448217006004</v>
      </c>
      <c r="X56" s="12" cm="1">
        <f t="array" ref="X56">IFERROR(IF($D56 &lt;&gt;0,ResultValue($C56,COLUMN(Y56)-COLUMN($C56))/$D56,""),"")</f>
        <v>-7583.6062332137935</v>
      </c>
      <c r="Y56" s="12" cm="1">
        <f t="array" ref="Y56">IFERROR(IF($D56 &lt;&gt;0,ResultValue($C56,COLUMN(Z56)-COLUMN($C56))/$D56,""),"")</f>
        <v>-7571.1947616575708</v>
      </c>
    </row>
    <row r="57" spans="1:31" x14ac:dyDescent="0.25">
      <c r="A57" t="str">
        <v>Elsalg</v>
      </c>
      <c r="B57" s="46"/>
      <c r="C57" t="str">
        <f t="shared" si="0"/>
        <v>RGK-rabat</v>
      </c>
      <c r="D57" s="39">
        <f t="shared" si="1"/>
        <v>1000</v>
      </c>
      <c r="E57" s="12" cm="1">
        <f t="array" ref="E57">IFERROR(IF($D57 &lt;&gt;0,ResultValue($C57,COLUMN(F57)-COLUMN($C57))/$D57,""),"")</f>
        <v>200.59380181097563</v>
      </c>
      <c r="F57" s="12" cm="1">
        <f t="array" ref="F57">IFERROR(IF($D57 &lt;&gt;0,ResultValue($C57,COLUMN(G57)-COLUMN($C57))/$D57,""),"")</f>
        <v>0</v>
      </c>
      <c r="G57" s="12" cm="1">
        <f t="array" ref="G57">IFERROR(IF($D57 &lt;&gt;0,ResultValue($C57,COLUMN(H57)-COLUMN($C57))/$D57,""),"")</f>
        <v>0</v>
      </c>
      <c r="H57" s="12" cm="1">
        <f t="array" ref="H57">IFERROR(IF($D57 &lt;&gt;0,ResultValue($C57,COLUMN(I57)-COLUMN($C57))/$D57,""),"")</f>
        <v>0</v>
      </c>
      <c r="I57" s="12" cm="1">
        <f t="array" ref="I57">IFERROR(IF($D57 &lt;&gt;0,ResultValue($C57,COLUMN(J57)-COLUMN($C57))/$D57,""),"")</f>
        <v>0</v>
      </c>
      <c r="J57" s="12" cm="1">
        <f t="array" ref="J57">IFERROR(IF($D57 &lt;&gt;0,ResultValue($C57,COLUMN(K57)-COLUMN($C57))/$D57,""),"")</f>
        <v>0</v>
      </c>
      <c r="K57" s="12" cm="1">
        <f t="array" ref="K57">IFERROR(IF($D57 &lt;&gt;0,ResultValue($C57,COLUMN(L57)-COLUMN($C57))/$D57,""),"")</f>
        <v>0</v>
      </c>
      <c r="L57" s="12" cm="1">
        <f t="array" ref="L57">IFERROR(IF($D57 &lt;&gt;0,ResultValue($C57,COLUMN(M57)-COLUMN($C57))/$D57,""),"")</f>
        <v>0</v>
      </c>
      <c r="M57" s="12" cm="1">
        <f t="array" ref="M57">IFERROR(IF($D57 &lt;&gt;0,ResultValue($C57,COLUMN(N57)-COLUMN($C57))/$D57,""),"")</f>
        <v>200.59380181097563</v>
      </c>
      <c r="N57" s="12" cm="1">
        <f t="array" ref="N57">IFERROR(IF($D57 &lt;&gt;0,ResultValue($C57,COLUMN(O57)-COLUMN($C57))/$D57,""),"")</f>
        <v>200.59380181097563</v>
      </c>
      <c r="O57" s="12" cm="1">
        <f t="array" ref="O57">IFERROR(IF($D57 &lt;&gt;0,ResultValue($C57,COLUMN(P57)-COLUMN($C57))/$D57,""),"")</f>
        <v>200.59380181097563</v>
      </c>
      <c r="P57" s="12" cm="1">
        <f t="array" ref="P57">IFERROR(IF($D57 &lt;&gt;0,ResultValue($C57,COLUMN(Q57)-COLUMN($C57))/$D57,""),"")</f>
        <v>200.59380181097563</v>
      </c>
      <c r="Q57" s="12" cm="1">
        <f t="array" ref="Q57">IFERROR(IF($D57 &lt;&gt;0,ResultValue($C57,COLUMN(R57)-COLUMN($C57))/$D57,""),"")</f>
        <v>200.59380181097563</v>
      </c>
      <c r="R57" s="12" cm="1">
        <f t="array" ref="R57">IFERROR(IF($D57 &lt;&gt;0,ResultValue($C57,COLUMN(S57)-COLUMN($C57))/$D57,""),"")</f>
        <v>200.59380181097563</v>
      </c>
      <c r="S57" s="12" cm="1">
        <f t="array" ref="S57">IFERROR(IF($D57 &lt;&gt;0,ResultValue($C57,COLUMN(T57)-COLUMN($C57))/$D57,""),"")</f>
        <v>200.59380181097563</v>
      </c>
      <c r="T57" s="12" cm="1">
        <f t="array" ref="T57">IFERROR(IF($D57 &lt;&gt;0,ResultValue($C57,COLUMN(U57)-COLUMN($C57))/$D57,""),"")</f>
        <v>200.59380181097563</v>
      </c>
      <c r="U57" s="12" cm="1">
        <f t="array" ref="U57">IFERROR(IF($D57 &lt;&gt;0,ResultValue($C57,COLUMN(V57)-COLUMN($C57))/$D57,""),"")</f>
        <v>200.59380181097563</v>
      </c>
      <c r="V57" s="12" cm="1">
        <f t="array" ref="V57">IFERROR(IF($D57 &lt;&gt;0,ResultValue($C57,COLUMN(W57)-COLUMN($C57))/$D57,""),"")</f>
        <v>200.59380181097563</v>
      </c>
      <c r="W57" s="12" cm="1">
        <f t="array" ref="W57">IFERROR(IF($D57 &lt;&gt;0,ResultValue($C57,COLUMN(X57)-COLUMN($C57))/$D57,""),"")</f>
        <v>200.59380181097563</v>
      </c>
      <c r="X57" s="12" cm="1">
        <f t="array" ref="X57">IFERROR(IF($D57 &lt;&gt;0,ResultValue($C57,COLUMN(Y57)-COLUMN($C57))/$D57,""),"")</f>
        <v>200.59380181097563</v>
      </c>
      <c r="Y57" s="12" cm="1">
        <f t="array" ref="Y57">IFERROR(IF($D57 &lt;&gt;0,ResultValue($C57,COLUMN(Z57)-COLUMN($C57))/$D57,""),"")</f>
        <v>200.59380181097563</v>
      </c>
    </row>
    <row r="58" spans="1:31" x14ac:dyDescent="0.25">
      <c r="A58" t="str">
        <v>RGK-rabat</v>
      </c>
      <c r="B58" s="46"/>
      <c r="C58" t="str">
        <f t="shared" si="0"/>
        <v>Modtagebetaling affald</v>
      </c>
      <c r="D58" s="39">
        <f t="shared" si="1"/>
        <v>1000</v>
      </c>
      <c r="E58" s="12" cm="1">
        <f t="array" ref="E58">IFERROR(IF($D58 &lt;&gt;0,ResultValue($C58,COLUMN(F58)-COLUMN($C58))/$D58,""),"")</f>
        <v>4040.3371902956987</v>
      </c>
      <c r="F58" s="12" cm="1">
        <f t="array" ref="F58">IFERROR(IF($D58 &lt;&gt;0,ResultValue($C58,COLUMN(G58)-COLUMN($C58))/$D58,""),"")</f>
        <v>4770.4508404332728</v>
      </c>
      <c r="G58" s="12" cm="1">
        <f t="array" ref="G58">IFERROR(IF($D58 &lt;&gt;0,ResultValue($C58,COLUMN(H58)-COLUMN($C58))/$D58,""),"")</f>
        <v>4724.8930163606619</v>
      </c>
      <c r="H58" s="12" cm="1">
        <f t="array" ref="H58">IFERROR(IF($D58 &lt;&gt;0,ResultValue($C58,COLUMN(I58)-COLUMN($C58))/$D58,""),"")</f>
        <v>4680.2649437997379</v>
      </c>
      <c r="I58" s="12" cm="1">
        <f t="array" ref="I58">IFERROR(IF($D58 &lt;&gt;0,ResultValue($C58,COLUMN(J58)-COLUMN($C58))/$D58,""),"")</f>
        <v>4636.5384484622655</v>
      </c>
      <c r="J58" s="12" cm="1">
        <f t="array" ref="J58">IFERROR(IF($D58 &lt;&gt;0,ResultValue($C58,COLUMN(K58)-COLUMN($C58))/$D58,""),"")</f>
        <v>4593.6864830315435</v>
      </c>
      <c r="K58" s="12" cm="1">
        <f t="array" ref="K58">IFERROR(IF($D58 &lt;&gt;0,ResultValue($C58,COLUMN(L58)-COLUMN($C58))/$D58,""),"")</f>
        <v>4551.6830713717272</v>
      </c>
      <c r="L58" s="12" cm="1">
        <f t="array" ref="L58">IFERROR(IF($D58 &lt;&gt;0,ResultValue($C58,COLUMN(M58)-COLUMN($C58))/$D58,""),"")</f>
        <v>4510.5032560189666</v>
      </c>
      <c r="M58" s="12" cm="1">
        <f t="array" ref="M58">IFERROR(IF($D58 &lt;&gt;0,ResultValue($C58,COLUMN(N58)-COLUMN($C58))/$D58,""),"")</f>
        <v>4470.1230487313078</v>
      </c>
      <c r="N58" s="12" cm="1">
        <f t="array" ref="N58">IFERROR(IF($D58 &lt;&gt;0,ResultValue($C58,COLUMN(O58)-COLUMN($C58))/$D58,""),"")</f>
        <v>4430.5193838914875</v>
      </c>
      <c r="O58" s="12" cm="1">
        <f t="array" ref="O58">IFERROR(IF($D58 &lt;&gt;0,ResultValue($C58,COLUMN(P58)-COLUMN($C58))/$D58,""),"")</f>
        <v>4391.6700745724256</v>
      </c>
      <c r="P58" s="12" cm="1">
        <f t="array" ref="P58">IFERROR(IF($D58 &lt;&gt;0,ResultValue($C58,COLUMN(Q58)-COLUMN($C58))/$D58,""),"")</f>
        <v>4353.5537710895724</v>
      </c>
      <c r="Q58" s="12" cm="1">
        <f t="array" ref="Q58">IFERROR(IF($D58 &lt;&gt;0,ResultValue($C58,COLUMN(R58)-COLUMN($C58))/$D58,""),"")</f>
        <v>4316.1499218774279</v>
      </c>
      <c r="R58" s="12" cm="1">
        <f t="array" ref="R58">IFERROR(IF($D58 &lt;&gt;0,ResultValue($C58,COLUMN(S58)-COLUMN($C58))/$D58,""),"")</f>
        <v>4279.4387365395824</v>
      </c>
      <c r="S58" s="12" cm="1">
        <f t="array" ref="S58">IFERROR(IF($D58 &lt;&gt;0,ResultValue($C58,COLUMN(T58)-COLUMN($C58))/$D58,""),"")</f>
        <v>4243.4011509327056</v>
      </c>
      <c r="T58" s="12" cm="1">
        <f t="array" ref="T58">IFERROR(IF($D58 &lt;&gt;0,ResultValue($C58,COLUMN(U58)-COLUMN($C58))/$D58,""),"")</f>
        <v>4208.0187941550466</v>
      </c>
      <c r="U58" s="12" cm="1">
        <f t="array" ref="U58">IFERROR(IF($D58 &lt;&gt;0,ResultValue($C58,COLUMN(V58)-COLUMN($C58))/$D58,""),"")</f>
        <v>4173.2739573193248</v>
      </c>
      <c r="V58" s="12" cm="1">
        <f t="array" ref="V58">IFERROR(IF($D58 &lt;&gt;0,ResultValue($C58,COLUMN(W58)-COLUMN($C58))/$D58,""),"")</f>
        <v>4139.1495639985287</v>
      </c>
      <c r="W58" s="12" cm="1">
        <f t="array" ref="W58">IFERROR(IF($D58 &lt;&gt;0,ResultValue($C58,COLUMN(X58)-COLUMN($C58))/$D58,""),"")</f>
        <v>4105.6291422409313</v>
      </c>
      <c r="X58" s="12" cm="1">
        <f t="array" ref="X58">IFERROR(IF($D58 &lt;&gt;0,ResultValue($C58,COLUMN(Y58)-COLUMN($C58))/$D58,""),"")</f>
        <v>4072.6967980580289</v>
      </c>
      <c r="Y58" s="12" cm="1">
        <f t="array" ref="Y58">IFERROR(IF($D58 &lt;&gt;0,ResultValue($C58,COLUMN(Z58)-COLUMN($C58))/$D58,""),"")</f>
        <v>4040.3371902956987</v>
      </c>
    </row>
    <row r="59" spans="1:31" x14ac:dyDescent="0.25">
      <c r="A59" t="str">
        <v>Modtagebetaling affald</v>
      </c>
      <c r="B59" s="46"/>
      <c r="C59" t="str">
        <f t="shared" si="0"/>
        <v>Varmesalg</v>
      </c>
      <c r="D59" s="39">
        <f t="shared" si="1"/>
        <v>1000</v>
      </c>
      <c r="E59" s="12" cm="1">
        <f t="array" ref="E59">IFERROR(IF($D59 &lt;&gt;0,ResultValue($C59,COLUMN(F59)-COLUMN($C59))/$D59,""),"")</f>
        <v>7464</v>
      </c>
      <c r="F59" s="12" cm="1">
        <f t="array" ref="F59">IFERROR(IF($D59 &lt;&gt;0,ResultValue($C59,COLUMN(G59)-COLUMN($C59))/$D59,""),"")</f>
        <v>7464</v>
      </c>
      <c r="G59" s="12" cm="1">
        <f t="array" ref="G59">IFERROR(IF($D59 &lt;&gt;0,ResultValue($C59,COLUMN(H59)-COLUMN($C59))/$D59,""),"")</f>
        <v>7464</v>
      </c>
      <c r="H59" s="12" cm="1">
        <f t="array" ref="H59">IFERROR(IF($D59 &lt;&gt;0,ResultValue($C59,COLUMN(I59)-COLUMN($C59))/$D59,""),"")</f>
        <v>7464</v>
      </c>
      <c r="I59" s="12" cm="1">
        <f t="array" ref="I59">IFERROR(IF($D59 &lt;&gt;0,ResultValue($C59,COLUMN(J59)-COLUMN($C59))/$D59,""),"")</f>
        <v>7464</v>
      </c>
      <c r="J59" s="12" cm="1">
        <f t="array" ref="J59">IFERROR(IF($D59 &lt;&gt;0,ResultValue($C59,COLUMN(K59)-COLUMN($C59))/$D59,""),"")</f>
        <v>7464</v>
      </c>
      <c r="K59" s="12" cm="1">
        <f t="array" ref="K59">IFERROR(IF($D59 &lt;&gt;0,ResultValue($C59,COLUMN(L59)-COLUMN($C59))/$D59,""),"")</f>
        <v>7464</v>
      </c>
      <c r="L59" s="12" cm="1">
        <f t="array" ref="L59">IFERROR(IF($D59 &lt;&gt;0,ResultValue($C59,COLUMN(M59)-COLUMN($C59))/$D59,""),"")</f>
        <v>7464</v>
      </c>
      <c r="M59" s="12" cm="1">
        <f t="array" ref="M59">IFERROR(IF($D59 &lt;&gt;0,ResultValue($C59,COLUMN(N59)-COLUMN($C59))/$D59,""),"")</f>
        <v>7464</v>
      </c>
      <c r="N59" s="12" cm="1">
        <f t="array" ref="N59">IFERROR(IF($D59 &lt;&gt;0,ResultValue($C59,COLUMN(O59)-COLUMN($C59))/$D59,""),"")</f>
        <v>7464</v>
      </c>
      <c r="O59" s="12" cm="1">
        <f t="array" ref="O59">IFERROR(IF($D59 &lt;&gt;0,ResultValue($C59,COLUMN(P59)-COLUMN($C59))/$D59,""),"")</f>
        <v>7464</v>
      </c>
      <c r="P59" s="12" cm="1">
        <f t="array" ref="P59">IFERROR(IF($D59 &lt;&gt;0,ResultValue($C59,COLUMN(Q59)-COLUMN($C59))/$D59,""),"")</f>
        <v>7464</v>
      </c>
      <c r="Q59" s="12" cm="1">
        <f t="array" ref="Q59">IFERROR(IF($D59 &lt;&gt;0,ResultValue($C59,COLUMN(R59)-COLUMN($C59))/$D59,""),"")</f>
        <v>7464</v>
      </c>
      <c r="R59" s="12" cm="1">
        <f t="array" ref="R59">IFERROR(IF($D59 &lt;&gt;0,ResultValue($C59,COLUMN(S59)-COLUMN($C59))/$D59,""),"")</f>
        <v>7464</v>
      </c>
      <c r="S59" s="12" cm="1">
        <f t="array" ref="S59">IFERROR(IF($D59 &lt;&gt;0,ResultValue($C59,COLUMN(T59)-COLUMN($C59))/$D59,""),"")</f>
        <v>7464</v>
      </c>
      <c r="T59" s="12" cm="1">
        <f t="array" ref="T59">IFERROR(IF($D59 &lt;&gt;0,ResultValue($C59,COLUMN(U59)-COLUMN($C59))/$D59,""),"")</f>
        <v>7464</v>
      </c>
      <c r="U59" s="12" cm="1">
        <f t="array" ref="U59">IFERROR(IF($D59 &lt;&gt;0,ResultValue($C59,COLUMN(V59)-COLUMN($C59))/$D59,""),"")</f>
        <v>7464</v>
      </c>
      <c r="V59" s="12" cm="1">
        <f t="array" ref="V59">IFERROR(IF($D59 &lt;&gt;0,ResultValue($C59,COLUMN(W59)-COLUMN($C59))/$D59,""),"")</f>
        <v>7464</v>
      </c>
      <c r="W59" s="12" cm="1">
        <f t="array" ref="W59">IFERROR(IF($D59 &lt;&gt;0,ResultValue($C59,COLUMN(X59)-COLUMN($C59))/$D59,""),"")</f>
        <v>7464</v>
      </c>
      <c r="X59" s="12" cm="1">
        <f t="array" ref="X59">IFERROR(IF($D59 &lt;&gt;0,ResultValue($C59,COLUMN(Y59)-COLUMN($C59))/$D59,""),"")</f>
        <v>7464</v>
      </c>
      <c r="Y59" s="12" cm="1">
        <f t="array" ref="Y59">IFERROR(IF($D59 &lt;&gt;0,ResultValue($C59,COLUMN(Z59)-COLUMN($C59))/$D59,""),"")</f>
        <v>7464</v>
      </c>
    </row>
    <row r="60" spans="1:31" x14ac:dyDescent="0.25">
      <c r="A60" t="str">
        <v>Betaling bioaffald</v>
      </c>
      <c r="B60" s="46"/>
      <c r="C60" t="str">
        <f t="shared" si="0"/>
        <v>Varmeproduktion Ovn2</v>
      </c>
      <c r="D60" s="39">
        <f t="shared" si="1"/>
        <v>1</v>
      </c>
      <c r="E60" s="12" cm="1">
        <f t="array" ref="E60">IFERROR(IF($D60 &lt;&gt;0,ResultValue($C60,COLUMN(F60)-COLUMN($C60))/$D60,""),"")</f>
        <v>3168</v>
      </c>
      <c r="F60" s="12" cm="1">
        <f t="array" ref="F60">IFERROR(IF($D60 &lt;&gt;0,ResultValue($C60,COLUMN(G60)-COLUMN($C60))/$D60,""),"")</f>
        <v>7055.4000000000015</v>
      </c>
      <c r="G60" s="12" cm="1">
        <f t="array" ref="G60">IFERROR(IF($D60 &lt;&gt;0,ResultValue($C60,COLUMN(H60)-COLUMN($C60))/$D60,""),"")</f>
        <v>6850.7999999999993</v>
      </c>
      <c r="H60" s="12" cm="1">
        <f t="array" ref="H60">IFERROR(IF($D60 &lt;&gt;0,ResultValue($C60,COLUMN(I60)-COLUMN($C60))/$D60,""),"")</f>
        <v>6646.2000000000007</v>
      </c>
      <c r="I60" s="12" cm="1">
        <f t="array" ref="I60">IFERROR(IF($D60 &lt;&gt;0,ResultValue($C60,COLUMN(J60)-COLUMN($C60))/$D60,""),"")</f>
        <v>6441.5999999999985</v>
      </c>
      <c r="J60" s="12" cm="1">
        <f t="array" ref="J60">IFERROR(IF($D60 &lt;&gt;0,ResultValue($C60,COLUMN(K60)-COLUMN($C60))/$D60,""),"")</f>
        <v>6237</v>
      </c>
      <c r="K60" s="12" cm="1">
        <f t="array" ref="K60">IFERROR(IF($D60 &lt;&gt;0,ResultValue($C60,COLUMN(L60)-COLUMN($C60))/$D60,""),"")</f>
        <v>6032.4000000000015</v>
      </c>
      <c r="L60" s="12" cm="1">
        <f t="array" ref="L60">IFERROR(IF($D60 &lt;&gt;0,ResultValue($C60,COLUMN(M60)-COLUMN($C60))/$D60,""),"")</f>
        <v>5827.7999999999993</v>
      </c>
      <c r="M60" s="12" cm="1">
        <f t="array" ref="M60">IFERROR(IF($D60 &lt;&gt;0,ResultValue($C60,COLUMN(N60)-COLUMN($C60))/$D60,""),"")</f>
        <v>5623.2000000000007</v>
      </c>
      <c r="N60" s="12" cm="1">
        <f t="array" ref="N60">IFERROR(IF($D60 &lt;&gt;0,ResultValue($C60,COLUMN(O60)-COLUMN($C60))/$D60,""),"")</f>
        <v>5418.5999999999985</v>
      </c>
      <c r="O60" s="12" cm="1">
        <f t="array" ref="O60">IFERROR(IF($D60 &lt;&gt;0,ResultValue($C60,COLUMN(P60)-COLUMN($C60))/$D60,""),"")</f>
        <v>5214</v>
      </c>
      <c r="P60" s="12" cm="1">
        <f t="array" ref="P60">IFERROR(IF($D60 &lt;&gt;0,ResultValue($C60,COLUMN(Q60)-COLUMN($C60))/$D60,""),"")</f>
        <v>5009.4000000000015</v>
      </c>
      <c r="Q60" s="12" cm="1">
        <f t="array" ref="Q60">IFERROR(IF($D60 &lt;&gt;0,ResultValue($C60,COLUMN(R60)-COLUMN($C60))/$D60,""),"")</f>
        <v>4804.7999999999993</v>
      </c>
      <c r="R60" s="12" cm="1">
        <f t="array" ref="R60">IFERROR(IF($D60 &lt;&gt;0,ResultValue($C60,COLUMN(S60)-COLUMN($C60))/$D60,""),"")</f>
        <v>4600.2000000000007</v>
      </c>
      <c r="S60" s="12" cm="1">
        <f t="array" ref="S60">IFERROR(IF($D60 &lt;&gt;0,ResultValue($C60,COLUMN(T60)-COLUMN($C60))/$D60,""),"")</f>
        <v>4395.5999999999985</v>
      </c>
      <c r="T60" s="12" cm="1">
        <f t="array" ref="T60">IFERROR(IF($D60 &lt;&gt;0,ResultValue($C60,COLUMN(U60)-COLUMN($C60))/$D60,""),"")</f>
        <v>4191</v>
      </c>
      <c r="U60" s="12" cm="1">
        <f t="array" ref="U60">IFERROR(IF($D60 &lt;&gt;0,ResultValue($C60,COLUMN(V60)-COLUMN($C60))/$D60,""),"")</f>
        <v>3986.4000000000015</v>
      </c>
      <c r="V60" s="12" cm="1">
        <f t="array" ref="V60">IFERROR(IF($D60 &lt;&gt;0,ResultValue($C60,COLUMN(W60)-COLUMN($C60))/$D60,""),"")</f>
        <v>3781.7999999999993</v>
      </c>
      <c r="W60" s="12" cm="1">
        <f t="array" ref="W60">IFERROR(IF($D60 &lt;&gt;0,ResultValue($C60,COLUMN(X60)-COLUMN($C60))/$D60,""),"")</f>
        <v>3577.2000000000007</v>
      </c>
      <c r="X60" s="12" cm="1">
        <f t="array" ref="X60">IFERROR(IF($D60 &lt;&gt;0,ResultValue($C60,COLUMN(Y60)-COLUMN($C60))/$D60,""),"")</f>
        <v>3372.5999999999985</v>
      </c>
      <c r="Y60" s="12" cm="1">
        <f t="array" ref="Y60">IFERROR(IF($D60 &lt;&gt;0,ResultValue($C60,COLUMN(Z60)-COLUMN($C60))/$D60,""),"")</f>
        <v>3168</v>
      </c>
    </row>
    <row r="61" spans="1:31" x14ac:dyDescent="0.25">
      <c r="A61" t="str">
        <v>DV-omkostninger</v>
      </c>
      <c r="B61" s="46"/>
      <c r="C61" t="str">
        <f t="shared" si="0"/>
        <v>Varmeproduktion Ovn3</v>
      </c>
      <c r="D61" s="39">
        <f t="shared" si="1"/>
        <v>1</v>
      </c>
      <c r="E61" s="12" cm="1">
        <f t="array" ref="E61">IFERROR(IF($D61 &lt;&gt;0,ResultValue($C61,COLUMN(F61)-COLUMN($C61))/$D61,""),"")</f>
        <v>20832</v>
      </c>
      <c r="F61" s="12" cm="1">
        <f t="array" ref="F61">IFERROR(IF($D61 &lt;&gt;0,ResultValue($C61,COLUMN(G61)-COLUMN($C61))/$D61,""),"")</f>
        <v>16944.599999999999</v>
      </c>
      <c r="G61" s="12" cm="1">
        <f t="array" ref="G61">IFERROR(IF($D61 &lt;&gt;0,ResultValue($C61,COLUMN(H61)-COLUMN($C61))/$D61,""),"")</f>
        <v>17149.2</v>
      </c>
      <c r="H61" s="12" cm="1">
        <f t="array" ref="H61">IFERROR(IF($D61 &lt;&gt;0,ResultValue($C61,COLUMN(I61)-COLUMN($C61))/$D61,""),"")</f>
        <v>17353.8</v>
      </c>
      <c r="I61" s="12" cm="1">
        <f t="array" ref="I61">IFERROR(IF($D61 &lt;&gt;0,ResultValue($C61,COLUMN(J61)-COLUMN($C61))/$D61,""),"")</f>
        <v>17558.400000000001</v>
      </c>
      <c r="J61" s="12" cm="1">
        <f t="array" ref="J61">IFERROR(IF($D61 &lt;&gt;0,ResultValue($C61,COLUMN(K61)-COLUMN($C61))/$D61,""),"")</f>
        <v>17763</v>
      </c>
      <c r="K61" s="12" cm="1">
        <f t="array" ref="K61">IFERROR(IF($D61 &lt;&gt;0,ResultValue($C61,COLUMN(L61)-COLUMN($C61))/$D61,""),"")</f>
        <v>17967.599999999999</v>
      </c>
      <c r="L61" s="12" cm="1">
        <f t="array" ref="L61">IFERROR(IF($D61 &lt;&gt;0,ResultValue($C61,COLUMN(M61)-COLUMN($C61))/$D61,""),"")</f>
        <v>18172.2</v>
      </c>
      <c r="M61" s="12" cm="1">
        <f t="array" ref="M61">IFERROR(IF($D61 &lt;&gt;0,ResultValue($C61,COLUMN(N61)-COLUMN($C61))/$D61,""),"")</f>
        <v>18376.8</v>
      </c>
      <c r="N61" s="12" cm="1">
        <f t="array" ref="N61">IFERROR(IF($D61 &lt;&gt;0,ResultValue($C61,COLUMN(O61)-COLUMN($C61))/$D61,""),"")</f>
        <v>18581.400000000001</v>
      </c>
      <c r="O61" s="12" cm="1">
        <f t="array" ref="O61">IFERROR(IF($D61 &lt;&gt;0,ResultValue($C61,COLUMN(P61)-COLUMN($C61))/$D61,""),"")</f>
        <v>18786</v>
      </c>
      <c r="P61" s="12" cm="1">
        <f t="array" ref="P61">IFERROR(IF($D61 &lt;&gt;0,ResultValue($C61,COLUMN(Q61)-COLUMN($C61))/$D61,""),"")</f>
        <v>18990.599999999999</v>
      </c>
      <c r="Q61" s="12" cm="1">
        <f t="array" ref="Q61">IFERROR(IF($D61 &lt;&gt;0,ResultValue($C61,COLUMN(R61)-COLUMN($C61))/$D61,""),"")</f>
        <v>19195.2</v>
      </c>
      <c r="R61" s="12" cm="1">
        <f t="array" ref="R61">IFERROR(IF($D61 &lt;&gt;0,ResultValue($C61,COLUMN(S61)-COLUMN($C61))/$D61,""),"")</f>
        <v>19399.8</v>
      </c>
      <c r="S61" s="12" cm="1">
        <f t="array" ref="S61">IFERROR(IF($D61 &lt;&gt;0,ResultValue($C61,COLUMN(T61)-COLUMN($C61))/$D61,""),"")</f>
        <v>19604.400000000001</v>
      </c>
      <c r="T61" s="12" cm="1">
        <f t="array" ref="T61">IFERROR(IF($D61 &lt;&gt;0,ResultValue($C61,COLUMN(U61)-COLUMN($C61))/$D61,""),"")</f>
        <v>19809</v>
      </c>
      <c r="U61" s="12" cm="1">
        <f t="array" ref="U61">IFERROR(IF($D61 &lt;&gt;0,ResultValue($C61,COLUMN(V61)-COLUMN($C61))/$D61,""),"")</f>
        <v>20013.599999999999</v>
      </c>
      <c r="V61" s="12" cm="1">
        <f t="array" ref="V61">IFERROR(IF($D61 &lt;&gt;0,ResultValue($C61,COLUMN(W61)-COLUMN($C61))/$D61,""),"")</f>
        <v>20218.2</v>
      </c>
      <c r="W61" s="12" cm="1">
        <f t="array" ref="W61">IFERROR(IF($D61 &lt;&gt;0,ResultValue($C61,COLUMN(X61)-COLUMN($C61))/$D61,""),"")</f>
        <v>20422.8</v>
      </c>
      <c r="X61" s="12" cm="1">
        <f t="array" ref="X61">IFERROR(IF($D61 &lt;&gt;0,ResultValue($C61,COLUMN(Y61)-COLUMN($C61))/$D61,""),"")</f>
        <v>20627.400000000001</v>
      </c>
      <c r="Y61" s="12" cm="1">
        <f t="array" ref="Y61">IFERROR(IF($D61 &lt;&gt;0,ResultValue($C61,COLUMN(Z61)-COLUMN($C61))/$D61,""),"")</f>
        <v>20832</v>
      </c>
    </row>
    <row r="62" spans="1:31" x14ac:dyDescent="0.25">
      <c r="A62" t="str">
        <v>Affaldvarme-afgift</v>
      </c>
      <c r="B62" s="46"/>
      <c r="C62" t="str">
        <f t="shared" si="0"/>
        <v>Bortkølet varme</v>
      </c>
      <c r="D62" s="39">
        <f t="shared" si="1"/>
        <v>-1</v>
      </c>
      <c r="E62" s="12" cm="1">
        <f t="array" ref="E62">IFERROR(IF($D62 &lt;&gt;0,ResultValue($C62,COLUMN(F62)-COLUMN($C62))/$D62,""),"")</f>
        <v>0</v>
      </c>
      <c r="F62" s="12" cm="1">
        <f t="array" ref="F62">IFERROR(IF($D62 &lt;&gt;0,ResultValue($C62,COLUMN(G62)-COLUMN($C62))/$D62,""),"")</f>
        <v>0</v>
      </c>
      <c r="G62" s="12" cm="1">
        <f t="array" ref="G62">IFERROR(IF($D62 &lt;&gt;0,ResultValue($C62,COLUMN(H62)-COLUMN($C62))/$D62,""),"")</f>
        <v>0</v>
      </c>
      <c r="H62" s="12" cm="1">
        <f t="array" ref="H62">IFERROR(IF($D62 &lt;&gt;0,ResultValue($C62,COLUMN(I62)-COLUMN($C62))/$D62,""),"")</f>
        <v>0</v>
      </c>
      <c r="I62" s="12" cm="1">
        <f t="array" ref="I62">IFERROR(IF($D62 &lt;&gt;0,ResultValue($C62,COLUMN(J62)-COLUMN($C62))/$D62,""),"")</f>
        <v>0</v>
      </c>
      <c r="J62" s="12" cm="1">
        <f t="array" ref="J62">IFERROR(IF($D62 &lt;&gt;0,ResultValue($C62,COLUMN(K62)-COLUMN($C62))/$D62,""),"")</f>
        <v>0</v>
      </c>
      <c r="K62" s="12" cm="1">
        <f t="array" ref="K62">IFERROR(IF($D62 &lt;&gt;0,ResultValue($C62,COLUMN(L62)-COLUMN($C62))/$D62,""),"")</f>
        <v>0</v>
      </c>
      <c r="L62" s="12" cm="1">
        <f t="array" ref="L62">IFERROR(IF($D62 &lt;&gt;0,ResultValue($C62,COLUMN(M62)-COLUMN($C62))/$D62,""),"")</f>
        <v>0</v>
      </c>
      <c r="M62" s="12" cm="1">
        <f t="array" ref="M62">IFERROR(IF($D62 &lt;&gt;0,ResultValue($C62,COLUMN(N62)-COLUMN($C62))/$D62,""),"")</f>
        <v>0</v>
      </c>
      <c r="N62" s="12" cm="1">
        <f t="array" ref="N62">IFERROR(IF($D62 &lt;&gt;0,ResultValue($C62,COLUMN(O62)-COLUMN($C62))/$D62,""),"")</f>
        <v>0</v>
      </c>
      <c r="O62" s="12" cm="1">
        <f t="array" ref="O62">IFERROR(IF($D62 &lt;&gt;0,ResultValue($C62,COLUMN(P62)-COLUMN($C62))/$D62,""),"")</f>
        <v>0</v>
      </c>
      <c r="P62" s="12" cm="1">
        <f t="array" ref="P62">IFERROR(IF($D62 &lt;&gt;0,ResultValue($C62,COLUMN(Q62)-COLUMN($C62))/$D62,""),"")</f>
        <v>0</v>
      </c>
      <c r="Q62" s="12" cm="1">
        <f t="array" ref="Q62">IFERROR(IF($D62 &lt;&gt;0,ResultValue($C62,COLUMN(R62)-COLUMN($C62))/$D62,""),"")</f>
        <v>0</v>
      </c>
      <c r="R62" s="12" cm="1">
        <f t="array" ref="R62">IFERROR(IF($D62 &lt;&gt;0,ResultValue($C62,COLUMN(S62)-COLUMN($C62))/$D62,""),"")</f>
        <v>0</v>
      </c>
      <c r="S62" s="12" cm="1">
        <f t="array" ref="S62">IFERROR(IF($D62 &lt;&gt;0,ResultValue($C62,COLUMN(T62)-COLUMN($C62))/$D62,""),"")</f>
        <v>0</v>
      </c>
      <c r="T62" s="12" cm="1">
        <f t="array" ref="T62">IFERROR(IF($D62 &lt;&gt;0,ResultValue($C62,COLUMN(U62)-COLUMN($C62))/$D62,""),"")</f>
        <v>0</v>
      </c>
      <c r="U62" s="12" cm="1">
        <f t="array" ref="U62">IFERROR(IF($D62 &lt;&gt;0,ResultValue($C62,COLUMN(V62)-COLUMN($C62))/$D62,""),"")</f>
        <v>0</v>
      </c>
      <c r="V62" s="12" cm="1">
        <f t="array" ref="V62">IFERROR(IF($D62 &lt;&gt;0,ResultValue($C62,COLUMN(W62)-COLUMN($C62))/$D62,""),"")</f>
        <v>0</v>
      </c>
      <c r="W62" s="12" cm="1">
        <f t="array" ref="W62">IFERROR(IF($D62 &lt;&gt;0,ResultValue($C62,COLUMN(X62)-COLUMN($C62))/$D62,""),"")</f>
        <v>0</v>
      </c>
      <c r="X62" s="12" cm="1">
        <f t="array" ref="X62">IFERROR(IF($D62 &lt;&gt;0,ResultValue($C62,COLUMN(Y62)-COLUMN($C62))/$D62,""),"")</f>
        <v>0</v>
      </c>
      <c r="Y62" s="12" cm="1">
        <f t="array" ref="Y62">IFERROR(IF($D62 &lt;&gt;0,ResultValue($C62,COLUMN(Z62)-COLUMN($C62))/$D62,""),"")</f>
        <v>0</v>
      </c>
    </row>
    <row r="63" spans="1:31" x14ac:dyDescent="0.25">
      <c r="A63" t="str">
        <v>Tillægsafgift</v>
      </c>
      <c r="B63" s="46"/>
      <c r="C63" t="str">
        <f t="shared" si="0"/>
        <v>Leveret varme</v>
      </c>
      <c r="D63" s="39">
        <f t="shared" si="1"/>
        <v>1</v>
      </c>
      <c r="E63" s="12" cm="1">
        <f t="array" ref="E63">IFERROR(IF($D63 &lt;&gt;0,ResultValue($C63,COLUMN(F63)-COLUMN($C63))/$D63,""),"")</f>
        <v>24000</v>
      </c>
      <c r="F63" s="12" cm="1">
        <f t="array" ref="F63">IFERROR(IF($D63 &lt;&gt;0,ResultValue($C63,COLUMN(G63)-COLUMN($C63))/$D63,""),"")</f>
        <v>24000</v>
      </c>
      <c r="G63" s="12" cm="1">
        <f t="array" ref="G63">IFERROR(IF($D63 &lt;&gt;0,ResultValue($C63,COLUMN(H63)-COLUMN($C63))/$D63,""),"")</f>
        <v>24000</v>
      </c>
      <c r="H63" s="12" cm="1">
        <f t="array" ref="H63">IFERROR(IF($D63 &lt;&gt;0,ResultValue($C63,COLUMN(I63)-COLUMN($C63))/$D63,""),"")</f>
        <v>24000</v>
      </c>
      <c r="I63" s="12" cm="1">
        <f t="array" ref="I63">IFERROR(IF($D63 &lt;&gt;0,ResultValue($C63,COLUMN(J63)-COLUMN($C63))/$D63,""),"")</f>
        <v>24000</v>
      </c>
      <c r="J63" s="12" cm="1">
        <f t="array" ref="J63">IFERROR(IF($D63 &lt;&gt;0,ResultValue($C63,COLUMN(K63)-COLUMN($C63))/$D63,""),"")</f>
        <v>24000</v>
      </c>
      <c r="K63" s="12" cm="1">
        <f t="array" ref="K63">IFERROR(IF($D63 &lt;&gt;0,ResultValue($C63,COLUMN(L63)-COLUMN($C63))/$D63,""),"")</f>
        <v>24000</v>
      </c>
      <c r="L63" s="12" cm="1">
        <f t="array" ref="L63">IFERROR(IF($D63 &lt;&gt;0,ResultValue($C63,COLUMN(M63)-COLUMN($C63))/$D63,""),"")</f>
        <v>24000</v>
      </c>
      <c r="M63" s="12" cm="1">
        <f t="array" ref="M63">IFERROR(IF($D63 &lt;&gt;0,ResultValue($C63,COLUMN(N63)-COLUMN($C63))/$D63,""),"")</f>
        <v>24000</v>
      </c>
      <c r="N63" s="12" cm="1">
        <f t="array" ref="N63">IFERROR(IF($D63 &lt;&gt;0,ResultValue($C63,COLUMN(O63)-COLUMN($C63))/$D63,""),"")</f>
        <v>24000</v>
      </c>
      <c r="O63" s="12" cm="1">
        <f t="array" ref="O63">IFERROR(IF($D63 &lt;&gt;0,ResultValue($C63,COLUMN(P63)-COLUMN($C63))/$D63,""),"")</f>
        <v>24000</v>
      </c>
      <c r="P63" s="12" cm="1">
        <f t="array" ref="P63">IFERROR(IF($D63 &lt;&gt;0,ResultValue($C63,COLUMN(Q63)-COLUMN($C63))/$D63,""),"")</f>
        <v>24000</v>
      </c>
      <c r="Q63" s="12" cm="1">
        <f t="array" ref="Q63">IFERROR(IF($D63 &lt;&gt;0,ResultValue($C63,COLUMN(R63)-COLUMN($C63))/$D63,""),"")</f>
        <v>24000</v>
      </c>
      <c r="R63" s="12" cm="1">
        <f t="array" ref="R63">IFERROR(IF($D63 &lt;&gt;0,ResultValue($C63,COLUMN(S63)-COLUMN($C63))/$D63,""),"")</f>
        <v>24000</v>
      </c>
      <c r="S63" s="12" cm="1">
        <f t="array" ref="S63">IFERROR(IF($D63 &lt;&gt;0,ResultValue($C63,COLUMN(T63)-COLUMN($C63))/$D63,""),"")</f>
        <v>24000</v>
      </c>
      <c r="T63" s="12" cm="1">
        <f t="array" ref="T63">IFERROR(IF($D63 &lt;&gt;0,ResultValue($C63,COLUMN(U63)-COLUMN($C63))/$D63,""),"")</f>
        <v>24000</v>
      </c>
      <c r="U63" s="12" cm="1">
        <f t="array" ref="U63">IFERROR(IF($D63 &lt;&gt;0,ResultValue($C63,COLUMN(V63)-COLUMN($C63))/$D63,""),"")</f>
        <v>24000</v>
      </c>
      <c r="V63" s="12" cm="1">
        <f t="array" ref="V63">IFERROR(IF($D63 &lt;&gt;0,ResultValue($C63,COLUMN(W63)-COLUMN($C63))/$D63,""),"")</f>
        <v>24000</v>
      </c>
      <c r="W63" s="12" cm="1">
        <f t="array" ref="W63">IFERROR(IF($D63 &lt;&gt;0,ResultValue($C63,COLUMN(X63)-COLUMN($C63))/$D63,""),"")</f>
        <v>24000</v>
      </c>
      <c r="X63" s="12" cm="1">
        <f t="array" ref="X63">IFERROR(IF($D63 &lt;&gt;0,ResultValue($C63,COLUMN(Y63)-COLUMN($C63))/$D63,""),"")</f>
        <v>24000</v>
      </c>
      <c r="Y63" s="12" cm="1">
        <f t="array" ref="Y63">IFERROR(IF($D63 &lt;&gt;0,ResultValue($C63,COLUMN(Z63)-COLUMN($C63))/$D63,""),"")</f>
        <v>24000</v>
      </c>
    </row>
    <row r="64" spans="1:31" x14ac:dyDescent="0.25">
      <c r="A64" t="str">
        <v>CO2-afgift</v>
      </c>
      <c r="B64" s="46"/>
      <c r="C64" t="str">
        <f t="shared" si="0"/>
        <v>Spidslastvarme</v>
      </c>
      <c r="D64" s="39">
        <f t="shared" si="1"/>
        <v>1</v>
      </c>
      <c r="E64" s="12" cm="1">
        <f t="array" ref="E64">IFERROR(IF($D64 &lt;&gt;0,ResultValue($C64,COLUMN(F64)-COLUMN($C64))/$D64,""),"")</f>
        <v>4000</v>
      </c>
      <c r="F64" s="12" cm="1">
        <f t="array" ref="F64">IFERROR(IF($D64 &lt;&gt;0,ResultValue($C64,COLUMN(G64)-COLUMN($C64))/$D64,""),"")</f>
        <v>4000</v>
      </c>
      <c r="G64" s="12" cm="1">
        <f t="array" ref="G64">IFERROR(IF($D64 &lt;&gt;0,ResultValue($C64,COLUMN(H64)-COLUMN($C64))/$D64,""),"")</f>
        <v>4000</v>
      </c>
      <c r="H64" s="12" cm="1">
        <f t="array" ref="H64">IFERROR(IF($D64 &lt;&gt;0,ResultValue($C64,COLUMN(I64)-COLUMN($C64))/$D64,""),"")</f>
        <v>4000</v>
      </c>
      <c r="I64" s="12" cm="1">
        <f t="array" ref="I64">IFERROR(IF($D64 &lt;&gt;0,ResultValue($C64,COLUMN(J64)-COLUMN($C64))/$D64,""),"")</f>
        <v>4000</v>
      </c>
      <c r="J64" s="12" cm="1">
        <f t="array" ref="J64">IFERROR(IF($D64 &lt;&gt;0,ResultValue($C64,COLUMN(K64)-COLUMN($C64))/$D64,""),"")</f>
        <v>4000</v>
      </c>
      <c r="K64" s="12" cm="1">
        <f t="array" ref="K64">IFERROR(IF($D64 &lt;&gt;0,ResultValue($C64,COLUMN(L64)-COLUMN($C64))/$D64,""),"")</f>
        <v>4000</v>
      </c>
      <c r="L64" s="12" cm="1">
        <f t="array" ref="L64">IFERROR(IF($D64 &lt;&gt;0,ResultValue($C64,COLUMN(M64)-COLUMN($C64))/$D64,""),"")</f>
        <v>4000</v>
      </c>
      <c r="M64" s="12" cm="1">
        <f t="array" ref="M64">IFERROR(IF($D64 &lt;&gt;0,ResultValue($C64,COLUMN(N64)-COLUMN($C64))/$D64,""),"")</f>
        <v>4000</v>
      </c>
      <c r="N64" s="12" cm="1">
        <f t="array" ref="N64">IFERROR(IF($D64 &lt;&gt;0,ResultValue($C64,COLUMN(O64)-COLUMN($C64))/$D64,""),"")</f>
        <v>4000</v>
      </c>
      <c r="O64" s="12" cm="1">
        <f t="array" ref="O64">IFERROR(IF($D64 &lt;&gt;0,ResultValue($C64,COLUMN(P64)-COLUMN($C64))/$D64,""),"")</f>
        <v>4000</v>
      </c>
      <c r="P64" s="12" cm="1">
        <f t="array" ref="P64">IFERROR(IF($D64 &lt;&gt;0,ResultValue($C64,COLUMN(Q64)-COLUMN($C64))/$D64,""),"")</f>
        <v>4000</v>
      </c>
      <c r="Q64" s="12" cm="1">
        <f t="array" ref="Q64">IFERROR(IF($D64 &lt;&gt;0,ResultValue($C64,COLUMN(R64)-COLUMN($C64))/$D64,""),"")</f>
        <v>4000</v>
      </c>
      <c r="R64" s="12" cm="1">
        <f t="array" ref="R64">IFERROR(IF($D64 &lt;&gt;0,ResultValue($C64,COLUMN(S64)-COLUMN($C64))/$D64,""),"")</f>
        <v>4000</v>
      </c>
      <c r="S64" s="12" cm="1">
        <f t="array" ref="S64">IFERROR(IF($D64 &lt;&gt;0,ResultValue($C64,COLUMN(T64)-COLUMN($C64))/$D64,""),"")</f>
        <v>4000</v>
      </c>
      <c r="T64" s="12" cm="1">
        <f t="array" ref="T64">IFERROR(IF($D64 &lt;&gt;0,ResultValue($C64,COLUMN(U64)-COLUMN($C64))/$D64,""),"")</f>
        <v>4000</v>
      </c>
      <c r="U64" s="12" cm="1">
        <f t="array" ref="U64">IFERROR(IF($D64 &lt;&gt;0,ResultValue($C64,COLUMN(V64)-COLUMN($C64))/$D64,""),"")</f>
        <v>4000</v>
      </c>
      <c r="V64" s="12" cm="1">
        <f t="array" ref="V64">IFERROR(IF($D64 &lt;&gt;0,ResultValue($C64,COLUMN(W64)-COLUMN($C64))/$D64,""),"")</f>
        <v>4000</v>
      </c>
      <c r="W64" s="12" cm="1">
        <f t="array" ref="W64">IFERROR(IF($D64 &lt;&gt;0,ResultValue($C64,COLUMN(X64)-COLUMN($C64))/$D64,""),"")</f>
        <v>4000</v>
      </c>
      <c r="X64" s="12" cm="1">
        <f t="array" ref="X64">IFERROR(IF($D64 &lt;&gt;0,ResultValue($C64,COLUMN(Y64)-COLUMN($C64))/$D64,""),"")</f>
        <v>4000</v>
      </c>
      <c r="Y64" s="12" cm="1">
        <f t="array" ref="Y64">IFERROR(IF($D64 &lt;&gt;0,ResultValue($C64,COLUMN(Z64)-COLUMN($C64))/$D64,""),"")</f>
        <v>4000</v>
      </c>
    </row>
    <row r="65" spans="1:25" x14ac:dyDescent="0.25">
      <c r="A65" t="str">
        <v>Kvote-omkostning</v>
      </c>
      <c r="B65" s="46"/>
      <c r="C65" t="str">
        <f t="shared" si="0"/>
        <v>Affaldsforbrug Ovn2</v>
      </c>
      <c r="D65" s="39">
        <f t="shared" si="1"/>
        <v>1</v>
      </c>
      <c r="E65" s="12" cm="1">
        <f t="array" ref="E65">IFERROR(IF($D65 &lt;&gt;0,ResultValue($C65,COLUMN(F65)-COLUMN($C65))/$D65,""),"")</f>
        <v>1094.3867347062462</v>
      </c>
      <c r="F65" s="12" cm="1">
        <f t="array" ref="F65">IFERROR(IF($D65 &lt;&gt;0,ResultValue($C65,COLUMN(G65)-COLUMN($C65))/$D65,""),"")</f>
        <v>2919.670860050182</v>
      </c>
      <c r="G65" s="12" cm="1">
        <f t="array" ref="G65">IFERROR(IF($D65 &lt;&gt;0,ResultValue($C65,COLUMN(H65)-COLUMN($C65))/$D65,""),"")</f>
        <v>2805.7762998686553</v>
      </c>
      <c r="H65" s="12" cm="1">
        <f t="array" ref="H65">IFERROR(IF($D65 &lt;&gt;0,ResultValue($C65,COLUMN(I65)-COLUMN($C65))/$D65,""),"")</f>
        <v>2694.2061184663444</v>
      </c>
      <c r="I65" s="12" cm="1">
        <f t="array" ref="I65">IFERROR(IF($D65 &lt;&gt;0,ResultValue($C65,COLUMN(J65)-COLUMN($C65))/$D65,""),"")</f>
        <v>2584.8898801226651</v>
      </c>
      <c r="J65" s="12" cm="1">
        <f t="array" ref="J65">IFERROR(IF($D65 &lt;&gt;0,ResultValue($C65,COLUMN(K65)-COLUMN($C65))/$D65,""),"")</f>
        <v>2477.7599665458606</v>
      </c>
      <c r="K65" s="12" cm="1">
        <f t="array" ref="K65">IFERROR(IF($D65 &lt;&gt;0,ResultValue($C65,COLUMN(L65)-COLUMN($C65))/$D65,""),"")</f>
        <v>2372.751437396319</v>
      </c>
      <c r="L65" s="12" cm="1">
        <f t="array" ref="L65">IFERROR(IF($D65 &lt;&gt;0,ResultValue($C65,COLUMN(M65)-COLUMN($C65))/$D65,""),"")</f>
        <v>2269.8018990144151</v>
      </c>
      <c r="M65" s="12" cm="1">
        <f t="array" ref="M65">IFERROR(IF($D65 &lt;&gt;0,ResultValue($C65,COLUMN(N65)-COLUMN($C65))/$D65,""),"")</f>
        <v>2168.8513807952672</v>
      </c>
      <c r="N65" s="12" cm="1">
        <f t="array" ref="N65">IFERROR(IF($D65 &lt;&gt;0,ResultValue($C65,COLUMN(O65)-COLUMN($C65))/$D65,""),"")</f>
        <v>2069.8422186957168</v>
      </c>
      <c r="O65" s="12" cm="1">
        <f t="array" ref="O65">IFERROR(IF($D65 &lt;&gt;0,ResultValue($C65,COLUMN(P65)-COLUMN($C65))/$D65,""),"")</f>
        <v>1972.7189453980645</v>
      </c>
      <c r="P65" s="12" cm="1">
        <f t="array" ref="P65">IFERROR(IF($D65 &lt;&gt;0,ResultValue($C65,COLUMN(Q65)-COLUMN($C65))/$D65,""),"")</f>
        <v>1877.4281866909339</v>
      </c>
      <c r="Q65" s="12" cm="1">
        <f t="array" ref="Q65">IFERROR(IF($D65 &lt;&gt;0,ResultValue($C65,COLUMN(R65)-COLUMN($C65))/$D65,""),"")</f>
        <v>1783.9185636605707</v>
      </c>
      <c r="R65" s="12" cm="1">
        <f t="array" ref="R65">IFERROR(IF($D65 &lt;&gt;0,ResultValue($C65,COLUMN(S65)-COLUMN($C65))/$D65,""),"")</f>
        <v>1692.1406003159564</v>
      </c>
      <c r="S65" s="12" cm="1">
        <f t="array" ref="S65">IFERROR(IF($D65 &lt;&gt;0,ResultValue($C65,COLUMN(T65)-COLUMN($C65))/$D65,""),"")</f>
        <v>1602.0466362987647</v>
      </c>
      <c r="T65" s="12" cm="1">
        <f t="array" ref="T65">IFERROR(IF($D65 &lt;&gt;0,ResultValue($C65,COLUMN(U65)-COLUMN($C65))/$D65,""),"")</f>
        <v>1513.5907443546141</v>
      </c>
      <c r="U65" s="12" cm="1">
        <f t="array" ref="U65">IFERROR(IF($D65 &lt;&gt;0,ResultValue($C65,COLUMN(V65)-COLUMN($C65))/$D65,""),"")</f>
        <v>1426.728652265313</v>
      </c>
      <c r="V65" s="12" cm="1">
        <f t="array" ref="V65">IFERROR(IF($D65 &lt;&gt;0,ResultValue($C65,COLUMN(W65)-COLUMN($C65))/$D65,""),"")</f>
        <v>1341.41766896332</v>
      </c>
      <c r="W65" s="12" cm="1">
        <f t="array" ref="W65">IFERROR(IF($D65 &lt;&gt;0,ResultValue($C65,COLUMN(X65)-COLUMN($C65))/$D65,""),"")</f>
        <v>1257.6166145693278</v>
      </c>
      <c r="X65" s="12" cm="1">
        <f t="array" ref="X65">IFERROR(IF($D65 &lt;&gt;0,ResultValue($C65,COLUMN(Y65)-COLUMN($C65))/$D65,""),"")</f>
        <v>1175.2857541120711</v>
      </c>
      <c r="Y65" s="12" cm="1">
        <f t="array" ref="Y65">IFERROR(IF($D65 &lt;&gt;0,ResultValue($C65,COLUMN(Z65)-COLUMN($C65))/$D65,""),"")</f>
        <v>1094.3867347062462</v>
      </c>
    </row>
    <row r="66" spans="1:25" x14ac:dyDescent="0.25">
      <c r="A66" t="str">
        <v>Varmeproduktion Ovn2</v>
      </c>
      <c r="B66" s="46"/>
      <c r="C66" t="str">
        <f t="shared" si="0"/>
        <v>Affaldsforbrug Ovn3</v>
      </c>
      <c r="D66" s="39">
        <f t="shared" si="1"/>
        <v>1</v>
      </c>
      <c r="E66" s="12" cm="1">
        <f t="array" ref="E66">IFERROR(IF($D66 &lt;&gt;0,ResultValue($C66,COLUMN(F66)-COLUMN($C66))/$D66,""),"")</f>
        <v>9006.456241033</v>
      </c>
      <c r="F66" s="12" cm="1">
        <f t="array" ref="F66">IFERROR(IF($D66 &lt;&gt;0,ResultValue($C66,COLUMN(G66)-COLUMN($C66))/$D66,""),"")</f>
        <v>9006.4562410329982</v>
      </c>
      <c r="G66" s="12" cm="1">
        <f t="array" ref="G66">IFERROR(IF($D66 &lt;&gt;0,ResultValue($C66,COLUMN(H66)-COLUMN($C66))/$D66,""),"")</f>
        <v>9006.456241033</v>
      </c>
      <c r="H66" s="12" cm="1">
        <f t="array" ref="H66">IFERROR(IF($D66 &lt;&gt;0,ResultValue($C66,COLUMN(I66)-COLUMN($C66))/$D66,""),"")</f>
        <v>9006.4562410329982</v>
      </c>
      <c r="I66" s="12" cm="1">
        <f t="array" ref="I66">IFERROR(IF($D66 &lt;&gt;0,ResultValue($C66,COLUMN(J66)-COLUMN($C66))/$D66,""),"")</f>
        <v>9006.456241033</v>
      </c>
      <c r="J66" s="12" cm="1">
        <f t="array" ref="J66">IFERROR(IF($D66 &lt;&gt;0,ResultValue($C66,COLUMN(K66)-COLUMN($C66))/$D66,""),"")</f>
        <v>9006.456241033</v>
      </c>
      <c r="K66" s="12" cm="1">
        <f t="array" ref="K66">IFERROR(IF($D66 &lt;&gt;0,ResultValue($C66,COLUMN(L66)-COLUMN($C66))/$D66,""),"")</f>
        <v>9006.456241033</v>
      </c>
      <c r="L66" s="12" cm="1">
        <f t="array" ref="L66">IFERROR(IF($D66 &lt;&gt;0,ResultValue($C66,COLUMN(M66)-COLUMN($C66))/$D66,""),"")</f>
        <v>9006.456241033</v>
      </c>
      <c r="M66" s="12" cm="1">
        <f t="array" ref="M66">IFERROR(IF($D66 &lt;&gt;0,ResultValue($C66,COLUMN(N66)-COLUMN($C66))/$D66,""),"")</f>
        <v>9006.456241033</v>
      </c>
      <c r="N66" s="12" cm="1">
        <f t="array" ref="N66">IFERROR(IF($D66 &lt;&gt;0,ResultValue($C66,COLUMN(O66)-COLUMN($C66))/$D66,""),"")</f>
        <v>9006.456241033</v>
      </c>
      <c r="O66" s="12" cm="1">
        <f t="array" ref="O66">IFERROR(IF($D66 &lt;&gt;0,ResultValue($C66,COLUMN(P66)-COLUMN($C66))/$D66,""),"")</f>
        <v>9006.456241033</v>
      </c>
      <c r="P66" s="12" cm="1">
        <f t="array" ref="P66">IFERROR(IF($D66 &lt;&gt;0,ResultValue($C66,COLUMN(Q66)-COLUMN($C66))/$D66,""),"")</f>
        <v>9006.4562410329982</v>
      </c>
      <c r="Q66" s="12" cm="1">
        <f t="array" ref="Q66">IFERROR(IF($D66 &lt;&gt;0,ResultValue($C66,COLUMN(R66)-COLUMN($C66))/$D66,""),"")</f>
        <v>9006.456241033</v>
      </c>
      <c r="R66" s="12" cm="1">
        <f t="array" ref="R66">IFERROR(IF($D66 &lt;&gt;0,ResultValue($C66,COLUMN(S66)-COLUMN($C66))/$D66,""),"")</f>
        <v>9006.456241033</v>
      </c>
      <c r="S66" s="12" cm="1">
        <f t="array" ref="S66">IFERROR(IF($D66 &lt;&gt;0,ResultValue($C66,COLUMN(T66)-COLUMN($C66))/$D66,""),"")</f>
        <v>9006.456241033</v>
      </c>
      <c r="T66" s="12" cm="1">
        <f t="array" ref="T66">IFERROR(IF($D66 &lt;&gt;0,ResultValue($C66,COLUMN(U66)-COLUMN($C66))/$D66,""),"")</f>
        <v>9006.456241033</v>
      </c>
      <c r="U66" s="12" cm="1">
        <f t="array" ref="U66">IFERROR(IF($D66 &lt;&gt;0,ResultValue($C66,COLUMN(V66)-COLUMN($C66))/$D66,""),"")</f>
        <v>9006.456241033</v>
      </c>
      <c r="V66" s="12" cm="1">
        <f t="array" ref="V66">IFERROR(IF($D66 &lt;&gt;0,ResultValue($C66,COLUMN(W66)-COLUMN($C66))/$D66,""),"")</f>
        <v>9006.456241033</v>
      </c>
      <c r="W66" s="12" cm="1">
        <f t="array" ref="W66">IFERROR(IF($D66 &lt;&gt;0,ResultValue($C66,COLUMN(X66)-COLUMN($C66))/$D66,""),"")</f>
        <v>9006.456241033</v>
      </c>
      <c r="X66" s="12" cm="1">
        <f t="array" ref="X66">IFERROR(IF($D66 &lt;&gt;0,ResultValue($C66,COLUMN(Y66)-COLUMN($C66))/$D66,""),"")</f>
        <v>9006.456241033</v>
      </c>
      <c r="Y66" s="12" cm="1">
        <f t="array" ref="Y66">IFERROR(IF($D66 &lt;&gt;0,ResultValue($C66,COLUMN(Z66)-COLUMN($C66))/$D66,""),"")</f>
        <v>9006.456241033</v>
      </c>
    </row>
    <row r="67" spans="1:25" x14ac:dyDescent="0.25">
      <c r="A67" t="str">
        <v>Varmeproduktion Ovn3</v>
      </c>
      <c r="B67" s="46"/>
      <c r="C67" t="str">
        <f t="shared" si="0"/>
        <v>Affaldsforbrug kølevarme Ovn2</v>
      </c>
      <c r="D67" s="39">
        <f t="shared" si="1"/>
        <v>1</v>
      </c>
      <c r="E67" s="12" cm="1">
        <f t="array" ref="E67">IFERROR(IF($D67 &lt;&gt;0,ResultValue($C67,COLUMN(F67)-COLUMN($C67))/$D67,""),"")</f>
        <v>0</v>
      </c>
      <c r="F67" s="12" cm="1">
        <f t="array" ref="F67">IFERROR(IF($D67 &lt;&gt;0,ResultValue($C67,COLUMN(G67)-COLUMN($C67))/$D67,""),"")</f>
        <v>0</v>
      </c>
      <c r="G67" s="12" cm="1">
        <f t="array" ref="G67">IFERROR(IF($D67 &lt;&gt;0,ResultValue($C67,COLUMN(H67)-COLUMN($C67))/$D67,""),"")</f>
        <v>0</v>
      </c>
      <c r="H67" s="12" cm="1">
        <f t="array" ref="H67">IFERROR(IF($D67 &lt;&gt;0,ResultValue($C67,COLUMN(I67)-COLUMN($C67))/$D67,""),"")</f>
        <v>0</v>
      </c>
      <c r="I67" s="12" cm="1">
        <f t="array" ref="I67">IFERROR(IF($D67 &lt;&gt;0,ResultValue($C67,COLUMN(J67)-COLUMN($C67))/$D67,""),"")</f>
        <v>0</v>
      </c>
      <c r="J67" s="12" cm="1">
        <f t="array" ref="J67">IFERROR(IF($D67 &lt;&gt;0,ResultValue($C67,COLUMN(K67)-COLUMN($C67))/$D67,""),"")</f>
        <v>0</v>
      </c>
      <c r="K67" s="12" cm="1">
        <f t="array" ref="K67">IFERROR(IF($D67 &lt;&gt;0,ResultValue($C67,COLUMN(L67)-COLUMN($C67))/$D67,""),"")</f>
        <v>0</v>
      </c>
      <c r="L67" s="12" cm="1">
        <f t="array" ref="L67">IFERROR(IF($D67 &lt;&gt;0,ResultValue($C67,COLUMN(M67)-COLUMN($C67))/$D67,""),"")</f>
        <v>0</v>
      </c>
      <c r="M67" s="12" cm="1">
        <f t="array" ref="M67">IFERROR(IF($D67 &lt;&gt;0,ResultValue($C67,COLUMN(N67)-COLUMN($C67))/$D67,""),"")</f>
        <v>0</v>
      </c>
      <c r="N67" s="12" cm="1">
        <f t="array" ref="N67">IFERROR(IF($D67 &lt;&gt;0,ResultValue($C67,COLUMN(O67)-COLUMN($C67))/$D67,""),"")</f>
        <v>0</v>
      </c>
      <c r="O67" s="12" cm="1">
        <f t="array" ref="O67">IFERROR(IF($D67 &lt;&gt;0,ResultValue($C67,COLUMN(P67)-COLUMN($C67))/$D67,""),"")</f>
        <v>0</v>
      </c>
      <c r="P67" s="12" cm="1">
        <f t="array" ref="P67">IFERROR(IF($D67 &lt;&gt;0,ResultValue($C67,COLUMN(Q67)-COLUMN($C67))/$D67,""),"")</f>
        <v>0</v>
      </c>
      <c r="Q67" s="12" cm="1">
        <f t="array" ref="Q67">IFERROR(IF($D67 &lt;&gt;0,ResultValue($C67,COLUMN(R67)-COLUMN($C67))/$D67,""),"")</f>
        <v>0</v>
      </c>
      <c r="R67" s="12" cm="1">
        <f t="array" ref="R67">IFERROR(IF($D67 &lt;&gt;0,ResultValue($C67,COLUMN(S67)-COLUMN($C67))/$D67,""),"")</f>
        <v>0</v>
      </c>
      <c r="S67" s="12" cm="1">
        <f t="array" ref="S67">IFERROR(IF($D67 &lt;&gt;0,ResultValue($C67,COLUMN(T67)-COLUMN($C67))/$D67,""),"")</f>
        <v>0</v>
      </c>
      <c r="T67" s="12" cm="1">
        <f t="array" ref="T67">IFERROR(IF($D67 &lt;&gt;0,ResultValue($C67,COLUMN(U67)-COLUMN($C67))/$D67,""),"")</f>
        <v>0</v>
      </c>
      <c r="U67" s="12" cm="1">
        <f t="array" ref="U67">IFERROR(IF($D67 &lt;&gt;0,ResultValue($C67,COLUMN(V67)-COLUMN($C67))/$D67,""),"")</f>
        <v>0</v>
      </c>
      <c r="V67" s="12" cm="1">
        <f t="array" ref="V67">IFERROR(IF($D67 &lt;&gt;0,ResultValue($C67,COLUMN(W67)-COLUMN($C67))/$D67,""),"")</f>
        <v>0</v>
      </c>
      <c r="W67" s="12" cm="1">
        <f t="array" ref="W67">IFERROR(IF($D67 &lt;&gt;0,ResultValue($C67,COLUMN(X67)-COLUMN($C67))/$D67,""),"")</f>
        <v>0</v>
      </c>
      <c r="X67" s="12" cm="1">
        <f t="array" ref="X67">IFERROR(IF($D67 &lt;&gt;0,ResultValue($C67,COLUMN(Y67)-COLUMN($C67))/$D67,""),"")</f>
        <v>0</v>
      </c>
      <c r="Y67" s="12" cm="1">
        <f t="array" ref="Y67">IFERROR(IF($D67 &lt;&gt;0,ResultValue($C67,COLUMN(Z67)-COLUMN($C67))/$D67,""),"")</f>
        <v>0</v>
      </c>
    </row>
    <row r="68" spans="1:25" x14ac:dyDescent="0.25">
      <c r="A68" t="str">
        <v>Heraf RGK-varme</v>
      </c>
      <c r="B68" s="46"/>
      <c r="C68" t="str">
        <f t="shared" si="0"/>
        <v>Affaldsforbrug kølevarme Ovn3</v>
      </c>
      <c r="D68" s="39">
        <f t="shared" si="1"/>
        <v>1</v>
      </c>
      <c r="E68" s="12" cm="1">
        <f t="array" ref="E68">IFERROR(IF($D68 &lt;&gt;0,ResultValue($C68,COLUMN(F68)-COLUMN($C68))/$D68,""),"")</f>
        <v>0</v>
      </c>
      <c r="F68" s="12" cm="1">
        <f t="array" ref="F68">IFERROR(IF($D68 &lt;&gt;0,ResultValue($C68,COLUMN(G68)-COLUMN($C68))/$D68,""),"")</f>
        <v>0</v>
      </c>
      <c r="G68" s="12" cm="1">
        <f t="array" ref="G68">IFERROR(IF($D68 &lt;&gt;0,ResultValue($C68,COLUMN(H68)-COLUMN($C68))/$D68,""),"")</f>
        <v>0</v>
      </c>
      <c r="H68" s="12" cm="1">
        <f t="array" ref="H68">IFERROR(IF($D68 &lt;&gt;0,ResultValue($C68,COLUMN(I68)-COLUMN($C68))/$D68,""),"")</f>
        <v>0</v>
      </c>
      <c r="I68" s="12" cm="1">
        <f t="array" ref="I68">IFERROR(IF($D68 &lt;&gt;0,ResultValue($C68,COLUMN(J68)-COLUMN($C68))/$D68,""),"")</f>
        <v>0</v>
      </c>
      <c r="J68" s="12" cm="1">
        <f t="array" ref="J68">IFERROR(IF($D68 &lt;&gt;0,ResultValue($C68,COLUMN(K68)-COLUMN($C68))/$D68,""),"")</f>
        <v>0</v>
      </c>
      <c r="K68" s="12" cm="1">
        <f t="array" ref="K68">IFERROR(IF($D68 &lt;&gt;0,ResultValue($C68,COLUMN(L68)-COLUMN($C68))/$D68,""),"")</f>
        <v>0</v>
      </c>
      <c r="L68" s="12" cm="1">
        <f t="array" ref="L68">IFERROR(IF($D68 &lt;&gt;0,ResultValue($C68,COLUMN(M68)-COLUMN($C68))/$D68,""),"")</f>
        <v>0</v>
      </c>
      <c r="M68" s="12" cm="1">
        <f t="array" ref="M68">IFERROR(IF($D68 &lt;&gt;0,ResultValue($C68,COLUMN(N68)-COLUMN($C68))/$D68,""),"")</f>
        <v>0</v>
      </c>
      <c r="N68" s="12" cm="1">
        <f t="array" ref="N68">IFERROR(IF($D68 &lt;&gt;0,ResultValue($C68,COLUMN(O68)-COLUMN($C68))/$D68,""),"")</f>
        <v>0</v>
      </c>
      <c r="O68" s="12" cm="1">
        <f t="array" ref="O68">IFERROR(IF($D68 &lt;&gt;0,ResultValue($C68,COLUMN(P68)-COLUMN($C68))/$D68,""),"")</f>
        <v>0</v>
      </c>
      <c r="P68" s="12" cm="1">
        <f t="array" ref="P68">IFERROR(IF($D68 &lt;&gt;0,ResultValue($C68,COLUMN(Q68)-COLUMN($C68))/$D68,""),"")</f>
        <v>0</v>
      </c>
      <c r="Q68" s="12" cm="1">
        <f t="array" ref="Q68">IFERROR(IF($D68 &lt;&gt;0,ResultValue($C68,COLUMN(R68)-COLUMN($C68))/$D68,""),"")</f>
        <v>0</v>
      </c>
      <c r="R68" s="12" cm="1">
        <f t="array" ref="R68">IFERROR(IF($D68 &lt;&gt;0,ResultValue($C68,COLUMN(S68)-COLUMN($C68))/$D68,""),"")</f>
        <v>0</v>
      </c>
      <c r="S68" s="12" cm="1">
        <f t="array" ref="S68">IFERROR(IF($D68 &lt;&gt;0,ResultValue($C68,COLUMN(T68)-COLUMN($C68))/$D68,""),"")</f>
        <v>0</v>
      </c>
      <c r="T68" s="12" cm="1">
        <f t="array" ref="T68">IFERROR(IF($D68 &lt;&gt;0,ResultValue($C68,COLUMN(U68)-COLUMN($C68))/$D68,""),"")</f>
        <v>0</v>
      </c>
      <c r="U68" s="12" cm="1">
        <f t="array" ref="U68">IFERROR(IF($D68 &lt;&gt;0,ResultValue($C68,COLUMN(V68)-COLUMN($C68))/$D68,""),"")</f>
        <v>0</v>
      </c>
      <c r="V68" s="12" cm="1">
        <f t="array" ref="V68">IFERROR(IF($D68 &lt;&gt;0,ResultValue($C68,COLUMN(W68)-COLUMN($C68))/$D68,""),"")</f>
        <v>0</v>
      </c>
      <c r="W68" s="12" cm="1">
        <f t="array" ref="W68">IFERROR(IF($D68 &lt;&gt;0,ResultValue($C68,COLUMN(X68)-COLUMN($C68))/$D68,""),"")</f>
        <v>0</v>
      </c>
      <c r="X68" s="12" cm="1">
        <f t="array" ref="X68">IFERROR(IF($D68 &lt;&gt;0,ResultValue($C68,COLUMN(Y68)-COLUMN($C68))/$D68,""),"")</f>
        <v>0</v>
      </c>
      <c r="Y68" s="12" cm="1">
        <f t="array" ref="Y68">IFERROR(IF($D68 &lt;&gt;0,ResultValue($C68,COLUMN(Z68)-COLUMN($C68))/$D68,""),"")</f>
        <v>0</v>
      </c>
    </row>
    <row r="69" spans="1:25" x14ac:dyDescent="0.25">
      <c r="A69" t="str">
        <v>Bortkølet varme</v>
      </c>
      <c r="B69" s="46"/>
      <c r="C69" t="str">
        <f t="shared" si="0"/>
        <v>Udnyttet affald</v>
      </c>
      <c r="D69" s="39">
        <f t="shared" si="1"/>
        <v>1</v>
      </c>
      <c r="E69" s="12" cm="1">
        <f t="array" ref="E69">IFERROR(IF($D69 &lt;&gt;0,ResultValue($C69,COLUMN(F69)-COLUMN($C69))/$D69,""),"")</f>
        <v>10100.842975739246</v>
      </c>
      <c r="F69" s="12" cm="1">
        <f t="array" ref="F69">IFERROR(IF($D69 &lt;&gt;0,ResultValue($C69,COLUMN(G69)-COLUMN($C69))/$D69,""),"")</f>
        <v>11926.127101083181</v>
      </c>
      <c r="G69" s="12" cm="1">
        <f t="array" ref="G69">IFERROR(IF($D69 &lt;&gt;0,ResultValue($C69,COLUMN(H69)-COLUMN($C69))/$D69,""),"")</f>
        <v>11812.232540901656</v>
      </c>
      <c r="H69" s="12" cm="1">
        <f t="array" ref="H69">IFERROR(IF($D69 &lt;&gt;0,ResultValue($C69,COLUMN(I69)-COLUMN($C69))/$D69,""),"")</f>
        <v>11700.662359499343</v>
      </c>
      <c r="I69" s="12" cm="1">
        <f t="array" ref="I69">IFERROR(IF($D69 &lt;&gt;0,ResultValue($C69,COLUMN(J69)-COLUMN($C69))/$D69,""),"")</f>
        <v>11591.346121155664</v>
      </c>
      <c r="J69" s="12" cm="1">
        <f t="array" ref="J69">IFERROR(IF($D69 &lt;&gt;0,ResultValue($C69,COLUMN(K69)-COLUMN($C69))/$D69,""),"")</f>
        <v>11484.21620757886</v>
      </c>
      <c r="K69" s="12" cm="1">
        <f t="array" ref="K69">IFERROR(IF($D69 &lt;&gt;0,ResultValue($C69,COLUMN(L69)-COLUMN($C69))/$D69,""),"")</f>
        <v>11379.207678429319</v>
      </c>
      <c r="L69" s="12" cm="1">
        <f t="array" ref="L69">IFERROR(IF($D69 &lt;&gt;0,ResultValue($C69,COLUMN(M69)-COLUMN($C69))/$D69,""),"")</f>
        <v>11276.258140047416</v>
      </c>
      <c r="M69" s="12" cm="1">
        <f t="array" ref="M69">IFERROR(IF($D69 &lt;&gt;0,ResultValue($C69,COLUMN(N69)-COLUMN($C69))/$D69,""),"")</f>
        <v>11175.307621828268</v>
      </c>
      <c r="N69" s="12" cm="1">
        <f t="array" ref="N69">IFERROR(IF($D69 &lt;&gt;0,ResultValue($C69,COLUMN(O69)-COLUMN($C69))/$D69,""),"")</f>
        <v>11076.298459728718</v>
      </c>
      <c r="O69" s="12" cm="1">
        <f t="array" ref="O69">IFERROR(IF($D69 &lt;&gt;0,ResultValue($C69,COLUMN(P69)-COLUMN($C69))/$D69,""),"")</f>
        <v>10979.175186431065</v>
      </c>
      <c r="P69" s="12" cm="1">
        <f t="array" ref="P69">IFERROR(IF($D69 &lt;&gt;0,ResultValue($C69,COLUMN(Q69)-COLUMN($C69))/$D69,""),"")</f>
        <v>10883.884427723931</v>
      </c>
      <c r="Q69" s="12" cm="1">
        <f t="array" ref="Q69">IFERROR(IF($D69 &lt;&gt;0,ResultValue($C69,COLUMN(R69)-COLUMN($C69))/$D69,""),"")</f>
        <v>10790.374804693571</v>
      </c>
      <c r="R69" s="12" cm="1">
        <f t="array" ref="R69">IFERROR(IF($D69 &lt;&gt;0,ResultValue($C69,COLUMN(S69)-COLUMN($C69))/$D69,""),"")</f>
        <v>10698.596841348957</v>
      </c>
      <c r="S69" s="12" cm="1">
        <f t="array" ref="S69">IFERROR(IF($D69 &lt;&gt;0,ResultValue($C69,COLUMN(T69)-COLUMN($C69))/$D69,""),"")</f>
        <v>10608.502877331764</v>
      </c>
      <c r="T69" s="12" cm="1">
        <f t="array" ref="T69">IFERROR(IF($D69 &lt;&gt;0,ResultValue($C69,COLUMN(U69)-COLUMN($C69))/$D69,""),"")</f>
        <v>10520.046985387615</v>
      </c>
      <c r="U69" s="12" cm="1">
        <f t="array" ref="U69">IFERROR(IF($D69 &lt;&gt;0,ResultValue($C69,COLUMN(V69)-COLUMN($C69))/$D69,""),"")</f>
        <v>10433.184893298312</v>
      </c>
      <c r="V69" s="12" cm="1">
        <f t="array" ref="V69">IFERROR(IF($D69 &lt;&gt;0,ResultValue($C69,COLUMN(W69)-COLUMN($C69))/$D69,""),"")</f>
        <v>10347.87390999632</v>
      </c>
      <c r="W69" s="12" cm="1">
        <f t="array" ref="W69">IFERROR(IF($D69 &lt;&gt;0,ResultValue($C69,COLUMN(X69)-COLUMN($C69))/$D69,""),"")</f>
        <v>10264.072855602328</v>
      </c>
      <c r="X69" s="12" cm="1">
        <f t="array" ref="X69">IFERROR(IF($D69 &lt;&gt;0,ResultValue($C69,COLUMN(Y69)-COLUMN($C69))/$D69,""),"")</f>
        <v>10181.741995145072</v>
      </c>
      <c r="Y69" s="12" cm="1">
        <f t="array" ref="Y69">IFERROR(IF($D69 &lt;&gt;0,ResultValue($C69,COLUMN(Z69)-COLUMN($C69))/$D69,""),"")</f>
        <v>10100.842975739246</v>
      </c>
    </row>
    <row r="70" spans="1:25" x14ac:dyDescent="0.25">
      <c r="A70" t="str">
        <v>Leveret varme</v>
      </c>
      <c r="B70" s="46"/>
      <c r="C70" t="str">
        <f t="shared" si="0"/>
        <v>Ikke-udnyttet affald</v>
      </c>
      <c r="D70" s="39">
        <f t="shared" si="1"/>
        <v>1</v>
      </c>
      <c r="E70" s="12" cm="1">
        <f t="array" ref="E70">IFERROR(IF($D70 &lt;&gt;0,ResultValue($C70,COLUMN(F70)-COLUMN($C70))/$D70,""),"")</f>
        <v>1899.1570242607538</v>
      </c>
      <c r="F70" s="12" cm="1">
        <f t="array" ref="F70">IFERROR(IF($D70 &lt;&gt;0,ResultValue($C70,COLUMN(G70)-COLUMN($C70))/$D70,""),"")</f>
        <v>73.87289891681985</v>
      </c>
      <c r="G70" s="12" cm="1">
        <f t="array" ref="G70">IFERROR(IF($D70 &lt;&gt;0,ResultValue($C70,COLUMN(H70)-COLUMN($C70))/$D70,""),"")</f>
        <v>187.76745909834472</v>
      </c>
      <c r="H70" s="12" cm="1">
        <f t="array" ref="H70">IFERROR(IF($D70 &lt;&gt;0,ResultValue($C70,COLUMN(I70)-COLUMN($C70))/$D70,""),"")</f>
        <v>299.33764050065747</v>
      </c>
      <c r="I70" s="12" cm="1">
        <f t="array" ref="I70">IFERROR(IF($D70 &lt;&gt;0,ResultValue($C70,COLUMN(J70)-COLUMN($C70))/$D70,""),"")</f>
        <v>408.65387884433494</v>
      </c>
      <c r="J70" s="12" cm="1">
        <f t="array" ref="J70">IFERROR(IF($D70 &lt;&gt;0,ResultValue($C70,COLUMN(K70)-COLUMN($C70))/$D70,""),"")</f>
        <v>515.78379242113942</v>
      </c>
      <c r="K70" s="12" cm="1">
        <f t="array" ref="K70">IFERROR(IF($D70 &lt;&gt;0,ResultValue($C70,COLUMN(L70)-COLUMN($C70))/$D70,""),"")</f>
        <v>620.792321570681</v>
      </c>
      <c r="L70" s="12" cm="1">
        <f t="array" ref="L70">IFERROR(IF($D70 &lt;&gt;0,ResultValue($C70,COLUMN(M70)-COLUMN($C70))/$D70,""),"")</f>
        <v>723.74185995258495</v>
      </c>
      <c r="M70" s="12" cm="1">
        <f t="array" ref="M70">IFERROR(IF($D70 &lt;&gt;0,ResultValue($C70,COLUMN(N70)-COLUMN($C70))/$D70,""),"")</f>
        <v>824.6923781717328</v>
      </c>
      <c r="N70" s="12" cm="1">
        <f t="array" ref="N70">IFERROR(IF($D70 &lt;&gt;0,ResultValue($C70,COLUMN(O70)-COLUMN($C70))/$D70,""),"")</f>
        <v>923.70154027128319</v>
      </c>
      <c r="O70" s="12" cm="1">
        <f t="array" ref="O70">IFERROR(IF($D70 &lt;&gt;0,ResultValue($C70,COLUMN(P70)-COLUMN($C70))/$D70,""),"")</f>
        <v>1020.8248135689355</v>
      </c>
      <c r="P70" s="12" cm="1">
        <f t="array" ref="P70">IFERROR(IF($D70 &lt;&gt;0,ResultValue($C70,COLUMN(Q70)-COLUMN($C70))/$D70,""),"")</f>
        <v>1116.115572276068</v>
      </c>
      <c r="Q70" s="12" cm="1">
        <f t="array" ref="Q70">IFERROR(IF($D70 &lt;&gt;0,ResultValue($C70,COLUMN(R70)-COLUMN($C70))/$D70,""),"")</f>
        <v>1209.6251953064293</v>
      </c>
      <c r="R70" s="12" cm="1">
        <f t="array" ref="R70">IFERROR(IF($D70 &lt;&gt;0,ResultValue($C70,COLUMN(S70)-COLUMN($C70))/$D70,""),"")</f>
        <v>1301.4031586510437</v>
      </c>
      <c r="S70" s="12" cm="1">
        <f t="array" ref="S70">IFERROR(IF($D70 &lt;&gt;0,ResultValue($C70,COLUMN(T70)-COLUMN($C70))/$D70,""),"")</f>
        <v>1391.4971226682353</v>
      </c>
      <c r="T70" s="12" cm="1">
        <f t="array" ref="T70">IFERROR(IF($D70 &lt;&gt;0,ResultValue($C70,COLUMN(U70)-COLUMN($C70))/$D70,""),"")</f>
        <v>1479.9530146123859</v>
      </c>
      <c r="U70" s="12" cm="1">
        <f t="array" ref="U70">IFERROR(IF($D70 &lt;&gt;0,ResultValue($C70,COLUMN(V70)-COLUMN($C70))/$D70,""),"")</f>
        <v>1566.815106701687</v>
      </c>
      <c r="V70" s="12" cm="1">
        <f t="array" ref="V70">IFERROR(IF($D70 &lt;&gt;0,ResultValue($C70,COLUMN(W70)-COLUMN($C70))/$D70,""),"")</f>
        <v>1652.12609000368</v>
      </c>
      <c r="W70" s="12" cm="1">
        <f t="array" ref="W70">IFERROR(IF($D70 &lt;&gt;0,ResultValue($C70,COLUMN(X70)-COLUMN($C70))/$D70,""),"")</f>
        <v>1735.9271443976722</v>
      </c>
      <c r="X70" s="12" cm="1">
        <f t="array" ref="X70">IFERROR(IF($D70 &lt;&gt;0,ResultValue($C70,COLUMN(Y70)-COLUMN($C70))/$D70,""),"")</f>
        <v>1818.2580048549289</v>
      </c>
      <c r="Y70" s="12" cm="1">
        <f t="array" ref="Y70">IFERROR(IF($D70 &lt;&gt;0,ResultValue($C70,COLUMN(Z70)-COLUMN($C70))/$D70,""),"")</f>
        <v>1899.1570242607538</v>
      </c>
    </row>
    <row r="71" spans="1:25" x14ac:dyDescent="0.25">
      <c r="A71" t="str">
        <v>Spidslastvarme</v>
      </c>
      <c r="B71" s="46"/>
      <c r="C71" t="str">
        <f t="shared" si="0"/>
        <v>Ovn2 tonnageudnyttelse</v>
      </c>
      <c r="D71" s="39">
        <f t="shared" si="1"/>
        <v>1</v>
      </c>
      <c r="E71" s="12" cm="1">
        <f t="array" ref="E71">IFERROR(IF($D71 &lt;&gt;0,ResultValue($C71,COLUMN(F71)-COLUMN($C71))/$D71,""),"")</f>
        <v>0.3702664796633941</v>
      </c>
      <c r="F71" s="12" cm="1">
        <f t="array" ref="F71">IFERROR(IF($D71 &lt;&gt;0,ResultValue($C71,COLUMN(G71)-COLUMN($C71))/$D71,""),"")</f>
        <v>0.98781922043010761</v>
      </c>
      <c r="G71" s="12" cm="1">
        <f t="array" ref="G71">IFERROR(IF($D71 &lt;&gt;0,ResultValue($C71,COLUMN(H71)-COLUMN($C71))/$D71,""),"")</f>
        <v>0.94928500166278673</v>
      </c>
      <c r="H71" s="12" cm="1">
        <f t="array" ref="H71">IFERROR(IF($D71 &lt;&gt;0,ResultValue($C71,COLUMN(I71)-COLUMN($C71))/$D71,""),"")</f>
        <v>0.91153719552337065</v>
      </c>
      <c r="I71" s="12" cm="1">
        <f t="array" ref="I71">IFERROR(IF($D71 &lt;&gt;0,ResultValue($C71,COLUMN(J71)-COLUMN($C71))/$D71,""),"")</f>
        <v>0.87455197132616469</v>
      </c>
      <c r="J71" s="12" cm="1">
        <f t="array" ref="J71">IFERROR(IF($D71 &lt;&gt;0,ResultValue($C71,COLUMN(K71)-COLUMN($C71))/$D71,""),"")</f>
        <v>0.83830645161290329</v>
      </c>
      <c r="K71" s="12" cm="1">
        <f t="array" ref="K71">IFERROR(IF($D71 &lt;&gt;0,ResultValue($C71,COLUMN(L71)-COLUMN($C71))/$D71,""),"")</f>
        <v>0.80277866496327055</v>
      </c>
      <c r="L71" s="12" cm="1">
        <f t="array" ref="L71">IFERROR(IF($D71 &lt;&gt;0,ResultValue($C71,COLUMN(M71)-COLUMN($C71))/$D71,""),"")</f>
        <v>0.76794750158127767</v>
      </c>
      <c r="M71" s="12" cm="1">
        <f t="array" ref="M71">IFERROR(IF($D71 &lt;&gt;0,ResultValue($C71,COLUMN(N71)-COLUMN($C71))/$D71,""),"")</f>
        <v>0.7337926714688382</v>
      </c>
      <c r="N71" s="12" cm="1">
        <f t="array" ref="N71">IFERROR(IF($D71 &lt;&gt;0,ResultValue($C71,COLUMN(O71)-COLUMN($C71))/$D71,""),"")</f>
        <v>0.70029466501240667</v>
      </c>
      <c r="O71" s="12" cm="1">
        <f t="array" ref="O71">IFERROR(IF($D71 &lt;&gt;0,ResultValue($C71,COLUMN(P71)-COLUMN($C71))/$D71,""),"")</f>
        <v>0.66743471582181246</v>
      </c>
      <c r="P71" s="12" cm="1">
        <f t="array" ref="P71">IFERROR(IF($D71 &lt;&gt;0,ResultValue($C71,COLUMN(Q71)-COLUMN($C71))/$D71,""),"")</f>
        <v>0.63519476567255029</v>
      </c>
      <c r="Q71" s="12" cm="1">
        <f t="array" ref="Q71">IFERROR(IF($D71 &lt;&gt;0,ResultValue($C71,COLUMN(R71)-COLUMN($C71))/$D71,""),"")</f>
        <v>0.60355743141392815</v>
      </c>
      <c r="R71" s="12" cm="1">
        <f t="array" ref="R71">IFERROR(IF($D71 &lt;&gt;0,ResultValue($C71,COLUMN(S71)-COLUMN($C71))/$D71,""),"")</f>
        <v>0.57250597371565126</v>
      </c>
      <c r="S71" s="12" cm="1">
        <f t="array" ref="S71">IFERROR(IF($D71 &lt;&gt;0,ResultValue($C71,COLUMN(T71)-COLUMN($C71))/$D71,""),"")</f>
        <v>0.5420242675347734</v>
      </c>
      <c r="T71" s="12" cm="1">
        <f t="array" ref="T71">IFERROR(IF($D71 &lt;&gt;0,ResultValue($C71,COLUMN(U71)-COLUMN($C71))/$D71,""),"")</f>
        <v>0.51209677419354838</v>
      </c>
      <c r="U71" s="12" cm="1">
        <f t="array" ref="U71">IFERROR(IF($D71 &lt;&gt;0,ResultValue($C71,COLUMN(V71)-COLUMN($C71))/$D71,""),"")</f>
        <v>0.48270851496657963</v>
      </c>
      <c r="V71" s="12" cm="1">
        <f t="array" ref="V71">IFERROR(IF($D71 &lt;&gt;0,ResultValue($C71,COLUMN(W71)-COLUMN($C71))/$D71,""),"")</f>
        <v>0.45384504608294923</v>
      </c>
      <c r="W71" s="12" cm="1">
        <f t="array" ref="W71">IFERROR(IF($D71 &lt;&gt;0,ResultValue($C71,COLUMN(X71)-COLUMN($C71))/$D71,""),"")</f>
        <v>0.4254924350556667</v>
      </c>
      <c r="X71" s="12" cm="1">
        <f t="array" ref="X71">IFERROR(IF($D71 &lt;&gt;0,ResultValue($C71,COLUMN(Y71)-COLUMN($C71))/$D71,""),"")</f>
        <v>0.39763723825693248</v>
      </c>
      <c r="Y71" s="12" cm="1">
        <f t="array" ref="Y71">IFERROR(IF($D71 &lt;&gt;0,ResultValue($C71,COLUMN(Z71)-COLUMN($C71))/$D71,""),"")</f>
        <v>0.3702664796633941</v>
      </c>
    </row>
    <row r="72" spans="1:25" x14ac:dyDescent="0.25">
      <c r="A72" t="str">
        <v>Affaldsforbrug Ovn3</v>
      </c>
      <c r="B72" s="46"/>
      <c r="C72" t="str">
        <f t="shared" si="0"/>
        <v>Ovn3 tonnageudnyttelse</v>
      </c>
      <c r="D72" s="39">
        <f t="shared" si="1"/>
        <v>1</v>
      </c>
      <c r="E72" s="12" cm="1">
        <f t="array" ref="E72">IFERROR(IF($D72 &lt;&gt;0,ResultValue($C72,COLUMN(F72)-COLUMN($C72))/$D72,""),"")</f>
        <v>1</v>
      </c>
      <c r="F72" s="12" cm="1">
        <f t="array" ref="F72">IFERROR(IF($D72 &lt;&gt;0,ResultValue($C72,COLUMN(G72)-COLUMN($C72))/$D72,""),"")</f>
        <v>0.99999999999999978</v>
      </c>
      <c r="G72" s="12" cm="1">
        <f t="array" ref="G72">IFERROR(IF($D72 &lt;&gt;0,ResultValue($C72,COLUMN(H72)-COLUMN($C72))/$D72,""),"")</f>
        <v>1</v>
      </c>
      <c r="H72" s="12" cm="1">
        <f t="array" ref="H72">IFERROR(IF($D72 &lt;&gt;0,ResultValue($C72,COLUMN(I72)-COLUMN($C72))/$D72,""),"")</f>
        <v>0.99999999999999978</v>
      </c>
      <c r="I72" s="12" cm="1">
        <f t="array" ref="I72">IFERROR(IF($D72 &lt;&gt;0,ResultValue($C72,COLUMN(J72)-COLUMN($C72))/$D72,""),"")</f>
        <v>1</v>
      </c>
      <c r="J72" s="12" cm="1">
        <f t="array" ref="J72">IFERROR(IF($D72 &lt;&gt;0,ResultValue($C72,COLUMN(K72)-COLUMN($C72))/$D72,""),"")</f>
        <v>1</v>
      </c>
      <c r="K72" s="12" cm="1">
        <f t="array" ref="K72">IFERROR(IF($D72 &lt;&gt;0,ResultValue($C72,COLUMN(L72)-COLUMN($C72))/$D72,""),"")</f>
        <v>1</v>
      </c>
      <c r="L72" s="12" cm="1">
        <f t="array" ref="L72">IFERROR(IF($D72 &lt;&gt;0,ResultValue($C72,COLUMN(M72)-COLUMN($C72))/$D72,""),"")</f>
        <v>1</v>
      </c>
      <c r="M72" s="12" cm="1">
        <f t="array" ref="M72">IFERROR(IF($D72 &lt;&gt;0,ResultValue($C72,COLUMN(N72)-COLUMN($C72))/$D72,""),"")</f>
        <v>1</v>
      </c>
      <c r="N72" s="12" cm="1">
        <f t="array" ref="N72">IFERROR(IF($D72 &lt;&gt;0,ResultValue($C72,COLUMN(O72)-COLUMN($C72))/$D72,""),"")</f>
        <v>1</v>
      </c>
      <c r="O72" s="12" cm="1">
        <f t="array" ref="O72">IFERROR(IF($D72 &lt;&gt;0,ResultValue($C72,COLUMN(P72)-COLUMN($C72))/$D72,""),"")</f>
        <v>1</v>
      </c>
      <c r="P72" s="12" cm="1">
        <f t="array" ref="P72">IFERROR(IF($D72 &lt;&gt;0,ResultValue($C72,COLUMN(Q72)-COLUMN($C72))/$D72,""),"")</f>
        <v>0.99999999999999978</v>
      </c>
      <c r="Q72" s="12" cm="1">
        <f t="array" ref="Q72">IFERROR(IF($D72 &lt;&gt;0,ResultValue($C72,COLUMN(R72)-COLUMN($C72))/$D72,""),"")</f>
        <v>1</v>
      </c>
      <c r="R72" s="12" cm="1">
        <f t="array" ref="R72">IFERROR(IF($D72 &lt;&gt;0,ResultValue($C72,COLUMN(S72)-COLUMN($C72))/$D72,""),"")</f>
        <v>1</v>
      </c>
      <c r="S72" s="12" cm="1">
        <f t="array" ref="S72">IFERROR(IF($D72 &lt;&gt;0,ResultValue($C72,COLUMN(T72)-COLUMN($C72))/$D72,""),"")</f>
        <v>1</v>
      </c>
      <c r="T72" s="12" cm="1">
        <f t="array" ref="T72">IFERROR(IF($D72 &lt;&gt;0,ResultValue($C72,COLUMN(U72)-COLUMN($C72))/$D72,""),"")</f>
        <v>1</v>
      </c>
      <c r="U72" s="12" cm="1">
        <f t="array" ref="U72">IFERROR(IF($D72 &lt;&gt;0,ResultValue($C72,COLUMN(V72)-COLUMN($C72))/$D72,""),"")</f>
        <v>1</v>
      </c>
      <c r="V72" s="12" cm="1">
        <f t="array" ref="V72">IFERROR(IF($D72 &lt;&gt;0,ResultValue($C72,COLUMN(W72)-COLUMN($C72))/$D72,""),"")</f>
        <v>1</v>
      </c>
      <c r="W72" s="12" cm="1">
        <f t="array" ref="W72">IFERROR(IF($D72 &lt;&gt;0,ResultValue($C72,COLUMN(X72)-COLUMN($C72))/$D72,""),"")</f>
        <v>1</v>
      </c>
      <c r="X72" s="12" cm="1">
        <f t="array" ref="X72">IFERROR(IF($D72 &lt;&gt;0,ResultValue($C72,COLUMN(Y72)-COLUMN($C72))/$D72,""),"")</f>
        <v>1</v>
      </c>
      <c r="Y72" s="12" cm="1">
        <f t="array" ref="Y72">IFERROR(IF($D72 &lt;&gt;0,ResultValue($C72,COLUMN(Z72)-COLUMN($C72))/$D72,""),"")</f>
        <v>1</v>
      </c>
    </row>
    <row r="73" spans="1:25" x14ac:dyDescent="0.25">
      <c r="A73" t="str">
        <v>Nordic Sugar varme</v>
      </c>
      <c r="B73" s="46"/>
      <c r="C73" t="str">
        <f t="shared" si="0"/>
        <v>Bortkøleanlæg udnyttelse</v>
      </c>
      <c r="D73" s="39">
        <f t="shared" si="1"/>
        <v>1</v>
      </c>
      <c r="E73" s="12" cm="1">
        <f t="array" ref="E73">IFERROR(IF($D73 &lt;&gt;0,ResultValue($C73,COLUMN(F73)-COLUMN($C73))/$D73,""),"")</f>
        <v>0</v>
      </c>
      <c r="F73" s="12" cm="1">
        <f t="array" ref="F73">IFERROR(IF($D73 &lt;&gt;0,ResultValue($C73,COLUMN(G73)-COLUMN($C73))/$D73,""),"")</f>
        <v>0</v>
      </c>
      <c r="G73" s="12" cm="1">
        <f t="array" ref="G73">IFERROR(IF($D73 &lt;&gt;0,ResultValue($C73,COLUMN(H73)-COLUMN($C73))/$D73,""),"")</f>
        <v>0</v>
      </c>
      <c r="H73" s="12" cm="1">
        <f t="array" ref="H73">IFERROR(IF($D73 &lt;&gt;0,ResultValue($C73,COLUMN(I73)-COLUMN($C73))/$D73,""),"")</f>
        <v>0</v>
      </c>
      <c r="I73" s="12" cm="1">
        <f t="array" ref="I73">IFERROR(IF($D73 &lt;&gt;0,ResultValue($C73,COLUMN(J73)-COLUMN($C73))/$D73,""),"")</f>
        <v>0</v>
      </c>
      <c r="J73" s="12" cm="1">
        <f t="array" ref="J73">IFERROR(IF($D73 &lt;&gt;0,ResultValue($C73,COLUMN(K73)-COLUMN($C73))/$D73,""),"")</f>
        <v>0</v>
      </c>
      <c r="K73" s="12" cm="1">
        <f t="array" ref="K73">IFERROR(IF($D73 &lt;&gt;0,ResultValue($C73,COLUMN(L73)-COLUMN($C73))/$D73,""),"")</f>
        <v>0</v>
      </c>
      <c r="L73" s="12" cm="1">
        <f t="array" ref="L73">IFERROR(IF($D73 &lt;&gt;0,ResultValue($C73,COLUMN(M73)-COLUMN($C73))/$D73,""),"")</f>
        <v>0</v>
      </c>
      <c r="M73" s="12" cm="1">
        <f t="array" ref="M73">IFERROR(IF($D73 &lt;&gt;0,ResultValue($C73,COLUMN(N73)-COLUMN($C73))/$D73,""),"")</f>
        <v>0</v>
      </c>
      <c r="N73" s="12" cm="1">
        <f t="array" ref="N73">IFERROR(IF($D73 &lt;&gt;0,ResultValue($C73,COLUMN(O73)-COLUMN($C73))/$D73,""),"")</f>
        <v>0</v>
      </c>
      <c r="O73" s="12" cm="1">
        <f t="array" ref="O73">IFERROR(IF($D73 &lt;&gt;0,ResultValue($C73,COLUMN(P73)-COLUMN($C73))/$D73,""),"")</f>
        <v>0</v>
      </c>
      <c r="P73" s="12" cm="1">
        <f t="array" ref="P73">IFERROR(IF($D73 &lt;&gt;0,ResultValue($C73,COLUMN(Q73)-COLUMN($C73))/$D73,""),"")</f>
        <v>0</v>
      </c>
      <c r="Q73" s="12" cm="1">
        <f t="array" ref="Q73">IFERROR(IF($D73 &lt;&gt;0,ResultValue($C73,COLUMN(R73)-COLUMN($C73))/$D73,""),"")</f>
        <v>0</v>
      </c>
      <c r="R73" s="12" cm="1">
        <f t="array" ref="R73">IFERROR(IF($D73 &lt;&gt;0,ResultValue($C73,COLUMN(S73)-COLUMN($C73))/$D73,""),"")</f>
        <v>0</v>
      </c>
      <c r="S73" s="12" cm="1">
        <f t="array" ref="S73">IFERROR(IF($D73 &lt;&gt;0,ResultValue($C73,COLUMN(T73)-COLUMN($C73))/$D73,""),"")</f>
        <v>0</v>
      </c>
      <c r="T73" s="12" cm="1">
        <f t="array" ref="T73">IFERROR(IF($D73 &lt;&gt;0,ResultValue($C73,COLUMN(U73)-COLUMN($C73))/$D73,""),"")</f>
        <v>0</v>
      </c>
      <c r="U73" s="12" cm="1">
        <f t="array" ref="U73">IFERROR(IF($D73 &lt;&gt;0,ResultValue($C73,COLUMN(V73)-COLUMN($C73))/$D73,""),"")</f>
        <v>0</v>
      </c>
      <c r="V73" s="12" cm="1">
        <f t="array" ref="V73">IFERROR(IF($D73 &lt;&gt;0,ResultValue($C73,COLUMN(W73)-COLUMN($C73))/$D73,""),"")</f>
        <v>0</v>
      </c>
      <c r="W73" s="12" cm="1">
        <f t="array" ref="W73">IFERROR(IF($D73 &lt;&gt;0,ResultValue($C73,COLUMN(X73)-COLUMN($C73))/$D73,""),"")</f>
        <v>0</v>
      </c>
      <c r="X73" s="12" cm="1">
        <f t="array" ref="X73">IFERROR(IF($D73 &lt;&gt;0,ResultValue($C73,COLUMN(Y73)-COLUMN($C73))/$D73,""),"")</f>
        <v>0</v>
      </c>
      <c r="Y73" s="12" cm="1">
        <f t="array" ref="Y73">IFERROR(IF($D73 &lt;&gt;0,ResultValue($C73,COLUMN(Z73)-COLUMN($C73))/$D73,""),"")</f>
        <v>0</v>
      </c>
    </row>
    <row r="74" spans="1:25" x14ac:dyDescent="0.25">
      <c r="A74" t="str">
        <v>Affaldsforbrug Ovn2</v>
      </c>
      <c r="B74" s="46"/>
      <c r="C74" t="str">
        <f t="shared" si="0"/>
        <v>NS-varme udnyttelse</v>
      </c>
      <c r="D74" s="39">
        <f t="shared" si="1"/>
        <v>1</v>
      </c>
      <c r="E74" s="12" cm="1">
        <f t="array" ref="E74">IFERROR(IF($D74 &lt;&gt;0,ResultValue($C74,COLUMN(F74)-COLUMN($C74))/$D74,""),"")</f>
        <v>1</v>
      </c>
      <c r="F74" s="12" cm="1">
        <f t="array" ref="F74">IFERROR(IF($D74 &lt;&gt;0,ResultValue($C74,COLUMN(G74)-COLUMN($C74))/$D74,""),"")</f>
        <v>1</v>
      </c>
      <c r="G74" s="12" cm="1">
        <f t="array" ref="G74">IFERROR(IF($D74 &lt;&gt;0,ResultValue($C74,COLUMN(H74)-COLUMN($C74))/$D74,""),"")</f>
        <v>1</v>
      </c>
      <c r="H74" s="12" cm="1">
        <f t="array" ref="H74">IFERROR(IF($D74 &lt;&gt;0,ResultValue($C74,COLUMN(I74)-COLUMN($C74))/$D74,""),"")</f>
        <v>1</v>
      </c>
      <c r="I74" s="12" cm="1">
        <f t="array" ref="I74">IFERROR(IF($D74 &lt;&gt;0,ResultValue($C74,COLUMN(J74)-COLUMN($C74))/$D74,""),"")</f>
        <v>1</v>
      </c>
      <c r="J74" s="12" cm="1">
        <f t="array" ref="J74">IFERROR(IF($D74 &lt;&gt;0,ResultValue($C74,COLUMN(K74)-COLUMN($C74))/$D74,""),"")</f>
        <v>1</v>
      </c>
      <c r="K74" s="12" cm="1">
        <f t="array" ref="K74">IFERROR(IF($D74 &lt;&gt;0,ResultValue($C74,COLUMN(L74)-COLUMN($C74))/$D74,""),"")</f>
        <v>1</v>
      </c>
      <c r="L74" s="12" cm="1">
        <f t="array" ref="L74">IFERROR(IF($D74 &lt;&gt;0,ResultValue($C74,COLUMN(M74)-COLUMN($C74))/$D74,""),"")</f>
        <v>1</v>
      </c>
      <c r="M74" s="12" cm="1">
        <f t="array" ref="M74">IFERROR(IF($D74 &lt;&gt;0,ResultValue($C74,COLUMN(N74)-COLUMN($C74))/$D74,""),"")</f>
        <v>1</v>
      </c>
      <c r="N74" s="12" cm="1">
        <f t="array" ref="N74">IFERROR(IF($D74 &lt;&gt;0,ResultValue($C74,COLUMN(O74)-COLUMN($C74))/$D74,""),"")</f>
        <v>1</v>
      </c>
      <c r="O74" s="12" cm="1">
        <f t="array" ref="O74">IFERROR(IF($D74 &lt;&gt;0,ResultValue($C74,COLUMN(P74)-COLUMN($C74))/$D74,""),"")</f>
        <v>1</v>
      </c>
      <c r="P74" s="12" cm="1">
        <f t="array" ref="P74">IFERROR(IF($D74 &lt;&gt;0,ResultValue($C74,COLUMN(Q74)-COLUMN($C74))/$D74,""),"")</f>
        <v>1</v>
      </c>
      <c r="Q74" s="12" cm="1">
        <f t="array" ref="Q74">IFERROR(IF($D74 &lt;&gt;0,ResultValue($C74,COLUMN(R74)-COLUMN($C74))/$D74,""),"")</f>
        <v>1</v>
      </c>
      <c r="R74" s="12" cm="1">
        <f t="array" ref="R74">IFERROR(IF($D74 &lt;&gt;0,ResultValue($C74,COLUMN(S74)-COLUMN($C74))/$D74,""),"")</f>
        <v>1</v>
      </c>
      <c r="S74" s="12" cm="1">
        <f t="array" ref="S74">IFERROR(IF($D74 &lt;&gt;0,ResultValue($C74,COLUMN(T74)-COLUMN($C74))/$D74,""),"")</f>
        <v>1</v>
      </c>
      <c r="T74" s="12" cm="1">
        <f t="array" ref="T74">IFERROR(IF($D74 &lt;&gt;0,ResultValue($C74,COLUMN(U74)-COLUMN($C74))/$D74,""),"")</f>
        <v>1</v>
      </c>
      <c r="U74" s="12" cm="1">
        <f t="array" ref="U74">IFERROR(IF($D74 &lt;&gt;0,ResultValue($C74,COLUMN(V74)-COLUMN($C74))/$D74,""),"")</f>
        <v>1</v>
      </c>
      <c r="V74" s="12" cm="1">
        <f t="array" ref="V74">IFERROR(IF($D74 &lt;&gt;0,ResultValue($C74,COLUMN(W74)-COLUMN($C74))/$D74,""),"")</f>
        <v>1</v>
      </c>
      <c r="W74" s="12" cm="1">
        <f t="array" ref="W74">IFERROR(IF($D74 &lt;&gt;0,ResultValue($C74,COLUMN(X74)-COLUMN($C74))/$D74,""),"")</f>
        <v>1</v>
      </c>
      <c r="X74" s="12" cm="1">
        <f t="array" ref="X74">IFERROR(IF($D74 &lt;&gt;0,ResultValue($C74,COLUMN(Y74)-COLUMN($C74))/$D74,""),"")</f>
        <v>1</v>
      </c>
      <c r="Y74" s="12" cm="1">
        <f t="array" ref="Y74">IFERROR(IF($D74 &lt;&gt;0,ResultValue($C74,COLUMN(Z74)-COLUMN($C74))/$D74,""),"")</f>
        <v>1</v>
      </c>
    </row>
    <row r="75" spans="1:25" x14ac:dyDescent="0.25">
      <c r="A75" t="str">
        <v>Affaldsforbrug kølevarme Ovn3</v>
      </c>
      <c r="B75" s="46"/>
      <c r="C75" t="s">
        <v>245</v>
      </c>
      <c r="D75" s="39">
        <f>B36</f>
        <v>1</v>
      </c>
      <c r="E75" s="12" cm="1">
        <f t="array" ref="E75">IFERROR(IF($D75 &lt;&gt;0,ResultValue($C75,COLUMN(F75)-COLUMN($C75))/$D75,""),"")</f>
        <v>-25.711195069525662</v>
      </c>
      <c r="F75" s="12" cm="1">
        <f t="array" ref="F75">IFERROR(IF($D75 &lt;&gt;0,ResultValue($C75,COLUMN(G75)-COLUMN($C75))/$D75,""),"")</f>
        <v>-36.044007947642243</v>
      </c>
      <c r="G75" s="12" cm="1">
        <f t="array" ref="G75">IFERROR(IF($D75 &lt;&gt;0,ResultValue($C75,COLUMN(H75)-COLUMN($C75))/$D75,""),"")</f>
        <v>-34.880981324960246</v>
      </c>
      <c r="H75" s="12" cm="1">
        <f t="array" ref="H75">IFERROR(IF($D75 &lt;&gt;0,ResultValue($C75,COLUMN(I75)-COLUMN($C75))/$D75,""),"")</f>
        <v>-33.741332256634173</v>
      </c>
      <c r="I75" s="12" cm="1">
        <f t="array" ref="I75">IFERROR(IF($D75 &lt;&gt;0,ResultValue($C75,COLUMN(J75)-COLUMN($C75))/$D75,""),"")</f>
        <v>-32.624352331926232</v>
      </c>
      <c r="J75" s="12" cm="1">
        <f t="array" ref="J75">IFERROR(IF($D75 &lt;&gt;0,ResultValue($C75,COLUMN(K75)-COLUMN($C75))/$D75,""),"")</f>
        <v>-31.529361476527761</v>
      </c>
      <c r="K75" s="12" cm="1">
        <f t="array" ref="K75">IFERROR(IF($D75 &lt;&gt;0,ResultValue($C75,COLUMN(L75)-COLUMN($C75))/$D75,""),"")</f>
        <v>-30.455706549766241</v>
      </c>
      <c r="L75" s="12" cm="1">
        <f t="array" ref="L75">IFERROR(IF($D75 &lt;&gt;0,ResultValue($C75,COLUMN(M75)-COLUMN($C75))/$D75,""),"")</f>
        <v>-29.402760024328717</v>
      </c>
      <c r="M75" s="12" cm="1">
        <f t="array" ref="M75">IFERROR(IF($D75 &lt;&gt;0,ResultValue($C75,COLUMN(N75)-COLUMN($C75))/$D75,""),"")</f>
        <v>-36.727993818352502</v>
      </c>
      <c r="N75" s="12" cm="1">
        <f t="array" ref="N75">IFERROR(IF($D75 &lt;&gt;0,ResultValue($C75,COLUMN(O75)-COLUMN($C75))/$D75,""),"")</f>
        <v>-35.714677821961345</v>
      </c>
      <c r="O75" s="12" cm="1">
        <f t="array" ref="O75">IFERROR(IF($D75 &lt;&gt;0,ResultValue($C75,COLUMN(P75)-COLUMN($C75))/$D75,""),"")</f>
        <v>-34.720329245325452</v>
      </c>
      <c r="P75" s="12" cm="1">
        <f t="array" ref="P75">IFERROR(IF($D75 &lt;&gt;0,ResultValue($C75,COLUMN(Q75)-COLUMN($C75))/$D75,""),"")</f>
        <v>-33.744411274678271</v>
      </c>
      <c r="Q75" s="12" cm="1">
        <f t="array" ref="Q75">IFERROR(IF($D75 &lt;&gt;0,ResultValue($C75,COLUMN(R75)-COLUMN($C75))/$D75,""),"")</f>
        <v>-32.7864071640576</v>
      </c>
      <c r="R75" s="12" cm="1">
        <f t="array" ref="R75">IFERROR(IF($D75 &lt;&gt;0,ResultValue($C75,COLUMN(S75)-COLUMN($C75))/$D75,""),"")</f>
        <v>-31.845819306240379</v>
      </c>
      <c r="S75" s="12" cm="1">
        <f t="array" ref="S75">IFERROR(IF($D75 &lt;&gt;0,ResultValue($C75,COLUMN(T75)-COLUMN($C75))/$D75,""),"")</f>
        <v>-30.922168354819217</v>
      </c>
      <c r="T75" s="12" cm="1">
        <f t="array" ref="T75">IFERROR(IF($D75 &lt;&gt;0,ResultValue($C75,COLUMN(U75)-COLUMN($C75))/$D75,""),"")</f>
        <v>-30.014992394165059</v>
      </c>
      <c r="U75" s="12" cm="1">
        <f t="array" ref="U75">IFERROR(IF($D75 &lt;&gt;0,ResultValue($C75,COLUMN(V75)-COLUMN($C75))/$D75,""),"")</f>
        <v>-29.12384615425723</v>
      </c>
      <c r="V75" s="12" cm="1">
        <f t="array" ref="V75">IFERROR(IF($D75 &lt;&gt;0,ResultValue($C75,COLUMN(W75)-COLUMN($C75))/$D75,""),"")</f>
        <v>-28.248300267575697</v>
      </c>
      <c r="W75" s="12" cm="1">
        <f t="array" ref="W75">IFERROR(IF($D75 &lt;&gt;0,ResultValue($C75,COLUMN(X75)-COLUMN($C75))/$D75,""),"")</f>
        <v>-27.387940565450815</v>
      </c>
      <c r="X75" s="12" cm="1">
        <f t="array" ref="X75">IFERROR(IF($D75 &lt;&gt;0,ResultValue($C75,COLUMN(Y75)-COLUMN($C75))/$D75,""),"")</f>
        <v>-26.542367411446836</v>
      </c>
      <c r="Y75" s="12" cm="1">
        <f t="array" ref="Y75">IFERROR(IF($D75 &lt;&gt;0,ResultValue($C75,COLUMN(Z75)-COLUMN($C75))/$D75,""),"")</f>
        <v>-25.711195069525662</v>
      </c>
    </row>
    <row r="76" spans="1:25" x14ac:dyDescent="0.25">
      <c r="A76" t="str">
        <v>Affaldsforbrug kølevarme Ovn2</v>
      </c>
      <c r="B76" s="46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</row>
    <row r="77" spans="1:25" x14ac:dyDescent="0.25">
      <c r="A77" t="str">
        <v>Udnyttet affald</v>
      </c>
      <c r="B77" s="46"/>
      <c r="C77" s="41" t="s">
        <v>237</v>
      </c>
      <c r="D77" s="42"/>
      <c r="E77" s="41" t="s">
        <v>209</v>
      </c>
      <c r="F77" s="43" t="str">
        <f>F53</f>
        <v>sc1</v>
      </c>
      <c r="G77" s="43" t="str">
        <f t="shared" ref="G77:Y77" si="2">G53</f>
        <v>sc2</v>
      </c>
      <c r="H77" s="43" t="str">
        <f t="shared" si="2"/>
        <v>sc3</v>
      </c>
      <c r="I77" s="43" t="str">
        <f t="shared" si="2"/>
        <v>sc4</v>
      </c>
      <c r="J77" s="43" t="str">
        <f t="shared" si="2"/>
        <v>sc5</v>
      </c>
      <c r="K77" s="43" t="str">
        <f t="shared" si="2"/>
        <v>sc6</v>
      </c>
      <c r="L77" s="43" t="str">
        <f t="shared" si="2"/>
        <v>sc7</v>
      </c>
      <c r="M77" s="43" t="str">
        <f t="shared" si="2"/>
        <v>sc8</v>
      </c>
      <c r="N77" s="43" t="str">
        <f t="shared" si="2"/>
        <v>sc9</v>
      </c>
      <c r="O77" s="43" t="str">
        <f t="shared" si="2"/>
        <v>sc10</v>
      </c>
      <c r="P77" s="43" t="str">
        <f t="shared" si="2"/>
        <v>sc11</v>
      </c>
      <c r="Q77" s="43" t="str">
        <f t="shared" si="2"/>
        <v>sc12</v>
      </c>
      <c r="R77" s="43" t="str">
        <f t="shared" si="2"/>
        <v>sc13</v>
      </c>
      <c r="S77" s="43" t="str">
        <f t="shared" si="2"/>
        <v>sc14</v>
      </c>
      <c r="T77" s="43" t="str">
        <f t="shared" si="2"/>
        <v>sc15</v>
      </c>
      <c r="U77" s="43" t="str">
        <f t="shared" si="2"/>
        <v>sc16</v>
      </c>
      <c r="V77" s="43" t="str">
        <f t="shared" si="2"/>
        <v>sc17</v>
      </c>
      <c r="W77" s="43" t="str">
        <f t="shared" si="2"/>
        <v>sc18</v>
      </c>
      <c r="X77" s="43" t="str">
        <f t="shared" si="2"/>
        <v>sc19</v>
      </c>
      <c r="Y77" s="43" t="str">
        <f t="shared" si="2"/>
        <v>sc20</v>
      </c>
    </row>
    <row r="78" spans="1:25" x14ac:dyDescent="0.25">
      <c r="A78" t="str">
        <v>Ikke-udnyttet affald</v>
      </c>
      <c r="B78" s="46"/>
      <c r="C78" s="37" t="str">
        <f>IF(ISBLANK(A40),"X-værdi mangler",A40)</f>
        <v>RGK-udnyttelse</v>
      </c>
      <c r="D78" s="3" t="s">
        <v>240</v>
      </c>
      <c r="E78" s="20" cm="1">
        <f t="array" ref="E78">_xlfn.LET(_xlpm.inputName,$C78,_xlpm.icol,COLUMN(E54)-1,_xlpm.irow,MATCH(_xlpm.inputName,ranInputNames,0),INDEX(Scenarier!$C$7:$Y$12,_xlpm.irow+1,_xlpm.icol))</f>
        <v>0.05</v>
      </c>
      <c r="F78" s="20" cm="1">
        <f t="array" ref="F78">_xlfn.LET(_xlpm.inputName,$C78,_xlpm.icol,COLUMN(F54)-1,_xlpm.irow,MATCH(_xlpm.inputName,ranInputNames,0),INDEX(Scenarier!$C$7:$Y$12,_xlpm.irow+1,_xlpm.icol))</f>
        <v>0.1</v>
      </c>
      <c r="G78" s="20" cm="1">
        <f t="array" ref="G78">_xlfn.LET(_xlpm.inputName,$C78,_xlpm.icol,COLUMN(G54)-1,_xlpm.irow,MATCH(_xlpm.inputName,ranInputNames,0),INDEX(Scenarier!$C$7:$Y$12,_xlpm.irow+1,_xlpm.icol))</f>
        <v>0.15</v>
      </c>
      <c r="H78" s="20" cm="1">
        <f t="array" ref="H78">_xlfn.LET(_xlpm.inputName,$C78,_xlpm.icol,COLUMN(H54)-1,_xlpm.irow,MATCH(_xlpm.inputName,ranInputNames,0),INDEX(Scenarier!$C$7:$Y$12,_xlpm.irow+1,_xlpm.icol))</f>
        <v>0.2</v>
      </c>
      <c r="I78" s="20" cm="1">
        <f t="array" ref="I78">_xlfn.LET(_xlpm.inputName,$C78,_xlpm.icol,COLUMN(I54)-1,_xlpm.irow,MATCH(_xlpm.inputName,ranInputNames,0),INDEX(Scenarier!$C$7:$Y$12,_xlpm.irow+1,_xlpm.icol))</f>
        <v>0.25</v>
      </c>
      <c r="J78" s="20" cm="1">
        <f t="array" ref="J78">_xlfn.LET(_xlpm.inputName,$C78,_xlpm.icol,COLUMN(J54)-1,_xlpm.irow,MATCH(_xlpm.inputName,ranInputNames,0),INDEX(Scenarier!$C$7:$Y$12,_xlpm.irow+1,_xlpm.icol))</f>
        <v>0.3</v>
      </c>
      <c r="K78" s="20" cm="1">
        <f t="array" ref="K78">_xlfn.LET(_xlpm.inputName,$C78,_xlpm.icol,COLUMN(K54)-1,_xlpm.irow,MATCH(_xlpm.inputName,ranInputNames,0),INDEX(Scenarier!$C$7:$Y$12,_xlpm.irow+1,_xlpm.icol))</f>
        <v>0.35</v>
      </c>
      <c r="L78" s="20" cm="1">
        <f t="array" ref="L78">_xlfn.LET(_xlpm.inputName,$C78,_xlpm.icol,COLUMN(L54)-1,_xlpm.irow,MATCH(_xlpm.inputName,ranInputNames,0),INDEX(Scenarier!$C$7:$Y$12,_xlpm.irow+1,_xlpm.icol))</f>
        <v>0.4</v>
      </c>
      <c r="M78" s="20" cm="1">
        <f t="array" ref="M78">_xlfn.LET(_xlpm.inputName,$C78,_xlpm.icol,COLUMN(M54)-1,_xlpm.irow,MATCH(_xlpm.inputName,ranInputNames,0),INDEX(Scenarier!$C$7:$Y$12,_xlpm.irow+1,_xlpm.icol))</f>
        <v>0.45</v>
      </c>
      <c r="N78" s="20" cm="1">
        <f t="array" ref="N78">_xlfn.LET(_xlpm.inputName,$C78,_xlpm.icol,COLUMN(N54)-1,_xlpm.irow,MATCH(_xlpm.inputName,ranInputNames,0),INDEX(Scenarier!$C$7:$Y$12,_xlpm.irow+1,_xlpm.icol))</f>
        <v>0.5</v>
      </c>
      <c r="O78" s="20" cm="1">
        <f t="array" ref="O78">_xlfn.LET(_xlpm.inputName,$C78,_xlpm.icol,COLUMN(O54)-1,_xlpm.irow,MATCH(_xlpm.inputName,ranInputNames,0),INDEX(Scenarier!$C$7:$Y$12,_xlpm.irow+1,_xlpm.icol))</f>
        <v>0.55000000000000004</v>
      </c>
      <c r="P78" s="20" cm="1">
        <f t="array" ref="P78">_xlfn.LET(_xlpm.inputName,$C78,_xlpm.icol,COLUMN(P54)-1,_xlpm.irow,MATCH(_xlpm.inputName,ranInputNames,0),INDEX(Scenarier!$C$7:$Y$12,_xlpm.irow+1,_xlpm.icol))</f>
        <v>0.6</v>
      </c>
      <c r="Q78" s="20" cm="1">
        <f t="array" ref="Q78">_xlfn.LET(_xlpm.inputName,$C78,_xlpm.icol,COLUMN(Q54)-1,_xlpm.irow,MATCH(_xlpm.inputName,ranInputNames,0),INDEX(Scenarier!$C$7:$Y$12,_xlpm.irow+1,_xlpm.icol))</f>
        <v>0.65</v>
      </c>
      <c r="R78" s="20" cm="1">
        <f t="array" ref="R78">_xlfn.LET(_xlpm.inputName,$C78,_xlpm.icol,COLUMN(R54)-1,_xlpm.irow,MATCH(_xlpm.inputName,ranInputNames,0),INDEX(Scenarier!$C$7:$Y$12,_xlpm.irow+1,_xlpm.icol))</f>
        <v>0.7</v>
      </c>
      <c r="S78" s="20" cm="1">
        <f t="array" ref="S78">_xlfn.LET(_xlpm.inputName,$C78,_xlpm.icol,COLUMN(S54)-1,_xlpm.irow,MATCH(_xlpm.inputName,ranInputNames,0),INDEX(Scenarier!$C$7:$Y$12,_xlpm.irow+1,_xlpm.icol))</f>
        <v>0.75</v>
      </c>
      <c r="T78" s="20" cm="1">
        <f t="array" ref="T78">_xlfn.LET(_xlpm.inputName,$C78,_xlpm.icol,COLUMN(T54)-1,_xlpm.irow,MATCH(_xlpm.inputName,ranInputNames,0),INDEX(Scenarier!$C$7:$Y$12,_xlpm.irow+1,_xlpm.icol))</f>
        <v>0.8</v>
      </c>
      <c r="U78" s="20" cm="1">
        <f t="array" ref="U78">_xlfn.LET(_xlpm.inputName,$C78,_xlpm.icol,COLUMN(U54)-1,_xlpm.irow,MATCH(_xlpm.inputName,ranInputNames,0),INDEX(Scenarier!$C$7:$Y$12,_xlpm.irow+1,_xlpm.icol))</f>
        <v>0.85</v>
      </c>
      <c r="V78" s="20" cm="1">
        <f t="array" ref="V78">_xlfn.LET(_xlpm.inputName,$C78,_xlpm.icol,COLUMN(V54)-1,_xlpm.irow,MATCH(_xlpm.inputName,ranInputNames,0),INDEX(Scenarier!$C$7:$Y$12,_xlpm.irow+1,_xlpm.icol))</f>
        <v>0.9</v>
      </c>
      <c r="W78" s="20" cm="1">
        <f t="array" ref="W78">_xlfn.LET(_xlpm.inputName,$C78,_xlpm.icol,COLUMN(W54)-1,_xlpm.irow,MATCH(_xlpm.inputName,ranInputNames,0),INDEX(Scenarier!$C$7:$Y$12,_xlpm.irow+1,_xlpm.icol))</f>
        <v>0.95</v>
      </c>
      <c r="X78" s="20" cm="1">
        <f t="array" ref="X78">_xlfn.LET(_xlpm.inputName,$C78,_xlpm.icol,COLUMN(X54)-1,_xlpm.irow,MATCH(_xlpm.inputName,ranInputNames,0),INDEX(Scenarier!$C$7:$Y$12,_xlpm.irow+1,_xlpm.icol))</f>
        <v>1</v>
      </c>
      <c r="Y78" s="20" t="e" cm="1">
        <f t="array" ref="Y78">_xlfn.LET(_xlpm.inputName,$C78,_xlpm.icol,COLUMN(Y54)-1,_xlpm.irow,MATCH(_xlpm.inputName,ranInputNames,0),INDEX(Scenarier!$C$7:$Y$12,_xlpm.irow+1,_xlpm.icol))</f>
        <v>#REF!</v>
      </c>
    </row>
    <row r="79" spans="1:25" x14ac:dyDescent="0.25">
      <c r="A79" t="str">
        <v>Ovn3 tonnageudnyttelse</v>
      </c>
      <c r="B79" s="46"/>
      <c r="C79" s="40" t="str">
        <f>IF(ISBLANK(A41),"",A41)</f>
        <v>RGK-rabat</v>
      </c>
      <c r="D79" s="39">
        <f>B41</f>
        <v>1000</v>
      </c>
      <c r="E79" s="12" cm="1">
        <f t="array" ref="E79">IF($D79 &lt;&gt;0,ResultValue($C79,COLUMN(F79)-COLUMN($C79))/$D79,"")</f>
        <v>200.59380181097563</v>
      </c>
      <c r="F79" s="12" cm="1">
        <f t="array" ref="F79">IF($D79 &lt;&gt;0,ResultValue($C79,COLUMN(G79)-COLUMN($C79))/$D79,"")</f>
        <v>0</v>
      </c>
      <c r="G79" s="12" cm="1">
        <f t="array" ref="G79">IF($D79 &lt;&gt;0,ResultValue($C79,COLUMN(H79)-COLUMN($C79))/$D79,"")</f>
        <v>0</v>
      </c>
      <c r="H79" s="12" cm="1">
        <f t="array" ref="H79">IF($D79 &lt;&gt;0,ResultValue($C79,COLUMN(I79)-COLUMN($C79))/$D79,"")</f>
        <v>0</v>
      </c>
      <c r="I79" s="12" cm="1">
        <f t="array" ref="I79">IF($D79 &lt;&gt;0,ResultValue($C79,COLUMN(J79)-COLUMN($C79))/$D79,"")</f>
        <v>0</v>
      </c>
      <c r="J79" s="12" cm="1">
        <f t="array" ref="J79">IF($D79 &lt;&gt;0,ResultValue($C79,COLUMN(K79)-COLUMN($C79))/$D79,"")</f>
        <v>0</v>
      </c>
      <c r="K79" s="12" cm="1">
        <f t="array" ref="K79">IF($D79 &lt;&gt;0,ResultValue($C79,COLUMN(L79)-COLUMN($C79))/$D79,"")</f>
        <v>0</v>
      </c>
      <c r="L79" s="12" cm="1">
        <f t="array" ref="L79">IF($D79 &lt;&gt;0,ResultValue($C79,COLUMN(M79)-COLUMN($C79))/$D79,"")</f>
        <v>0</v>
      </c>
      <c r="M79" s="12" cm="1">
        <f t="array" ref="M79">IF($D79 &lt;&gt;0,ResultValue($C79,COLUMN(N79)-COLUMN($C79))/$D79,"")</f>
        <v>200.59380181097563</v>
      </c>
      <c r="N79" s="12" cm="1">
        <f t="array" ref="N79">IF($D79 &lt;&gt;0,ResultValue($C79,COLUMN(O79)-COLUMN($C79))/$D79,"")</f>
        <v>200.59380181097563</v>
      </c>
      <c r="O79" s="12" cm="1">
        <f t="array" ref="O79">IF($D79 &lt;&gt;0,ResultValue($C79,COLUMN(P79)-COLUMN($C79))/$D79,"")</f>
        <v>200.59380181097563</v>
      </c>
      <c r="P79" s="12" cm="1">
        <f t="array" ref="P79">IF($D79 &lt;&gt;0,ResultValue($C79,COLUMN(Q79)-COLUMN($C79))/$D79,"")</f>
        <v>200.59380181097563</v>
      </c>
      <c r="Q79" s="12" cm="1">
        <f t="array" ref="Q79">IF($D79 &lt;&gt;0,ResultValue($C79,COLUMN(R79)-COLUMN($C79))/$D79,"")</f>
        <v>200.59380181097563</v>
      </c>
      <c r="R79" s="12" cm="1">
        <f t="array" ref="R79">IF($D79 &lt;&gt;0,ResultValue($C79,COLUMN(S79)-COLUMN($C79))/$D79,"")</f>
        <v>200.59380181097563</v>
      </c>
      <c r="S79" s="12" cm="1">
        <f t="array" ref="S79">IF($D79 &lt;&gt;0,ResultValue($C79,COLUMN(T79)-COLUMN($C79))/$D79,"")</f>
        <v>200.59380181097563</v>
      </c>
      <c r="T79" s="12" cm="1">
        <f t="array" ref="T79">IF($D79 &lt;&gt;0,ResultValue($C79,COLUMN(U79)-COLUMN($C79))/$D79,"")</f>
        <v>200.59380181097563</v>
      </c>
      <c r="U79" s="12" cm="1">
        <f t="array" ref="U79">IF($D79 &lt;&gt;0,ResultValue($C79,COLUMN(V79)-COLUMN($C79))/$D79,"")</f>
        <v>200.59380181097563</v>
      </c>
      <c r="V79" s="12" cm="1">
        <f t="array" ref="V79">IF($D79 &lt;&gt;0,ResultValue($C79,COLUMN(W79)-COLUMN($C79))/$D79,"")</f>
        <v>200.59380181097563</v>
      </c>
      <c r="W79" s="12" cm="1">
        <f t="array" ref="W79">IF($D79 &lt;&gt;0,ResultValue($C79,COLUMN(X79)-COLUMN($C79))/$D79,"")</f>
        <v>200.59380181097563</v>
      </c>
      <c r="X79" s="12" cm="1">
        <f t="array" ref="X79">IF($D79 &lt;&gt;0,ResultValue($C79,COLUMN(Y79)-COLUMN($C79))/$D79,"")</f>
        <v>200.59380181097563</v>
      </c>
      <c r="Y79" s="12" cm="1">
        <f t="array" ref="Y79">IF($D79 &lt;&gt;0,ResultValue($C79,COLUMN(Z80)-COLUMN($C79))/$D79,"")</f>
        <v>200.59380181097563</v>
      </c>
    </row>
    <row r="80" spans="1:25" x14ac:dyDescent="0.25">
      <c r="A80" t="str">
        <v>Ovn2 tonnageudnyttelse</v>
      </c>
      <c r="B80" s="46"/>
      <c r="C80" s="40" t="str">
        <f>IF(ISBLANK(A42),"",A42)</f>
        <v>Modtagebetaling affald</v>
      </c>
      <c r="D80" s="39">
        <f>B42</f>
        <v>1000</v>
      </c>
      <c r="E80" s="12" cm="1">
        <f t="array" ref="E80">IF($D80 &lt;&gt;0,ResultValue($C80,COLUMN(F80)-COLUMN($C80))/$D80,"")</f>
        <v>4040.3371902956987</v>
      </c>
      <c r="F80" s="12" cm="1">
        <f t="array" ref="F80">IF($D80 &lt;&gt;0,ResultValue($C80,COLUMN(G80)-COLUMN($C80))/$D80,"")</f>
        <v>4770.4508404332728</v>
      </c>
      <c r="G80" s="12" cm="1">
        <f t="array" ref="G80">IF($D80 &lt;&gt;0,ResultValue($C80,COLUMN(H80)-COLUMN($C80))/$D80,"")</f>
        <v>4724.8930163606619</v>
      </c>
      <c r="H80" s="12" cm="1">
        <f t="array" ref="H80">IF($D80 &lt;&gt;0,ResultValue($C80,COLUMN(I80)-COLUMN($C80))/$D80,"")</f>
        <v>4680.2649437997379</v>
      </c>
      <c r="I80" s="12" cm="1">
        <f t="array" ref="I80">IF($D80 &lt;&gt;0,ResultValue($C80,COLUMN(J80)-COLUMN($C80))/$D80,"")</f>
        <v>4636.5384484622655</v>
      </c>
      <c r="J80" s="12" cm="1">
        <f t="array" ref="J80">IF($D80 &lt;&gt;0,ResultValue($C80,COLUMN(K80)-COLUMN($C80))/$D80,"")</f>
        <v>4593.6864830315435</v>
      </c>
      <c r="K80" s="12" cm="1">
        <f t="array" ref="K80">IF($D80 &lt;&gt;0,ResultValue($C80,COLUMN(L80)-COLUMN($C80))/$D80,"")</f>
        <v>4551.6830713717272</v>
      </c>
      <c r="L80" s="12" cm="1">
        <f t="array" ref="L80">IF($D80 &lt;&gt;0,ResultValue($C80,COLUMN(M80)-COLUMN($C80))/$D80,"")</f>
        <v>4510.5032560189666</v>
      </c>
      <c r="M80" s="12" cm="1">
        <f t="array" ref="M80">IF($D80 &lt;&gt;0,ResultValue($C80,COLUMN(N80)-COLUMN($C80))/$D80,"")</f>
        <v>4470.1230487313078</v>
      </c>
      <c r="N80" s="12" cm="1">
        <f t="array" ref="N80">IF($D80 &lt;&gt;0,ResultValue($C80,COLUMN(O80)-COLUMN($C80))/$D80,"")</f>
        <v>4430.5193838914875</v>
      </c>
      <c r="O80" s="12" cm="1">
        <f t="array" ref="O80">IF($D80 &lt;&gt;0,ResultValue($C80,COLUMN(P80)-COLUMN($C80))/$D80,"")</f>
        <v>4391.6700745724256</v>
      </c>
      <c r="P80" s="12" cm="1">
        <f t="array" ref="P80">IF($D80 &lt;&gt;0,ResultValue($C80,COLUMN(Q80)-COLUMN($C80))/$D80,"")</f>
        <v>4353.5537710895724</v>
      </c>
      <c r="Q80" s="12" cm="1">
        <f t="array" ref="Q80">IF($D80 &lt;&gt;0,ResultValue($C80,COLUMN(R80)-COLUMN($C80))/$D80,"")</f>
        <v>4316.1499218774279</v>
      </c>
      <c r="R80" s="12" cm="1">
        <f t="array" ref="R80">IF($D80 &lt;&gt;0,ResultValue($C80,COLUMN(S80)-COLUMN($C80))/$D80,"")</f>
        <v>4279.4387365395824</v>
      </c>
      <c r="S80" s="12" cm="1">
        <f t="array" ref="S80">IF($D80 &lt;&gt;0,ResultValue($C80,COLUMN(T80)-COLUMN($C80))/$D80,"")</f>
        <v>4243.4011509327056</v>
      </c>
      <c r="T80" s="12" cm="1">
        <f t="array" ref="T80">IF($D80 &lt;&gt;0,ResultValue($C80,COLUMN(U80)-COLUMN($C80))/$D80,"")</f>
        <v>4208.0187941550466</v>
      </c>
      <c r="U80" s="12" cm="1">
        <f t="array" ref="U80">IF($D80 &lt;&gt;0,ResultValue($C80,COLUMN(V80)-COLUMN($C80))/$D80,"")</f>
        <v>4173.2739573193248</v>
      </c>
      <c r="V80" s="12" cm="1">
        <f t="array" ref="V80">IF($D80 &lt;&gt;0,ResultValue($C80,COLUMN(W80)-COLUMN($C80))/$D80,"")</f>
        <v>4139.1495639985287</v>
      </c>
      <c r="W80" s="12" cm="1">
        <f t="array" ref="W80">IF($D80 &lt;&gt;0,ResultValue($C80,COLUMN(X80)-COLUMN($C80))/$D80,"")</f>
        <v>4105.6291422409313</v>
      </c>
      <c r="X80" s="12" cm="1">
        <f t="array" ref="X80">IF($D80 &lt;&gt;0,ResultValue($C80,COLUMN(Y80)-COLUMN($C80))/$D80,"")</f>
        <v>4072.6967980580289</v>
      </c>
      <c r="Y80" s="12" cm="1">
        <f t="array" ref="Y80">IF($D80 &lt;&gt;0,ResultValue($C80,COLUMN(Z81)-COLUMN($C80))/$D80,"")</f>
        <v>4040.3371902956987</v>
      </c>
    </row>
    <row r="81" spans="1:25" x14ac:dyDescent="0.25">
      <c r="A81" t="str">
        <v>Bortkøleanlæg udnyttelse</v>
      </c>
      <c r="B81" s="46"/>
      <c r="C81" s="40" t="str">
        <f>IF(ISBLANK(A43),"",A43)</f>
        <v/>
      </c>
      <c r="D81" s="39">
        <f>B43</f>
        <v>0</v>
      </c>
      <c r="E81" s="12" t="str" cm="1">
        <f t="array" ref="E81">IF($D81 &lt;&gt;0,ResultValue($C81,COLUMN(F81)-COLUMN($C81))/$D81,"")</f>
        <v/>
      </c>
      <c r="F81" s="12" t="str" cm="1">
        <f t="array" ref="F81">IF($D81 &lt;&gt;0,ResultValue($C81,COLUMN(G81)-COLUMN($C81))/$D81,"")</f>
        <v/>
      </c>
      <c r="G81" s="12" t="str" cm="1">
        <f t="array" ref="G81">IF($D81 &lt;&gt;0,ResultValue($C81,COLUMN(H81)-COLUMN($C81))/$D81,"")</f>
        <v/>
      </c>
      <c r="H81" s="12" t="str" cm="1">
        <f t="array" ref="H81">IF($D81 &lt;&gt;0,ResultValue($C81,COLUMN(I81)-COLUMN($C81))/$D81,"")</f>
        <v/>
      </c>
      <c r="I81" s="12" t="str" cm="1">
        <f t="array" ref="I81">IF($D81 &lt;&gt;0,ResultValue($C81,COLUMN(J81)-COLUMN($C81))/$D81,"")</f>
        <v/>
      </c>
      <c r="J81" s="12" t="str" cm="1">
        <f t="array" ref="J81">IF($D81 &lt;&gt;0,ResultValue($C81,COLUMN(K81)-COLUMN($C81))/$D81,"")</f>
        <v/>
      </c>
      <c r="K81" s="12" t="str" cm="1">
        <f t="array" ref="K81">IF($D81 &lt;&gt;0,ResultValue($C81,COLUMN(L81)-COLUMN($C81))/$D81,"")</f>
        <v/>
      </c>
      <c r="L81" s="12" t="str" cm="1">
        <f t="array" ref="L81">IF($D81 &lt;&gt;0,ResultValue($C81,COLUMN(M81)-COLUMN($C81))/$D81,"")</f>
        <v/>
      </c>
      <c r="M81" s="12" t="str" cm="1">
        <f t="array" ref="M81">IF($D81 &lt;&gt;0,ResultValue($C81,COLUMN(N81)-COLUMN($C81))/$D81,"")</f>
        <v/>
      </c>
      <c r="N81" s="12" t="str" cm="1">
        <f t="array" ref="N81">IF($D81 &lt;&gt;0,ResultValue($C81,COLUMN(O81)-COLUMN($C81))/$D81,"")</f>
        <v/>
      </c>
      <c r="O81" s="12" t="str" cm="1">
        <f t="array" ref="O81">IF($D81 &lt;&gt;0,ResultValue($C81,COLUMN(P81)-COLUMN($C81))/$D81,"")</f>
        <v/>
      </c>
      <c r="P81" s="12" t="str" cm="1">
        <f t="array" ref="P81">IF($D81 &lt;&gt;0,ResultValue($C81,COLUMN(Q81)-COLUMN($C81))/$D81,"")</f>
        <v/>
      </c>
      <c r="Q81" s="12" t="str" cm="1">
        <f t="array" ref="Q81">IF($D81 &lt;&gt;0,ResultValue($C81,COLUMN(R81)-COLUMN($C81))/$D81,"")</f>
        <v/>
      </c>
      <c r="R81" s="12" t="str" cm="1">
        <f t="array" ref="R81">IF($D81 &lt;&gt;0,ResultValue($C81,COLUMN(S81)-COLUMN($C81))/$D81,"")</f>
        <v/>
      </c>
      <c r="S81" s="12" t="str" cm="1">
        <f t="array" ref="S81">IF($D81 &lt;&gt;0,ResultValue($C81,COLUMN(T81)-COLUMN($C81))/$D81,"")</f>
        <v/>
      </c>
      <c r="T81" s="12" t="str" cm="1">
        <f t="array" ref="T81">IF($D81 &lt;&gt;0,ResultValue($C81,COLUMN(U81)-COLUMN($C81))/$D81,"")</f>
        <v/>
      </c>
      <c r="U81" s="12" t="str" cm="1">
        <f t="array" ref="U81">IF($D81 &lt;&gt;0,ResultValue($C81,COLUMN(V81)-COLUMN($C81))/$D81,"")</f>
        <v/>
      </c>
      <c r="V81" s="12" t="str" cm="1">
        <f t="array" ref="V81">IF($D81 &lt;&gt;0,ResultValue($C81,COLUMN(W81)-COLUMN($C81))/$D81,"")</f>
        <v/>
      </c>
      <c r="W81" s="12" t="str" cm="1">
        <f t="array" ref="W81">IF($D81 &lt;&gt;0,ResultValue($C81,COLUMN(X81)-COLUMN($C81))/$D81,"")</f>
        <v/>
      </c>
      <c r="X81" s="12" t="str" cm="1">
        <f t="array" ref="X81">IF($D81 &lt;&gt;0,ResultValue($C81,COLUMN(Y81)-COLUMN($C81))/$D81,"")</f>
        <v/>
      </c>
      <c r="Y81" s="12" t="str" cm="1">
        <f t="array" ref="Y81">IF($D81 &lt;&gt;0,ResultValue($C81,COLUMN(Z82)-COLUMN($C81))/$D81,"")</f>
        <v/>
      </c>
    </row>
    <row r="82" spans="1:25" x14ac:dyDescent="0.25">
      <c r="A82" s="48" t="str">
        <v>NS-varme udnyttelse</v>
      </c>
      <c r="B82" s="46"/>
      <c r="C82" s="40" t="str">
        <f>IF(ISBLANK(A44),"",A44)</f>
        <v/>
      </c>
      <c r="D82" s="39">
        <f>B44</f>
        <v>0</v>
      </c>
      <c r="E82" s="12" t="str" cm="1">
        <f t="array" ref="E82">IF($D82 &lt;&gt;0,ResultValue($C82,COLUMN(F82)-COLUMN($C82))/$D82,"")</f>
        <v/>
      </c>
      <c r="F82" s="12" t="str" cm="1">
        <f t="array" ref="F82">IF($D82 &lt;&gt;0,ResultValue($C82,COLUMN(G82)-COLUMN($C82))/$D82,"")</f>
        <v/>
      </c>
      <c r="G82" s="12" t="str" cm="1">
        <f t="array" ref="G82">IF($D82 &lt;&gt;0,ResultValue($C82,COLUMN(H82)-COLUMN($C82))/$D82,"")</f>
        <v/>
      </c>
      <c r="H82" s="12" t="str" cm="1">
        <f t="array" ref="H82">IF($D82 &lt;&gt;0,ResultValue($C82,COLUMN(I82)-COLUMN($C82))/$D82,"")</f>
        <v/>
      </c>
      <c r="I82" s="12" t="str" cm="1">
        <f t="array" ref="I82">IF($D82 &lt;&gt;0,ResultValue($C82,COLUMN(J82)-COLUMN($C82))/$D82,"")</f>
        <v/>
      </c>
      <c r="J82" s="12" t="str" cm="1">
        <f t="array" ref="J82">IF($D82 &lt;&gt;0,ResultValue($C82,COLUMN(K82)-COLUMN($C82))/$D82,"")</f>
        <v/>
      </c>
      <c r="K82" s="12" t="str" cm="1">
        <f t="array" ref="K82">IF($D82 &lt;&gt;0,ResultValue($C82,COLUMN(L82)-COLUMN($C82))/$D82,"")</f>
        <v/>
      </c>
      <c r="L82" s="12" t="str" cm="1">
        <f t="array" ref="L82">IF($D82 &lt;&gt;0,ResultValue($C82,COLUMN(M82)-COLUMN($C82))/$D82,"")</f>
        <v/>
      </c>
      <c r="M82" s="12" t="str" cm="1">
        <f t="array" ref="M82">IF($D82 &lt;&gt;0,ResultValue($C82,COLUMN(N82)-COLUMN($C82))/$D82,"")</f>
        <v/>
      </c>
      <c r="N82" s="12" t="str" cm="1">
        <f t="array" ref="N82">IF($D82 &lt;&gt;0,ResultValue($C82,COLUMN(O82)-COLUMN($C82))/$D82,"")</f>
        <v/>
      </c>
      <c r="O82" s="12" t="str" cm="1">
        <f t="array" ref="O82">IF($D82 &lt;&gt;0,ResultValue($C82,COLUMN(P82)-COLUMN($C82))/$D82,"")</f>
        <v/>
      </c>
      <c r="P82" s="12" t="str" cm="1">
        <f t="array" ref="P82">IF($D82 &lt;&gt;0,ResultValue($C82,COLUMN(Q82)-COLUMN($C82))/$D82,"")</f>
        <v/>
      </c>
      <c r="Q82" s="12" t="str" cm="1">
        <f t="array" ref="Q82">IF($D82 &lt;&gt;0,ResultValue($C82,COLUMN(R82)-COLUMN($C82))/$D82,"")</f>
        <v/>
      </c>
      <c r="R82" s="12" t="str" cm="1">
        <f t="array" ref="R82">IF($D82 &lt;&gt;0,ResultValue($C82,COLUMN(S82)-COLUMN($C82))/$D82,"")</f>
        <v/>
      </c>
      <c r="S82" s="12" t="str" cm="1">
        <f t="array" ref="S82">IF($D82 &lt;&gt;0,ResultValue($C82,COLUMN(T82)-COLUMN($C82))/$D82,"")</f>
        <v/>
      </c>
      <c r="T82" s="12" t="str" cm="1">
        <f t="array" ref="T82">IF($D82 &lt;&gt;0,ResultValue($C82,COLUMN(U82)-COLUMN($C82))/$D82,"")</f>
        <v/>
      </c>
      <c r="U82" s="12" t="str" cm="1">
        <f t="array" ref="U82">IF($D82 &lt;&gt;0,ResultValue($C82,COLUMN(V82)-COLUMN($C82))/$D82,"")</f>
        <v/>
      </c>
      <c r="V82" s="12" t="str" cm="1">
        <f t="array" ref="V82">IF($D82 &lt;&gt;0,ResultValue($C82,COLUMN(W82)-COLUMN($C82))/$D82,"")</f>
        <v/>
      </c>
      <c r="W82" s="12" t="str" cm="1">
        <f t="array" ref="W82">IF($D82 &lt;&gt;0,ResultValue($C82,COLUMN(X82)-COLUMN($C82))/$D82,"")</f>
        <v/>
      </c>
      <c r="X82" s="12" t="str" cm="1">
        <f t="array" ref="X82">IF($D82 &lt;&gt;0,ResultValue($C82,COLUMN(Y82)-COLUMN($C82))/$D82,"")</f>
        <v/>
      </c>
      <c r="Y82" s="12" t="str" cm="1">
        <f t="array" ref="Y82">IF($D82 &lt;&gt;0,ResultValue($C82,COLUMN(Z83)-COLUMN($C82))/$D82,"")</f>
        <v/>
      </c>
    </row>
    <row r="83" spans="1:25" x14ac:dyDescent="0.25">
      <c r="A83" s="48" t="str">
        <v>VPO affald</v>
      </c>
      <c r="B83" s="46"/>
      <c r="C83" s="40" t="str">
        <f>IF(ISBLANK(A45),"",A45)</f>
        <v/>
      </c>
      <c r="D83" s="39">
        <f>B45</f>
        <v>0</v>
      </c>
      <c r="E83" s="12" t="str" cm="1">
        <f t="array" ref="E83">IF($D83 &lt;&gt;0,ResultValue($C83,COLUMN(F83)-COLUMN($C83))/$D83,"")</f>
        <v/>
      </c>
      <c r="F83" s="12" t="str" cm="1">
        <f t="array" ref="F83">IF($D83 &lt;&gt;0,ResultValue($C83,COLUMN(G83)-COLUMN($C83))/$D83,"")</f>
        <v/>
      </c>
      <c r="G83" s="12" t="str" cm="1">
        <f t="array" ref="G83">IF($D83 &lt;&gt;0,ResultValue($C83,COLUMN(H83)-COLUMN($C83))/$D83,"")</f>
        <v/>
      </c>
      <c r="H83" s="12" t="str" cm="1">
        <f t="array" ref="H83">IF($D83 &lt;&gt;0,ResultValue($C83,COLUMN(I83)-COLUMN($C83))/$D83,"")</f>
        <v/>
      </c>
      <c r="I83" s="12" t="str" cm="1">
        <f t="array" ref="I83">IF($D83 &lt;&gt;0,ResultValue($C83,COLUMN(J83)-COLUMN($C83))/$D83,"")</f>
        <v/>
      </c>
      <c r="J83" s="12" t="str" cm="1">
        <f t="array" ref="J83">IF($D83 &lt;&gt;0,ResultValue($C83,COLUMN(K83)-COLUMN($C83))/$D83,"")</f>
        <v/>
      </c>
      <c r="K83" s="12" t="str" cm="1">
        <f t="array" ref="K83">IF($D83 &lt;&gt;0,ResultValue($C83,COLUMN(L83)-COLUMN($C83))/$D83,"")</f>
        <v/>
      </c>
      <c r="L83" s="12" t="str" cm="1">
        <f t="array" ref="L83">IF($D83 &lt;&gt;0,ResultValue($C83,COLUMN(M83)-COLUMN($C83))/$D83,"")</f>
        <v/>
      </c>
      <c r="M83" s="12" t="str" cm="1">
        <f t="array" ref="M83">IF($D83 &lt;&gt;0,ResultValue($C83,COLUMN(N83)-COLUMN($C83))/$D83,"")</f>
        <v/>
      </c>
      <c r="N83" s="12" t="str" cm="1">
        <f t="array" ref="N83">IF($D83 &lt;&gt;0,ResultValue($C83,COLUMN(O83)-COLUMN($C83))/$D83,"")</f>
        <v/>
      </c>
      <c r="O83" s="12" t="str" cm="1">
        <f t="array" ref="O83">IF($D83 &lt;&gt;0,ResultValue($C83,COLUMN(P83)-COLUMN($C83))/$D83,"")</f>
        <v/>
      </c>
      <c r="P83" s="12" t="str" cm="1">
        <f t="array" ref="P83">IF($D83 &lt;&gt;0,ResultValue($C83,COLUMN(Q83)-COLUMN($C83))/$D83,"")</f>
        <v/>
      </c>
      <c r="Q83" s="12" t="str" cm="1">
        <f t="array" ref="Q83">IF($D83 &lt;&gt;0,ResultValue($C83,COLUMN(R83)-COLUMN($C83))/$D83,"")</f>
        <v/>
      </c>
      <c r="R83" s="12" t="str" cm="1">
        <f t="array" ref="R83">IF($D83 &lt;&gt;0,ResultValue($C83,COLUMN(S83)-COLUMN($C83))/$D83,"")</f>
        <v/>
      </c>
      <c r="S83" s="12" t="str" cm="1">
        <f t="array" ref="S83">IF($D83 &lt;&gt;0,ResultValue($C83,COLUMN(T83)-COLUMN($C83))/$D83,"")</f>
        <v/>
      </c>
      <c r="T83" s="12" t="str" cm="1">
        <f t="array" ref="T83">IF($D83 &lt;&gt;0,ResultValue($C83,COLUMN(U83)-COLUMN($C83))/$D83,"")</f>
        <v/>
      </c>
      <c r="U83" s="12" t="str" cm="1">
        <f t="array" ref="U83">IF($D83 &lt;&gt;0,ResultValue($C83,COLUMN(V83)-COLUMN($C83))/$D83,"")</f>
        <v/>
      </c>
      <c r="V83" s="12" t="str" cm="1">
        <f t="array" ref="V83">IF($D83 &lt;&gt;0,ResultValue($C83,COLUMN(W83)-COLUMN($C83))/$D83,"")</f>
        <v/>
      </c>
      <c r="W83" s="12" t="str" cm="1">
        <f t="array" ref="W83">IF($D83 &lt;&gt;0,ResultValue($C83,COLUMN(X83)-COLUMN($C83))/$D83,"")</f>
        <v/>
      </c>
      <c r="X83" s="12" t="str" cm="1">
        <f t="array" ref="X83">IF($D83 &lt;&gt;0,ResultValue($C83,COLUMN(Y83)-COLUMN($C83))/$D83,"")</f>
        <v/>
      </c>
      <c r="Y83" s="12" t="str" cm="1">
        <f t="array" ref="Y83">IF($D83 &lt;&gt;0,ResultValue($C83,COLUMN(Z84)-COLUMN($C83))/$D83,"")</f>
        <v/>
      </c>
    </row>
    <row r="84" spans="1:25" x14ac:dyDescent="0.25">
      <c r="A84" s="46"/>
      <c r="B84" s="46"/>
      <c r="C84" s="40" t="str">
        <f>IF(ISBLANK(A46),"",A46)</f>
        <v/>
      </c>
      <c r="D84" s="39">
        <f>B46</f>
        <v>0</v>
      </c>
      <c r="E84" s="12" t="str" cm="1">
        <f t="array" ref="E84">IF($D84 &lt;&gt;0,ResultValue($C84,COLUMN(F84)-COLUMN($C84))/$D84,"")</f>
        <v/>
      </c>
      <c r="F84" s="12" t="str" cm="1">
        <f t="array" ref="F84">IF($D84 &lt;&gt;0,ResultValue($C84,COLUMN(G84)-COLUMN($C84))/$D84,"")</f>
        <v/>
      </c>
      <c r="G84" s="12" t="str" cm="1">
        <f t="array" ref="G84">IF($D84 &lt;&gt;0,ResultValue($C84,COLUMN(H84)-COLUMN($C84))/$D84,"")</f>
        <v/>
      </c>
      <c r="H84" s="12" t="str" cm="1">
        <f t="array" ref="H84">IF($D84 &lt;&gt;0,ResultValue($C84,COLUMN(I84)-COLUMN($C84))/$D84,"")</f>
        <v/>
      </c>
      <c r="I84" s="12" t="str" cm="1">
        <f t="array" ref="I84">IF($D84 &lt;&gt;0,ResultValue($C84,COLUMN(J84)-COLUMN($C84))/$D84,"")</f>
        <v/>
      </c>
      <c r="J84" s="12" t="str" cm="1">
        <f t="array" ref="J84">IF($D84 &lt;&gt;0,ResultValue($C84,COLUMN(K84)-COLUMN($C84))/$D84,"")</f>
        <v/>
      </c>
      <c r="K84" s="12" t="str" cm="1">
        <f t="array" ref="K84">IF($D84 &lt;&gt;0,ResultValue($C84,COLUMN(L84)-COLUMN($C84))/$D84,"")</f>
        <v/>
      </c>
      <c r="L84" s="12" t="str" cm="1">
        <f t="array" ref="L84">IF($D84 &lt;&gt;0,ResultValue($C84,COLUMN(M84)-COLUMN($C84))/$D84,"")</f>
        <v/>
      </c>
      <c r="M84" s="12" t="str" cm="1">
        <f t="array" ref="M84">IF($D84 &lt;&gt;0,ResultValue($C84,COLUMN(N84)-COLUMN($C84))/$D84,"")</f>
        <v/>
      </c>
      <c r="N84" s="12" t="str" cm="1">
        <f t="array" ref="N84">IF($D84 &lt;&gt;0,ResultValue($C84,COLUMN(O84)-COLUMN($C84))/$D84,"")</f>
        <v/>
      </c>
      <c r="O84" s="12" t="str" cm="1">
        <f t="array" ref="O84">IF($D84 &lt;&gt;0,ResultValue($C84,COLUMN(P84)-COLUMN($C84))/$D84,"")</f>
        <v/>
      </c>
      <c r="P84" s="12" t="str" cm="1">
        <f t="array" ref="P84">IF($D84 &lt;&gt;0,ResultValue($C84,COLUMN(Q84)-COLUMN($C84))/$D84,"")</f>
        <v/>
      </c>
      <c r="Q84" s="12" t="str" cm="1">
        <f t="array" ref="Q84">IF($D84 &lt;&gt;0,ResultValue($C84,COLUMN(R84)-COLUMN($C84))/$D84,"")</f>
        <v/>
      </c>
      <c r="R84" s="12" t="str" cm="1">
        <f t="array" ref="R84">IF($D84 &lt;&gt;0,ResultValue($C84,COLUMN(S84)-COLUMN($C84))/$D84,"")</f>
        <v/>
      </c>
      <c r="S84" s="12" t="str" cm="1">
        <f t="array" ref="S84">IF($D84 &lt;&gt;0,ResultValue($C84,COLUMN(T84)-COLUMN($C84))/$D84,"")</f>
        <v/>
      </c>
      <c r="T84" s="12" t="str" cm="1">
        <f t="array" ref="T84">IF($D84 &lt;&gt;0,ResultValue($C84,COLUMN(U84)-COLUMN($C84))/$D84,"")</f>
        <v/>
      </c>
      <c r="U84" s="12" t="str" cm="1">
        <f t="array" ref="U84">IF($D84 &lt;&gt;0,ResultValue($C84,COLUMN(V84)-COLUMN($C84))/$D84,"")</f>
        <v/>
      </c>
      <c r="V84" s="12" t="str" cm="1">
        <f t="array" ref="V84">IF($D84 &lt;&gt;0,ResultValue($C84,COLUMN(W84)-COLUMN($C84))/$D84,"")</f>
        <v/>
      </c>
      <c r="W84" s="12" t="str" cm="1">
        <f t="array" ref="W84">IF($D84 &lt;&gt;0,ResultValue($C84,COLUMN(X84)-COLUMN($C84))/$D84,"")</f>
        <v/>
      </c>
      <c r="X84" s="12" t="str" cm="1">
        <f t="array" ref="X84">IF($D84 &lt;&gt;0,ResultValue($C84,COLUMN(Y84)-COLUMN($C84))/$D84,"")</f>
        <v/>
      </c>
      <c r="Y84" s="12" t="str" cm="1">
        <f t="array" ref="Y84">IF($D84 &lt;&gt;0,ResultValue($C84,COLUMN(Z85)-COLUMN($C84))/$D84,"")</f>
        <v/>
      </c>
    </row>
    <row r="85" spans="1:25" x14ac:dyDescent="0.25">
      <c r="A85" s="46"/>
      <c r="B85" s="46"/>
      <c r="C85" s="40" t="str">
        <f>IF(ISBLANK(A47),"",A47)</f>
        <v/>
      </c>
      <c r="D85" s="39">
        <f>B47</f>
        <v>0</v>
      </c>
      <c r="E85" s="12" t="str" cm="1">
        <f t="array" ref="E85">IF($D85 &lt;&gt;0,ResultValue($C85,COLUMN(F85)-COLUMN($C85))/$D85,"")</f>
        <v/>
      </c>
      <c r="F85" s="12" t="str" cm="1">
        <f t="array" ref="F85">IF($D85 &lt;&gt;0,ResultValue($C85,COLUMN(G85)-COLUMN($C85))/$D85,"")</f>
        <v/>
      </c>
      <c r="G85" s="12" t="str" cm="1">
        <f t="array" ref="G85">IF($D85 &lt;&gt;0,ResultValue($C85,COLUMN(H85)-COLUMN($C85))/$D85,"")</f>
        <v/>
      </c>
      <c r="H85" s="12" t="str" cm="1">
        <f t="array" ref="H85">IF($D85 &lt;&gt;0,ResultValue($C85,COLUMN(I85)-COLUMN($C85))/$D85,"")</f>
        <v/>
      </c>
      <c r="I85" s="12" t="str" cm="1">
        <f t="array" ref="I85">IF($D85 &lt;&gt;0,ResultValue($C85,COLUMN(J85)-COLUMN($C85))/$D85,"")</f>
        <v/>
      </c>
      <c r="J85" s="12" t="str" cm="1">
        <f t="array" ref="J85">IF($D85 &lt;&gt;0,ResultValue($C85,COLUMN(K85)-COLUMN($C85))/$D85,"")</f>
        <v/>
      </c>
      <c r="K85" s="12" t="str" cm="1">
        <f t="array" ref="K85">IF($D85 &lt;&gt;0,ResultValue($C85,COLUMN(L85)-COLUMN($C85))/$D85,"")</f>
        <v/>
      </c>
      <c r="L85" s="12" t="str" cm="1">
        <f t="array" ref="L85">IF($D85 &lt;&gt;0,ResultValue($C85,COLUMN(M85)-COLUMN($C85))/$D85,"")</f>
        <v/>
      </c>
      <c r="M85" s="12" t="str" cm="1">
        <f t="array" ref="M85">IF($D85 &lt;&gt;0,ResultValue($C85,COLUMN(N85)-COLUMN($C85))/$D85,"")</f>
        <v/>
      </c>
      <c r="N85" s="12" t="str" cm="1">
        <f t="array" ref="N85">IF($D85 &lt;&gt;0,ResultValue($C85,COLUMN(O85)-COLUMN($C85))/$D85,"")</f>
        <v/>
      </c>
      <c r="O85" s="12" t="str" cm="1">
        <f t="array" ref="O85">IF($D85 &lt;&gt;0,ResultValue($C85,COLUMN(P85)-COLUMN($C85))/$D85,"")</f>
        <v/>
      </c>
      <c r="P85" s="12" t="str" cm="1">
        <f t="array" ref="P85">IF($D85 &lt;&gt;0,ResultValue($C85,COLUMN(Q85)-COLUMN($C85))/$D85,"")</f>
        <v/>
      </c>
      <c r="Q85" s="12" t="str" cm="1">
        <f t="array" ref="Q85">IF($D85 &lt;&gt;0,ResultValue($C85,COLUMN(R85)-COLUMN($C85))/$D85,"")</f>
        <v/>
      </c>
      <c r="R85" s="12" t="str" cm="1">
        <f t="array" ref="R85">IF($D85 &lt;&gt;0,ResultValue($C85,COLUMN(S85)-COLUMN($C85))/$D85,"")</f>
        <v/>
      </c>
      <c r="S85" s="12" t="str" cm="1">
        <f t="array" ref="S85">IF($D85 &lt;&gt;0,ResultValue($C85,COLUMN(T85)-COLUMN($C85))/$D85,"")</f>
        <v/>
      </c>
      <c r="T85" s="12" t="str" cm="1">
        <f t="array" ref="T85">IF($D85 &lt;&gt;0,ResultValue($C85,COLUMN(U85)-COLUMN($C85))/$D85,"")</f>
        <v/>
      </c>
      <c r="U85" s="12" t="str" cm="1">
        <f t="array" ref="U85">IF($D85 &lt;&gt;0,ResultValue($C85,COLUMN(V85)-COLUMN($C85))/$D85,"")</f>
        <v/>
      </c>
      <c r="V85" s="12" t="str" cm="1">
        <f t="array" ref="V85">IF($D85 &lt;&gt;0,ResultValue($C85,COLUMN(W85)-COLUMN($C85))/$D85,"")</f>
        <v/>
      </c>
      <c r="W85" s="12" t="str" cm="1">
        <f t="array" ref="W85">IF($D85 &lt;&gt;0,ResultValue($C85,COLUMN(X85)-COLUMN($C85))/$D85,"")</f>
        <v/>
      </c>
      <c r="X85" s="12" t="str" cm="1">
        <f t="array" ref="X85">IF($D85 &lt;&gt;0,ResultValue($C85,COLUMN(Y85)-COLUMN($C85))/$D85,"")</f>
        <v/>
      </c>
      <c r="Y85" s="12" t="str" cm="1">
        <f t="array" ref="Y85">IF($D85 &lt;&gt;0,ResultValue($C85,COLUMN(Z86)-COLUMN($C85))/$D85,"")</f>
        <v/>
      </c>
    </row>
    <row r="86" spans="1:25" x14ac:dyDescent="0.25">
      <c r="A86" s="46"/>
      <c r="B86" s="46"/>
      <c r="C86" s="40" t="str">
        <f>IF(ISBLANK(A48),"",A48)</f>
        <v/>
      </c>
      <c r="D86" s="39">
        <f>B48</f>
        <v>0</v>
      </c>
      <c r="E86" s="12" t="str" cm="1">
        <f t="array" ref="E86">IF($D86 &lt;&gt;0,ResultValue($C86,COLUMN(F86)-COLUMN($C86))/$D86,"")</f>
        <v/>
      </c>
      <c r="F86" s="12" t="str" cm="1">
        <f t="array" ref="F86">IF($D86 &lt;&gt;0,ResultValue($C86,COLUMN(G86)-COLUMN($C86))/$D86,"")</f>
        <v/>
      </c>
      <c r="G86" s="12" t="str" cm="1">
        <f t="array" ref="G86">IF($D86 &lt;&gt;0,ResultValue($C86,COLUMN(H86)-COLUMN($C86))/$D86,"")</f>
        <v/>
      </c>
      <c r="H86" s="12" t="str" cm="1">
        <f t="array" ref="H86">IF($D86 &lt;&gt;0,ResultValue($C86,COLUMN(I86)-COLUMN($C86))/$D86,"")</f>
        <v/>
      </c>
      <c r="I86" s="12" t="str" cm="1">
        <f t="array" ref="I86">IF($D86 &lt;&gt;0,ResultValue($C86,COLUMN(J86)-COLUMN($C86))/$D86,"")</f>
        <v/>
      </c>
      <c r="J86" s="12" t="str" cm="1">
        <f t="array" ref="J86">IF($D86 &lt;&gt;0,ResultValue($C86,COLUMN(K86)-COLUMN($C86))/$D86,"")</f>
        <v/>
      </c>
      <c r="K86" s="12" t="str" cm="1">
        <f t="array" ref="K86">IF($D86 &lt;&gt;0,ResultValue($C86,COLUMN(L86)-COLUMN($C86))/$D86,"")</f>
        <v/>
      </c>
      <c r="L86" s="12" t="str" cm="1">
        <f t="array" ref="L86">IF($D86 &lt;&gt;0,ResultValue($C86,COLUMN(M86)-COLUMN($C86))/$D86,"")</f>
        <v/>
      </c>
      <c r="M86" s="12" t="str" cm="1">
        <f t="array" ref="M86">IF($D86 &lt;&gt;0,ResultValue($C86,COLUMN(N86)-COLUMN($C86))/$D86,"")</f>
        <v/>
      </c>
      <c r="N86" s="12" t="str" cm="1">
        <f t="array" ref="N86">IF($D86 &lt;&gt;0,ResultValue($C86,COLUMN(O86)-COLUMN($C86))/$D86,"")</f>
        <v/>
      </c>
      <c r="O86" s="12" t="str" cm="1">
        <f t="array" ref="O86">IF($D86 &lt;&gt;0,ResultValue($C86,COLUMN(P86)-COLUMN($C86))/$D86,"")</f>
        <v/>
      </c>
      <c r="P86" s="12" t="str" cm="1">
        <f t="array" ref="P86">IF($D86 &lt;&gt;0,ResultValue($C86,COLUMN(Q86)-COLUMN($C86))/$D86,"")</f>
        <v/>
      </c>
      <c r="Q86" s="12" t="str" cm="1">
        <f t="array" ref="Q86">IF($D86 &lt;&gt;0,ResultValue($C86,COLUMN(R86)-COLUMN($C86))/$D86,"")</f>
        <v/>
      </c>
      <c r="R86" s="12" t="str" cm="1">
        <f t="array" ref="R86">IF($D86 &lt;&gt;0,ResultValue($C86,COLUMN(S86)-COLUMN($C86))/$D86,"")</f>
        <v/>
      </c>
      <c r="S86" s="12" t="str" cm="1">
        <f t="array" ref="S86">IF($D86 &lt;&gt;0,ResultValue($C86,COLUMN(T86)-COLUMN($C86))/$D86,"")</f>
        <v/>
      </c>
      <c r="T86" s="12" t="str" cm="1">
        <f t="array" ref="T86">IF($D86 &lt;&gt;0,ResultValue($C86,COLUMN(U86)-COLUMN($C86))/$D86,"")</f>
        <v/>
      </c>
      <c r="U86" s="12" t="str" cm="1">
        <f t="array" ref="U86">IF($D86 &lt;&gt;0,ResultValue($C86,COLUMN(V86)-COLUMN($C86))/$D86,"")</f>
        <v/>
      </c>
      <c r="V86" s="12" t="str" cm="1">
        <f t="array" ref="V86">IF($D86 &lt;&gt;0,ResultValue($C86,COLUMN(W86)-COLUMN($C86))/$D86,"")</f>
        <v/>
      </c>
      <c r="W86" s="12" t="str" cm="1">
        <f t="array" ref="W86">IF($D86 &lt;&gt;0,ResultValue($C86,COLUMN(X86)-COLUMN($C86))/$D86,"")</f>
        <v/>
      </c>
      <c r="X86" s="12" t="str" cm="1">
        <f t="array" ref="X86">IF($D86 &lt;&gt;0,ResultValue($C86,COLUMN(Y86)-COLUMN($C86))/$D86,"")</f>
        <v/>
      </c>
      <c r="Y86" s="12" t="str" cm="1">
        <f t="array" ref="Y86">IF($D86 &lt;&gt;0,ResultValue($C86,COLUMN(Z87)-COLUMN($C86))/$D86,"")</f>
        <v/>
      </c>
    </row>
    <row r="87" spans="1:25" x14ac:dyDescent="0.25">
      <c r="A87" s="46"/>
      <c r="B87" s="46"/>
      <c r="C87" s="40" t="str">
        <f>IF(ISBLANK(A49),"",A49)</f>
        <v/>
      </c>
      <c r="D87" s="39">
        <f>B49</f>
        <v>0</v>
      </c>
      <c r="E87" s="12" t="str" cm="1">
        <f t="array" ref="E87">IF($D87 &lt;&gt;0,ResultValue($C87,COLUMN(F87)-COLUMN($C87))/$D87,"")</f>
        <v/>
      </c>
      <c r="F87" s="12" t="str" cm="1">
        <f t="array" ref="F87">IF($D87 &lt;&gt;0,ResultValue($C87,COLUMN(G87)-COLUMN($C87))/$D87,"")</f>
        <v/>
      </c>
      <c r="G87" s="12" t="str" cm="1">
        <f t="array" ref="G87">IF($D87 &lt;&gt;0,ResultValue($C87,COLUMN(H87)-COLUMN($C87))/$D87,"")</f>
        <v/>
      </c>
      <c r="H87" s="12" t="str" cm="1">
        <f t="array" ref="H87">IF($D87 &lt;&gt;0,ResultValue($C87,COLUMN(I87)-COLUMN($C87))/$D87,"")</f>
        <v/>
      </c>
      <c r="I87" s="12" t="str" cm="1">
        <f t="array" ref="I87">IF($D87 &lt;&gt;0,ResultValue($C87,COLUMN(J87)-COLUMN($C87))/$D87,"")</f>
        <v/>
      </c>
      <c r="J87" s="12" t="str" cm="1">
        <f t="array" ref="J87">IF($D87 &lt;&gt;0,ResultValue($C87,COLUMN(K87)-COLUMN($C87))/$D87,"")</f>
        <v/>
      </c>
      <c r="K87" s="12" t="str" cm="1">
        <f t="array" ref="K87">IF($D87 &lt;&gt;0,ResultValue($C87,COLUMN(L87)-COLUMN($C87))/$D87,"")</f>
        <v/>
      </c>
      <c r="L87" s="12" t="str" cm="1">
        <f t="array" ref="L87">IF($D87 &lt;&gt;0,ResultValue($C87,COLUMN(M87)-COLUMN($C87))/$D87,"")</f>
        <v/>
      </c>
      <c r="M87" s="12" t="str" cm="1">
        <f t="array" ref="M87">IF($D87 &lt;&gt;0,ResultValue($C87,COLUMN(N87)-COLUMN($C87))/$D87,"")</f>
        <v/>
      </c>
      <c r="N87" s="12" t="str" cm="1">
        <f t="array" ref="N87">IF($D87 &lt;&gt;0,ResultValue($C87,COLUMN(O87)-COLUMN($C87))/$D87,"")</f>
        <v/>
      </c>
      <c r="O87" s="12" t="str" cm="1">
        <f t="array" ref="O87">IF($D87 &lt;&gt;0,ResultValue($C87,COLUMN(P87)-COLUMN($C87))/$D87,"")</f>
        <v/>
      </c>
      <c r="P87" s="12" t="str" cm="1">
        <f t="array" ref="P87">IF($D87 &lt;&gt;0,ResultValue($C87,COLUMN(Q87)-COLUMN($C87))/$D87,"")</f>
        <v/>
      </c>
      <c r="Q87" s="12" t="str" cm="1">
        <f t="array" ref="Q87">IF($D87 &lt;&gt;0,ResultValue($C87,COLUMN(R87)-COLUMN($C87))/$D87,"")</f>
        <v/>
      </c>
      <c r="R87" s="12" t="str" cm="1">
        <f t="array" ref="R87">IF($D87 &lt;&gt;0,ResultValue($C87,COLUMN(S87)-COLUMN($C87))/$D87,"")</f>
        <v/>
      </c>
      <c r="S87" s="12" t="str" cm="1">
        <f t="array" ref="S87">IF($D87 &lt;&gt;0,ResultValue($C87,COLUMN(T87)-COLUMN($C87))/$D87,"")</f>
        <v/>
      </c>
      <c r="T87" s="12" t="str" cm="1">
        <f t="array" ref="T87">IF($D87 &lt;&gt;0,ResultValue($C87,COLUMN(U87)-COLUMN($C87))/$D87,"")</f>
        <v/>
      </c>
      <c r="U87" s="12" t="str" cm="1">
        <f t="array" ref="U87">IF($D87 &lt;&gt;0,ResultValue($C87,COLUMN(V87)-COLUMN($C87))/$D87,"")</f>
        <v/>
      </c>
      <c r="V87" s="12" t="str" cm="1">
        <f t="array" ref="V87">IF($D87 &lt;&gt;0,ResultValue($C87,COLUMN(W87)-COLUMN($C87))/$D87,"")</f>
        <v/>
      </c>
      <c r="W87" s="12" t="str" cm="1">
        <f t="array" ref="W87">IF($D87 &lt;&gt;0,ResultValue($C87,COLUMN(X87)-COLUMN($C87))/$D87,"")</f>
        <v/>
      </c>
      <c r="X87" s="12" t="str" cm="1">
        <f t="array" ref="X87">IF($D87 &lt;&gt;0,ResultValue($C87,COLUMN(Y87)-COLUMN($C87))/$D87,"")</f>
        <v/>
      </c>
      <c r="Y87" s="12" t="str" cm="1">
        <f t="array" ref="Y87">IF($D87 &lt;&gt;0,ResultValue($C87,COLUMN(Z88)-COLUMN($C87))/$D87,"")</f>
        <v/>
      </c>
    </row>
    <row r="88" spans="1:25" x14ac:dyDescent="0.25">
      <c r="A88" s="46"/>
      <c r="B88" s="46"/>
      <c r="C88" s="40" t="str">
        <f>IF(ISBLANK(A50),"",A50)</f>
        <v/>
      </c>
      <c r="D88" s="39">
        <f>B50</f>
        <v>0</v>
      </c>
      <c r="E88" s="12" t="str" cm="1">
        <f t="array" ref="E88">IF($D88 &lt;&gt;0,ResultValue($C88,COLUMN(F88)-COLUMN($C88))/$D88,"")</f>
        <v/>
      </c>
      <c r="F88" s="12" t="str" cm="1">
        <f t="array" ref="F88">IF($D88 &lt;&gt;0,ResultValue($C88,COLUMN(G88)-COLUMN($C88))/$D88,"")</f>
        <v/>
      </c>
      <c r="G88" s="12" t="str" cm="1">
        <f t="array" ref="G88">IF($D88 &lt;&gt;0,ResultValue($C88,COLUMN(H88)-COLUMN($C88))/$D88,"")</f>
        <v/>
      </c>
      <c r="H88" s="12" t="str" cm="1">
        <f t="array" ref="H88">IF($D88 &lt;&gt;0,ResultValue($C88,COLUMN(I88)-COLUMN($C88))/$D88,"")</f>
        <v/>
      </c>
      <c r="I88" s="12" t="str" cm="1">
        <f t="array" ref="I88">IF($D88 &lt;&gt;0,ResultValue($C88,COLUMN(J88)-COLUMN($C88))/$D88,"")</f>
        <v/>
      </c>
      <c r="J88" s="12" t="str" cm="1">
        <f t="array" ref="J88">IF($D88 &lt;&gt;0,ResultValue($C88,COLUMN(K88)-COLUMN($C88))/$D88,"")</f>
        <v/>
      </c>
      <c r="K88" s="12" t="str" cm="1">
        <f t="array" ref="K88">IF($D88 &lt;&gt;0,ResultValue($C88,COLUMN(L88)-COLUMN($C88))/$D88,"")</f>
        <v/>
      </c>
      <c r="L88" s="12" t="str" cm="1">
        <f t="array" ref="L88">IF($D88 &lt;&gt;0,ResultValue($C88,COLUMN(M88)-COLUMN($C88))/$D88,"")</f>
        <v/>
      </c>
      <c r="M88" s="12" t="str" cm="1">
        <f t="array" ref="M88">IF($D88 &lt;&gt;0,ResultValue($C88,COLUMN(N88)-COLUMN($C88))/$D88,"")</f>
        <v/>
      </c>
      <c r="N88" s="12" t="str" cm="1">
        <f t="array" ref="N88">IF($D88 &lt;&gt;0,ResultValue($C88,COLUMN(O88)-COLUMN($C88))/$D88,"")</f>
        <v/>
      </c>
      <c r="O88" s="12" t="str" cm="1">
        <f t="array" ref="O88">IF($D88 &lt;&gt;0,ResultValue($C88,COLUMN(P88)-COLUMN($C88))/$D88,"")</f>
        <v/>
      </c>
      <c r="P88" s="12" t="str" cm="1">
        <f t="array" ref="P88">IF($D88 &lt;&gt;0,ResultValue($C88,COLUMN(Q88)-COLUMN($C88))/$D88,"")</f>
        <v/>
      </c>
      <c r="Q88" s="12" t="str" cm="1">
        <f t="array" ref="Q88">IF($D88 &lt;&gt;0,ResultValue($C88,COLUMN(R88)-COLUMN($C88))/$D88,"")</f>
        <v/>
      </c>
      <c r="R88" s="12" t="str" cm="1">
        <f t="array" ref="R88">IF($D88 &lt;&gt;0,ResultValue($C88,COLUMN(S88)-COLUMN($C88))/$D88,"")</f>
        <v/>
      </c>
      <c r="S88" s="12" t="str" cm="1">
        <f t="array" ref="S88">IF($D88 &lt;&gt;0,ResultValue($C88,COLUMN(T88)-COLUMN($C88))/$D88,"")</f>
        <v/>
      </c>
      <c r="T88" s="12" t="str" cm="1">
        <f t="array" ref="T88">IF($D88 &lt;&gt;0,ResultValue($C88,COLUMN(U88)-COLUMN($C88))/$D88,"")</f>
        <v/>
      </c>
      <c r="U88" s="12" t="str" cm="1">
        <f t="array" ref="U88">IF($D88 &lt;&gt;0,ResultValue($C88,COLUMN(V88)-COLUMN($C88))/$D88,"")</f>
        <v/>
      </c>
      <c r="V88" s="12" t="str" cm="1">
        <f t="array" ref="V88">IF($D88 &lt;&gt;0,ResultValue($C88,COLUMN(W88)-COLUMN($C88))/$D88,"")</f>
        <v/>
      </c>
      <c r="W88" s="12" t="str" cm="1">
        <f t="array" ref="W88">IF($D88 &lt;&gt;0,ResultValue($C88,COLUMN(X88)-COLUMN($C88))/$D88,"")</f>
        <v/>
      </c>
      <c r="X88" s="12" t="str" cm="1">
        <f t="array" ref="X88">IF($D88 &lt;&gt;0,ResultValue($C88,COLUMN(Y88)-COLUMN($C88))/$D88,"")</f>
        <v/>
      </c>
      <c r="Y88" s="12" t="str" cm="1">
        <f t="array" ref="Y88">IF($D88 &lt;&gt;0,ResultValue($C88,COLUMN(Z89)-COLUMN($C88))/$D88,"")</f>
        <v/>
      </c>
    </row>
    <row r="89" spans="1:25" x14ac:dyDescent="0.25">
      <c r="A89" s="46"/>
      <c r="B89" s="46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spans="1:25" x14ac:dyDescent="0.25">
      <c r="A90" s="46"/>
      <c r="B90" s="46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</row>
    <row r="91" spans="1:25" x14ac:dyDescent="0.25">
      <c r="A91" s="46"/>
      <c r="B91" s="46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</row>
    <row r="92" spans="1:25" x14ac:dyDescent="0.25">
      <c r="A92" s="46"/>
      <c r="B92" s="46"/>
    </row>
    <row r="93" spans="1:25" x14ac:dyDescent="0.25">
      <c r="C93" s="10" t="s">
        <v>231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C94" s="3" t="str">
        <f>'Model-1'!N48</f>
        <v>Økonomi:</v>
      </c>
      <c r="D94" s="8" t="str">
        <f>'Model-1'!O48</f>
        <v>Enhed</v>
      </c>
      <c r="E94" s="15" t="str">
        <f t="shared" ref="E94:Y94" si="3">E6</f>
        <v>Nominelt</v>
      </c>
      <c r="F94" s="15" t="str">
        <f t="shared" si="3"/>
        <v>sc1</v>
      </c>
      <c r="G94" s="15" t="str">
        <f t="shared" si="3"/>
        <v>sc2</v>
      </c>
      <c r="H94" s="15" t="str">
        <f t="shared" si="3"/>
        <v>sc3</v>
      </c>
      <c r="I94" s="15" t="str">
        <f t="shared" si="3"/>
        <v>sc4</v>
      </c>
      <c r="J94" s="15" t="str">
        <f t="shared" si="3"/>
        <v>sc5</v>
      </c>
      <c r="K94" s="15" t="str">
        <f t="shared" si="3"/>
        <v>sc6</v>
      </c>
      <c r="L94" s="15" t="str">
        <f t="shared" si="3"/>
        <v>sc7</v>
      </c>
      <c r="M94" s="15" t="str">
        <f t="shared" si="3"/>
        <v>sc8</v>
      </c>
      <c r="N94" s="15" t="str">
        <f t="shared" si="3"/>
        <v>sc9</v>
      </c>
      <c r="O94" s="15" t="str">
        <f t="shared" si="3"/>
        <v>sc10</v>
      </c>
      <c r="P94" s="15" t="str">
        <f t="shared" si="3"/>
        <v>sc11</v>
      </c>
      <c r="Q94" s="15" t="str">
        <f t="shared" si="3"/>
        <v>sc12</v>
      </c>
      <c r="R94" s="15" t="str">
        <f t="shared" si="3"/>
        <v>sc13</v>
      </c>
      <c r="S94" s="15" t="str">
        <f t="shared" si="3"/>
        <v>sc14</v>
      </c>
      <c r="T94" s="15" t="str">
        <f t="shared" si="3"/>
        <v>sc15</v>
      </c>
      <c r="U94" s="15" t="str">
        <f t="shared" si="3"/>
        <v>sc16</v>
      </c>
      <c r="V94" s="15" t="str">
        <f t="shared" si="3"/>
        <v>sc17</v>
      </c>
      <c r="W94" s="15" t="str">
        <f t="shared" si="3"/>
        <v>sc18</v>
      </c>
      <c r="X94" s="15" t="str">
        <f t="shared" si="3"/>
        <v>sc19</v>
      </c>
      <c r="Y94" s="15" t="str">
        <f t="shared" si="3"/>
        <v>sc20</v>
      </c>
    </row>
    <row r="95" spans="1:25" x14ac:dyDescent="0.25">
      <c r="C95" s="14" t="str">
        <f>'Model-1'!N49</f>
        <v>Indtægter total</v>
      </c>
      <c r="D95" s="14" t="str">
        <f>_xlfn.LET(_xlpm.label,'Model-1'!O49,IF(ISBLANK(_xlpm.label),"",_xlpm.label))</f>
        <v>tkr</v>
      </c>
      <c r="E95" s="18">
        <v>15652263.443326186</v>
      </c>
      <c r="F95" s="18">
        <v>16181783.291652784</v>
      </c>
      <c r="G95" s="18">
        <v>16136225.467580173</v>
      </c>
      <c r="H95" s="18">
        <v>16091597.39501925</v>
      </c>
      <c r="I95" s="18">
        <v>16047870.899681777</v>
      </c>
      <c r="J95" s="18">
        <v>16005018.934251055</v>
      </c>
      <c r="K95" s="18">
        <v>15963015.522591241</v>
      </c>
      <c r="L95" s="18">
        <v>15921835.707238479</v>
      </c>
      <c r="M95" s="18">
        <v>16082049.301761795</v>
      </c>
      <c r="N95" s="18">
        <v>16042445.636921976</v>
      </c>
      <c r="O95" s="18">
        <v>16003596.327602914</v>
      </c>
      <c r="P95" s="18">
        <v>15965480.024120061</v>
      </c>
      <c r="Q95" s="18">
        <v>15928076.174907915</v>
      </c>
      <c r="R95" s="18">
        <v>15891364.98957007</v>
      </c>
      <c r="S95" s="18">
        <v>15855327.403963193</v>
      </c>
      <c r="T95" s="18">
        <v>15819945.047185535</v>
      </c>
      <c r="U95" s="18">
        <v>15785200.210349813</v>
      </c>
      <c r="V95" s="18">
        <v>15751075.817029016</v>
      </c>
      <c r="W95" s="18">
        <v>15717555.39527142</v>
      </c>
      <c r="X95" s="18">
        <v>15684623.051088518</v>
      </c>
      <c r="Y95" s="18">
        <v>15652263.443326186</v>
      </c>
    </row>
    <row r="96" spans="1:25" x14ac:dyDescent="0.25">
      <c r="C96" s="14" t="str">
        <f>'Model-1'!N50</f>
        <v>Omkostninger total</v>
      </c>
      <c r="D96" s="14" t="str">
        <f>_xlfn.LET(_xlpm.label,'Model-1'!O50,IF(ISBLANK(_xlpm.label),"",_xlpm.label))</f>
        <v>tkr</v>
      </c>
      <c r="E96" s="18">
        <v>7571194.7616575705</v>
      </c>
      <c r="F96" s="18">
        <v>7852727.10090937</v>
      </c>
      <c r="G96" s="18">
        <v>7835081.9157811292</v>
      </c>
      <c r="H96" s="18">
        <v>7817805.4208600298</v>
      </c>
      <c r="I96" s="18">
        <v>7800886.4437155491</v>
      </c>
      <c r="J96" s="18">
        <v>7784314.2588143907</v>
      </c>
      <c r="K96" s="18">
        <v>7768078.5653968509</v>
      </c>
      <c r="L96" s="18">
        <v>7752169.4666545894</v>
      </c>
      <c r="M96" s="18">
        <v>7736577.4501213348</v>
      </c>
      <c r="N96" s="18">
        <v>7721293.3691949034</v>
      </c>
      <c r="O96" s="18">
        <v>7706308.4257151028</v>
      </c>
      <c r="P96" s="18">
        <v>7691614.1535277804</v>
      </c>
      <c r="Q96" s="18">
        <v>7677202.4029705329</v>
      </c>
      <c r="R96" s="18">
        <v>7663065.326220301</v>
      </c>
      <c r="S96" s="18">
        <v>7649195.3634475321</v>
      </c>
      <c r="T96" s="18">
        <v>7635585.2297255732</v>
      </c>
      <c r="U96" s="18">
        <v>7622227.9026476396</v>
      </c>
      <c r="V96" s="18">
        <v>7609116.6106071994</v>
      </c>
      <c r="W96" s="18">
        <v>7596244.8217006</v>
      </c>
      <c r="X96" s="18">
        <v>7583606.2332137935</v>
      </c>
      <c r="Y96" s="18">
        <v>7571194.7616575705</v>
      </c>
    </row>
    <row r="97" spans="3:26" x14ac:dyDescent="0.25">
      <c r="C97" s="14" t="str">
        <f>'Model-1'!N51</f>
        <v>Dækningsbidrag</v>
      </c>
      <c r="D97" s="14" t="str">
        <f>_xlfn.LET(_xlpm.label,'Model-1'!O51,IF(ISBLANK(_xlpm.label),"",_xlpm.label))</f>
        <v>tkr</v>
      </c>
      <c r="E97" s="18">
        <v>8081068.6816686159</v>
      </c>
      <c r="F97" s="18">
        <v>8329056.1907434138</v>
      </c>
      <c r="G97" s="18">
        <v>8301143.551799044</v>
      </c>
      <c r="H97" s="18">
        <v>8273791.9741592202</v>
      </c>
      <c r="I97" s="18">
        <v>8246984.4559662277</v>
      </c>
      <c r="J97" s="18">
        <v>8220704.6754366644</v>
      </c>
      <c r="K97" s="18">
        <v>8194936.9571943898</v>
      </c>
      <c r="L97" s="18">
        <v>8169666.2405838892</v>
      </c>
      <c r="M97" s="18">
        <v>8345471.8516404601</v>
      </c>
      <c r="N97" s="18">
        <v>8321152.2677270724</v>
      </c>
      <c r="O97" s="18">
        <v>8297287.9018878108</v>
      </c>
      <c r="P97" s="18">
        <v>8273865.8705922803</v>
      </c>
      <c r="Q97" s="18">
        <v>8250873.7719373824</v>
      </c>
      <c r="R97" s="18">
        <v>8228299.6633497691</v>
      </c>
      <c r="S97" s="18">
        <v>8206132.0405156612</v>
      </c>
      <c r="T97" s="18">
        <v>8184359.8174599614</v>
      </c>
      <c r="U97" s="18">
        <v>8162972.3077021735</v>
      </c>
      <c r="V97" s="18">
        <v>8141959.2064218167</v>
      </c>
      <c r="W97" s="18">
        <v>8121310.5735708205</v>
      </c>
      <c r="X97" s="18">
        <v>8101016.817874724</v>
      </c>
      <c r="Y97" s="18">
        <v>8081068.6816686159</v>
      </c>
    </row>
    <row r="98" spans="3:26" x14ac:dyDescent="0.25">
      <c r="C98" s="3"/>
      <c r="D98" s="14" t="str">
        <f>_xlfn.LET(_xlpm.label,'Model-1'!O52,IF(ISBLANK(_xlpm.label),"",_xlpm.label))</f>
        <v/>
      </c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</row>
    <row r="99" spans="3:26" x14ac:dyDescent="0.25">
      <c r="C99" s="14" t="str">
        <f>'Model-1'!N53</f>
        <v>Varmesalg</v>
      </c>
      <c r="D99" s="14" t="str">
        <f>_xlfn.LET(_xlpm.label,'Model-1'!O53,IF(ISBLANK(_xlpm.label),"",_xlpm.label))</f>
        <v>tkr</v>
      </c>
      <c r="E99" s="17">
        <v>7464000</v>
      </c>
      <c r="F99" s="17">
        <v>7464000</v>
      </c>
      <c r="G99" s="17">
        <v>7464000</v>
      </c>
      <c r="H99" s="17">
        <v>7464000</v>
      </c>
      <c r="I99" s="17">
        <v>7464000</v>
      </c>
      <c r="J99" s="17">
        <v>7464000</v>
      </c>
      <c r="K99" s="17">
        <v>7464000</v>
      </c>
      <c r="L99" s="17">
        <v>7464000</v>
      </c>
      <c r="M99" s="17">
        <v>7464000</v>
      </c>
      <c r="N99" s="17">
        <v>7464000</v>
      </c>
      <c r="O99" s="17">
        <v>7464000</v>
      </c>
      <c r="P99" s="17">
        <v>7464000</v>
      </c>
      <c r="Q99" s="17">
        <v>7464000</v>
      </c>
      <c r="R99" s="17">
        <v>7464000</v>
      </c>
      <c r="S99" s="17">
        <v>7464000</v>
      </c>
      <c r="T99" s="17">
        <v>7464000</v>
      </c>
      <c r="U99" s="17">
        <v>7464000</v>
      </c>
      <c r="V99" s="17">
        <v>7464000</v>
      </c>
      <c r="W99" s="17">
        <v>7464000</v>
      </c>
      <c r="X99" s="17">
        <v>7464000</v>
      </c>
      <c r="Y99" s="17">
        <v>7464000</v>
      </c>
    </row>
    <row r="100" spans="3:26" x14ac:dyDescent="0.25">
      <c r="C100" s="14" t="str">
        <f>'Model-1'!N54</f>
        <v>Elsalg</v>
      </c>
      <c r="D100" s="14" t="str">
        <f>_xlfn.LET(_xlpm.label,'Model-1'!O54,IF(ISBLANK(_xlpm.label),"",_xlpm.label))</f>
        <v>tkr</v>
      </c>
      <c r="E100" s="17">
        <v>3947332.4512195126</v>
      </c>
      <c r="F100" s="17">
        <v>3947332.4512195117</v>
      </c>
      <c r="G100" s="17">
        <v>3947332.4512195126</v>
      </c>
      <c r="H100" s="17">
        <v>3947332.4512195117</v>
      </c>
      <c r="I100" s="17">
        <v>3947332.4512195126</v>
      </c>
      <c r="J100" s="17">
        <v>3947332.4512195126</v>
      </c>
      <c r="K100" s="17">
        <v>3947332.4512195126</v>
      </c>
      <c r="L100" s="17">
        <v>3947332.4512195126</v>
      </c>
      <c r="M100" s="17">
        <v>3947332.4512195126</v>
      </c>
      <c r="N100" s="17">
        <v>3947332.4512195126</v>
      </c>
      <c r="O100" s="17">
        <v>3947332.4512195126</v>
      </c>
      <c r="P100" s="17">
        <v>3947332.4512195117</v>
      </c>
      <c r="Q100" s="17">
        <v>3947332.4512195126</v>
      </c>
      <c r="R100" s="17">
        <v>3947332.4512195126</v>
      </c>
      <c r="S100" s="17">
        <v>3947332.4512195126</v>
      </c>
      <c r="T100" s="17">
        <v>3947332.4512195126</v>
      </c>
      <c r="U100" s="17">
        <v>3947332.4512195126</v>
      </c>
      <c r="V100" s="17">
        <v>3947332.4512195126</v>
      </c>
      <c r="W100" s="17">
        <v>3947332.4512195126</v>
      </c>
      <c r="X100" s="17">
        <v>3947332.4512195126</v>
      </c>
      <c r="Y100" s="17">
        <v>3947332.4512195126</v>
      </c>
    </row>
    <row r="101" spans="3:26" x14ac:dyDescent="0.25">
      <c r="C101" s="14" t="str">
        <f>'Model-1'!N55</f>
        <v>RGK-rabat</v>
      </c>
      <c r="D101" s="14" t="str">
        <f>_xlfn.LET(_xlpm.label,'Model-1'!O55,IF(ISBLANK(_xlpm.label),"",_xlpm.label))</f>
        <v>tkr</v>
      </c>
      <c r="E101" s="17">
        <v>200593.80181097562</v>
      </c>
      <c r="F101" s="17">
        <v>0</v>
      </c>
      <c r="G101" s="17">
        <v>0</v>
      </c>
      <c r="H101" s="17">
        <v>0</v>
      </c>
      <c r="I101" s="17">
        <v>0</v>
      </c>
      <c r="J101" s="17">
        <v>0</v>
      </c>
      <c r="K101" s="17">
        <v>0</v>
      </c>
      <c r="L101" s="17">
        <v>0</v>
      </c>
      <c r="M101" s="17">
        <v>200593.80181097562</v>
      </c>
      <c r="N101" s="17">
        <v>200593.80181097562</v>
      </c>
      <c r="O101" s="17">
        <v>200593.80181097562</v>
      </c>
      <c r="P101" s="17">
        <v>200593.80181097562</v>
      </c>
      <c r="Q101" s="17">
        <v>200593.80181097562</v>
      </c>
      <c r="R101" s="17">
        <v>200593.80181097562</v>
      </c>
      <c r="S101" s="17">
        <v>200593.80181097562</v>
      </c>
      <c r="T101" s="17">
        <v>200593.80181097562</v>
      </c>
      <c r="U101" s="17">
        <v>200593.80181097562</v>
      </c>
      <c r="V101" s="17">
        <v>200593.80181097562</v>
      </c>
      <c r="W101" s="17">
        <v>200593.80181097562</v>
      </c>
      <c r="X101" s="17">
        <v>200593.80181097562</v>
      </c>
      <c r="Y101" s="17">
        <v>200593.80181097562</v>
      </c>
    </row>
    <row r="102" spans="3:26" x14ac:dyDescent="0.25">
      <c r="C102" s="14" t="str">
        <f>'Model-1'!N56</f>
        <v>Modtagebetaling affald</v>
      </c>
      <c r="D102" s="14" t="str">
        <f>_xlfn.LET(_xlpm.label,'Model-1'!O56,IF(ISBLANK(_xlpm.label),"",_xlpm.label))</f>
        <v>tkr</v>
      </c>
      <c r="E102" s="17">
        <v>4040337.1902956986</v>
      </c>
      <c r="F102" s="17">
        <v>4770450.8404332725</v>
      </c>
      <c r="G102" s="17">
        <v>4724893.0163606619</v>
      </c>
      <c r="H102" s="17">
        <v>4680264.9437997378</v>
      </c>
      <c r="I102" s="17">
        <v>4636538.4484622655</v>
      </c>
      <c r="J102" s="17">
        <v>4593686.4830315439</v>
      </c>
      <c r="K102" s="17">
        <v>4551683.0713717276</v>
      </c>
      <c r="L102" s="17">
        <v>4510503.2560189664</v>
      </c>
      <c r="M102" s="17">
        <v>4470123.0487313075</v>
      </c>
      <c r="N102" s="17">
        <v>4430519.3838914875</v>
      </c>
      <c r="O102" s="17">
        <v>4391670.0745724253</v>
      </c>
      <c r="P102" s="17">
        <v>4353553.7710895725</v>
      </c>
      <c r="Q102" s="17">
        <v>4316149.921877428</v>
      </c>
      <c r="R102" s="17">
        <v>4279438.7365395827</v>
      </c>
      <c r="S102" s="17">
        <v>4243401.150932706</v>
      </c>
      <c r="T102" s="17">
        <v>4208018.7941550463</v>
      </c>
      <c r="U102" s="17">
        <v>4173273.9573193248</v>
      </c>
      <c r="V102" s="17">
        <v>4139149.5639985283</v>
      </c>
      <c r="W102" s="17">
        <v>4105629.1422409313</v>
      </c>
      <c r="X102" s="17">
        <v>4072696.7980580288</v>
      </c>
      <c r="Y102" s="17">
        <v>4040337.1902956986</v>
      </c>
    </row>
    <row r="103" spans="3:26" x14ac:dyDescent="0.25">
      <c r="C103" s="14"/>
      <c r="D103" s="14" t="str">
        <f>_xlfn.LET(_xlpm.label,'Model-1'!O57,IF(ISBLANK(_xlpm.label),"",_xlpm.label))</f>
        <v/>
      </c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</row>
    <row r="104" spans="3:26" x14ac:dyDescent="0.25">
      <c r="C104" s="14" t="str">
        <f>'Model-1'!N58</f>
        <v>Betaling bioaffald</v>
      </c>
      <c r="D104" s="14" t="str">
        <f>_xlfn.LET(_xlpm.label,'Model-1'!O58,IF(ISBLANK(_xlpm.label),"",_xlpm.label))</f>
        <v>tkr</v>
      </c>
      <c r="E104" s="18">
        <v>0</v>
      </c>
      <c r="F104" s="18">
        <v>0</v>
      </c>
      <c r="G104" s="18">
        <v>0</v>
      </c>
      <c r="H104" s="18">
        <v>0</v>
      </c>
      <c r="I104" s="18">
        <v>0</v>
      </c>
      <c r="J104" s="18">
        <v>0</v>
      </c>
      <c r="K104" s="18">
        <v>0</v>
      </c>
      <c r="L104" s="18">
        <v>0</v>
      </c>
      <c r="M104" s="18">
        <v>0</v>
      </c>
      <c r="N104" s="18">
        <v>0</v>
      </c>
      <c r="O104" s="18">
        <v>0</v>
      </c>
      <c r="P104" s="18">
        <v>0</v>
      </c>
      <c r="Q104" s="18">
        <v>0</v>
      </c>
      <c r="R104" s="18">
        <v>0</v>
      </c>
      <c r="S104" s="18">
        <v>0</v>
      </c>
      <c r="T104" s="18">
        <v>0</v>
      </c>
      <c r="U104" s="18">
        <v>0</v>
      </c>
      <c r="V104" s="18">
        <v>0</v>
      </c>
      <c r="W104" s="18">
        <v>0</v>
      </c>
      <c r="X104" s="18">
        <v>0</v>
      </c>
      <c r="Y104" s="18">
        <v>0</v>
      </c>
    </row>
    <row r="105" spans="3:26" x14ac:dyDescent="0.25">
      <c r="C105" s="14" t="str">
        <f>'Model-1'!N59</f>
        <v>DV-omkostninger</v>
      </c>
      <c r="D105" s="14" t="str">
        <f>_xlfn.LET(_xlpm.label,'Model-1'!O59,IF(ISBLANK(_xlpm.label),"",_xlpm.label))</f>
        <v>tkr</v>
      </c>
      <c r="E105" s="17">
        <v>1099354.221690486</v>
      </c>
      <c r="F105" s="17">
        <v>1051970.3615553097</v>
      </c>
      <c r="G105" s="17">
        <v>1054848.9761717804</v>
      </c>
      <c r="H105" s="17">
        <v>1057677.4279393763</v>
      </c>
      <c r="I105" s="17">
        <v>1060457.236944427</v>
      </c>
      <c r="J105" s="17">
        <v>1063189.8624698089</v>
      </c>
      <c r="K105" s="17">
        <v>1065876.7060050168</v>
      </c>
      <c r="L105" s="17">
        <v>1068519.1140791739</v>
      </c>
      <c r="M105" s="17">
        <v>1071118.3809290098</v>
      </c>
      <c r="N105" s="17">
        <v>1073675.7510129178</v>
      </c>
      <c r="O105" s="17">
        <v>1076192.4213813539</v>
      </c>
      <c r="P105" s="17">
        <v>1078669.5439130571</v>
      </c>
      <c r="Q105" s="17">
        <v>1081108.22742588</v>
      </c>
      <c r="R105" s="17">
        <v>1083509.5396703472</v>
      </c>
      <c r="S105" s="17">
        <v>1085874.5092134776</v>
      </c>
      <c r="T105" s="17">
        <v>1088204.127219853</v>
      </c>
      <c r="U105" s="17">
        <v>1090499.3491364126</v>
      </c>
      <c r="V105" s="17">
        <v>1092761.0962869911</v>
      </c>
      <c r="W105" s="17">
        <v>1094990.2573821894</v>
      </c>
      <c r="X105" s="17">
        <v>1097187.6899497809</v>
      </c>
      <c r="Y105" s="17">
        <v>1099354.221690486</v>
      </c>
    </row>
    <row r="106" spans="3:26" x14ac:dyDescent="0.25">
      <c r="C106" s="14" t="str">
        <f>'Model-1'!N60</f>
        <v>Affaldvarme-afgift</v>
      </c>
      <c r="D106" s="14" t="str">
        <f>_xlfn.LET(_xlpm.label,'Model-1'!O60,IF(ISBLANK(_xlpm.label),"",_xlpm.label))</f>
        <v>tkr</v>
      </c>
      <c r="E106" s="17">
        <v>2229120</v>
      </c>
      <c r="F106" s="17">
        <v>2229120</v>
      </c>
      <c r="G106" s="17">
        <v>2229120</v>
      </c>
      <c r="H106" s="17">
        <v>2229120</v>
      </c>
      <c r="I106" s="17">
        <v>2229120</v>
      </c>
      <c r="J106" s="17">
        <v>2229120</v>
      </c>
      <c r="K106" s="17">
        <v>2229120</v>
      </c>
      <c r="L106" s="17">
        <v>2229120</v>
      </c>
      <c r="M106" s="17">
        <v>2229120</v>
      </c>
      <c r="N106" s="17">
        <v>2229120</v>
      </c>
      <c r="O106" s="17">
        <v>2229120</v>
      </c>
      <c r="P106" s="17">
        <v>2229120</v>
      </c>
      <c r="Q106" s="17">
        <v>2229120</v>
      </c>
      <c r="R106" s="17">
        <v>2229120</v>
      </c>
      <c r="S106" s="17">
        <v>2229120</v>
      </c>
      <c r="T106" s="17">
        <v>2229120</v>
      </c>
      <c r="U106" s="17">
        <v>2229120</v>
      </c>
      <c r="V106" s="17">
        <v>2229120</v>
      </c>
      <c r="W106" s="17">
        <v>2229120</v>
      </c>
      <c r="X106" s="17">
        <v>2229120</v>
      </c>
      <c r="Y106" s="17">
        <v>2229120</v>
      </c>
    </row>
    <row r="107" spans="3:26" x14ac:dyDescent="0.25">
      <c r="C107" s="14" t="str">
        <f>'Model-1'!N61</f>
        <v>Tillægsafgift</v>
      </c>
      <c r="D107" s="14" t="str">
        <f>_xlfn.LET(_xlpm.label,'Model-1'!O61,IF(ISBLANK(_xlpm.label),"",_xlpm.label))</f>
        <v>tkr</v>
      </c>
      <c r="E107" s="18">
        <v>2005938.0181097561</v>
      </c>
      <c r="F107" s="18">
        <v>2005938.0181097561</v>
      </c>
      <c r="G107" s="18">
        <v>2005938.0181097561</v>
      </c>
      <c r="H107" s="18">
        <v>2005938.0181097561</v>
      </c>
      <c r="I107" s="18">
        <v>2005938.0181097561</v>
      </c>
      <c r="J107" s="18">
        <v>2005938.0181097561</v>
      </c>
      <c r="K107" s="18">
        <v>2005938.0181097561</v>
      </c>
      <c r="L107" s="18">
        <v>2005938.0181097561</v>
      </c>
      <c r="M107" s="18">
        <v>2005938.0181097561</v>
      </c>
      <c r="N107" s="18">
        <v>2005938.0181097561</v>
      </c>
      <c r="O107" s="18">
        <v>2005938.0181097561</v>
      </c>
      <c r="P107" s="18">
        <v>2005938.0181097561</v>
      </c>
      <c r="Q107" s="18">
        <v>2005938.0181097561</v>
      </c>
      <c r="R107" s="18">
        <v>2005938.0181097561</v>
      </c>
      <c r="S107" s="18">
        <v>2005938.0181097561</v>
      </c>
      <c r="T107" s="18">
        <v>2005938.0181097561</v>
      </c>
      <c r="U107" s="18">
        <v>2005938.0181097561</v>
      </c>
      <c r="V107" s="18">
        <v>2005938.0181097561</v>
      </c>
      <c r="W107" s="18">
        <v>2005938.0181097561</v>
      </c>
      <c r="X107" s="18">
        <v>2005938.0181097561</v>
      </c>
      <c r="Y107" s="18">
        <v>2005938.0181097561</v>
      </c>
    </row>
    <row r="108" spans="3:26" x14ac:dyDescent="0.25">
      <c r="C108" s="14" t="str">
        <f>'Model-1'!N62</f>
        <v>CO2-afgift</v>
      </c>
      <c r="D108" s="14" t="str">
        <f>_xlfn.LET(_xlpm.label,'Model-1'!O62,IF(ISBLANK(_xlpm.label),"",_xlpm.label))</f>
        <v>tkr</v>
      </c>
      <c r="E108" s="18">
        <v>416610.61762911582</v>
      </c>
      <c r="F108" s="18">
        <v>416610.61762911582</v>
      </c>
      <c r="G108" s="18">
        <v>416610.61762911582</v>
      </c>
      <c r="H108" s="18">
        <v>416610.61762911582</v>
      </c>
      <c r="I108" s="18">
        <v>416610.61762911582</v>
      </c>
      <c r="J108" s="18">
        <v>416610.61762911582</v>
      </c>
      <c r="K108" s="18">
        <v>416610.61762911582</v>
      </c>
      <c r="L108" s="18">
        <v>416610.61762911582</v>
      </c>
      <c r="M108" s="18">
        <v>416610.61762911582</v>
      </c>
      <c r="N108" s="18">
        <v>416610.61762911582</v>
      </c>
      <c r="O108" s="18">
        <v>416610.61762911582</v>
      </c>
      <c r="P108" s="18">
        <v>416610.61762911582</v>
      </c>
      <c r="Q108" s="18">
        <v>416610.61762911582</v>
      </c>
      <c r="R108" s="18">
        <v>416610.61762911582</v>
      </c>
      <c r="S108" s="18">
        <v>416610.61762911582</v>
      </c>
      <c r="T108" s="18">
        <v>416610.61762911582</v>
      </c>
      <c r="U108" s="18">
        <v>416610.61762911582</v>
      </c>
      <c r="V108" s="18">
        <v>416610.61762911582</v>
      </c>
      <c r="W108" s="18">
        <v>416610.61762911582</v>
      </c>
      <c r="X108" s="18">
        <v>416610.61762911582</v>
      </c>
      <c r="Y108" s="18">
        <v>416610.61762911582</v>
      </c>
    </row>
    <row r="109" spans="3:26" x14ac:dyDescent="0.25">
      <c r="C109" s="14" t="str">
        <f>'Model-1'!N63</f>
        <v>Kvote-omkostning</v>
      </c>
      <c r="D109" s="14" t="str">
        <f>_xlfn.LET(_xlpm.label,'Model-1'!O63,IF(ISBLANK(_xlpm.label),"",_xlpm.label))</f>
        <v>tkr</v>
      </c>
      <c r="E109" s="18">
        <v>1820171.9042282121</v>
      </c>
      <c r="F109" s="18">
        <v>2149088.103615189</v>
      </c>
      <c r="G109" s="18">
        <v>2128564.3038704782</v>
      </c>
      <c r="H109" s="18">
        <v>2108459.3571817814</v>
      </c>
      <c r="I109" s="18">
        <v>2088760.5710322505</v>
      </c>
      <c r="J109" s="18">
        <v>2069455.7606057106</v>
      </c>
      <c r="K109" s="18">
        <v>2050533.2236529631</v>
      </c>
      <c r="L109" s="18">
        <v>2031981.7168365442</v>
      </c>
      <c r="M109" s="18">
        <v>2013790.4334534537</v>
      </c>
      <c r="N109" s="18">
        <v>1995948.9824431147</v>
      </c>
      <c r="O109" s="18">
        <v>1978447.3685948777</v>
      </c>
      <c r="P109" s="18">
        <v>1961275.9738758523</v>
      </c>
      <c r="Q109" s="18">
        <v>1944425.5398057813</v>
      </c>
      <c r="R109" s="18">
        <v>1927887.150811082</v>
      </c>
      <c r="S109" s="18">
        <v>1911652.2184951839</v>
      </c>
      <c r="T109" s="18">
        <v>1895712.466766848</v>
      </c>
      <c r="U109" s="18">
        <v>1880059.9177723557</v>
      </c>
      <c r="V109" s="18">
        <v>1864686.8785813369</v>
      </c>
      <c r="W109" s="18">
        <v>1849585.9285795393</v>
      </c>
      <c r="X109" s="18">
        <v>1834749.907525142</v>
      </c>
      <c r="Y109" s="18">
        <v>1820171.9042282121</v>
      </c>
    </row>
    <row r="110" spans="3:26" x14ac:dyDescent="0.25">
      <c r="C110" s="14"/>
      <c r="D110" s="14" t="str">
        <f>_xlfn.LET(_xlpm.label,'Model-1'!O64,IF(ISBLANK(_xlpm.label),"",_xlpm.label))</f>
        <v/>
      </c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</row>
    <row r="111" spans="3:26" x14ac:dyDescent="0.25">
      <c r="C111" s="7" t="str">
        <f>'Model-1'!N65</f>
        <v>Varmemængder:</v>
      </c>
      <c r="D111" s="14" t="str">
        <f>_xlfn.LET(_xlpm.label,'Model-1'!O65,IF(ISBLANK(_xlpm.label),"",_xlpm.label))</f>
        <v/>
      </c>
      <c r="E111" s="100" t="s">
        <v>247</v>
      </c>
      <c r="F111" s="100" t="s">
        <v>248</v>
      </c>
      <c r="G111" s="100" t="s">
        <v>249</v>
      </c>
      <c r="H111" s="100" t="s">
        <v>250</v>
      </c>
      <c r="I111" s="100" t="s">
        <v>251</v>
      </c>
      <c r="J111" s="100" t="s">
        <v>252</v>
      </c>
      <c r="K111" s="100" t="s">
        <v>253</v>
      </c>
      <c r="L111" s="100" t="s">
        <v>254</v>
      </c>
      <c r="M111" s="100" t="s">
        <v>255</v>
      </c>
      <c r="N111" s="100" t="s">
        <v>256</v>
      </c>
      <c r="O111" s="100" t="s">
        <v>257</v>
      </c>
      <c r="P111" s="100" t="s">
        <v>258</v>
      </c>
      <c r="Q111" s="100" t="s">
        <v>259</v>
      </c>
      <c r="R111" s="100" t="s">
        <v>260</v>
      </c>
      <c r="S111" s="100" t="s">
        <v>261</v>
      </c>
      <c r="T111" s="100" t="s">
        <v>262</v>
      </c>
      <c r="U111" s="100" t="s">
        <v>263</v>
      </c>
      <c r="V111" s="100" t="s">
        <v>264</v>
      </c>
      <c r="W111" s="100" t="s">
        <v>265</v>
      </c>
      <c r="X111" s="100" t="s">
        <v>266</v>
      </c>
      <c r="Y111" s="100" t="s">
        <v>247</v>
      </c>
    </row>
    <row r="112" spans="3:26" x14ac:dyDescent="0.25">
      <c r="C112" s="5" t="str">
        <f>'Model-1'!N66</f>
        <v>Varmeproduktion Ovn2</v>
      </c>
      <c r="D112" s="14" t="str">
        <f>_xlfn.LET(_xlpm.label,'Model-1'!O66,IF(ISBLANK(_xlpm.label),"",_xlpm.label))</f>
        <v>MWhq</v>
      </c>
      <c r="E112" s="12">
        <v>3168</v>
      </c>
      <c r="F112" s="12">
        <v>7055.4000000000015</v>
      </c>
      <c r="G112" s="12">
        <v>6850.7999999999993</v>
      </c>
      <c r="H112" s="12">
        <v>6646.2000000000007</v>
      </c>
      <c r="I112" s="12">
        <v>6441.5999999999985</v>
      </c>
      <c r="J112" s="12">
        <v>6237</v>
      </c>
      <c r="K112" s="12">
        <v>6032.4000000000015</v>
      </c>
      <c r="L112" s="12">
        <v>5827.7999999999993</v>
      </c>
      <c r="M112" s="12">
        <v>5623.2000000000007</v>
      </c>
      <c r="N112" s="12">
        <v>5418.5999999999985</v>
      </c>
      <c r="O112" s="12">
        <v>5214</v>
      </c>
      <c r="P112" s="12">
        <v>5009.4000000000015</v>
      </c>
      <c r="Q112" s="12">
        <v>4804.7999999999993</v>
      </c>
      <c r="R112" s="12">
        <v>4600.2000000000007</v>
      </c>
      <c r="S112" s="12">
        <v>4395.5999999999985</v>
      </c>
      <c r="T112" s="12">
        <v>4191</v>
      </c>
      <c r="U112" s="12">
        <v>3986.4000000000015</v>
      </c>
      <c r="V112" s="12">
        <v>3781.7999999999993</v>
      </c>
      <c r="W112" s="12">
        <v>3577.2000000000007</v>
      </c>
      <c r="X112" s="12">
        <v>3372.5999999999985</v>
      </c>
      <c r="Y112" s="12">
        <v>3168</v>
      </c>
      <c r="Z112" s="18"/>
    </row>
    <row r="113" spans="3:26" x14ac:dyDescent="0.25">
      <c r="C113" s="5" t="str">
        <f>'Model-1'!N67</f>
        <v>Varmeproduktion Ovn3</v>
      </c>
      <c r="D113" s="14" t="str">
        <f>_xlfn.LET(_xlpm.label,'Model-1'!O67,IF(ISBLANK(_xlpm.label),"",_xlpm.label))</f>
        <v>MWhq</v>
      </c>
      <c r="E113" s="12">
        <v>20832</v>
      </c>
      <c r="F113" s="12">
        <v>16944.599999999999</v>
      </c>
      <c r="G113" s="12">
        <v>17149.2</v>
      </c>
      <c r="H113" s="12">
        <v>17353.8</v>
      </c>
      <c r="I113" s="12">
        <v>17558.400000000001</v>
      </c>
      <c r="J113" s="12">
        <v>17763</v>
      </c>
      <c r="K113" s="12">
        <v>17967.599999999999</v>
      </c>
      <c r="L113" s="12">
        <v>18172.2</v>
      </c>
      <c r="M113" s="12">
        <v>18376.8</v>
      </c>
      <c r="N113" s="12">
        <v>18581.400000000001</v>
      </c>
      <c r="O113" s="12">
        <v>18786</v>
      </c>
      <c r="P113" s="12">
        <v>18990.599999999999</v>
      </c>
      <c r="Q113" s="12">
        <v>19195.2</v>
      </c>
      <c r="R113" s="12">
        <v>19399.8</v>
      </c>
      <c r="S113" s="12">
        <v>19604.400000000001</v>
      </c>
      <c r="T113" s="12">
        <v>19809</v>
      </c>
      <c r="U113" s="12">
        <v>20013.599999999999</v>
      </c>
      <c r="V113" s="12">
        <v>20218.2</v>
      </c>
      <c r="W113" s="12">
        <v>20422.8</v>
      </c>
      <c r="X113" s="12">
        <v>20627.400000000001</v>
      </c>
      <c r="Y113" s="12">
        <v>20832</v>
      </c>
      <c r="Z113" s="18"/>
    </row>
    <row r="114" spans="3:26" x14ac:dyDescent="0.25">
      <c r="C114" s="5" t="str">
        <f>'Model-1'!N68</f>
        <v>Heraf RGK-varme</v>
      </c>
      <c r="D114" s="14" t="str">
        <f>_xlfn.LET(_xlpm.label,'Model-1'!O68,IF(ISBLANK(_xlpm.label),"",_xlpm.label))</f>
        <v>MWhq</v>
      </c>
      <c r="E114" s="12">
        <v>5031.4221690485911</v>
      </c>
      <c r="F114" s="12">
        <v>293.03615553098348</v>
      </c>
      <c r="G114" s="12">
        <v>580.89761717804538</v>
      </c>
      <c r="H114" s="12">
        <v>863.74279393763243</v>
      </c>
      <c r="I114" s="12">
        <v>1141.7236944426982</v>
      </c>
      <c r="J114" s="12">
        <v>1414.9862469808784</v>
      </c>
      <c r="K114" s="12">
        <v>1683.6706005016847</v>
      </c>
      <c r="L114" s="12">
        <v>1947.9114079173924</v>
      </c>
      <c r="M114" s="12">
        <v>2207.8380929009663</v>
      </c>
      <c r="N114" s="12">
        <v>2463.5751012917935</v>
      </c>
      <c r="O114" s="12">
        <v>2715.242138135382</v>
      </c>
      <c r="P114" s="12">
        <v>2962.95439130571</v>
      </c>
      <c r="Q114" s="12">
        <v>3206.8227425880104</v>
      </c>
      <c r="R114" s="12">
        <v>3446.9539670347258</v>
      </c>
      <c r="S114" s="12">
        <v>3683.4509213477545</v>
      </c>
      <c r="T114" s="12">
        <v>3916.4127219852894</v>
      </c>
      <c r="U114" s="12">
        <v>4145.9349136412611</v>
      </c>
      <c r="V114" s="12">
        <v>4372.1096286991033</v>
      </c>
      <c r="W114" s="12">
        <v>4595.0257382189448</v>
      </c>
      <c r="X114" s="12">
        <v>4814.7689949781015</v>
      </c>
      <c r="Y114" s="12">
        <v>5031.4221690485911</v>
      </c>
      <c r="Z114" s="18"/>
    </row>
    <row r="115" spans="3:26" x14ac:dyDescent="0.25">
      <c r="C115" s="5" t="str">
        <f>'Model-1'!N69</f>
        <v>Bortkølet varme</v>
      </c>
      <c r="D115" s="14" t="str">
        <f>_xlfn.LET(_xlpm.label,'Model-1'!O69,IF(ISBLANK(_xlpm.label),"",_xlpm.label))</f>
        <v>MWhq</v>
      </c>
      <c r="E115" s="12">
        <v>0</v>
      </c>
      <c r="F115" s="12">
        <v>0</v>
      </c>
      <c r="G115" s="12">
        <v>0</v>
      </c>
      <c r="H115" s="12">
        <v>0</v>
      </c>
      <c r="I115" s="12">
        <v>0</v>
      </c>
      <c r="J115" s="12">
        <v>0</v>
      </c>
      <c r="K115" s="12">
        <v>0</v>
      </c>
      <c r="L115" s="12">
        <v>0</v>
      </c>
      <c r="M115" s="12">
        <v>0</v>
      </c>
      <c r="N115" s="12">
        <v>0</v>
      </c>
      <c r="O115" s="12">
        <v>0</v>
      </c>
      <c r="P115" s="12">
        <v>0</v>
      </c>
      <c r="Q115" s="12">
        <v>0</v>
      </c>
      <c r="R115" s="12">
        <v>0</v>
      </c>
      <c r="S115" s="12">
        <v>0</v>
      </c>
      <c r="T115" s="12">
        <v>0</v>
      </c>
      <c r="U115" s="12">
        <v>0</v>
      </c>
      <c r="V115" s="12">
        <v>0</v>
      </c>
      <c r="W115" s="12">
        <v>0</v>
      </c>
      <c r="X115" s="12">
        <v>0</v>
      </c>
      <c r="Y115" s="12">
        <v>0</v>
      </c>
      <c r="Z115" s="15"/>
    </row>
    <row r="116" spans="3:26" x14ac:dyDescent="0.25">
      <c r="C116" s="5" t="str">
        <f>'Model-1'!N70</f>
        <v>Leveret varme</v>
      </c>
      <c r="D116" s="14" t="str">
        <f>_xlfn.LET(_xlpm.label,'Model-1'!O70,IF(ISBLANK(_xlpm.label),"",_xlpm.label))</f>
        <v>MWhq</v>
      </c>
      <c r="E116" s="12">
        <v>24000</v>
      </c>
      <c r="F116" s="12">
        <v>24000</v>
      </c>
      <c r="G116" s="12">
        <v>24000</v>
      </c>
      <c r="H116" s="12">
        <v>24000</v>
      </c>
      <c r="I116" s="12">
        <v>24000</v>
      </c>
      <c r="J116" s="12">
        <v>24000</v>
      </c>
      <c r="K116" s="12">
        <v>24000</v>
      </c>
      <c r="L116" s="12">
        <v>24000</v>
      </c>
      <c r="M116" s="12">
        <v>24000</v>
      </c>
      <c r="N116" s="12">
        <v>24000</v>
      </c>
      <c r="O116" s="12">
        <v>24000</v>
      </c>
      <c r="P116" s="12">
        <v>24000</v>
      </c>
      <c r="Q116" s="12">
        <v>24000</v>
      </c>
      <c r="R116" s="12">
        <v>24000</v>
      </c>
      <c r="S116" s="12">
        <v>24000</v>
      </c>
      <c r="T116" s="12">
        <v>24000</v>
      </c>
      <c r="U116" s="12">
        <v>24000</v>
      </c>
      <c r="V116" s="12">
        <v>24000</v>
      </c>
      <c r="W116" s="12">
        <v>24000</v>
      </c>
      <c r="X116" s="12">
        <v>24000</v>
      </c>
      <c r="Y116" s="12">
        <v>24000</v>
      </c>
      <c r="Z116" s="17"/>
    </row>
    <row r="117" spans="3:26" x14ac:dyDescent="0.25">
      <c r="C117" s="5" t="str">
        <f>'Model-1'!N71</f>
        <v>Spidslastvarme</v>
      </c>
      <c r="D117" s="14" t="str">
        <f>_xlfn.LET(_xlpm.label,'Model-1'!O71,IF(ISBLANK(_xlpm.label),"",_xlpm.label))</f>
        <v>MWhq</v>
      </c>
      <c r="E117" s="12">
        <v>4000</v>
      </c>
      <c r="F117" s="12">
        <v>4000</v>
      </c>
      <c r="G117" s="12">
        <v>4000</v>
      </c>
      <c r="H117" s="12">
        <v>4000</v>
      </c>
      <c r="I117" s="12">
        <v>4000</v>
      </c>
      <c r="J117" s="12">
        <v>4000</v>
      </c>
      <c r="K117" s="12">
        <v>4000</v>
      </c>
      <c r="L117" s="12">
        <v>4000</v>
      </c>
      <c r="M117" s="12">
        <v>4000</v>
      </c>
      <c r="N117" s="12">
        <v>4000</v>
      </c>
      <c r="O117" s="12">
        <v>4000</v>
      </c>
      <c r="P117" s="12">
        <v>4000</v>
      </c>
      <c r="Q117" s="12">
        <v>4000</v>
      </c>
      <c r="R117" s="12">
        <v>4000</v>
      </c>
      <c r="S117" s="12">
        <v>4000</v>
      </c>
      <c r="T117" s="12">
        <v>4000</v>
      </c>
      <c r="U117" s="12">
        <v>4000</v>
      </c>
      <c r="V117" s="12">
        <v>4000</v>
      </c>
      <c r="W117" s="12">
        <v>4000</v>
      </c>
      <c r="X117" s="12">
        <v>4000</v>
      </c>
      <c r="Y117" s="12">
        <v>4000</v>
      </c>
      <c r="Z117" s="17"/>
    </row>
    <row r="118" spans="3:26" x14ac:dyDescent="0.25">
      <c r="C118" s="5"/>
      <c r="D118" s="14" t="str">
        <f>_xlfn.LET(_xlpm.label,'Model-1'!O72,IF(ISBLANK(_xlpm.label),"",_xlpm.label))</f>
        <v/>
      </c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7"/>
    </row>
    <row r="119" spans="3:26" x14ac:dyDescent="0.25">
      <c r="C119" s="7" t="str">
        <f>'Model-1'!N73</f>
        <v>Brændselsmængder:</v>
      </c>
      <c r="D119" s="14" t="str">
        <f>_xlfn.LET(_xlpm.label,'Model-1'!O73,IF(ISBLANK(_xlpm.label),"",_xlpm.label))</f>
        <v/>
      </c>
      <c r="E119" s="12" t="s">
        <v>247</v>
      </c>
      <c r="F119" s="12" t="s">
        <v>248</v>
      </c>
      <c r="G119" s="12" t="s">
        <v>249</v>
      </c>
      <c r="H119" s="12" t="s">
        <v>250</v>
      </c>
      <c r="I119" s="12" t="s">
        <v>251</v>
      </c>
      <c r="J119" s="12" t="s">
        <v>252</v>
      </c>
      <c r="K119" s="12" t="s">
        <v>253</v>
      </c>
      <c r="L119" s="12" t="s">
        <v>254</v>
      </c>
      <c r="M119" s="12" t="s">
        <v>255</v>
      </c>
      <c r="N119" s="12" t="s">
        <v>256</v>
      </c>
      <c r="O119" s="12" t="s">
        <v>257</v>
      </c>
      <c r="P119" s="12" t="s">
        <v>258</v>
      </c>
      <c r="Q119" s="12" t="s">
        <v>259</v>
      </c>
      <c r="R119" s="12" t="s">
        <v>260</v>
      </c>
      <c r="S119" s="12" t="s">
        <v>261</v>
      </c>
      <c r="T119" s="12" t="s">
        <v>262</v>
      </c>
      <c r="U119" s="12" t="s">
        <v>263</v>
      </c>
      <c r="V119" s="12" t="s">
        <v>264</v>
      </c>
      <c r="W119" s="12" t="s">
        <v>265</v>
      </c>
      <c r="X119" s="12" t="s">
        <v>266</v>
      </c>
      <c r="Y119" s="12" t="s">
        <v>247</v>
      </c>
      <c r="Z119" s="17"/>
    </row>
    <row r="120" spans="3:26" x14ac:dyDescent="0.25">
      <c r="C120" s="5" t="str">
        <f>'Model-1'!N74</f>
        <v>Affaldsforbrug Ovn3</v>
      </c>
      <c r="D120" s="14" t="str">
        <f>_xlfn.LET(_xlpm.label,'Model-1'!O74,IF(ISBLANK(_xlpm.label),"",_xlpm.label))</f>
        <v>ton</v>
      </c>
      <c r="E120" s="12">
        <v>9006.456241033</v>
      </c>
      <c r="F120" s="12">
        <v>9006.4562410329982</v>
      </c>
      <c r="G120" s="12">
        <v>9006.456241033</v>
      </c>
      <c r="H120" s="12">
        <v>9006.4562410329982</v>
      </c>
      <c r="I120" s="12">
        <v>9006.456241033</v>
      </c>
      <c r="J120" s="12">
        <v>9006.456241033</v>
      </c>
      <c r="K120" s="12">
        <v>9006.456241033</v>
      </c>
      <c r="L120" s="12">
        <v>9006.456241033</v>
      </c>
      <c r="M120" s="12">
        <v>9006.456241033</v>
      </c>
      <c r="N120" s="12">
        <v>9006.456241033</v>
      </c>
      <c r="O120" s="12">
        <v>9006.456241033</v>
      </c>
      <c r="P120" s="12">
        <v>9006.4562410329982</v>
      </c>
      <c r="Q120" s="12">
        <v>9006.456241033</v>
      </c>
      <c r="R120" s="12">
        <v>9006.456241033</v>
      </c>
      <c r="S120" s="12">
        <v>9006.456241033</v>
      </c>
      <c r="T120" s="12">
        <v>9006.456241033</v>
      </c>
      <c r="U120" s="12">
        <v>9006.456241033</v>
      </c>
      <c r="V120" s="12">
        <v>9006.456241033</v>
      </c>
      <c r="W120" s="12">
        <v>9006.456241033</v>
      </c>
      <c r="X120" s="12">
        <v>9006.456241033</v>
      </c>
      <c r="Y120" s="12">
        <v>9006.456241033</v>
      </c>
      <c r="Z120" s="18"/>
    </row>
    <row r="121" spans="3:26" x14ac:dyDescent="0.25">
      <c r="C121" s="5" t="str">
        <f>'Model-1'!N75</f>
        <v>Nordic Sugar varme</v>
      </c>
      <c r="D121" s="14" t="str">
        <f>_xlfn.LET(_xlpm.label,'Model-1'!O75,IF(ISBLANK(_xlpm.label),"",_xlpm.label))</f>
        <v>MWhq</v>
      </c>
      <c r="E121" s="12">
        <v>4000</v>
      </c>
      <c r="F121" s="12">
        <v>4000</v>
      </c>
      <c r="G121" s="12">
        <v>4000</v>
      </c>
      <c r="H121" s="12">
        <v>4000</v>
      </c>
      <c r="I121" s="12">
        <v>4000</v>
      </c>
      <c r="J121" s="12">
        <v>4000</v>
      </c>
      <c r="K121" s="12">
        <v>4000</v>
      </c>
      <c r="L121" s="12">
        <v>4000</v>
      </c>
      <c r="M121" s="12">
        <v>4000</v>
      </c>
      <c r="N121" s="12">
        <v>4000</v>
      </c>
      <c r="O121" s="12">
        <v>4000</v>
      </c>
      <c r="P121" s="12">
        <v>4000</v>
      </c>
      <c r="Q121" s="12">
        <v>4000</v>
      </c>
      <c r="R121" s="12">
        <v>4000</v>
      </c>
      <c r="S121" s="12">
        <v>4000</v>
      </c>
      <c r="T121" s="12">
        <v>4000</v>
      </c>
      <c r="U121" s="12">
        <v>4000</v>
      </c>
      <c r="V121" s="12">
        <v>4000</v>
      </c>
      <c r="W121" s="12">
        <v>4000</v>
      </c>
      <c r="X121" s="12">
        <v>4000</v>
      </c>
      <c r="Y121" s="12">
        <v>4000</v>
      </c>
      <c r="Z121" s="18"/>
    </row>
    <row r="122" spans="3:26" x14ac:dyDescent="0.25">
      <c r="C122" s="5" t="str">
        <f>'Model-1'!N76</f>
        <v>Affaldsforbrug Ovn2</v>
      </c>
      <c r="D122" s="14" t="str">
        <f>_xlfn.LET(_xlpm.label,'Model-1'!O76,IF(ISBLANK(_xlpm.label),"",_xlpm.label))</f>
        <v>ton</v>
      </c>
      <c r="E122" s="12">
        <v>1094.3867347062462</v>
      </c>
      <c r="F122" s="12">
        <v>2919.670860050182</v>
      </c>
      <c r="G122" s="12">
        <v>2805.7762998686553</v>
      </c>
      <c r="H122" s="12">
        <v>2694.2061184663444</v>
      </c>
      <c r="I122" s="12">
        <v>2584.8898801226651</v>
      </c>
      <c r="J122" s="12">
        <v>2477.7599665458606</v>
      </c>
      <c r="K122" s="12">
        <v>2372.751437396319</v>
      </c>
      <c r="L122" s="12">
        <v>2269.8018990144151</v>
      </c>
      <c r="M122" s="12">
        <v>2168.8513807952672</v>
      </c>
      <c r="N122" s="12">
        <v>2069.8422186957168</v>
      </c>
      <c r="O122" s="12">
        <v>1972.7189453980645</v>
      </c>
      <c r="P122" s="12">
        <v>1877.4281866909339</v>
      </c>
      <c r="Q122" s="12">
        <v>1783.9185636605707</v>
      </c>
      <c r="R122" s="12">
        <v>1692.1406003159564</v>
      </c>
      <c r="S122" s="12">
        <v>1602.0466362987647</v>
      </c>
      <c r="T122" s="12">
        <v>1513.5907443546141</v>
      </c>
      <c r="U122" s="12">
        <v>1426.728652265313</v>
      </c>
      <c r="V122" s="12">
        <v>1341.41766896332</v>
      </c>
      <c r="W122" s="12">
        <v>1257.6166145693278</v>
      </c>
      <c r="X122" s="12">
        <v>1175.2857541120711</v>
      </c>
      <c r="Y122" s="12">
        <v>1094.3867347062462</v>
      </c>
      <c r="Z122" s="17"/>
    </row>
    <row r="123" spans="3:26" x14ac:dyDescent="0.25">
      <c r="C123" s="5" t="str">
        <f>'Model-1'!N77</f>
        <v>Affaldsforbrug kølevarme Ovn3</v>
      </c>
      <c r="D123" s="14" t="str">
        <f>_xlfn.LET(_xlpm.label,'Model-1'!O77,IF(ISBLANK(_xlpm.label),"",_xlpm.label))</f>
        <v>ton</v>
      </c>
      <c r="E123" s="12">
        <v>0</v>
      </c>
      <c r="F123" s="12">
        <v>0</v>
      </c>
      <c r="G123" s="12">
        <v>0</v>
      </c>
      <c r="H123" s="12">
        <v>0</v>
      </c>
      <c r="I123" s="12">
        <v>0</v>
      </c>
      <c r="J123" s="12">
        <v>0</v>
      </c>
      <c r="K123" s="12">
        <v>0</v>
      </c>
      <c r="L123" s="12">
        <v>0</v>
      </c>
      <c r="M123" s="12">
        <v>0</v>
      </c>
      <c r="N123" s="12">
        <v>0</v>
      </c>
      <c r="O123" s="12">
        <v>0</v>
      </c>
      <c r="P123" s="12">
        <v>0</v>
      </c>
      <c r="Q123" s="12">
        <v>0</v>
      </c>
      <c r="R123" s="12">
        <v>0</v>
      </c>
      <c r="S123" s="12">
        <v>0</v>
      </c>
      <c r="T123" s="12">
        <v>0</v>
      </c>
      <c r="U123" s="12">
        <v>0</v>
      </c>
      <c r="V123" s="12">
        <v>0</v>
      </c>
      <c r="W123" s="12">
        <v>0</v>
      </c>
      <c r="X123" s="12">
        <v>0</v>
      </c>
      <c r="Y123" s="12">
        <v>0</v>
      </c>
      <c r="Z123" s="17"/>
    </row>
    <row r="124" spans="3:26" x14ac:dyDescent="0.25">
      <c r="C124" s="5" t="str">
        <f>'Model-1'!N78</f>
        <v>Affaldsforbrug kølevarme Ovn2</v>
      </c>
      <c r="D124" s="14" t="str">
        <f>_xlfn.LET(_xlpm.label,'Model-1'!O78,IF(ISBLANK(_xlpm.label),"",_xlpm.label))</f>
        <v>ton</v>
      </c>
      <c r="E124" s="12">
        <v>0</v>
      </c>
      <c r="F124" s="12">
        <v>0</v>
      </c>
      <c r="G124" s="12">
        <v>0</v>
      </c>
      <c r="H124" s="12">
        <v>0</v>
      </c>
      <c r="I124" s="12">
        <v>0</v>
      </c>
      <c r="J124" s="12">
        <v>0</v>
      </c>
      <c r="K124" s="12">
        <v>0</v>
      </c>
      <c r="L124" s="12">
        <v>0</v>
      </c>
      <c r="M124" s="12">
        <v>0</v>
      </c>
      <c r="N124" s="12">
        <v>0</v>
      </c>
      <c r="O124" s="12">
        <v>0</v>
      </c>
      <c r="P124" s="12">
        <v>0</v>
      </c>
      <c r="Q124" s="12">
        <v>0</v>
      </c>
      <c r="R124" s="12">
        <v>0</v>
      </c>
      <c r="S124" s="12">
        <v>0</v>
      </c>
      <c r="T124" s="12">
        <v>0</v>
      </c>
      <c r="U124" s="12">
        <v>0</v>
      </c>
      <c r="V124" s="12">
        <v>0</v>
      </c>
      <c r="W124" s="12">
        <v>0</v>
      </c>
      <c r="X124" s="12">
        <v>0</v>
      </c>
      <c r="Y124" s="12">
        <v>0</v>
      </c>
      <c r="Z124" s="18"/>
    </row>
    <row r="125" spans="3:26" x14ac:dyDescent="0.25">
      <c r="C125" s="5" t="str">
        <f>'Model-1'!N79</f>
        <v>Udnyttet affald</v>
      </c>
      <c r="D125" s="14" t="str">
        <f>_xlfn.LET(_xlpm.label,'Model-1'!O79,IF(ISBLANK(_xlpm.label),"",_xlpm.label))</f>
        <v>ton</v>
      </c>
      <c r="E125" s="12">
        <v>10100.842975739246</v>
      </c>
      <c r="F125" s="12">
        <v>11926.127101083181</v>
      </c>
      <c r="G125" s="12">
        <v>11812.232540901656</v>
      </c>
      <c r="H125" s="12">
        <v>11700.662359499343</v>
      </c>
      <c r="I125" s="12">
        <v>11591.346121155664</v>
      </c>
      <c r="J125" s="12">
        <v>11484.21620757886</v>
      </c>
      <c r="K125" s="12">
        <v>11379.207678429319</v>
      </c>
      <c r="L125" s="12">
        <v>11276.258140047416</v>
      </c>
      <c r="M125" s="12">
        <v>11175.307621828268</v>
      </c>
      <c r="N125" s="12">
        <v>11076.298459728718</v>
      </c>
      <c r="O125" s="12">
        <v>10979.175186431065</v>
      </c>
      <c r="P125" s="12">
        <v>10883.884427723931</v>
      </c>
      <c r="Q125" s="12">
        <v>10790.374804693571</v>
      </c>
      <c r="R125" s="12">
        <v>10698.596841348957</v>
      </c>
      <c r="S125" s="12">
        <v>10608.502877331764</v>
      </c>
      <c r="T125" s="12">
        <v>10520.046985387615</v>
      </c>
      <c r="U125" s="12">
        <v>10433.184893298312</v>
      </c>
      <c r="V125" s="12">
        <v>10347.87390999632</v>
      </c>
      <c r="W125" s="12">
        <v>10264.072855602328</v>
      </c>
      <c r="X125" s="12">
        <v>10181.741995145072</v>
      </c>
      <c r="Y125" s="12">
        <v>10100.842975739246</v>
      </c>
      <c r="Z125" s="18"/>
    </row>
    <row r="126" spans="3:26" x14ac:dyDescent="0.25">
      <c r="C126" s="5" t="str">
        <f>'Model-1'!N80</f>
        <v>Ikke-udnyttet affald</v>
      </c>
      <c r="D126" s="14" t="str">
        <f>_xlfn.LET(_xlpm.label,'Model-1'!O80,IF(ISBLANK(_xlpm.label),"",_xlpm.label))</f>
        <v>ton</v>
      </c>
      <c r="E126" s="16">
        <v>1899.1570242607538</v>
      </c>
      <c r="F126" s="16">
        <v>73.87289891681985</v>
      </c>
      <c r="G126" s="16">
        <v>187.76745909834472</v>
      </c>
      <c r="H126" s="16">
        <v>299.33764050065747</v>
      </c>
      <c r="I126" s="16">
        <v>408.65387884433494</v>
      </c>
      <c r="J126" s="16">
        <v>515.78379242113942</v>
      </c>
      <c r="K126" s="16">
        <v>620.792321570681</v>
      </c>
      <c r="L126" s="16">
        <v>723.74185995258495</v>
      </c>
      <c r="M126" s="16">
        <v>824.6923781717328</v>
      </c>
      <c r="N126" s="16">
        <v>923.70154027128319</v>
      </c>
      <c r="O126" s="16">
        <v>1020.8248135689355</v>
      </c>
      <c r="P126" s="16">
        <v>1116.115572276068</v>
      </c>
      <c r="Q126" s="16">
        <v>1209.6251953064293</v>
      </c>
      <c r="R126" s="16">
        <v>1301.4031586510437</v>
      </c>
      <c r="S126" s="16">
        <v>1391.4971226682353</v>
      </c>
      <c r="T126" s="16">
        <v>1479.9530146123859</v>
      </c>
      <c r="U126" s="16">
        <v>1566.815106701687</v>
      </c>
      <c r="V126" s="16">
        <v>1652.12609000368</v>
      </c>
      <c r="W126" s="16">
        <v>1735.9271443976722</v>
      </c>
      <c r="X126" s="16">
        <v>1818.2580048549289</v>
      </c>
      <c r="Y126" s="16">
        <v>1899.1570242607538</v>
      </c>
      <c r="Z126" s="18"/>
    </row>
    <row r="127" spans="3:26" x14ac:dyDescent="0.25">
      <c r="D127" s="14" t="str">
        <f>_xlfn.LET(_xlpm.label,'Model-1'!O81,IF(ISBLANK(_xlpm.label),"",_xlpm.label))</f>
        <v/>
      </c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8"/>
    </row>
    <row r="128" spans="3:26" x14ac:dyDescent="0.25">
      <c r="C128" s="7" t="str">
        <f>'Model-1'!N82</f>
        <v>Kapacitetsudnyttelse:</v>
      </c>
      <c r="D128" s="14" t="str">
        <f>_xlfn.LET(_xlpm.label,'Model-1'!O82,IF(ISBLANK(_xlpm.label),"",_xlpm.label))</f>
        <v/>
      </c>
      <c r="E128" s="12" t="s">
        <v>247</v>
      </c>
      <c r="F128" s="12" t="s">
        <v>248</v>
      </c>
      <c r="G128" s="12" t="s">
        <v>249</v>
      </c>
      <c r="H128" s="12" t="s">
        <v>250</v>
      </c>
      <c r="I128" s="12" t="s">
        <v>251</v>
      </c>
      <c r="J128" s="12" t="s">
        <v>252</v>
      </c>
      <c r="K128" s="12" t="s">
        <v>253</v>
      </c>
      <c r="L128" s="12" t="s">
        <v>254</v>
      </c>
      <c r="M128" s="12" t="s">
        <v>255</v>
      </c>
      <c r="N128" s="12" t="s">
        <v>256</v>
      </c>
      <c r="O128" s="12" t="s">
        <v>257</v>
      </c>
      <c r="P128" s="12" t="s">
        <v>258</v>
      </c>
      <c r="Q128" s="12" t="s">
        <v>259</v>
      </c>
      <c r="R128" s="12" t="s">
        <v>260</v>
      </c>
      <c r="S128" s="12" t="s">
        <v>261</v>
      </c>
      <c r="T128" s="12" t="s">
        <v>262</v>
      </c>
      <c r="U128" s="12" t="s">
        <v>263</v>
      </c>
      <c r="V128" s="12" t="s">
        <v>264</v>
      </c>
      <c r="W128" s="12" t="s">
        <v>265</v>
      </c>
      <c r="X128" s="12" t="s">
        <v>266</v>
      </c>
      <c r="Y128" s="12" t="s">
        <v>247</v>
      </c>
      <c r="Z128" s="15"/>
    </row>
    <row r="129" spans="1:26" x14ac:dyDescent="0.25">
      <c r="C129" s="5" t="str">
        <f>'Model-1'!N83</f>
        <v>Ovn3 tonnageudnyttelse</v>
      </c>
      <c r="D129" s="14" t="str">
        <f>_xlfn.LET(_xlpm.label,'Model-1'!O83,IF(ISBLANK(_xlpm.label),"",_xlpm.label))</f>
        <v/>
      </c>
      <c r="E129" s="2">
        <v>1</v>
      </c>
      <c r="F129" s="2">
        <v>0.99999999999999978</v>
      </c>
      <c r="G129" s="2">
        <v>1</v>
      </c>
      <c r="H129" s="2">
        <v>0.99999999999999978</v>
      </c>
      <c r="I129" s="2">
        <v>1</v>
      </c>
      <c r="J129" s="2">
        <v>1</v>
      </c>
      <c r="K129" s="2">
        <v>1</v>
      </c>
      <c r="L129" s="2">
        <v>1</v>
      </c>
      <c r="M129" s="2">
        <v>1</v>
      </c>
      <c r="N129" s="2">
        <v>1</v>
      </c>
      <c r="O129" s="2">
        <v>1</v>
      </c>
      <c r="P129" s="2">
        <v>0.99999999999999978</v>
      </c>
      <c r="Q129" s="2">
        <v>1</v>
      </c>
      <c r="R129" s="2">
        <v>1</v>
      </c>
      <c r="S129" s="2">
        <v>1</v>
      </c>
      <c r="T129" s="2">
        <v>1</v>
      </c>
      <c r="U129" s="2">
        <v>1</v>
      </c>
      <c r="V129" s="2">
        <v>1</v>
      </c>
      <c r="W129" s="2">
        <v>1</v>
      </c>
      <c r="X129" s="2">
        <v>1</v>
      </c>
      <c r="Y129" s="2">
        <v>1</v>
      </c>
      <c r="Z129" s="12"/>
    </row>
    <row r="130" spans="1:26" x14ac:dyDescent="0.25">
      <c r="C130" s="5" t="str">
        <f>'Model-1'!N84</f>
        <v>Ovn2 tonnageudnyttelse</v>
      </c>
      <c r="D130" s="14" t="str">
        <f>_xlfn.LET(_xlpm.label,'Model-1'!O84,IF(ISBLANK(_xlpm.label),"",_xlpm.label))</f>
        <v/>
      </c>
      <c r="E130" s="2">
        <v>0.3702664796633941</v>
      </c>
      <c r="F130" s="2">
        <v>0.98781922043010761</v>
      </c>
      <c r="G130" s="2">
        <v>0.94928500166278673</v>
      </c>
      <c r="H130" s="2">
        <v>0.91153719552337065</v>
      </c>
      <c r="I130" s="2">
        <v>0.87455197132616469</v>
      </c>
      <c r="J130" s="2">
        <v>0.83830645161290329</v>
      </c>
      <c r="K130" s="2">
        <v>0.80277866496327055</v>
      </c>
      <c r="L130" s="2">
        <v>0.76794750158127767</v>
      </c>
      <c r="M130" s="2">
        <v>0.7337926714688382</v>
      </c>
      <c r="N130" s="2">
        <v>0.70029466501240667</v>
      </c>
      <c r="O130" s="2">
        <v>0.66743471582181246</v>
      </c>
      <c r="P130" s="2">
        <v>0.63519476567255029</v>
      </c>
      <c r="Q130" s="2">
        <v>0.60355743141392815</v>
      </c>
      <c r="R130" s="2">
        <v>0.57250597371565126</v>
      </c>
      <c r="S130" s="2">
        <v>0.5420242675347734</v>
      </c>
      <c r="T130" s="2">
        <v>0.51209677419354838</v>
      </c>
      <c r="U130" s="2">
        <v>0.48270851496657963</v>
      </c>
      <c r="V130" s="2">
        <v>0.45384504608294923</v>
      </c>
      <c r="W130" s="2">
        <v>0.4254924350556667</v>
      </c>
      <c r="X130" s="2">
        <v>0.39763723825693248</v>
      </c>
      <c r="Y130" s="2">
        <v>0.3702664796633941</v>
      </c>
      <c r="Z130" s="12"/>
    </row>
    <row r="131" spans="1:26" x14ac:dyDescent="0.25">
      <c r="C131" s="5" t="str">
        <f>'Model-1'!N85</f>
        <v>Bortkøleanlæg udnyttelse</v>
      </c>
      <c r="D131" s="14" t="str">
        <f>_xlfn.LET(_xlpm.label,'Model-1'!O85,IF(ISBLANK(_xlpm.label),"",_xlpm.label))</f>
        <v/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12"/>
    </row>
    <row r="132" spans="1:26" x14ac:dyDescent="0.25">
      <c r="A132" s="38"/>
      <c r="C132" s="5" t="str">
        <f>'Model-1'!N86</f>
        <v>NS-varme udnyttelse</v>
      </c>
      <c r="D132" s="14" t="str">
        <f>_xlfn.LET(_xlpm.label,'Model-1'!O86,IF(ISBLANK(_xlpm.label),"",_xlpm.label))</f>
        <v/>
      </c>
      <c r="E132" s="2">
        <v>1</v>
      </c>
      <c r="F132" s="2">
        <v>1</v>
      </c>
      <c r="G132" s="2">
        <v>1</v>
      </c>
      <c r="H132" s="2">
        <v>1</v>
      </c>
      <c r="I132" s="2">
        <v>1</v>
      </c>
      <c r="J132" s="2">
        <v>1</v>
      </c>
      <c r="K132" s="2">
        <v>1</v>
      </c>
      <c r="L132" s="2">
        <v>1</v>
      </c>
      <c r="M132" s="2">
        <v>1</v>
      </c>
      <c r="N132" s="2">
        <v>1</v>
      </c>
      <c r="O132" s="2">
        <v>1</v>
      </c>
      <c r="P132" s="2">
        <v>1</v>
      </c>
      <c r="Q132" s="2">
        <v>1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1</v>
      </c>
      <c r="X132" s="2">
        <v>1</v>
      </c>
      <c r="Y132" s="2">
        <v>1</v>
      </c>
      <c r="Z132" s="12"/>
    </row>
    <row r="133" spans="1:26" x14ac:dyDescent="0.25">
      <c r="A133" s="38"/>
      <c r="C133" s="5" t="str">
        <f>'Model-1'!N87</f>
        <v>VPO affald</v>
      </c>
      <c r="D133" s="14" t="str">
        <f>_xlfn.LET(_xlpm.label,'Model-1'!O87,IF(ISBLANK(_xlpm.label),"",_xlpm.label))</f>
        <v>kr/MWhq</v>
      </c>
      <c r="E133" s="11">
        <v>-25.711195069525662</v>
      </c>
      <c r="F133" s="11">
        <v>-36.044007947642243</v>
      </c>
      <c r="G133" s="11">
        <v>-34.880981324960246</v>
      </c>
      <c r="H133" s="11">
        <v>-33.741332256634173</v>
      </c>
      <c r="I133" s="11">
        <v>-32.624352331926232</v>
      </c>
      <c r="J133" s="11">
        <v>-31.529361476527761</v>
      </c>
      <c r="K133" s="11">
        <v>-30.455706549766241</v>
      </c>
      <c r="L133" s="11">
        <v>-29.402760024328717</v>
      </c>
      <c r="M133" s="11">
        <v>-36.727993818352502</v>
      </c>
      <c r="N133" s="11">
        <v>-35.714677821961345</v>
      </c>
      <c r="O133" s="11">
        <v>-34.720329245325452</v>
      </c>
      <c r="P133" s="11">
        <v>-33.744411274678271</v>
      </c>
      <c r="Q133" s="11">
        <v>-32.7864071640576</v>
      </c>
      <c r="R133" s="11">
        <v>-31.845819306240379</v>
      </c>
      <c r="S133" s="11">
        <v>-30.922168354819217</v>
      </c>
      <c r="T133" s="11">
        <v>-30.014992394165059</v>
      </c>
      <c r="U133" s="11">
        <v>-29.12384615425723</v>
      </c>
      <c r="V133" s="11">
        <v>-28.248300267575697</v>
      </c>
      <c r="W133" s="11">
        <v>-27.387940565450815</v>
      </c>
      <c r="X133" s="11">
        <v>-26.542367411446836</v>
      </c>
      <c r="Y133" s="11">
        <v>-25.711195069525662</v>
      </c>
      <c r="Z133" s="12"/>
    </row>
    <row r="134" spans="1:26" x14ac:dyDescent="0.25">
      <c r="Z134" s="12"/>
    </row>
    <row r="135" spans="1:26" x14ac:dyDescent="0.25">
      <c r="Z135" s="18"/>
    </row>
    <row r="136" spans="1:26" x14ac:dyDescent="0.25">
      <c r="Z136" s="12"/>
    </row>
    <row r="137" spans="1:26" x14ac:dyDescent="0.25">
      <c r="Z137" s="12"/>
    </row>
    <row r="138" spans="1:26" x14ac:dyDescent="0.25">
      <c r="Z138" s="12"/>
    </row>
    <row r="139" spans="1:26" x14ac:dyDescent="0.25">
      <c r="Z139" s="12"/>
    </row>
    <row r="140" spans="1:26" x14ac:dyDescent="0.25">
      <c r="Z140" s="12"/>
    </row>
    <row r="141" spans="1:26" x14ac:dyDescent="0.25">
      <c r="A141" s="38"/>
      <c r="Z141" s="12"/>
    </row>
    <row r="142" spans="1:26" x14ac:dyDescent="0.25">
      <c r="A142" s="38"/>
      <c r="B142" s="38"/>
      <c r="Z142" s="12"/>
    </row>
    <row r="143" spans="1:26" x14ac:dyDescent="0.25">
      <c r="Z143" s="16"/>
    </row>
    <row r="144" spans="1:26" x14ac:dyDescent="0.25">
      <c r="Z144" s="12"/>
    </row>
    <row r="145" spans="26:26" x14ac:dyDescent="0.25">
      <c r="Z145" s="12"/>
    </row>
    <row r="146" spans="26:26" x14ac:dyDescent="0.25">
      <c r="Z146" s="2"/>
    </row>
    <row r="147" spans="26:26" x14ac:dyDescent="0.25">
      <c r="Z147" s="2"/>
    </row>
    <row r="148" spans="26:26" x14ac:dyDescent="0.25">
      <c r="Z148" s="2"/>
    </row>
  </sheetData>
  <customSheetViews>
    <customSheetView guid="{EEB625C4-AF57-4951-B4C5-8C71271FF126}" scale="85" hiddenRows="1" topLeftCell="B5">
      <selection activeCell="E109" sqref="E109:Y109"/>
      <pageMargins left="0.7" right="0.7" top="0.75" bottom="0.75" header="0.3" footer="0.3"/>
      <pageSetup paperSize="9" orientation="portrait" r:id="rId1"/>
    </customSheetView>
    <customSheetView guid="{B8935784-587B-4D0A-AED7-A4A9B4EF97F4}" scale="85" hiddenRows="1" topLeftCell="B5">
      <selection activeCell="E109" sqref="E109:Y109"/>
      <pageMargins left="0.7" right="0.7" top="0.75" bottom="0.75" header="0.3" footer="0.3"/>
      <pageSetup paperSize="9" orientation="portrait" r:id="rId2"/>
    </customSheetView>
    <customSheetView guid="{2B82E035-636B-4F9F-846A-FEE8C149952C}" scale="85" hiddenRows="1" topLeftCell="B5">
      <selection activeCell="E109" sqref="E109:Y109"/>
      <pageMargins left="0.7" right="0.7" top="0.75" bottom="0.75" header="0.3" footer="0.3"/>
      <pageSetup paperSize="9" orientation="portrait" r:id="rId3"/>
    </customSheetView>
  </customSheetViews>
  <phoneticPr fontId="14" type="noConversion"/>
  <conditionalFormatting sqref="E7:Y7">
    <cfRule type="cellIs" dxfId="5" priority="5" operator="greaterThan">
      <formula>0</formula>
    </cfRule>
  </conditionalFormatting>
  <conditionalFormatting sqref="D79:D88 D54:D75">
    <cfRule type="cellIs" dxfId="4" priority="4" operator="notEqual">
      <formula>0</formula>
    </cfRule>
  </conditionalFormatting>
  <conditionalFormatting sqref="B16:B37">
    <cfRule type="cellIs" dxfId="3" priority="2" operator="notEqual">
      <formula>0</formula>
    </cfRule>
  </conditionalFormatting>
  <conditionalFormatting sqref="B41:B50">
    <cfRule type="cellIs" dxfId="2" priority="1" operator="notEqual">
      <formula>0</formula>
    </cfRule>
  </conditionalFormatting>
  <dataValidations count="2">
    <dataValidation type="list" allowBlank="1" showInputMessage="1" showErrorMessage="1" sqref="A41:A50 C79:C89 A16:A36 C54:C75" xr:uid="{1E94A7E2-205B-4EB1-8F0B-15D4AD919DF3}">
      <formula1>ranResultNames</formula1>
    </dataValidation>
    <dataValidation type="list" allowBlank="1" showInputMessage="1" showErrorMessage="1" sqref="C78 A40" xr:uid="{FBD01BC9-266F-4D8F-923C-A8B4F04F245A}">
      <formula1>ranInputNames</formula1>
    </dataValidation>
  </dataValidations>
  <pageMargins left="0.7" right="0.7" top="0.75" bottom="0.75" header="0.3" footer="0.3"/>
  <pageSetup paperSize="9" orientation="portrait" r:id="rId4"/>
  <drawing r:id="rId5"/>
  <legacyDrawing r:id="rId6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D7BC6D0-95CF-4981-A1F0-1D2D7ECBE1BD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</x14:sparklines>
        </x14:sparklineGroup>
        <x14:sparklineGroup displayEmptyCellsAs="gap" xr2:uid="{AB09946C-3155-4A34-9BC8-B9BC0E24C3D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Scenarier!E79:Y79</xm:f>
              <xm:sqref>A93</xm:sqref>
            </x14:sparkline>
            <x14:sparkline>
              <xm:f>Scenarier!E80:Y80</xm:f>
              <xm:sqref>A94</xm:sqref>
            </x14:sparkline>
            <x14:sparkline>
              <xm:f>Scenarier!E81:Y81</xm:f>
              <xm:sqref>A95</xm:sqref>
            </x14:sparkline>
            <x14:sparkline>
              <xm:f>Scenarier!E82:Y82</xm:f>
              <xm:sqref>A96</xm:sqref>
            </x14:sparkline>
            <x14:sparkline>
              <xm:f>Scenarier!E83:Y83</xm:f>
              <xm:sqref>A97</xm:sqref>
            </x14:sparkline>
            <x14:sparkline>
              <xm:f>Scenarier!E84:Y84</xm:f>
              <xm:sqref>A98</xm:sqref>
            </x14:sparkline>
            <x14:sparkline>
              <xm:f>Scenarier!E85:Y85</xm:f>
              <xm:sqref>A99</xm:sqref>
            </x14:sparkline>
            <x14:sparkline>
              <xm:f>Scenarier!E86:Y86</xm:f>
              <xm:sqref>A100</xm:sqref>
            </x14:sparkline>
            <x14:sparkline>
              <xm:f>Scenarier!E87:Y87</xm:f>
              <xm:sqref>A101</xm:sqref>
            </x14:sparkline>
            <x14:sparkline>
              <xm:f>Scenarier!E88:Y88</xm:f>
              <xm:sqref>A102</xm:sqref>
            </x14:sparkline>
            <x14:sparkline>
              <xm:f>Scenarier!E89:Y89</xm:f>
              <xm:sqref>A103</xm:sqref>
            </x14:sparkline>
            <x14:sparkline>
              <xm:f>Scenarier!E90:Y90</xm:f>
              <xm:sqref>A104</xm:sqref>
            </x14:sparkline>
            <x14:sparkline>
              <xm:f>Scenarier!E91:Y91</xm:f>
              <xm:sqref>A105</xm:sqref>
            </x14:sparkline>
            <x14:sparkline>
              <xm:f>Scenarier!E92:Y92</xm:f>
              <xm:sqref>A106</xm:sqref>
            </x14:sparkline>
            <x14:sparkline>
              <xm:f>Scenarier!E93:Y93</xm:f>
              <xm:sqref>A107</xm:sqref>
            </x14:sparkline>
            <x14:sparkline>
              <xm:f>Scenarier!E94:Y94</xm:f>
              <xm:sqref>A108</xm:sqref>
            </x14:sparkline>
            <x14:sparkline>
              <xm:f>Scenarier!E95:Y95</xm:f>
              <xm:sqref>A109</xm:sqref>
            </x14:sparkline>
            <x14:sparkline>
              <xm:f>Scenarier!E96:Y96</xm:f>
              <xm:sqref>A110</xm:sqref>
            </x14:sparkline>
            <x14:sparkline>
              <xm:f>Scenarier!E97:Y97</xm:f>
              <xm:sqref>A111</xm:sqref>
            </x14:sparkline>
            <x14:sparkline>
              <xm:f>Scenarier!E98:Y98</xm:f>
              <xm:sqref>A112</xm:sqref>
            </x14:sparkline>
            <x14:sparkline>
              <xm:f>Scenarier!E99:Y99</xm:f>
              <xm:sqref>A113</xm:sqref>
            </x14:sparkline>
            <x14:sparkline>
              <xm:f>Scenarier!E100:Y100</xm:f>
              <xm:sqref>A114</xm:sqref>
            </x14:sparkline>
            <x14:sparkline>
              <xm:f>Scenarier!E101:Y101</xm:f>
              <xm:sqref>A115</xm:sqref>
            </x14:sparkline>
            <x14:sparkline>
              <xm:f>Scenarier!E102:Y102</xm:f>
              <xm:sqref>A116</xm:sqref>
            </x14:sparkline>
            <x14:sparkline>
              <xm:f>Scenarier!E103:Y103</xm:f>
              <xm:sqref>A117</xm:sqref>
            </x14:sparkline>
            <x14:sparkline>
              <xm:f>Scenarier!E104:Y104</xm:f>
              <xm:sqref>A118</xm:sqref>
            </x14:sparkline>
            <x14:sparkline>
              <xm:f>Scenarier!E105:Y105</xm:f>
              <xm:sqref>A119</xm:sqref>
            </x14:sparkline>
            <x14:sparkline>
              <xm:f>Scenarier!E106:Y106</xm:f>
              <xm:sqref>A120</xm:sqref>
            </x14:sparkline>
            <x14:sparkline>
              <xm:f>Scenarier!E107:Y107</xm:f>
              <xm:sqref>A121</xm:sqref>
            </x14:sparkline>
            <x14:sparkline>
              <xm:f>Scenarier!E108:Y108</xm:f>
              <xm:sqref>A122</xm:sqref>
            </x14:sparkline>
            <x14:sparkline>
              <xm:f>Scenarier!E109:Y109</xm:f>
              <xm:sqref>A123</xm:sqref>
            </x14:sparkline>
            <x14:sparkline>
              <xm:f>Scenarier!E110:Y110</xm:f>
              <xm:sqref>A124</xm:sqref>
            </x14:sparkline>
            <x14:sparkline>
              <xm:f>Scenarier!E111:Y111</xm:f>
              <xm:sqref>A125</xm:sqref>
            </x14:sparkline>
            <x14:sparkline>
              <xm:f>Scenarier!E112:Y112</xm:f>
              <xm:sqref>A126</xm:sqref>
            </x14:sparkline>
            <x14:sparkline>
              <xm:f>Scenarier!E113:Y113</xm:f>
              <xm:sqref>A127</xm:sqref>
            </x14:sparkline>
            <x14:sparkline>
              <xm:f>Scenarier!E114:Y114</xm:f>
              <xm:sqref>A128</xm:sqref>
            </x14:sparkline>
            <x14:sparkline>
              <xm:f>Scenarier!E115:Y115</xm:f>
              <xm:sqref>A129</xm:sqref>
            </x14:sparkline>
            <x14:sparkline>
              <xm:f>Scenarier!E116:Y116</xm:f>
              <xm:sqref>A130</xm:sqref>
            </x14:sparkline>
            <x14:sparkline>
              <xm:f>Scenarier!E117:Y117</xm:f>
              <xm:sqref>A131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189-028E-4B88-AC75-E88799B17CAC}">
  <sheetPr codeName="Sheet2"/>
  <dimension ref="A1:AL120"/>
  <sheetViews>
    <sheetView topLeftCell="A76" zoomScale="85" zoomScaleNormal="100" workbookViewId="0">
      <selection activeCell="J108" sqref="J108"/>
    </sheetView>
  </sheetViews>
  <sheetFormatPr defaultRowHeight="15" x14ac:dyDescent="0.25"/>
  <cols>
    <col min="1" max="1" width="28.5703125" customWidth="1"/>
    <col min="2" max="2" width="12.28515625" style="5" customWidth="1"/>
    <col min="3" max="5" width="9.140625" customWidth="1"/>
    <col min="6" max="6" width="9.42578125" customWidth="1"/>
    <col min="7" max="7" width="2.85546875" style="45" customWidth="1"/>
    <col min="8" max="8" width="34.28515625" customWidth="1"/>
    <col min="9" max="9" width="11" style="5" customWidth="1"/>
    <col min="10" max="10" width="13.28515625" style="12" customWidth="1"/>
    <col min="11" max="11" width="14.42578125" style="12" customWidth="1"/>
    <col min="12" max="12" width="14.42578125" customWidth="1"/>
    <col min="13" max="13" width="2.85546875" style="45" customWidth="1"/>
    <col min="14" max="14" width="30.7109375" bestFit="1" customWidth="1"/>
    <col min="15" max="15" width="8.42578125" style="71" bestFit="1" customWidth="1"/>
    <col min="16" max="16" width="10" style="12" bestFit="1" customWidth="1"/>
    <col min="17" max="17" width="14.42578125" style="12" bestFit="1" customWidth="1"/>
    <col min="18" max="18" width="15.7109375" bestFit="1" customWidth="1"/>
    <col min="19" max="19" width="4.140625" customWidth="1"/>
    <col min="20" max="20" width="29.7109375" style="5" customWidth="1"/>
    <col min="21" max="22" width="13" customWidth="1"/>
    <col min="24" max="24" width="8.5703125" customWidth="1"/>
  </cols>
  <sheetData>
    <row r="1" spans="1:38" ht="33.75" customHeight="1" x14ac:dyDescent="0.25">
      <c r="A1" s="78" t="s">
        <v>244</v>
      </c>
      <c r="B1" s="79"/>
      <c r="C1" s="79"/>
      <c r="D1" s="79"/>
      <c r="E1" s="79"/>
      <c r="F1" s="80"/>
      <c r="G1" s="49"/>
      <c r="H1" s="81" t="str">
        <f>"Resultat for "&amp;C5&amp;" ton affald, "&amp;C6&amp;" ton bioaffald, Varmebehov "&amp;TEXT(Qdemand,"#.##0")&amp;" MWh, NS-varme "&amp;TEXT(NSvarme,"#.##0")&amp;" MWh, RGK-grad "&amp;TEXT(RGKudnyttelse,"0 %")</f>
        <v>Resultat for 12000 ton affald, 0 ton bioaffald, Varmebehov 28.000 MWh, NS-varme 4.000 MWh, RGK-grad 100 %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</row>
    <row r="2" spans="1:38" ht="15.75" thickBot="1" x14ac:dyDescent="0.3">
      <c r="A2" s="54"/>
      <c r="B2" s="55"/>
      <c r="C2" s="56"/>
      <c r="D2" s="56"/>
      <c r="E2" s="56"/>
      <c r="F2" s="57"/>
      <c r="G2" s="49"/>
      <c r="H2" s="49"/>
      <c r="I2" s="50"/>
      <c r="J2" s="51"/>
      <c r="K2" s="51"/>
      <c r="L2" s="49"/>
      <c r="M2" s="49"/>
      <c r="N2" s="49"/>
      <c r="O2" s="70"/>
      <c r="P2" s="51"/>
      <c r="Q2" s="51"/>
      <c r="R2" s="49"/>
      <c r="S2" s="49"/>
      <c r="T2" s="53"/>
      <c r="U2" s="49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49"/>
      <c r="AK2" s="49"/>
      <c r="AL2" s="67" t="str">
        <f>"Økonomiske nøgletal "</f>
        <v xml:space="preserve">Økonomiske nøgletal </v>
      </c>
    </row>
    <row r="3" spans="1:38" x14ac:dyDescent="0.25">
      <c r="A3" s="109" t="s">
        <v>133</v>
      </c>
      <c r="B3" s="110" t="s">
        <v>49</v>
      </c>
      <c r="C3" s="111" t="s">
        <v>208</v>
      </c>
      <c r="D3" s="111"/>
      <c r="E3" s="111"/>
      <c r="F3" s="112"/>
      <c r="G3" s="49"/>
      <c r="H3" s="49"/>
      <c r="I3" s="50"/>
      <c r="J3" s="51"/>
      <c r="K3" s="51"/>
      <c r="L3" s="49"/>
      <c r="M3" s="49"/>
      <c r="N3" s="49"/>
      <c r="O3" s="70"/>
      <c r="P3" s="51"/>
      <c r="Q3" s="51"/>
      <c r="R3" s="49"/>
      <c r="S3" s="49"/>
      <c r="T3" s="50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68" t="str">
        <f>"Økonomi: RGK ift. Nominel"</f>
        <v>Økonomi: RGK ift. Nominel</v>
      </c>
    </row>
    <row r="4" spans="1:38" x14ac:dyDescent="0.25">
      <c r="A4" s="113" t="s">
        <v>204</v>
      </c>
      <c r="B4" s="55" t="s">
        <v>43</v>
      </c>
      <c r="C4" s="59">
        <v>28000</v>
      </c>
      <c r="D4" s="56"/>
      <c r="E4" s="56"/>
      <c r="F4" s="114"/>
      <c r="G4" s="49"/>
      <c r="H4" s="49"/>
      <c r="I4" s="50"/>
      <c r="J4" s="51"/>
      <c r="K4" s="51"/>
      <c r="L4" s="49"/>
      <c r="M4" s="49"/>
      <c r="N4" s="49"/>
      <c r="O4" s="70"/>
      <c r="P4" s="51"/>
      <c r="Q4" s="51"/>
      <c r="R4" s="49"/>
      <c r="S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68" t="str">
        <f>"Varmemængder"</f>
        <v>Varmemængder</v>
      </c>
    </row>
    <row r="5" spans="1:38" x14ac:dyDescent="0.25">
      <c r="A5" s="113" t="s">
        <v>205</v>
      </c>
      <c r="B5" s="55" t="s">
        <v>17</v>
      </c>
      <c r="C5" s="59">
        <v>12000</v>
      </c>
      <c r="D5" s="56"/>
      <c r="E5" s="56"/>
      <c r="F5" s="114"/>
      <c r="G5" s="49"/>
      <c r="H5" s="49"/>
      <c r="I5" s="50"/>
      <c r="J5" s="51"/>
      <c r="K5" s="51"/>
      <c r="L5" s="49"/>
      <c r="M5" s="49"/>
      <c r="N5" s="49"/>
      <c r="O5" s="70"/>
      <c r="P5" s="51"/>
      <c r="Q5" s="51"/>
      <c r="R5" s="49"/>
      <c r="S5" s="49"/>
      <c r="T5" s="50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68" t="s">
        <v>150</v>
      </c>
    </row>
    <row r="6" spans="1:38" x14ac:dyDescent="0.25">
      <c r="A6" s="113" t="s">
        <v>206</v>
      </c>
      <c r="B6" s="55" t="s">
        <v>17</v>
      </c>
      <c r="C6" s="59">
        <v>0</v>
      </c>
      <c r="D6" s="56"/>
      <c r="E6" s="56"/>
      <c r="F6" s="114"/>
      <c r="G6" s="49"/>
      <c r="H6" s="49"/>
      <c r="I6" s="50"/>
      <c r="J6" s="51"/>
      <c r="K6" s="51"/>
      <c r="L6" s="49"/>
      <c r="M6" s="49"/>
      <c r="N6" s="49"/>
      <c r="O6" s="70"/>
      <c r="P6" s="51"/>
      <c r="Q6" s="51"/>
      <c r="R6" s="49"/>
      <c r="S6" s="49"/>
      <c r="T6" s="50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t="s">
        <v>246</v>
      </c>
    </row>
    <row r="7" spans="1:38" x14ac:dyDescent="0.25">
      <c r="A7" s="113" t="s">
        <v>132</v>
      </c>
      <c r="B7" s="55" t="s">
        <v>134</v>
      </c>
      <c r="C7" s="60">
        <v>1</v>
      </c>
      <c r="D7" s="56"/>
      <c r="E7" s="56"/>
      <c r="F7" s="114"/>
      <c r="G7" s="49"/>
      <c r="H7" s="49"/>
      <c r="I7" s="50"/>
      <c r="J7" s="51"/>
      <c r="K7" s="51"/>
      <c r="L7" s="49"/>
      <c r="M7" s="49"/>
      <c r="N7" s="49"/>
      <c r="O7" s="70"/>
      <c r="P7" s="51"/>
      <c r="Q7" s="51"/>
      <c r="R7" s="49"/>
      <c r="S7" s="49"/>
      <c r="T7" s="50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 t="s">
        <v>151</v>
      </c>
    </row>
    <row r="8" spans="1:38" ht="15.75" thickBot="1" x14ac:dyDescent="0.3">
      <c r="A8" s="115" t="s">
        <v>207</v>
      </c>
      <c r="B8" s="116" t="s">
        <v>43</v>
      </c>
      <c r="C8" s="117">
        <v>4000</v>
      </c>
      <c r="D8" s="118"/>
      <c r="E8" s="118"/>
      <c r="F8" s="119"/>
      <c r="G8" s="49"/>
      <c r="H8" s="49"/>
      <c r="I8" s="50"/>
      <c r="J8" s="51"/>
      <c r="K8" s="51"/>
      <c r="L8" s="49"/>
      <c r="M8" s="49"/>
      <c r="N8" s="49"/>
      <c r="O8" s="70"/>
      <c r="P8" s="51"/>
      <c r="Q8" s="51"/>
      <c r="R8" s="49"/>
      <c r="S8" s="49"/>
      <c r="T8" s="50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</row>
    <row r="9" spans="1:38" ht="15.75" thickBot="1" x14ac:dyDescent="0.3">
      <c r="A9" s="58"/>
      <c r="B9" s="55"/>
      <c r="C9" s="56"/>
      <c r="D9" s="56"/>
      <c r="E9" s="56"/>
      <c r="F9" s="57"/>
      <c r="G9" s="49"/>
      <c r="H9" s="49"/>
      <c r="I9" s="50"/>
      <c r="J9" s="51"/>
      <c r="K9" s="51"/>
      <c r="L9" s="49"/>
      <c r="M9" s="49"/>
      <c r="N9" s="49"/>
      <c r="O9" s="70"/>
      <c r="P9" s="51"/>
      <c r="Q9" s="51"/>
      <c r="R9" s="49"/>
      <c r="S9" s="49"/>
      <c r="T9" s="50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</row>
    <row r="10" spans="1:38" x14ac:dyDescent="0.25">
      <c r="A10" s="109" t="s">
        <v>14</v>
      </c>
      <c r="B10" s="110"/>
      <c r="C10" s="111" t="s">
        <v>0</v>
      </c>
      <c r="D10" s="111" t="s">
        <v>1</v>
      </c>
      <c r="E10" s="111" t="s">
        <v>7</v>
      </c>
      <c r="F10" s="120" t="s">
        <v>143</v>
      </c>
      <c r="G10" s="49"/>
      <c r="H10" s="49"/>
      <c r="I10" s="50"/>
      <c r="J10" s="51"/>
      <c r="K10" s="51"/>
      <c r="L10" s="49"/>
      <c r="M10" s="49"/>
      <c r="N10" s="49"/>
      <c r="O10" s="70"/>
      <c r="P10" s="51"/>
      <c r="Q10" s="51"/>
      <c r="R10" s="49"/>
      <c r="S10" s="49"/>
      <c r="T10" s="50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</row>
    <row r="11" spans="1:38" x14ac:dyDescent="0.25">
      <c r="A11" s="113" t="s">
        <v>12</v>
      </c>
      <c r="B11" s="55"/>
      <c r="C11" s="56">
        <v>31</v>
      </c>
      <c r="D11" s="56">
        <v>31</v>
      </c>
      <c r="E11" s="56">
        <v>31</v>
      </c>
      <c r="F11" s="114"/>
      <c r="G11" s="49"/>
      <c r="H11" s="49"/>
      <c r="I11" s="50"/>
      <c r="J11" s="51"/>
      <c r="K11" s="51"/>
      <c r="L11" s="49"/>
      <c r="M11" s="49"/>
      <c r="N11" s="49"/>
      <c r="O11" s="70"/>
      <c r="P11" s="51"/>
      <c r="Q11" s="51"/>
      <c r="R11" s="49"/>
      <c r="S11" s="49"/>
      <c r="T11" s="50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</row>
    <row r="12" spans="1:38" x14ac:dyDescent="0.25">
      <c r="A12" s="113" t="s">
        <v>2</v>
      </c>
      <c r="B12" s="55" t="s">
        <v>3</v>
      </c>
      <c r="C12" s="56">
        <v>9.5</v>
      </c>
      <c r="D12" s="56">
        <v>22.5</v>
      </c>
      <c r="E12" s="56">
        <v>15</v>
      </c>
      <c r="F12" s="114"/>
      <c r="G12" s="49"/>
      <c r="H12" s="49"/>
      <c r="I12" s="50"/>
      <c r="J12" s="51"/>
      <c r="K12" s="51"/>
      <c r="L12" s="49"/>
      <c r="M12" s="49"/>
      <c r="N12" s="49"/>
      <c r="O12" s="70"/>
      <c r="P12" s="51"/>
      <c r="Q12" s="51"/>
      <c r="R12" s="49"/>
      <c r="S12" s="49"/>
      <c r="T12" s="50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</row>
    <row r="13" spans="1:38" x14ac:dyDescent="0.25">
      <c r="A13" s="113" t="s">
        <v>8</v>
      </c>
      <c r="B13" s="55" t="s">
        <v>3</v>
      </c>
      <c r="C13" s="56">
        <v>2</v>
      </c>
      <c r="D13" s="56">
        <v>5.5</v>
      </c>
      <c r="E13" s="56"/>
      <c r="F13" s="114"/>
      <c r="G13" s="49"/>
      <c r="H13" s="49"/>
      <c r="I13" s="50"/>
      <c r="J13" s="51"/>
      <c r="K13" s="51"/>
      <c r="L13" s="49"/>
      <c r="M13" s="49"/>
      <c r="N13" s="49"/>
      <c r="O13" s="70"/>
      <c r="P13" s="51"/>
      <c r="Q13" s="51"/>
      <c r="R13" s="49"/>
      <c r="S13" s="49"/>
      <c r="T13" s="50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</row>
    <row r="14" spans="1:38" x14ac:dyDescent="0.25">
      <c r="A14" s="113" t="s">
        <v>4</v>
      </c>
      <c r="B14" s="55" t="s">
        <v>5</v>
      </c>
      <c r="C14" s="56"/>
      <c r="D14" s="56">
        <v>8</v>
      </c>
      <c r="E14" s="56"/>
      <c r="F14" s="114"/>
      <c r="G14" s="49"/>
      <c r="H14" s="49"/>
      <c r="I14" s="50"/>
      <c r="J14" s="51"/>
      <c r="K14" s="51"/>
      <c r="L14" s="49"/>
      <c r="M14" s="49"/>
      <c r="N14" s="49"/>
      <c r="O14" s="70"/>
      <c r="P14" s="51"/>
      <c r="Q14" s="51"/>
      <c r="R14" s="49"/>
      <c r="S14" s="49"/>
      <c r="T14" s="50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</row>
    <row r="15" spans="1:38" x14ac:dyDescent="0.25">
      <c r="A15" s="113" t="s">
        <v>6</v>
      </c>
      <c r="B15" s="55" t="s">
        <v>13</v>
      </c>
      <c r="C15" s="56"/>
      <c r="D15" s="56">
        <v>25</v>
      </c>
      <c r="E15" s="56"/>
      <c r="F15" s="114"/>
      <c r="G15" s="49"/>
      <c r="H15" s="49"/>
      <c r="I15" s="50"/>
      <c r="J15" s="51"/>
      <c r="K15" s="51"/>
      <c r="L15" s="49"/>
      <c r="M15" s="49"/>
      <c r="N15" s="49"/>
      <c r="O15" s="70"/>
      <c r="P15" s="51"/>
      <c r="Q15" s="51"/>
      <c r="R15" s="49"/>
      <c r="S15" s="49"/>
      <c r="T15" s="50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</row>
    <row r="16" spans="1:38" x14ac:dyDescent="0.25">
      <c r="A16" s="113" t="s">
        <v>9</v>
      </c>
      <c r="B16" s="55"/>
      <c r="C16" s="61">
        <v>0.84399999999999997</v>
      </c>
      <c r="D16" s="61">
        <v>0.65600000000000003</v>
      </c>
      <c r="E16" s="56"/>
      <c r="F16" s="114"/>
      <c r="G16" s="49"/>
      <c r="H16" s="49"/>
      <c r="I16" s="50"/>
      <c r="J16" s="51"/>
      <c r="K16" s="51"/>
      <c r="L16" s="49"/>
      <c r="M16" s="49"/>
      <c r="N16" s="49"/>
      <c r="O16" s="70"/>
      <c r="P16" s="51"/>
      <c r="Q16" s="51"/>
      <c r="R16" s="49"/>
      <c r="S16" s="49"/>
      <c r="T16" s="50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</row>
    <row r="17" spans="1:37" x14ac:dyDescent="0.25">
      <c r="A17" s="113" t="s">
        <v>10</v>
      </c>
      <c r="B17" s="55"/>
      <c r="C17" s="121">
        <f>$C$7*C13/C12*C16</f>
        <v>0.17768421052631578</v>
      </c>
      <c r="D17" s="121">
        <f>$C$7*D13/D12*D16</f>
        <v>0.16035555555555556</v>
      </c>
      <c r="E17" s="56"/>
      <c r="F17" s="114"/>
      <c r="G17" s="49"/>
      <c r="H17" s="49"/>
      <c r="I17" s="50"/>
      <c r="J17" s="51"/>
      <c r="K17" s="51"/>
      <c r="L17" s="49"/>
      <c r="M17" s="49"/>
      <c r="N17" s="49"/>
      <c r="O17" s="70"/>
      <c r="P17" s="51"/>
      <c r="Q17" s="51"/>
      <c r="R17" s="49"/>
      <c r="S17" s="49"/>
      <c r="T17" s="50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</row>
    <row r="18" spans="1:37" x14ac:dyDescent="0.25">
      <c r="A18" s="113" t="s">
        <v>69</v>
      </c>
      <c r="B18" s="55"/>
      <c r="C18" s="121">
        <f>SUM(C16:C17)</f>
        <v>1.0216842105263158</v>
      </c>
      <c r="D18" s="121">
        <f>SUM(D16:D17)</f>
        <v>0.81635555555555561</v>
      </c>
      <c r="E18" s="56"/>
      <c r="F18" s="114"/>
      <c r="G18" s="49"/>
      <c r="H18" s="49"/>
      <c r="I18" s="50"/>
      <c r="J18" s="51"/>
      <c r="K18" s="51"/>
      <c r="L18" s="49"/>
      <c r="M18" s="49"/>
      <c r="N18" s="49"/>
      <c r="O18" s="70"/>
      <c r="P18" s="51"/>
      <c r="Q18" s="51"/>
      <c r="R18" s="49"/>
      <c r="S18" s="49"/>
      <c r="T18" s="50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</row>
    <row r="19" spans="1:37" x14ac:dyDescent="0.25">
      <c r="A19" s="113" t="s">
        <v>11</v>
      </c>
      <c r="B19" s="55"/>
      <c r="C19" s="56"/>
      <c r="D19" s="62">
        <v>0.22470000000000001</v>
      </c>
      <c r="E19" s="56"/>
      <c r="F19" s="114"/>
      <c r="G19" s="49"/>
      <c r="H19" s="49"/>
      <c r="I19" s="50"/>
      <c r="J19" s="51"/>
      <c r="K19" s="51"/>
      <c r="L19" s="49"/>
      <c r="M19" s="49"/>
      <c r="N19" s="49"/>
      <c r="O19" s="70"/>
      <c r="P19" s="51"/>
      <c r="Q19" s="51"/>
      <c r="R19" s="49"/>
      <c r="S19" s="49"/>
      <c r="T19" s="50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</row>
    <row r="20" spans="1:37" ht="15.75" thickBot="1" x14ac:dyDescent="0.3">
      <c r="A20" s="115" t="s">
        <v>20</v>
      </c>
      <c r="B20" s="116" t="s">
        <v>21</v>
      </c>
      <c r="C20" s="118">
        <v>30</v>
      </c>
      <c r="D20" s="118">
        <v>50</v>
      </c>
      <c r="E20" s="118">
        <v>10</v>
      </c>
      <c r="F20" s="119">
        <v>10</v>
      </c>
      <c r="G20" s="49"/>
      <c r="H20" s="49"/>
      <c r="I20" s="50"/>
      <c r="J20" s="51"/>
      <c r="K20" s="51"/>
      <c r="L20" s="49"/>
      <c r="M20" s="49"/>
      <c r="N20" s="49"/>
      <c r="O20" s="70"/>
      <c r="P20" s="51"/>
      <c r="Q20" s="51"/>
      <c r="R20" s="49"/>
      <c r="S20" s="49"/>
      <c r="T20" s="50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</row>
    <row r="21" spans="1:37" ht="15.75" thickBot="1" x14ac:dyDescent="0.3">
      <c r="A21" s="58"/>
      <c r="B21" s="55"/>
      <c r="C21" s="56"/>
      <c r="D21" s="56"/>
      <c r="E21" s="56"/>
      <c r="F21" s="57"/>
      <c r="G21" s="49"/>
      <c r="H21" s="49"/>
      <c r="I21" s="50"/>
      <c r="J21" s="51"/>
      <c r="K21" s="51"/>
      <c r="L21" s="49"/>
      <c r="M21" s="49"/>
      <c r="N21" s="49"/>
      <c r="O21" s="70"/>
      <c r="P21" s="51"/>
      <c r="Q21" s="51"/>
      <c r="R21" s="49"/>
      <c r="S21" s="49"/>
      <c r="T21" s="50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</row>
    <row r="22" spans="1:37" x14ac:dyDescent="0.25">
      <c r="A22" s="122" t="s">
        <v>15</v>
      </c>
      <c r="B22" s="123"/>
      <c r="C22" s="111" t="s">
        <v>16</v>
      </c>
      <c r="D22" s="111" t="s">
        <v>18</v>
      </c>
      <c r="E22" s="111" t="s">
        <v>22</v>
      </c>
      <c r="F22" s="124"/>
      <c r="G22" s="49"/>
      <c r="H22" s="49"/>
      <c r="I22" s="50"/>
      <c r="J22" s="51"/>
      <c r="K22" s="51"/>
      <c r="L22" s="49"/>
      <c r="M22" s="49"/>
      <c r="N22" s="49"/>
      <c r="O22" s="70"/>
      <c r="P22" s="51"/>
      <c r="Q22" s="51"/>
      <c r="R22" s="49"/>
      <c r="S22" s="49"/>
      <c r="T22" s="50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</row>
    <row r="23" spans="1:37" x14ac:dyDescent="0.25">
      <c r="A23" s="113" t="s">
        <v>19</v>
      </c>
      <c r="B23" s="55" t="s">
        <v>17</v>
      </c>
      <c r="C23" s="56"/>
      <c r="D23" s="56"/>
      <c r="E23" s="56"/>
      <c r="F23" s="114"/>
      <c r="G23" s="49"/>
      <c r="H23" s="49"/>
      <c r="I23" s="50"/>
      <c r="J23" s="51"/>
      <c r="K23" s="51"/>
      <c r="L23" s="49"/>
      <c r="M23" s="49"/>
      <c r="N23" s="49"/>
      <c r="O23" s="70"/>
      <c r="P23" s="51"/>
      <c r="Q23" s="51"/>
      <c r="R23" s="49"/>
      <c r="S23" s="49"/>
      <c r="T23" s="50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</row>
    <row r="24" spans="1:37" x14ac:dyDescent="0.25">
      <c r="A24" s="113" t="s">
        <v>56</v>
      </c>
      <c r="B24" s="55"/>
      <c r="C24" s="63">
        <f>C5/SUM(C5:C6)</f>
        <v>1</v>
      </c>
      <c r="D24" s="63">
        <f>1-AndelAffald</f>
        <v>0</v>
      </c>
      <c r="E24" s="56"/>
      <c r="F24" s="114"/>
      <c r="G24" s="49"/>
      <c r="H24" s="49"/>
      <c r="I24" s="50"/>
      <c r="J24" s="51"/>
      <c r="K24" s="51"/>
      <c r="L24" s="49"/>
      <c r="M24" s="49"/>
      <c r="N24" s="49"/>
      <c r="O24" s="70"/>
      <c r="P24" s="51"/>
      <c r="Q24" s="51"/>
      <c r="R24" s="49"/>
      <c r="S24" s="49"/>
      <c r="T24" s="50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</row>
    <row r="25" spans="1:37" x14ac:dyDescent="0.25">
      <c r="A25" s="113" t="s">
        <v>62</v>
      </c>
      <c r="B25" s="55" t="s">
        <v>17</v>
      </c>
      <c r="C25" s="125">
        <f>SUM(C5:C6)</f>
        <v>12000</v>
      </c>
      <c r="D25" s="56"/>
      <c r="E25" s="56"/>
      <c r="F25" s="114"/>
      <c r="G25" s="49"/>
      <c r="H25" s="49"/>
      <c r="I25" s="50"/>
      <c r="J25" s="51"/>
      <c r="K25" s="51"/>
      <c r="L25" s="49"/>
      <c r="M25" s="49"/>
      <c r="N25" s="49"/>
      <c r="O25" s="70"/>
      <c r="P25" s="51"/>
      <c r="Q25" s="51"/>
      <c r="R25" s="49"/>
      <c r="S25" s="49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49"/>
      <c r="AK25" s="49"/>
    </row>
    <row r="26" spans="1:37" x14ac:dyDescent="0.25">
      <c r="A26" s="113" t="s">
        <v>61</v>
      </c>
      <c r="B26" s="55" t="s">
        <v>32</v>
      </c>
      <c r="C26" s="126">
        <f>(C5*LHVaffald+C6*LHVbioaffald)/Ftotal</f>
        <v>10.199999999999999</v>
      </c>
      <c r="D26" s="64">
        <f>Htotal/3.6</f>
        <v>2.833333333333333</v>
      </c>
      <c r="E26" s="56"/>
      <c r="F26" s="114"/>
      <c r="G26" s="49"/>
      <c r="H26" s="49"/>
      <c r="I26" s="50"/>
      <c r="J26" s="51"/>
      <c r="K26" s="51"/>
      <c r="L26" s="49"/>
      <c r="M26" s="49"/>
      <c r="N26" s="49"/>
      <c r="O26" s="70"/>
      <c r="P26" s="51"/>
      <c r="Q26" s="51"/>
      <c r="R26" s="49"/>
      <c r="S26" s="49"/>
      <c r="T26" s="50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</row>
    <row r="27" spans="1:37" x14ac:dyDescent="0.25">
      <c r="A27" s="113" t="s">
        <v>41</v>
      </c>
      <c r="B27" s="55" t="s">
        <v>26</v>
      </c>
      <c r="C27" s="56">
        <v>400</v>
      </c>
      <c r="D27" s="56">
        <f>-6.5*3.6</f>
        <v>-23.400000000000002</v>
      </c>
      <c r="E27" s="56">
        <v>0</v>
      </c>
      <c r="F27" s="114"/>
      <c r="G27" s="49"/>
      <c r="H27" s="49"/>
      <c r="I27" s="50"/>
      <c r="J27" s="51"/>
      <c r="K27" s="51"/>
      <c r="L27" s="49"/>
      <c r="M27" s="49"/>
      <c r="N27" s="49"/>
      <c r="O27" s="70"/>
      <c r="P27" s="51"/>
      <c r="Q27" s="51"/>
      <c r="R27" s="49"/>
      <c r="S27" s="49"/>
      <c r="T27" s="50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</row>
    <row r="28" spans="1:37" x14ac:dyDescent="0.25">
      <c r="A28" s="113" t="s">
        <v>31</v>
      </c>
      <c r="B28" s="55" t="s">
        <v>32</v>
      </c>
      <c r="C28" s="56">
        <v>10.199999999999999</v>
      </c>
      <c r="D28" s="56">
        <v>14</v>
      </c>
      <c r="E28" s="56">
        <v>3.6</v>
      </c>
      <c r="F28" s="114"/>
      <c r="G28" s="49"/>
      <c r="H28" s="49"/>
      <c r="I28" s="50"/>
      <c r="J28" s="51"/>
      <c r="K28" s="51"/>
      <c r="L28" s="49"/>
      <c r="M28" s="49"/>
      <c r="N28" s="49"/>
      <c r="O28" s="70"/>
      <c r="P28" s="51"/>
      <c r="Q28" s="51"/>
      <c r="R28" s="49"/>
      <c r="S28" s="49"/>
      <c r="T28" s="50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</row>
    <row r="29" spans="1:37" x14ac:dyDescent="0.25">
      <c r="A29" s="113" t="s">
        <v>38</v>
      </c>
      <c r="B29" s="55" t="s">
        <v>36</v>
      </c>
      <c r="C29" s="56">
        <v>37</v>
      </c>
      <c r="D29" s="56">
        <v>0</v>
      </c>
      <c r="E29" s="56">
        <v>0</v>
      </c>
      <c r="F29" s="114"/>
      <c r="G29" s="49"/>
      <c r="H29" s="49"/>
      <c r="I29" s="50"/>
      <c r="J29" s="51"/>
      <c r="K29" s="51"/>
      <c r="L29" s="49"/>
      <c r="M29" s="49"/>
      <c r="N29" s="49"/>
      <c r="O29" s="70"/>
      <c r="P29" s="51"/>
      <c r="Q29" s="51"/>
      <c r="R29" s="49"/>
      <c r="S29" s="49"/>
      <c r="T29" s="50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</row>
    <row r="30" spans="1:37" x14ac:dyDescent="0.25">
      <c r="A30" s="113" t="s">
        <v>39</v>
      </c>
      <c r="B30" s="55" t="s">
        <v>36</v>
      </c>
      <c r="C30" s="56">
        <v>42.5</v>
      </c>
      <c r="D30" s="56">
        <v>0</v>
      </c>
      <c r="E30" s="56">
        <v>0</v>
      </c>
      <c r="F30" s="114"/>
      <c r="G30" s="49"/>
      <c r="H30" s="49"/>
      <c r="I30" s="50"/>
      <c r="J30" s="51"/>
      <c r="K30" s="51"/>
      <c r="L30" s="49"/>
      <c r="M30" s="49"/>
      <c r="N30" s="49"/>
      <c r="O30" s="70"/>
      <c r="P30" s="51"/>
      <c r="Q30" s="51"/>
      <c r="R30" s="49"/>
      <c r="S30" s="49"/>
      <c r="T30" s="50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</row>
    <row r="31" spans="1:37" ht="15.75" thickBot="1" x14ac:dyDescent="0.3">
      <c r="A31" s="115" t="s">
        <v>139</v>
      </c>
      <c r="B31" s="116" t="s">
        <v>32</v>
      </c>
      <c r="C31" s="118">
        <v>10.6</v>
      </c>
      <c r="D31" s="118">
        <v>0</v>
      </c>
      <c r="E31" s="118">
        <v>0</v>
      </c>
      <c r="F31" s="119"/>
      <c r="G31" s="49"/>
      <c r="H31" s="49"/>
      <c r="I31" s="50"/>
      <c r="J31" s="51"/>
      <c r="K31" s="51"/>
      <c r="L31" s="49"/>
      <c r="M31" s="49"/>
      <c r="N31" s="49"/>
      <c r="O31" s="70"/>
      <c r="P31" s="51"/>
      <c r="Q31" s="51"/>
      <c r="R31" s="49"/>
      <c r="S31" s="49"/>
      <c r="T31" s="50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</row>
    <row r="32" spans="1:37" x14ac:dyDescent="0.25">
      <c r="A32" s="122" t="s">
        <v>23</v>
      </c>
      <c r="B32" s="123"/>
      <c r="C32" s="127"/>
      <c r="D32" s="127"/>
      <c r="E32" s="127"/>
      <c r="F32" s="124"/>
      <c r="G32" s="49"/>
      <c r="H32" s="49"/>
      <c r="I32" s="50"/>
      <c r="J32" s="51"/>
      <c r="K32" s="51"/>
      <c r="L32" s="49"/>
      <c r="M32" s="49"/>
      <c r="N32" s="49"/>
      <c r="O32" s="70"/>
      <c r="P32" s="51"/>
      <c r="Q32" s="51"/>
      <c r="R32" s="49"/>
      <c r="S32" s="49"/>
      <c r="T32" s="50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</row>
    <row r="33" spans="1:37" x14ac:dyDescent="0.25">
      <c r="A33" s="113" t="s">
        <v>30</v>
      </c>
      <c r="B33" s="55" t="s">
        <v>25</v>
      </c>
      <c r="C33" s="56">
        <v>311</v>
      </c>
      <c r="D33" s="56"/>
      <c r="E33" s="56"/>
      <c r="F33" s="114"/>
      <c r="G33" s="49"/>
      <c r="H33" s="49"/>
      <c r="I33" s="50"/>
      <c r="J33" s="51"/>
      <c r="K33" s="51"/>
      <c r="L33" s="49"/>
      <c r="M33" s="49"/>
      <c r="N33" s="49"/>
      <c r="O33" s="70"/>
      <c r="P33" s="51"/>
      <c r="Q33" s="51"/>
      <c r="R33" s="49"/>
      <c r="S33" s="49"/>
      <c r="T33" s="50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</row>
    <row r="34" spans="1:37" x14ac:dyDescent="0.25">
      <c r="A34" s="113" t="s">
        <v>27</v>
      </c>
      <c r="B34" s="55" t="s">
        <v>28</v>
      </c>
      <c r="C34" s="56">
        <v>800</v>
      </c>
      <c r="D34" s="56"/>
      <c r="E34" s="56"/>
      <c r="F34" s="114"/>
      <c r="G34" s="49"/>
      <c r="H34" s="49"/>
      <c r="I34" s="50"/>
      <c r="J34" s="51"/>
      <c r="K34" s="51"/>
      <c r="L34" s="49"/>
      <c r="M34" s="49"/>
      <c r="N34" s="49"/>
      <c r="O34" s="70"/>
      <c r="P34" s="51"/>
      <c r="Q34" s="51"/>
      <c r="R34" s="49"/>
      <c r="S34" s="49"/>
      <c r="T34" s="50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</row>
    <row r="35" spans="1:37" x14ac:dyDescent="0.25">
      <c r="A35" s="113" t="s">
        <v>42</v>
      </c>
      <c r="B35" s="55" t="s">
        <v>28</v>
      </c>
      <c r="C35" s="56">
        <v>4</v>
      </c>
      <c r="D35" s="56"/>
      <c r="E35" s="56"/>
      <c r="F35" s="114"/>
      <c r="G35" s="49"/>
      <c r="H35" s="49"/>
      <c r="I35" s="50"/>
      <c r="J35" s="51"/>
      <c r="K35" s="51"/>
      <c r="L35" s="49"/>
      <c r="M35" s="49"/>
      <c r="N35" s="49"/>
      <c r="O35" s="70"/>
      <c r="P35" s="51"/>
      <c r="Q35" s="51"/>
      <c r="R35" s="49"/>
      <c r="S35" s="49"/>
      <c r="T35" s="50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</row>
    <row r="36" spans="1:37" x14ac:dyDescent="0.25">
      <c r="A36" s="113" t="s">
        <v>29</v>
      </c>
      <c r="B36" s="55" t="s">
        <v>40</v>
      </c>
      <c r="C36" s="56">
        <v>400</v>
      </c>
      <c r="D36" s="56"/>
      <c r="E36" s="56"/>
      <c r="F36" s="114"/>
      <c r="G36" s="49"/>
      <c r="H36" s="49"/>
      <c r="I36" s="50"/>
      <c r="J36" s="51"/>
      <c r="K36" s="51"/>
      <c r="L36" s="49"/>
      <c r="M36" s="49"/>
      <c r="N36" s="49"/>
      <c r="O36" s="70"/>
      <c r="P36" s="51"/>
      <c r="Q36" s="51"/>
      <c r="R36" s="49"/>
      <c r="S36" s="49"/>
      <c r="T36" s="50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</row>
    <row r="37" spans="1:37" x14ac:dyDescent="0.25">
      <c r="A37" s="113" t="s">
        <v>33</v>
      </c>
      <c r="B37" s="55" t="s">
        <v>37</v>
      </c>
      <c r="C37" s="56">
        <v>25.8</v>
      </c>
      <c r="D37" s="56"/>
      <c r="E37" s="56"/>
      <c r="F37" s="114"/>
      <c r="G37" s="49"/>
      <c r="H37" s="49"/>
      <c r="I37" s="50"/>
      <c r="J37" s="51"/>
      <c r="K37" s="51"/>
      <c r="L37" s="49"/>
      <c r="M37" s="49"/>
      <c r="N37" s="49"/>
      <c r="O37" s="70"/>
      <c r="P37" s="51"/>
      <c r="Q37" s="51"/>
      <c r="R37" s="49"/>
      <c r="S37" s="49"/>
      <c r="T37" s="50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</row>
    <row r="38" spans="1:37" x14ac:dyDescent="0.25">
      <c r="A38" s="113" t="s">
        <v>34</v>
      </c>
      <c r="B38" s="55" t="s">
        <v>37</v>
      </c>
      <c r="C38" s="56">
        <v>31.8</v>
      </c>
      <c r="D38" s="56"/>
      <c r="E38" s="56"/>
      <c r="F38" s="114"/>
      <c r="G38" s="49"/>
      <c r="H38" s="49"/>
      <c r="I38" s="50"/>
      <c r="J38" s="51"/>
      <c r="K38" s="51"/>
      <c r="L38" s="49"/>
      <c r="M38" s="49"/>
      <c r="N38" s="49"/>
      <c r="O38" s="70"/>
      <c r="P38" s="51"/>
      <c r="Q38" s="51"/>
      <c r="R38" s="49"/>
      <c r="S38" s="49"/>
      <c r="T38" s="50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</row>
    <row r="39" spans="1:37" ht="15.75" thickBot="1" x14ac:dyDescent="0.3">
      <c r="A39" s="115" t="s">
        <v>35</v>
      </c>
      <c r="B39" s="116" t="s">
        <v>40</v>
      </c>
      <c r="C39" s="118">
        <v>178.5</v>
      </c>
      <c r="D39" s="118"/>
      <c r="E39" s="118"/>
      <c r="F39" s="119"/>
      <c r="G39" s="49"/>
      <c r="H39" s="49"/>
      <c r="I39" s="50"/>
      <c r="J39" s="51"/>
      <c r="K39" s="51"/>
      <c r="L39" s="49"/>
      <c r="M39" s="49"/>
      <c r="N39" s="49"/>
      <c r="O39" s="70"/>
      <c r="P39" s="51"/>
      <c r="Q39" s="51"/>
      <c r="R39" s="49"/>
      <c r="S39" s="49"/>
      <c r="T39" s="50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</row>
    <row r="40" spans="1:37" x14ac:dyDescent="0.25">
      <c r="A40" s="49"/>
      <c r="B40" s="50"/>
      <c r="C40" s="49"/>
      <c r="D40" s="49"/>
      <c r="E40" s="49"/>
      <c r="F40" s="49"/>
      <c r="G40" s="49"/>
      <c r="H40" s="49"/>
      <c r="I40" s="50"/>
      <c r="J40" s="51"/>
      <c r="K40" s="51"/>
      <c r="L40" s="49"/>
      <c r="M40" s="49"/>
      <c r="N40" s="49"/>
      <c r="O40" s="70"/>
      <c r="P40" s="51"/>
      <c r="Q40" s="51"/>
      <c r="R40" s="49"/>
      <c r="S40" s="49"/>
      <c r="T40" s="50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</row>
    <row r="41" spans="1:37" x14ac:dyDescent="0.25">
      <c r="A41" s="65"/>
      <c r="B41" s="50"/>
      <c r="C41" s="49"/>
      <c r="D41" s="49"/>
      <c r="E41" s="49"/>
      <c r="F41" s="49"/>
      <c r="G41" s="49"/>
      <c r="H41" s="49"/>
      <c r="I41" s="50"/>
      <c r="J41" s="51"/>
      <c r="K41" s="51"/>
      <c r="L41" s="49"/>
      <c r="M41" s="49"/>
      <c r="N41" s="49"/>
      <c r="O41" s="70"/>
      <c r="P41" s="51"/>
      <c r="Q41" s="51"/>
      <c r="R41" s="49"/>
      <c r="S41" s="49"/>
      <c r="T41" s="50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</row>
    <row r="42" spans="1:37" x14ac:dyDescent="0.25">
      <c r="A42" s="50"/>
      <c r="B42" s="50"/>
      <c r="C42" s="49"/>
      <c r="D42" s="49"/>
      <c r="E42" s="49"/>
      <c r="F42" s="49"/>
      <c r="G42" s="49"/>
      <c r="H42" s="49"/>
      <c r="I42" s="50"/>
      <c r="J42" s="51"/>
      <c r="K42" s="51"/>
      <c r="L42" s="49"/>
      <c r="M42" s="49"/>
      <c r="N42" s="49"/>
      <c r="O42" s="70"/>
      <c r="P42" s="51"/>
      <c r="Q42" s="51"/>
      <c r="R42" s="49"/>
      <c r="S42" s="49"/>
      <c r="T42" s="50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</row>
    <row r="43" spans="1:37" x14ac:dyDescent="0.25">
      <c r="A43" s="50"/>
      <c r="B43" s="50"/>
      <c r="C43" s="49"/>
      <c r="D43" s="49"/>
      <c r="E43" s="49"/>
      <c r="F43" s="49"/>
      <c r="G43" s="49"/>
      <c r="H43" s="49"/>
      <c r="I43" s="50"/>
      <c r="J43" s="51"/>
      <c r="K43" s="51"/>
      <c r="L43" s="49"/>
      <c r="M43" s="49"/>
      <c r="N43" s="49"/>
      <c r="O43" s="70"/>
      <c r="P43" s="51"/>
      <c r="Q43" s="51"/>
      <c r="R43" s="49"/>
      <c r="S43" s="49"/>
      <c r="T43" s="50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</row>
    <row r="44" spans="1:37" x14ac:dyDescent="0.25">
      <c r="A44" s="49"/>
      <c r="B44" s="50"/>
      <c r="C44" s="49"/>
      <c r="D44" s="49"/>
      <c r="E44" s="49"/>
      <c r="F44" s="49"/>
      <c r="G44" s="49"/>
      <c r="H44" s="49"/>
      <c r="I44" s="50"/>
      <c r="J44" s="51"/>
      <c r="K44" s="51"/>
      <c r="L44" s="49"/>
      <c r="M44" s="49"/>
      <c r="N44" s="49"/>
      <c r="O44" s="70"/>
      <c r="P44" s="51"/>
      <c r="Q44" s="51"/>
      <c r="R44" s="49"/>
      <c r="S44" s="49"/>
      <c r="T44" s="50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</row>
    <row r="45" spans="1:37" x14ac:dyDescent="0.25">
      <c r="G45" s="49"/>
      <c r="H45" s="49"/>
      <c r="I45" s="50"/>
      <c r="J45" s="51"/>
      <c r="K45" s="51"/>
      <c r="L45" s="49"/>
      <c r="M45" s="49"/>
      <c r="N45" s="49"/>
      <c r="O45" s="70"/>
      <c r="P45" s="51"/>
      <c r="Q45" s="51"/>
      <c r="R45" s="49"/>
      <c r="S45" s="49"/>
      <c r="T45" s="50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</row>
    <row r="46" spans="1:37" x14ac:dyDescent="0.25">
      <c r="H46" s="76" t="s">
        <v>144</v>
      </c>
      <c r="I46" s="76"/>
      <c r="J46" s="76"/>
      <c r="K46" s="76"/>
      <c r="L46" s="76"/>
      <c r="N46" s="77" t="s">
        <v>44</v>
      </c>
      <c r="O46" s="77"/>
      <c r="P46" s="77"/>
      <c r="Q46" s="77"/>
      <c r="R46" s="77"/>
      <c r="T46" s="50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</row>
    <row r="47" spans="1:37" x14ac:dyDescent="0.25">
      <c r="T47" s="50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</row>
    <row r="48" spans="1:37" x14ac:dyDescent="0.25">
      <c r="I48" s="8" t="s">
        <v>49</v>
      </c>
      <c r="J48" s="15"/>
      <c r="K48" s="15"/>
      <c r="L48" s="3"/>
      <c r="N48" s="3" t="s">
        <v>232</v>
      </c>
      <c r="O48" s="7" t="s">
        <v>49</v>
      </c>
      <c r="P48" s="15" t="str">
        <f>J101</f>
        <v>Uden RGK</v>
      </c>
      <c r="Q48" s="15" t="str">
        <f t="shared" ref="Q48:R48" si="0">K101</f>
        <v>Med 100% RGK</v>
      </c>
      <c r="R48" s="15" t="str">
        <f t="shared" si="0"/>
        <v>RGK ift. nominel</v>
      </c>
      <c r="T48" s="50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</row>
    <row r="49" spans="8:37" x14ac:dyDescent="0.25">
      <c r="H49" s="3" t="s">
        <v>137</v>
      </c>
      <c r="I49" s="8"/>
      <c r="J49" s="15" t="s">
        <v>0</v>
      </c>
      <c r="K49" s="15" t="s">
        <v>1</v>
      </c>
      <c r="L49" s="4" t="s">
        <v>152</v>
      </c>
      <c r="N49" s="14" t="str">
        <f t="shared" ref="N49:R51" si="1">H114</f>
        <v>Indtægter total</v>
      </c>
      <c r="O49" s="74" t="str">
        <f t="shared" si="1"/>
        <v>tkr</v>
      </c>
      <c r="P49" s="18">
        <f t="shared" si="1"/>
        <v>16136472.253459308</v>
      </c>
      <c r="Q49" s="18">
        <f t="shared" si="1"/>
        <v>15652263.443326186</v>
      </c>
      <c r="R49" s="18">
        <f t="shared" si="1"/>
        <v>-484208.81013312191</v>
      </c>
      <c r="T49" s="50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</row>
    <row r="50" spans="8:37" x14ac:dyDescent="0.25">
      <c r="H50" s="6" t="s">
        <v>51</v>
      </c>
      <c r="I50" s="8"/>
      <c r="J50" s="12">
        <f>24*C$11</f>
        <v>744</v>
      </c>
      <c r="K50" s="12">
        <f>24*D$11</f>
        <v>744</v>
      </c>
      <c r="N50" s="14" t="str">
        <f t="shared" si="1"/>
        <v>Omkostninger total</v>
      </c>
      <c r="O50" s="74" t="str">
        <f t="shared" si="1"/>
        <v>tkr</v>
      </c>
      <c r="P50" s="18">
        <f t="shared" si="1"/>
        <v>8158905.7849090286</v>
      </c>
      <c r="Q50" s="18">
        <f t="shared" si="1"/>
        <v>7571194.7616575705</v>
      </c>
      <c r="R50" s="18">
        <f t="shared" si="1"/>
        <v>-587711.02325145807</v>
      </c>
      <c r="T50" s="50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</row>
    <row r="51" spans="8:37" x14ac:dyDescent="0.25">
      <c r="H51" s="6" t="s">
        <v>52</v>
      </c>
      <c r="I51" s="5" t="s">
        <v>43</v>
      </c>
      <c r="J51" s="16">
        <f>J50*C12</f>
        <v>7068</v>
      </c>
      <c r="K51" s="16">
        <f>K50*D12</f>
        <v>16740</v>
      </c>
      <c r="L51" s="16">
        <f>SUM(J51:K51)</f>
        <v>23808</v>
      </c>
      <c r="N51" s="14" t="str">
        <f t="shared" si="1"/>
        <v>Dækningsbidrag</v>
      </c>
      <c r="O51" s="74" t="str">
        <f t="shared" si="1"/>
        <v>tkr</v>
      </c>
      <c r="P51" s="18">
        <f t="shared" si="1"/>
        <v>7977566.4685502797</v>
      </c>
      <c r="Q51" s="18">
        <f t="shared" si="1"/>
        <v>8081068.6816686159</v>
      </c>
      <c r="R51" s="18">
        <f t="shared" si="1"/>
        <v>103502.21311833616</v>
      </c>
      <c r="T51" s="50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</row>
    <row r="52" spans="8:37" x14ac:dyDescent="0.25">
      <c r="H52" s="6" t="s">
        <v>65</v>
      </c>
      <c r="I52" s="14" t="s">
        <v>43</v>
      </c>
      <c r="J52" s="16">
        <f>EtaRgkOvn2/EtaQNomOvn2*J51</f>
        <v>1488</v>
      </c>
      <c r="K52" s="16">
        <f>EtaRgkOvn3/EtaQNomOvn3*K51</f>
        <v>4092</v>
      </c>
      <c r="L52" s="16">
        <f t="shared" ref="L52:L55" si="2">SUM(J52:K52)</f>
        <v>5580</v>
      </c>
      <c r="N52" s="3"/>
      <c r="O52" s="7"/>
      <c r="P52" s="15"/>
      <c r="Q52" s="15"/>
      <c r="R52" s="15"/>
      <c r="T52" s="50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</row>
    <row r="53" spans="8:37" x14ac:dyDescent="0.25">
      <c r="H53" s="6" t="s">
        <v>66</v>
      </c>
      <c r="I53" s="14" t="s">
        <v>43</v>
      </c>
      <c r="J53" s="16">
        <f>SUM(J51:J52)</f>
        <v>8556</v>
      </c>
      <c r="K53" s="16">
        <f>SUM(K51:K52)</f>
        <v>20832</v>
      </c>
      <c r="L53" s="16">
        <f t="shared" si="2"/>
        <v>29388</v>
      </c>
      <c r="N53" s="14" t="str">
        <f>H102</f>
        <v>Varmesalg</v>
      </c>
      <c r="O53" s="74" t="str">
        <f t="shared" ref="O53:R56" si="3">I102</f>
        <v>tkr</v>
      </c>
      <c r="P53" s="17">
        <f t="shared" si="3"/>
        <v>7404288</v>
      </c>
      <c r="Q53" s="17">
        <f t="shared" si="3"/>
        <v>7464000</v>
      </c>
      <c r="R53" s="18">
        <f t="shared" si="3"/>
        <v>59712</v>
      </c>
      <c r="T53" s="50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</row>
    <row r="54" spans="8:37" x14ac:dyDescent="0.25">
      <c r="H54" s="6" t="s">
        <v>53</v>
      </c>
      <c r="I54" s="5" t="s">
        <v>54</v>
      </c>
      <c r="J54" s="12">
        <f>J51/EtaQNomOvn2</f>
        <v>8374.4075829383892</v>
      </c>
      <c r="K54" s="12">
        <f>K51/EtaQNomOvn3</f>
        <v>25518.292682926829</v>
      </c>
      <c r="L54" s="16">
        <f t="shared" si="2"/>
        <v>33892.70026586522</v>
      </c>
      <c r="N54" s="14" t="str">
        <f>H103</f>
        <v>Elsalg</v>
      </c>
      <c r="O54" s="74" t="str">
        <f t="shared" si="3"/>
        <v>tkr</v>
      </c>
      <c r="P54" s="17">
        <f t="shared" si="3"/>
        <v>3947332.4512195126</v>
      </c>
      <c r="Q54" s="17">
        <f t="shared" si="3"/>
        <v>3947332.4512195126</v>
      </c>
      <c r="R54" s="18">
        <f t="shared" si="3"/>
        <v>0</v>
      </c>
      <c r="T54" s="50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</row>
    <row r="55" spans="8:37" x14ac:dyDescent="0.25">
      <c r="H55" s="6" t="s">
        <v>55</v>
      </c>
      <c r="I55" s="14" t="s">
        <v>17</v>
      </c>
      <c r="J55" s="16">
        <f>J54*3.6/Htotal</f>
        <v>2955.6732645664906</v>
      </c>
      <c r="K55" s="16">
        <f>K54/(Htotal/3.6)</f>
        <v>9006.456241033</v>
      </c>
      <c r="L55" s="16">
        <f t="shared" si="2"/>
        <v>11962.129505599491</v>
      </c>
      <c r="N55" s="14" t="str">
        <f>H104</f>
        <v>RGK-rabat</v>
      </c>
      <c r="O55" s="74" t="str">
        <f t="shared" si="3"/>
        <v>tkr</v>
      </c>
      <c r="P55" s="17">
        <f t="shared" si="3"/>
        <v>0</v>
      </c>
      <c r="Q55" s="17">
        <f t="shared" si="3"/>
        <v>200593.80181097562</v>
      </c>
      <c r="R55" s="18">
        <f t="shared" si="3"/>
        <v>200593.80181097562</v>
      </c>
      <c r="T55" s="50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</row>
    <row r="56" spans="8:37" x14ac:dyDescent="0.25">
      <c r="H56" s="5"/>
      <c r="J56" s="16"/>
      <c r="K56" s="16"/>
      <c r="N56" s="14" t="str">
        <f>H105</f>
        <v>Modtagebetaling affald</v>
      </c>
      <c r="O56" s="74" t="str">
        <f t="shared" si="3"/>
        <v>tkr</v>
      </c>
      <c r="P56" s="17">
        <f t="shared" si="3"/>
        <v>4784851.8022397961</v>
      </c>
      <c r="Q56" s="17">
        <f t="shared" si="3"/>
        <v>4040337.1902956986</v>
      </c>
      <c r="R56" s="18">
        <f t="shared" si="3"/>
        <v>-744514.61194409756</v>
      </c>
      <c r="T56" s="50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</row>
    <row r="57" spans="8:37" x14ac:dyDescent="0.25">
      <c r="H57" s="7" t="s">
        <v>138</v>
      </c>
      <c r="J57" s="15" t="s">
        <v>45</v>
      </c>
      <c r="K57" s="15" t="str">
        <f>"Med "&amp;TEXT(RGKudnyttelse,"0%")&amp;" RGK"</f>
        <v>Med 100% RGK</v>
      </c>
      <c r="L57" s="3" t="s">
        <v>141</v>
      </c>
      <c r="N57" s="14"/>
      <c r="O57" s="74"/>
      <c r="P57" s="18"/>
      <c r="Q57" s="18"/>
      <c r="R57" s="18"/>
      <c r="T57" s="50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</row>
    <row r="58" spans="8:37" x14ac:dyDescent="0.25">
      <c r="H58" s="6" t="s">
        <v>57</v>
      </c>
      <c r="I58" s="5" t="s">
        <v>43</v>
      </c>
      <c r="J58" s="16">
        <f>MIN(Qdemand,K51,EtaQNomOvn3*Ftotal*Htotal/3.6)</f>
        <v>16740</v>
      </c>
      <c r="K58" s="16">
        <f>MIN(Qdemand,K53,EtaQmaxOvn3*Ftotal*Htotal/3.6)</f>
        <v>20832</v>
      </c>
      <c r="L58" s="12">
        <f>K58-J58</f>
        <v>4092</v>
      </c>
      <c r="N58" s="14" t="str">
        <f t="shared" ref="N58:N63" si="4">H107</f>
        <v>Betaling bioaffald</v>
      </c>
      <c r="O58" s="74" t="str">
        <f t="shared" ref="O58:O63" si="5">I107</f>
        <v>tkr</v>
      </c>
      <c r="P58" s="18">
        <f t="shared" ref="P58:P63" si="6">J107</f>
        <v>0</v>
      </c>
      <c r="Q58" s="18">
        <f t="shared" ref="Q58:Q63" si="7">K107</f>
        <v>0</v>
      </c>
      <c r="R58" s="18">
        <f t="shared" ref="R58:R63" si="8">L107</f>
        <v>0</v>
      </c>
      <c r="T58" s="50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</row>
    <row r="59" spans="8:37" x14ac:dyDescent="0.25">
      <c r="H59" s="5" t="s">
        <v>60</v>
      </c>
      <c r="I59" s="5" t="s">
        <v>17</v>
      </c>
      <c r="J59" s="12">
        <f>$J$58/EtaQNomOvn3/(Htotal/3.6)</f>
        <v>9006.456241033</v>
      </c>
      <c r="K59" s="12">
        <f>$K$58/EtaQmaxOvn3/(Htotal/3.6)</f>
        <v>9006.456241033</v>
      </c>
      <c r="L59" s="12">
        <f t="shared" ref="L59:L99" si="9">K59-J59</f>
        <v>0</v>
      </c>
      <c r="N59" s="14" t="str">
        <f t="shared" si="4"/>
        <v>DV-omkostninger</v>
      </c>
      <c r="O59" s="74" t="str">
        <f t="shared" si="5"/>
        <v>tkr</v>
      </c>
      <c r="P59" s="17">
        <f t="shared" si="6"/>
        <v>1049040</v>
      </c>
      <c r="Q59" s="17">
        <f t="shared" si="7"/>
        <v>1099354.221690486</v>
      </c>
      <c r="R59" s="18">
        <f t="shared" si="8"/>
        <v>50314.221690485952</v>
      </c>
      <c r="T59" s="50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</row>
    <row r="60" spans="8:37" x14ac:dyDescent="0.25">
      <c r="H60" s="5" t="s">
        <v>58</v>
      </c>
      <c r="I60" s="5" t="s">
        <v>43</v>
      </c>
      <c r="J60" s="16">
        <f>Qdemand-J58</f>
        <v>11260</v>
      </c>
      <c r="K60" s="16">
        <f>Qdemand-K58</f>
        <v>7168</v>
      </c>
      <c r="L60" s="12">
        <f t="shared" si="9"/>
        <v>-4092</v>
      </c>
      <c r="N60" s="14" t="str">
        <f t="shared" si="4"/>
        <v>Affaldvarme-afgift</v>
      </c>
      <c r="O60" s="74" t="str">
        <f t="shared" si="5"/>
        <v>tkr</v>
      </c>
      <c r="P60" s="17">
        <f t="shared" si="6"/>
        <v>2211287.04</v>
      </c>
      <c r="Q60" s="17">
        <f t="shared" si="7"/>
        <v>2229120</v>
      </c>
      <c r="R60" s="18">
        <f t="shared" si="8"/>
        <v>17832.959999999963</v>
      </c>
      <c r="T60" s="50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</row>
    <row r="61" spans="8:37" x14ac:dyDescent="0.25">
      <c r="H61" s="5" t="s">
        <v>59</v>
      </c>
      <c r="I61" s="5" t="s">
        <v>17</v>
      </c>
      <c r="J61" s="16">
        <f>Ftotal-J59</f>
        <v>2993.543758967</v>
      </c>
      <c r="K61" s="16">
        <f>Ftotal-K59</f>
        <v>2993.543758967</v>
      </c>
      <c r="L61" s="12">
        <f t="shared" si="9"/>
        <v>0</v>
      </c>
      <c r="N61" s="14" t="str">
        <f t="shared" si="4"/>
        <v>Tillægsafgift</v>
      </c>
      <c r="O61" s="74" t="str">
        <f t="shared" si="5"/>
        <v>tkr</v>
      </c>
      <c r="P61" s="18">
        <f t="shared" si="6"/>
        <v>2271283.2000000002</v>
      </c>
      <c r="Q61" s="18">
        <f t="shared" si="7"/>
        <v>2005938.0181097561</v>
      </c>
      <c r="R61" s="18">
        <f t="shared" si="8"/>
        <v>-265345.18189024413</v>
      </c>
      <c r="T61" s="50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</row>
    <row r="62" spans="8:37" x14ac:dyDescent="0.25">
      <c r="H62" s="6" t="s">
        <v>63</v>
      </c>
      <c r="I62" s="5" t="s">
        <v>43</v>
      </c>
      <c r="J62" s="16">
        <f>MIN(J60,NSvarme)</f>
        <v>4000</v>
      </c>
      <c r="K62" s="16">
        <f>MIN(K60,NSvarme)</f>
        <v>4000</v>
      </c>
      <c r="L62" s="12">
        <f t="shared" si="9"/>
        <v>0</v>
      </c>
      <c r="N62" s="14" t="str">
        <f t="shared" si="4"/>
        <v>CO2-afgift</v>
      </c>
      <c r="O62" s="74" t="str">
        <f t="shared" si="5"/>
        <v>tkr</v>
      </c>
      <c r="P62" s="18">
        <f t="shared" si="6"/>
        <v>471719.80799999996</v>
      </c>
      <c r="Q62" s="18">
        <f t="shared" si="7"/>
        <v>416610.61762911582</v>
      </c>
      <c r="R62" s="18">
        <f t="shared" si="8"/>
        <v>-55109.190370884142</v>
      </c>
      <c r="T62" s="50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</row>
    <row r="63" spans="8:37" x14ac:dyDescent="0.25">
      <c r="H63" s="5" t="s">
        <v>58</v>
      </c>
      <c r="I63" s="5" t="s">
        <v>43</v>
      </c>
      <c r="J63" s="16">
        <f>J60-J62</f>
        <v>7260</v>
      </c>
      <c r="K63" s="16">
        <f>K60-K62</f>
        <v>3168</v>
      </c>
      <c r="L63" s="12">
        <f t="shared" si="9"/>
        <v>-4092</v>
      </c>
      <c r="N63" s="14" t="str">
        <f t="shared" si="4"/>
        <v>Kvote-omkostning</v>
      </c>
      <c r="O63" s="74" t="str">
        <f t="shared" si="5"/>
        <v>tkr</v>
      </c>
      <c r="P63" s="18">
        <f t="shared" si="6"/>
        <v>2155575.7369090281</v>
      </c>
      <c r="Q63" s="18">
        <f t="shared" si="7"/>
        <v>1820171.9042282121</v>
      </c>
      <c r="R63" s="18">
        <f t="shared" si="8"/>
        <v>-335403.83268081606</v>
      </c>
      <c r="T63" s="50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</row>
    <row r="64" spans="8:37" x14ac:dyDescent="0.25">
      <c r="H64" s="6" t="s">
        <v>64</v>
      </c>
      <c r="I64" s="5" t="s">
        <v>43</v>
      </c>
      <c r="J64" s="16">
        <f>MIN($J$63,J51,EtaQNomOvn2*(J61*Htotal)/3.6)</f>
        <v>7068</v>
      </c>
      <c r="K64" s="16">
        <f>MIN($K$63,J53,EtaQmaxOvn2*(K61*Htotal)/3.6)</f>
        <v>3168</v>
      </c>
      <c r="L64" s="12">
        <f t="shared" si="9"/>
        <v>-3900</v>
      </c>
      <c r="N64" s="14"/>
      <c r="O64" s="74"/>
      <c r="P64" s="18"/>
      <c r="Q64" s="18"/>
      <c r="R64" s="18"/>
      <c r="T64" s="50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</row>
    <row r="65" spans="8:37" x14ac:dyDescent="0.25">
      <c r="H65" s="5" t="s">
        <v>60</v>
      </c>
      <c r="I65" s="5" t="s">
        <v>17</v>
      </c>
      <c r="J65" s="16">
        <f>$J$64/EtaQNomOvn2/(Htotal/3.6)</f>
        <v>2955.6732645664906</v>
      </c>
      <c r="K65" s="16">
        <f>$K$64/EtaQmaxOvn2/(Htotal/3.6)</f>
        <v>1094.3867347062462</v>
      </c>
      <c r="L65" s="12">
        <f t="shared" si="9"/>
        <v>-1861.2865298602444</v>
      </c>
      <c r="N65" s="7" t="s">
        <v>233</v>
      </c>
      <c r="O65" s="6"/>
      <c r="P65" s="15" t="str">
        <f>P48</f>
        <v>Uden RGK</v>
      </c>
      <c r="Q65" s="15" t="str">
        <f>Q48</f>
        <v>Med 100% RGK</v>
      </c>
      <c r="R65" s="12"/>
      <c r="T65" s="50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</row>
    <row r="66" spans="8:37" x14ac:dyDescent="0.25">
      <c r="H66" s="5" t="s">
        <v>58</v>
      </c>
      <c r="I66" s="5" t="s">
        <v>43</v>
      </c>
      <c r="J66" s="16">
        <f>J63-J64</f>
        <v>192</v>
      </c>
      <c r="K66" s="16">
        <f>K63-K64</f>
        <v>0</v>
      </c>
      <c r="L66" s="12">
        <f t="shared" si="9"/>
        <v>-192</v>
      </c>
      <c r="N66" s="5" t="str">
        <f>H84</f>
        <v>Varmeproduktion Ovn2</v>
      </c>
      <c r="O66" s="6" t="s">
        <v>43</v>
      </c>
      <c r="P66" s="12">
        <f>J84</f>
        <v>7068</v>
      </c>
      <c r="Q66" s="12">
        <f>K84</f>
        <v>3168</v>
      </c>
      <c r="R66" s="12">
        <f>Q66-P66</f>
        <v>-3900</v>
      </c>
      <c r="T66" s="50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</row>
    <row r="67" spans="8:37" x14ac:dyDescent="0.25">
      <c r="H67" s="5" t="s">
        <v>59</v>
      </c>
      <c r="I67" s="5" t="s">
        <v>17</v>
      </c>
      <c r="J67" s="16">
        <f>J61-J65</f>
        <v>37.870494400509415</v>
      </c>
      <c r="K67" s="16">
        <f>K61-K65</f>
        <v>1899.1570242607538</v>
      </c>
      <c r="L67" s="12">
        <f t="shared" si="9"/>
        <v>1861.2865298602444</v>
      </c>
      <c r="N67" s="5" t="str">
        <f>H85</f>
        <v>Varmeproduktion Ovn3</v>
      </c>
      <c r="O67" s="6" t="s">
        <v>43</v>
      </c>
      <c r="P67" s="12">
        <f>J85</f>
        <v>16740</v>
      </c>
      <c r="Q67" s="12">
        <f>K85</f>
        <v>20832</v>
      </c>
      <c r="R67" s="12">
        <f t="shared" ref="R67:R71" si="10">Q67-P67</f>
        <v>4092</v>
      </c>
      <c r="T67" s="50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</row>
    <row r="68" spans="8:37" x14ac:dyDescent="0.25">
      <c r="H68" s="6" t="s">
        <v>67</v>
      </c>
      <c r="I68" s="5" t="s">
        <v>43</v>
      </c>
      <c r="J68" s="16">
        <f>J58+J64</f>
        <v>23808</v>
      </c>
      <c r="K68" s="16">
        <f>K58+K64</f>
        <v>24000</v>
      </c>
      <c r="L68" s="12">
        <f t="shared" si="9"/>
        <v>192</v>
      </c>
      <c r="N68" s="5" t="str">
        <f>H87</f>
        <v>Heraf RGK-varme</v>
      </c>
      <c r="O68" s="6" t="s">
        <v>43</v>
      </c>
      <c r="P68" s="12">
        <f>J87</f>
        <v>0</v>
      </c>
      <c r="Q68" s="12">
        <f>K87</f>
        <v>5031.4221690485911</v>
      </c>
      <c r="R68" s="12">
        <f t="shared" si="10"/>
        <v>5031.4221690485911</v>
      </c>
      <c r="T68" s="50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</row>
    <row r="69" spans="8:37" x14ac:dyDescent="0.25">
      <c r="H69" s="6" t="s">
        <v>68</v>
      </c>
      <c r="I69" s="5" t="s">
        <v>43</v>
      </c>
      <c r="J69" s="16">
        <f>J66</f>
        <v>192</v>
      </c>
      <c r="K69" s="16">
        <f>K66</f>
        <v>0</v>
      </c>
      <c r="L69" s="12">
        <f t="shared" si="9"/>
        <v>-192</v>
      </c>
      <c r="N69" s="5" t="str">
        <f>H78</f>
        <v>Bortkølet varme</v>
      </c>
      <c r="O69" s="6" t="s">
        <v>43</v>
      </c>
      <c r="P69" s="12">
        <f>J78</f>
        <v>0</v>
      </c>
      <c r="Q69" s="12">
        <f>K78</f>
        <v>0</v>
      </c>
      <c r="R69" s="12">
        <f t="shared" si="10"/>
        <v>0</v>
      </c>
      <c r="T69" s="50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</row>
    <row r="70" spans="8:37" x14ac:dyDescent="0.25">
      <c r="H70" s="5" t="s">
        <v>98</v>
      </c>
      <c r="I70" s="5" t="s">
        <v>43</v>
      </c>
      <c r="J70" s="12">
        <f>$J$51-EtaQNomOvn2*J65*Htotal/3.6</f>
        <v>0</v>
      </c>
      <c r="K70" s="12">
        <f>J70</f>
        <v>0</v>
      </c>
      <c r="L70" s="12">
        <f t="shared" si="9"/>
        <v>0</v>
      </c>
      <c r="N70" s="5" t="str">
        <f>H90</f>
        <v>Leveret varme</v>
      </c>
      <c r="O70" s="6" t="s">
        <v>43</v>
      </c>
      <c r="P70" s="12">
        <f>J90</f>
        <v>23808</v>
      </c>
      <c r="Q70" s="12">
        <f>K90</f>
        <v>24000</v>
      </c>
      <c r="R70" s="12">
        <f t="shared" si="10"/>
        <v>192</v>
      </c>
      <c r="T70" s="50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</row>
    <row r="71" spans="8:37" x14ac:dyDescent="0.25">
      <c r="H71" s="5" t="s">
        <v>99</v>
      </c>
      <c r="I71" s="5" t="s">
        <v>43</v>
      </c>
      <c r="J71" s="12">
        <f>$K$51-EtaQNomOvn3*J59*Htotal/3.6</f>
        <v>0</v>
      </c>
      <c r="K71" s="12">
        <f>J71</f>
        <v>0</v>
      </c>
      <c r="L71" s="12">
        <f t="shared" si="9"/>
        <v>0</v>
      </c>
      <c r="N71" s="5" t="str">
        <f>H91</f>
        <v>Spidslastvarme</v>
      </c>
      <c r="O71" s="6" t="s">
        <v>43</v>
      </c>
      <c r="P71" s="12">
        <f>J91</f>
        <v>4192</v>
      </c>
      <c r="Q71" s="12">
        <f>K91</f>
        <v>4000</v>
      </c>
      <c r="R71" s="12">
        <f t="shared" si="10"/>
        <v>-192</v>
      </c>
      <c r="T71" s="50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</row>
    <row r="72" spans="8:37" x14ac:dyDescent="0.25">
      <c r="H72" s="5" t="s">
        <v>101</v>
      </c>
      <c r="I72" s="5" t="s">
        <v>43</v>
      </c>
      <c r="J72" s="12">
        <f>MIN(J71,EtaQNomOvn3*J67*Htotal/3.6,24*E11*KapQcool)</f>
        <v>0</v>
      </c>
      <c r="K72" s="12">
        <f>MIN(K71,EtaQNomOvn3*K67*Htotal/3.6,24*E11*KapQcool)</f>
        <v>0</v>
      </c>
      <c r="L72" s="12">
        <f t="shared" si="9"/>
        <v>0</v>
      </c>
      <c r="N72" s="5"/>
      <c r="O72" s="6"/>
      <c r="P72" s="18"/>
      <c r="Q72" s="18"/>
      <c r="R72" s="12"/>
      <c r="T72" s="50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</row>
    <row r="73" spans="8:37" x14ac:dyDescent="0.25">
      <c r="H73" s="5" t="s">
        <v>102</v>
      </c>
      <c r="I73" s="5" t="s">
        <v>17</v>
      </c>
      <c r="J73" s="12">
        <f>J72/EtaQNomOvn3/(Htotal/3.6)</f>
        <v>0</v>
      </c>
      <c r="K73" s="12">
        <f>K72/EtaQNomOvn3/(Htotal/3.6)</f>
        <v>0</v>
      </c>
      <c r="L73" s="12">
        <f t="shared" si="9"/>
        <v>0</v>
      </c>
      <c r="N73" s="7" t="s">
        <v>234</v>
      </c>
      <c r="O73" s="6"/>
      <c r="P73" s="66" t="str">
        <f>P48</f>
        <v>Uden RGK</v>
      </c>
      <c r="Q73" s="66" t="str">
        <f>Q48</f>
        <v>Med 100% RGK</v>
      </c>
      <c r="R73" s="12"/>
      <c r="T73" s="50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</row>
    <row r="74" spans="8:37" x14ac:dyDescent="0.25">
      <c r="H74" s="5" t="s">
        <v>59</v>
      </c>
      <c r="I74" s="5" t="s">
        <v>17</v>
      </c>
      <c r="J74" s="12">
        <f>J67-J73</f>
        <v>37.870494400509415</v>
      </c>
      <c r="K74" s="12">
        <f>K67-K73</f>
        <v>1899.1570242607538</v>
      </c>
      <c r="L74" s="12">
        <f t="shared" si="9"/>
        <v>1861.2865298602444</v>
      </c>
      <c r="N74" s="5" t="s">
        <v>145</v>
      </c>
      <c r="O74" s="6" t="s">
        <v>17</v>
      </c>
      <c r="P74" s="12">
        <f>J59</f>
        <v>9006.456241033</v>
      </c>
      <c r="Q74" s="12">
        <f>K59</f>
        <v>9006.456241033</v>
      </c>
      <c r="R74" s="12">
        <f>Q74-P74</f>
        <v>0</v>
      </c>
      <c r="T74" s="50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</row>
    <row r="75" spans="8:37" x14ac:dyDescent="0.25">
      <c r="H75" s="5" t="s">
        <v>100</v>
      </c>
      <c r="I75" s="5" t="s">
        <v>43</v>
      </c>
      <c r="J75" s="12">
        <f>MIN(J70,EtaQNomOvn3*J74*Htotal/3.6,24*E11*KapQcool-J72)</f>
        <v>0</v>
      </c>
      <c r="K75" s="12">
        <f>MIN(K70,EtaQNomOvn3*K74*Htotal/3.6,24*E11*KapQcool-K72)</f>
        <v>0</v>
      </c>
      <c r="L75" s="12">
        <f t="shared" si="9"/>
        <v>0</v>
      </c>
      <c r="N75" s="5" t="s">
        <v>146</v>
      </c>
      <c r="O75" s="6" t="s">
        <v>43</v>
      </c>
      <c r="P75" s="12">
        <f>J62</f>
        <v>4000</v>
      </c>
      <c r="Q75" s="12">
        <f>K62</f>
        <v>4000</v>
      </c>
      <c r="R75" s="12">
        <f t="shared" ref="R75:R80" si="11">Q75-P75</f>
        <v>0</v>
      </c>
      <c r="T75" s="50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</row>
    <row r="76" spans="8:37" x14ac:dyDescent="0.25">
      <c r="H76" s="5" t="s">
        <v>103</v>
      </c>
      <c r="I76" s="5" t="s">
        <v>17</v>
      </c>
      <c r="J76" s="12">
        <f>J75/EtaQNomOvn2/(Htotal/3.6)</f>
        <v>0</v>
      </c>
      <c r="K76" s="12">
        <f>K75/EtaQNomOvn2/(Htotal/3.6)</f>
        <v>0</v>
      </c>
      <c r="L76" s="12">
        <f t="shared" si="9"/>
        <v>0</v>
      </c>
      <c r="N76" s="5" t="s">
        <v>147</v>
      </c>
      <c r="O76" s="6" t="s">
        <v>17</v>
      </c>
      <c r="P76" s="12">
        <f>J65</f>
        <v>2955.6732645664906</v>
      </c>
      <c r="Q76" s="12">
        <f>K65</f>
        <v>1094.3867347062462</v>
      </c>
      <c r="R76" s="12">
        <f t="shared" si="11"/>
        <v>-1861.2865298602444</v>
      </c>
      <c r="T76" s="50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</row>
    <row r="77" spans="8:37" x14ac:dyDescent="0.25">
      <c r="H77" s="5" t="s">
        <v>59</v>
      </c>
      <c r="I77" s="5" t="s">
        <v>17</v>
      </c>
      <c r="J77" s="12">
        <f>J74-J76</f>
        <v>37.870494400509415</v>
      </c>
      <c r="K77" s="12">
        <f>K74-K76</f>
        <v>1899.1570242607538</v>
      </c>
      <c r="L77" s="12">
        <f t="shared" si="9"/>
        <v>1861.2865298602444</v>
      </c>
      <c r="N77" s="5" t="s">
        <v>102</v>
      </c>
      <c r="O77" s="6" t="s">
        <v>17</v>
      </c>
      <c r="P77" s="12">
        <f>J73</f>
        <v>0</v>
      </c>
      <c r="Q77" s="12">
        <f>K73</f>
        <v>0</v>
      </c>
      <c r="R77" s="12">
        <f t="shared" si="11"/>
        <v>0</v>
      </c>
      <c r="T77" s="50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</row>
    <row r="78" spans="8:37" x14ac:dyDescent="0.25">
      <c r="H78" s="5" t="s">
        <v>46</v>
      </c>
      <c r="I78" s="5" t="s">
        <v>43</v>
      </c>
      <c r="J78" s="12">
        <f>J72+J75</f>
        <v>0</v>
      </c>
      <c r="K78" s="12">
        <f>K72+K75</f>
        <v>0</v>
      </c>
      <c r="L78" s="12">
        <f t="shared" si="9"/>
        <v>0</v>
      </c>
      <c r="N78" s="5" t="s">
        <v>103</v>
      </c>
      <c r="O78" s="6" t="s">
        <v>17</v>
      </c>
      <c r="P78" s="12">
        <f>J76</f>
        <v>0</v>
      </c>
      <c r="Q78" s="12">
        <f>K76</f>
        <v>0</v>
      </c>
      <c r="R78" s="12">
        <f t="shared" si="11"/>
        <v>0</v>
      </c>
      <c r="T78" s="50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</row>
    <row r="79" spans="8:37" x14ac:dyDescent="0.25">
      <c r="H79" s="5" t="s">
        <v>118</v>
      </c>
      <c r="I79" s="5" t="s">
        <v>17</v>
      </c>
      <c r="J79" s="12">
        <f>Ftotal-J80</f>
        <v>11962.129505599491</v>
      </c>
      <c r="K79" s="12">
        <f>Ftotal-K80</f>
        <v>10100.842975739246</v>
      </c>
      <c r="L79" s="12">
        <f t="shared" si="9"/>
        <v>-1861.2865298602446</v>
      </c>
      <c r="N79" s="5" t="s">
        <v>149</v>
      </c>
      <c r="O79" s="6" t="s">
        <v>17</v>
      </c>
      <c r="P79" s="12">
        <f>P74+SUM(P76:P78)</f>
        <v>11962.129505599491</v>
      </c>
      <c r="Q79" s="12">
        <f>Q74+SUM(Q76:Q78)</f>
        <v>10100.842975739246</v>
      </c>
      <c r="R79" s="12">
        <f t="shared" si="11"/>
        <v>-1861.2865298602446</v>
      </c>
      <c r="T79" s="50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</row>
    <row r="80" spans="8:37" x14ac:dyDescent="0.25">
      <c r="H80" s="5" t="s">
        <v>119</v>
      </c>
      <c r="I80" s="5" t="s">
        <v>17</v>
      </c>
      <c r="J80" s="16">
        <f>J67</f>
        <v>37.870494400509415</v>
      </c>
      <c r="K80" s="16">
        <f>K67</f>
        <v>1899.1570242607538</v>
      </c>
      <c r="L80" s="12">
        <f t="shared" si="9"/>
        <v>1861.2865298602444</v>
      </c>
      <c r="N80" s="5" t="s">
        <v>148</v>
      </c>
      <c r="O80" s="6" t="s">
        <v>17</v>
      </c>
      <c r="P80" s="16">
        <f>J80</f>
        <v>37.870494400509415</v>
      </c>
      <c r="Q80" s="16">
        <f>K80</f>
        <v>1899.1570242607538</v>
      </c>
      <c r="R80" s="12">
        <f t="shared" si="11"/>
        <v>1861.2865298602444</v>
      </c>
      <c r="T80" s="50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</row>
    <row r="81" spans="8:37" x14ac:dyDescent="0.25">
      <c r="H81" t="s">
        <v>47</v>
      </c>
      <c r="I81" s="5" t="s">
        <v>50</v>
      </c>
      <c r="J81" s="12">
        <f>EtaE*(J59+J73)*Htotal/3.6</f>
        <v>5733.9603658536589</v>
      </c>
      <c r="K81" s="12">
        <f>EtaE*(K59+K73)*Htotal/3.6</f>
        <v>5733.9603658536589</v>
      </c>
      <c r="L81" s="12">
        <f t="shared" si="9"/>
        <v>0</v>
      </c>
      <c r="O81" s="6"/>
      <c r="R81" s="12"/>
      <c r="T81" s="50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</row>
    <row r="82" spans="8:37" x14ac:dyDescent="0.25">
      <c r="H82" t="s">
        <v>6</v>
      </c>
      <c r="I82" s="5" t="s">
        <v>50</v>
      </c>
      <c r="J82" s="12">
        <f>$D$11*$D$15</f>
        <v>775</v>
      </c>
      <c r="K82" s="12">
        <f>$D$11*$D$15</f>
        <v>775</v>
      </c>
      <c r="L82" s="12">
        <f t="shared" si="9"/>
        <v>0</v>
      </c>
      <c r="N82" s="7" t="s">
        <v>235</v>
      </c>
      <c r="O82" s="6"/>
      <c r="P82" s="66" t="str">
        <f>P48</f>
        <v>Uden RGK</v>
      </c>
      <c r="Q82" s="66" t="str">
        <f>Q48</f>
        <v>Med 100% RGK</v>
      </c>
      <c r="R82" s="12"/>
      <c r="T82" s="50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</row>
    <row r="83" spans="8:37" x14ac:dyDescent="0.25">
      <c r="H83" t="s">
        <v>48</v>
      </c>
      <c r="I83" s="5" t="s">
        <v>50</v>
      </c>
      <c r="J83" s="12">
        <f>J81-J82</f>
        <v>4958.9603658536589</v>
      </c>
      <c r="K83" s="12">
        <f>K81-K82</f>
        <v>4958.9603658536589</v>
      </c>
      <c r="L83" s="12">
        <f t="shared" si="9"/>
        <v>0</v>
      </c>
      <c r="N83" s="5" t="s">
        <v>267</v>
      </c>
      <c r="O83" s="6"/>
      <c r="P83" s="2">
        <f>(P74+P77)/$K$55</f>
        <v>1</v>
      </c>
      <c r="Q83" s="2">
        <f>(Q74+Q77)/$K$55</f>
        <v>1</v>
      </c>
      <c r="R83" s="2">
        <f>Q83-P83</f>
        <v>0</v>
      </c>
      <c r="T83" s="50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</row>
    <row r="84" spans="8:37" x14ac:dyDescent="0.25">
      <c r="H84" t="s">
        <v>114</v>
      </c>
      <c r="I84" s="5" t="s">
        <v>43</v>
      </c>
      <c r="J84" s="12">
        <f>J64+J75</f>
        <v>7068</v>
      </c>
      <c r="K84" s="12">
        <f>K64+K75</f>
        <v>3168</v>
      </c>
      <c r="L84" s="12">
        <f t="shared" si="9"/>
        <v>-3900</v>
      </c>
      <c r="N84" s="5" t="s">
        <v>268</v>
      </c>
      <c r="O84" s="6"/>
      <c r="P84" s="2">
        <f>(P76+P78)/$J$55</f>
        <v>1</v>
      </c>
      <c r="Q84" s="2">
        <f>(Q76+Q78)/$J$55</f>
        <v>0.3702664796633941</v>
      </c>
      <c r="R84" s="2">
        <f t="shared" ref="R84:R87" si="12">Q84-P84</f>
        <v>-0.6297335203366059</v>
      </c>
      <c r="T84" s="50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</row>
    <row r="85" spans="8:37" x14ac:dyDescent="0.25">
      <c r="H85" t="s">
        <v>115</v>
      </c>
      <c r="I85" s="5" t="s">
        <v>43</v>
      </c>
      <c r="J85" s="12">
        <f>J58+J72</f>
        <v>16740</v>
      </c>
      <c r="K85" s="12">
        <f>K58+K72</f>
        <v>20832</v>
      </c>
      <c r="L85" s="12">
        <f t="shared" si="9"/>
        <v>4092</v>
      </c>
      <c r="N85" s="5" t="s">
        <v>269</v>
      </c>
      <c r="O85" s="6"/>
      <c r="P85" s="2">
        <f>P69/(24*$E$11*KapQcool)</f>
        <v>0</v>
      </c>
      <c r="Q85" s="2">
        <f>Q69/(24*$E$11*KapQcool)</f>
        <v>0</v>
      </c>
      <c r="R85" s="2">
        <f t="shared" si="12"/>
        <v>0</v>
      </c>
      <c r="T85" s="50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</row>
    <row r="86" spans="8:37" x14ac:dyDescent="0.25">
      <c r="H86" t="s">
        <v>110</v>
      </c>
      <c r="I86" s="5" t="s">
        <v>43</v>
      </c>
      <c r="J86" s="12">
        <f>SUM(J84:J85)</f>
        <v>23808</v>
      </c>
      <c r="K86" s="12">
        <f>SUM(K84:K85)</f>
        <v>24000</v>
      </c>
      <c r="L86" s="12">
        <f t="shared" si="9"/>
        <v>192</v>
      </c>
      <c r="N86" s="5" t="s">
        <v>270</v>
      </c>
      <c r="O86" s="6"/>
      <c r="P86" s="2">
        <f>P75/NSvarme</f>
        <v>1</v>
      </c>
      <c r="Q86" s="2">
        <f>Q75/NSvarme</f>
        <v>1</v>
      </c>
      <c r="R86" s="2">
        <f t="shared" si="12"/>
        <v>0</v>
      </c>
      <c r="T86" s="50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</row>
    <row r="87" spans="8:37" x14ac:dyDescent="0.25">
      <c r="H87" s="5" t="s">
        <v>116</v>
      </c>
      <c r="I87" s="5" t="s">
        <v>43</v>
      </c>
      <c r="J87" s="12">
        <v>0</v>
      </c>
      <c r="K87" s="12">
        <f>(EtaRgkOvn2*K59+EtaRgkOvn3*K65)*Htotal/3.6</f>
        <v>5031.4221690485911</v>
      </c>
      <c r="L87" s="12">
        <f t="shared" si="9"/>
        <v>5031.4221690485911</v>
      </c>
      <c r="N87" s="5" t="s">
        <v>245</v>
      </c>
      <c r="O87" s="6" t="s">
        <v>25</v>
      </c>
      <c r="P87" s="11">
        <f>(SUM(P58:P63)-SUM(P54:P56))/P70</f>
        <v>-24.079236750263767</v>
      </c>
      <c r="Q87" s="11">
        <f>(SUM(Q58:Q63)-SUM(Q54:Q56))/Q70</f>
        <v>-25.711195069525662</v>
      </c>
      <c r="R87" s="69">
        <f t="shared" si="12"/>
        <v>-1.6319583192618943</v>
      </c>
      <c r="T87" s="50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</row>
    <row r="88" spans="8:37" x14ac:dyDescent="0.25">
      <c r="H88" s="5" t="s">
        <v>129</v>
      </c>
      <c r="J88" s="12">
        <v>0</v>
      </c>
      <c r="K88" s="2">
        <f>K87/K89</f>
        <v>0.16921466589518472</v>
      </c>
      <c r="L88" s="12">
        <f t="shared" si="9"/>
        <v>0.16921466589518472</v>
      </c>
      <c r="N88" s="6"/>
      <c r="Q88" s="2"/>
      <c r="R88" s="12"/>
      <c r="T88" s="50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</row>
    <row r="89" spans="8:37" x14ac:dyDescent="0.25">
      <c r="H89" t="s">
        <v>108</v>
      </c>
      <c r="I89" s="5" t="s">
        <v>109</v>
      </c>
      <c r="J89" s="12">
        <f>J86+J81</f>
        <v>29541.960365853658</v>
      </c>
      <c r="K89" s="12">
        <f>K86+K81</f>
        <v>29733.960365853658</v>
      </c>
      <c r="L89" s="12">
        <f t="shared" si="9"/>
        <v>192</v>
      </c>
      <c r="R89" s="12"/>
      <c r="T89" s="50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</row>
    <row r="90" spans="8:37" x14ac:dyDescent="0.25">
      <c r="H90" t="s">
        <v>111</v>
      </c>
      <c r="I90" s="5" t="s">
        <v>43</v>
      </c>
      <c r="J90" s="12">
        <f>J86-J78</f>
        <v>23808</v>
      </c>
      <c r="K90" s="12">
        <f>K86-K78</f>
        <v>24000</v>
      </c>
      <c r="L90" s="12">
        <f t="shared" si="9"/>
        <v>192</v>
      </c>
      <c r="R90" s="12"/>
      <c r="T90" s="50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</row>
    <row r="91" spans="8:37" x14ac:dyDescent="0.25">
      <c r="H91" t="s">
        <v>135</v>
      </c>
      <c r="I91" s="5" t="s">
        <v>43</v>
      </c>
      <c r="J91" s="12">
        <f>Qdemand-J90</f>
        <v>4192</v>
      </c>
      <c r="K91" s="12">
        <f>Qdemand-K90</f>
        <v>4000</v>
      </c>
      <c r="L91" s="12">
        <f t="shared" si="9"/>
        <v>-192</v>
      </c>
      <c r="R91" s="12"/>
      <c r="T91" s="50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</row>
    <row r="92" spans="8:37" x14ac:dyDescent="0.25">
      <c r="H92" s="3" t="s">
        <v>123</v>
      </c>
      <c r="L92" s="12"/>
      <c r="N92" s="3"/>
      <c r="R92" s="12"/>
      <c r="T92" s="50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</row>
    <row r="93" spans="8:37" x14ac:dyDescent="0.25">
      <c r="H93" t="s">
        <v>125</v>
      </c>
      <c r="I93" s="5" t="s">
        <v>54</v>
      </c>
      <c r="J93" s="12">
        <f>J$79*$C$24*LHVaffald/3.6</f>
        <v>33892.70026586522</v>
      </c>
      <c r="K93" s="12">
        <f>K$79*$C$24*LHVaffald/3.6</f>
        <v>28619.05509792786</v>
      </c>
      <c r="L93" s="12">
        <f t="shared" si="9"/>
        <v>-5273.6451679373604</v>
      </c>
      <c r="R93" s="12"/>
      <c r="T93" s="50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</row>
    <row r="94" spans="8:37" x14ac:dyDescent="0.25">
      <c r="H94" t="s">
        <v>126</v>
      </c>
      <c r="I94" s="5" t="s">
        <v>54</v>
      </c>
      <c r="J94" s="12">
        <f>J$79*AndelBioaffald*LHVbioaffald/3.6</f>
        <v>0</v>
      </c>
      <c r="K94" s="12">
        <f>K$79*AndelBioaffald*LHVbioaffald/3.6</f>
        <v>0</v>
      </c>
      <c r="L94" s="12">
        <f t="shared" si="9"/>
        <v>0</v>
      </c>
      <c r="R94" s="12"/>
      <c r="T94" s="50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</row>
    <row r="95" spans="8:37" x14ac:dyDescent="0.25">
      <c r="H95" t="s">
        <v>124</v>
      </c>
      <c r="I95" s="5" t="s">
        <v>109</v>
      </c>
      <c r="J95" s="12">
        <f>J89/0.85 - J94</f>
        <v>34755.247489239599</v>
      </c>
      <c r="K95" s="12">
        <f>IF(RGKudnyttelse&gt;0,K89/0.95 - K94,J95)</f>
        <v>31298.905648267009</v>
      </c>
      <c r="L95" s="12">
        <f t="shared" si="9"/>
        <v>-3456.3418409725891</v>
      </c>
      <c r="R95" s="12"/>
      <c r="T95" s="50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</row>
    <row r="96" spans="8:37" x14ac:dyDescent="0.25">
      <c r="H96" t="s">
        <v>130</v>
      </c>
      <c r="I96" s="5" t="s">
        <v>43</v>
      </c>
      <c r="J96" s="12">
        <f>J86*J95/(J95+J94)</f>
        <v>23808</v>
      </c>
      <c r="K96" s="12">
        <f>K86*K95/(K95+K94)</f>
        <v>24000</v>
      </c>
      <c r="L96" s="12">
        <f t="shared" si="9"/>
        <v>192</v>
      </c>
      <c r="R96" s="12"/>
      <c r="T96" s="50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</row>
    <row r="97" spans="8:37" x14ac:dyDescent="0.25">
      <c r="H97" t="s">
        <v>127</v>
      </c>
      <c r="I97" s="5" t="s">
        <v>50</v>
      </c>
      <c r="J97" s="12">
        <f>J81*J95/(J95+J94)</f>
        <v>5733.9603658536589</v>
      </c>
      <c r="K97" s="12">
        <f>K81*K95/(K95+K94)</f>
        <v>5733.9603658536589</v>
      </c>
      <c r="L97" s="12">
        <f t="shared" si="9"/>
        <v>0</v>
      </c>
      <c r="R97" s="12"/>
      <c r="T97" s="50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</row>
    <row r="98" spans="8:37" x14ac:dyDescent="0.25">
      <c r="H98" t="s">
        <v>128</v>
      </c>
      <c r="I98" s="5" t="s">
        <v>43</v>
      </c>
      <c r="J98" s="12">
        <f>J96/1.2</f>
        <v>19840</v>
      </c>
      <c r="K98" s="12">
        <f>IF(RGKudnyttelse&gt;0,(K96-0.1*(K96+K97))/1.2,J98)</f>
        <v>17522.169969512193</v>
      </c>
      <c r="L98" s="12">
        <f t="shared" si="9"/>
        <v>-2317.8300304878067</v>
      </c>
      <c r="R98" s="12"/>
      <c r="T98" s="50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</row>
    <row r="99" spans="8:37" x14ac:dyDescent="0.25">
      <c r="H99" t="s">
        <v>131</v>
      </c>
      <c r="I99" s="5" t="s">
        <v>43</v>
      </c>
      <c r="J99" s="12">
        <f>J98</f>
        <v>19840</v>
      </c>
      <c r="K99" s="12">
        <f>K98</f>
        <v>17522.169969512193</v>
      </c>
      <c r="L99" s="12">
        <f t="shared" si="9"/>
        <v>-2317.8300304878067</v>
      </c>
      <c r="R99" s="12"/>
      <c r="T99" s="50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</row>
    <row r="100" spans="8:37" x14ac:dyDescent="0.25">
      <c r="T100" s="50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</row>
    <row r="101" spans="8:37" x14ac:dyDescent="0.25">
      <c r="H101" s="3" t="s">
        <v>104</v>
      </c>
      <c r="I101" s="8"/>
      <c r="J101" s="15" t="str">
        <f>J57</f>
        <v>Uden RGK</v>
      </c>
      <c r="K101" s="15" t="str">
        <f>K57</f>
        <v>Med 100% RGK</v>
      </c>
      <c r="L101" s="3" t="s">
        <v>141</v>
      </c>
      <c r="N101" s="3"/>
      <c r="O101" s="72"/>
      <c r="P101" s="15"/>
      <c r="Q101" s="15"/>
      <c r="R101" s="3"/>
      <c r="T101" s="50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</row>
    <row r="102" spans="8:37" x14ac:dyDescent="0.25">
      <c r="H102" s="14" t="s">
        <v>24</v>
      </c>
      <c r="I102" s="14" t="s">
        <v>140</v>
      </c>
      <c r="J102" s="17">
        <f>Varmesalgspris*J90</f>
        <v>7404288</v>
      </c>
      <c r="K102" s="17">
        <f>Varmesalgspris*K90</f>
        <v>7464000</v>
      </c>
      <c r="L102" s="18">
        <f>K102-J102</f>
        <v>59712</v>
      </c>
      <c r="N102" s="14"/>
      <c r="O102" s="73"/>
      <c r="P102" s="17"/>
      <c r="Q102" s="17"/>
      <c r="R102" s="18"/>
      <c r="T102" s="50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</row>
    <row r="103" spans="8:37" x14ac:dyDescent="0.25">
      <c r="H103" s="14" t="s">
        <v>106</v>
      </c>
      <c r="I103" s="14" t="s">
        <v>140</v>
      </c>
      <c r="J103" s="17">
        <f>(Elpris-ElprodTarif)*J83</f>
        <v>3947332.4512195126</v>
      </c>
      <c r="K103" s="17">
        <f>(Elpris-ElprodTarif)*K83</f>
        <v>3947332.4512195126</v>
      </c>
      <c r="L103" s="18">
        <f t="shared" ref="L103:L116" si="13">K103-J103</f>
        <v>0</v>
      </c>
      <c r="N103" s="14"/>
      <c r="O103" s="73"/>
      <c r="P103" s="17"/>
      <c r="Q103" s="17"/>
      <c r="R103" s="18"/>
      <c r="T103" s="50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</row>
    <row r="104" spans="8:37" x14ac:dyDescent="0.25">
      <c r="H104" s="14" t="s">
        <v>107</v>
      </c>
      <c r="I104" s="14" t="s">
        <v>140</v>
      </c>
      <c r="J104" s="17">
        <v>0</v>
      </c>
      <c r="K104" s="17">
        <f>IF(K87&lt;7%*K89,0,10%)*K110</f>
        <v>200593.80181097562</v>
      </c>
      <c r="L104" s="18">
        <f t="shared" si="13"/>
        <v>200593.80181097562</v>
      </c>
      <c r="N104" s="14"/>
      <c r="O104" s="73"/>
      <c r="P104" s="17"/>
      <c r="Q104" s="17"/>
      <c r="R104" s="18"/>
      <c r="T104" s="50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</row>
    <row r="105" spans="8:37" x14ac:dyDescent="0.25">
      <c r="H105" s="14" t="s">
        <v>105</v>
      </c>
      <c r="I105" s="14" t="s">
        <v>140</v>
      </c>
      <c r="J105" s="17">
        <f>$C$27*($C$5-J80*$C$24)</f>
        <v>4784851.8022397961</v>
      </c>
      <c r="K105" s="17">
        <f>$C$27*($C$5-K80*$C$24)</f>
        <v>4040337.1902956986</v>
      </c>
      <c r="L105" s="18">
        <f t="shared" si="13"/>
        <v>-744514.61194409756</v>
      </c>
      <c r="N105" s="14"/>
      <c r="O105" s="73"/>
      <c r="P105" s="17"/>
      <c r="Q105" s="17"/>
      <c r="R105" s="18"/>
      <c r="T105" s="50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</row>
    <row r="106" spans="8:37" x14ac:dyDescent="0.25">
      <c r="I106" s="14"/>
      <c r="J106" s="18"/>
      <c r="K106" s="18"/>
      <c r="L106" s="18"/>
      <c r="O106" s="73"/>
      <c r="P106" s="18"/>
      <c r="Q106" s="18"/>
      <c r="R106" s="18"/>
      <c r="T106" s="50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</row>
    <row r="107" spans="8:37" x14ac:dyDescent="0.25">
      <c r="H107" s="14" t="s">
        <v>112</v>
      </c>
      <c r="I107" s="14" t="s">
        <v>140</v>
      </c>
      <c r="J107" s="18">
        <f>$D$27*($C$6-J80*AndelBioaffald)</f>
        <v>0</v>
      </c>
      <c r="K107" s="18">
        <f>$D$27*($C$6-K80*AndelBioaffald)</f>
        <v>0</v>
      </c>
      <c r="L107" s="18">
        <f t="shared" si="13"/>
        <v>0</v>
      </c>
      <c r="N107" s="14"/>
      <c r="O107" s="73"/>
      <c r="P107" s="18"/>
      <c r="Q107" s="18"/>
      <c r="R107" s="18"/>
      <c r="T107" s="50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</row>
    <row r="108" spans="8:37" x14ac:dyDescent="0.25">
      <c r="H108" s="14" t="s">
        <v>113</v>
      </c>
      <c r="I108" s="14" t="s">
        <v>140</v>
      </c>
      <c r="J108" s="17">
        <f>$C$20*J84+$D$20*J85+$E$20*J78</f>
        <v>1049040</v>
      </c>
      <c r="K108" s="17">
        <f>J108+$F$20*$K$87</f>
        <v>1099354.221690486</v>
      </c>
      <c r="L108" s="18">
        <f t="shared" si="13"/>
        <v>50314.221690485952</v>
      </c>
      <c r="N108" s="14"/>
      <c r="O108" s="73"/>
      <c r="P108" s="17"/>
      <c r="Q108" s="17"/>
      <c r="R108" s="18"/>
      <c r="T108" s="50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  <c r="AJ108" s="49"/>
      <c r="AK108" s="49"/>
    </row>
    <row r="109" spans="8:37" x14ac:dyDescent="0.25">
      <c r="H109" s="14" t="s">
        <v>33</v>
      </c>
      <c r="I109" s="14" t="s">
        <v>140</v>
      </c>
      <c r="J109" s="17">
        <f>AFV*3.6*J90</f>
        <v>2211287.04</v>
      </c>
      <c r="K109" s="17">
        <f>AFV*3.6*K90</f>
        <v>2229120</v>
      </c>
      <c r="L109" s="18">
        <f t="shared" si="13"/>
        <v>17832.959999999963</v>
      </c>
      <c r="N109" s="14"/>
      <c r="O109" s="73"/>
      <c r="P109" s="17"/>
      <c r="Q109" s="17"/>
      <c r="R109" s="18"/>
      <c r="T109" s="50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49"/>
      <c r="AK109" s="49"/>
    </row>
    <row r="110" spans="8:37" x14ac:dyDescent="0.25">
      <c r="H110" s="14" t="s">
        <v>34</v>
      </c>
      <c r="I110" s="14" t="s">
        <v>140</v>
      </c>
      <c r="J110" s="18">
        <f>ATL*3.6*J98</f>
        <v>2271283.2000000002</v>
      </c>
      <c r="K110" s="18">
        <f>ATL*3.6*K98</f>
        <v>2005938.0181097561</v>
      </c>
      <c r="L110" s="18">
        <f t="shared" si="13"/>
        <v>-265345.18189024413</v>
      </c>
      <c r="N110" s="14"/>
      <c r="O110" s="73"/>
      <c r="P110" s="18"/>
      <c r="Q110" s="18"/>
      <c r="R110" s="18"/>
      <c r="T110" s="50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</row>
    <row r="111" spans="8:37" x14ac:dyDescent="0.25">
      <c r="H111" s="14" t="s">
        <v>35</v>
      </c>
      <c r="I111" s="14" t="s">
        <v>140</v>
      </c>
      <c r="J111" s="18">
        <f>CO2afgift*$C$29 /1000 *3.6*J98</f>
        <v>471719.80799999996</v>
      </c>
      <c r="K111" s="18">
        <f>CO2afgift*$C$29 /1000 *3.6*K98</f>
        <v>416610.61762911582</v>
      </c>
      <c r="L111" s="18">
        <f t="shared" si="13"/>
        <v>-55109.190370884142</v>
      </c>
      <c r="N111" s="14"/>
      <c r="O111" s="73"/>
      <c r="P111" s="18"/>
      <c r="Q111" s="18"/>
      <c r="R111" s="18"/>
      <c r="T111" s="50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</row>
    <row r="112" spans="8:37" x14ac:dyDescent="0.25">
      <c r="H112" s="14" t="s">
        <v>117</v>
      </c>
      <c r="I112" s="14" t="s">
        <v>140</v>
      </c>
      <c r="J112" s="18">
        <f>Kvotepris*$C$30/1000*C31*J79</f>
        <v>2155575.7369090281</v>
      </c>
      <c r="K112" s="18">
        <f>Kvotepris*$C$30/1000*10.6*K79</f>
        <v>1820171.9042282121</v>
      </c>
      <c r="L112" s="18">
        <f t="shared" si="13"/>
        <v>-335403.83268081606</v>
      </c>
      <c r="N112" s="14"/>
      <c r="O112" s="73"/>
      <c r="P112" s="18"/>
      <c r="Q112" s="18"/>
      <c r="R112" s="18"/>
      <c r="T112" s="50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49"/>
      <c r="AK112" s="49"/>
    </row>
    <row r="113" spans="8:37" x14ac:dyDescent="0.25">
      <c r="I113" s="14"/>
      <c r="J113" s="18"/>
      <c r="K113" s="18"/>
      <c r="L113" s="18"/>
      <c r="O113" s="73"/>
      <c r="P113" s="18"/>
      <c r="Q113" s="18"/>
      <c r="R113" s="18"/>
      <c r="T113" s="50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49"/>
      <c r="AK113" s="49"/>
    </row>
    <row r="114" spans="8:37" x14ac:dyDescent="0.25">
      <c r="H114" s="14" t="s">
        <v>120</v>
      </c>
      <c r="I114" s="14" t="s">
        <v>140</v>
      </c>
      <c r="J114" s="18">
        <f>SUM(J102:J105)</f>
        <v>16136472.253459308</v>
      </c>
      <c r="K114" s="18">
        <f>SUM(K102:K105)</f>
        <v>15652263.443326186</v>
      </c>
      <c r="L114" s="18">
        <f t="shared" si="13"/>
        <v>-484208.81013312191</v>
      </c>
      <c r="N114" s="14"/>
      <c r="O114" s="73"/>
      <c r="P114" s="18"/>
      <c r="Q114" s="18"/>
      <c r="R114" s="18"/>
      <c r="T114" s="50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49"/>
      <c r="AK114" s="49"/>
    </row>
    <row r="115" spans="8:37" x14ac:dyDescent="0.25">
      <c r="H115" s="14" t="s">
        <v>121</v>
      </c>
      <c r="I115" s="14" t="s">
        <v>140</v>
      </c>
      <c r="J115" s="18">
        <f>SUM(J107:J112)</f>
        <v>8158905.7849090286</v>
      </c>
      <c r="K115" s="18">
        <f>SUM(K107:K112)</f>
        <v>7571194.7616575705</v>
      </c>
      <c r="L115" s="18">
        <f t="shared" si="13"/>
        <v>-587711.02325145807</v>
      </c>
      <c r="N115" s="14"/>
      <c r="O115" s="73"/>
      <c r="P115" s="18"/>
      <c r="Q115" s="18"/>
      <c r="R115" s="18"/>
      <c r="T115" s="50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49"/>
      <c r="AK115" s="49"/>
    </row>
    <row r="116" spans="8:37" x14ac:dyDescent="0.25">
      <c r="H116" s="14" t="s">
        <v>122</v>
      </c>
      <c r="I116" s="14" t="s">
        <v>140</v>
      </c>
      <c r="J116" s="18">
        <f>J114-J115</f>
        <v>7977566.4685502797</v>
      </c>
      <c r="K116" s="18">
        <f>K114-K115</f>
        <v>8081068.6816686159</v>
      </c>
      <c r="L116" s="18">
        <f t="shared" si="13"/>
        <v>103502.21311833616</v>
      </c>
      <c r="N116" s="14"/>
      <c r="O116" s="73"/>
      <c r="P116" s="18"/>
      <c r="Q116" s="18"/>
      <c r="R116" s="18"/>
      <c r="T116" s="50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</row>
    <row r="117" spans="8:37" x14ac:dyDescent="0.25">
      <c r="T117" s="50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</row>
    <row r="118" spans="8:37" x14ac:dyDescent="0.25">
      <c r="T118" s="50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</row>
    <row r="119" spans="8:37" x14ac:dyDescent="0.25">
      <c r="T119" s="50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</row>
    <row r="120" spans="8:37" x14ac:dyDescent="0.25">
      <c r="T120" s="50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</row>
  </sheetData>
  <scenarios current="9" show="9" sqref="Q5:Q36">
    <scenario name="RGK 10 %" locked="1" count="1" user="Mogens Bech Laursen" comment="Created by Mogens Bech Laursen on 16-03-2022">
      <inputCells r="C7" val="0,1" numFmtId="9"/>
    </scenario>
    <scenario name="RGK 20 %" locked="1" count="1" user="Mogens Bech Laursen" comment="Created by Mogens Bech Laursen on 16-03-2022">
      <inputCells r="C7" val="0,2" numFmtId="9"/>
    </scenario>
    <scenario name="RGK 30 %" locked="1" count="1" user="Mogens Bech Laursen" comment="Created by Mogens Bech Laursen on 16-03-2022">
      <inputCells r="C7" val="0,3" numFmtId="9"/>
    </scenario>
    <scenario name="RGK 40 %" locked="1" count="1" user="Mogens Bech Laursen" comment="Created by Mogens Bech Laursen on 16-03-2022">
      <inputCells r="C7" val="0,4" numFmtId="9"/>
    </scenario>
    <scenario name="RGK 50 %" locked="1" count="1" user="Mogens Bech Laursen" comment="Created by Mogens Bech Laursen on 16-03-2022">
      <inputCells r="C7" val="0,5" numFmtId="9"/>
    </scenario>
    <scenario name="RGK 60 %" locked="1" count="1" user="Mogens Bech Laursen" comment="Created by Mogens Bech Laursen on 16-03-2022">
      <inputCells r="C7" val="0,6" numFmtId="9"/>
    </scenario>
    <scenario name="RGK 70 %" locked="1" count="1" user="Mogens Bech Laursen" comment="Created by Mogens Bech Laursen on 16-03-2022">
      <inputCells r="C7" val="0,7" numFmtId="9"/>
    </scenario>
    <scenario name="RGK 80 %" locked="1" count="1" user="Mogens Bech Laursen" comment="Created by Mogens Bech Laursen on 16-03-2022">
      <inputCells r="C7" val="0,8" numFmtId="9"/>
    </scenario>
    <scenario name="RGK 90 %" locked="1" count="1" user="Mogens Bech Laursen" comment="Created by Mogens Bech Laursen on 16-03-2022">
      <inputCells r="C7" val="0,9" numFmtId="9"/>
    </scenario>
    <scenario name="RGK 100 %" locked="1" count="1" user="Mogens Bech Laursen" comment="Created by Mogens Bech Laursen on 16-03-2022">
      <inputCells r="C7" val="1" numFmtId="9"/>
    </scenario>
  </scenarios>
  <customSheetViews>
    <customSheetView guid="{EEB625C4-AF57-4951-B4C5-8C71271FF126}" scale="85">
      <selection sqref="A1:F1"/>
      <pageMargins left="0.7" right="0.7" top="0.75" bottom="0.75" header="0.3" footer="0.3"/>
      <pageSetup paperSize="9" orientation="portrait" r:id="rId1"/>
    </customSheetView>
    <customSheetView guid="{B8935784-587B-4D0A-AED7-A4A9B4EF97F4}" showRowCol="0" hiddenColumns="1" topLeftCell="G1">
      <selection activeCell="AJ8" sqref="AJ8"/>
      <pageMargins left="0.7" right="0.7" top="0.75" bottom="0.75" header="0.3" footer="0.3"/>
      <pageSetup paperSize="9" orientation="portrait" r:id="rId2"/>
    </customSheetView>
    <customSheetView guid="{2B82E035-636B-4F9F-846A-FEE8C149952C}" scale="70">
      <selection sqref="A1:F1"/>
      <pageMargins left="0.7" right="0.7" top="0.75" bottom="0.75" header="0.3" footer="0.3"/>
      <pageSetup paperSize="9" orientation="portrait" r:id="rId3"/>
    </customSheetView>
  </customSheetViews>
  <mergeCells count="4">
    <mergeCell ref="H46:L46"/>
    <mergeCell ref="N46:R46"/>
    <mergeCell ref="A1:F1"/>
    <mergeCell ref="H1:X1"/>
  </mergeCells>
  <conditionalFormatting sqref="J58:K116">
    <cfRule type="cellIs" dxfId="1" priority="1" operator="lessThan">
      <formula>0</formula>
    </cfRule>
  </conditionalFormatting>
  <pageMargins left="0.7" right="0.7" top="0.75" bottom="0.75" header="0.3" footer="0.3"/>
  <pageSetup paperSize="9" orientation="portrait" r:id="rId4"/>
  <drawing r:id="rId5"/>
  <legacy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AD59-D9D8-46C0-9366-A4E65CDB34CC}">
  <sheetPr codeName="Sheet8"/>
  <dimension ref="A1:BA122"/>
  <sheetViews>
    <sheetView tabSelected="1" topLeftCell="A62" zoomScale="70" zoomScaleNormal="70" workbookViewId="0">
      <selection activeCell="W84" sqref="W84"/>
    </sheetView>
  </sheetViews>
  <sheetFormatPr defaultRowHeight="15" x14ac:dyDescent="0.25"/>
  <cols>
    <col min="1" max="1" width="30.7109375" bestFit="1" customWidth="1"/>
    <col min="3" max="3" width="10" bestFit="1" customWidth="1"/>
    <col min="4" max="4" width="10.5703125" bestFit="1" customWidth="1"/>
    <col min="8" max="8" width="32" customWidth="1"/>
    <col min="9" max="9" width="12.28515625" style="5" customWidth="1"/>
    <col min="10" max="10" width="10.5703125" customWidth="1"/>
    <col min="11" max="12" width="9.140625" customWidth="1"/>
    <col min="13" max="21" width="9.42578125" customWidth="1"/>
    <col min="22" max="22" width="2.85546875" style="45" customWidth="1"/>
    <col min="23" max="23" width="34.28515625" customWidth="1"/>
    <col min="24" max="24" width="11" style="5" customWidth="1"/>
    <col min="25" max="25" width="13.28515625" style="12" customWidth="1"/>
    <col min="26" max="26" width="14.42578125" style="12" customWidth="1"/>
    <col min="27" max="27" width="14.42578125" customWidth="1"/>
    <col min="28" max="28" width="2.85546875" style="45" customWidth="1"/>
    <col min="29" max="29" width="30.7109375" bestFit="1" customWidth="1"/>
    <col min="30" max="30" width="8.42578125" style="71" bestFit="1" customWidth="1"/>
    <col min="31" max="31" width="10" style="12" bestFit="1" customWidth="1"/>
    <col min="32" max="32" width="14.42578125" style="12" bestFit="1" customWidth="1"/>
    <col min="33" max="33" width="15.7109375" bestFit="1" customWidth="1"/>
    <col min="34" max="34" width="4.140625" customWidth="1"/>
    <col min="35" max="35" width="29.7109375" style="5" customWidth="1"/>
    <col min="36" max="37" width="13" customWidth="1"/>
    <col min="39" max="39" width="8.5703125" customWidth="1"/>
  </cols>
  <sheetData>
    <row r="1" spans="1:53" ht="33.75" customHeight="1" x14ac:dyDescent="0.25">
      <c r="H1" s="78" t="s">
        <v>244</v>
      </c>
      <c r="I1" s="79"/>
      <c r="J1" s="79"/>
      <c r="K1" s="79"/>
      <c r="L1" s="79"/>
      <c r="M1" s="79"/>
      <c r="N1" s="75"/>
      <c r="O1" s="75"/>
      <c r="P1" s="75"/>
      <c r="Q1" s="75"/>
      <c r="R1" s="75"/>
      <c r="S1" s="75"/>
      <c r="T1" s="75"/>
      <c r="U1" s="75"/>
      <c r="V1" s="49"/>
      <c r="W1" s="81" t="str">
        <f>"Resultat for "&amp;J5&amp;" ton affald, "&amp;J6&amp;" ton bioaffald, Varmebehov "&amp;TEXT(Qdemand,"#.##0")&amp;" MWh, NS-varme "&amp;TEXT(NSvarme,"#.##0")&amp;" MWh, RGK-grad "&amp;TEXT(RGKudnyttelse,"0 %")</f>
        <v>Resultat for 12000 ton affald, 0 ton bioaffald, Varmebehov 28.000 MWh, NS-varme 4.000 MWh, RGK-grad 100 %</v>
      </c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</row>
    <row r="2" spans="1:53" ht="15.75" thickBot="1" x14ac:dyDescent="0.3">
      <c r="H2" s="128"/>
      <c r="I2" s="116"/>
      <c r="J2" s="118"/>
      <c r="K2" s="118"/>
      <c r="L2" s="118"/>
      <c r="M2" s="118"/>
      <c r="N2" s="56"/>
      <c r="O2" s="56"/>
      <c r="P2" s="56"/>
      <c r="Q2" s="56"/>
      <c r="R2" s="56"/>
      <c r="S2" s="56"/>
      <c r="T2" s="56"/>
      <c r="U2" s="56"/>
      <c r="V2" s="49"/>
      <c r="W2" s="49"/>
      <c r="X2" s="50"/>
      <c r="Y2" s="51"/>
      <c r="Z2" s="51"/>
      <c r="AA2" s="49"/>
      <c r="AB2" s="49"/>
      <c r="AC2" s="49"/>
      <c r="AD2" s="70"/>
      <c r="AE2" s="51"/>
      <c r="AF2" s="51"/>
      <c r="AG2" s="49"/>
      <c r="AH2" s="49"/>
      <c r="AI2" s="53"/>
      <c r="AJ2" s="49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49"/>
      <c r="AZ2" s="49"/>
      <c r="BA2" s="67" t="str">
        <f>"Økonomiske nøgletal "</f>
        <v xml:space="preserve">Økonomiske nøgletal </v>
      </c>
    </row>
    <row r="3" spans="1:53" x14ac:dyDescent="0.25">
      <c r="A3" s="109" t="s">
        <v>14</v>
      </c>
      <c r="B3" s="110"/>
      <c r="C3" s="111" t="s">
        <v>0</v>
      </c>
      <c r="D3" s="111" t="s">
        <v>1</v>
      </c>
      <c r="E3" s="111" t="s">
        <v>7</v>
      </c>
      <c r="F3" s="120" t="s">
        <v>143</v>
      </c>
      <c r="H3" s="109" t="s">
        <v>133</v>
      </c>
      <c r="I3" s="110" t="s">
        <v>49</v>
      </c>
      <c r="J3" s="111" t="s">
        <v>277</v>
      </c>
      <c r="K3" s="111" t="s">
        <v>278</v>
      </c>
      <c r="L3" s="111" t="s">
        <v>279</v>
      </c>
      <c r="M3" s="111" t="s">
        <v>280</v>
      </c>
      <c r="N3" s="111" t="s">
        <v>281</v>
      </c>
      <c r="O3" s="111" t="s">
        <v>282</v>
      </c>
      <c r="P3" s="111" t="s">
        <v>283</v>
      </c>
      <c r="Q3" s="111" t="s">
        <v>284</v>
      </c>
      <c r="R3" s="111" t="s">
        <v>285</v>
      </c>
      <c r="S3" s="111" t="s">
        <v>286</v>
      </c>
      <c r="T3" s="111" t="s">
        <v>287</v>
      </c>
      <c r="U3" s="120" t="s">
        <v>288</v>
      </c>
      <c r="V3" s="49"/>
      <c r="W3" s="49"/>
      <c r="X3" s="50"/>
      <c r="Y3" s="51"/>
      <c r="Z3" s="51"/>
      <c r="AA3" s="49"/>
      <c r="AB3" s="49"/>
      <c r="AC3" s="49"/>
      <c r="AD3" s="70"/>
      <c r="AE3" s="51"/>
      <c r="AF3" s="51"/>
      <c r="AG3" s="49"/>
      <c r="AH3" s="49"/>
      <c r="AI3" s="50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68" t="str">
        <f>"Økonomi: RGK ift. Nominel"</f>
        <v>Økonomi: RGK ift. Nominel</v>
      </c>
    </row>
    <row r="4" spans="1:53" x14ac:dyDescent="0.25">
      <c r="A4" s="113" t="s">
        <v>12</v>
      </c>
      <c r="B4" s="55"/>
      <c r="C4" s="56">
        <v>31</v>
      </c>
      <c r="D4" s="56">
        <v>31</v>
      </c>
      <c r="E4" s="56">
        <v>31</v>
      </c>
      <c r="F4" s="114"/>
      <c r="H4" s="113" t="s">
        <v>204</v>
      </c>
      <c r="I4" s="55" t="s">
        <v>43</v>
      </c>
      <c r="J4" s="59">
        <v>28115</v>
      </c>
      <c r="K4" s="56">
        <v>23902</v>
      </c>
      <c r="L4" s="56">
        <v>27355</v>
      </c>
      <c r="M4" s="56">
        <v>22497</v>
      </c>
      <c r="N4" s="56">
        <v>12760</v>
      </c>
      <c r="O4" s="56">
        <v>6100</v>
      </c>
      <c r="P4" s="56">
        <v>6411</v>
      </c>
      <c r="Q4" s="56">
        <v>7774</v>
      </c>
      <c r="R4" s="56">
        <v>8886</v>
      </c>
      <c r="S4" s="56">
        <v>15610</v>
      </c>
      <c r="T4" s="56">
        <v>20410</v>
      </c>
      <c r="U4" s="114">
        <v>25475</v>
      </c>
      <c r="V4" s="49"/>
      <c r="W4" s="49"/>
      <c r="X4" s="50"/>
      <c r="Y4" s="51"/>
      <c r="Z4" s="51"/>
      <c r="AA4" s="49"/>
      <c r="AB4" s="49"/>
      <c r="AC4" s="49"/>
      <c r="AD4" s="70"/>
      <c r="AE4" s="51"/>
      <c r="AF4" s="51"/>
      <c r="AG4" s="49"/>
      <c r="AH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68" t="str">
        <f>"Varmemængder"</f>
        <v>Varmemængder</v>
      </c>
    </row>
    <row r="5" spans="1:53" x14ac:dyDescent="0.25">
      <c r="A5" s="113" t="s">
        <v>2</v>
      </c>
      <c r="B5" s="55" t="s">
        <v>3</v>
      </c>
      <c r="C5" s="56">
        <v>9.5</v>
      </c>
      <c r="D5" s="56">
        <v>22.5</v>
      </c>
      <c r="E5" s="56">
        <v>15</v>
      </c>
      <c r="F5" s="114"/>
      <c r="H5" s="113" t="s">
        <v>205</v>
      </c>
      <c r="I5" s="55" t="s">
        <v>17</v>
      </c>
      <c r="J5" s="59">
        <v>12000</v>
      </c>
      <c r="K5" s="56">
        <v>12000</v>
      </c>
      <c r="L5" s="56">
        <v>12000</v>
      </c>
      <c r="M5" s="56">
        <v>12000</v>
      </c>
      <c r="N5" s="56">
        <v>12000</v>
      </c>
      <c r="O5" s="56">
        <v>12000</v>
      </c>
      <c r="P5" s="56">
        <v>12000</v>
      </c>
      <c r="Q5" s="56">
        <v>12000</v>
      </c>
      <c r="R5" s="56">
        <v>12000</v>
      </c>
      <c r="S5" s="56">
        <v>12000</v>
      </c>
      <c r="T5" s="56">
        <v>12000</v>
      </c>
      <c r="U5" s="114">
        <v>12000</v>
      </c>
      <c r="V5" s="49"/>
      <c r="W5" s="49"/>
      <c r="X5" s="50"/>
      <c r="Y5" s="51"/>
      <c r="Z5" s="51"/>
      <c r="AA5" s="49"/>
      <c r="AB5" s="49"/>
      <c r="AC5" s="49"/>
      <c r="AD5" s="70"/>
      <c r="AE5" s="51"/>
      <c r="AF5" s="51"/>
      <c r="AG5" s="49"/>
      <c r="AH5" s="49"/>
      <c r="AI5" s="50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68" t="s">
        <v>150</v>
      </c>
    </row>
    <row r="6" spans="1:53" x14ac:dyDescent="0.25">
      <c r="A6" s="113" t="s">
        <v>8</v>
      </c>
      <c r="B6" s="55" t="s">
        <v>3</v>
      </c>
      <c r="C6" s="56">
        <v>2</v>
      </c>
      <c r="D6" s="56">
        <v>5.5</v>
      </c>
      <c r="E6" s="56"/>
      <c r="F6" s="114"/>
      <c r="H6" s="113" t="s">
        <v>206</v>
      </c>
      <c r="I6" s="55" t="s">
        <v>17</v>
      </c>
      <c r="J6" s="59">
        <v>0</v>
      </c>
      <c r="K6" s="56">
        <v>0</v>
      </c>
      <c r="L6" s="56">
        <v>0</v>
      </c>
      <c r="M6" s="56">
        <v>0</v>
      </c>
      <c r="N6" s="56">
        <v>0</v>
      </c>
      <c r="O6" s="56">
        <v>0</v>
      </c>
      <c r="P6" s="56">
        <v>0</v>
      </c>
      <c r="Q6" s="56">
        <v>0</v>
      </c>
      <c r="R6" s="56">
        <v>0</v>
      </c>
      <c r="S6" s="56">
        <v>0</v>
      </c>
      <c r="T6" s="56">
        <v>0</v>
      </c>
      <c r="U6" s="114">
        <v>0</v>
      </c>
      <c r="V6" s="49"/>
      <c r="W6" s="49"/>
      <c r="X6" s="50"/>
      <c r="Y6" s="51"/>
      <c r="Z6" s="51"/>
      <c r="AA6" s="49"/>
      <c r="AB6" s="49"/>
      <c r="AC6" s="49"/>
      <c r="AD6" s="70"/>
      <c r="AE6" s="51"/>
      <c r="AF6" s="51"/>
      <c r="AG6" s="49"/>
      <c r="AH6" s="49"/>
      <c r="AI6" s="50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t="s">
        <v>246</v>
      </c>
    </row>
    <row r="7" spans="1:53" x14ac:dyDescent="0.25">
      <c r="A7" s="113" t="s">
        <v>4</v>
      </c>
      <c r="B7" s="55" t="s">
        <v>5</v>
      </c>
      <c r="C7" s="56"/>
      <c r="D7" s="56">
        <v>8</v>
      </c>
      <c r="E7" s="56"/>
      <c r="F7" s="114"/>
      <c r="H7" s="113" t="s">
        <v>274</v>
      </c>
      <c r="I7" s="55" t="s">
        <v>276</v>
      </c>
      <c r="J7" s="59">
        <f>31</f>
        <v>31</v>
      </c>
      <c r="K7" s="129">
        <v>28</v>
      </c>
      <c r="L7" s="129">
        <v>31</v>
      </c>
      <c r="M7" s="129">
        <v>30</v>
      </c>
      <c r="N7" s="129">
        <v>31</v>
      </c>
      <c r="O7" s="129">
        <v>30</v>
      </c>
      <c r="P7" s="129">
        <v>31</v>
      </c>
      <c r="Q7" s="129">
        <v>31</v>
      </c>
      <c r="R7" s="129">
        <v>30</v>
      </c>
      <c r="S7" s="129">
        <v>31</v>
      </c>
      <c r="T7" s="129">
        <v>30</v>
      </c>
      <c r="U7" s="114">
        <v>31</v>
      </c>
      <c r="V7" s="49"/>
      <c r="W7" s="49"/>
      <c r="X7" s="50"/>
      <c r="Y7" s="51"/>
      <c r="Z7" s="51"/>
      <c r="AA7" s="49"/>
      <c r="AB7" s="49"/>
      <c r="AC7" s="49"/>
      <c r="AD7" s="70"/>
      <c r="AE7" s="51"/>
      <c r="AF7" s="51"/>
      <c r="AG7" s="49"/>
      <c r="AH7" s="49"/>
      <c r="AI7" s="50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</row>
    <row r="8" spans="1:53" x14ac:dyDescent="0.25">
      <c r="A8" s="113" t="s">
        <v>6</v>
      </c>
      <c r="B8" s="55" t="s">
        <v>13</v>
      </c>
      <c r="C8" s="56"/>
      <c r="D8" s="56">
        <v>25</v>
      </c>
      <c r="E8" s="56"/>
      <c r="F8" s="114"/>
      <c r="H8" s="113" t="s">
        <v>275</v>
      </c>
      <c r="I8" s="55" t="s">
        <v>276</v>
      </c>
      <c r="J8" s="59">
        <f>31</f>
        <v>31</v>
      </c>
      <c r="K8" s="56">
        <v>28</v>
      </c>
      <c r="L8" s="56">
        <v>31</v>
      </c>
      <c r="M8" s="56">
        <v>30</v>
      </c>
      <c r="N8" s="56">
        <v>31</v>
      </c>
      <c r="O8" s="56">
        <v>2</v>
      </c>
      <c r="P8" s="56">
        <v>31</v>
      </c>
      <c r="Q8" s="56">
        <v>31</v>
      </c>
      <c r="R8" s="56">
        <v>30</v>
      </c>
      <c r="S8" s="56">
        <v>31</v>
      </c>
      <c r="T8" s="56">
        <v>30</v>
      </c>
      <c r="U8" s="114">
        <v>31</v>
      </c>
      <c r="V8" s="49"/>
      <c r="W8" s="49"/>
      <c r="X8" s="50"/>
      <c r="Y8" s="51"/>
      <c r="Z8" s="51"/>
      <c r="AA8" s="49"/>
      <c r="AB8" s="49"/>
      <c r="AC8" s="49"/>
      <c r="AD8" s="70"/>
      <c r="AE8" s="51"/>
      <c r="AF8" s="51"/>
      <c r="AG8" s="49"/>
      <c r="AH8" s="49"/>
      <c r="AI8" s="50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  <c r="AV8" s="49"/>
      <c r="AW8" s="49"/>
      <c r="AX8" s="49"/>
      <c r="AY8" s="49"/>
      <c r="AZ8" s="49"/>
    </row>
    <row r="9" spans="1:53" x14ac:dyDescent="0.25">
      <c r="A9" s="113" t="s">
        <v>9</v>
      </c>
      <c r="B9" s="55"/>
      <c r="C9" s="61">
        <v>0.84399999999999997</v>
      </c>
      <c r="D9" s="61">
        <v>0.65600000000000003</v>
      </c>
      <c r="E9" s="56"/>
      <c r="F9" s="114"/>
      <c r="H9" s="113" t="s">
        <v>132</v>
      </c>
      <c r="I9" s="55" t="s">
        <v>134</v>
      </c>
      <c r="J9" s="60">
        <v>1</v>
      </c>
      <c r="K9" s="56">
        <v>2</v>
      </c>
      <c r="L9" s="56">
        <v>3</v>
      </c>
      <c r="M9" s="56">
        <v>4</v>
      </c>
      <c r="N9" s="56">
        <v>5</v>
      </c>
      <c r="O9" s="56">
        <v>6</v>
      </c>
      <c r="P9" s="56">
        <v>7</v>
      </c>
      <c r="Q9" s="56">
        <v>8</v>
      </c>
      <c r="R9" s="56">
        <v>9</v>
      </c>
      <c r="S9" s="56">
        <v>10</v>
      </c>
      <c r="T9" s="56">
        <v>11</v>
      </c>
      <c r="U9" s="114">
        <v>12</v>
      </c>
      <c r="V9" s="49"/>
      <c r="W9" s="49"/>
      <c r="X9" s="50"/>
      <c r="Y9" s="51"/>
      <c r="Z9" s="51"/>
      <c r="AA9" s="49"/>
      <c r="AB9" s="49"/>
      <c r="AC9" s="49"/>
      <c r="AD9" s="70"/>
      <c r="AE9" s="51"/>
      <c r="AF9" s="51"/>
      <c r="AG9" s="49"/>
      <c r="AH9" s="49"/>
      <c r="AI9" s="50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 t="s">
        <v>151</v>
      </c>
    </row>
    <row r="10" spans="1:53" x14ac:dyDescent="0.25">
      <c r="A10" s="113" t="s">
        <v>10</v>
      </c>
      <c r="B10" s="55"/>
      <c r="C10" s="121">
        <f>$J$9*C6/C5*C9</f>
        <v>0.17768421052631578</v>
      </c>
      <c r="D10" s="121">
        <f>$J$9*D6/D5*D9</f>
        <v>0.16035555555555556</v>
      </c>
      <c r="E10" s="56"/>
      <c r="F10" s="114"/>
      <c r="H10" s="113" t="s">
        <v>207</v>
      </c>
      <c r="I10" s="55" t="s">
        <v>43</v>
      </c>
      <c r="J10" s="59">
        <v>4000</v>
      </c>
      <c r="K10" s="56">
        <v>0</v>
      </c>
      <c r="L10" s="56">
        <v>0</v>
      </c>
      <c r="M10" s="56">
        <v>0</v>
      </c>
      <c r="N10" s="56">
        <v>0</v>
      </c>
      <c r="O10" s="56">
        <v>0</v>
      </c>
      <c r="P10" s="56">
        <v>0</v>
      </c>
      <c r="Q10" s="56">
        <v>0</v>
      </c>
      <c r="R10" s="56">
        <v>0</v>
      </c>
      <c r="S10" s="56">
        <v>0</v>
      </c>
      <c r="T10" s="56">
        <v>0</v>
      </c>
      <c r="U10" s="114">
        <v>5600</v>
      </c>
      <c r="V10" s="49"/>
      <c r="W10" s="49"/>
      <c r="X10" s="50"/>
      <c r="Y10" s="51"/>
      <c r="Z10" s="51"/>
      <c r="AA10" s="49"/>
      <c r="AB10" s="49"/>
      <c r="AC10" s="49"/>
      <c r="AD10" s="70"/>
      <c r="AE10" s="51"/>
      <c r="AF10" s="51"/>
      <c r="AG10" s="49"/>
      <c r="AH10" s="49"/>
      <c r="AI10" s="50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</row>
    <row r="11" spans="1:53" x14ac:dyDescent="0.25">
      <c r="A11" s="113" t="s">
        <v>69</v>
      </c>
      <c r="B11" s="55"/>
      <c r="C11" s="121">
        <f>SUM(C9:C10)</f>
        <v>1.0216842105263158</v>
      </c>
      <c r="D11" s="121">
        <f>SUM(D9:D10)</f>
        <v>0.81635555555555561</v>
      </c>
      <c r="E11" s="56"/>
      <c r="F11" s="114"/>
      <c r="H11" s="113" t="s">
        <v>27</v>
      </c>
      <c r="I11" s="55" t="s">
        <v>28</v>
      </c>
      <c r="J11" s="56">
        <v>800</v>
      </c>
      <c r="K11" s="56">
        <v>800</v>
      </c>
      <c r="L11" s="56">
        <v>800</v>
      </c>
      <c r="M11" s="56">
        <v>800</v>
      </c>
      <c r="N11" s="56">
        <v>800</v>
      </c>
      <c r="O11" s="56">
        <v>800</v>
      </c>
      <c r="P11" s="56">
        <v>800</v>
      </c>
      <c r="Q11" s="56">
        <v>800</v>
      </c>
      <c r="R11" s="56">
        <v>800</v>
      </c>
      <c r="S11" s="56">
        <v>800</v>
      </c>
      <c r="T11" s="56">
        <v>800</v>
      </c>
      <c r="U11" s="114">
        <v>800</v>
      </c>
      <c r="V11" s="49"/>
      <c r="W11" s="49"/>
      <c r="X11" s="50"/>
      <c r="Y11" s="51"/>
      <c r="Z11" s="51"/>
      <c r="AA11" s="49"/>
      <c r="AB11" s="49"/>
      <c r="AC11" s="49"/>
      <c r="AD11" s="70"/>
      <c r="AE11" s="51"/>
      <c r="AF11" s="51"/>
      <c r="AG11" s="49"/>
      <c r="AH11" s="49"/>
      <c r="AI11" s="50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</row>
    <row r="12" spans="1:53" ht="15.75" thickBot="1" x14ac:dyDescent="0.3">
      <c r="A12" s="113" t="s">
        <v>11</v>
      </c>
      <c r="B12" s="55"/>
      <c r="C12" s="56"/>
      <c r="D12" s="62">
        <v>0.22470000000000001</v>
      </c>
      <c r="E12" s="56"/>
      <c r="F12" s="114"/>
      <c r="H12" s="115" t="s">
        <v>29</v>
      </c>
      <c r="I12" s="116" t="s">
        <v>40</v>
      </c>
      <c r="J12" s="117">
        <v>400</v>
      </c>
      <c r="K12" s="118">
        <v>400</v>
      </c>
      <c r="L12" s="118">
        <v>400</v>
      </c>
      <c r="M12" s="118">
        <v>400</v>
      </c>
      <c r="N12" s="118">
        <v>400</v>
      </c>
      <c r="O12" s="118">
        <v>400</v>
      </c>
      <c r="P12" s="118">
        <v>400</v>
      </c>
      <c r="Q12" s="118">
        <v>400</v>
      </c>
      <c r="R12" s="118">
        <v>400</v>
      </c>
      <c r="S12" s="118">
        <v>400</v>
      </c>
      <c r="T12" s="118">
        <v>400</v>
      </c>
      <c r="U12" s="119">
        <v>400</v>
      </c>
      <c r="V12" s="49"/>
      <c r="W12" s="49"/>
      <c r="X12" s="50"/>
      <c r="Y12" s="51"/>
      <c r="Z12" s="51"/>
      <c r="AA12" s="49"/>
      <c r="AB12" s="49"/>
      <c r="AC12" s="49"/>
      <c r="AD12" s="70"/>
      <c r="AE12" s="51"/>
      <c r="AF12" s="51"/>
      <c r="AG12" s="49"/>
      <c r="AH12" s="49"/>
      <c r="AI12" s="50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</row>
    <row r="13" spans="1:53" ht="15.75" thickBot="1" x14ac:dyDescent="0.3">
      <c r="A13" s="115" t="s">
        <v>292</v>
      </c>
      <c r="B13" s="116" t="s">
        <v>21</v>
      </c>
      <c r="C13" s="118">
        <v>30</v>
      </c>
      <c r="D13" s="118">
        <v>50</v>
      </c>
      <c r="E13" s="118">
        <v>10</v>
      </c>
      <c r="F13" s="119">
        <v>10</v>
      </c>
      <c r="I13"/>
      <c r="V13" s="49"/>
      <c r="W13" s="49"/>
      <c r="X13" s="50"/>
      <c r="Y13" s="51"/>
      <c r="Z13" s="51"/>
      <c r="AA13" s="49"/>
      <c r="AB13" s="49"/>
      <c r="AC13" s="49"/>
      <c r="AD13" s="70"/>
      <c r="AE13" s="51"/>
      <c r="AF13" s="51"/>
      <c r="AG13" s="49"/>
      <c r="AH13" s="49"/>
      <c r="AI13" s="50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</row>
    <row r="14" spans="1:53" ht="15.75" thickBot="1" x14ac:dyDescent="0.3">
      <c r="A14" s="58"/>
      <c r="B14" s="55"/>
      <c r="C14" s="56"/>
      <c r="D14" s="56"/>
      <c r="E14" s="56"/>
      <c r="F14" s="57"/>
      <c r="H14" s="130" t="s">
        <v>144</v>
      </c>
      <c r="I14" s="130"/>
      <c r="J14" s="19" t="str">
        <f>J3</f>
        <v>JAN</v>
      </c>
      <c r="K14" s="19" t="str">
        <f t="shared" ref="K14:U14" si="0">K3</f>
        <v>FEB</v>
      </c>
      <c r="L14" s="19" t="str">
        <f t="shared" si="0"/>
        <v>MAR</v>
      </c>
      <c r="M14" s="19" t="str">
        <f t="shared" si="0"/>
        <v>APR</v>
      </c>
      <c r="N14" s="19" t="str">
        <f t="shared" si="0"/>
        <v>MAJ</v>
      </c>
      <c r="O14" s="19" t="str">
        <f t="shared" si="0"/>
        <v>JUN</v>
      </c>
      <c r="P14" s="19" t="str">
        <f t="shared" si="0"/>
        <v>JUL</v>
      </c>
      <c r="Q14" s="19" t="str">
        <f t="shared" si="0"/>
        <v>AUG</v>
      </c>
      <c r="R14" s="19" t="str">
        <f t="shared" si="0"/>
        <v>SEP</v>
      </c>
      <c r="S14" s="19" t="str">
        <f t="shared" si="0"/>
        <v>OKT</v>
      </c>
      <c r="T14" s="19" t="str">
        <f t="shared" si="0"/>
        <v>NOV</v>
      </c>
      <c r="U14" s="19" t="str">
        <f t="shared" si="0"/>
        <v>DEC</v>
      </c>
      <c r="V14" s="49"/>
      <c r="W14" s="49"/>
      <c r="X14" s="50"/>
      <c r="Y14" s="51"/>
      <c r="Z14" s="51"/>
      <c r="AA14" s="49"/>
      <c r="AB14" s="49"/>
      <c r="AC14" s="49"/>
      <c r="AD14" s="70"/>
      <c r="AE14" s="51"/>
      <c r="AF14" s="51"/>
      <c r="AG14" s="49"/>
      <c r="AH14" s="49"/>
      <c r="AI14" s="50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</row>
    <row r="15" spans="1:53" x14ac:dyDescent="0.25">
      <c r="A15" s="122" t="s">
        <v>15</v>
      </c>
      <c r="B15" s="123"/>
      <c r="C15" s="111" t="s">
        <v>290</v>
      </c>
      <c r="D15" s="111" t="s">
        <v>291</v>
      </c>
      <c r="E15" s="111" t="s">
        <v>22</v>
      </c>
      <c r="F15" s="124"/>
      <c r="I15" s="8" t="s">
        <v>49</v>
      </c>
      <c r="J15" s="15"/>
      <c r="N15" s="56"/>
      <c r="O15" s="56"/>
      <c r="P15" s="56"/>
      <c r="Q15" s="56"/>
      <c r="R15" s="56"/>
      <c r="S15" s="56"/>
      <c r="T15" s="56"/>
      <c r="U15" s="56"/>
      <c r="V15" s="49"/>
      <c r="W15" s="49"/>
      <c r="X15" s="50"/>
      <c r="Y15" s="51"/>
      <c r="Z15" s="51"/>
      <c r="AA15" s="49"/>
      <c r="AB15" s="49"/>
      <c r="AC15" s="49"/>
      <c r="AD15" s="70"/>
      <c r="AE15" s="51"/>
      <c r="AF15" s="51"/>
      <c r="AG15" s="49"/>
      <c r="AH15" s="49"/>
      <c r="AI15" s="50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</row>
    <row r="16" spans="1:53" x14ac:dyDescent="0.25">
      <c r="A16" s="113" t="s">
        <v>19</v>
      </c>
      <c r="B16" s="55" t="s">
        <v>17</v>
      </c>
      <c r="C16" s="56"/>
      <c r="D16" s="56"/>
      <c r="E16" s="56"/>
      <c r="F16" s="114"/>
      <c r="H16" t="s">
        <v>295</v>
      </c>
      <c r="I16" s="8"/>
      <c r="J16" s="59">
        <f>31</f>
        <v>31</v>
      </c>
      <c r="K16" s="129">
        <v>28</v>
      </c>
      <c r="L16" s="129">
        <v>31</v>
      </c>
      <c r="M16" s="129">
        <v>30</v>
      </c>
      <c r="N16" s="129">
        <v>31</v>
      </c>
      <c r="O16" s="129">
        <v>30</v>
      </c>
      <c r="P16" s="129">
        <v>31</v>
      </c>
      <c r="Q16" s="129">
        <v>31</v>
      </c>
      <c r="R16" s="129">
        <v>30</v>
      </c>
      <c r="S16" s="129">
        <v>31</v>
      </c>
      <c r="T16" s="129">
        <v>30</v>
      </c>
      <c r="U16" s="114">
        <v>31</v>
      </c>
      <c r="V16" s="49"/>
      <c r="W16" s="49"/>
      <c r="X16" s="50"/>
      <c r="Y16" s="51"/>
      <c r="Z16" s="51"/>
      <c r="AA16" s="49"/>
      <c r="AB16" s="49"/>
      <c r="AC16" s="49"/>
      <c r="AD16" s="70"/>
      <c r="AE16" s="51"/>
      <c r="AF16" s="51"/>
      <c r="AG16" s="49"/>
      <c r="AH16" s="49"/>
      <c r="AI16" s="50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9"/>
      <c r="AZ16" s="49"/>
    </row>
    <row r="17" spans="1:52" x14ac:dyDescent="0.25">
      <c r="A17" s="113" t="s">
        <v>56</v>
      </c>
      <c r="B17" s="55"/>
      <c r="C17" s="63">
        <f>J5/SUM(J5:J6)</f>
        <v>1</v>
      </c>
      <c r="D17" s="63">
        <f>1-AndelAffald</f>
        <v>0</v>
      </c>
      <c r="E17" s="56"/>
      <c r="F17" s="114"/>
      <c r="H17" t="s">
        <v>289</v>
      </c>
      <c r="I17" s="14" t="s">
        <v>32</v>
      </c>
      <c r="J17" s="131">
        <f>(J5*LHVaffald+BioTonnage*LHVbioaffald)/SUM(J5:J6)</f>
        <v>10.199999999999999</v>
      </c>
      <c r="K17" s="131">
        <f>(K5*LHVaffald+BioTonnage*LHVbioaffald)/SUM(K5:K6)</f>
        <v>10.199999999999999</v>
      </c>
      <c r="L17" s="131">
        <f>(L5*LHVaffald+BioTonnage*LHVbioaffald)/SUM(L5:L6)</f>
        <v>10.199999999999999</v>
      </c>
      <c r="M17" s="131">
        <f>(M5*LHVaffald+BioTonnage*LHVbioaffald)/SUM(M5:M6)</f>
        <v>10.199999999999999</v>
      </c>
      <c r="N17" s="131">
        <f>(N5*LHVaffald+BioTonnage*LHVbioaffald)/SUM(N5:N6)</f>
        <v>10.199999999999999</v>
      </c>
      <c r="O17" s="131">
        <f>(O5*LHVaffald+BioTonnage*LHVbioaffald)/SUM(O5:O6)</f>
        <v>10.199999999999999</v>
      </c>
      <c r="P17" s="131">
        <f>(P5*LHVaffald+BioTonnage*LHVbioaffald)/SUM(P5:P6)</f>
        <v>10.199999999999999</v>
      </c>
      <c r="Q17" s="131">
        <f>(Q5*LHVaffald+BioTonnage*LHVbioaffald)/SUM(Q5:Q6)</f>
        <v>10.199999999999999</v>
      </c>
      <c r="R17" s="131">
        <f>(R5*LHVaffald+BioTonnage*LHVbioaffald)/SUM(R5:R6)</f>
        <v>10.199999999999999</v>
      </c>
      <c r="S17" s="131">
        <f>(S5*LHVaffald+BioTonnage*LHVbioaffald)/SUM(S5:S6)</f>
        <v>10.199999999999999</v>
      </c>
      <c r="T17" s="131">
        <f>(T5*LHVaffald+BioTonnage*LHVbioaffald)/SUM(T5:T6)</f>
        <v>10.199999999999999</v>
      </c>
      <c r="U17" s="131">
        <f>(U5*LHVaffald+BioTonnage*LHVbioaffald)/SUM(U5:U6)</f>
        <v>10.199999999999999</v>
      </c>
      <c r="V17" s="49"/>
      <c r="W17" s="49"/>
      <c r="X17" s="50"/>
      <c r="Y17" s="51"/>
      <c r="Z17" s="51"/>
      <c r="AA17" s="49"/>
      <c r="AB17" s="49"/>
      <c r="AC17" s="49"/>
      <c r="AD17" s="70"/>
      <c r="AE17" s="51"/>
      <c r="AF17" s="51"/>
      <c r="AG17" s="49"/>
      <c r="AH17" s="49"/>
      <c r="AI17" s="50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</row>
    <row r="18" spans="1:52" x14ac:dyDescent="0.25">
      <c r="A18" s="113" t="s">
        <v>62</v>
      </c>
      <c r="B18" s="55" t="s">
        <v>17</v>
      </c>
      <c r="C18" s="125">
        <f>SUM(J5:J6)</f>
        <v>12000</v>
      </c>
      <c r="D18" s="56"/>
      <c r="E18" s="56"/>
      <c r="F18" s="114"/>
      <c r="H18" t="s">
        <v>293</v>
      </c>
      <c r="I18" s="14" t="s">
        <v>17</v>
      </c>
      <c r="J18" s="132">
        <f>SUM(J5:J6)</f>
        <v>12000</v>
      </c>
      <c r="K18" s="132">
        <f>SUM(K5:K6)</f>
        <v>12000</v>
      </c>
      <c r="L18" s="132">
        <f>SUM(L5:L6)</f>
        <v>12000</v>
      </c>
      <c r="M18" s="132">
        <f>SUM(M5:M6)</f>
        <v>12000</v>
      </c>
      <c r="N18" s="132">
        <f>SUM(N5:N6)</f>
        <v>12000</v>
      </c>
      <c r="O18" s="132">
        <f>SUM(O5:O6)</f>
        <v>12000</v>
      </c>
      <c r="P18" s="132">
        <f>SUM(P5:P6)</f>
        <v>12000</v>
      </c>
      <c r="Q18" s="132">
        <f>SUM(Q5:Q6)</f>
        <v>12000</v>
      </c>
      <c r="R18" s="132">
        <f>SUM(R5:R6)</f>
        <v>12000</v>
      </c>
      <c r="S18" s="132">
        <f>SUM(S5:S6)</f>
        <v>12000</v>
      </c>
      <c r="T18" s="132">
        <f>SUM(T5:T6)</f>
        <v>12000</v>
      </c>
      <c r="U18" s="132">
        <f>SUM(U5:U6)</f>
        <v>12000</v>
      </c>
      <c r="V18" s="49"/>
      <c r="W18" s="49"/>
      <c r="X18" s="50"/>
      <c r="Y18" s="51"/>
      <c r="Z18" s="51"/>
      <c r="AA18" s="49"/>
      <c r="AB18" s="49"/>
      <c r="AC18" s="49"/>
      <c r="AD18" s="70"/>
      <c r="AE18" s="51"/>
      <c r="AF18" s="51"/>
      <c r="AG18" s="49"/>
      <c r="AH18" s="49"/>
      <c r="AI18" s="50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</row>
    <row r="19" spans="1:52" x14ac:dyDescent="0.25">
      <c r="A19" s="113" t="s">
        <v>61</v>
      </c>
      <c r="B19" s="55" t="s">
        <v>32</v>
      </c>
      <c r="C19" s="126">
        <f>(J5*LHVaffald+J6*LHVbioaffald)/Ftotal</f>
        <v>10.199999999999999</v>
      </c>
      <c r="D19" s="64">
        <f>Htotal/3.6</f>
        <v>2.833333333333333</v>
      </c>
      <c r="E19" s="56"/>
      <c r="F19" s="114"/>
      <c r="H19" t="s">
        <v>294</v>
      </c>
      <c r="I19" s="14" t="s">
        <v>54</v>
      </c>
      <c r="J19" s="132">
        <f>J18*J17/3.6</f>
        <v>33999.999999999993</v>
      </c>
      <c r="K19" s="132">
        <f t="shared" ref="K19:U19" si="1">K18*K17/3.6</f>
        <v>33999.999999999993</v>
      </c>
      <c r="L19" s="132">
        <f t="shared" si="1"/>
        <v>33999.999999999993</v>
      </c>
      <c r="M19" s="132">
        <f t="shared" si="1"/>
        <v>33999.999999999993</v>
      </c>
      <c r="N19" s="132">
        <f t="shared" si="1"/>
        <v>33999.999999999993</v>
      </c>
      <c r="O19" s="132">
        <f t="shared" si="1"/>
        <v>33999.999999999993</v>
      </c>
      <c r="P19" s="132">
        <f t="shared" si="1"/>
        <v>33999.999999999993</v>
      </c>
      <c r="Q19" s="132">
        <f t="shared" si="1"/>
        <v>33999.999999999993</v>
      </c>
      <c r="R19" s="132">
        <f t="shared" si="1"/>
        <v>33999.999999999993</v>
      </c>
      <c r="S19" s="132">
        <f t="shared" si="1"/>
        <v>33999.999999999993</v>
      </c>
      <c r="T19" s="132">
        <f t="shared" si="1"/>
        <v>33999.999999999993</v>
      </c>
      <c r="U19" s="132">
        <f t="shared" si="1"/>
        <v>33999.999999999993</v>
      </c>
      <c r="V19" s="49"/>
      <c r="W19" s="49"/>
      <c r="X19" s="50"/>
      <c r="Y19" s="51"/>
      <c r="Z19" s="51"/>
      <c r="AA19" s="49"/>
      <c r="AB19" s="49"/>
      <c r="AC19" s="49"/>
      <c r="AD19" s="70"/>
      <c r="AE19" s="51"/>
      <c r="AF19" s="51"/>
      <c r="AG19" s="49"/>
      <c r="AH19" s="49"/>
      <c r="AI19" s="50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</row>
    <row r="20" spans="1:52" x14ac:dyDescent="0.25">
      <c r="A20" s="113" t="s">
        <v>41</v>
      </c>
      <c r="B20" s="55" t="s">
        <v>26</v>
      </c>
      <c r="C20" s="56">
        <v>400</v>
      </c>
      <c r="D20" s="56">
        <f>-6.5*3.6</f>
        <v>-23.400000000000002</v>
      </c>
      <c r="E20" s="56">
        <v>0</v>
      </c>
      <c r="F20" s="114"/>
      <c r="H20" t="s">
        <v>296</v>
      </c>
      <c r="I20" s="14"/>
      <c r="J20" s="134">
        <f>J6/J5</f>
        <v>0</v>
      </c>
      <c r="K20" s="134">
        <f t="shared" ref="K20:U20" si="2">K6/K5</f>
        <v>0</v>
      </c>
      <c r="L20" s="134">
        <f t="shared" si="2"/>
        <v>0</v>
      </c>
      <c r="M20" s="134">
        <f t="shared" si="2"/>
        <v>0</v>
      </c>
      <c r="N20" s="134">
        <f t="shared" si="2"/>
        <v>0</v>
      </c>
      <c r="O20" s="134">
        <f t="shared" si="2"/>
        <v>0</v>
      </c>
      <c r="P20" s="134">
        <f t="shared" si="2"/>
        <v>0</v>
      </c>
      <c r="Q20" s="134">
        <f t="shared" si="2"/>
        <v>0</v>
      </c>
      <c r="R20" s="134">
        <f t="shared" si="2"/>
        <v>0</v>
      </c>
      <c r="S20" s="134">
        <f t="shared" si="2"/>
        <v>0</v>
      </c>
      <c r="T20" s="134">
        <f t="shared" si="2"/>
        <v>0</v>
      </c>
      <c r="U20" s="134">
        <f t="shared" si="2"/>
        <v>0</v>
      </c>
      <c r="V20" s="49"/>
      <c r="W20" s="49"/>
      <c r="X20" s="50"/>
      <c r="Y20" s="51"/>
      <c r="Z20" s="51"/>
      <c r="AA20" s="49"/>
      <c r="AB20" s="49"/>
      <c r="AC20" s="49"/>
      <c r="AD20" s="70"/>
      <c r="AE20" s="51"/>
      <c r="AF20" s="51"/>
      <c r="AG20" s="49"/>
      <c r="AH20" s="49"/>
      <c r="AI20" s="50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</row>
    <row r="21" spans="1:52" x14ac:dyDescent="0.25">
      <c r="A21" s="113" t="s">
        <v>31</v>
      </c>
      <c r="B21" s="55" t="s">
        <v>32</v>
      </c>
      <c r="C21" s="56">
        <v>10.199999999999999</v>
      </c>
      <c r="D21" s="56">
        <v>14</v>
      </c>
      <c r="E21" s="56">
        <v>3.6</v>
      </c>
      <c r="F21" s="114"/>
      <c r="I21" s="14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49"/>
      <c r="W21" s="49"/>
      <c r="X21" s="50"/>
      <c r="Y21" s="51"/>
      <c r="Z21" s="51"/>
      <c r="AA21" s="49"/>
      <c r="AB21" s="49"/>
      <c r="AC21" s="49"/>
      <c r="AD21" s="70"/>
      <c r="AE21" s="51"/>
      <c r="AF21" s="51"/>
      <c r="AG21" s="49"/>
      <c r="AH21" s="49"/>
      <c r="AI21" s="50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</row>
    <row r="22" spans="1:52" x14ac:dyDescent="0.25">
      <c r="A22" s="113" t="s">
        <v>38</v>
      </c>
      <c r="B22" s="55" t="s">
        <v>36</v>
      </c>
      <c r="C22" s="56">
        <v>37</v>
      </c>
      <c r="D22" s="56">
        <v>0</v>
      </c>
      <c r="E22" s="56">
        <v>0</v>
      </c>
      <c r="F22" s="114"/>
      <c r="I22" s="14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6"/>
      <c r="W22" s="49"/>
      <c r="X22" s="50"/>
      <c r="Y22" s="51"/>
      <c r="Z22" s="51"/>
      <c r="AA22" s="49"/>
      <c r="AB22" s="49"/>
      <c r="AC22" s="49"/>
      <c r="AD22" s="70"/>
      <c r="AE22" s="51"/>
      <c r="AF22" s="51"/>
      <c r="AG22" s="49"/>
      <c r="AH22" s="49"/>
      <c r="AI22" s="50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</row>
    <row r="23" spans="1:52" x14ac:dyDescent="0.25">
      <c r="A23" s="113" t="s">
        <v>39</v>
      </c>
      <c r="B23" s="55" t="s">
        <v>36</v>
      </c>
      <c r="C23" s="56">
        <v>42.5</v>
      </c>
      <c r="D23" s="56">
        <v>0</v>
      </c>
      <c r="E23" s="56">
        <v>0</v>
      </c>
      <c r="F23" s="114"/>
      <c r="H23" s="3" t="s">
        <v>137</v>
      </c>
      <c r="I23" s="15" t="s">
        <v>0</v>
      </c>
      <c r="J23" s="15" t="str">
        <f>J38</f>
        <v>JAN</v>
      </c>
      <c r="K23" s="15" t="str">
        <f t="shared" ref="K23:U23" si="3">K38</f>
        <v>FEB</v>
      </c>
      <c r="L23" s="15" t="str">
        <f t="shared" si="3"/>
        <v>MAR</v>
      </c>
      <c r="M23" s="15" t="str">
        <f t="shared" si="3"/>
        <v>APR</v>
      </c>
      <c r="N23" s="15" t="str">
        <f t="shared" si="3"/>
        <v>MAJ</v>
      </c>
      <c r="O23" s="15" t="str">
        <f t="shared" si="3"/>
        <v>JUN</v>
      </c>
      <c r="P23" s="15" t="str">
        <f t="shared" si="3"/>
        <v>JUL</v>
      </c>
      <c r="Q23" s="15" t="str">
        <f t="shared" si="3"/>
        <v>AUG</v>
      </c>
      <c r="R23" s="15" t="str">
        <f t="shared" si="3"/>
        <v>SEP</v>
      </c>
      <c r="S23" s="15" t="str">
        <f t="shared" si="3"/>
        <v>OKT</v>
      </c>
      <c r="T23" s="15" t="str">
        <f t="shared" si="3"/>
        <v>NOV</v>
      </c>
      <c r="U23" s="15" t="str">
        <f t="shared" si="3"/>
        <v>DEC</v>
      </c>
      <c r="V23" s="49"/>
      <c r="W23" s="49"/>
      <c r="X23" s="50"/>
      <c r="Y23" s="51"/>
      <c r="Z23" s="51"/>
      <c r="AA23" s="49"/>
      <c r="AB23" s="49"/>
      <c r="AC23" s="49"/>
      <c r="AD23" s="70"/>
      <c r="AE23" s="51"/>
      <c r="AF23" s="51"/>
      <c r="AG23" s="49"/>
      <c r="AH23" s="49"/>
      <c r="AI23" s="50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</row>
    <row r="24" spans="1:52" ht="15.75" thickBot="1" x14ac:dyDescent="0.3">
      <c r="A24" s="115" t="s">
        <v>139</v>
      </c>
      <c r="B24" s="116" t="s">
        <v>32</v>
      </c>
      <c r="C24" s="118">
        <v>10.6</v>
      </c>
      <c r="D24" s="118">
        <v>0</v>
      </c>
      <c r="E24" s="118">
        <v>0</v>
      </c>
      <c r="F24" s="119"/>
      <c r="H24" s="6" t="s">
        <v>51</v>
      </c>
      <c r="I24" s="8"/>
      <c r="J24" s="12">
        <f>24*J7</f>
        <v>744</v>
      </c>
      <c r="K24" s="12">
        <f>24*K7</f>
        <v>672</v>
      </c>
      <c r="L24" s="12">
        <f>24*L7</f>
        <v>744</v>
      </c>
      <c r="M24" s="12">
        <f>24*M7</f>
        <v>720</v>
      </c>
      <c r="N24" s="12">
        <f>24*N7</f>
        <v>744</v>
      </c>
      <c r="O24" s="12">
        <f>24*O7</f>
        <v>720</v>
      </c>
      <c r="P24" s="12">
        <f>24*P7</f>
        <v>744</v>
      </c>
      <c r="Q24" s="12">
        <f>24*Q7</f>
        <v>744</v>
      </c>
      <c r="R24" s="12">
        <f>24*R7</f>
        <v>720</v>
      </c>
      <c r="S24" s="12">
        <f>24*S7</f>
        <v>744</v>
      </c>
      <c r="T24" s="12">
        <f>24*T7</f>
        <v>720</v>
      </c>
      <c r="U24" s="12">
        <f>24*U7</f>
        <v>744</v>
      </c>
      <c r="V24" s="49"/>
      <c r="W24" s="49"/>
      <c r="X24" s="50"/>
      <c r="Y24" s="51"/>
      <c r="Z24" s="51"/>
      <c r="AA24" s="49"/>
      <c r="AB24" s="49"/>
      <c r="AC24" s="49"/>
      <c r="AD24" s="70"/>
      <c r="AE24" s="51"/>
      <c r="AF24" s="51"/>
      <c r="AG24" s="49"/>
      <c r="AH24" s="49"/>
      <c r="AI24" s="50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</row>
    <row r="25" spans="1:52" x14ac:dyDescent="0.25">
      <c r="A25" s="122" t="s">
        <v>23</v>
      </c>
      <c r="B25" s="123"/>
      <c r="C25" s="127"/>
      <c r="D25" s="127"/>
      <c r="E25" s="127"/>
      <c r="F25" s="124"/>
      <c r="H25" s="6" t="s">
        <v>52</v>
      </c>
      <c r="I25" s="5" t="s">
        <v>43</v>
      </c>
      <c r="J25" s="16">
        <f>J24*$C$5</f>
        <v>7068</v>
      </c>
      <c r="K25" s="16">
        <f t="shared" ref="K25:U25" si="4">K24*$C$5</f>
        <v>6384</v>
      </c>
      <c r="L25" s="16">
        <f t="shared" si="4"/>
        <v>7068</v>
      </c>
      <c r="M25" s="16">
        <f t="shared" si="4"/>
        <v>6840</v>
      </c>
      <c r="N25" s="16">
        <f t="shared" si="4"/>
        <v>7068</v>
      </c>
      <c r="O25" s="16">
        <f t="shared" si="4"/>
        <v>6840</v>
      </c>
      <c r="P25" s="16">
        <f t="shared" si="4"/>
        <v>7068</v>
      </c>
      <c r="Q25" s="16">
        <f t="shared" si="4"/>
        <v>7068</v>
      </c>
      <c r="R25" s="16">
        <f t="shared" si="4"/>
        <v>6840</v>
      </c>
      <c r="S25" s="16">
        <f t="shared" si="4"/>
        <v>7068</v>
      </c>
      <c r="T25" s="16">
        <f t="shared" si="4"/>
        <v>6840</v>
      </c>
      <c r="U25" s="16">
        <f t="shared" si="4"/>
        <v>7068</v>
      </c>
      <c r="V25" s="49"/>
      <c r="W25" s="49"/>
      <c r="X25" s="50"/>
      <c r="Y25" s="51"/>
      <c r="Z25" s="51"/>
      <c r="AA25" s="49"/>
      <c r="AB25" s="49"/>
      <c r="AC25" s="49"/>
      <c r="AD25" s="70"/>
      <c r="AE25" s="51"/>
      <c r="AF25" s="51"/>
      <c r="AG25" s="49"/>
      <c r="AH25" s="49"/>
      <c r="AI25" s="50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</row>
    <row r="26" spans="1:52" x14ac:dyDescent="0.25">
      <c r="A26" s="113" t="s">
        <v>30</v>
      </c>
      <c r="B26" s="55" t="s">
        <v>25</v>
      </c>
      <c r="C26" s="56">
        <v>311</v>
      </c>
      <c r="D26" s="56"/>
      <c r="E26" s="56"/>
      <c r="F26" s="114"/>
      <c r="H26" s="6" t="s">
        <v>65</v>
      </c>
      <c r="I26" s="14" t="s">
        <v>43</v>
      </c>
      <c r="J26" s="16">
        <f>EtaRgkOvn2/EtaQNomOvn2*J25</f>
        <v>1488</v>
      </c>
      <c r="K26" s="16">
        <f>EtaRgkOvn2/EtaQNomOvn2*K25</f>
        <v>1344</v>
      </c>
      <c r="L26" s="16">
        <f>EtaRgkOvn2/EtaQNomOvn2*L25</f>
        <v>1488</v>
      </c>
      <c r="M26" s="16">
        <f>EtaRgkOvn2/EtaQNomOvn2*M25</f>
        <v>1440</v>
      </c>
      <c r="N26" s="16">
        <f>EtaRgkOvn2/EtaQNomOvn2*N25</f>
        <v>1488</v>
      </c>
      <c r="O26" s="16">
        <f>EtaRgkOvn2/EtaQNomOvn2*O25</f>
        <v>1440</v>
      </c>
      <c r="P26" s="16">
        <f>EtaRgkOvn2/EtaQNomOvn2*P25</f>
        <v>1488</v>
      </c>
      <c r="Q26" s="16">
        <f>EtaRgkOvn2/EtaQNomOvn2*Q25</f>
        <v>1488</v>
      </c>
      <c r="R26" s="16">
        <f>EtaRgkOvn2/EtaQNomOvn2*R25</f>
        <v>1440</v>
      </c>
      <c r="S26" s="16">
        <f>EtaRgkOvn2/EtaQNomOvn2*S25</f>
        <v>1488</v>
      </c>
      <c r="T26" s="16">
        <f>EtaRgkOvn2/EtaQNomOvn2*T25</f>
        <v>1440</v>
      </c>
      <c r="U26" s="16">
        <f>EtaRgkOvn2/EtaQNomOvn2*U25</f>
        <v>1488</v>
      </c>
      <c r="V26" s="49"/>
      <c r="W26" s="49"/>
      <c r="X26" s="50"/>
      <c r="Y26" s="51"/>
      <c r="Z26" s="51"/>
      <c r="AA26" s="49"/>
      <c r="AB26" s="49"/>
      <c r="AC26" s="49"/>
      <c r="AD26" s="70"/>
      <c r="AE26" s="51"/>
      <c r="AF26" s="51"/>
      <c r="AG26" s="49"/>
      <c r="AH26" s="49"/>
      <c r="AI26" s="50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49"/>
      <c r="AZ26" s="49"/>
    </row>
    <row r="27" spans="1:52" x14ac:dyDescent="0.25">
      <c r="A27" s="113" t="s">
        <v>42</v>
      </c>
      <c r="B27" s="55" t="s">
        <v>28</v>
      </c>
      <c r="C27" s="56">
        <v>4</v>
      </c>
      <c r="D27" s="56"/>
      <c r="E27" s="56"/>
      <c r="F27" s="114"/>
      <c r="H27" s="6" t="s">
        <v>66</v>
      </c>
      <c r="I27" s="14" t="s">
        <v>43</v>
      </c>
      <c r="J27" s="16">
        <f>SUM(J25:J26)</f>
        <v>8556</v>
      </c>
      <c r="K27" s="16">
        <f t="shared" ref="K27:U27" si="5">SUM(K25:K26)</f>
        <v>7728</v>
      </c>
      <c r="L27" s="16">
        <f t="shared" si="5"/>
        <v>8556</v>
      </c>
      <c r="M27" s="16">
        <f t="shared" si="5"/>
        <v>8280</v>
      </c>
      <c r="N27" s="16">
        <f t="shared" si="5"/>
        <v>8556</v>
      </c>
      <c r="O27" s="16">
        <f t="shared" si="5"/>
        <v>8280</v>
      </c>
      <c r="P27" s="16">
        <f t="shared" si="5"/>
        <v>8556</v>
      </c>
      <c r="Q27" s="16">
        <f t="shared" si="5"/>
        <v>8556</v>
      </c>
      <c r="R27" s="16">
        <f t="shared" si="5"/>
        <v>8280</v>
      </c>
      <c r="S27" s="16">
        <f t="shared" si="5"/>
        <v>8556</v>
      </c>
      <c r="T27" s="16">
        <f t="shared" si="5"/>
        <v>8280</v>
      </c>
      <c r="U27" s="16">
        <f t="shared" si="5"/>
        <v>8556</v>
      </c>
      <c r="V27" s="49"/>
      <c r="W27" s="49"/>
      <c r="X27" s="50"/>
      <c r="Y27" s="51"/>
      <c r="Z27" s="51"/>
      <c r="AA27" s="49"/>
      <c r="AB27" s="49"/>
      <c r="AC27" s="49"/>
      <c r="AD27" s="70"/>
      <c r="AE27" s="51"/>
      <c r="AF27" s="51"/>
      <c r="AG27" s="49"/>
      <c r="AH27" s="49"/>
      <c r="AI27" s="50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</row>
    <row r="28" spans="1:52" x14ac:dyDescent="0.25">
      <c r="A28" s="113" t="s">
        <v>33</v>
      </c>
      <c r="B28" s="55" t="s">
        <v>37</v>
      </c>
      <c r="C28" s="56">
        <v>25.8</v>
      </c>
      <c r="D28" s="56"/>
      <c r="E28" s="56"/>
      <c r="F28" s="114"/>
      <c r="H28" s="6" t="s">
        <v>53</v>
      </c>
      <c r="I28" s="5" t="s">
        <v>54</v>
      </c>
      <c r="J28" s="12">
        <f>J25/EtaQNomOvn2</f>
        <v>8374.4075829383892</v>
      </c>
      <c r="K28" s="12">
        <f>K25/EtaQNomOvn2</f>
        <v>7563.9810426540289</v>
      </c>
      <c r="L28" s="12">
        <f>L25/EtaQNomOvn2</f>
        <v>8374.4075829383892</v>
      </c>
      <c r="M28" s="12">
        <f>M25/EtaQNomOvn2</f>
        <v>8104.2654028436018</v>
      </c>
      <c r="N28" s="12">
        <f>N25/EtaQNomOvn2</f>
        <v>8374.4075829383892</v>
      </c>
      <c r="O28" s="12">
        <f>O25/EtaQNomOvn2</f>
        <v>8104.2654028436018</v>
      </c>
      <c r="P28" s="12">
        <f>P25/EtaQNomOvn2</f>
        <v>8374.4075829383892</v>
      </c>
      <c r="Q28" s="12">
        <f>Q25/EtaQNomOvn2</f>
        <v>8374.4075829383892</v>
      </c>
      <c r="R28" s="12">
        <f>R25/EtaQNomOvn2</f>
        <v>8104.2654028436018</v>
      </c>
      <c r="S28" s="12">
        <f>S25/EtaQNomOvn2</f>
        <v>8374.4075829383892</v>
      </c>
      <c r="T28" s="12">
        <f>T25/EtaQNomOvn2</f>
        <v>8104.2654028436018</v>
      </c>
      <c r="U28" s="12">
        <f>U25/EtaQNomOvn2</f>
        <v>8374.4075829383892</v>
      </c>
      <c r="V28" s="49"/>
      <c r="W28" s="49"/>
      <c r="X28" s="50"/>
      <c r="Y28" s="51"/>
      <c r="Z28" s="51"/>
      <c r="AA28" s="49"/>
      <c r="AB28" s="49"/>
      <c r="AC28" s="49"/>
      <c r="AD28" s="70"/>
      <c r="AE28" s="51"/>
      <c r="AF28" s="51"/>
      <c r="AG28" s="49"/>
      <c r="AH28" s="49"/>
      <c r="AI28" s="50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</row>
    <row r="29" spans="1:52" x14ac:dyDescent="0.25">
      <c r="A29" s="113" t="s">
        <v>34</v>
      </c>
      <c r="B29" s="55" t="s">
        <v>37</v>
      </c>
      <c r="C29" s="56">
        <v>31.8</v>
      </c>
      <c r="D29" s="56"/>
      <c r="E29" s="56"/>
      <c r="F29" s="114"/>
      <c r="H29" s="6" t="s">
        <v>55</v>
      </c>
      <c r="I29" s="14" t="s">
        <v>17</v>
      </c>
      <c r="J29" s="16">
        <f>J28*3.6/J17</f>
        <v>2955.6732645664906</v>
      </c>
      <c r="K29" s="16">
        <f>K28*3.6/K17</f>
        <v>2669.6403679955397</v>
      </c>
      <c r="L29" s="16">
        <f>L28*3.6/L17</f>
        <v>2955.6732645664906</v>
      </c>
      <c r="M29" s="16">
        <f>M28*3.6/M17</f>
        <v>2860.3289657095065</v>
      </c>
      <c r="N29" s="16">
        <f>N28*3.6/N17</f>
        <v>2955.6732645664906</v>
      </c>
      <c r="O29" s="16">
        <f>O28*3.6/O17</f>
        <v>2860.3289657095065</v>
      </c>
      <c r="P29" s="16">
        <f>P28*3.6/P17</f>
        <v>2955.6732645664906</v>
      </c>
      <c r="Q29" s="16">
        <f>Q28*3.6/Q17</f>
        <v>2955.6732645664906</v>
      </c>
      <c r="R29" s="16">
        <f>R28*3.6/R17</f>
        <v>2860.3289657095065</v>
      </c>
      <c r="S29" s="16">
        <f>S28*3.6/S17</f>
        <v>2955.6732645664906</v>
      </c>
      <c r="T29" s="16">
        <f>T28*3.6/T17</f>
        <v>2860.3289657095065</v>
      </c>
      <c r="U29" s="16">
        <f>U28*3.6/U17</f>
        <v>2955.6732645664906</v>
      </c>
      <c r="V29" s="49"/>
      <c r="W29" s="49"/>
      <c r="X29" s="50"/>
      <c r="Y29" s="51"/>
      <c r="Z29" s="51"/>
      <c r="AA29" s="49"/>
      <c r="AB29" s="49"/>
      <c r="AC29" s="49"/>
      <c r="AD29" s="70"/>
      <c r="AE29" s="51"/>
      <c r="AF29" s="51"/>
      <c r="AG29" s="49"/>
      <c r="AH29" s="49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49"/>
      <c r="AZ29" s="49"/>
    </row>
    <row r="30" spans="1:52" ht="15.75" thickBot="1" x14ac:dyDescent="0.3">
      <c r="A30" s="115" t="s">
        <v>35</v>
      </c>
      <c r="B30" s="116" t="s">
        <v>40</v>
      </c>
      <c r="C30" s="118">
        <v>178.5</v>
      </c>
      <c r="D30" s="118"/>
      <c r="E30" s="118"/>
      <c r="F30" s="119"/>
      <c r="I30" s="15" t="s">
        <v>1</v>
      </c>
      <c r="N30" s="56"/>
      <c r="O30" s="56"/>
      <c r="P30" s="56"/>
      <c r="Q30" s="56"/>
      <c r="R30" s="56"/>
      <c r="S30" s="56"/>
      <c r="T30" s="56"/>
      <c r="U30" s="56"/>
      <c r="V30" s="49"/>
      <c r="W30" s="49"/>
      <c r="X30" s="50"/>
      <c r="Y30" s="51"/>
      <c r="Z30" s="51"/>
      <c r="AA30" s="49"/>
      <c r="AB30" s="49"/>
      <c r="AC30" s="49"/>
      <c r="AD30" s="70"/>
      <c r="AE30" s="51"/>
      <c r="AF30" s="51"/>
      <c r="AG30" s="49"/>
      <c r="AH30" s="49"/>
      <c r="AI30" s="50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49"/>
      <c r="AZ30" s="49"/>
    </row>
    <row r="31" spans="1:52" x14ac:dyDescent="0.25">
      <c r="H31" s="6" t="s">
        <v>51</v>
      </c>
      <c r="I31" s="14"/>
      <c r="J31" s="12">
        <f>24*J8</f>
        <v>744</v>
      </c>
      <c r="K31" s="12">
        <f>24*K8</f>
        <v>672</v>
      </c>
      <c r="L31" s="12">
        <f>24*L8</f>
        <v>744</v>
      </c>
      <c r="M31" s="12">
        <f>24*M8</f>
        <v>720</v>
      </c>
      <c r="N31" s="12">
        <f>24*N8</f>
        <v>744</v>
      </c>
      <c r="O31" s="12">
        <f>24*O8</f>
        <v>48</v>
      </c>
      <c r="P31" s="12">
        <f>24*P8</f>
        <v>744</v>
      </c>
      <c r="Q31" s="12">
        <f>24*Q8</f>
        <v>744</v>
      </c>
      <c r="R31" s="12">
        <f>24*R8</f>
        <v>720</v>
      </c>
      <c r="S31" s="12">
        <f>24*S8</f>
        <v>744</v>
      </c>
      <c r="T31" s="12">
        <f>24*T8</f>
        <v>720</v>
      </c>
      <c r="U31" s="12">
        <f>24*U8</f>
        <v>744</v>
      </c>
      <c r="V31" s="49"/>
      <c r="W31" s="49"/>
      <c r="X31" s="50"/>
      <c r="Y31"/>
      <c r="Z31"/>
      <c r="AA31" s="49"/>
      <c r="AB31" s="49"/>
      <c r="AC31" s="49"/>
      <c r="AD31" s="70"/>
      <c r="AE31" s="51"/>
      <c r="AF31" s="51"/>
      <c r="AG31" s="49"/>
      <c r="AH31" s="49"/>
      <c r="AI31" s="50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</row>
    <row r="32" spans="1:52" x14ac:dyDescent="0.25">
      <c r="H32" s="6" t="s">
        <v>52</v>
      </c>
      <c r="I32" s="5" t="s">
        <v>43</v>
      </c>
      <c r="J32" s="16">
        <f>J31*$D$5</f>
        <v>16740</v>
      </c>
      <c r="K32" s="16">
        <f t="shared" ref="K32:U32" si="6">K31*$D$5</f>
        <v>15120</v>
      </c>
      <c r="L32" s="16">
        <f t="shared" si="6"/>
        <v>16740</v>
      </c>
      <c r="M32" s="16">
        <f t="shared" si="6"/>
        <v>16200</v>
      </c>
      <c r="N32" s="16">
        <f t="shared" si="6"/>
        <v>16740</v>
      </c>
      <c r="O32" s="16">
        <f t="shared" si="6"/>
        <v>1080</v>
      </c>
      <c r="P32" s="16">
        <f t="shared" si="6"/>
        <v>16740</v>
      </c>
      <c r="Q32" s="16">
        <f t="shared" si="6"/>
        <v>16740</v>
      </c>
      <c r="R32" s="16">
        <f t="shared" si="6"/>
        <v>16200</v>
      </c>
      <c r="S32" s="16">
        <f t="shared" si="6"/>
        <v>16740</v>
      </c>
      <c r="T32" s="16">
        <f t="shared" si="6"/>
        <v>16200</v>
      </c>
      <c r="U32" s="16">
        <f t="shared" si="6"/>
        <v>16740</v>
      </c>
      <c r="V32" s="49"/>
      <c r="W32" s="49"/>
      <c r="X32" s="50"/>
      <c r="Y32" s="51"/>
      <c r="Z32" s="51"/>
      <c r="AA32" s="49"/>
      <c r="AB32" s="49"/>
      <c r="AC32" s="49"/>
      <c r="AD32" s="70"/>
      <c r="AE32" s="51"/>
      <c r="AF32" s="51"/>
      <c r="AG32" s="49"/>
      <c r="AH32" s="49"/>
      <c r="AI32" s="50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</row>
    <row r="33" spans="8:52" x14ac:dyDescent="0.25">
      <c r="H33" s="6" t="s">
        <v>65</v>
      </c>
      <c r="I33" s="14" t="s">
        <v>43</v>
      </c>
      <c r="J33" s="16">
        <f>EtaRgkOvn3/EtaQNomOvn3*J32</f>
        <v>4092</v>
      </c>
      <c r="K33" s="16">
        <f>EtaRgkOvn3/EtaQNomOvn3*K32</f>
        <v>3696</v>
      </c>
      <c r="L33" s="16">
        <f>EtaRgkOvn3/EtaQNomOvn3*L32</f>
        <v>4092</v>
      </c>
      <c r="M33" s="16">
        <f>EtaRgkOvn3/EtaQNomOvn3*M32</f>
        <v>3960</v>
      </c>
      <c r="N33" s="16">
        <f>EtaRgkOvn3/EtaQNomOvn3*N32</f>
        <v>4092</v>
      </c>
      <c r="O33" s="16">
        <f>EtaRgkOvn3/EtaQNomOvn3*O32</f>
        <v>264</v>
      </c>
      <c r="P33" s="16">
        <f>EtaRgkOvn3/EtaQNomOvn3*P32</f>
        <v>4092</v>
      </c>
      <c r="Q33" s="16">
        <f>EtaRgkOvn3/EtaQNomOvn3*Q32</f>
        <v>4092</v>
      </c>
      <c r="R33" s="16">
        <f>EtaRgkOvn3/EtaQNomOvn3*R32</f>
        <v>3960</v>
      </c>
      <c r="S33" s="16">
        <f>EtaRgkOvn3/EtaQNomOvn3*S32</f>
        <v>4092</v>
      </c>
      <c r="T33" s="16">
        <f>EtaRgkOvn3/EtaQNomOvn3*T32</f>
        <v>3960</v>
      </c>
      <c r="U33" s="16">
        <f>EtaRgkOvn3/EtaQNomOvn3*U32</f>
        <v>4092</v>
      </c>
      <c r="V33" s="49"/>
      <c r="W33" s="49"/>
      <c r="X33" s="50"/>
      <c r="Y33" s="51"/>
      <c r="Z33" s="51"/>
      <c r="AA33" s="49"/>
      <c r="AB33" s="49"/>
      <c r="AC33" s="49"/>
      <c r="AD33" s="70"/>
      <c r="AE33" s="51"/>
      <c r="AF33" s="51"/>
      <c r="AG33" s="49"/>
      <c r="AH33" s="49"/>
      <c r="AI33" s="50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</row>
    <row r="34" spans="8:52" x14ac:dyDescent="0.25">
      <c r="H34" s="6" t="s">
        <v>66</v>
      </c>
      <c r="I34" s="14" t="s">
        <v>43</v>
      </c>
      <c r="J34" s="16">
        <f>SUM(J32:J33)</f>
        <v>20832</v>
      </c>
      <c r="K34" s="16">
        <f t="shared" ref="K34:U34" si="7">SUM(K32:K33)</f>
        <v>18816</v>
      </c>
      <c r="L34" s="16">
        <f t="shared" si="7"/>
        <v>20832</v>
      </c>
      <c r="M34" s="16">
        <f t="shared" si="7"/>
        <v>20160</v>
      </c>
      <c r="N34" s="16">
        <f t="shared" si="7"/>
        <v>20832</v>
      </c>
      <c r="O34" s="16">
        <f t="shared" si="7"/>
        <v>1344</v>
      </c>
      <c r="P34" s="16">
        <f t="shared" si="7"/>
        <v>20832</v>
      </c>
      <c r="Q34" s="16">
        <f t="shared" si="7"/>
        <v>20832</v>
      </c>
      <c r="R34" s="16">
        <f t="shared" si="7"/>
        <v>20160</v>
      </c>
      <c r="S34" s="16">
        <f t="shared" si="7"/>
        <v>20832</v>
      </c>
      <c r="T34" s="16">
        <f t="shared" si="7"/>
        <v>20160</v>
      </c>
      <c r="U34" s="16">
        <f t="shared" si="7"/>
        <v>20832</v>
      </c>
      <c r="V34" s="49"/>
      <c r="W34" s="49"/>
      <c r="X34" s="50"/>
      <c r="Y34" s="51"/>
      <c r="Z34" s="51"/>
      <c r="AA34" s="49"/>
      <c r="AB34" s="49"/>
      <c r="AC34" s="49"/>
      <c r="AD34" s="70"/>
      <c r="AE34" s="51"/>
      <c r="AF34" s="51"/>
      <c r="AG34" s="49"/>
      <c r="AH34" s="49"/>
      <c r="AI34" s="50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</row>
    <row r="35" spans="8:52" x14ac:dyDescent="0.25">
      <c r="H35" s="6" t="s">
        <v>53</v>
      </c>
      <c r="I35" s="5" t="s">
        <v>54</v>
      </c>
      <c r="J35" s="12">
        <f>J32/EtaQNomOvn3</f>
        <v>25518.292682926829</v>
      </c>
      <c r="K35" s="12">
        <f>K32/EtaQNomOvn3</f>
        <v>23048.780487804877</v>
      </c>
      <c r="L35" s="12">
        <f>L32/EtaQNomOvn3</f>
        <v>25518.292682926829</v>
      </c>
      <c r="M35" s="12">
        <f>M32/EtaQNomOvn3</f>
        <v>24695.121951219509</v>
      </c>
      <c r="N35" s="12">
        <f>N32/EtaQNomOvn3</f>
        <v>25518.292682926829</v>
      </c>
      <c r="O35" s="12">
        <f>O32/EtaQNomOvn3</f>
        <v>1646.3414634146341</v>
      </c>
      <c r="P35" s="12">
        <f>P32/EtaQNomOvn3</f>
        <v>25518.292682926829</v>
      </c>
      <c r="Q35" s="12">
        <f>Q32/EtaQNomOvn3</f>
        <v>25518.292682926829</v>
      </c>
      <c r="R35" s="12">
        <f>R32/EtaQNomOvn3</f>
        <v>24695.121951219509</v>
      </c>
      <c r="S35" s="12">
        <f>S32/EtaQNomOvn3</f>
        <v>25518.292682926829</v>
      </c>
      <c r="T35" s="12">
        <f>T32/EtaQNomOvn3</f>
        <v>24695.121951219509</v>
      </c>
      <c r="U35" s="12">
        <f>U32/EtaQNomOvn3</f>
        <v>25518.292682926829</v>
      </c>
      <c r="V35" s="49"/>
      <c r="W35" s="49"/>
      <c r="X35" s="50"/>
      <c r="Y35"/>
      <c r="Z35"/>
      <c r="AA35" s="49"/>
      <c r="AB35" s="49"/>
      <c r="AC35" s="49"/>
      <c r="AD35" s="70"/>
      <c r="AE35" s="51"/>
      <c r="AF35" s="51"/>
      <c r="AG35" s="49"/>
      <c r="AH35" s="49"/>
      <c r="AI35" s="50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</row>
    <row r="36" spans="8:52" x14ac:dyDescent="0.25">
      <c r="H36" s="6" t="s">
        <v>55</v>
      </c>
      <c r="I36" s="14" t="s">
        <v>17</v>
      </c>
      <c r="J36" s="16">
        <f>J35/(J17/3.6)</f>
        <v>9006.456241033</v>
      </c>
      <c r="K36" s="16">
        <f>K35/(K17/3.6)</f>
        <v>8134.8637015781933</v>
      </c>
      <c r="L36" s="16">
        <f>L35/(L17/3.6)</f>
        <v>9006.456241033</v>
      </c>
      <c r="M36" s="16">
        <f>M35/(M17/3.6)</f>
        <v>8715.9253945480632</v>
      </c>
      <c r="N36" s="16">
        <f>N35/(N17/3.6)</f>
        <v>9006.456241033</v>
      </c>
      <c r="O36" s="16">
        <f>O35/(O17/3.6)</f>
        <v>581.06169296987093</v>
      </c>
      <c r="P36" s="16">
        <f>P35/(P17/3.6)</f>
        <v>9006.456241033</v>
      </c>
      <c r="Q36" s="16">
        <f>Q35/(Q17/3.6)</f>
        <v>9006.456241033</v>
      </c>
      <c r="R36" s="16">
        <f>R35/(R17/3.6)</f>
        <v>8715.9253945480632</v>
      </c>
      <c r="S36" s="16">
        <f>S35/(S17/3.6)</f>
        <v>9006.456241033</v>
      </c>
      <c r="T36" s="16">
        <f>T35/(T17/3.6)</f>
        <v>8715.9253945480632</v>
      </c>
      <c r="U36" s="16">
        <f>U35/(U17/3.6)</f>
        <v>9006.456241033</v>
      </c>
      <c r="V36" s="49"/>
      <c r="W36" s="49"/>
      <c r="X36" s="50"/>
      <c r="Y36" s="51"/>
      <c r="Z36" s="51"/>
      <c r="AA36" s="49"/>
      <c r="AB36" s="49"/>
      <c r="AC36" s="49"/>
      <c r="AD36" s="70"/>
      <c r="AE36" s="51"/>
      <c r="AF36" s="51"/>
      <c r="AG36" s="49"/>
      <c r="AH36" s="49"/>
      <c r="AI36" s="50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</row>
    <row r="37" spans="8:52" x14ac:dyDescent="0.25">
      <c r="N37" s="56"/>
      <c r="O37" s="56"/>
      <c r="P37" s="56"/>
      <c r="Q37" s="56"/>
      <c r="R37" s="56"/>
      <c r="S37" s="56"/>
      <c r="T37" s="56"/>
      <c r="U37" s="56"/>
      <c r="V37" s="49"/>
      <c r="W37" s="49"/>
      <c r="X37" s="50"/>
      <c r="Y37" s="51"/>
      <c r="Z37" s="51"/>
      <c r="AA37" s="49"/>
      <c r="AB37" s="49"/>
      <c r="AC37" s="49"/>
      <c r="AD37" s="70"/>
      <c r="AE37" s="51"/>
      <c r="AF37" s="51"/>
      <c r="AG37" s="49"/>
      <c r="AH37" s="49"/>
      <c r="AI37" s="50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</row>
    <row r="38" spans="8:52" x14ac:dyDescent="0.25">
      <c r="H38" s="7" t="s">
        <v>138</v>
      </c>
      <c r="J38" s="15" t="str">
        <f>J3</f>
        <v>JAN</v>
      </c>
      <c r="K38" s="15" t="str">
        <f>K3</f>
        <v>FEB</v>
      </c>
      <c r="L38" s="15" t="str">
        <f>L3</f>
        <v>MAR</v>
      </c>
      <c r="M38" s="15" t="str">
        <f>M3</f>
        <v>APR</v>
      </c>
      <c r="N38" s="15" t="str">
        <f>N3</f>
        <v>MAJ</v>
      </c>
      <c r="O38" s="15" t="str">
        <f>O3</f>
        <v>JUN</v>
      </c>
      <c r="P38" s="15" t="str">
        <f>P3</f>
        <v>JUL</v>
      </c>
      <c r="Q38" s="15" t="str">
        <f>Q3</f>
        <v>AUG</v>
      </c>
      <c r="R38" s="15" t="str">
        <f>R3</f>
        <v>SEP</v>
      </c>
      <c r="S38" s="15" t="str">
        <f>S3</f>
        <v>OKT</v>
      </c>
      <c r="T38" s="15" t="str">
        <f>T3</f>
        <v>NOV</v>
      </c>
      <c r="U38" s="15" t="str">
        <f>U3</f>
        <v>DEC</v>
      </c>
      <c r="V38" s="70"/>
      <c r="W38" s="51"/>
      <c r="X38" s="50"/>
      <c r="Y38" s="51"/>
      <c r="Z38" s="51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</row>
    <row r="39" spans="8:52" x14ac:dyDescent="0.25">
      <c r="H39" s="6" t="s">
        <v>57</v>
      </c>
      <c r="I39" s="5" t="s">
        <v>43</v>
      </c>
      <c r="J39" s="16">
        <f>MIN(J4,J34,EtaQmaxOvn3*J19)</f>
        <v>20832</v>
      </c>
      <c r="K39" s="16">
        <f>MIN(K4,K34,EtaQmaxOvn3*K19)</f>
        <v>18816</v>
      </c>
      <c r="L39" s="16">
        <f>MIN(L4,L34,EtaQmaxOvn3*L19)</f>
        <v>20832</v>
      </c>
      <c r="M39" s="16">
        <f>MIN(M4,M34,EtaQmaxOvn3*M19)</f>
        <v>20160</v>
      </c>
      <c r="N39" s="16">
        <f>MIN(N4,N34,EtaQmaxOvn3*N19)</f>
        <v>12760</v>
      </c>
      <c r="O39" s="16">
        <f>MIN(O4,O34,EtaQmaxOvn3*O19)</f>
        <v>1344</v>
      </c>
      <c r="P39" s="16">
        <f>MIN(P4,P34,EtaQmaxOvn3*P19)</f>
        <v>6411</v>
      </c>
      <c r="Q39" s="16">
        <f>MIN(Q4,Q34,EtaQmaxOvn3*Q19)</f>
        <v>7774</v>
      </c>
      <c r="R39" s="16">
        <f>MIN(R4,R34,EtaQmaxOvn3*R19)</f>
        <v>8886</v>
      </c>
      <c r="S39" s="16">
        <f>MIN(S4,S34,EtaQmaxOvn3*S19)</f>
        <v>15610</v>
      </c>
      <c r="T39" s="16">
        <f>MIN(T4,T34,EtaQmaxOvn3*T19)</f>
        <v>20160</v>
      </c>
      <c r="U39" s="16">
        <f>MIN(U4,U34,EtaQmaxOvn3*U19)</f>
        <v>20832</v>
      </c>
      <c r="V39" s="49"/>
      <c r="W39" s="49"/>
      <c r="X39" s="50"/>
      <c r="Y39"/>
      <c r="Z39"/>
      <c r="AA39" s="49"/>
      <c r="AB39" s="49"/>
      <c r="AC39" s="49"/>
      <c r="AD39" s="70"/>
      <c r="AE39" s="51"/>
      <c r="AF39" s="51"/>
      <c r="AG39" s="49"/>
      <c r="AH39" s="49"/>
      <c r="AI39" s="50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</row>
    <row r="40" spans="8:52" x14ac:dyDescent="0.25">
      <c r="H40" s="5" t="s">
        <v>60</v>
      </c>
      <c r="I40" s="5" t="s">
        <v>17</v>
      </c>
      <c r="J40" s="16">
        <f>J39/EtaQmaxOvn3/(J17/3.6)</f>
        <v>9006.456241033</v>
      </c>
      <c r="K40" s="16">
        <f>K39/EtaQmaxOvn3/(K17/3.6)</f>
        <v>8134.8637015781933</v>
      </c>
      <c r="L40" s="16">
        <f>L39/EtaQmaxOvn3/(L17/3.6)</f>
        <v>9006.456241033</v>
      </c>
      <c r="M40" s="16">
        <f>M39/EtaQmaxOvn3/(M17/3.6)</f>
        <v>8715.9253945480632</v>
      </c>
      <c r="N40" s="16">
        <f>N39/EtaQmaxOvn3/(N17/3.6)</f>
        <v>5516.627382660382</v>
      </c>
      <c r="O40" s="16">
        <f>O39/EtaQmaxOvn3/(O17/3.6)</f>
        <v>581.06169296987093</v>
      </c>
      <c r="P40" s="16">
        <f>P39/EtaQmaxOvn3/(P17/3.6)</f>
        <v>2771.716155974585</v>
      </c>
      <c r="Q40" s="16">
        <f>Q39/EtaQmaxOvn3/(Q17/3.6)</f>
        <v>3360.9922627587621</v>
      </c>
      <c r="R40" s="16">
        <f>R39/EtaQmaxOvn3/(R17/3.6)</f>
        <v>3841.7516396802625</v>
      </c>
      <c r="S40" s="16">
        <f>S39/EtaQmaxOvn3/(S17/3.6)</f>
        <v>6748.7894548063132</v>
      </c>
      <c r="T40" s="16">
        <f>T39/EtaQmaxOvn3/(T17/3.6)</f>
        <v>8715.9253945480632</v>
      </c>
      <c r="U40" s="16">
        <f>U39/EtaQmaxOvn3/(U17/3.6)</f>
        <v>9006.456241033</v>
      </c>
      <c r="V40" s="49"/>
      <c r="W40" s="49"/>
      <c r="X40" s="50"/>
      <c r="Y40" s="51"/>
      <c r="Z40" s="51"/>
      <c r="AA40" s="49"/>
      <c r="AB40" s="49"/>
      <c r="AC40" s="49"/>
      <c r="AD40" s="70"/>
      <c r="AE40" s="51"/>
      <c r="AF40" s="51"/>
      <c r="AG40" s="49"/>
      <c r="AH40" s="49"/>
      <c r="AI40" s="50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</row>
    <row r="41" spans="8:52" x14ac:dyDescent="0.25">
      <c r="H41" s="5" t="s">
        <v>58</v>
      </c>
      <c r="I41" s="5" t="s">
        <v>43</v>
      </c>
      <c r="J41" s="16">
        <f>J4-J39</f>
        <v>7283</v>
      </c>
      <c r="K41" s="16">
        <f>K4-K39</f>
        <v>5086</v>
      </c>
      <c r="L41" s="16">
        <f>L4-L39</f>
        <v>6523</v>
      </c>
      <c r="M41" s="16">
        <f>M4-M39</f>
        <v>2337</v>
      </c>
      <c r="N41" s="16">
        <f>N4-N39</f>
        <v>0</v>
      </c>
      <c r="O41" s="16">
        <f>O4-O39</f>
        <v>4756</v>
      </c>
      <c r="P41" s="16">
        <f>P4-P39</f>
        <v>0</v>
      </c>
      <c r="Q41" s="16">
        <f>Q4-Q39</f>
        <v>0</v>
      </c>
      <c r="R41" s="16">
        <f>R4-R39</f>
        <v>0</v>
      </c>
      <c r="S41" s="16">
        <f>S4-S39</f>
        <v>0</v>
      </c>
      <c r="T41" s="16">
        <f>T4-T39</f>
        <v>250</v>
      </c>
      <c r="U41" s="16">
        <f>U4-U39</f>
        <v>4643</v>
      </c>
      <c r="V41" s="49"/>
      <c r="W41" s="49"/>
      <c r="X41" s="50"/>
      <c r="Y41" s="51"/>
      <c r="Z41" s="51"/>
      <c r="AA41" s="49"/>
      <c r="AB41" s="49"/>
      <c r="AC41" s="49"/>
      <c r="AD41" s="70"/>
      <c r="AE41" s="51"/>
      <c r="AF41" s="51"/>
      <c r="AG41" s="49"/>
      <c r="AH41" s="49"/>
      <c r="AI41" s="50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</row>
    <row r="42" spans="8:52" x14ac:dyDescent="0.25">
      <c r="H42" s="5" t="s">
        <v>59</v>
      </c>
      <c r="I42" s="5" t="s">
        <v>17</v>
      </c>
      <c r="J42" s="16">
        <f>SUM(J5:J6)-J40</f>
        <v>2993.543758967</v>
      </c>
      <c r="K42" s="16">
        <f>SUM(K5:K6)-K40</f>
        <v>3865.1362984218067</v>
      </c>
      <c r="L42" s="16">
        <f>SUM(L5:L6)-L40</f>
        <v>2993.543758967</v>
      </c>
      <c r="M42" s="16">
        <f>SUM(M5:M6)-M40</f>
        <v>3284.0746054519368</v>
      </c>
      <c r="N42" s="16">
        <f>SUM(N5:N6)-N40</f>
        <v>6483.372617339618</v>
      </c>
      <c r="O42" s="16">
        <f>SUM(O5:O6)-O40</f>
        <v>11418.938307030128</v>
      </c>
      <c r="P42" s="16">
        <f>SUM(P5:P6)-P40</f>
        <v>9228.2838440254145</v>
      </c>
      <c r="Q42" s="16">
        <f>SUM(Q5:Q6)-Q40</f>
        <v>8639.0077372412379</v>
      </c>
      <c r="R42" s="16">
        <f>SUM(R5:R6)-R40</f>
        <v>8158.2483603197379</v>
      </c>
      <c r="S42" s="16">
        <f>SUM(S5:S6)-S40</f>
        <v>5251.2105451936868</v>
      </c>
      <c r="T42" s="16">
        <f>SUM(T5:T6)-T40</f>
        <v>3284.0746054519368</v>
      </c>
      <c r="U42" s="16">
        <f>SUM(U5:U6)-U40</f>
        <v>2993.543758967</v>
      </c>
      <c r="V42" s="49"/>
      <c r="W42" s="49"/>
      <c r="X42" s="50"/>
      <c r="Y42" s="51"/>
      <c r="Z42" s="51"/>
      <c r="AA42" s="49"/>
      <c r="AB42" s="49"/>
      <c r="AC42" s="49"/>
      <c r="AD42" s="70"/>
      <c r="AE42" s="51"/>
      <c r="AF42" s="51"/>
      <c r="AG42" s="49"/>
      <c r="AH42" s="49"/>
      <c r="AI42" s="50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</row>
    <row r="43" spans="8:52" x14ac:dyDescent="0.25">
      <c r="H43" s="6" t="s">
        <v>63</v>
      </c>
      <c r="I43" s="5" t="s">
        <v>43</v>
      </c>
      <c r="J43" s="16">
        <f>MIN(J41,J10)</f>
        <v>4000</v>
      </c>
      <c r="K43" s="16">
        <f>MIN(K41,K10)</f>
        <v>0</v>
      </c>
      <c r="L43" s="16">
        <f>MIN(L41,L10)</f>
        <v>0</v>
      </c>
      <c r="M43" s="16">
        <f>MIN(M41,M10)</f>
        <v>0</v>
      </c>
      <c r="N43" s="16">
        <f>MIN(N41,N10)</f>
        <v>0</v>
      </c>
      <c r="O43" s="16">
        <f>MIN(O41,O10)</f>
        <v>0</v>
      </c>
      <c r="P43" s="16">
        <f>MIN(P41,P10)</f>
        <v>0</v>
      </c>
      <c r="Q43" s="16">
        <f>MIN(Q41,Q10)</f>
        <v>0</v>
      </c>
      <c r="R43" s="16">
        <f>MIN(R41,R10)</f>
        <v>0</v>
      </c>
      <c r="S43" s="16">
        <f>MIN(S41,S10)</f>
        <v>0</v>
      </c>
      <c r="T43" s="16">
        <f>MIN(T41,T10)</f>
        <v>0</v>
      </c>
      <c r="U43" s="16">
        <f>MIN(U41,U10)</f>
        <v>4643</v>
      </c>
      <c r="V43" s="49"/>
      <c r="W43" s="49"/>
      <c r="X43" s="50"/>
      <c r="Y43"/>
      <c r="Z43"/>
      <c r="AA43" s="49"/>
      <c r="AB43" s="49"/>
      <c r="AC43" s="49"/>
      <c r="AD43" s="70"/>
      <c r="AE43" s="51"/>
      <c r="AF43" s="51"/>
      <c r="AG43" s="49"/>
      <c r="AH43" s="49"/>
      <c r="AI43" s="50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</row>
    <row r="44" spans="8:52" x14ac:dyDescent="0.25">
      <c r="H44" s="5" t="s">
        <v>58</v>
      </c>
      <c r="I44" s="5" t="s">
        <v>43</v>
      </c>
      <c r="J44" s="16">
        <f>J41-J43</f>
        <v>3283</v>
      </c>
      <c r="K44" s="16">
        <f t="shared" ref="K44:U44" si="8">K41-K43</f>
        <v>5086</v>
      </c>
      <c r="L44" s="16">
        <f t="shared" si="8"/>
        <v>6523</v>
      </c>
      <c r="M44" s="16">
        <f t="shared" si="8"/>
        <v>2337</v>
      </c>
      <c r="N44" s="16">
        <f t="shared" si="8"/>
        <v>0</v>
      </c>
      <c r="O44" s="16">
        <f t="shared" si="8"/>
        <v>4756</v>
      </c>
      <c r="P44" s="16">
        <f t="shared" si="8"/>
        <v>0</v>
      </c>
      <c r="Q44" s="16">
        <f t="shared" si="8"/>
        <v>0</v>
      </c>
      <c r="R44" s="16">
        <f t="shared" si="8"/>
        <v>0</v>
      </c>
      <c r="S44" s="16">
        <f t="shared" si="8"/>
        <v>0</v>
      </c>
      <c r="T44" s="16">
        <f t="shared" si="8"/>
        <v>250</v>
      </c>
      <c r="U44" s="16">
        <f t="shared" si="8"/>
        <v>0</v>
      </c>
      <c r="V44" s="49"/>
      <c r="W44" s="49"/>
      <c r="X44" s="50"/>
      <c r="Y44" s="51"/>
      <c r="Z44" s="51"/>
      <c r="AA44" s="49"/>
      <c r="AB44" s="49"/>
      <c r="AC44" s="49"/>
      <c r="AD44" s="70"/>
      <c r="AE44" s="51"/>
      <c r="AF44" s="51"/>
      <c r="AG44" s="49"/>
      <c r="AH44" s="49"/>
      <c r="AI44" s="50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</row>
    <row r="45" spans="8:52" x14ac:dyDescent="0.25">
      <c r="H45" s="6" t="s">
        <v>64</v>
      </c>
      <c r="I45" s="5" t="s">
        <v>43</v>
      </c>
      <c r="J45" s="16">
        <f>MIN(J44,J27,EtaQmaxOvn2*(J42*J17)/3.6)</f>
        <v>3283</v>
      </c>
      <c r="K45" s="16">
        <f>MIN(K44,K27,EtaQmaxOvn2*(K42*K17)/3.6)</f>
        <v>5086</v>
      </c>
      <c r="L45" s="16">
        <f>MIN(L44,L27,EtaQmaxOvn2*(L42*L17)/3.6)</f>
        <v>6523</v>
      </c>
      <c r="M45" s="16">
        <f>MIN(M44,M27,EtaQmaxOvn2*(M42*M17)/3.6)</f>
        <v>2337</v>
      </c>
      <c r="N45" s="16">
        <f>MIN(N44,N27,EtaQmaxOvn2*(N42*N17)/3.6)</f>
        <v>0</v>
      </c>
      <c r="O45" s="16">
        <f>MIN(O44,O27,EtaQmaxOvn2*(O42*O17)/3.6)</f>
        <v>4756</v>
      </c>
      <c r="P45" s="16">
        <f>MIN(P44,P27,EtaQmaxOvn2*(P42*P17)/3.6)</f>
        <v>0</v>
      </c>
      <c r="Q45" s="16">
        <f>MIN(Q44,Q27,EtaQmaxOvn2*(Q42*Q17)/3.6)</f>
        <v>0</v>
      </c>
      <c r="R45" s="16">
        <f>MIN(R44,R27,EtaQmaxOvn2*(R42*R17)/3.6)</f>
        <v>0</v>
      </c>
      <c r="S45" s="16">
        <f>MIN(S44,S27,EtaQmaxOvn2*(S42*S17)/3.6)</f>
        <v>0</v>
      </c>
      <c r="T45" s="16">
        <f>MIN(T44,T27,EtaQmaxOvn2*(T42*T17)/3.6)</f>
        <v>250</v>
      </c>
      <c r="U45" s="16">
        <f>MIN(U44,U27,EtaQmaxOvn2*(U42*U17)/3.6)</f>
        <v>0</v>
      </c>
      <c r="V45" s="49"/>
      <c r="W45" s="49"/>
      <c r="X45" s="50"/>
      <c r="Y45" s="51"/>
      <c r="Z45" s="51"/>
      <c r="AA45" s="49"/>
      <c r="AB45" s="49"/>
      <c r="AC45" s="49"/>
      <c r="AD45" s="70"/>
      <c r="AE45" s="51"/>
      <c r="AF45" s="51"/>
      <c r="AG45" s="49"/>
      <c r="AH45" s="49"/>
      <c r="AI45" s="50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</row>
    <row r="46" spans="8:52" x14ac:dyDescent="0.25">
      <c r="H46" s="5" t="s">
        <v>60</v>
      </c>
      <c r="I46" s="5" t="s">
        <v>17</v>
      </c>
      <c r="J46" s="16">
        <f>J45/EtaQmaxOvn2/(J17/3.6)</f>
        <v>1134.113525896656</v>
      </c>
      <c r="K46" s="16">
        <f>K45/EtaQmaxOvn2/(K17/3.6)</f>
        <v>1756.9605216906464</v>
      </c>
      <c r="L46" s="16">
        <f>L45/EtaQmaxOvn2/(L17/3.6)</f>
        <v>2253.3726863916804</v>
      </c>
      <c r="M46" s="16">
        <f>M45/EtaQmaxOvn2/(M17/3.6)</f>
        <v>807.31748706076303</v>
      </c>
      <c r="N46" s="16">
        <f>N45/EtaQmaxOvn2/(N17/3.6)</f>
        <v>0</v>
      </c>
      <c r="O46" s="16">
        <f>O45/EtaQmaxOvn2/(O17/3.6)</f>
        <v>1642.961903492079</v>
      </c>
      <c r="P46" s="16">
        <f>P45/EtaQmaxOvn2/(P17/3.6)</f>
        <v>0</v>
      </c>
      <c r="Q46" s="16">
        <f>Q45/EtaQmaxOvn2/(Q17/3.6)</f>
        <v>0</v>
      </c>
      <c r="R46" s="16">
        <f>R45/EtaQmaxOvn2/(R17/3.6)</f>
        <v>0</v>
      </c>
      <c r="S46" s="16">
        <f>S45/EtaQmaxOvn2/(S17/3.6)</f>
        <v>0</v>
      </c>
      <c r="T46" s="16">
        <f>T45/EtaQmaxOvn2/(T17/3.6)</f>
        <v>86.362589544369172</v>
      </c>
      <c r="U46" s="16">
        <f>U45/EtaQmaxOvn2/(U17/3.6)</f>
        <v>0</v>
      </c>
      <c r="V46" s="49"/>
      <c r="W46" s="49"/>
      <c r="X46" s="50"/>
      <c r="Y46" s="51"/>
      <c r="Z46" s="51"/>
      <c r="AA46" s="49"/>
      <c r="AB46" s="49"/>
      <c r="AC46" s="49"/>
      <c r="AD46" s="70"/>
      <c r="AE46" s="51"/>
      <c r="AF46" s="51"/>
      <c r="AG46" s="49"/>
      <c r="AH46" s="49"/>
      <c r="AI46" s="50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</row>
    <row r="47" spans="8:52" x14ac:dyDescent="0.25">
      <c r="H47" s="5" t="s">
        <v>58</v>
      </c>
      <c r="I47" s="5" t="s">
        <v>43</v>
      </c>
      <c r="J47" s="16">
        <f>J44-J45</f>
        <v>0</v>
      </c>
      <c r="K47" s="16">
        <f t="shared" ref="K47:U47" si="9">K44-K45</f>
        <v>0</v>
      </c>
      <c r="L47" s="16">
        <f t="shared" si="9"/>
        <v>0</v>
      </c>
      <c r="M47" s="16">
        <f t="shared" si="9"/>
        <v>0</v>
      </c>
      <c r="N47" s="16">
        <f t="shared" si="9"/>
        <v>0</v>
      </c>
      <c r="O47" s="16">
        <f t="shared" si="9"/>
        <v>0</v>
      </c>
      <c r="P47" s="16">
        <f t="shared" si="9"/>
        <v>0</v>
      </c>
      <c r="Q47" s="16">
        <f t="shared" si="9"/>
        <v>0</v>
      </c>
      <c r="R47" s="16">
        <f t="shared" si="9"/>
        <v>0</v>
      </c>
      <c r="S47" s="16">
        <f t="shared" si="9"/>
        <v>0</v>
      </c>
      <c r="T47" s="16">
        <f t="shared" si="9"/>
        <v>0</v>
      </c>
      <c r="U47" s="16">
        <f t="shared" si="9"/>
        <v>0</v>
      </c>
      <c r="V47" s="49"/>
      <c r="W47" s="49"/>
      <c r="X47" s="50"/>
      <c r="Y47"/>
      <c r="Z47"/>
      <c r="AA47" s="49"/>
      <c r="AB47" s="49"/>
      <c r="AC47" s="49"/>
      <c r="AD47" s="70"/>
      <c r="AE47" s="51"/>
      <c r="AF47" s="51"/>
      <c r="AG47" s="49"/>
      <c r="AH47" s="49"/>
      <c r="AI47" s="50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</row>
    <row r="48" spans="8:52" x14ac:dyDescent="0.25">
      <c r="H48" s="5" t="s">
        <v>59</v>
      </c>
      <c r="I48" s="5" t="s">
        <v>17</v>
      </c>
      <c r="J48" s="16">
        <f>J42-J46</f>
        <v>1859.430233070344</v>
      </c>
      <c r="K48" s="16">
        <f t="shared" ref="K48:U48" si="10">K42-K46</f>
        <v>2108.1757767311601</v>
      </c>
      <c r="L48" s="16">
        <f t="shared" si="10"/>
        <v>740.17107257531961</v>
      </c>
      <c r="M48" s="16">
        <f t="shared" si="10"/>
        <v>2476.7571183911737</v>
      </c>
      <c r="N48" s="16">
        <f t="shared" si="10"/>
        <v>6483.372617339618</v>
      </c>
      <c r="O48" s="16">
        <f t="shared" si="10"/>
        <v>9775.9764035380485</v>
      </c>
      <c r="P48" s="16">
        <f t="shared" si="10"/>
        <v>9228.2838440254145</v>
      </c>
      <c r="Q48" s="16">
        <f t="shared" si="10"/>
        <v>8639.0077372412379</v>
      </c>
      <c r="R48" s="16">
        <f t="shared" si="10"/>
        <v>8158.2483603197379</v>
      </c>
      <c r="S48" s="16">
        <f t="shared" si="10"/>
        <v>5251.2105451936868</v>
      </c>
      <c r="T48" s="16">
        <f t="shared" si="10"/>
        <v>3197.7120159075675</v>
      </c>
      <c r="U48" s="16">
        <f t="shared" si="10"/>
        <v>2993.543758967</v>
      </c>
      <c r="Y48"/>
      <c r="Z48"/>
      <c r="AC48" s="77" t="s">
        <v>44</v>
      </c>
      <c r="AD48" s="77"/>
      <c r="AE48" s="77"/>
      <c r="AF48" s="77"/>
      <c r="AG48" s="77"/>
      <c r="AI48" s="50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</row>
    <row r="49" spans="8:52" x14ac:dyDescent="0.25">
      <c r="H49" s="6" t="s">
        <v>67</v>
      </c>
      <c r="I49" s="5" t="s">
        <v>43</v>
      </c>
      <c r="J49" s="16">
        <f>J39+J45</f>
        <v>24115</v>
      </c>
      <c r="K49" s="16">
        <f t="shared" ref="K49:U49" si="11">K39+K45</f>
        <v>23902</v>
      </c>
      <c r="L49" s="16">
        <f t="shared" si="11"/>
        <v>27355</v>
      </c>
      <c r="M49" s="16">
        <f t="shared" si="11"/>
        <v>22497</v>
      </c>
      <c r="N49" s="16">
        <f t="shared" si="11"/>
        <v>12760</v>
      </c>
      <c r="O49" s="16">
        <f t="shared" si="11"/>
        <v>6100</v>
      </c>
      <c r="P49" s="16">
        <f t="shared" si="11"/>
        <v>6411</v>
      </c>
      <c r="Q49" s="16">
        <f t="shared" si="11"/>
        <v>7774</v>
      </c>
      <c r="R49" s="16">
        <f t="shared" si="11"/>
        <v>8886</v>
      </c>
      <c r="S49" s="16">
        <f t="shared" si="11"/>
        <v>15610</v>
      </c>
      <c r="T49" s="16">
        <f t="shared" si="11"/>
        <v>20410</v>
      </c>
      <c r="U49" s="16">
        <f t="shared" si="11"/>
        <v>20832</v>
      </c>
      <c r="Y49"/>
      <c r="Z49"/>
      <c r="AI49" s="50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</row>
    <row r="50" spans="8:52" x14ac:dyDescent="0.25">
      <c r="H50" s="6" t="s">
        <v>68</v>
      </c>
      <c r="I50" s="5" t="s">
        <v>43</v>
      </c>
      <c r="J50" s="16">
        <f>J47</f>
        <v>0</v>
      </c>
      <c r="K50" s="16">
        <f t="shared" ref="K50:U50" si="12">K47</f>
        <v>0</v>
      </c>
      <c r="L50" s="16">
        <f t="shared" si="12"/>
        <v>0</v>
      </c>
      <c r="M50" s="16">
        <f t="shared" si="12"/>
        <v>0</v>
      </c>
      <c r="N50" s="16">
        <f t="shared" si="12"/>
        <v>0</v>
      </c>
      <c r="O50" s="16">
        <f t="shared" si="12"/>
        <v>0</v>
      </c>
      <c r="P50" s="16">
        <f t="shared" si="12"/>
        <v>0</v>
      </c>
      <c r="Q50" s="16">
        <f t="shared" si="12"/>
        <v>0</v>
      </c>
      <c r="R50" s="16">
        <f t="shared" si="12"/>
        <v>0</v>
      </c>
      <c r="S50" s="16">
        <f t="shared" si="12"/>
        <v>0</v>
      </c>
      <c r="T50" s="16">
        <f t="shared" si="12"/>
        <v>0</v>
      </c>
      <c r="U50" s="16">
        <f t="shared" si="12"/>
        <v>0</v>
      </c>
      <c r="Y50"/>
      <c r="Z50"/>
      <c r="AC50" s="3" t="s">
        <v>232</v>
      </c>
      <c r="AD50" s="7" t="s">
        <v>49</v>
      </c>
      <c r="AE50" s="15" t="str">
        <f>L82</f>
        <v>MAR</v>
      </c>
      <c r="AF50" s="15" t="str">
        <f>J82</f>
        <v>JAN</v>
      </c>
      <c r="AG50" s="15">
        <f>Y83</f>
        <v>0</v>
      </c>
      <c r="AI50" s="50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</row>
    <row r="51" spans="8:52" x14ac:dyDescent="0.25">
      <c r="H51" s="5" t="s">
        <v>98</v>
      </c>
      <c r="I51" s="5" t="s">
        <v>43</v>
      </c>
      <c r="J51" s="16">
        <f>J25-EtaQNomOvn3*J46*J17/3.6</f>
        <v>4960.0609932000825</v>
      </c>
      <c r="K51" s="16">
        <f>K25-EtaQNomOvn3*K46*K17/3.6</f>
        <v>3118.396043684319</v>
      </c>
      <c r="L51" s="16">
        <f>L25-EtaQNomOvn3*L46*L17/3.6</f>
        <v>2879.7313002266637</v>
      </c>
      <c r="M51" s="16">
        <f>M25-EtaQNomOvn3*M46*M17/3.6</f>
        <v>5339.4658973830619</v>
      </c>
      <c r="N51" s="16">
        <f>N25-EtaQNomOvn3*N46*N17/3.6</f>
        <v>7068</v>
      </c>
      <c r="O51" s="16">
        <f>O25-EtaQNomOvn3*O46*O17/3.6</f>
        <v>3786.2814753760563</v>
      </c>
      <c r="P51" s="16">
        <f>P25-EtaQNomOvn3*P46*P17/3.6</f>
        <v>7068</v>
      </c>
      <c r="Q51" s="16">
        <f>Q25-EtaQNomOvn3*Q46*Q17/3.6</f>
        <v>7068</v>
      </c>
      <c r="R51" s="16">
        <f>R25-EtaQNomOvn3*R46*R17/3.6</f>
        <v>6840</v>
      </c>
      <c r="S51" s="16">
        <f>S25-EtaQNomOvn3*S46*S17/3.6</f>
        <v>7068</v>
      </c>
      <c r="T51" s="16">
        <f>T25-EtaQNomOvn3*T46*T17/3.6</f>
        <v>6679.4807335668656</v>
      </c>
      <c r="U51" s="16">
        <f>U25-EtaQNomOvn3*U46*U17/3.6</f>
        <v>7068</v>
      </c>
      <c r="Y51"/>
      <c r="Z51"/>
      <c r="AC51" s="14" t="str">
        <f>H95</f>
        <v>Indtægter total</v>
      </c>
      <c r="AD51" s="74" t="str">
        <f>I95</f>
        <v>tkr</v>
      </c>
      <c r="AE51" s="18">
        <f>L95</f>
        <v>17199880.882944107</v>
      </c>
      <c r="AF51" s="18">
        <f>J95</f>
        <v>15734580.289489966</v>
      </c>
      <c r="AG51" s="18">
        <f>Y96</f>
        <v>0</v>
      </c>
      <c r="AI51" s="50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</row>
    <row r="52" spans="8:52" x14ac:dyDescent="0.25">
      <c r="H52" s="5" t="s">
        <v>99</v>
      </c>
      <c r="I52" s="5" t="s">
        <v>43</v>
      </c>
      <c r="J52" s="16">
        <f>J32-EtaQNomOvn3*J40*J17/3.6</f>
        <v>0</v>
      </c>
      <c r="K52" s="16">
        <f>K32-EtaQNomOvn3*K40*K17/3.6</f>
        <v>0</v>
      </c>
      <c r="L52" s="16">
        <f>L32-EtaQNomOvn3*L40*L17/3.6</f>
        <v>0</v>
      </c>
      <c r="M52" s="16">
        <f>M32-EtaQNomOvn3*M40*M17/3.6</f>
        <v>0</v>
      </c>
      <c r="N52" s="16">
        <f>N32-EtaQNomOvn3*N40*N17/3.6</f>
        <v>6486.4285714285706</v>
      </c>
      <c r="O52" s="16">
        <f>O32-EtaQNomOvn3*O40*O17/3.6</f>
        <v>0</v>
      </c>
      <c r="P52" s="16">
        <f>P32-EtaQNomOvn3*P40*P17/3.6</f>
        <v>11588.303571428572</v>
      </c>
      <c r="Q52" s="16">
        <f>Q32-EtaQNomOvn3*Q40*Q17/3.6</f>
        <v>10493.035714285714</v>
      </c>
      <c r="R52" s="16">
        <f>R32-EtaQNomOvn3*R40*R17/3.6</f>
        <v>9059.4642857142862</v>
      </c>
      <c r="S52" s="16">
        <f>S32-EtaQNomOvn3*S40*S17/3.6</f>
        <v>4196.25</v>
      </c>
      <c r="T52" s="16">
        <f>T32-EtaQNomOvn3*T40*T17/3.6</f>
        <v>0</v>
      </c>
      <c r="U52" s="16">
        <f>U32-EtaQNomOvn3*U40*U17/3.6</f>
        <v>0</v>
      </c>
      <c r="Y52"/>
      <c r="Z52"/>
      <c r="AC52" s="14" t="str">
        <f>H96</f>
        <v>Omkostninger total</v>
      </c>
      <c r="AD52" s="74" t="str">
        <f>I96</f>
        <v>tkr</v>
      </c>
      <c r="AE52" s="18">
        <f>L96</f>
        <v>8830741.1271111201</v>
      </c>
      <c r="AF52" s="18">
        <f>J96</f>
        <v>8188798.6563215032</v>
      </c>
      <c r="AG52" s="18">
        <f>Y97</f>
        <v>0</v>
      </c>
      <c r="AI52" s="50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</row>
    <row r="53" spans="8:52" x14ac:dyDescent="0.25">
      <c r="H53" s="5" t="s">
        <v>101</v>
      </c>
      <c r="I53" s="5" t="s">
        <v>43</v>
      </c>
      <c r="J53" s="16">
        <f>MIN(J52,EtaQNomOvn3*J48*J17/3.6,24*EtaQNomOvn3*KapQcool)</f>
        <v>0</v>
      </c>
      <c r="K53" s="16">
        <f>MIN(K52,EtaQNomOvn3*K48*K17/3.6,24*EtaQNomOvn3*KapQcool)</f>
        <v>0</v>
      </c>
      <c r="L53" s="16">
        <f>MIN(L52,EtaQNomOvn3*L48*L17/3.6,24*EtaQNomOvn3*KapQcool)</f>
        <v>0</v>
      </c>
      <c r="M53" s="16">
        <f>MIN(M52,EtaQNomOvn3*M48*M17/3.6,24*EtaQNomOvn3*KapQcool)</f>
        <v>0</v>
      </c>
      <c r="N53" s="16">
        <f>MIN(N52,EtaQNomOvn3*N48*N17/3.6,24*EtaQNomOvn3*KapQcool)</f>
        <v>236.16</v>
      </c>
      <c r="O53" s="16">
        <f>MIN(O52,EtaQNomOvn3*O48*O17/3.6,24*EtaQNomOvn3*KapQcool)</f>
        <v>0</v>
      </c>
      <c r="P53" s="16">
        <f>MIN(P52,EtaQNomOvn3*P48*P17/3.6,24*EtaQNomOvn3*KapQcool)</f>
        <v>236.16</v>
      </c>
      <c r="Q53" s="16">
        <f>MIN(Q52,EtaQNomOvn3*Q48*Q17/3.6,24*EtaQNomOvn3*KapQcool)</f>
        <v>236.16</v>
      </c>
      <c r="R53" s="16">
        <f>MIN(R52,EtaQNomOvn3*R48*R17/3.6,24*EtaQNomOvn3*KapQcool)</f>
        <v>236.16</v>
      </c>
      <c r="S53" s="16">
        <f>MIN(S52,EtaQNomOvn3*S48*S17/3.6,24*EtaQNomOvn3*KapQcool)</f>
        <v>236.16</v>
      </c>
      <c r="T53" s="16">
        <f>MIN(T52,EtaQNomOvn3*T48*T17/3.6,24*EtaQNomOvn3*KapQcool)</f>
        <v>0</v>
      </c>
      <c r="U53" s="16">
        <f>MIN(U52,EtaQNomOvn3*U48*U17/3.6,24*EtaQNomOvn3*KapQcool)</f>
        <v>0</v>
      </c>
      <c r="Y53"/>
      <c r="Z53"/>
      <c r="AC53" s="14" t="str">
        <f>H97</f>
        <v>Dækningsbidrag</v>
      </c>
      <c r="AD53" s="74" t="str">
        <f>I97</f>
        <v>tkr</v>
      </c>
      <c r="AE53" s="18">
        <f>L97</f>
        <v>8369139.7558329869</v>
      </c>
      <c r="AF53" s="18">
        <f>J97</f>
        <v>7545781.6331684627</v>
      </c>
      <c r="AG53" s="18">
        <f>Y98</f>
        <v>0</v>
      </c>
      <c r="AI53" s="50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</row>
    <row r="54" spans="8:52" x14ac:dyDescent="0.25">
      <c r="H54" s="5" t="s">
        <v>102</v>
      </c>
      <c r="I54" s="5" t="s">
        <v>17</v>
      </c>
      <c r="J54" s="16">
        <f>J53/EtaQNomOvn3/(J17/3.6)</f>
        <v>0</v>
      </c>
      <c r="K54" s="16">
        <f>K53/EtaQNomOvn3/(K17/3.6)</f>
        <v>0</v>
      </c>
      <c r="L54" s="16">
        <f>L53/EtaQNomOvn3/(L17/3.6)</f>
        <v>0</v>
      </c>
      <c r="M54" s="16">
        <f>M53/EtaQNomOvn3/(M17/3.6)</f>
        <v>0</v>
      </c>
      <c r="N54" s="16">
        <f>N53/EtaQNomOvn3/(N17/3.6)</f>
        <v>127.05882352941178</v>
      </c>
      <c r="O54" s="16">
        <f>O53/EtaQNomOvn3/(O17/3.6)</f>
        <v>0</v>
      </c>
      <c r="P54" s="16">
        <f>P53/EtaQNomOvn3/(P17/3.6)</f>
        <v>127.05882352941178</v>
      </c>
      <c r="Q54" s="16">
        <f>Q53/EtaQNomOvn3/(Q17/3.6)</f>
        <v>127.05882352941178</v>
      </c>
      <c r="R54" s="16">
        <f>R53/EtaQNomOvn3/(R17/3.6)</f>
        <v>127.05882352941178</v>
      </c>
      <c r="S54" s="16">
        <f>S53/EtaQNomOvn3/(S17/3.6)</f>
        <v>127.05882352941178</v>
      </c>
      <c r="T54" s="16">
        <f>T53/EtaQNomOvn3/(T17/3.6)</f>
        <v>0</v>
      </c>
      <c r="U54" s="16">
        <f>U53/EtaQNomOvn3/(U17/3.6)</f>
        <v>0</v>
      </c>
      <c r="Y54"/>
      <c r="Z54"/>
      <c r="AC54" s="3"/>
      <c r="AD54" s="7"/>
      <c r="AE54" s="15"/>
      <c r="AF54" s="15"/>
      <c r="AG54" s="15"/>
      <c r="AI54" s="50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</row>
    <row r="55" spans="8:52" x14ac:dyDescent="0.25">
      <c r="H55" s="5" t="s">
        <v>59</v>
      </c>
      <c r="I55" s="5" t="s">
        <v>17</v>
      </c>
      <c r="J55" s="16">
        <f>J48-J54</f>
        <v>1859.430233070344</v>
      </c>
      <c r="K55" s="16">
        <f t="shared" ref="K55:U55" si="13">K48-K54</f>
        <v>2108.1757767311601</v>
      </c>
      <c r="L55" s="16">
        <f t="shared" si="13"/>
        <v>740.17107257531961</v>
      </c>
      <c r="M55" s="16">
        <f t="shared" si="13"/>
        <v>2476.7571183911737</v>
      </c>
      <c r="N55" s="16">
        <f t="shared" si="13"/>
        <v>6356.3137938102063</v>
      </c>
      <c r="O55" s="16">
        <f t="shared" si="13"/>
        <v>9775.9764035380485</v>
      </c>
      <c r="P55" s="16">
        <f t="shared" si="13"/>
        <v>9101.2250204960019</v>
      </c>
      <c r="Q55" s="16">
        <f t="shared" si="13"/>
        <v>8511.9489137118253</v>
      </c>
      <c r="R55" s="16">
        <f t="shared" si="13"/>
        <v>8031.1895367903262</v>
      </c>
      <c r="S55" s="16">
        <f t="shared" si="13"/>
        <v>5124.1517216642751</v>
      </c>
      <c r="T55" s="16">
        <f t="shared" si="13"/>
        <v>3197.7120159075675</v>
      </c>
      <c r="U55" s="16">
        <f t="shared" si="13"/>
        <v>2993.543758967</v>
      </c>
      <c r="Y55"/>
      <c r="Z55"/>
      <c r="AC55" s="14" t="str">
        <f>H83</f>
        <v>Varmesalg</v>
      </c>
      <c r="AD55" s="74" t="str">
        <f>I83</f>
        <v>tkr</v>
      </c>
      <c r="AE55" s="17">
        <f>L83</f>
        <v>8507405</v>
      </c>
      <c r="AF55" s="17">
        <f>J83</f>
        <v>7499765</v>
      </c>
      <c r="AG55" s="18">
        <f>Y84</f>
        <v>0</v>
      </c>
      <c r="AI55" s="50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</row>
    <row r="56" spans="8:52" x14ac:dyDescent="0.25">
      <c r="H56" s="5" t="s">
        <v>100</v>
      </c>
      <c r="I56" s="5" t="s">
        <v>43</v>
      </c>
      <c r="J56" s="16">
        <f>MIN(J51,EtaQNomOvn3*J55*J17/3.6,24*$E$4*KapQcool-J53)</f>
        <v>3456.0609932000789</v>
      </c>
      <c r="K56" s="16">
        <f>MIN(K51,EtaQNomOvn3*K55*K17/3.6,24*$E$4*KapQcool-K53)</f>
        <v>3118.396043684319</v>
      </c>
      <c r="L56" s="16">
        <f>MIN(L51,EtaQNomOvn3*L55*L17/3.6,24*$E$4*KapQcool-L53)</f>
        <v>1375.7313002266606</v>
      </c>
      <c r="M56" s="16">
        <f>MIN(M51,EtaQNomOvn3*M55*M17/3.6,24*$E$4*KapQcool-M53)</f>
        <v>4603.465897383061</v>
      </c>
      <c r="N56" s="16">
        <f>MIN(N51,EtaQNomOvn3*N55*N17/3.6,24*$E$4*KapQcool-N53)</f>
        <v>7068</v>
      </c>
      <c r="O56" s="16">
        <f>MIN(O51,EtaQNomOvn3*O55*O17/3.6,24*$E$4*KapQcool-O53)</f>
        <v>3786.2814753760563</v>
      </c>
      <c r="P56" s="16">
        <f>MIN(P51,EtaQNomOvn3*P55*P17/3.6,24*$E$4*KapQcool-P53)</f>
        <v>7068</v>
      </c>
      <c r="Q56" s="16">
        <f>MIN(Q51,EtaQNomOvn3*Q55*Q17/3.6,24*$E$4*KapQcool-Q53)</f>
        <v>7068</v>
      </c>
      <c r="R56" s="16">
        <f>MIN(R51,EtaQNomOvn3*R55*R17/3.6,24*$E$4*KapQcool-R53)</f>
        <v>6840</v>
      </c>
      <c r="S56" s="16">
        <f>MIN(S51,EtaQNomOvn3*S55*S17/3.6,24*$E$4*KapQcool-S53)</f>
        <v>7068</v>
      </c>
      <c r="T56" s="16">
        <f>MIN(T51,EtaQNomOvn3*T55*T17/3.6,24*$E$4*KapQcool-T53)</f>
        <v>5943.4807335668656</v>
      </c>
      <c r="U56" s="16">
        <f>MIN(U51,EtaQNomOvn3*U55*U17/3.6,24*$E$4*KapQcool-U53)</f>
        <v>5563.9999999999973</v>
      </c>
      <c r="Y56"/>
      <c r="Z56"/>
      <c r="AC56" s="14" t="str">
        <f>H84</f>
        <v>Elsalg</v>
      </c>
      <c r="AD56" s="74" t="str">
        <f>I84</f>
        <v>tkr</v>
      </c>
      <c r="AE56" s="17">
        <f>L84</f>
        <v>3947332.4512195126</v>
      </c>
      <c r="AF56" s="17">
        <f>J84</f>
        <v>3947332.4512195126</v>
      </c>
      <c r="AG56" s="18">
        <f>Y85</f>
        <v>0</v>
      </c>
      <c r="AI56" s="50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</row>
    <row r="57" spans="8:52" x14ac:dyDescent="0.25">
      <c r="H57" s="5" t="s">
        <v>103</v>
      </c>
      <c r="I57" s="5" t="s">
        <v>17</v>
      </c>
      <c r="J57" s="16">
        <f>J56/EtaQNomOvn2/(J17/3.6)</f>
        <v>1445.2443517703148</v>
      </c>
      <c r="K57" s="16">
        <f>K56/EtaQNomOvn2/(K17/3.6)</f>
        <v>1304.0407208047056</v>
      </c>
      <c r="L57" s="16">
        <f>L56/EtaQNomOvn2/(L17/3.6)</f>
        <v>575.298843139111</v>
      </c>
      <c r="M57" s="16">
        <f>M56/EtaQNomOvn2/(M17/3.6)</f>
        <v>1925.0624048158888</v>
      </c>
      <c r="N57" s="16">
        <f>N56/EtaQNomOvn2/(N17/3.6)</f>
        <v>2955.6732645664906</v>
      </c>
      <c r="O57" s="16">
        <f>O56/EtaQNomOvn2/(O17/3.6)</f>
        <v>1583.334879582962</v>
      </c>
      <c r="P57" s="16">
        <f>P56/EtaQNomOvn2/(P17/3.6)</f>
        <v>2955.6732645664906</v>
      </c>
      <c r="Q57" s="16">
        <f>Q56/EtaQNomOvn2/(Q17/3.6)</f>
        <v>2955.6732645664906</v>
      </c>
      <c r="R57" s="16">
        <f>R56/EtaQNomOvn2/(R17/3.6)</f>
        <v>2860.328965709507</v>
      </c>
      <c r="S57" s="16">
        <f>S56/EtaQNomOvn2/(S17/3.6)</f>
        <v>2955.6732645664906</v>
      </c>
      <c r="T57" s="16">
        <f>T56/EtaQNomOvn2/(T17/3.6)</f>
        <v>2485.4254531224701</v>
      </c>
      <c r="U57" s="16">
        <f>U56/EtaQNomOvn2/(U17/3.6)</f>
        <v>2326.7354335098962</v>
      </c>
      <c r="Y57"/>
      <c r="Z57"/>
      <c r="AC57" s="14" t="str">
        <f>H85</f>
        <v>RGK-rabat</v>
      </c>
      <c r="AD57" s="74" t="str">
        <f>I85</f>
        <v>tkr</v>
      </c>
      <c r="AE57" s="17">
        <f>L85</f>
        <v>241211.86075472177</v>
      </c>
      <c r="AF57" s="17">
        <f>J85</f>
        <v>231254.93149859153</v>
      </c>
      <c r="AG57" s="18">
        <f>Y86</f>
        <v>0</v>
      </c>
      <c r="AI57" s="50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</row>
    <row r="58" spans="8:52" x14ac:dyDescent="0.25">
      <c r="H58" s="5" t="s">
        <v>59</v>
      </c>
      <c r="I58" s="5" t="s">
        <v>17</v>
      </c>
      <c r="J58" s="16">
        <f>J55-J57</f>
        <v>414.18588130002922</v>
      </c>
      <c r="K58" s="16">
        <f t="shared" ref="K58:U58" si="14">K55-K57</f>
        <v>804.13505592645447</v>
      </c>
      <c r="L58" s="16">
        <f t="shared" si="14"/>
        <v>164.87222943620861</v>
      </c>
      <c r="M58" s="16">
        <f t="shared" si="14"/>
        <v>551.69471357528482</v>
      </c>
      <c r="N58" s="16">
        <f t="shared" si="14"/>
        <v>3400.6405292437157</v>
      </c>
      <c r="O58" s="16">
        <f t="shared" si="14"/>
        <v>8192.6415239550861</v>
      </c>
      <c r="P58" s="16">
        <f t="shared" si="14"/>
        <v>6145.5517559295113</v>
      </c>
      <c r="Q58" s="16">
        <f t="shared" si="14"/>
        <v>5556.2756491453347</v>
      </c>
      <c r="R58" s="16">
        <f t="shared" si="14"/>
        <v>5170.8605710808188</v>
      </c>
      <c r="S58" s="16">
        <f t="shared" si="14"/>
        <v>2168.4784570977845</v>
      </c>
      <c r="T58" s="16">
        <f t="shared" si="14"/>
        <v>712.28656278509743</v>
      </c>
      <c r="U58" s="16">
        <f t="shared" si="14"/>
        <v>666.80832545710382</v>
      </c>
      <c r="Y58"/>
      <c r="Z58"/>
      <c r="AC58" s="14" t="str">
        <f>H86</f>
        <v>Modtagebetaling affald</v>
      </c>
      <c r="AD58" s="74" t="str">
        <f>I86</f>
        <v>tkr</v>
      </c>
      <c r="AE58" s="17">
        <f>L86</f>
        <v>4503931.5709698722</v>
      </c>
      <c r="AF58" s="17">
        <f>J86</f>
        <v>4056227.9067718629</v>
      </c>
      <c r="AG58" s="18">
        <f>Y87</f>
        <v>0</v>
      </c>
      <c r="AI58" s="50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</row>
    <row r="59" spans="8:52" x14ac:dyDescent="0.25">
      <c r="H59" s="5" t="s">
        <v>46</v>
      </c>
      <c r="I59" s="5" t="s">
        <v>43</v>
      </c>
      <c r="J59" s="16">
        <f>J53+J56</f>
        <v>3456.0609932000789</v>
      </c>
      <c r="K59" s="16">
        <f t="shared" ref="K59:U59" si="15">K53+K56</f>
        <v>3118.396043684319</v>
      </c>
      <c r="L59" s="16">
        <f t="shared" si="15"/>
        <v>1375.7313002266606</v>
      </c>
      <c r="M59" s="16">
        <f t="shared" si="15"/>
        <v>4603.465897383061</v>
      </c>
      <c r="N59" s="16">
        <f t="shared" si="15"/>
        <v>7304.16</v>
      </c>
      <c r="O59" s="16">
        <f t="shared" si="15"/>
        <v>3786.2814753760563</v>
      </c>
      <c r="P59" s="16">
        <f t="shared" si="15"/>
        <v>7304.16</v>
      </c>
      <c r="Q59" s="16">
        <f t="shared" si="15"/>
        <v>7304.16</v>
      </c>
      <c r="R59" s="16">
        <f t="shared" si="15"/>
        <v>7076.16</v>
      </c>
      <c r="S59" s="16">
        <f t="shared" si="15"/>
        <v>7304.16</v>
      </c>
      <c r="T59" s="16">
        <f t="shared" si="15"/>
        <v>5943.4807335668656</v>
      </c>
      <c r="U59" s="16">
        <f t="shared" si="15"/>
        <v>5563.9999999999973</v>
      </c>
      <c r="Y59"/>
      <c r="Z59"/>
      <c r="AC59" s="14"/>
      <c r="AD59" s="74"/>
      <c r="AE59" s="18"/>
      <c r="AF59" s="18"/>
      <c r="AG59" s="18"/>
      <c r="AI59" s="50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</row>
    <row r="60" spans="8:52" x14ac:dyDescent="0.25">
      <c r="H60" s="5" t="s">
        <v>118</v>
      </c>
      <c r="I60" s="5" t="s">
        <v>17</v>
      </c>
      <c r="J60" s="16">
        <f>J18-J61</f>
        <v>10140.569766929657</v>
      </c>
      <c r="K60" s="16">
        <f>K18-K61</f>
        <v>9891.824223268839</v>
      </c>
      <c r="L60" s="16">
        <f>L18-L61</f>
        <v>11259.82892742468</v>
      </c>
      <c r="M60" s="16">
        <f>M18-M61</f>
        <v>9523.2428816088268</v>
      </c>
      <c r="N60" s="16">
        <f>N18-N61</f>
        <v>5516.627382660382</v>
      </c>
      <c r="O60" s="16">
        <f>O18-O61</f>
        <v>2224.0235964619515</v>
      </c>
      <c r="P60" s="16">
        <f>P18-P61</f>
        <v>2771.7161559745855</v>
      </c>
      <c r="Q60" s="16">
        <f>Q18-Q61</f>
        <v>3360.9922627587621</v>
      </c>
      <c r="R60" s="16">
        <f>R18-R61</f>
        <v>3841.7516396802621</v>
      </c>
      <c r="S60" s="16">
        <f>S18-S61</f>
        <v>6748.7894548063132</v>
      </c>
      <c r="T60" s="16">
        <f>T18-T61</f>
        <v>8802.2879840924325</v>
      </c>
      <c r="U60" s="16">
        <f>U18-U61</f>
        <v>9006.456241033</v>
      </c>
      <c r="Y60"/>
      <c r="Z60"/>
      <c r="AC60" s="14" t="str">
        <f>H88</f>
        <v>Betaling bioaffald</v>
      </c>
      <c r="AD60" s="74" t="str">
        <f>I88</f>
        <v>tkr</v>
      </c>
      <c r="AE60" s="18">
        <f>L88</f>
        <v>0</v>
      </c>
      <c r="AF60" s="18">
        <f>J88</f>
        <v>0</v>
      </c>
      <c r="AG60" s="18">
        <f>Y89</f>
        <v>0</v>
      </c>
      <c r="AI60" s="50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</row>
    <row r="61" spans="8:52" x14ac:dyDescent="0.25">
      <c r="H61" s="5" t="s">
        <v>119</v>
      </c>
      <c r="I61" s="5" t="s">
        <v>17</v>
      </c>
      <c r="J61" s="16">
        <f>J48</f>
        <v>1859.430233070344</v>
      </c>
      <c r="K61" s="16">
        <f t="shared" ref="K61:U61" si="16">K48</f>
        <v>2108.1757767311601</v>
      </c>
      <c r="L61" s="16">
        <f t="shared" si="16"/>
        <v>740.17107257531961</v>
      </c>
      <c r="M61" s="16">
        <f t="shared" si="16"/>
        <v>2476.7571183911737</v>
      </c>
      <c r="N61" s="16">
        <f t="shared" si="16"/>
        <v>6483.372617339618</v>
      </c>
      <c r="O61" s="16">
        <f t="shared" si="16"/>
        <v>9775.9764035380485</v>
      </c>
      <c r="P61" s="16">
        <f t="shared" si="16"/>
        <v>9228.2838440254145</v>
      </c>
      <c r="Q61" s="16">
        <f t="shared" si="16"/>
        <v>8639.0077372412379</v>
      </c>
      <c r="R61" s="16">
        <f t="shared" si="16"/>
        <v>8158.2483603197379</v>
      </c>
      <c r="S61" s="16">
        <f t="shared" si="16"/>
        <v>5251.2105451936868</v>
      </c>
      <c r="T61" s="16">
        <f t="shared" si="16"/>
        <v>3197.7120159075675</v>
      </c>
      <c r="U61" s="16">
        <f t="shared" si="16"/>
        <v>2993.543758967</v>
      </c>
      <c r="Y61"/>
      <c r="Z61"/>
      <c r="AC61" s="14" t="str">
        <f>H89</f>
        <v>DV-omkostninger</v>
      </c>
      <c r="AD61" s="74" t="str">
        <f>I89</f>
        <v>tkr</v>
      </c>
      <c r="AE61" s="17">
        <f>L89</f>
        <v>1347899.2190575211</v>
      </c>
      <c r="AF61" s="17">
        <f>J89</f>
        <v>1328827.156415856</v>
      </c>
      <c r="AG61" s="18">
        <f>Y90</f>
        <v>0</v>
      </c>
      <c r="AI61" s="50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</row>
    <row r="62" spans="8:52" x14ac:dyDescent="0.25">
      <c r="H62" t="s">
        <v>47</v>
      </c>
      <c r="I62" s="5" t="s">
        <v>50</v>
      </c>
      <c r="J62" s="16">
        <f>EtaE*(J40+J54)*J17/3.6</f>
        <v>5733.9603658536589</v>
      </c>
      <c r="K62" s="16">
        <f>EtaE*(K40+K54)*K17/3.6</f>
        <v>5179.0609756097565</v>
      </c>
      <c r="L62" s="16">
        <f>EtaE*(L40+L54)*L17/3.6</f>
        <v>5733.9603658536589</v>
      </c>
      <c r="M62" s="16">
        <f>EtaE*(M40+M54)*M17/3.6</f>
        <v>5548.9939024390242</v>
      </c>
      <c r="N62" s="16">
        <f>EtaE*(N40+N54)*N17/3.6</f>
        <v>3593.0528231707322</v>
      </c>
      <c r="O62" s="16">
        <f>EtaE*(O40+O54)*O17/3.6</f>
        <v>369.93292682926835</v>
      </c>
      <c r="P62" s="16">
        <f>EtaE*(P40+P54)*P17/3.6</f>
        <v>1845.5050907012194</v>
      </c>
      <c r="Q62" s="16">
        <f>EtaE*(Q40+Q54)*Q17/3.6</f>
        <v>2220.667724085366</v>
      </c>
      <c r="R62" s="16">
        <f>EtaE*(R40+R54)*R17/3.6</f>
        <v>2526.7431814024389</v>
      </c>
      <c r="S62" s="16">
        <f>EtaE*(S40+S54)*S17/3.6</f>
        <v>4377.5088064024385</v>
      </c>
      <c r="T62" s="16">
        <f>EtaE*(T40+T54)*T17/3.6</f>
        <v>5548.9939024390242</v>
      </c>
      <c r="U62" s="16">
        <f>EtaE*(U40+U54)*U17/3.6</f>
        <v>5733.9603658536589</v>
      </c>
      <c r="Y62"/>
      <c r="Z62"/>
      <c r="AC62" s="14" t="str">
        <f>H90</f>
        <v>Affaldvarme-afgift</v>
      </c>
      <c r="AD62" s="74" t="str">
        <f>I90</f>
        <v>tkr</v>
      </c>
      <c r="AE62" s="17">
        <f>L90</f>
        <v>2540732.4000000004</v>
      </c>
      <c r="AF62" s="17">
        <f>J90</f>
        <v>2239801.2000000002</v>
      </c>
      <c r="AG62" s="18">
        <f>Y91</f>
        <v>0</v>
      </c>
      <c r="AI62" s="50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</row>
    <row r="63" spans="8:52" x14ac:dyDescent="0.25">
      <c r="H63" t="s">
        <v>6</v>
      </c>
      <c r="I63" s="5" t="s">
        <v>50</v>
      </c>
      <c r="J63" s="16">
        <f>$D$8*J8</f>
        <v>775</v>
      </c>
      <c r="K63" s="16">
        <f>$D$8*K8</f>
        <v>700</v>
      </c>
      <c r="L63" s="16">
        <f>$D$8*L8</f>
        <v>775</v>
      </c>
      <c r="M63" s="16">
        <f>$D$8*M8</f>
        <v>750</v>
      </c>
      <c r="N63" s="16">
        <f>$D$8*N8</f>
        <v>775</v>
      </c>
      <c r="O63" s="16">
        <f>$D$8*O8</f>
        <v>50</v>
      </c>
      <c r="P63" s="16">
        <f>$D$8*P8</f>
        <v>775</v>
      </c>
      <c r="Q63" s="16">
        <f>$D$8*Q8</f>
        <v>775</v>
      </c>
      <c r="R63" s="16">
        <f>$D$8*R8</f>
        <v>750</v>
      </c>
      <c r="S63" s="16">
        <f>$D$8*S8</f>
        <v>775</v>
      </c>
      <c r="T63" s="16">
        <f>$D$8*T8</f>
        <v>750</v>
      </c>
      <c r="U63" s="16">
        <f>$D$8*U8</f>
        <v>775</v>
      </c>
      <c r="Y63"/>
      <c r="Z63"/>
      <c r="AC63" s="14" t="str">
        <f>H91</f>
        <v>Tillægsafgift</v>
      </c>
      <c r="AD63" s="74" t="str">
        <f>I91</f>
        <v>tkr</v>
      </c>
      <c r="AE63" s="18">
        <f>L91</f>
        <v>2412118.6075472175</v>
      </c>
      <c r="AF63" s="18">
        <f>J91</f>
        <v>2312549.3149859151</v>
      </c>
      <c r="AG63" s="18">
        <f>Y92</f>
        <v>0</v>
      </c>
      <c r="AI63" s="50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</row>
    <row r="64" spans="8:52" x14ac:dyDescent="0.25">
      <c r="H64" t="s">
        <v>48</v>
      </c>
      <c r="I64" s="5" t="s">
        <v>50</v>
      </c>
      <c r="J64" s="16">
        <f>J62-J63</f>
        <v>4958.9603658536589</v>
      </c>
      <c r="K64" s="16">
        <f t="shared" ref="K64:U64" si="17">K62-K63</f>
        <v>4479.0609756097565</v>
      </c>
      <c r="L64" s="16">
        <f t="shared" si="17"/>
        <v>4958.9603658536589</v>
      </c>
      <c r="M64" s="16">
        <f t="shared" si="17"/>
        <v>4798.9939024390242</v>
      </c>
      <c r="N64" s="16">
        <f t="shared" si="17"/>
        <v>2818.0528231707322</v>
      </c>
      <c r="O64" s="16">
        <f t="shared" si="17"/>
        <v>319.93292682926835</v>
      </c>
      <c r="P64" s="16">
        <f t="shared" si="17"/>
        <v>1070.5050907012194</v>
      </c>
      <c r="Q64" s="16">
        <f t="shared" si="17"/>
        <v>1445.667724085366</v>
      </c>
      <c r="R64" s="16">
        <f t="shared" si="17"/>
        <v>1776.7431814024389</v>
      </c>
      <c r="S64" s="16">
        <f t="shared" si="17"/>
        <v>3602.5088064024385</v>
      </c>
      <c r="T64" s="16">
        <f t="shared" si="17"/>
        <v>4798.9939024390242</v>
      </c>
      <c r="U64" s="16">
        <f t="shared" si="17"/>
        <v>4958.9603658536589</v>
      </c>
      <c r="Y64"/>
      <c r="Z64"/>
      <c r="AC64" s="14" t="str">
        <f>H92</f>
        <v>CO2-afgift</v>
      </c>
      <c r="AD64" s="74" t="str">
        <f>I92</f>
        <v>tkr</v>
      </c>
      <c r="AE64" s="18">
        <f>L92</f>
        <v>500969.72778445273</v>
      </c>
      <c r="AF64" s="18">
        <f>J92</f>
        <v>480290.3129190086</v>
      </c>
      <c r="AG64" s="18">
        <f>Y93</f>
        <v>0</v>
      </c>
      <c r="AI64" s="50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</row>
    <row r="65" spans="7:52" x14ac:dyDescent="0.25">
      <c r="H65" t="s">
        <v>114</v>
      </c>
      <c r="I65" s="5" t="s">
        <v>43</v>
      </c>
      <c r="J65" s="16">
        <f>J45+J56</f>
        <v>6739.0609932000789</v>
      </c>
      <c r="K65" s="16">
        <f t="shared" ref="K65:U65" si="18">K45+K56</f>
        <v>8204.396043684319</v>
      </c>
      <c r="L65" s="16">
        <f t="shared" si="18"/>
        <v>7898.7313002266601</v>
      </c>
      <c r="M65" s="16">
        <f t="shared" si="18"/>
        <v>6940.465897383061</v>
      </c>
      <c r="N65" s="16">
        <f t="shared" si="18"/>
        <v>7068</v>
      </c>
      <c r="O65" s="16">
        <f t="shared" si="18"/>
        <v>8542.2814753760558</v>
      </c>
      <c r="P65" s="16">
        <f t="shared" si="18"/>
        <v>7068</v>
      </c>
      <c r="Q65" s="16">
        <f t="shared" si="18"/>
        <v>7068</v>
      </c>
      <c r="R65" s="16">
        <f t="shared" si="18"/>
        <v>6840</v>
      </c>
      <c r="S65" s="16">
        <f t="shared" si="18"/>
        <v>7068</v>
      </c>
      <c r="T65" s="16">
        <f t="shared" si="18"/>
        <v>6193.4807335668656</v>
      </c>
      <c r="U65" s="16">
        <f t="shared" si="18"/>
        <v>5563.9999999999973</v>
      </c>
      <c r="Y65"/>
      <c r="Z65"/>
      <c r="AC65" s="14" t="str">
        <f>H93</f>
        <v>Kvote-omkostning</v>
      </c>
      <c r="AD65" s="74" t="str">
        <f>I93</f>
        <v>tkr</v>
      </c>
      <c r="AE65" s="18">
        <f>L93</f>
        <v>2029021.1727219273</v>
      </c>
      <c r="AF65" s="18">
        <f>J93</f>
        <v>1827330.6720007241</v>
      </c>
      <c r="AG65" s="18">
        <f>Y94</f>
        <v>0</v>
      </c>
      <c r="AI65" s="50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</row>
    <row r="66" spans="7:52" x14ac:dyDescent="0.25">
      <c r="H66" t="s">
        <v>115</v>
      </c>
      <c r="I66" s="5" t="s">
        <v>43</v>
      </c>
      <c r="J66" s="16">
        <f>J39+J53</f>
        <v>20832</v>
      </c>
      <c r="K66" s="16">
        <f t="shared" ref="K66:U66" si="19">K39+K53</f>
        <v>18816</v>
      </c>
      <c r="L66" s="16">
        <f t="shared" si="19"/>
        <v>20832</v>
      </c>
      <c r="M66" s="16">
        <f t="shared" si="19"/>
        <v>20160</v>
      </c>
      <c r="N66" s="16">
        <f t="shared" si="19"/>
        <v>12996.16</v>
      </c>
      <c r="O66" s="16">
        <f t="shared" si="19"/>
        <v>1344</v>
      </c>
      <c r="P66" s="16">
        <f t="shared" si="19"/>
        <v>6647.16</v>
      </c>
      <c r="Q66" s="16">
        <f t="shared" si="19"/>
        <v>8010.16</v>
      </c>
      <c r="R66" s="16">
        <f t="shared" si="19"/>
        <v>9122.16</v>
      </c>
      <c r="S66" s="16">
        <f t="shared" si="19"/>
        <v>15846.16</v>
      </c>
      <c r="T66" s="16">
        <f t="shared" si="19"/>
        <v>20160</v>
      </c>
      <c r="U66" s="16">
        <f t="shared" si="19"/>
        <v>20832</v>
      </c>
      <c r="Y66"/>
      <c r="Z66"/>
      <c r="AC66" s="14"/>
      <c r="AD66" s="74"/>
      <c r="AE66" s="18"/>
      <c r="AF66" s="18"/>
      <c r="AG66" s="18"/>
      <c r="AI66" s="50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</row>
    <row r="67" spans="7:52" x14ac:dyDescent="0.25">
      <c r="H67" t="s">
        <v>110</v>
      </c>
      <c r="I67" s="5" t="s">
        <v>43</v>
      </c>
      <c r="J67" s="16">
        <f>SUM(J65:J66)</f>
        <v>27571.060993200081</v>
      </c>
      <c r="K67" s="16">
        <f t="shared" ref="K67:U67" si="20">SUM(K65:K66)</f>
        <v>27020.396043684319</v>
      </c>
      <c r="L67" s="16">
        <f t="shared" si="20"/>
        <v>28730.73130022666</v>
      </c>
      <c r="M67" s="16">
        <f t="shared" si="20"/>
        <v>27100.465897383059</v>
      </c>
      <c r="N67" s="16">
        <f t="shared" si="20"/>
        <v>20064.16</v>
      </c>
      <c r="O67" s="16">
        <f t="shared" si="20"/>
        <v>9886.2814753760558</v>
      </c>
      <c r="P67" s="16">
        <f t="shared" si="20"/>
        <v>13715.16</v>
      </c>
      <c r="Q67" s="16">
        <f t="shared" si="20"/>
        <v>15078.16</v>
      </c>
      <c r="R67" s="16">
        <f t="shared" si="20"/>
        <v>15962.16</v>
      </c>
      <c r="S67" s="16">
        <f t="shared" si="20"/>
        <v>22914.16</v>
      </c>
      <c r="T67" s="16">
        <f t="shared" si="20"/>
        <v>26353.480733566867</v>
      </c>
      <c r="U67" s="16">
        <f t="shared" si="20"/>
        <v>26395.999999999996</v>
      </c>
      <c r="Y67"/>
      <c r="Z67"/>
      <c r="AC67" s="7" t="s">
        <v>233</v>
      </c>
      <c r="AD67" s="6"/>
      <c r="AE67" s="15" t="str">
        <f>AE50</f>
        <v>MAR</v>
      </c>
      <c r="AF67" s="15" t="str">
        <f>AF50</f>
        <v>JAN</v>
      </c>
      <c r="AG67" s="12"/>
      <c r="AI67" s="50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</row>
    <row r="68" spans="7:52" x14ac:dyDescent="0.25">
      <c r="H68" s="5" t="s">
        <v>116</v>
      </c>
      <c r="I68" s="5" t="s">
        <v>43</v>
      </c>
      <c r="J68" s="16">
        <f>(EtaRgkOvn2*J40+EtaRgkOvn3*J46)*J17/3.6</f>
        <v>5049.4716687852942</v>
      </c>
      <c r="K68" s="16">
        <f>(EtaRgkOvn2*K40+EtaRgkOvn3*K46)*K17/3.6</f>
        <v>4893.6631094471277</v>
      </c>
      <c r="L68" s="16">
        <f>(EtaRgkOvn2*L40+EtaRgkOvn3*L46)*L17/3.6</f>
        <v>5557.9967048454637</v>
      </c>
      <c r="M68" s="16">
        <f>(EtaRgkOvn2*M40+EtaRgkOvn3*M46)*M17/3.6</f>
        <v>4754.7304728376703</v>
      </c>
      <c r="N68" s="16">
        <f>(EtaRgkOvn2*N40+EtaRgkOvn3*N46)*N17/3.6</f>
        <v>2777.2831468916193</v>
      </c>
      <c r="O68" s="16">
        <f>(EtaRgkOvn2*O40+EtaRgkOvn3*O46)*O17/3.6</f>
        <v>1038.9934114249772</v>
      </c>
      <c r="P68" s="16">
        <f>(EtaRgkOvn2*P40+EtaRgkOvn3*P46)*P17/3.6</f>
        <v>1395.3888914359068</v>
      </c>
      <c r="Q68" s="16">
        <f>(EtaRgkOvn2*Q40+EtaRgkOvn3*Q46)*Q17/3.6</f>
        <v>1692.0532275811477</v>
      </c>
      <c r="R68" s="16">
        <f>(EtaRgkOvn2*R40+EtaRgkOvn3*R46)*R17/3.6</f>
        <v>1934.0860535485053</v>
      </c>
      <c r="S68" s="16">
        <f>(EtaRgkOvn2*S40+EtaRgkOvn3*S46)*S17/3.6</f>
        <v>3397.6010911424901</v>
      </c>
      <c r="T68" s="16">
        <f>(EtaRgkOvn2*T40+EtaRgkOvn3*T46)*T17/3.6</f>
        <v>4427.1712906594066</v>
      </c>
      <c r="U68" s="16">
        <f>(EtaRgkOvn2*U40+EtaRgkOvn3*U46)*U17/3.6</f>
        <v>4534.1976893453148</v>
      </c>
      <c r="Y68"/>
      <c r="Z68"/>
      <c r="AC68" s="5" t="str">
        <f>H65</f>
        <v>Varmeproduktion Ovn2</v>
      </c>
      <c r="AD68" s="6" t="s">
        <v>43</v>
      </c>
      <c r="AE68" s="12">
        <f>L65</f>
        <v>7898.7313002266601</v>
      </c>
      <c r="AF68" s="12">
        <f>J65</f>
        <v>6739.0609932000789</v>
      </c>
      <c r="AG68" s="12">
        <f>AF68-AE68</f>
        <v>-1159.6703070265812</v>
      </c>
      <c r="AI68" s="50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</row>
    <row r="69" spans="7:52" x14ac:dyDescent="0.25">
      <c r="H69" s="5" t="s">
        <v>129</v>
      </c>
      <c r="J69" s="2">
        <f>J68/J70</f>
        <v>0.15161292389961584</v>
      </c>
      <c r="K69" s="2">
        <f t="shared" ref="K69:U69" si="21">K68/K70</f>
        <v>0.15197967799627243</v>
      </c>
      <c r="L69" s="2">
        <f t="shared" si="21"/>
        <v>0.1612663986289356</v>
      </c>
      <c r="M69" s="2">
        <f t="shared" si="21"/>
        <v>0.145629682757066</v>
      </c>
      <c r="N69" s="2">
        <f t="shared" si="21"/>
        <v>0.11739688726862395</v>
      </c>
      <c r="O69" s="2">
        <f t="shared" si="21"/>
        <v>0.10130379208936678</v>
      </c>
      <c r="P69" s="2">
        <f t="shared" si="21"/>
        <v>8.9674116324871406E-2</v>
      </c>
      <c r="Q69" s="2">
        <f t="shared" si="21"/>
        <v>9.7813172925312261E-2</v>
      </c>
      <c r="R69" s="2">
        <f t="shared" si="21"/>
        <v>0.10460793885783111</v>
      </c>
      <c r="S69" s="2">
        <f t="shared" si="21"/>
        <v>0.12449224396074439</v>
      </c>
      <c r="T69" s="2">
        <f t="shared" si="21"/>
        <v>0.13877203386795567</v>
      </c>
      <c r="U69" s="2">
        <f t="shared" si="21"/>
        <v>0.14112055034353749</v>
      </c>
      <c r="Y69"/>
      <c r="Z69"/>
      <c r="AC69" s="5" t="str">
        <f>H66</f>
        <v>Varmeproduktion Ovn3</v>
      </c>
      <c r="AD69" s="6" t="s">
        <v>43</v>
      </c>
      <c r="AE69" s="12">
        <f>L66</f>
        <v>20832</v>
      </c>
      <c r="AF69" s="12">
        <f>J66</f>
        <v>20832</v>
      </c>
      <c r="AG69" s="12">
        <f t="shared" ref="AG69:AG73" si="22">AF69-AE69</f>
        <v>0</v>
      </c>
      <c r="AI69" s="50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</row>
    <row r="70" spans="7:52" x14ac:dyDescent="0.25">
      <c r="H70" t="s">
        <v>108</v>
      </c>
      <c r="I70" s="5" t="s">
        <v>109</v>
      </c>
      <c r="J70" s="16">
        <f>J67+J62</f>
        <v>33305.021359053739</v>
      </c>
      <c r="K70" s="16">
        <f t="shared" ref="K70:U70" si="23">K67+K62</f>
        <v>32199.457019294074</v>
      </c>
      <c r="L70" s="16">
        <f t="shared" si="23"/>
        <v>34464.691666080318</v>
      </c>
      <c r="M70" s="16">
        <f t="shared" si="23"/>
        <v>32649.459799822085</v>
      </c>
      <c r="N70" s="16">
        <f t="shared" si="23"/>
        <v>23657.212823170732</v>
      </c>
      <c r="O70" s="16">
        <f t="shared" si="23"/>
        <v>10256.214402205323</v>
      </c>
      <c r="P70" s="16">
        <f t="shared" si="23"/>
        <v>15560.665090701219</v>
      </c>
      <c r="Q70" s="16">
        <f t="shared" si="23"/>
        <v>17298.827724085364</v>
      </c>
      <c r="R70" s="16">
        <f t="shared" si="23"/>
        <v>18488.903181402438</v>
      </c>
      <c r="S70" s="16">
        <f t="shared" si="23"/>
        <v>27291.668806402438</v>
      </c>
      <c r="T70" s="16">
        <f t="shared" si="23"/>
        <v>31902.474636005893</v>
      </c>
      <c r="U70" s="16">
        <f t="shared" si="23"/>
        <v>32129.960365853654</v>
      </c>
      <c r="Y70"/>
      <c r="Z70"/>
      <c r="AC70" s="5" t="str">
        <f>H68</f>
        <v>Heraf RGK-varme</v>
      </c>
      <c r="AD70" s="6" t="s">
        <v>43</v>
      </c>
      <c r="AE70" s="12">
        <f>L68</f>
        <v>5557.9967048454637</v>
      </c>
      <c r="AF70" s="12">
        <f>J68</f>
        <v>5049.4716687852942</v>
      </c>
      <c r="AG70" s="12">
        <f t="shared" si="22"/>
        <v>-508.52503606016944</v>
      </c>
      <c r="AI70" s="50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</row>
    <row r="71" spans="7:52" x14ac:dyDescent="0.25">
      <c r="H71" t="s">
        <v>111</v>
      </c>
      <c r="I71" s="5" t="s">
        <v>43</v>
      </c>
      <c r="J71" s="16">
        <f>J67-J59</f>
        <v>24115</v>
      </c>
      <c r="K71" s="16">
        <f t="shared" ref="K71:U71" si="24">K67-K59</f>
        <v>23902</v>
      </c>
      <c r="L71" s="16">
        <f t="shared" si="24"/>
        <v>27355</v>
      </c>
      <c r="M71" s="16">
        <f t="shared" si="24"/>
        <v>22497</v>
      </c>
      <c r="N71" s="16">
        <f t="shared" si="24"/>
        <v>12760</v>
      </c>
      <c r="O71" s="16">
        <f t="shared" si="24"/>
        <v>6100</v>
      </c>
      <c r="P71" s="16">
        <f t="shared" si="24"/>
        <v>6411</v>
      </c>
      <c r="Q71" s="16">
        <f t="shared" si="24"/>
        <v>7774</v>
      </c>
      <c r="R71" s="16">
        <f t="shared" si="24"/>
        <v>8886</v>
      </c>
      <c r="S71" s="16">
        <f t="shared" si="24"/>
        <v>15610</v>
      </c>
      <c r="T71" s="16">
        <f t="shared" si="24"/>
        <v>20410</v>
      </c>
      <c r="U71" s="16">
        <f t="shared" si="24"/>
        <v>20832</v>
      </c>
      <c r="Y71"/>
      <c r="Z71"/>
      <c r="AC71" s="5" t="str">
        <f>H59</f>
        <v>Bortkølet varme</v>
      </c>
      <c r="AD71" s="6" t="s">
        <v>43</v>
      </c>
      <c r="AE71" s="12">
        <f>L59</f>
        <v>1375.7313002266606</v>
      </c>
      <c r="AF71" s="12">
        <f>J59</f>
        <v>3456.0609932000789</v>
      </c>
      <c r="AG71" s="12">
        <f t="shared" si="22"/>
        <v>2080.3296929734183</v>
      </c>
      <c r="AI71" s="50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</row>
    <row r="72" spans="7:52" x14ac:dyDescent="0.25">
      <c r="H72" t="s">
        <v>135</v>
      </c>
      <c r="I72" s="5" t="s">
        <v>43</v>
      </c>
      <c r="J72" s="16">
        <f>J4-J71</f>
        <v>4000</v>
      </c>
      <c r="K72" s="16">
        <f>K4-K71</f>
        <v>0</v>
      </c>
      <c r="L72" s="16">
        <f>L4-L71</f>
        <v>0</v>
      </c>
      <c r="M72" s="16">
        <f>M4-M71</f>
        <v>0</v>
      </c>
      <c r="N72" s="16">
        <f>N4-N71</f>
        <v>0</v>
      </c>
      <c r="O72" s="16">
        <f>O4-O71</f>
        <v>0</v>
      </c>
      <c r="P72" s="16">
        <f>P4-P71</f>
        <v>0</v>
      </c>
      <c r="Q72" s="16">
        <f>Q4-Q71</f>
        <v>0</v>
      </c>
      <c r="R72" s="16">
        <f>R4-R71</f>
        <v>0</v>
      </c>
      <c r="S72" s="16">
        <f>S4-S71</f>
        <v>0</v>
      </c>
      <c r="T72" s="16">
        <f>T4-T71</f>
        <v>0</v>
      </c>
      <c r="U72" s="16">
        <f>U4-U71</f>
        <v>4643</v>
      </c>
      <c r="Y72"/>
      <c r="Z72"/>
      <c r="AC72" s="5" t="str">
        <f>H71</f>
        <v>Leveret varme</v>
      </c>
      <c r="AD72" s="6" t="s">
        <v>43</v>
      </c>
      <c r="AE72" s="12">
        <f>L71</f>
        <v>27355</v>
      </c>
      <c r="AF72" s="12">
        <f>J71</f>
        <v>24115</v>
      </c>
      <c r="AG72" s="12">
        <f t="shared" si="22"/>
        <v>-3240</v>
      </c>
      <c r="AI72" s="50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</row>
    <row r="73" spans="7:52" x14ac:dyDescent="0.25">
      <c r="H73" s="3" t="s">
        <v>123</v>
      </c>
      <c r="J73" s="15" t="str">
        <f>J38</f>
        <v>JAN</v>
      </c>
      <c r="K73" s="15" t="str">
        <f t="shared" ref="K73:U73" si="25">K38</f>
        <v>FEB</v>
      </c>
      <c r="L73" s="15" t="str">
        <f t="shared" si="25"/>
        <v>MAR</v>
      </c>
      <c r="M73" s="15" t="str">
        <f t="shared" si="25"/>
        <v>APR</v>
      </c>
      <c r="N73" s="15" t="str">
        <f t="shared" si="25"/>
        <v>MAJ</v>
      </c>
      <c r="O73" s="15" t="str">
        <f t="shared" si="25"/>
        <v>JUN</v>
      </c>
      <c r="P73" s="15" t="str">
        <f t="shared" si="25"/>
        <v>JUL</v>
      </c>
      <c r="Q73" s="15" t="str">
        <f t="shared" si="25"/>
        <v>AUG</v>
      </c>
      <c r="R73" s="15" t="str">
        <f t="shared" si="25"/>
        <v>SEP</v>
      </c>
      <c r="S73" s="15" t="str">
        <f t="shared" si="25"/>
        <v>OKT</v>
      </c>
      <c r="T73" s="15" t="str">
        <f t="shared" si="25"/>
        <v>NOV</v>
      </c>
      <c r="U73" s="15" t="str">
        <f t="shared" si="25"/>
        <v>DEC</v>
      </c>
      <c r="Y73"/>
      <c r="Z73"/>
      <c r="AC73" s="5" t="str">
        <f>H72</f>
        <v>Spidslastvarme</v>
      </c>
      <c r="AD73" s="6" t="s">
        <v>43</v>
      </c>
      <c r="AE73" s="12">
        <f>L72</f>
        <v>0</v>
      </c>
      <c r="AF73" s="12">
        <f>J72</f>
        <v>4000</v>
      </c>
      <c r="AG73" s="12">
        <f t="shared" si="22"/>
        <v>4000</v>
      </c>
      <c r="AI73" s="50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</row>
    <row r="74" spans="7:52" x14ac:dyDescent="0.25">
      <c r="G74" s="133"/>
      <c r="H74" t="s">
        <v>125</v>
      </c>
      <c r="I74" s="5" t="s">
        <v>54</v>
      </c>
      <c r="J74" s="16">
        <f>J$60*$C$17*LHVaffald/3.6</f>
        <v>28731.614339634027</v>
      </c>
      <c r="K74" s="16">
        <f>K$60*$C$17*LHVaffald/3.6</f>
        <v>28026.835299261707</v>
      </c>
      <c r="L74" s="16">
        <f>L$60*$C$17*LHVaffald/3.6</f>
        <v>31902.848627703257</v>
      </c>
      <c r="M74" s="16">
        <f>M$60*$C$17*LHVaffald/3.6</f>
        <v>26982.52149789167</v>
      </c>
      <c r="N74" s="16">
        <f>N$60*$C$17*LHVaffald/3.6</f>
        <v>15630.44425087108</v>
      </c>
      <c r="O74" s="16">
        <f>O$60*$C$17*LHVaffald/3.6</f>
        <v>6301.4001899755285</v>
      </c>
      <c r="P74" s="16">
        <f>P$60*$C$17*LHVaffald/3.6</f>
        <v>7853.1957752613243</v>
      </c>
      <c r="Q74" s="16">
        <f>Q$60*$C$17*LHVaffald/3.6</f>
        <v>9522.8114111498235</v>
      </c>
      <c r="R74" s="16">
        <f>R$60*$C$17*LHVaffald/3.6</f>
        <v>10884.962979094074</v>
      </c>
      <c r="S74" s="16">
        <f>S$60*$C$17*LHVaffald/3.6</f>
        <v>19121.570121951219</v>
      </c>
      <c r="T74" s="16">
        <f>T$60*$C$17*LHVaffald/3.6</f>
        <v>24939.815954928559</v>
      </c>
      <c r="U74" s="16">
        <f>U$60*$C$17*LHVaffald/3.6</f>
        <v>25518.292682926833</v>
      </c>
      <c r="Y74"/>
      <c r="Z74"/>
      <c r="AC74" s="5"/>
      <c r="AD74" s="6"/>
      <c r="AE74" s="18"/>
      <c r="AF74" s="18"/>
      <c r="AG74" s="12"/>
      <c r="AI74" s="50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</row>
    <row r="75" spans="7:52" x14ac:dyDescent="0.25">
      <c r="G75" s="133"/>
      <c r="H75" t="s">
        <v>126</v>
      </c>
      <c r="I75" s="5" t="s">
        <v>54</v>
      </c>
      <c r="J75" s="16">
        <f>J$60*J20*LHVbioaffald/3.6</f>
        <v>0</v>
      </c>
      <c r="K75" s="16">
        <f>K$60*K20*LHVbioaffald/3.6</f>
        <v>0</v>
      </c>
      <c r="L75" s="16">
        <f>L$60*L20*LHVbioaffald/3.6</f>
        <v>0</v>
      </c>
      <c r="M75" s="16">
        <f>M$60*M20*LHVbioaffald/3.6</f>
        <v>0</v>
      </c>
      <c r="N75" s="16">
        <f>N$60*N20*LHVbioaffald/3.6</f>
        <v>0</v>
      </c>
      <c r="O75" s="16">
        <f>O$60*O20*LHVbioaffald/3.6</f>
        <v>0</v>
      </c>
      <c r="P75" s="16">
        <f>P$60*P20*LHVbioaffald/3.6</f>
        <v>0</v>
      </c>
      <c r="Q75" s="16">
        <f>Q$60*Q20*LHVbioaffald/3.6</f>
        <v>0</v>
      </c>
      <c r="R75" s="16">
        <f>R$60*R20*LHVbioaffald/3.6</f>
        <v>0</v>
      </c>
      <c r="S75" s="16">
        <f>S$60*S20*LHVbioaffald/3.6</f>
        <v>0</v>
      </c>
      <c r="T75" s="16">
        <f>T$60*T20*LHVbioaffald/3.6</f>
        <v>0</v>
      </c>
      <c r="U75" s="16">
        <f>U$60*U20*LHVbioaffald/3.6</f>
        <v>0</v>
      </c>
      <c r="Y75"/>
      <c r="Z75"/>
      <c r="AC75" s="7" t="s">
        <v>234</v>
      </c>
      <c r="AD75" s="6"/>
      <c r="AE75" s="66" t="str">
        <f>AE50</f>
        <v>MAR</v>
      </c>
      <c r="AF75" s="66" t="str">
        <f>AF50</f>
        <v>JAN</v>
      </c>
      <c r="AG75" s="12"/>
      <c r="AI75" s="50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</row>
    <row r="76" spans="7:52" x14ac:dyDescent="0.25">
      <c r="G76" s="133"/>
      <c r="H76" t="s">
        <v>124</v>
      </c>
      <c r="I76" s="5" t="s">
        <v>109</v>
      </c>
      <c r="J76" s="16">
        <f>IF(RGKudnyttelse&gt;0,J70/0.95 - J75,J70/0.85 - J75)</f>
        <v>35057.917220056566</v>
      </c>
      <c r="K76" s="16">
        <f>IF(RGKudnyttelse&gt;0,K70/0.95 - K75,K70/0.85 - K75)</f>
        <v>33894.165283467446</v>
      </c>
      <c r="L76" s="16">
        <f>IF(RGKudnyttelse&gt;0,L70/0.95 - L75,L70/0.85 - L75)</f>
        <v>36278.622806400337</v>
      </c>
      <c r="M76" s="16">
        <f>IF(RGKudnyttelse&gt;0,M70/0.95 - M75,M70/0.85 - M75)</f>
        <v>34367.852420865354</v>
      </c>
      <c r="N76" s="16">
        <f>IF(RGKudnyttelse&gt;0,N70/0.95 - N75,N70/0.85 - N75)</f>
        <v>24902.329287548138</v>
      </c>
      <c r="O76" s="16">
        <f>IF(RGKudnyttelse&gt;0,O70/0.95 - O75,O70/0.85 - O75)</f>
        <v>10796.015160216131</v>
      </c>
      <c r="P76" s="16">
        <f>IF(RGKudnyttelse&gt;0,P70/0.95 - P75,P70/0.85 - P75)</f>
        <v>16379.647463896021</v>
      </c>
      <c r="Q76" s="16">
        <f>IF(RGKudnyttelse&gt;0,Q70/0.95 - Q75,Q70/0.85 - Q75)</f>
        <v>18209.292341142489</v>
      </c>
      <c r="R76" s="16">
        <f>IF(RGKudnyttelse&gt;0,R70/0.95 - R75,R70/0.85 - R75)</f>
        <v>19462.003348844672</v>
      </c>
      <c r="S76" s="16">
        <f>IF(RGKudnyttelse&gt;0,S70/0.95 - S75,S70/0.85 - S75)</f>
        <v>28728.072427792042</v>
      </c>
      <c r="T76" s="16">
        <f>IF(RGKudnyttelse&gt;0,T70/0.95 - T75,T70/0.85 - T75)</f>
        <v>33581.552248427259</v>
      </c>
      <c r="U76" s="16">
        <f>IF(RGKudnyttelse&gt;0,U70/0.95 - U75,U70/0.85 - U75)</f>
        <v>33821.010911424899</v>
      </c>
      <c r="Y76"/>
      <c r="Z76"/>
      <c r="AC76" s="5" t="s">
        <v>145</v>
      </c>
      <c r="AD76" s="6" t="s">
        <v>17</v>
      </c>
      <c r="AE76" s="12">
        <f>L40</f>
        <v>9006.456241033</v>
      </c>
      <c r="AF76" s="12">
        <f>J40</f>
        <v>9006.456241033</v>
      </c>
      <c r="AG76" s="12">
        <f>AF76-AE76</f>
        <v>0</v>
      </c>
      <c r="AI76" s="50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</row>
    <row r="77" spans="7:52" x14ac:dyDescent="0.25">
      <c r="H77" t="s">
        <v>130</v>
      </c>
      <c r="I77" s="5" t="s">
        <v>43</v>
      </c>
      <c r="J77" s="16">
        <f>J67*J76/(J76+J75)</f>
        <v>27571.060993200081</v>
      </c>
      <c r="K77" s="16">
        <f t="shared" ref="K77:U77" si="26">K67*K76/(K76+K75)</f>
        <v>27020.396043684319</v>
      </c>
      <c r="L77" s="16">
        <f t="shared" si="26"/>
        <v>28730.73130022666</v>
      </c>
      <c r="M77" s="16">
        <f t="shared" si="26"/>
        <v>27100.465897383059</v>
      </c>
      <c r="N77" s="16">
        <f t="shared" si="26"/>
        <v>20064.16</v>
      </c>
      <c r="O77" s="16">
        <f t="shared" si="26"/>
        <v>9886.2814753760558</v>
      </c>
      <c r="P77" s="16">
        <f t="shared" si="26"/>
        <v>13715.16</v>
      </c>
      <c r="Q77" s="16">
        <f t="shared" si="26"/>
        <v>15078.16</v>
      </c>
      <c r="R77" s="16">
        <f t="shared" si="26"/>
        <v>15962.160000000002</v>
      </c>
      <c r="S77" s="16">
        <f t="shared" si="26"/>
        <v>22914.16</v>
      </c>
      <c r="T77" s="16">
        <f t="shared" si="26"/>
        <v>26353.480733566867</v>
      </c>
      <c r="U77" s="16">
        <f t="shared" si="26"/>
        <v>26395.999999999996</v>
      </c>
      <c r="Y77"/>
      <c r="Z77"/>
      <c r="AC77" s="5" t="s">
        <v>146</v>
      </c>
      <c r="AD77" s="6" t="s">
        <v>43</v>
      </c>
      <c r="AE77" s="12">
        <f>L43</f>
        <v>0</v>
      </c>
      <c r="AF77" s="12">
        <f>J43</f>
        <v>4000</v>
      </c>
      <c r="AG77" s="12">
        <f t="shared" ref="AG77:AG82" si="27">AF77-AE77</f>
        <v>4000</v>
      </c>
      <c r="AI77" s="50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</row>
    <row r="78" spans="7:52" x14ac:dyDescent="0.25">
      <c r="H78" t="s">
        <v>127</v>
      </c>
      <c r="I78" s="5" t="s">
        <v>50</v>
      </c>
      <c r="J78" s="16">
        <f>J62*J76/(J76+J75)</f>
        <v>5733.9603658536589</v>
      </c>
      <c r="K78" s="16">
        <f t="shared" ref="K78:U78" si="28">K62*K76/(K76+K75)</f>
        <v>5179.0609756097565</v>
      </c>
      <c r="L78" s="16">
        <f t="shared" si="28"/>
        <v>5733.9603658536589</v>
      </c>
      <c r="M78" s="16">
        <f t="shared" si="28"/>
        <v>5548.9939024390242</v>
      </c>
      <c r="N78" s="16">
        <f t="shared" si="28"/>
        <v>3593.0528231707322</v>
      </c>
      <c r="O78" s="16">
        <f t="shared" si="28"/>
        <v>369.93292682926835</v>
      </c>
      <c r="P78" s="16">
        <f t="shared" si="28"/>
        <v>1845.5050907012194</v>
      </c>
      <c r="Q78" s="16">
        <f t="shared" si="28"/>
        <v>2220.667724085366</v>
      </c>
      <c r="R78" s="16">
        <f t="shared" si="28"/>
        <v>2526.7431814024389</v>
      </c>
      <c r="S78" s="16">
        <f t="shared" si="28"/>
        <v>4377.5088064024385</v>
      </c>
      <c r="T78" s="16">
        <f t="shared" si="28"/>
        <v>5548.9939024390242</v>
      </c>
      <c r="U78" s="16">
        <f t="shared" si="28"/>
        <v>5733.9603658536589</v>
      </c>
      <c r="Y78"/>
      <c r="Z78"/>
      <c r="AC78" s="5" t="s">
        <v>147</v>
      </c>
      <c r="AD78" s="6" t="s">
        <v>17</v>
      </c>
      <c r="AE78" s="12">
        <f>L46</f>
        <v>2253.3726863916804</v>
      </c>
      <c r="AF78" s="12">
        <f>J46</f>
        <v>1134.113525896656</v>
      </c>
      <c r="AG78" s="12">
        <f t="shared" si="27"/>
        <v>-1119.2591604950244</v>
      </c>
      <c r="AI78" s="50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</row>
    <row r="79" spans="7:52" x14ac:dyDescent="0.25">
      <c r="H79" t="s">
        <v>128</v>
      </c>
      <c r="I79" s="5" t="s">
        <v>43</v>
      </c>
      <c r="J79" s="16">
        <f>IF(RGKudnyttelse&gt;0,(J77-0.1*(J77+J78))/1.2,J77/1.2)</f>
        <v>20200.465714412254</v>
      </c>
      <c r="K79" s="16">
        <f>IF(RGKudnyttelse&gt;0,(K77-0.1*(K77+K78))/1.2,K77/1.2)</f>
        <v>19833.708618129094</v>
      </c>
      <c r="L79" s="16">
        <f>IF(RGKudnyttelse&gt;0,(L77-0.1*(L77+L78))/1.2,L77/1.2)</f>
        <v>21070.218444682192</v>
      </c>
      <c r="M79" s="16">
        <f>IF(RGKudnyttelse&gt;0,(M77-0.1*(M77+M78))/1.2,M77/1.2)</f>
        <v>19862.933264500713</v>
      </c>
      <c r="N79" s="16">
        <f>IF(RGKudnyttelse&gt;0,(N77-0.1*(N77+N78))/1.2,N77/1.2)</f>
        <v>14748.698931402439</v>
      </c>
      <c r="O79" s="16">
        <f>IF(RGKudnyttelse&gt;0,(O77-0.1*(O77+O78))/1.2,O77/1.2)</f>
        <v>7383.8833626296037</v>
      </c>
      <c r="P79" s="16">
        <f>IF(RGKudnyttelse&gt;0,(P77-0.1*(P77+P78))/1.2,P77/1.2)</f>
        <v>10132.577909108231</v>
      </c>
      <c r="Q79" s="16">
        <f>IF(RGKudnyttelse&gt;0,(Q77-0.1*(Q77+Q78))/1.2,Q77/1.2)</f>
        <v>11123.56435632622</v>
      </c>
      <c r="R79" s="16">
        <f>IF(RGKudnyttelse&gt;0,(R77-0.1*(R77+R78))/1.2,R77/1.2)</f>
        <v>11761.058068216465</v>
      </c>
      <c r="S79" s="16">
        <f>IF(RGKudnyttelse&gt;0,(S77-0.1*(S77+S78))/1.2,S77/1.2)</f>
        <v>16820.827599466462</v>
      </c>
      <c r="T79" s="16">
        <f>IF(RGKudnyttelse&gt;0,(T77-0.1*(T77+T78))/1.2,T77/1.2)</f>
        <v>19302.694391638564</v>
      </c>
      <c r="U79" s="16">
        <f>IF(RGKudnyttelse&gt;0,(U77-0.1*(U77+U78))/1.2,U77/1.2)</f>
        <v>19319.169969512193</v>
      </c>
      <c r="Y79"/>
      <c r="Z79"/>
      <c r="AC79" s="5" t="s">
        <v>102</v>
      </c>
      <c r="AD79" s="6" t="s">
        <v>17</v>
      </c>
      <c r="AE79" s="12">
        <f>L54</f>
        <v>0</v>
      </c>
      <c r="AF79" s="12">
        <f>J54</f>
        <v>0</v>
      </c>
      <c r="AG79" s="12">
        <f t="shared" si="27"/>
        <v>0</v>
      </c>
      <c r="AI79" s="50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</row>
    <row r="80" spans="7:52" x14ac:dyDescent="0.25">
      <c r="H80" t="s">
        <v>131</v>
      </c>
      <c r="I80" s="5" t="s">
        <v>43</v>
      </c>
      <c r="J80" s="16">
        <f>J79</f>
        <v>20200.465714412254</v>
      </c>
      <c r="K80" s="16">
        <f t="shared" ref="K80:U80" si="29">K79</f>
        <v>19833.708618129094</v>
      </c>
      <c r="L80" s="16">
        <f t="shared" si="29"/>
        <v>21070.218444682192</v>
      </c>
      <c r="M80" s="16">
        <f t="shared" si="29"/>
        <v>19862.933264500713</v>
      </c>
      <c r="N80" s="16">
        <f t="shared" si="29"/>
        <v>14748.698931402439</v>
      </c>
      <c r="O80" s="16">
        <f t="shared" si="29"/>
        <v>7383.8833626296037</v>
      </c>
      <c r="P80" s="16">
        <f t="shared" si="29"/>
        <v>10132.577909108231</v>
      </c>
      <c r="Q80" s="16">
        <f t="shared" si="29"/>
        <v>11123.56435632622</v>
      </c>
      <c r="R80" s="16">
        <f t="shared" si="29"/>
        <v>11761.058068216465</v>
      </c>
      <c r="S80" s="16">
        <f t="shared" si="29"/>
        <v>16820.827599466462</v>
      </c>
      <c r="T80" s="16">
        <f t="shared" si="29"/>
        <v>19302.694391638564</v>
      </c>
      <c r="U80" s="16">
        <f t="shared" si="29"/>
        <v>19319.169969512193</v>
      </c>
      <c r="Y80"/>
      <c r="Z80"/>
      <c r="AC80" s="5" t="s">
        <v>103</v>
      </c>
      <c r="AD80" s="6" t="s">
        <v>17</v>
      </c>
      <c r="AE80" s="12">
        <f>L57</f>
        <v>575.298843139111</v>
      </c>
      <c r="AF80" s="12">
        <f>J57</f>
        <v>1445.2443517703148</v>
      </c>
      <c r="AG80" s="12">
        <f t="shared" si="27"/>
        <v>869.94550863120378</v>
      </c>
      <c r="AI80" s="50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</row>
    <row r="81" spans="8:52" x14ac:dyDescent="0.25">
      <c r="J81" s="16"/>
      <c r="L81" s="16"/>
      <c r="N81" s="56"/>
      <c r="O81" s="56"/>
      <c r="P81" s="56"/>
      <c r="Q81" s="56"/>
      <c r="R81" s="56"/>
      <c r="S81" s="56"/>
      <c r="T81" s="56"/>
      <c r="U81" s="56"/>
      <c r="Y81"/>
      <c r="Z81"/>
      <c r="AC81" s="5" t="s">
        <v>149</v>
      </c>
      <c r="AD81" s="6" t="s">
        <v>17</v>
      </c>
      <c r="AE81" s="12">
        <f>AE76+SUM(AE78:AE80)</f>
        <v>11835.127770563791</v>
      </c>
      <c r="AF81" s="12">
        <f>AF76+SUM(AF78:AF80)</f>
        <v>11585.814118699971</v>
      </c>
      <c r="AG81" s="12">
        <f t="shared" si="27"/>
        <v>-249.31365186382027</v>
      </c>
      <c r="AI81" s="50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</row>
    <row r="82" spans="8:52" x14ac:dyDescent="0.25">
      <c r="H82" s="3" t="s">
        <v>104</v>
      </c>
      <c r="I82" s="8"/>
      <c r="J82" s="15" t="str">
        <f>J38</f>
        <v>JAN</v>
      </c>
      <c r="K82" s="15" t="str">
        <f t="shared" ref="K82:U82" si="30">K38</f>
        <v>FEB</v>
      </c>
      <c r="L82" s="15" t="str">
        <f t="shared" si="30"/>
        <v>MAR</v>
      </c>
      <c r="M82" s="15" t="str">
        <f t="shared" si="30"/>
        <v>APR</v>
      </c>
      <c r="N82" s="15" t="str">
        <f t="shared" si="30"/>
        <v>MAJ</v>
      </c>
      <c r="O82" s="15" t="str">
        <f t="shared" si="30"/>
        <v>JUN</v>
      </c>
      <c r="P82" s="15" t="str">
        <f t="shared" si="30"/>
        <v>JUL</v>
      </c>
      <c r="Q82" s="15" t="str">
        <f t="shared" si="30"/>
        <v>AUG</v>
      </c>
      <c r="R82" s="15" t="str">
        <f t="shared" si="30"/>
        <v>SEP</v>
      </c>
      <c r="S82" s="15" t="str">
        <f t="shared" si="30"/>
        <v>OKT</v>
      </c>
      <c r="T82" s="15" t="str">
        <f t="shared" si="30"/>
        <v>NOV</v>
      </c>
      <c r="U82" s="15" t="str">
        <f t="shared" si="30"/>
        <v>DEC</v>
      </c>
      <c r="Y82"/>
      <c r="Z82"/>
      <c r="AC82" s="5" t="s">
        <v>148</v>
      </c>
      <c r="AD82" s="6" t="s">
        <v>17</v>
      </c>
      <c r="AE82" s="16">
        <f>L61</f>
        <v>740.17107257531961</v>
      </c>
      <c r="AF82" s="16">
        <f>J61</f>
        <v>1859.430233070344</v>
      </c>
      <c r="AG82" s="12">
        <f t="shared" si="27"/>
        <v>1119.2591604950244</v>
      </c>
      <c r="AI82" s="50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</row>
    <row r="83" spans="8:52" x14ac:dyDescent="0.25">
      <c r="H83" s="14" t="s">
        <v>24</v>
      </c>
      <c r="I83" s="14" t="s">
        <v>140</v>
      </c>
      <c r="J83" s="17">
        <f>Varmesalgspris*J71</f>
        <v>7499765</v>
      </c>
      <c r="K83" s="17">
        <f>Varmesalgspris*K71</f>
        <v>7433522</v>
      </c>
      <c r="L83" s="17">
        <f>Varmesalgspris*L71</f>
        <v>8507405</v>
      </c>
      <c r="M83" s="17">
        <f>Varmesalgspris*M71</f>
        <v>6996567</v>
      </c>
      <c r="N83" s="17">
        <f>Varmesalgspris*N71</f>
        <v>3968360</v>
      </c>
      <c r="O83" s="17">
        <f>Varmesalgspris*O71</f>
        <v>1897100</v>
      </c>
      <c r="P83" s="17">
        <f>Varmesalgspris*P71</f>
        <v>1993821</v>
      </c>
      <c r="Q83" s="17">
        <f>Varmesalgspris*Q71</f>
        <v>2417714</v>
      </c>
      <c r="R83" s="17">
        <f>Varmesalgspris*R71</f>
        <v>2763546</v>
      </c>
      <c r="S83" s="17">
        <f>Varmesalgspris*S71</f>
        <v>4854710</v>
      </c>
      <c r="T83" s="17">
        <f>Varmesalgspris*T71</f>
        <v>6347510</v>
      </c>
      <c r="U83" s="17">
        <f>Varmesalgspris*U71</f>
        <v>6478752</v>
      </c>
      <c r="Y83"/>
      <c r="Z83"/>
      <c r="AD83" s="6"/>
      <c r="AG83" s="12"/>
      <c r="AI83" s="50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</row>
    <row r="84" spans="8:52" x14ac:dyDescent="0.25">
      <c r="H84" s="14" t="s">
        <v>106</v>
      </c>
      <c r="I84" s="14" t="s">
        <v>140</v>
      </c>
      <c r="J84" s="17">
        <f>(J11-ElProdTarif)*J64</f>
        <v>3947332.4512195126</v>
      </c>
      <c r="K84" s="17">
        <f>(K11-ElProdTarif)*K64</f>
        <v>3565332.5365853664</v>
      </c>
      <c r="L84" s="17">
        <f>(L11-ElProdTarif)*L64</f>
        <v>3947332.4512195126</v>
      </c>
      <c r="M84" s="17">
        <f>(M11-ElProdTarif)*M64</f>
        <v>3819999.1463414631</v>
      </c>
      <c r="N84" s="17">
        <f>(N11-ElProdTarif)*N64</f>
        <v>2243170.0472439029</v>
      </c>
      <c r="O84" s="17">
        <f>(O11-ElProdTarif)*O64</f>
        <v>254666.6097560976</v>
      </c>
      <c r="P84" s="17">
        <f>(P11-ElProdTarif)*P64</f>
        <v>852122.05219817068</v>
      </c>
      <c r="Q84" s="17">
        <f>(Q11-ElProdTarif)*Q64</f>
        <v>1150751.5083719513</v>
      </c>
      <c r="R84" s="17">
        <f>(R11-ElProdTarif)*R64</f>
        <v>1414287.5723963415</v>
      </c>
      <c r="S84" s="17">
        <f>(S11-ElProdTarif)*S64</f>
        <v>2867597.0098963412</v>
      </c>
      <c r="T84" s="17">
        <f>(T11-ElProdTarif)*T64</f>
        <v>3819999.1463414631</v>
      </c>
      <c r="U84" s="17">
        <f>(U11-ElProdTarif)*U64</f>
        <v>3947332.4512195126</v>
      </c>
      <c r="Y84"/>
      <c r="Z84"/>
      <c r="AC84" s="7" t="s">
        <v>235</v>
      </c>
      <c r="AD84" s="6"/>
      <c r="AE84" s="66" t="str">
        <f>AE50</f>
        <v>MAR</v>
      </c>
      <c r="AF84" s="66" t="str">
        <f>AF50</f>
        <v>JAN</v>
      </c>
      <c r="AG84" s="12"/>
      <c r="AI84" s="50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</row>
    <row r="85" spans="8:52" x14ac:dyDescent="0.25">
      <c r="H85" s="14" t="s">
        <v>107</v>
      </c>
      <c r="I85" s="14" t="s">
        <v>140</v>
      </c>
      <c r="J85" s="17">
        <f>IF(J68&lt;7%*J70,0,10%)*J91</f>
        <v>231254.93149859153</v>
      </c>
      <c r="K85" s="17">
        <f t="shared" ref="K85:U85" si="31">IF(K68&lt;7%*K70,0,10%)*K91</f>
        <v>227056.29626034189</v>
      </c>
      <c r="L85" s="17">
        <f t="shared" si="31"/>
        <v>241211.86075472177</v>
      </c>
      <c r="M85" s="17">
        <f t="shared" si="31"/>
        <v>227390.86001200415</v>
      </c>
      <c r="N85" s="17">
        <f t="shared" si="31"/>
        <v>168843.10536669515</v>
      </c>
      <c r="O85" s="17">
        <f t="shared" si="31"/>
        <v>84530.69673538371</v>
      </c>
      <c r="P85" s="17">
        <f t="shared" si="31"/>
        <v>115997.75190347103</v>
      </c>
      <c r="Q85" s="17">
        <f t="shared" si="31"/>
        <v>127342.56475122257</v>
      </c>
      <c r="R85" s="17">
        <f t="shared" si="31"/>
        <v>134640.59276494209</v>
      </c>
      <c r="S85" s="17">
        <f t="shared" si="31"/>
        <v>192564.83435869205</v>
      </c>
      <c r="T85" s="17">
        <f t="shared" si="31"/>
        <v>220977.2453954783</v>
      </c>
      <c r="U85" s="17">
        <f t="shared" si="31"/>
        <v>221165.85781097563</v>
      </c>
      <c r="Y85"/>
      <c r="Z85"/>
      <c r="AC85" s="5" t="s">
        <v>267</v>
      </c>
      <c r="AD85" s="6"/>
      <c r="AE85" s="2">
        <f>(AE76+AE79)/$J$36</f>
        <v>1</v>
      </c>
      <c r="AF85" s="2">
        <f>(AF76+AF79)/$J$36</f>
        <v>1</v>
      </c>
      <c r="AG85" s="2">
        <f>AF85-AE85</f>
        <v>0</v>
      </c>
      <c r="AI85" s="50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</row>
    <row r="86" spans="8:52" x14ac:dyDescent="0.25">
      <c r="H86" s="14" t="s">
        <v>105</v>
      </c>
      <c r="I86" s="14" t="s">
        <v>140</v>
      </c>
      <c r="J86" s="17">
        <f>$C$20*($J$18-J61*(1-J20))</f>
        <v>4056227.9067718629</v>
      </c>
      <c r="K86" s="17">
        <f t="shared" ref="K86:U86" si="32">$C$20*($J$18-K61*(1-K20))</f>
        <v>3956729.6893075355</v>
      </c>
      <c r="L86" s="17">
        <f t="shared" si="32"/>
        <v>4503931.5709698722</v>
      </c>
      <c r="M86" s="17">
        <f t="shared" si="32"/>
        <v>3809297.1526435306</v>
      </c>
      <c r="N86" s="17">
        <f t="shared" si="32"/>
        <v>2206650.953064153</v>
      </c>
      <c r="O86" s="17">
        <f t="shared" si="32"/>
        <v>889609.43858478055</v>
      </c>
      <c r="P86" s="17">
        <f t="shared" si="32"/>
        <v>1108686.4623898342</v>
      </c>
      <c r="Q86" s="17">
        <f t="shared" si="32"/>
        <v>1344396.9051035049</v>
      </c>
      <c r="R86" s="17">
        <f t="shared" si="32"/>
        <v>1536700.6558721049</v>
      </c>
      <c r="S86" s="17">
        <f t="shared" si="32"/>
        <v>2699515.7819225253</v>
      </c>
      <c r="T86" s="17">
        <f t="shared" si="32"/>
        <v>3520915.1936369729</v>
      </c>
      <c r="U86" s="17">
        <f t="shared" si="32"/>
        <v>3602582.4964132002</v>
      </c>
      <c r="Y86"/>
      <c r="Z86"/>
      <c r="AC86" s="5" t="s">
        <v>268</v>
      </c>
      <c r="AD86" s="6"/>
      <c r="AE86" s="2">
        <f>(AE78+AE80)/$J$29</f>
        <v>0.95703119943661075</v>
      </c>
      <c r="AF86" s="2">
        <f>(AF78+AF80)/$J$29</f>
        <v>0.87268031571320726</v>
      </c>
      <c r="AG86" s="2">
        <f t="shared" ref="AG86:AG89" si="33">AF86-AE86</f>
        <v>-8.4350883723403491E-2</v>
      </c>
      <c r="AI86" s="50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</row>
    <row r="87" spans="8:52" x14ac:dyDescent="0.25">
      <c r="I87" s="14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Y87"/>
      <c r="Z87"/>
      <c r="AC87" s="5" t="s">
        <v>269</v>
      </c>
      <c r="AD87" s="6"/>
      <c r="AE87" s="2">
        <f>AE71/(24*$E$4*KapQcool)</f>
        <v>0.1232734139988047</v>
      </c>
      <c r="AF87" s="2">
        <f>AF71/(24*$E$4*KapQcool)</f>
        <v>0.30968288469534755</v>
      </c>
      <c r="AG87" s="2">
        <f t="shared" si="33"/>
        <v>0.18640947069654284</v>
      </c>
      <c r="AI87" s="50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</row>
    <row r="88" spans="8:52" x14ac:dyDescent="0.25">
      <c r="H88" s="14" t="s">
        <v>112</v>
      </c>
      <c r="I88" s="14" t="s">
        <v>140</v>
      </c>
      <c r="J88" s="18">
        <f>$D$20*($J$6-J61*J20)</f>
        <v>0</v>
      </c>
      <c r="K88" s="18">
        <f t="shared" ref="K88:U88" si="34">$D$20*($J$6-K61*K20)</f>
        <v>0</v>
      </c>
      <c r="L88" s="18">
        <f t="shared" si="34"/>
        <v>0</v>
      </c>
      <c r="M88" s="18">
        <f t="shared" si="34"/>
        <v>0</v>
      </c>
      <c r="N88" s="18">
        <f t="shared" si="34"/>
        <v>0</v>
      </c>
      <c r="O88" s="18">
        <f t="shared" si="34"/>
        <v>0</v>
      </c>
      <c r="P88" s="18">
        <f t="shared" si="34"/>
        <v>0</v>
      </c>
      <c r="Q88" s="18">
        <f t="shared" si="34"/>
        <v>0</v>
      </c>
      <c r="R88" s="18">
        <f t="shared" si="34"/>
        <v>0</v>
      </c>
      <c r="S88" s="18">
        <f t="shared" si="34"/>
        <v>0</v>
      </c>
      <c r="T88" s="18">
        <f t="shared" si="34"/>
        <v>0</v>
      </c>
      <c r="U88" s="18">
        <f t="shared" si="34"/>
        <v>0</v>
      </c>
      <c r="Y88"/>
      <c r="Z88"/>
      <c r="AC88" s="5" t="s">
        <v>270</v>
      </c>
      <c r="AD88" s="6"/>
      <c r="AE88" s="2">
        <f>AE77/NSvarme</f>
        <v>0</v>
      </c>
      <c r="AF88" s="2">
        <f>AF77/NSvarme</f>
        <v>1</v>
      </c>
      <c r="AG88" s="2">
        <f t="shared" si="33"/>
        <v>1</v>
      </c>
      <c r="AI88" s="50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</row>
    <row r="89" spans="8:52" x14ac:dyDescent="0.25">
      <c r="H89" s="14" t="s">
        <v>113</v>
      </c>
      <c r="I89" s="14" t="s">
        <v>140</v>
      </c>
      <c r="J89" s="17">
        <f>$C$13*J65+$D$13*J66+$E$13*J59+$F$13*J68</f>
        <v>1328827.156415856</v>
      </c>
      <c r="K89" s="17">
        <f t="shared" ref="K89:U89" si="35">$C$13*K65+$D$13*K66+$E$13*K59+$F$13*K68</f>
        <v>1267052.472841844</v>
      </c>
      <c r="L89" s="17">
        <f t="shared" si="35"/>
        <v>1347899.2190575211</v>
      </c>
      <c r="M89" s="17">
        <f t="shared" si="35"/>
        <v>1309795.940623699</v>
      </c>
      <c r="N89" s="17">
        <f t="shared" si="35"/>
        <v>962662.43146891613</v>
      </c>
      <c r="O89" s="17">
        <f t="shared" si="35"/>
        <v>371721.19312929199</v>
      </c>
      <c r="P89" s="17">
        <f t="shared" si="35"/>
        <v>631393.48891435901</v>
      </c>
      <c r="Q89" s="17">
        <f t="shared" si="35"/>
        <v>702510.1322758114</v>
      </c>
      <c r="R89" s="17">
        <f t="shared" si="35"/>
        <v>751410.46053548506</v>
      </c>
      <c r="S89" s="17">
        <f t="shared" si="35"/>
        <v>1111365.610911425</v>
      </c>
      <c r="T89" s="17">
        <f t="shared" si="35"/>
        <v>1297510.9422492688</v>
      </c>
      <c r="U89" s="17">
        <f t="shared" si="35"/>
        <v>1309501.9768934532</v>
      </c>
      <c r="Y89"/>
      <c r="Z89"/>
      <c r="AC89" s="5" t="s">
        <v>245</v>
      </c>
      <c r="AD89" s="6" t="s">
        <v>25</v>
      </c>
      <c r="AE89" s="11">
        <f>(SUM(AE60:AE65)-SUM(AE56:AE58))/AE72</f>
        <v>5.0544779443250993</v>
      </c>
      <c r="AF89" s="11">
        <f>(SUM(AF60:AF65)-SUM(AF56:AF58))/AF72</f>
        <v>-1.9082161794925812</v>
      </c>
      <c r="AG89" s="69">
        <f t="shared" si="33"/>
        <v>-6.9626941238176805</v>
      </c>
      <c r="AI89" s="50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</row>
    <row r="90" spans="8:52" x14ac:dyDescent="0.25">
      <c r="H90" s="14" t="s">
        <v>33</v>
      </c>
      <c r="I90" s="14" t="s">
        <v>140</v>
      </c>
      <c r="J90" s="17">
        <f>AFV*3.6*J71</f>
        <v>2239801.2000000002</v>
      </c>
      <c r="K90" s="17">
        <f>AFV*3.6*K71</f>
        <v>2220017.7600000002</v>
      </c>
      <c r="L90" s="17">
        <f>AFV*3.6*L71</f>
        <v>2540732.4000000004</v>
      </c>
      <c r="M90" s="17">
        <f>AFV*3.6*M71</f>
        <v>2089521.36</v>
      </c>
      <c r="N90" s="17">
        <f>AFV*3.6*N71</f>
        <v>1185148.8</v>
      </c>
      <c r="O90" s="17">
        <f>AFV*3.6*O71</f>
        <v>566568.00000000012</v>
      </c>
      <c r="P90" s="17">
        <f>AFV*3.6*P71</f>
        <v>595453.68000000005</v>
      </c>
      <c r="Q90" s="17">
        <f>AFV*3.6*Q71</f>
        <v>722049.12000000011</v>
      </c>
      <c r="R90" s="17">
        <f>AFV*3.6*R71</f>
        <v>825331.68</v>
      </c>
      <c r="S90" s="17">
        <f>AFV*3.6*S71</f>
        <v>1449856.8</v>
      </c>
      <c r="T90" s="17">
        <f>AFV*3.6*T71</f>
        <v>1895680.8000000003</v>
      </c>
      <c r="U90" s="17">
        <f>AFV*3.6*U71</f>
        <v>1934876.1600000001</v>
      </c>
      <c r="Y90"/>
      <c r="Z90"/>
      <c r="AC90" s="6"/>
      <c r="AF90" s="2"/>
      <c r="AG90" s="12"/>
      <c r="AI90" s="50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</row>
    <row r="91" spans="8:52" x14ac:dyDescent="0.25">
      <c r="H91" s="14" t="s">
        <v>34</v>
      </c>
      <c r="I91" s="14" t="s">
        <v>140</v>
      </c>
      <c r="J91" s="18">
        <f>ATL*3.6*J79</f>
        <v>2312549.3149859151</v>
      </c>
      <c r="K91" s="18">
        <f>ATL*3.6*K79</f>
        <v>2270562.9626034186</v>
      </c>
      <c r="L91" s="18">
        <f>ATL*3.6*L79</f>
        <v>2412118.6075472175</v>
      </c>
      <c r="M91" s="18">
        <f>ATL*3.6*M79</f>
        <v>2273908.6001200415</v>
      </c>
      <c r="N91" s="18">
        <f>ATL*3.6*N79</f>
        <v>1688431.0536669514</v>
      </c>
      <c r="O91" s="18">
        <f>ATL*3.6*O79</f>
        <v>845306.9673538371</v>
      </c>
      <c r="P91" s="18">
        <f>ATL*3.6*P79</f>
        <v>1159977.5190347102</v>
      </c>
      <c r="Q91" s="18">
        <f>ATL*3.6*Q79</f>
        <v>1273425.6475122257</v>
      </c>
      <c r="R91" s="18">
        <f>ATL*3.6*R79</f>
        <v>1346405.9276494209</v>
      </c>
      <c r="S91" s="18">
        <f>ATL*3.6*S79</f>
        <v>1925648.3435869205</v>
      </c>
      <c r="T91" s="18">
        <f>ATL*3.6*T79</f>
        <v>2209772.4539547828</v>
      </c>
      <c r="U91" s="18">
        <f>ATL*3.6*U79</f>
        <v>2211658.5781097561</v>
      </c>
      <c r="Y91"/>
      <c r="Z91"/>
      <c r="AG91" s="12"/>
      <c r="AI91" s="50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</row>
    <row r="92" spans="8:52" x14ac:dyDescent="0.25">
      <c r="H92" s="14" t="s">
        <v>35</v>
      </c>
      <c r="I92" s="14" t="s">
        <v>140</v>
      </c>
      <c r="J92" s="18">
        <f>CO2afgift*$C$22 /1000 *3.6*J79</f>
        <v>480290.3129190086</v>
      </c>
      <c r="K92" s="18">
        <f>CO2afgift*$C$22 /1000 *3.6*K79</f>
        <v>471570.22284636094</v>
      </c>
      <c r="L92" s="18">
        <f>CO2afgift*$C$22 /1000 *3.6*L79</f>
        <v>500969.72778445273</v>
      </c>
      <c r="M92" s="18">
        <f>CO2afgift*$C$22 /1000 *3.6*M79</f>
        <v>472265.07388342184</v>
      </c>
      <c r="N92" s="18">
        <f>CO2afgift*$C$22 /1000 *3.6*N79</f>
        <v>350668.01553281065</v>
      </c>
      <c r="O92" s="18">
        <f>CO2afgift*$C$22 /1000 *3.6*O79</f>
        <v>175560.68760655398</v>
      </c>
      <c r="P92" s="18">
        <f>CO2afgift*$C$22 /1000 *3.6*P79</f>
        <v>240914.19888253912</v>
      </c>
      <c r="Q92" s="18">
        <f>CO2afgift*$C$22 /1000 *3.6*Q79</f>
        <v>264476.09084888344</v>
      </c>
      <c r="R92" s="18">
        <f>CO2afgift*$C$22 /1000 *3.6*R79</f>
        <v>279633.26884152833</v>
      </c>
      <c r="S92" s="18">
        <f>CO2afgift*$C$22 /1000 *3.6*S79</f>
        <v>399935.36117043445</v>
      </c>
      <c r="T92" s="18">
        <f>CO2afgift*$C$22 /1000 *3.6*T79</f>
        <v>458944.72239447682</v>
      </c>
      <c r="U92" s="18">
        <f>CO2afgift*$C$22 /1000 *3.6*U79</f>
        <v>459336.44902911579</v>
      </c>
      <c r="Y92"/>
      <c r="Z92"/>
      <c r="AG92" s="12"/>
      <c r="AI92" s="50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</row>
    <row r="93" spans="8:52" x14ac:dyDescent="0.25">
      <c r="H93" s="14" t="s">
        <v>117</v>
      </c>
      <c r="I93" s="14" t="s">
        <v>140</v>
      </c>
      <c r="J93" s="18">
        <f>J12*$C$23/1000*10.6*J60</f>
        <v>1827330.6720007241</v>
      </c>
      <c r="K93" s="18">
        <f t="shared" ref="K93:U93" si="36">K12*$C$23/1000*10.6*K60</f>
        <v>1782506.7250330446</v>
      </c>
      <c r="L93" s="18">
        <f t="shared" si="36"/>
        <v>2029021.1727219273</v>
      </c>
      <c r="M93" s="18">
        <f t="shared" si="36"/>
        <v>1716088.3672659104</v>
      </c>
      <c r="N93" s="18">
        <f t="shared" si="36"/>
        <v>994096.2543554008</v>
      </c>
      <c r="O93" s="18">
        <f t="shared" si="36"/>
        <v>400769.05208244361</v>
      </c>
      <c r="P93" s="18">
        <f t="shared" si="36"/>
        <v>499463.25130662025</v>
      </c>
      <c r="Q93" s="18">
        <f t="shared" si="36"/>
        <v>605650.80574912892</v>
      </c>
      <c r="R93" s="18">
        <f t="shared" si="36"/>
        <v>692283.64547038323</v>
      </c>
      <c r="S93" s="18">
        <f t="shared" si="36"/>
        <v>1216131.8597560977</v>
      </c>
      <c r="T93" s="18">
        <f t="shared" si="36"/>
        <v>1586172.2947334563</v>
      </c>
      <c r="U93" s="18">
        <f t="shared" si="36"/>
        <v>1622963.4146341465</v>
      </c>
      <c r="Y93"/>
      <c r="Z93"/>
      <c r="AG93" s="12"/>
      <c r="AI93" s="50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/>
      <c r="AY93" s="49"/>
      <c r="AZ93" s="49"/>
    </row>
    <row r="94" spans="8:52" x14ac:dyDescent="0.25">
      <c r="I94" s="14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Y94"/>
      <c r="Z94"/>
      <c r="AC94" s="3"/>
      <c r="AG94" s="12"/>
      <c r="AI94" s="50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/>
      <c r="AW94" s="49"/>
      <c r="AX94" s="49"/>
      <c r="AY94" s="49"/>
      <c r="AZ94" s="49"/>
    </row>
    <row r="95" spans="8:52" x14ac:dyDescent="0.25">
      <c r="H95" s="14" t="s">
        <v>120</v>
      </c>
      <c r="I95" s="14" t="s">
        <v>140</v>
      </c>
      <c r="J95" s="18">
        <f>SUM(J83:J86)</f>
        <v>15734580.289489966</v>
      </c>
      <c r="K95" s="18">
        <f t="shared" ref="K95:U95" si="37">SUM(K83:K86)</f>
        <v>15182640.522153243</v>
      </c>
      <c r="L95" s="18">
        <f t="shared" si="37"/>
        <v>17199880.882944107</v>
      </c>
      <c r="M95" s="18">
        <f t="shared" si="37"/>
        <v>14853254.158996999</v>
      </c>
      <c r="N95" s="18">
        <f t="shared" si="37"/>
        <v>8587024.1056747511</v>
      </c>
      <c r="O95" s="18">
        <f t="shared" si="37"/>
        <v>3125906.7450762615</v>
      </c>
      <c r="P95" s="18">
        <f t="shared" si="37"/>
        <v>4070627.266491476</v>
      </c>
      <c r="Q95" s="18">
        <f t="shared" si="37"/>
        <v>5040204.9782266784</v>
      </c>
      <c r="R95" s="18">
        <f t="shared" si="37"/>
        <v>5849174.8210333884</v>
      </c>
      <c r="S95" s="18">
        <f t="shared" si="37"/>
        <v>10614387.626177559</v>
      </c>
      <c r="T95" s="18">
        <f t="shared" si="37"/>
        <v>13909401.585373914</v>
      </c>
      <c r="U95" s="18">
        <f t="shared" si="37"/>
        <v>14249832.805443689</v>
      </c>
      <c r="Y95"/>
      <c r="Z95"/>
      <c r="AG95" s="12"/>
      <c r="AI95" s="50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</row>
    <row r="96" spans="8:52" x14ac:dyDescent="0.25">
      <c r="H96" s="14" t="s">
        <v>121</v>
      </c>
      <c r="I96" s="14" t="s">
        <v>140</v>
      </c>
      <c r="J96" s="18">
        <f>SUM(J88:J93)</f>
        <v>8188798.6563215032</v>
      </c>
      <c r="K96" s="18">
        <f t="shared" ref="K96:U96" si="38">SUM(K88:K93)</f>
        <v>8011710.1433246685</v>
      </c>
      <c r="L96" s="18">
        <f t="shared" si="38"/>
        <v>8830741.1271111201</v>
      </c>
      <c r="M96" s="18">
        <f t="shared" si="38"/>
        <v>7861579.3418930732</v>
      </c>
      <c r="N96" s="18">
        <f t="shared" si="38"/>
        <v>5181006.5550240781</v>
      </c>
      <c r="O96" s="18">
        <f t="shared" si="38"/>
        <v>2359925.9001721269</v>
      </c>
      <c r="P96" s="18">
        <f t="shared" si="38"/>
        <v>3127202.138138229</v>
      </c>
      <c r="Q96" s="18">
        <f t="shared" si="38"/>
        <v>3568111.7963860496</v>
      </c>
      <c r="R96" s="18">
        <f t="shared" si="38"/>
        <v>3895064.9824968171</v>
      </c>
      <c r="S96" s="18">
        <f t="shared" si="38"/>
        <v>6102937.9754248783</v>
      </c>
      <c r="T96" s="18">
        <f t="shared" si="38"/>
        <v>7448081.2133319844</v>
      </c>
      <c r="U96" s="18">
        <f t="shared" si="38"/>
        <v>7538336.5786664719</v>
      </c>
      <c r="Y96"/>
      <c r="Z96"/>
      <c r="AG96" s="12"/>
      <c r="AI96" s="50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</row>
    <row r="97" spans="8:52" x14ac:dyDescent="0.25">
      <c r="H97" s="14" t="s">
        <v>122</v>
      </c>
      <c r="I97" s="14" t="s">
        <v>140</v>
      </c>
      <c r="J97" s="18">
        <f>J95-J96</f>
        <v>7545781.6331684627</v>
      </c>
      <c r="K97" s="18">
        <f t="shared" ref="K97:U97" si="39">K95-K96</f>
        <v>7170930.3788285749</v>
      </c>
      <c r="L97" s="18">
        <f t="shared" si="39"/>
        <v>8369139.7558329869</v>
      </c>
      <c r="M97" s="18">
        <f t="shared" si="39"/>
        <v>6991674.8171039261</v>
      </c>
      <c r="N97" s="18">
        <f t="shared" si="39"/>
        <v>3406017.550650673</v>
      </c>
      <c r="O97" s="18">
        <f t="shared" si="39"/>
        <v>765980.84490413452</v>
      </c>
      <c r="P97" s="18">
        <f t="shared" si="39"/>
        <v>943425.12835324695</v>
      </c>
      <c r="Q97" s="18">
        <f t="shared" si="39"/>
        <v>1472093.1818406289</v>
      </c>
      <c r="R97" s="18">
        <f t="shared" si="39"/>
        <v>1954109.8385365712</v>
      </c>
      <c r="S97" s="18">
        <f t="shared" si="39"/>
        <v>4511449.6507526804</v>
      </c>
      <c r="T97" s="18">
        <f t="shared" si="39"/>
        <v>6461320.3720419295</v>
      </c>
      <c r="U97" s="18">
        <f t="shared" si="39"/>
        <v>6711496.2267772174</v>
      </c>
      <c r="Y97"/>
      <c r="Z97"/>
      <c r="AG97" s="12"/>
      <c r="AI97" s="50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</row>
    <row r="98" spans="8:52" x14ac:dyDescent="0.25">
      <c r="Y98"/>
      <c r="Z98"/>
      <c r="AG98" s="12"/>
      <c r="AI98" s="50"/>
      <c r="AJ98" s="49"/>
      <c r="AK98" s="49"/>
      <c r="AL98" s="49"/>
      <c r="AM98" s="49"/>
      <c r="AN98" s="49"/>
      <c r="AO98" s="49"/>
      <c r="AP98" s="49"/>
      <c r="AQ98" s="49"/>
      <c r="AR98" s="49"/>
      <c r="AS98" s="49"/>
      <c r="AT98" s="49"/>
      <c r="AU98" s="49"/>
      <c r="AV98" s="49"/>
      <c r="AW98" s="49"/>
      <c r="AX98" s="49"/>
      <c r="AY98" s="49"/>
      <c r="AZ98" s="49"/>
    </row>
    <row r="99" spans="8:52" x14ac:dyDescent="0.25">
      <c r="Y99"/>
      <c r="Z99"/>
      <c r="AG99" s="12"/>
      <c r="AI99" s="50"/>
      <c r="AJ99" s="49"/>
      <c r="AK99" s="49"/>
      <c r="AL99" s="49"/>
      <c r="AM99" s="49"/>
      <c r="AN99" s="49"/>
      <c r="AO99" s="49"/>
      <c r="AP99" s="49"/>
      <c r="AQ99" s="49"/>
      <c r="AR99" s="49"/>
      <c r="AS99" s="49"/>
      <c r="AT99" s="49"/>
      <c r="AU99" s="49"/>
      <c r="AV99" s="49"/>
      <c r="AW99" s="49"/>
      <c r="AX99" s="49"/>
      <c r="AY99" s="49"/>
      <c r="AZ99" s="49"/>
    </row>
    <row r="100" spans="8:52" x14ac:dyDescent="0.25">
      <c r="AG100" s="12"/>
      <c r="AI100" s="50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</row>
    <row r="101" spans="8:52" x14ac:dyDescent="0.25">
      <c r="AG101" s="12"/>
      <c r="AI101" s="50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</row>
    <row r="102" spans="8:52" x14ac:dyDescent="0.25">
      <c r="AI102" s="50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</row>
    <row r="103" spans="8:52" x14ac:dyDescent="0.25">
      <c r="AC103" s="3"/>
      <c r="AD103" s="72"/>
      <c r="AE103" s="15"/>
      <c r="AF103" s="15"/>
      <c r="AG103" s="3"/>
      <c r="AI103" s="50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</row>
    <row r="104" spans="8:52" x14ac:dyDescent="0.25">
      <c r="AC104" s="14"/>
      <c r="AD104" s="73"/>
      <c r="AE104" s="17"/>
      <c r="AF104" s="17"/>
      <c r="AG104" s="18"/>
      <c r="AI104" s="50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/>
      <c r="AY104" s="49"/>
      <c r="AZ104" s="49"/>
    </row>
    <row r="105" spans="8:52" x14ac:dyDescent="0.25">
      <c r="AC105" s="14"/>
      <c r="AD105" s="73"/>
      <c r="AE105" s="17"/>
      <c r="AF105" s="17"/>
      <c r="AG105" s="18"/>
      <c r="AI105" s="50"/>
      <c r="AJ105" s="49"/>
      <c r="AK105" s="49"/>
      <c r="AL105" s="49"/>
      <c r="AM105" s="49"/>
      <c r="AN105" s="49"/>
      <c r="AO105" s="49"/>
      <c r="AP105" s="49"/>
      <c r="AQ105" s="49"/>
      <c r="AR105" s="49"/>
      <c r="AS105" s="49"/>
      <c r="AT105" s="49"/>
      <c r="AU105" s="49"/>
      <c r="AV105" s="49"/>
      <c r="AW105" s="49"/>
      <c r="AX105" s="49"/>
      <c r="AY105" s="49"/>
      <c r="AZ105" s="49"/>
    </row>
    <row r="106" spans="8:52" x14ac:dyDescent="0.25">
      <c r="AC106" s="14"/>
      <c r="AD106" s="73"/>
      <c r="AE106" s="17"/>
      <c r="AF106" s="17"/>
      <c r="AG106" s="18"/>
      <c r="AI106" s="50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/>
      <c r="AY106" s="49"/>
      <c r="AZ106" s="49"/>
    </row>
    <row r="107" spans="8:52" x14ac:dyDescent="0.25">
      <c r="AC107" s="14"/>
      <c r="AD107" s="73"/>
      <c r="AE107" s="17"/>
      <c r="AF107" s="17"/>
      <c r="AG107" s="18"/>
      <c r="AI107" s="50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/>
      <c r="AT107" s="49"/>
      <c r="AU107" s="49"/>
      <c r="AV107" s="49"/>
      <c r="AW107" s="49"/>
      <c r="AX107" s="49"/>
      <c r="AY107" s="49"/>
      <c r="AZ107" s="49"/>
    </row>
    <row r="108" spans="8:52" x14ac:dyDescent="0.25">
      <c r="AD108" s="73"/>
      <c r="AE108" s="18"/>
      <c r="AF108" s="18"/>
      <c r="AG108" s="18"/>
      <c r="AI108" s="50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/>
      <c r="AY108" s="49"/>
      <c r="AZ108" s="49"/>
    </row>
    <row r="109" spans="8:52" x14ac:dyDescent="0.25">
      <c r="AC109" s="14"/>
      <c r="AD109" s="73"/>
      <c r="AE109" s="18"/>
      <c r="AF109" s="18"/>
      <c r="AG109" s="18"/>
      <c r="AI109" s="50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/>
      <c r="AT109" s="49"/>
      <c r="AU109" s="49"/>
      <c r="AV109" s="49"/>
      <c r="AW109" s="49"/>
      <c r="AX109" s="49"/>
      <c r="AY109" s="49"/>
      <c r="AZ109" s="49"/>
    </row>
    <row r="110" spans="8:52" x14ac:dyDescent="0.25">
      <c r="AC110" s="14"/>
      <c r="AD110" s="73"/>
      <c r="AE110" s="17"/>
      <c r="AF110" s="17"/>
      <c r="AG110" s="18"/>
      <c r="AI110" s="50"/>
      <c r="AJ110" s="49"/>
      <c r="AK110" s="49"/>
      <c r="AL110" s="49"/>
      <c r="AM110" s="49"/>
      <c r="AN110" s="49"/>
      <c r="AO110" s="49"/>
      <c r="AP110" s="49"/>
      <c r="AQ110" s="49"/>
      <c r="AR110" s="49"/>
      <c r="AS110" s="49"/>
      <c r="AT110" s="49"/>
      <c r="AU110" s="49"/>
      <c r="AV110" s="49"/>
      <c r="AW110" s="49"/>
      <c r="AX110" s="49"/>
      <c r="AY110" s="49"/>
      <c r="AZ110" s="49"/>
    </row>
    <row r="111" spans="8:52" x14ac:dyDescent="0.25">
      <c r="AC111" s="14"/>
      <c r="AD111" s="73"/>
      <c r="AE111" s="17"/>
      <c r="AF111" s="17"/>
      <c r="AG111" s="18"/>
      <c r="AI111" s="50"/>
      <c r="AJ111" s="49"/>
      <c r="AK111" s="49"/>
      <c r="AL111" s="49"/>
      <c r="AM111" s="49"/>
      <c r="AN111" s="49"/>
      <c r="AO111" s="49"/>
      <c r="AP111" s="49"/>
      <c r="AQ111" s="49"/>
      <c r="AR111" s="49"/>
      <c r="AS111" s="49"/>
      <c r="AT111" s="49"/>
      <c r="AU111" s="49"/>
      <c r="AV111" s="49"/>
      <c r="AW111" s="49"/>
      <c r="AX111" s="49"/>
      <c r="AY111" s="49"/>
      <c r="AZ111" s="49"/>
    </row>
    <row r="112" spans="8:52" x14ac:dyDescent="0.25">
      <c r="AC112" s="14"/>
      <c r="AD112" s="73"/>
      <c r="AE112" s="18"/>
      <c r="AF112" s="18"/>
      <c r="AG112" s="18"/>
      <c r="AI112" s="50"/>
      <c r="AJ112" s="49"/>
      <c r="AK112" s="49"/>
      <c r="AL112" s="49"/>
      <c r="AM112" s="49"/>
      <c r="AN112" s="49"/>
      <c r="AO112" s="49"/>
      <c r="AP112" s="49"/>
      <c r="AQ112" s="49"/>
      <c r="AR112" s="49"/>
      <c r="AS112" s="49"/>
      <c r="AT112" s="49"/>
      <c r="AU112" s="49"/>
      <c r="AV112" s="49"/>
      <c r="AW112" s="49"/>
      <c r="AX112" s="49"/>
      <c r="AY112" s="49"/>
      <c r="AZ112" s="49"/>
    </row>
    <row r="113" spans="29:52" x14ac:dyDescent="0.25">
      <c r="AC113" s="14"/>
      <c r="AD113" s="73"/>
      <c r="AE113" s="18"/>
      <c r="AF113" s="18"/>
      <c r="AG113" s="18"/>
      <c r="AI113" s="50"/>
      <c r="AJ113" s="49"/>
      <c r="AK113" s="49"/>
      <c r="AL113" s="49"/>
      <c r="AM113" s="49"/>
      <c r="AN113" s="49"/>
      <c r="AO113" s="49"/>
      <c r="AP113" s="49"/>
      <c r="AQ113" s="49"/>
      <c r="AR113" s="49"/>
      <c r="AS113" s="49"/>
      <c r="AT113" s="49"/>
      <c r="AU113" s="49"/>
      <c r="AV113" s="49"/>
      <c r="AW113" s="49"/>
      <c r="AX113" s="49"/>
      <c r="AY113" s="49"/>
      <c r="AZ113" s="49"/>
    </row>
    <row r="114" spans="29:52" x14ac:dyDescent="0.25">
      <c r="AC114" s="14"/>
      <c r="AD114" s="73"/>
      <c r="AE114" s="18"/>
      <c r="AF114" s="18"/>
      <c r="AG114" s="18"/>
      <c r="AI114" s="50"/>
      <c r="AJ114" s="49"/>
      <c r="AK114" s="49"/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49"/>
      <c r="AW114" s="49"/>
      <c r="AX114" s="49"/>
      <c r="AY114" s="49"/>
      <c r="AZ114" s="49"/>
    </row>
    <row r="115" spans="29:52" x14ac:dyDescent="0.25">
      <c r="AD115" s="73"/>
      <c r="AE115" s="18"/>
      <c r="AF115" s="18"/>
      <c r="AG115" s="18"/>
      <c r="AI115" s="50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/>
      <c r="AT115" s="49"/>
      <c r="AU115" s="49"/>
      <c r="AV115" s="49"/>
      <c r="AW115" s="49"/>
      <c r="AX115" s="49"/>
      <c r="AY115" s="49"/>
      <c r="AZ115" s="49"/>
    </row>
    <row r="116" spans="29:52" x14ac:dyDescent="0.25">
      <c r="AC116" s="14"/>
      <c r="AD116" s="73"/>
      <c r="AE116" s="18"/>
      <c r="AF116" s="18"/>
      <c r="AG116" s="18"/>
      <c r="AI116" s="50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/>
      <c r="AY116" s="49"/>
      <c r="AZ116" s="49"/>
    </row>
    <row r="117" spans="29:52" x14ac:dyDescent="0.25">
      <c r="AC117" s="14"/>
      <c r="AD117" s="73"/>
      <c r="AE117" s="18"/>
      <c r="AF117" s="18"/>
      <c r="AG117" s="18"/>
      <c r="AI117" s="50"/>
      <c r="AJ117" s="49"/>
      <c r="AK117" s="49"/>
      <c r="AL117" s="49"/>
      <c r="AM117" s="49"/>
      <c r="AN117" s="49"/>
      <c r="AO117" s="49"/>
      <c r="AP117" s="49"/>
      <c r="AQ117" s="49"/>
      <c r="AR117" s="49"/>
      <c r="AS117" s="49"/>
      <c r="AT117" s="49"/>
      <c r="AU117" s="49"/>
      <c r="AV117" s="49"/>
      <c r="AW117" s="49"/>
      <c r="AX117" s="49"/>
      <c r="AY117" s="49"/>
      <c r="AZ117" s="49"/>
    </row>
    <row r="118" spans="29:52" x14ac:dyDescent="0.25">
      <c r="AC118" s="14"/>
      <c r="AD118" s="73"/>
      <c r="AE118" s="18"/>
      <c r="AF118" s="18"/>
      <c r="AG118" s="18"/>
      <c r="AI118" s="50"/>
      <c r="AJ118" s="49"/>
      <c r="AK118" s="49"/>
      <c r="AL118" s="49"/>
      <c r="AM118" s="49"/>
      <c r="AN118" s="49"/>
      <c r="AO118" s="49"/>
      <c r="AP118" s="49"/>
      <c r="AQ118" s="49"/>
      <c r="AR118" s="49"/>
      <c r="AS118" s="49"/>
      <c r="AT118" s="49"/>
      <c r="AU118" s="49"/>
      <c r="AV118" s="49"/>
      <c r="AW118" s="49"/>
      <c r="AX118" s="49"/>
      <c r="AY118" s="49"/>
      <c r="AZ118" s="49"/>
    </row>
    <row r="119" spans="29:52" x14ac:dyDescent="0.25">
      <c r="AI119" s="50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</row>
    <row r="120" spans="29:52" x14ac:dyDescent="0.25">
      <c r="AI120" s="50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/>
      <c r="AY120" s="49"/>
      <c r="AZ120" s="49"/>
    </row>
    <row r="121" spans="29:52" x14ac:dyDescent="0.25">
      <c r="AI121" s="50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/>
      <c r="AY121" s="49"/>
      <c r="AZ121" s="49"/>
    </row>
    <row r="122" spans="29:52" x14ac:dyDescent="0.25">
      <c r="AI122" s="50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  <c r="AT122" s="49"/>
      <c r="AU122" s="49"/>
      <c r="AV122" s="49"/>
      <c r="AW122" s="49"/>
      <c r="AX122" s="49"/>
      <c r="AY122" s="49"/>
      <c r="AZ122" s="49"/>
    </row>
  </sheetData>
  <scenarios current="9" show="9" sqref="Q5:Q36">
    <scenario name="RGK 10 %" locked="1" count="1" user="Mogens Bech Laursen" comment="Created by Mogens Bech Laursen on 16-03-2022">
      <inputCells r="J9" val="0,1" numFmtId="9"/>
    </scenario>
    <scenario name="RGK 20 %" locked="1" count="1" user="Mogens Bech Laursen" comment="Created by Mogens Bech Laursen on 16-03-2022">
      <inputCells r="J9" val="0,2" numFmtId="9"/>
    </scenario>
    <scenario name="RGK 30 %" locked="1" count="1" user="Mogens Bech Laursen" comment="Created by Mogens Bech Laursen on 16-03-2022">
      <inputCells r="J9" val="0,3" numFmtId="9"/>
    </scenario>
    <scenario name="RGK 40 %" locked="1" count="1" user="Mogens Bech Laursen" comment="Created by Mogens Bech Laursen on 16-03-2022">
      <inputCells r="J9" val="0,4" numFmtId="9"/>
    </scenario>
    <scenario name="RGK 50 %" locked="1" count="1" user="Mogens Bech Laursen" comment="Created by Mogens Bech Laursen on 16-03-2022">
      <inputCells r="J9" val="0,5" numFmtId="9"/>
    </scenario>
    <scenario name="RGK 60 %" locked="1" count="1" user="Mogens Bech Laursen" comment="Created by Mogens Bech Laursen on 16-03-2022">
      <inputCells r="J9" val="0,6" numFmtId="9"/>
    </scenario>
    <scenario name="RGK 70 %" locked="1" count="1" user="Mogens Bech Laursen" comment="Created by Mogens Bech Laursen on 16-03-2022">
      <inputCells r="J9" val="0,7" numFmtId="9"/>
    </scenario>
    <scenario name="RGK 80 %" locked="1" count="1" user="Mogens Bech Laursen" comment="Created by Mogens Bech Laursen on 16-03-2022">
      <inputCells r="J9" val="0,8" numFmtId="9"/>
    </scenario>
    <scenario name="RGK 90 %" locked="1" count="1" user="Mogens Bech Laursen" comment="Created by Mogens Bech Laursen on 16-03-2022">
      <inputCells r="J9" val="0,9" numFmtId="9"/>
    </scenario>
    <scenario name="RGK 100 %" locked="1" count="1" user="Mogens Bech Laursen" comment="Created by Mogens Bech Laursen on 16-03-2022">
      <inputCells r="J9" val="1" numFmtId="9"/>
    </scenario>
  </scenarios>
  <mergeCells count="3">
    <mergeCell ref="H1:M1"/>
    <mergeCell ref="W1:AM1"/>
    <mergeCell ref="AC48:AG48"/>
  </mergeCells>
  <phoneticPr fontId="14" type="noConversion"/>
  <conditionalFormatting sqref="J39:J97 L81 K39:U80 K82:U9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15981-8FA1-4768-995A-36FC6A3C9262}">
  <sheetPr codeName="Sheet3">
    <outlinePr summaryBelow="0"/>
  </sheetPr>
  <dimension ref="A1:N42"/>
  <sheetViews>
    <sheetView showGridLines="0" zoomScale="85" zoomScaleNormal="85" workbookViewId="0">
      <selection activeCell="Q31" sqref="Q31"/>
    </sheetView>
  </sheetViews>
  <sheetFormatPr defaultRowHeight="15" outlineLevelRow="1" outlineLevelCol="1" x14ac:dyDescent="0.25"/>
  <cols>
    <col min="1" max="1" width="31.28515625" bestFit="1" customWidth="1"/>
    <col min="2" max="2" width="4.5703125" customWidth="1"/>
    <col min="3" max="3" width="8.5703125" customWidth="1"/>
    <col min="4" max="14" width="13.140625" bestFit="1" customWidth="1" outlineLevel="1"/>
    <col min="15" max="15" width="18.42578125" customWidth="1"/>
  </cols>
  <sheetData>
    <row r="1" spans="1:14" ht="15.75" thickBot="1" x14ac:dyDescent="0.3"/>
    <row r="2" spans="1:14" ht="15.75" x14ac:dyDescent="0.25">
      <c r="B2" s="27" t="s">
        <v>197</v>
      </c>
      <c r="C2" s="27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15.75" collapsed="1" x14ac:dyDescent="0.25">
      <c r="B3" s="26"/>
      <c r="C3" s="26"/>
      <c r="D3" s="33" t="s">
        <v>199</v>
      </c>
      <c r="E3" s="33" t="s">
        <v>186</v>
      </c>
      <c r="F3" s="33" t="s">
        <v>188</v>
      </c>
      <c r="G3" s="33" t="s">
        <v>189</v>
      </c>
      <c r="H3" s="33" t="s">
        <v>190</v>
      </c>
      <c r="I3" s="33" t="s">
        <v>191</v>
      </c>
      <c r="J3" s="33" t="s">
        <v>192</v>
      </c>
      <c r="K3" s="33" t="s">
        <v>193</v>
      </c>
      <c r="L3" s="33" t="s">
        <v>194</v>
      </c>
      <c r="M3" s="33" t="s">
        <v>195</v>
      </c>
      <c r="N3" s="33" t="s">
        <v>196</v>
      </c>
    </row>
    <row r="4" spans="1:14" ht="45" hidden="1" outlineLevel="1" x14ac:dyDescent="0.25">
      <c r="B4" s="29"/>
      <c r="C4" s="29"/>
      <c r="D4" s="21"/>
      <c r="E4" s="35" t="s">
        <v>187</v>
      </c>
      <c r="F4" s="35" t="s">
        <v>187</v>
      </c>
      <c r="G4" s="35" t="s">
        <v>187</v>
      </c>
      <c r="H4" s="35" t="s">
        <v>187</v>
      </c>
      <c r="I4" s="35" t="s">
        <v>187</v>
      </c>
      <c r="J4" s="35" t="s">
        <v>187</v>
      </c>
      <c r="K4" s="35" t="s">
        <v>187</v>
      </c>
      <c r="L4" s="35" t="s">
        <v>187</v>
      </c>
      <c r="M4" s="35" t="s">
        <v>187</v>
      </c>
      <c r="N4" s="35" t="s">
        <v>187</v>
      </c>
    </row>
    <row r="5" spans="1:14" x14ac:dyDescent="0.25">
      <c r="B5" s="30" t="s">
        <v>198</v>
      </c>
      <c r="C5" s="30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outlineLevel="1" x14ac:dyDescent="0.25">
      <c r="B6" s="29"/>
      <c r="C6" s="29" t="s">
        <v>153</v>
      </c>
      <c r="D6" s="22">
        <v>1</v>
      </c>
      <c r="E6" s="34">
        <v>0.1</v>
      </c>
      <c r="F6" s="34">
        <v>0.2</v>
      </c>
      <c r="G6" s="34">
        <v>0.3</v>
      </c>
      <c r="H6" s="34">
        <v>0.4</v>
      </c>
      <c r="I6" s="34">
        <v>0.5</v>
      </c>
      <c r="J6" s="34">
        <v>0.6</v>
      </c>
      <c r="K6" s="34">
        <v>0.7</v>
      </c>
      <c r="L6" s="34">
        <v>0.8</v>
      </c>
      <c r="M6" s="34">
        <v>0.9</v>
      </c>
      <c r="N6" s="34">
        <v>1</v>
      </c>
    </row>
    <row r="7" spans="1:14" x14ac:dyDescent="0.25">
      <c r="B7" s="30" t="s">
        <v>200</v>
      </c>
      <c r="C7" s="30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outlineLevel="1" x14ac:dyDescent="0.25">
      <c r="A8" s="5" t="str">
        <f>'Model-1'!N49</f>
        <v>Indtægter total</v>
      </c>
      <c r="B8" s="29"/>
      <c r="C8" s="29" t="s">
        <v>154</v>
      </c>
      <c r="D8" s="23">
        <v>6959978.0260043005</v>
      </c>
      <c r="E8" s="23">
        <v>7549301.93019199</v>
      </c>
      <c r="F8" s="23">
        <v>7471613.2799224304</v>
      </c>
      <c r="G8" s="23">
        <v>7397463.2431226997</v>
      </c>
      <c r="H8" s="23">
        <v>7326615.4346824698</v>
      </c>
      <c r="I8" s="23">
        <v>7258854.0654218197</v>
      </c>
      <c r="J8" s="23">
        <v>7193981.7467885604</v>
      </c>
      <c r="K8" s="23">
        <v>7131817.5704891402</v>
      </c>
      <c r="L8" s="23">
        <v>7072195.4237038204</v>
      </c>
      <c r="M8" s="23">
        <v>7014962.5068443203</v>
      </c>
      <c r="N8" s="23">
        <v>6959978.0260043005</v>
      </c>
    </row>
    <row r="9" spans="1:14" outlineLevel="1" x14ac:dyDescent="0.25">
      <c r="A9" s="5" t="str">
        <f>'Model-1'!N50</f>
        <v>Omkostninger total</v>
      </c>
      <c r="B9" s="29"/>
      <c r="C9" s="29" t="s">
        <v>155</v>
      </c>
      <c r="D9" s="23">
        <v>4024359.2875764999</v>
      </c>
      <c r="E9" s="23">
        <v>4123321.3703158302</v>
      </c>
      <c r="F9" s="23">
        <v>4110275.5213671499</v>
      </c>
      <c r="G9" s="23">
        <v>4097823.8932815501</v>
      </c>
      <c r="H9" s="23">
        <v>4085926.79114307</v>
      </c>
      <c r="I9" s="23">
        <v>4074547.97860272</v>
      </c>
      <c r="J9" s="23">
        <v>4063654.3092326801</v>
      </c>
      <c r="K9" s="23">
        <v>4053215.4040488801</v>
      </c>
      <c r="L9" s="23">
        <v>4043203.3685937799</v>
      </c>
      <c r="M9" s="23">
        <v>4033592.5440312298</v>
      </c>
      <c r="N9" s="23">
        <v>4024359.2875764999</v>
      </c>
    </row>
    <row r="10" spans="1:14" outlineLevel="1" x14ac:dyDescent="0.25">
      <c r="A10" s="5" t="str">
        <f>'Model-1'!N51</f>
        <v>Dækningsbidrag</v>
      </c>
      <c r="B10" s="29"/>
      <c r="C10" s="29" t="s">
        <v>156</v>
      </c>
      <c r="D10" s="23">
        <v>2935618.7384278099</v>
      </c>
      <c r="E10" s="23">
        <v>3425980.5598761602</v>
      </c>
      <c r="F10" s="23">
        <v>3361337.75855528</v>
      </c>
      <c r="G10" s="23">
        <v>3299639.34984115</v>
      </c>
      <c r="H10" s="23">
        <v>3240688.6435393998</v>
      </c>
      <c r="I10" s="23">
        <v>3184306.0868191002</v>
      </c>
      <c r="J10" s="23">
        <v>3130327.4375558798</v>
      </c>
      <c r="K10" s="23">
        <v>3078602.1664402601</v>
      </c>
      <c r="L10" s="23">
        <v>3028992.0551100401</v>
      </c>
      <c r="M10" s="23">
        <v>2981369.9628130901</v>
      </c>
      <c r="N10" s="23">
        <v>2935618.7384278099</v>
      </c>
    </row>
    <row r="11" spans="1:14" outlineLevel="1" x14ac:dyDescent="0.25">
      <c r="A11" s="5">
        <f>'Model-1'!N52</f>
        <v>0</v>
      </c>
      <c r="B11" s="29"/>
      <c r="C11" s="29" t="s">
        <v>157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outlineLevel="1" x14ac:dyDescent="0.25">
      <c r="A12" s="5" t="str">
        <f>'Model-1'!N53</f>
        <v>Varmesalg</v>
      </c>
      <c r="B12" s="29"/>
      <c r="C12" s="29" t="s">
        <v>158</v>
      </c>
      <c r="D12" s="23">
        <v>2177000</v>
      </c>
      <c r="E12" s="23">
        <v>2177000</v>
      </c>
      <c r="F12" s="23">
        <v>2177000</v>
      </c>
      <c r="G12" s="23">
        <v>2177000</v>
      </c>
      <c r="H12" s="23">
        <v>2177000</v>
      </c>
      <c r="I12" s="23">
        <v>2177000</v>
      </c>
      <c r="J12" s="23">
        <v>2177000</v>
      </c>
      <c r="K12" s="23">
        <v>2177000</v>
      </c>
      <c r="L12" s="23">
        <v>2177000</v>
      </c>
      <c r="M12" s="23">
        <v>2177000</v>
      </c>
      <c r="N12" s="23">
        <v>2177000</v>
      </c>
    </row>
    <row r="13" spans="1:14" outlineLevel="1" x14ac:dyDescent="0.25">
      <c r="A13" s="5" t="str">
        <f>'Model-1'!N54</f>
        <v>Elsalg</v>
      </c>
      <c r="B13" s="29"/>
      <c r="C13" s="29" t="s">
        <v>159</v>
      </c>
      <c r="D13" s="23">
        <v>3572432.8323170701</v>
      </c>
      <c r="E13" s="23">
        <v>3901791.4996825601</v>
      </c>
      <c r="F13" s="23">
        <v>3858373.21961554</v>
      </c>
      <c r="G13" s="23">
        <v>3816932.5837751902</v>
      </c>
      <c r="H13" s="23">
        <v>3777337.4823244801</v>
      </c>
      <c r="I13" s="23">
        <v>3739467.3159864801</v>
      </c>
      <c r="J13" s="23">
        <v>3703211.7691435101</v>
      </c>
      <c r="K13" s="23">
        <v>3668469.7365899901</v>
      </c>
      <c r="L13" s="23">
        <v>3635148.38194759</v>
      </c>
      <c r="M13" s="23">
        <v>3603162.3092762898</v>
      </c>
      <c r="N13" s="23">
        <v>3572432.8323170701</v>
      </c>
    </row>
    <row r="14" spans="1:14" outlineLevel="1" x14ac:dyDescent="0.25">
      <c r="A14" s="5" t="str">
        <f>'Model-1'!N55</f>
        <v>RGK-rabat</v>
      </c>
      <c r="B14" s="29"/>
      <c r="C14" s="29" t="s">
        <v>160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</row>
    <row r="15" spans="1:14" outlineLevel="1" x14ac:dyDescent="0.25">
      <c r="A15" s="5" t="str">
        <f>'Model-1'!N56</f>
        <v>Modtagebetaling affald</v>
      </c>
      <c r="B15" s="29"/>
      <c r="C15" s="29" t="s">
        <v>161</v>
      </c>
      <c r="D15" s="23">
        <v>1210545.1936872301</v>
      </c>
      <c r="E15" s="23">
        <v>1470510.4305094299</v>
      </c>
      <c r="F15" s="23">
        <v>1436240.0603068799</v>
      </c>
      <c r="G15" s="23">
        <v>1403530.65934751</v>
      </c>
      <c r="H15" s="23">
        <v>1372277.95235799</v>
      </c>
      <c r="I15" s="23">
        <v>1342386.7494353401</v>
      </c>
      <c r="J15" s="23">
        <v>1313769.97764506</v>
      </c>
      <c r="K15" s="23">
        <v>1286347.8338991499</v>
      </c>
      <c r="L15" s="23">
        <v>1260047.0417562299</v>
      </c>
      <c r="M15" s="23">
        <v>1234800.1975680301</v>
      </c>
      <c r="N15" s="23">
        <v>1210545.1936872301</v>
      </c>
    </row>
    <row r="16" spans="1:14" outlineLevel="1" x14ac:dyDescent="0.25">
      <c r="A16" s="5">
        <f>'Model-1'!N57</f>
        <v>0</v>
      </c>
      <c r="B16" s="29"/>
      <c r="C16" s="29" t="s">
        <v>162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 outlineLevel="1" x14ac:dyDescent="0.25">
      <c r="A17" s="5" t="str">
        <f>'Model-1'!N58</f>
        <v>Betaling bioaffald</v>
      </c>
      <c r="B17" s="29"/>
      <c r="C17" s="29" t="s">
        <v>163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</row>
    <row r="18" spans="1:14" outlineLevel="1" x14ac:dyDescent="0.25">
      <c r="A18" s="5" t="str">
        <f>'Model-1'!N59</f>
        <v>DV-omkostninger</v>
      </c>
      <c r="B18" s="29"/>
      <c r="C18" s="29" t="s">
        <v>164</v>
      </c>
      <c r="D18" s="23">
        <v>1006435.87933248</v>
      </c>
      <c r="E18" s="23">
        <v>993050.77926815301</v>
      </c>
      <c r="F18" s="23">
        <v>994815.29340092698</v>
      </c>
      <c r="G18" s="23">
        <v>996499.43628955702</v>
      </c>
      <c r="H18" s="23">
        <v>998108.57686330995</v>
      </c>
      <c r="I18" s="23">
        <v>999647.61626355199</v>
      </c>
      <c r="J18" s="23">
        <v>1001121.03770487</v>
      </c>
      <c r="K18" s="23">
        <v>1002532.95009171</v>
      </c>
      <c r="L18" s="23">
        <v>1003887.12628429</v>
      </c>
      <c r="M18" s="23">
        <v>1005187.03676424</v>
      </c>
      <c r="N18" s="23">
        <v>1006435.87933248</v>
      </c>
    </row>
    <row r="19" spans="1:14" outlineLevel="1" x14ac:dyDescent="0.25">
      <c r="A19" s="5" t="str">
        <f>'Model-1'!N60</f>
        <v>Affaldvarme-afgift</v>
      </c>
      <c r="B19" s="29"/>
      <c r="C19" s="29" t="s">
        <v>165</v>
      </c>
      <c r="D19" s="23">
        <v>650160</v>
      </c>
      <c r="E19" s="23">
        <v>650160</v>
      </c>
      <c r="F19" s="23">
        <v>650160</v>
      </c>
      <c r="G19" s="23">
        <v>650160</v>
      </c>
      <c r="H19" s="23">
        <v>650160</v>
      </c>
      <c r="I19" s="23">
        <v>650160</v>
      </c>
      <c r="J19" s="23">
        <v>650160</v>
      </c>
      <c r="K19" s="23">
        <v>650160</v>
      </c>
      <c r="L19" s="23">
        <v>650160</v>
      </c>
      <c r="M19" s="23">
        <v>650160</v>
      </c>
      <c r="N19" s="23">
        <v>650160</v>
      </c>
    </row>
    <row r="20" spans="1:14" outlineLevel="1" x14ac:dyDescent="0.25">
      <c r="A20" s="5" t="str">
        <f>'Model-1'!N61</f>
        <v>Tillægsafgift</v>
      </c>
      <c r="B20" s="29"/>
      <c r="C20" s="29" t="s">
        <v>166</v>
      </c>
      <c r="D20" s="23">
        <v>1509008.76178354</v>
      </c>
      <c r="E20" s="23">
        <v>1505061.42298119</v>
      </c>
      <c r="F20" s="23">
        <v>1505581.7877950601</v>
      </c>
      <c r="G20" s="23">
        <v>1506078.45069194</v>
      </c>
      <c r="H20" s="23">
        <v>1506552.9949982699</v>
      </c>
      <c r="I20" s="23">
        <v>1507006.8660873</v>
      </c>
      <c r="J20" s="23">
        <v>1507441.3860833801</v>
      </c>
      <c r="K20" s="23">
        <v>1507857.76672479</v>
      </c>
      <c r="L20" s="23">
        <v>1508257.1206485201</v>
      </c>
      <c r="M20" s="23">
        <v>1508640.4713184701</v>
      </c>
      <c r="N20" s="23">
        <v>1509008.76178354</v>
      </c>
    </row>
    <row r="21" spans="1:14" outlineLevel="1" x14ac:dyDescent="0.25">
      <c r="A21" s="5" t="str">
        <f>'Model-1'!N62</f>
        <v>CO2-afgift</v>
      </c>
      <c r="B21" s="29"/>
      <c r="C21" s="29" t="s">
        <v>167</v>
      </c>
      <c r="D21" s="23">
        <v>313404.03670438298</v>
      </c>
      <c r="E21" s="23">
        <v>312584.21912199003</v>
      </c>
      <c r="F21" s="23">
        <v>312692.293002908</v>
      </c>
      <c r="G21" s="23">
        <v>312795.44426399103</v>
      </c>
      <c r="H21" s="23">
        <v>312894.00174421701</v>
      </c>
      <c r="I21" s="23">
        <v>312988.26563124399</v>
      </c>
      <c r="J21" s="23">
        <v>313078.51051533601</v>
      </c>
      <c r="K21" s="23">
        <v>313164.98806081299</v>
      </c>
      <c r="L21" s="23">
        <v>313247.92934978398</v>
      </c>
      <c r="M21" s="23">
        <v>313327.54694411502</v>
      </c>
      <c r="N21" s="23">
        <v>313404.03670438298</v>
      </c>
    </row>
    <row r="22" spans="1:14" outlineLevel="1" x14ac:dyDescent="0.25">
      <c r="A22" s="5" t="str">
        <f>'Model-1'!N63</f>
        <v>Kvote-omkostning</v>
      </c>
      <c r="B22" s="29"/>
      <c r="C22" s="29" t="s">
        <v>168</v>
      </c>
      <c r="D22" s="23">
        <v>545350.60975609801</v>
      </c>
      <c r="E22" s="23">
        <v>662464.94894449995</v>
      </c>
      <c r="F22" s="23">
        <v>647026.14716825099</v>
      </c>
      <c r="G22" s="23">
        <v>632290.56203605502</v>
      </c>
      <c r="H22" s="23">
        <v>618211.21753727703</v>
      </c>
      <c r="I22" s="23">
        <v>604745.23062062298</v>
      </c>
      <c r="J22" s="23">
        <v>591853.37492909795</v>
      </c>
      <c r="K22" s="23">
        <v>579499.69917156501</v>
      </c>
      <c r="L22" s="23">
        <v>567651.19231118006</v>
      </c>
      <c r="M22" s="23">
        <v>556277.489004398</v>
      </c>
      <c r="N22" s="23">
        <v>545350.60975609801</v>
      </c>
    </row>
    <row r="23" spans="1:14" outlineLevel="1" x14ac:dyDescent="0.25">
      <c r="A23" s="5">
        <f>'Model-1'!N64</f>
        <v>0</v>
      </c>
      <c r="B23" s="29"/>
      <c r="C23" s="29" t="s">
        <v>169</v>
      </c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</row>
    <row r="24" spans="1:14" outlineLevel="1" x14ac:dyDescent="0.25">
      <c r="A24" s="5" t="str">
        <f>'Model-1'!N65</f>
        <v>Varmemængder:</v>
      </c>
      <c r="B24" s="29"/>
      <c r="C24" s="29" t="s">
        <v>170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 outlineLevel="1" x14ac:dyDescent="0.25">
      <c r="A25" s="5" t="str">
        <f>'Model-1'!N66</f>
        <v>Varmeproduktion Ovn2</v>
      </c>
      <c r="B25" s="29"/>
      <c r="C25" s="29" t="s">
        <v>171</v>
      </c>
      <c r="D25" s="24">
        <v>1420</v>
      </c>
      <c r="E25" s="24">
        <v>1420</v>
      </c>
      <c r="F25" s="24">
        <v>1420</v>
      </c>
      <c r="G25" s="24">
        <v>1420</v>
      </c>
      <c r="H25" s="24">
        <v>1420</v>
      </c>
      <c r="I25" s="24">
        <v>1420</v>
      </c>
      <c r="J25" s="24">
        <v>1420</v>
      </c>
      <c r="K25" s="24">
        <v>1420</v>
      </c>
      <c r="L25" s="24">
        <v>1420</v>
      </c>
      <c r="M25" s="24">
        <v>1420</v>
      </c>
      <c r="N25" s="24">
        <v>1420</v>
      </c>
    </row>
    <row r="26" spans="1:14" outlineLevel="1" x14ac:dyDescent="0.25">
      <c r="A26" s="5" t="str">
        <f>'Model-1'!N67</f>
        <v>Varmeproduktion Ovn3</v>
      </c>
      <c r="B26" s="29"/>
      <c r="C26" s="29" t="s">
        <v>172</v>
      </c>
      <c r="D26" s="24">
        <v>16740</v>
      </c>
      <c r="E26" s="24">
        <v>16740</v>
      </c>
      <c r="F26" s="24">
        <v>16740</v>
      </c>
      <c r="G26" s="24">
        <v>16740</v>
      </c>
      <c r="H26" s="24">
        <v>16740</v>
      </c>
      <c r="I26" s="24">
        <v>16740</v>
      </c>
      <c r="J26" s="24">
        <v>16740</v>
      </c>
      <c r="K26" s="24">
        <v>16740</v>
      </c>
      <c r="L26" s="24">
        <v>16740</v>
      </c>
      <c r="M26" s="24">
        <v>16740</v>
      </c>
      <c r="N26" s="24">
        <v>16740</v>
      </c>
    </row>
    <row r="27" spans="1:14" outlineLevel="1" x14ac:dyDescent="0.25">
      <c r="A27" s="5" t="str">
        <f>'Model-1'!N68</f>
        <v>Heraf RGK-varme</v>
      </c>
      <c r="B27" s="29"/>
      <c r="C27" s="29" t="s">
        <v>173</v>
      </c>
      <c r="D27" s="24">
        <v>1523.58793324775</v>
      </c>
      <c r="E27" s="24">
        <v>185.07792681534499</v>
      </c>
      <c r="F27" s="24">
        <v>361.52934009268699</v>
      </c>
      <c r="G27" s="24">
        <v>529.94362895574</v>
      </c>
      <c r="H27" s="24">
        <v>690.85768633096495</v>
      </c>
      <c r="I27" s="24">
        <v>844.76162635518995</v>
      </c>
      <c r="J27" s="24">
        <v>992.10377048690896</v>
      </c>
      <c r="K27" s="24">
        <v>1133.2950091709999</v>
      </c>
      <c r="L27" s="24">
        <v>1268.7126284293599</v>
      </c>
      <c r="M27" s="24">
        <v>1398.70367642417</v>
      </c>
      <c r="N27" s="24">
        <v>1523.58793324775</v>
      </c>
    </row>
    <row r="28" spans="1:14" outlineLevel="1" x14ac:dyDescent="0.25">
      <c r="A28" s="5" t="str">
        <f>'Model-1'!N69</f>
        <v>Bortkølet varme</v>
      </c>
      <c r="B28" s="29"/>
      <c r="C28" s="29" t="s">
        <v>174</v>
      </c>
      <c r="D28" s="24">
        <v>11160</v>
      </c>
      <c r="E28" s="24">
        <v>11160</v>
      </c>
      <c r="F28" s="24">
        <v>11160</v>
      </c>
      <c r="G28" s="24">
        <v>11160</v>
      </c>
      <c r="H28" s="24">
        <v>11160</v>
      </c>
      <c r="I28" s="24">
        <v>11160</v>
      </c>
      <c r="J28" s="24">
        <v>11160</v>
      </c>
      <c r="K28" s="24">
        <v>11160</v>
      </c>
      <c r="L28" s="24">
        <v>11160</v>
      </c>
      <c r="M28" s="24">
        <v>11160</v>
      </c>
      <c r="N28" s="24">
        <v>11160</v>
      </c>
    </row>
    <row r="29" spans="1:14" outlineLevel="1" x14ac:dyDescent="0.25">
      <c r="A29" s="5" t="str">
        <f>'Model-1'!N70</f>
        <v>Leveret varme</v>
      </c>
      <c r="B29" s="29"/>
      <c r="C29" s="29" t="s">
        <v>175</v>
      </c>
      <c r="D29" s="24">
        <v>7000</v>
      </c>
      <c r="E29" s="24">
        <v>7000</v>
      </c>
      <c r="F29" s="24">
        <v>7000</v>
      </c>
      <c r="G29" s="24">
        <v>7000</v>
      </c>
      <c r="H29" s="24">
        <v>7000</v>
      </c>
      <c r="I29" s="24">
        <v>7000</v>
      </c>
      <c r="J29" s="24">
        <v>7000</v>
      </c>
      <c r="K29" s="24">
        <v>7000</v>
      </c>
      <c r="L29" s="24">
        <v>7000</v>
      </c>
      <c r="M29" s="24">
        <v>7000</v>
      </c>
      <c r="N29" s="24">
        <v>7000</v>
      </c>
    </row>
    <row r="30" spans="1:14" outlineLevel="1" x14ac:dyDescent="0.25">
      <c r="A30" s="5" t="str">
        <f>'Model-1'!N71</f>
        <v>Spidslastvarme</v>
      </c>
      <c r="B30" s="29"/>
      <c r="C30" s="29" t="s">
        <v>176</v>
      </c>
      <c r="D30" s="24">
        <v>0</v>
      </c>
      <c r="E30" s="24">
        <v>0</v>
      </c>
      <c r="F30" s="24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</row>
    <row r="31" spans="1:14" outlineLevel="1" x14ac:dyDescent="0.25">
      <c r="A31" s="5">
        <f>'Model-1'!N72</f>
        <v>0</v>
      </c>
      <c r="B31" s="29"/>
      <c r="C31" s="29" t="s">
        <v>177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</row>
    <row r="32" spans="1:14" outlineLevel="1" x14ac:dyDescent="0.25">
      <c r="A32" s="5" t="str">
        <f>'Model-1'!N73</f>
        <v>Brændselsmængder:</v>
      </c>
      <c r="B32" s="29"/>
      <c r="C32" s="29" t="s">
        <v>178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 outlineLevel="1" x14ac:dyDescent="0.25">
      <c r="A33" s="5" t="str">
        <f>'Model-1'!N74</f>
        <v>Affaldsforbrug Ovn3</v>
      </c>
      <c r="B33" s="29"/>
      <c r="C33" s="29" t="s">
        <v>179</v>
      </c>
      <c r="D33" s="24">
        <v>3026.3629842180799</v>
      </c>
      <c r="E33" s="24">
        <v>3676.2760762735902</v>
      </c>
      <c r="F33" s="24">
        <v>3590.6001507672099</v>
      </c>
      <c r="G33" s="24">
        <v>3508.8266483687898</v>
      </c>
      <c r="H33" s="24">
        <v>3430.6948808949901</v>
      </c>
      <c r="I33" s="24">
        <v>3355.9668735883602</v>
      </c>
      <c r="J33" s="24">
        <v>3284.4249441126399</v>
      </c>
      <c r="K33" s="24">
        <v>3215.8695847478598</v>
      </c>
      <c r="L33" s="24">
        <v>3150.1176043905598</v>
      </c>
      <c r="M33" s="24">
        <v>3087.0004939200799</v>
      </c>
      <c r="N33" s="24">
        <v>3026.3629842180799</v>
      </c>
    </row>
    <row r="34" spans="1:14" outlineLevel="1" x14ac:dyDescent="0.25">
      <c r="A34" s="5" t="str">
        <f>'Model-1'!N75</f>
        <v>Nordic Sugar varme</v>
      </c>
      <c r="B34" s="29"/>
      <c r="C34" s="29" t="s">
        <v>180</v>
      </c>
      <c r="D34" s="24">
        <v>0</v>
      </c>
      <c r="E34" s="24">
        <v>0</v>
      </c>
      <c r="F34" s="24">
        <v>0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</row>
    <row r="35" spans="1:14" outlineLevel="1" x14ac:dyDescent="0.25">
      <c r="A35" s="5" t="str">
        <f>'Model-1'!N76</f>
        <v>Affaldsforbrug Ovn2</v>
      </c>
      <c r="B35" s="29"/>
      <c r="C35" s="29" t="s">
        <v>181</v>
      </c>
      <c r="D35" s="24">
        <v>0</v>
      </c>
      <c r="E35" s="24">
        <v>0</v>
      </c>
      <c r="F35" s="24">
        <v>0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</row>
    <row r="36" spans="1:14" outlineLevel="1" x14ac:dyDescent="0.25">
      <c r="A36" s="5" t="str">
        <f>'Model-1'!N77</f>
        <v>Affaldsforbrug kølevarme Ovn3</v>
      </c>
      <c r="B36" s="29"/>
      <c r="C36" s="29" t="s">
        <v>182</v>
      </c>
      <c r="D36" s="24">
        <v>5240.3156384505</v>
      </c>
      <c r="E36" s="24">
        <v>5240.3156384505</v>
      </c>
      <c r="F36" s="24">
        <v>5240.3156384505</v>
      </c>
      <c r="G36" s="24">
        <v>5240.3156384505</v>
      </c>
      <c r="H36" s="24">
        <v>5240.3156384505</v>
      </c>
      <c r="I36" s="24">
        <v>5240.3156384505</v>
      </c>
      <c r="J36" s="24">
        <v>5240.3156384505</v>
      </c>
      <c r="K36" s="24">
        <v>5240.3156384505</v>
      </c>
      <c r="L36" s="24">
        <v>5240.3156384505</v>
      </c>
      <c r="M36" s="24">
        <v>5240.3156384505</v>
      </c>
      <c r="N36" s="24">
        <v>5240.3156384505</v>
      </c>
    </row>
    <row r="37" spans="1:14" outlineLevel="1" x14ac:dyDescent="0.25">
      <c r="A37" s="5" t="str">
        <f>'Model-1'!N78</f>
        <v>Affaldsforbrug kølevarme Ovn2</v>
      </c>
      <c r="B37" s="29"/>
      <c r="C37" s="29" t="s">
        <v>183</v>
      </c>
      <c r="D37" s="24">
        <v>593.81098410928405</v>
      </c>
      <c r="E37" s="24">
        <v>593.81098410928405</v>
      </c>
      <c r="F37" s="24">
        <v>593.81098410928405</v>
      </c>
      <c r="G37" s="24">
        <v>593.81098410928405</v>
      </c>
      <c r="H37" s="24">
        <v>593.81098410928405</v>
      </c>
      <c r="I37" s="24">
        <v>593.81098410928405</v>
      </c>
      <c r="J37" s="24">
        <v>593.81098410928405</v>
      </c>
      <c r="K37" s="24">
        <v>593.81098410928405</v>
      </c>
      <c r="L37" s="24">
        <v>593.81098410928405</v>
      </c>
      <c r="M37" s="24">
        <v>593.81098410928405</v>
      </c>
      <c r="N37" s="24">
        <v>593.81098410928405</v>
      </c>
    </row>
    <row r="38" spans="1:14" outlineLevel="1" x14ac:dyDescent="0.25">
      <c r="A38" s="5" t="str">
        <f>'Model-1'!N79</f>
        <v>Udnyttet affald</v>
      </c>
      <c r="B38" s="29"/>
      <c r="C38" s="29" t="s">
        <v>184</v>
      </c>
      <c r="D38" s="24">
        <v>8860.4896067778609</v>
      </c>
      <c r="E38" s="24">
        <v>9510.4026988333699</v>
      </c>
      <c r="F38" s="24">
        <v>9424.726773327</v>
      </c>
      <c r="G38" s="24">
        <v>9342.9532709285704</v>
      </c>
      <c r="H38" s="24">
        <v>9264.8215034547702</v>
      </c>
      <c r="I38" s="24">
        <v>9190.0934961481507</v>
      </c>
      <c r="J38" s="24">
        <v>9118.5515666724295</v>
      </c>
      <c r="K38" s="24">
        <v>9049.9962073076495</v>
      </c>
      <c r="L38" s="24">
        <v>8984.2442269503499</v>
      </c>
      <c r="M38" s="24">
        <v>8921.12711647986</v>
      </c>
      <c r="N38" s="24">
        <v>8860.4896067778609</v>
      </c>
    </row>
    <row r="39" spans="1:14" ht="15.75" outlineLevel="1" thickBot="1" x14ac:dyDescent="0.3">
      <c r="A39" s="5" t="str">
        <f>'Model-1'!N80</f>
        <v>Ikke-udnyttet affald</v>
      </c>
      <c r="B39" s="31"/>
      <c r="C39" s="31" t="s">
        <v>185</v>
      </c>
      <c r="D39" s="25">
        <v>8973.6370157819201</v>
      </c>
      <c r="E39" s="25">
        <v>8323.7239237264093</v>
      </c>
      <c r="F39" s="25">
        <v>8409.3998492327901</v>
      </c>
      <c r="G39" s="25">
        <v>8491.1733516312106</v>
      </c>
      <c r="H39" s="25">
        <v>8569.3051191050108</v>
      </c>
      <c r="I39" s="25">
        <v>8644.0331264116394</v>
      </c>
      <c r="J39" s="25">
        <v>8715.5750558873606</v>
      </c>
      <c r="K39" s="25">
        <v>8784.1304152521407</v>
      </c>
      <c r="L39" s="25">
        <v>8849.8823956094293</v>
      </c>
      <c r="M39" s="25">
        <v>8912.9995060799192</v>
      </c>
      <c r="N39" s="25">
        <v>8973.6370157819201</v>
      </c>
    </row>
    <row r="40" spans="1:14" x14ac:dyDescent="0.25">
      <c r="B40" t="s">
        <v>201</v>
      </c>
    </row>
    <row r="41" spans="1:14" x14ac:dyDescent="0.25">
      <c r="B41" t="s">
        <v>202</v>
      </c>
    </row>
    <row r="42" spans="1:14" x14ac:dyDescent="0.25">
      <c r="B42" t="s">
        <v>203</v>
      </c>
    </row>
  </sheetData>
  <customSheetViews>
    <customSheetView guid="{EEB625C4-AF57-4951-B4C5-8C71271FF126}" scale="85" showGridLines="0" hiddenRows="1">
      <selection activeCell="Q31" sqref="Q31"/>
      <pageMargins left="0.7" right="0.7" top="0.75" bottom="0.75" header="0.3" footer="0.3"/>
    </customSheetView>
    <customSheetView guid="{B8935784-587B-4D0A-AED7-A4A9B4EF97F4}" scale="85" showGridLines="0" hiddenRows="1">
      <selection activeCell="Q31" sqref="Q31"/>
      <pageMargins left="0.7" right="0.7" top="0.75" bottom="0.75" header="0.3" footer="0.3"/>
    </customSheetView>
    <customSheetView guid="{2B82E035-636B-4F9F-846A-FEE8C149952C}" scale="85" showGridLines="0" hiddenRows="1">
      <selection activeCell="Q31" sqref="Q31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3CF46C4-608E-48A4-993B-37B07B7C2D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7 GWh'!E8:N8</xm:f>
              <xm:sqref>O8</xm:sqref>
            </x14:sparkline>
            <x14:sparkline>
              <xm:f>'Scenario 7 GWh'!E9:N9</xm:f>
              <xm:sqref>O9</xm:sqref>
            </x14:sparkline>
            <x14:sparkline>
              <xm:f>'Scenario 7 GWh'!E10:N10</xm:f>
              <xm:sqref>O10</xm:sqref>
            </x14:sparkline>
            <x14:sparkline>
              <xm:f>'Scenario 7 GWh'!E11:N11</xm:f>
              <xm:sqref>O11</xm:sqref>
            </x14:sparkline>
            <x14:sparkline>
              <xm:f>'Scenario 7 GWh'!E12:N12</xm:f>
              <xm:sqref>O12</xm:sqref>
            </x14:sparkline>
            <x14:sparkline>
              <xm:f>'Scenario 7 GWh'!E13:N13</xm:f>
              <xm:sqref>O13</xm:sqref>
            </x14:sparkline>
            <x14:sparkline>
              <xm:f>'Scenario 7 GWh'!E14:N14</xm:f>
              <xm:sqref>O14</xm:sqref>
            </x14:sparkline>
            <x14:sparkline>
              <xm:f>'Scenario 7 GWh'!E15:N15</xm:f>
              <xm:sqref>O15</xm:sqref>
            </x14:sparkline>
            <x14:sparkline>
              <xm:f>'Scenario 7 GWh'!E16:N16</xm:f>
              <xm:sqref>O16</xm:sqref>
            </x14:sparkline>
            <x14:sparkline>
              <xm:f>'Scenario 7 GWh'!E17:N17</xm:f>
              <xm:sqref>O17</xm:sqref>
            </x14:sparkline>
            <x14:sparkline>
              <xm:f>'Scenario 7 GWh'!E18:N18</xm:f>
              <xm:sqref>O18</xm:sqref>
            </x14:sparkline>
            <x14:sparkline>
              <xm:f>'Scenario 7 GWh'!E19:N19</xm:f>
              <xm:sqref>O19</xm:sqref>
            </x14:sparkline>
            <x14:sparkline>
              <xm:f>'Scenario 7 GWh'!E20:N20</xm:f>
              <xm:sqref>O20</xm:sqref>
            </x14:sparkline>
            <x14:sparkline>
              <xm:f>'Scenario 7 GWh'!E21:N21</xm:f>
              <xm:sqref>O21</xm:sqref>
            </x14:sparkline>
            <x14:sparkline>
              <xm:f>'Scenario 7 GWh'!E22:N22</xm:f>
              <xm:sqref>O22</xm:sqref>
            </x14:sparkline>
            <x14:sparkline>
              <xm:f>'Scenario 7 GWh'!E23:N23</xm:f>
              <xm:sqref>O23</xm:sqref>
            </x14:sparkline>
            <x14:sparkline>
              <xm:f>'Scenario 7 GWh'!E24:N24</xm:f>
              <xm:sqref>O24</xm:sqref>
            </x14:sparkline>
            <x14:sparkline>
              <xm:f>'Scenario 7 GWh'!E25:N25</xm:f>
              <xm:sqref>O25</xm:sqref>
            </x14:sparkline>
            <x14:sparkline>
              <xm:f>'Scenario 7 GWh'!E26:N26</xm:f>
              <xm:sqref>O26</xm:sqref>
            </x14:sparkline>
            <x14:sparkline>
              <xm:f>'Scenario 7 GWh'!E27:N27</xm:f>
              <xm:sqref>O27</xm:sqref>
            </x14:sparkline>
            <x14:sparkline>
              <xm:f>'Scenario 7 GWh'!E28:N28</xm:f>
              <xm:sqref>O28</xm:sqref>
            </x14:sparkline>
            <x14:sparkline>
              <xm:f>'Scenario 7 GWh'!E29:N29</xm:f>
              <xm:sqref>O29</xm:sqref>
            </x14:sparkline>
            <x14:sparkline>
              <xm:f>'Scenario 7 GWh'!E30:N30</xm:f>
              <xm:sqref>O30</xm:sqref>
            </x14:sparkline>
            <x14:sparkline>
              <xm:f>'Scenario 7 GWh'!E31:N31</xm:f>
              <xm:sqref>O31</xm:sqref>
            </x14:sparkline>
            <x14:sparkline>
              <xm:f>'Scenario 7 GWh'!E32:N32</xm:f>
              <xm:sqref>O32</xm:sqref>
            </x14:sparkline>
            <x14:sparkline>
              <xm:f>'Scenario 7 GWh'!E33:N33</xm:f>
              <xm:sqref>O33</xm:sqref>
            </x14:sparkline>
            <x14:sparkline>
              <xm:f>'Scenario 7 GWh'!E34:N34</xm:f>
              <xm:sqref>O34</xm:sqref>
            </x14:sparkline>
            <x14:sparkline>
              <xm:f>'Scenario 7 GWh'!E35:N35</xm:f>
              <xm:sqref>O35</xm:sqref>
            </x14:sparkline>
            <x14:sparkline>
              <xm:f>'Scenario 7 GWh'!E36:N36</xm:f>
              <xm:sqref>O36</xm:sqref>
            </x14:sparkline>
            <x14:sparkline>
              <xm:f>'Scenario 7 GWh'!E37:N37</xm:f>
              <xm:sqref>O37</xm:sqref>
            </x14:sparkline>
            <x14:sparkline>
              <xm:f>'Scenario 7 GWh'!E38:N38</xm:f>
              <xm:sqref>O38</xm:sqref>
            </x14:sparkline>
            <x14:sparkline>
              <xm:f>'Scenario 7 GWh'!E39:N39</xm:f>
              <xm:sqref>O39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DFD8-61B1-4AF0-B8E6-D7688662F97B}">
  <sheetPr codeName="Sheet4">
    <outlinePr summaryBelow="0"/>
  </sheetPr>
  <dimension ref="A1:N42"/>
  <sheetViews>
    <sheetView showGridLines="0" zoomScale="85" zoomScaleNormal="85" workbookViewId="0">
      <selection activeCell="K28" sqref="K28"/>
    </sheetView>
  </sheetViews>
  <sheetFormatPr defaultRowHeight="15" outlineLevelRow="1" outlineLevelCol="1" x14ac:dyDescent="0.25"/>
  <cols>
    <col min="1" max="1" width="31.28515625" style="5" bestFit="1" customWidth="1"/>
    <col min="2" max="2" width="3.7109375" customWidth="1"/>
    <col min="3" max="3" width="13" customWidth="1"/>
    <col min="4" max="14" width="13.140625" bestFit="1" customWidth="1" outlineLevel="1"/>
    <col min="15" max="15" width="19.28515625" customWidth="1"/>
  </cols>
  <sheetData>
    <row r="1" spans="1:14" ht="15.75" thickBot="1" x14ac:dyDescent="0.3"/>
    <row r="2" spans="1:14" ht="15.75" x14ac:dyDescent="0.25">
      <c r="B2" s="27" t="s">
        <v>197</v>
      </c>
      <c r="C2" s="27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15.75" collapsed="1" x14ac:dyDescent="0.25">
      <c r="B3" s="26"/>
      <c r="C3" s="26"/>
      <c r="D3" s="33" t="s">
        <v>199</v>
      </c>
      <c r="E3" s="33" t="s">
        <v>186</v>
      </c>
      <c r="F3" s="33" t="s">
        <v>188</v>
      </c>
      <c r="G3" s="33" t="s">
        <v>189</v>
      </c>
      <c r="H3" s="33" t="s">
        <v>190</v>
      </c>
      <c r="I3" s="33" t="s">
        <v>191</v>
      </c>
      <c r="J3" s="33" t="s">
        <v>192</v>
      </c>
      <c r="K3" s="33" t="s">
        <v>193</v>
      </c>
      <c r="L3" s="33" t="s">
        <v>194</v>
      </c>
      <c r="M3" s="33" t="s">
        <v>195</v>
      </c>
      <c r="N3" s="33" t="s">
        <v>196</v>
      </c>
    </row>
    <row r="4" spans="1:14" ht="45" hidden="1" outlineLevel="1" x14ac:dyDescent="0.25">
      <c r="B4" s="29"/>
      <c r="C4" s="29"/>
      <c r="D4" s="21"/>
      <c r="E4" s="35" t="s">
        <v>187</v>
      </c>
      <c r="F4" s="35" t="s">
        <v>187</v>
      </c>
      <c r="G4" s="35" t="s">
        <v>187</v>
      </c>
      <c r="H4" s="35" t="s">
        <v>187</v>
      </c>
      <c r="I4" s="35" t="s">
        <v>187</v>
      </c>
      <c r="J4" s="35" t="s">
        <v>187</v>
      </c>
      <c r="K4" s="35" t="s">
        <v>187</v>
      </c>
      <c r="L4" s="35" t="s">
        <v>187</v>
      </c>
      <c r="M4" s="35" t="s">
        <v>187</v>
      </c>
      <c r="N4" s="35" t="s">
        <v>187</v>
      </c>
    </row>
    <row r="5" spans="1:14" x14ac:dyDescent="0.25">
      <c r="B5" s="30" t="s">
        <v>198</v>
      </c>
      <c r="C5" s="30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outlineLevel="1" x14ac:dyDescent="0.25">
      <c r="B6" s="29"/>
      <c r="C6" s="29" t="s">
        <v>153</v>
      </c>
      <c r="D6" s="22">
        <v>1</v>
      </c>
      <c r="E6" s="34">
        <v>0.1</v>
      </c>
      <c r="F6" s="34">
        <v>0.2</v>
      </c>
      <c r="G6" s="34">
        <v>0.3</v>
      </c>
      <c r="H6" s="34">
        <v>0.4</v>
      </c>
      <c r="I6" s="34">
        <v>0.5</v>
      </c>
      <c r="J6" s="34">
        <v>0.6</v>
      </c>
      <c r="K6" s="34">
        <v>0.7</v>
      </c>
      <c r="L6" s="34">
        <v>0.8</v>
      </c>
      <c r="M6" s="34">
        <v>0.9</v>
      </c>
      <c r="N6" s="34">
        <v>1</v>
      </c>
    </row>
    <row r="7" spans="1:14" x14ac:dyDescent="0.25">
      <c r="B7" s="30" t="s">
        <v>200</v>
      </c>
      <c r="C7" s="30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outlineLevel="1" x14ac:dyDescent="0.25">
      <c r="A8" s="5" t="str">
        <f>'Model-1'!N49</f>
        <v>Indtægter total</v>
      </c>
      <c r="B8" s="29"/>
      <c r="C8" s="29" t="s">
        <v>154</v>
      </c>
      <c r="D8" s="23">
        <v>15704906.5498023</v>
      </c>
      <c r="E8" s="23">
        <v>16190829.9768045</v>
      </c>
      <c r="F8" s="23">
        <v>16102094.8127602</v>
      </c>
      <c r="G8" s="23">
        <v>16016873.9126384</v>
      </c>
      <c r="H8" s="23">
        <v>16136543.7538468</v>
      </c>
      <c r="I8" s="23">
        <v>16057752.8356482</v>
      </c>
      <c r="J8" s="23">
        <v>15981907.3723356</v>
      </c>
      <c r="K8" s="23">
        <v>15908845.2287775</v>
      </c>
      <c r="L8" s="23">
        <v>15838415.9552575</v>
      </c>
      <c r="M8" s="23">
        <v>15770479.753366601</v>
      </c>
      <c r="N8" s="23">
        <v>15704906.5498023</v>
      </c>
    </row>
    <row r="9" spans="1:14" outlineLevel="1" x14ac:dyDescent="0.25">
      <c r="A9" s="5" t="str">
        <f>'Model-1'!N50</f>
        <v>Omkostninger total</v>
      </c>
      <c r="B9" s="29"/>
      <c r="C9" s="29" t="s">
        <v>155</v>
      </c>
      <c r="D9" s="23">
        <v>7601139.8216774501</v>
      </c>
      <c r="E9" s="23">
        <v>7866196.3108281298</v>
      </c>
      <c r="F9" s="23">
        <v>7831849.9144885596</v>
      </c>
      <c r="G9" s="23">
        <v>7798897.0890948502</v>
      </c>
      <c r="H9" s="23">
        <v>7767256.6557569401</v>
      </c>
      <c r="I9" s="23">
        <v>7736853.6206430802</v>
      </c>
      <c r="J9" s="23">
        <v>7707618.5969369598</v>
      </c>
      <c r="K9" s="23">
        <v>7679487.2904326404</v>
      </c>
      <c r="L9" s="23">
        <v>7652400.0407408504</v>
      </c>
      <c r="M9" s="23">
        <v>7626301.4112166697</v>
      </c>
      <c r="N9" s="23">
        <v>7601139.8216774501</v>
      </c>
    </row>
    <row r="10" spans="1:14" outlineLevel="1" x14ac:dyDescent="0.25">
      <c r="A10" s="5" t="str">
        <f>'Model-1'!N51</f>
        <v>Dækningsbidrag</v>
      </c>
      <c r="B10" s="29"/>
      <c r="C10" s="29" t="s">
        <v>156</v>
      </c>
      <c r="D10" s="23">
        <v>8103766.7281248998</v>
      </c>
      <c r="E10" s="23">
        <v>8324633.6659763698</v>
      </c>
      <c r="F10" s="23">
        <v>8270244.8982715895</v>
      </c>
      <c r="G10" s="23">
        <v>8217976.8235435002</v>
      </c>
      <c r="H10" s="23">
        <v>8369287.0980898896</v>
      </c>
      <c r="I10" s="23">
        <v>8320899.2150051603</v>
      </c>
      <c r="J10" s="23">
        <v>8274288.7753986102</v>
      </c>
      <c r="K10" s="23">
        <v>8229357.9383448502</v>
      </c>
      <c r="L10" s="23">
        <v>8186015.9145167004</v>
      </c>
      <c r="M10" s="23">
        <v>8144178.3421499496</v>
      </c>
      <c r="N10" s="23">
        <v>8103766.7281248998</v>
      </c>
    </row>
    <row r="11" spans="1:14" outlineLevel="1" x14ac:dyDescent="0.25">
      <c r="A11" s="5">
        <f>'Model-1'!N52</f>
        <v>0</v>
      </c>
      <c r="B11" s="29"/>
      <c r="C11" s="29" t="s">
        <v>157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outlineLevel="1" x14ac:dyDescent="0.25">
      <c r="A12" s="5" t="str">
        <f>'Model-1'!N53</f>
        <v>Varmesalg</v>
      </c>
      <c r="B12" s="29"/>
      <c r="C12" s="29" t="s">
        <v>158</v>
      </c>
      <c r="D12" s="23">
        <v>7499765</v>
      </c>
      <c r="E12" s="23">
        <v>7499765</v>
      </c>
      <c r="F12" s="23">
        <v>7499765</v>
      </c>
      <c r="G12" s="23">
        <v>7499765</v>
      </c>
      <c r="H12" s="23">
        <v>7499765</v>
      </c>
      <c r="I12" s="23">
        <v>7499765</v>
      </c>
      <c r="J12" s="23">
        <v>7499765</v>
      </c>
      <c r="K12" s="23">
        <v>7499765</v>
      </c>
      <c r="L12" s="23">
        <v>7499765</v>
      </c>
      <c r="M12" s="23">
        <v>7499765</v>
      </c>
      <c r="N12" s="23">
        <v>7499765</v>
      </c>
    </row>
    <row r="13" spans="1:14" outlineLevel="1" x14ac:dyDescent="0.25">
      <c r="A13" s="5" t="str">
        <f>'Model-1'!N54</f>
        <v>Elsalg</v>
      </c>
      <c r="B13" s="29"/>
      <c r="C13" s="29" t="s">
        <v>159</v>
      </c>
      <c r="D13" s="23">
        <v>3947332.4512195098</v>
      </c>
      <c r="E13" s="23">
        <v>3947332.4512195098</v>
      </c>
      <c r="F13" s="23">
        <v>3947332.4512195098</v>
      </c>
      <c r="G13" s="23">
        <v>3947332.4512195098</v>
      </c>
      <c r="H13" s="23">
        <v>3947332.4512195098</v>
      </c>
      <c r="I13" s="23">
        <v>3947332.4512195098</v>
      </c>
      <c r="J13" s="23">
        <v>3947332.4512195098</v>
      </c>
      <c r="K13" s="23">
        <v>3947332.4512195098</v>
      </c>
      <c r="L13" s="23">
        <v>3947332.4512195098</v>
      </c>
      <c r="M13" s="23">
        <v>3947332.4512195098</v>
      </c>
      <c r="N13" s="23">
        <v>3947332.4512195098</v>
      </c>
    </row>
    <row r="14" spans="1:14" outlineLevel="1" x14ac:dyDescent="0.25">
      <c r="A14" s="5" t="str">
        <f>'Model-1'!N55</f>
        <v>RGK-rabat</v>
      </c>
      <c r="B14" s="29"/>
      <c r="C14" s="29" t="s">
        <v>160</v>
      </c>
      <c r="D14" s="23">
        <v>201581.19181097599</v>
      </c>
      <c r="E14" s="23">
        <v>0</v>
      </c>
      <c r="F14" s="23">
        <v>0</v>
      </c>
      <c r="G14" s="23">
        <v>0</v>
      </c>
      <c r="H14" s="23">
        <v>201581.19181097599</v>
      </c>
      <c r="I14" s="23">
        <v>201581.19181097599</v>
      </c>
      <c r="J14" s="23">
        <v>201581.19181097599</v>
      </c>
      <c r="K14" s="23">
        <v>201581.19181097599</v>
      </c>
      <c r="L14" s="23">
        <v>201581.19181097599</v>
      </c>
      <c r="M14" s="23">
        <v>201581.19181097599</v>
      </c>
      <c r="N14" s="23">
        <v>201581.19181097599</v>
      </c>
    </row>
    <row r="15" spans="1:14" outlineLevel="1" x14ac:dyDescent="0.25">
      <c r="A15" s="5" t="str">
        <f>'Model-1'!N56</f>
        <v>Modtagebetaling affald</v>
      </c>
      <c r="B15" s="29"/>
      <c r="C15" s="29" t="s">
        <v>161</v>
      </c>
      <c r="D15" s="23">
        <v>4056227.9067718601</v>
      </c>
      <c r="E15" s="23">
        <v>4743732.5255849799</v>
      </c>
      <c r="F15" s="23">
        <v>4654997.3615406398</v>
      </c>
      <c r="G15" s="23">
        <v>4569776.4614188401</v>
      </c>
      <c r="H15" s="23">
        <v>4487865.11081634</v>
      </c>
      <c r="I15" s="23">
        <v>4409074.1926177498</v>
      </c>
      <c r="J15" s="23">
        <v>4333228.7293050801</v>
      </c>
      <c r="K15" s="23">
        <v>4260166.5857470101</v>
      </c>
      <c r="L15" s="23">
        <v>4189737.3122270601</v>
      </c>
      <c r="M15" s="23">
        <v>4121801.1103361398</v>
      </c>
      <c r="N15" s="23">
        <v>4056227.9067718601</v>
      </c>
    </row>
    <row r="16" spans="1:14" outlineLevel="1" x14ac:dyDescent="0.25">
      <c r="A16" s="5">
        <f>'Model-1'!N57</f>
        <v>0</v>
      </c>
      <c r="B16" s="29"/>
      <c r="C16" s="29" t="s">
        <v>162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 outlineLevel="1" x14ac:dyDescent="0.25">
      <c r="A17" s="5" t="str">
        <f>'Model-1'!N58</f>
        <v>Betaling bioaffald</v>
      </c>
      <c r="B17" s="29"/>
      <c r="C17" s="29" t="s">
        <v>163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</row>
    <row r="18" spans="1:14" outlineLevel="1" x14ac:dyDescent="0.25">
      <c r="A18" s="5" t="str">
        <f>'Model-1'!N59</f>
        <v>DV-omkostninger</v>
      </c>
      <c r="B18" s="29"/>
      <c r="C18" s="29" t="s">
        <v>164</v>
      </c>
      <c r="D18" s="23">
        <v>1099534.71668785</v>
      </c>
      <c r="E18" s="23">
        <v>1054870.37506322</v>
      </c>
      <c r="F18" s="23">
        <v>1060499.17012563</v>
      </c>
      <c r="G18" s="23">
        <v>1065938.36023679</v>
      </c>
      <c r="H18" s="23">
        <v>1071198.99034531</v>
      </c>
      <c r="I18" s="23">
        <v>1076291.2638799101</v>
      </c>
      <c r="J18" s="23">
        <v>1081224.62139614</v>
      </c>
      <c r="K18" s="23">
        <v>1086007.8105647401</v>
      </c>
      <c r="L18" s="23">
        <v>1090648.9485936901</v>
      </c>
      <c r="M18" s="23">
        <v>1095155.5780213701</v>
      </c>
      <c r="N18" s="23">
        <v>1099534.71668785</v>
      </c>
    </row>
    <row r="19" spans="1:14" outlineLevel="1" x14ac:dyDescent="0.25">
      <c r="A19" s="5" t="str">
        <f>'Model-1'!N60</f>
        <v>Affaldvarme-afgift</v>
      </c>
      <c r="B19" s="29"/>
      <c r="C19" s="29" t="s">
        <v>165</v>
      </c>
      <c r="D19" s="23">
        <v>2239801.2000000002</v>
      </c>
      <c r="E19" s="23">
        <v>2239801.2000000002</v>
      </c>
      <c r="F19" s="23">
        <v>2239801.2000000002</v>
      </c>
      <c r="G19" s="23">
        <v>2239801.2000000002</v>
      </c>
      <c r="H19" s="23">
        <v>2239801.2000000002</v>
      </c>
      <c r="I19" s="23">
        <v>2239801.2000000002</v>
      </c>
      <c r="J19" s="23">
        <v>2239801.2000000002</v>
      </c>
      <c r="K19" s="23">
        <v>2239801.2000000002</v>
      </c>
      <c r="L19" s="23">
        <v>2239801.2000000002</v>
      </c>
      <c r="M19" s="23">
        <v>2239801.2000000002</v>
      </c>
      <c r="N19" s="23">
        <v>2239801.2000000002</v>
      </c>
    </row>
    <row r="20" spans="1:14" outlineLevel="1" x14ac:dyDescent="0.25">
      <c r="A20" s="5" t="str">
        <f>'Model-1'!N61</f>
        <v>Tillægsafgift</v>
      </c>
      <c r="B20" s="29"/>
      <c r="C20" s="29" t="s">
        <v>166</v>
      </c>
      <c r="D20" s="23">
        <v>2015811.9181097599</v>
      </c>
      <c r="E20" s="23">
        <v>2015811.9181097599</v>
      </c>
      <c r="F20" s="23">
        <v>2015811.9181097599</v>
      </c>
      <c r="G20" s="23">
        <v>2015811.9181097599</v>
      </c>
      <c r="H20" s="23">
        <v>2015811.9181097599</v>
      </c>
      <c r="I20" s="23">
        <v>2015811.9181097599</v>
      </c>
      <c r="J20" s="23">
        <v>2015811.9181097599</v>
      </c>
      <c r="K20" s="23">
        <v>2015811.9181097599</v>
      </c>
      <c r="L20" s="23">
        <v>2015811.9181097599</v>
      </c>
      <c r="M20" s="23">
        <v>2015811.9181097599</v>
      </c>
      <c r="N20" s="23">
        <v>2015811.9181097599</v>
      </c>
    </row>
    <row r="21" spans="1:14" outlineLevel="1" x14ac:dyDescent="0.25">
      <c r="A21" s="5" t="str">
        <f>'Model-1'!N62</f>
        <v>CO2-afgift</v>
      </c>
      <c r="B21" s="29"/>
      <c r="C21" s="29" t="s">
        <v>167</v>
      </c>
      <c r="D21" s="23">
        <v>418661.31487911602</v>
      </c>
      <c r="E21" s="23">
        <v>418661.31487911602</v>
      </c>
      <c r="F21" s="23">
        <v>418661.31487911602</v>
      </c>
      <c r="G21" s="23">
        <v>418661.31487911602</v>
      </c>
      <c r="H21" s="23">
        <v>418661.31487911602</v>
      </c>
      <c r="I21" s="23">
        <v>418661.31487911602</v>
      </c>
      <c r="J21" s="23">
        <v>418661.31487911602</v>
      </c>
      <c r="K21" s="23">
        <v>418661.31487911602</v>
      </c>
      <c r="L21" s="23">
        <v>418661.31487911602</v>
      </c>
      <c r="M21" s="23">
        <v>418661.31487911602</v>
      </c>
      <c r="N21" s="23">
        <v>418661.31487911602</v>
      </c>
    </row>
    <row r="22" spans="1:14" outlineLevel="1" x14ac:dyDescent="0.25">
      <c r="A22" s="5" t="str">
        <f>'Model-1'!N63</f>
        <v>Kvote-omkostning</v>
      </c>
      <c r="B22" s="29"/>
      <c r="C22" s="29" t="s">
        <v>168</v>
      </c>
      <c r="D22" s="23">
        <v>1827330.6720007199</v>
      </c>
      <c r="E22" s="23">
        <v>2137051.50277603</v>
      </c>
      <c r="F22" s="23">
        <v>2097076.3113740601</v>
      </c>
      <c r="G22" s="23">
        <v>2058684.29586919</v>
      </c>
      <c r="H22" s="23">
        <v>2021783.23242276</v>
      </c>
      <c r="I22" s="23">
        <v>1986287.9237742999</v>
      </c>
      <c r="J22" s="23">
        <v>1952119.5425519401</v>
      </c>
      <c r="K22" s="23">
        <v>1919205.0468790301</v>
      </c>
      <c r="L22" s="23">
        <v>1887476.6591582899</v>
      </c>
      <c r="M22" s="23">
        <v>1856871.4002064299</v>
      </c>
      <c r="N22" s="23">
        <v>1827330.6720007199</v>
      </c>
    </row>
    <row r="23" spans="1:14" outlineLevel="1" x14ac:dyDescent="0.25">
      <c r="A23" s="5">
        <f>'Model-1'!N64</f>
        <v>0</v>
      </c>
      <c r="B23" s="29"/>
      <c r="C23" s="29" t="s">
        <v>169</v>
      </c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</row>
    <row r="24" spans="1:14" outlineLevel="1" x14ac:dyDescent="0.25">
      <c r="A24" s="5" t="str">
        <f>'Model-1'!N65</f>
        <v>Varmemængder:</v>
      </c>
      <c r="B24" s="29"/>
      <c r="C24" s="29" t="s">
        <v>170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 outlineLevel="1" x14ac:dyDescent="0.25">
      <c r="A25" s="5" t="str">
        <f>'Model-1'!N66</f>
        <v>Varmeproduktion Ovn2</v>
      </c>
      <c r="B25" s="29"/>
      <c r="C25" s="29" t="s">
        <v>171</v>
      </c>
      <c r="D25" s="24">
        <v>3283</v>
      </c>
      <c r="E25" s="24">
        <v>6965.8</v>
      </c>
      <c r="F25" s="24">
        <v>6556.6</v>
      </c>
      <c r="G25" s="24">
        <v>6147.4</v>
      </c>
      <c r="H25" s="24">
        <v>5738.2</v>
      </c>
      <c r="I25" s="24">
        <v>5329</v>
      </c>
      <c r="J25" s="24">
        <v>4919.8</v>
      </c>
      <c r="K25" s="24">
        <v>4510.6000000000004</v>
      </c>
      <c r="L25" s="24">
        <v>4101.3999999999996</v>
      </c>
      <c r="M25" s="24">
        <v>3692.2</v>
      </c>
      <c r="N25" s="24">
        <v>3283</v>
      </c>
    </row>
    <row r="26" spans="1:14" outlineLevel="1" x14ac:dyDescent="0.25">
      <c r="A26" s="5" t="str">
        <f>'Model-1'!N67</f>
        <v>Varmeproduktion Ovn3</v>
      </c>
      <c r="B26" s="29"/>
      <c r="C26" s="29" t="s">
        <v>172</v>
      </c>
      <c r="D26" s="24">
        <v>20832</v>
      </c>
      <c r="E26" s="24">
        <v>17149.2</v>
      </c>
      <c r="F26" s="24">
        <v>17558.400000000001</v>
      </c>
      <c r="G26" s="24">
        <v>17967.599999999999</v>
      </c>
      <c r="H26" s="24">
        <v>18376.8</v>
      </c>
      <c r="I26" s="24">
        <v>18786</v>
      </c>
      <c r="J26" s="24">
        <v>19195.2</v>
      </c>
      <c r="K26" s="24">
        <v>19604.400000000001</v>
      </c>
      <c r="L26" s="24">
        <v>20013.599999999999</v>
      </c>
      <c r="M26" s="24">
        <v>20422.8</v>
      </c>
      <c r="N26" s="24">
        <v>20832</v>
      </c>
    </row>
    <row r="27" spans="1:14" outlineLevel="1" x14ac:dyDescent="0.25">
      <c r="A27" s="5" t="str">
        <f>'Model-1'!N68</f>
        <v>Heraf RGK-varme</v>
      </c>
      <c r="B27" s="29"/>
      <c r="C27" s="29" t="s">
        <v>173</v>
      </c>
      <c r="D27" s="24">
        <v>5049.4716687852897</v>
      </c>
      <c r="E27" s="24">
        <v>583.03750632208801</v>
      </c>
      <c r="F27" s="24">
        <v>1145.91701256335</v>
      </c>
      <c r="G27" s="24">
        <v>1689.83602367907</v>
      </c>
      <c r="H27" s="24">
        <v>2215.8990345309498</v>
      </c>
      <c r="I27" s="24">
        <v>2725.1263879911999</v>
      </c>
      <c r="J27" s="24">
        <v>3218.4621396144798</v>
      </c>
      <c r="K27" s="24">
        <v>3696.7810564744</v>
      </c>
      <c r="L27" s="24">
        <v>4160.8948593689802</v>
      </c>
      <c r="M27" s="24">
        <v>4611.5578021370802</v>
      </c>
      <c r="N27" s="24">
        <v>5049.4716687852897</v>
      </c>
    </row>
    <row r="28" spans="1:14" outlineLevel="1" x14ac:dyDescent="0.25">
      <c r="A28" s="5" t="str">
        <f>'Model-1'!N69</f>
        <v>Bortkølet varme</v>
      </c>
      <c r="B28" s="29"/>
      <c r="C28" s="29" t="s">
        <v>174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</row>
    <row r="29" spans="1:14" outlineLevel="1" x14ac:dyDescent="0.25">
      <c r="A29" s="5" t="str">
        <f>'Model-1'!N70</f>
        <v>Leveret varme</v>
      </c>
      <c r="B29" s="29"/>
      <c r="C29" s="29" t="s">
        <v>175</v>
      </c>
      <c r="D29" s="24">
        <v>24115</v>
      </c>
      <c r="E29" s="24">
        <v>24115</v>
      </c>
      <c r="F29" s="24">
        <v>24115</v>
      </c>
      <c r="G29" s="24">
        <v>24115</v>
      </c>
      <c r="H29" s="24">
        <v>24115</v>
      </c>
      <c r="I29" s="24">
        <v>24115</v>
      </c>
      <c r="J29" s="24">
        <v>24115</v>
      </c>
      <c r="K29" s="24">
        <v>24115</v>
      </c>
      <c r="L29" s="24">
        <v>24115</v>
      </c>
      <c r="M29" s="24">
        <v>24115</v>
      </c>
      <c r="N29" s="24">
        <v>24115</v>
      </c>
    </row>
    <row r="30" spans="1:14" outlineLevel="1" x14ac:dyDescent="0.25">
      <c r="A30" s="5" t="str">
        <f>'Model-1'!N71</f>
        <v>Spidslastvarme</v>
      </c>
      <c r="B30" s="29"/>
      <c r="C30" s="29" t="s">
        <v>176</v>
      </c>
      <c r="D30" s="24">
        <v>4000</v>
      </c>
      <c r="E30" s="24">
        <v>4000</v>
      </c>
      <c r="F30" s="24">
        <v>4000</v>
      </c>
      <c r="G30" s="24">
        <v>4000</v>
      </c>
      <c r="H30" s="24">
        <v>4000</v>
      </c>
      <c r="I30" s="24">
        <v>4000</v>
      </c>
      <c r="J30" s="24">
        <v>4000</v>
      </c>
      <c r="K30" s="24">
        <v>4000</v>
      </c>
      <c r="L30" s="24">
        <v>4000</v>
      </c>
      <c r="M30" s="24">
        <v>4000</v>
      </c>
      <c r="N30" s="24">
        <v>4000</v>
      </c>
    </row>
    <row r="31" spans="1:14" outlineLevel="1" x14ac:dyDescent="0.25">
      <c r="A31" s="5">
        <f>'Model-1'!N72</f>
        <v>0</v>
      </c>
      <c r="B31" s="29"/>
      <c r="C31" s="29" t="s">
        <v>177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</row>
    <row r="32" spans="1:14" outlineLevel="1" x14ac:dyDescent="0.25">
      <c r="A32" s="5" t="str">
        <f>'Model-1'!N73</f>
        <v>Brændselsmængder:</v>
      </c>
      <c r="B32" s="29"/>
      <c r="C32" s="29" t="s">
        <v>178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 outlineLevel="1" x14ac:dyDescent="0.25">
      <c r="A33" s="5" t="str">
        <f>'Model-1'!N74</f>
        <v>Affaldsforbrug Ovn3</v>
      </c>
      <c r="B33" s="29"/>
      <c r="C33" s="29" t="s">
        <v>179</v>
      </c>
      <c r="D33" s="24">
        <v>9006.456241033</v>
      </c>
      <c r="E33" s="24">
        <v>9006.456241033</v>
      </c>
      <c r="F33" s="24">
        <v>9006.456241033</v>
      </c>
      <c r="G33" s="24">
        <v>9006.456241033</v>
      </c>
      <c r="H33" s="24">
        <v>9006.456241033</v>
      </c>
      <c r="I33" s="24">
        <v>9006.456241033</v>
      </c>
      <c r="J33" s="24">
        <v>9006.456241033</v>
      </c>
      <c r="K33" s="24">
        <v>9006.456241033</v>
      </c>
      <c r="L33" s="24">
        <v>9006.456241033</v>
      </c>
      <c r="M33" s="24">
        <v>9006.456241033</v>
      </c>
      <c r="N33" s="24">
        <v>9006.456241033</v>
      </c>
    </row>
    <row r="34" spans="1:14" outlineLevel="1" x14ac:dyDescent="0.25">
      <c r="A34" s="5" t="str">
        <f>'Model-1'!N75</f>
        <v>Nordic Sugar varme</v>
      </c>
      <c r="B34" s="29"/>
      <c r="C34" s="29" t="s">
        <v>180</v>
      </c>
      <c r="D34" s="24">
        <v>4000</v>
      </c>
      <c r="E34" s="24">
        <v>4000</v>
      </c>
      <c r="F34" s="24">
        <v>4000</v>
      </c>
      <c r="G34" s="24">
        <v>4000</v>
      </c>
      <c r="H34" s="24">
        <v>4000</v>
      </c>
      <c r="I34" s="24">
        <v>4000</v>
      </c>
      <c r="J34" s="24">
        <v>4000</v>
      </c>
      <c r="K34" s="24">
        <v>4000</v>
      </c>
      <c r="L34" s="24">
        <v>4000</v>
      </c>
      <c r="M34" s="24">
        <v>4000</v>
      </c>
      <c r="N34" s="24">
        <v>4000</v>
      </c>
    </row>
    <row r="35" spans="1:14" outlineLevel="1" x14ac:dyDescent="0.25">
      <c r="A35" s="5" t="str">
        <f>'Model-1'!N76</f>
        <v>Affaldsforbrug Ovn2</v>
      </c>
      <c r="B35" s="29"/>
      <c r="C35" s="29" t="s">
        <v>181</v>
      </c>
      <c r="D35" s="24">
        <v>1134.1135258966599</v>
      </c>
      <c r="E35" s="24">
        <v>2852.8750729294502</v>
      </c>
      <c r="F35" s="24">
        <v>2631.0371628185999</v>
      </c>
      <c r="G35" s="24">
        <v>2417.98491251411</v>
      </c>
      <c r="H35" s="24">
        <v>2213.20653600786</v>
      </c>
      <c r="I35" s="24">
        <v>2016.2292405113701</v>
      </c>
      <c r="J35" s="24">
        <v>1826.6155822297001</v>
      </c>
      <c r="K35" s="24">
        <v>1643.9602233345199</v>
      </c>
      <c r="L35" s="24">
        <v>1467.8870395346601</v>
      </c>
      <c r="M35" s="24">
        <v>1298.0465348073601</v>
      </c>
      <c r="N35" s="24">
        <v>1134.1135258966599</v>
      </c>
    </row>
    <row r="36" spans="1:14" outlineLevel="1" x14ac:dyDescent="0.25">
      <c r="A36" s="5" t="str">
        <f>'Model-1'!N77</f>
        <v>Affaldsforbrug kølevarme Ovn3</v>
      </c>
      <c r="B36" s="29"/>
      <c r="C36" s="29" t="s">
        <v>182</v>
      </c>
      <c r="D36" s="24">
        <v>0</v>
      </c>
      <c r="E36" s="24">
        <v>0</v>
      </c>
      <c r="F36" s="24">
        <v>0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</row>
    <row r="37" spans="1:14" outlineLevel="1" x14ac:dyDescent="0.25">
      <c r="A37" s="5" t="str">
        <f>'Model-1'!N78</f>
        <v>Affaldsforbrug kølevarme Ovn2</v>
      </c>
      <c r="B37" s="29"/>
      <c r="C37" s="29" t="s">
        <v>183</v>
      </c>
      <c r="D37" s="24">
        <v>0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</row>
    <row r="38" spans="1:14" outlineLevel="1" x14ac:dyDescent="0.25">
      <c r="A38" s="5" t="str">
        <f>'Model-1'!N79</f>
        <v>Udnyttet affald</v>
      </c>
      <c r="B38" s="29"/>
      <c r="C38" s="29" t="s">
        <v>184</v>
      </c>
      <c r="D38" s="24">
        <v>10140.569766929701</v>
      </c>
      <c r="E38" s="24">
        <v>11859.331313962501</v>
      </c>
      <c r="F38" s="24">
        <v>11637.4934038516</v>
      </c>
      <c r="G38" s="24">
        <v>11424.441153547101</v>
      </c>
      <c r="H38" s="24">
        <v>11219.6627770409</v>
      </c>
      <c r="I38" s="24">
        <v>11022.6854815444</v>
      </c>
      <c r="J38" s="24">
        <v>10833.0718232627</v>
      </c>
      <c r="K38" s="24">
        <v>10650.416464367499</v>
      </c>
      <c r="L38" s="24">
        <v>10474.3432805677</v>
      </c>
      <c r="M38" s="24">
        <v>10304.502775840399</v>
      </c>
      <c r="N38" s="24">
        <v>10140.569766929701</v>
      </c>
    </row>
    <row r="39" spans="1:14" ht="15.75" outlineLevel="1" thickBot="1" x14ac:dyDescent="0.3">
      <c r="A39" s="5" t="str">
        <f>'Model-1'!N80</f>
        <v>Ikke-udnyttet affald</v>
      </c>
      <c r="B39" s="31"/>
      <c r="C39" s="31" t="s">
        <v>185</v>
      </c>
      <c r="D39" s="25">
        <v>1859.4302330703399</v>
      </c>
      <c r="E39" s="36">
        <v>140.66868603754901</v>
      </c>
      <c r="F39" s="36">
        <v>362.50659614840498</v>
      </c>
      <c r="G39" s="36">
        <v>575.558846452887</v>
      </c>
      <c r="H39" s="36">
        <v>780.33722295914004</v>
      </c>
      <c r="I39" s="36">
        <v>977.31451845562901</v>
      </c>
      <c r="J39" s="36">
        <v>1166.9281767373</v>
      </c>
      <c r="K39" s="36">
        <v>1349.5835356324801</v>
      </c>
      <c r="L39" s="36">
        <v>1525.65671943234</v>
      </c>
      <c r="M39" s="36">
        <v>1695.4972241596399</v>
      </c>
      <c r="N39" s="36">
        <v>1859.4302330703399</v>
      </c>
    </row>
    <row r="40" spans="1:14" x14ac:dyDescent="0.25">
      <c r="B40" t="s">
        <v>201</v>
      </c>
    </row>
    <row r="41" spans="1:14" x14ac:dyDescent="0.25">
      <c r="B41" t="s">
        <v>202</v>
      </c>
    </row>
    <row r="42" spans="1:14" x14ac:dyDescent="0.25">
      <c r="B42" t="s">
        <v>203</v>
      </c>
    </row>
  </sheetData>
  <customSheetViews>
    <customSheetView guid="{EEB625C4-AF57-4951-B4C5-8C71271FF126}" scale="85" showGridLines="0" hiddenRows="1">
      <selection activeCell="K28" sqref="K28"/>
      <pageMargins left="0.7" right="0.7" top="0.75" bottom="0.75" header="0.3" footer="0.3"/>
    </customSheetView>
    <customSheetView guid="{B8935784-587B-4D0A-AED7-A4A9B4EF97F4}" scale="85" showGridLines="0" hiddenRows="1">
      <selection activeCell="K28" sqref="K28"/>
      <pageMargins left="0.7" right="0.7" top="0.75" bottom="0.75" header="0.3" footer="0.3"/>
    </customSheetView>
    <customSheetView guid="{2B82E035-636B-4F9F-846A-FEE8C149952C}" scale="85" showGridLines="0" hiddenRows="1">
      <selection activeCell="K28" sqref="K28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46F0AC-F652-49DB-BE24-DA5E259D70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28 GWh'!E8:N8</xm:f>
              <xm:sqref>O8</xm:sqref>
            </x14:sparkline>
            <x14:sparkline>
              <xm:f>'Scenario 28 GWh'!E9:N9</xm:f>
              <xm:sqref>O9</xm:sqref>
            </x14:sparkline>
            <x14:sparkline>
              <xm:f>'Scenario 28 GWh'!E10:N10</xm:f>
              <xm:sqref>O10</xm:sqref>
            </x14:sparkline>
            <x14:sparkline>
              <xm:f>'Scenario 28 GWh'!E11:N11</xm:f>
              <xm:sqref>O11</xm:sqref>
            </x14:sparkline>
            <x14:sparkline>
              <xm:f>'Scenario 28 GWh'!E12:N12</xm:f>
              <xm:sqref>O12</xm:sqref>
            </x14:sparkline>
            <x14:sparkline>
              <xm:f>'Scenario 28 GWh'!E13:N13</xm:f>
              <xm:sqref>O13</xm:sqref>
            </x14:sparkline>
            <x14:sparkline>
              <xm:f>'Scenario 28 GWh'!E14:N14</xm:f>
              <xm:sqref>O14</xm:sqref>
            </x14:sparkline>
            <x14:sparkline>
              <xm:f>'Scenario 28 GWh'!E15:N15</xm:f>
              <xm:sqref>O15</xm:sqref>
            </x14:sparkline>
            <x14:sparkline>
              <xm:f>'Scenario 28 GWh'!E16:N16</xm:f>
              <xm:sqref>O16</xm:sqref>
            </x14:sparkline>
            <x14:sparkline>
              <xm:f>'Scenario 28 GWh'!E17:N17</xm:f>
              <xm:sqref>O17</xm:sqref>
            </x14:sparkline>
            <x14:sparkline>
              <xm:f>'Scenario 28 GWh'!E18:N18</xm:f>
              <xm:sqref>O18</xm:sqref>
            </x14:sparkline>
            <x14:sparkline>
              <xm:f>'Scenario 28 GWh'!E19:N19</xm:f>
              <xm:sqref>O19</xm:sqref>
            </x14:sparkline>
            <x14:sparkline>
              <xm:f>'Scenario 28 GWh'!E20:N20</xm:f>
              <xm:sqref>O20</xm:sqref>
            </x14:sparkline>
            <x14:sparkline>
              <xm:f>'Scenario 28 GWh'!E21:N21</xm:f>
              <xm:sqref>O21</xm:sqref>
            </x14:sparkline>
            <x14:sparkline>
              <xm:f>'Scenario 28 GWh'!E22:N22</xm:f>
              <xm:sqref>O22</xm:sqref>
            </x14:sparkline>
            <x14:sparkline>
              <xm:f>'Scenario 28 GWh'!E23:N23</xm:f>
              <xm:sqref>O23</xm:sqref>
            </x14:sparkline>
            <x14:sparkline>
              <xm:f>'Scenario 28 GWh'!E24:N24</xm:f>
              <xm:sqref>O24</xm:sqref>
            </x14:sparkline>
            <x14:sparkline>
              <xm:f>'Scenario 28 GWh'!E25:N25</xm:f>
              <xm:sqref>O25</xm:sqref>
            </x14:sparkline>
            <x14:sparkline>
              <xm:f>'Scenario 28 GWh'!E26:N26</xm:f>
              <xm:sqref>O26</xm:sqref>
            </x14:sparkline>
            <x14:sparkline>
              <xm:f>'Scenario 28 GWh'!E27:N27</xm:f>
              <xm:sqref>O27</xm:sqref>
            </x14:sparkline>
            <x14:sparkline>
              <xm:f>'Scenario 28 GWh'!E28:N28</xm:f>
              <xm:sqref>O28</xm:sqref>
            </x14:sparkline>
            <x14:sparkline>
              <xm:f>'Scenario 28 GWh'!E29:N29</xm:f>
              <xm:sqref>O29</xm:sqref>
            </x14:sparkline>
            <x14:sparkline>
              <xm:f>'Scenario 28 GWh'!E30:N30</xm:f>
              <xm:sqref>O30</xm:sqref>
            </x14:sparkline>
            <x14:sparkline>
              <xm:f>'Scenario 28 GWh'!E31:N31</xm:f>
              <xm:sqref>O31</xm:sqref>
            </x14:sparkline>
            <x14:sparkline>
              <xm:f>'Scenario 28 GWh'!E32:N32</xm:f>
              <xm:sqref>O32</xm:sqref>
            </x14:sparkline>
            <x14:sparkline>
              <xm:f>'Scenario 28 GWh'!E33:N33</xm:f>
              <xm:sqref>O33</xm:sqref>
            </x14:sparkline>
            <x14:sparkline>
              <xm:f>'Scenario 28 GWh'!E34:N34</xm:f>
              <xm:sqref>O34</xm:sqref>
            </x14:sparkline>
            <x14:sparkline>
              <xm:f>'Scenario 28 GWh'!E35:N35</xm:f>
              <xm:sqref>O35</xm:sqref>
            </x14:sparkline>
            <x14:sparkline>
              <xm:f>'Scenario 28 GWh'!E36:N36</xm:f>
              <xm:sqref>O36</xm:sqref>
            </x14:sparkline>
            <x14:sparkline>
              <xm:f>'Scenario 28 GWh'!E37:N37</xm:f>
              <xm:sqref>O37</xm:sqref>
            </x14:sparkline>
            <x14:sparkline>
              <xm:f>'Scenario 28 GWh'!E38:N38</xm:f>
              <xm:sqref>O38</xm:sqref>
            </x14:sparkline>
            <x14:sparkline>
              <xm:f>'Scenario 28 GWh'!E39:N39</xm:f>
              <xm:sqref>O39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7F49F-1561-419C-B31C-066F255F1EE0}">
  <sheetPr codeName="Sheet5">
    <outlinePr summaryBelow="0"/>
  </sheetPr>
  <dimension ref="A1:N42"/>
  <sheetViews>
    <sheetView showGridLines="0" zoomScale="85" zoomScaleNormal="85" workbookViewId="0">
      <selection activeCell="P5" sqref="P5"/>
    </sheetView>
  </sheetViews>
  <sheetFormatPr defaultRowHeight="15" outlineLevelRow="1" outlineLevelCol="1" x14ac:dyDescent="0.25"/>
  <cols>
    <col min="1" max="1" width="30.7109375" bestFit="1" customWidth="1"/>
    <col min="2" max="2" width="3" customWidth="1"/>
    <col min="3" max="3" width="11.28515625" customWidth="1"/>
    <col min="4" max="14" width="13.140625" bestFit="1" customWidth="1" outlineLevel="1"/>
    <col min="15" max="15" width="17.85546875" customWidth="1"/>
  </cols>
  <sheetData>
    <row r="1" spans="1:14" ht="15.75" thickBot="1" x14ac:dyDescent="0.3"/>
    <row r="2" spans="1:14" ht="15.75" x14ac:dyDescent="0.25">
      <c r="B2" s="27" t="s">
        <v>197</v>
      </c>
      <c r="C2" s="27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4" ht="15.75" collapsed="1" x14ac:dyDescent="0.25">
      <c r="B3" s="26"/>
      <c r="C3" s="26"/>
      <c r="D3" s="33" t="s">
        <v>199</v>
      </c>
      <c r="E3" s="33" t="s">
        <v>186</v>
      </c>
      <c r="F3" s="33" t="s">
        <v>188</v>
      </c>
      <c r="G3" s="33" t="s">
        <v>189</v>
      </c>
      <c r="H3" s="33" t="s">
        <v>190</v>
      </c>
      <c r="I3" s="33" t="s">
        <v>191</v>
      </c>
      <c r="J3" s="33" t="s">
        <v>192</v>
      </c>
      <c r="K3" s="33" t="s">
        <v>193</v>
      </c>
      <c r="L3" s="33" t="s">
        <v>194</v>
      </c>
      <c r="M3" s="33" t="s">
        <v>195</v>
      </c>
      <c r="N3" s="33" t="s">
        <v>196</v>
      </c>
    </row>
    <row r="4" spans="1:14" ht="45" hidden="1" outlineLevel="1" x14ac:dyDescent="0.25">
      <c r="B4" s="29"/>
      <c r="C4" s="29"/>
      <c r="D4" s="21"/>
      <c r="E4" s="35" t="s">
        <v>187</v>
      </c>
      <c r="F4" s="35" t="s">
        <v>187</v>
      </c>
      <c r="G4" s="35" t="s">
        <v>187</v>
      </c>
      <c r="H4" s="35" t="s">
        <v>187</v>
      </c>
      <c r="I4" s="35" t="s">
        <v>187</v>
      </c>
      <c r="J4" s="35" t="s">
        <v>187</v>
      </c>
      <c r="K4" s="35" t="s">
        <v>187</v>
      </c>
      <c r="L4" s="35" t="s">
        <v>187</v>
      </c>
      <c r="M4" s="35" t="s">
        <v>187</v>
      </c>
      <c r="N4" s="35" t="s">
        <v>187</v>
      </c>
    </row>
    <row r="5" spans="1:14" x14ac:dyDescent="0.25">
      <c r="B5" s="30" t="s">
        <v>198</v>
      </c>
      <c r="C5" s="30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outlineLevel="1" x14ac:dyDescent="0.25">
      <c r="B6" s="29"/>
      <c r="C6" s="29" t="s">
        <v>153</v>
      </c>
      <c r="D6" s="22">
        <v>1</v>
      </c>
      <c r="E6" s="34">
        <v>0.1</v>
      </c>
      <c r="F6" s="34">
        <v>0.2</v>
      </c>
      <c r="G6" s="34">
        <v>0.3</v>
      </c>
      <c r="H6" s="34">
        <v>0.4</v>
      </c>
      <c r="I6" s="34">
        <v>0.5</v>
      </c>
      <c r="J6" s="34">
        <v>0.6</v>
      </c>
      <c r="K6" s="34">
        <v>0.7</v>
      </c>
      <c r="L6" s="34">
        <v>0.8</v>
      </c>
      <c r="M6" s="34">
        <v>0.9</v>
      </c>
      <c r="N6" s="34">
        <v>1</v>
      </c>
    </row>
    <row r="7" spans="1:14" x14ac:dyDescent="0.25">
      <c r="B7" s="30" t="s">
        <v>200</v>
      </c>
      <c r="C7" s="30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outlineLevel="1" x14ac:dyDescent="0.25">
      <c r="A8" s="5" t="str">
        <f>'Model-1'!N49</f>
        <v>Indtægter total</v>
      </c>
      <c r="B8" s="29"/>
      <c r="C8" s="29" t="s">
        <v>154</v>
      </c>
      <c r="D8" s="23">
        <v>18118707.4232703</v>
      </c>
      <c r="E8" s="23">
        <v>16310010.253459301</v>
      </c>
      <c r="F8" s="23">
        <v>16483548.253459301</v>
      </c>
      <c r="G8" s="23">
        <v>16657086.253459301</v>
      </c>
      <c r="H8" s="23">
        <v>17048733.495270301</v>
      </c>
      <c r="I8" s="23">
        <v>17227062.483270299</v>
      </c>
      <c r="J8" s="23">
        <v>17405391.4712703</v>
      </c>
      <c r="K8" s="23">
        <v>17583720.459270298</v>
      </c>
      <c r="L8" s="23">
        <v>17762049.4472703</v>
      </c>
      <c r="M8" s="23">
        <v>17940378.435270298</v>
      </c>
      <c r="N8" s="23">
        <v>18118707.4232703</v>
      </c>
    </row>
    <row r="9" spans="1:14" outlineLevel="1" x14ac:dyDescent="0.25">
      <c r="A9" s="5" t="str">
        <f>'Model-1'!N50</f>
        <v>Omkostninger total</v>
      </c>
      <c r="B9" s="29"/>
      <c r="C9" s="29" t="s">
        <v>155</v>
      </c>
      <c r="D9" s="23">
        <v>8974185.9215454608</v>
      </c>
      <c r="E9" s="23">
        <v>7934106.8600176601</v>
      </c>
      <c r="F9" s="23">
        <v>8049671.2001874102</v>
      </c>
      <c r="G9" s="23">
        <v>8165235.5403571697</v>
      </c>
      <c r="H9" s="23">
        <v>8280799.8805269198</v>
      </c>
      <c r="I9" s="23">
        <v>8396364.2206966802</v>
      </c>
      <c r="J9" s="23">
        <v>8511928.5608664397</v>
      </c>
      <c r="K9" s="23">
        <v>8627492.9010361899</v>
      </c>
      <c r="L9" s="23">
        <v>8743057.2412059493</v>
      </c>
      <c r="M9" s="23">
        <v>8858621.5813757107</v>
      </c>
      <c r="N9" s="23">
        <v>8974185.9215454608</v>
      </c>
    </row>
    <row r="10" spans="1:14" outlineLevel="1" x14ac:dyDescent="0.25">
      <c r="A10" s="5" t="str">
        <f>'Model-1'!N51</f>
        <v>Dækningsbidrag</v>
      </c>
      <c r="B10" s="29"/>
      <c r="C10" s="29" t="s">
        <v>156</v>
      </c>
      <c r="D10" s="23">
        <v>9144521.5017248206</v>
      </c>
      <c r="E10" s="23">
        <v>8375903.3934416501</v>
      </c>
      <c r="F10" s="23">
        <v>8433877.0532719009</v>
      </c>
      <c r="G10" s="23">
        <v>8491850.7131021395</v>
      </c>
      <c r="H10" s="23">
        <v>8767933.6147433594</v>
      </c>
      <c r="I10" s="23">
        <v>8830698.2625735998</v>
      </c>
      <c r="J10" s="23">
        <v>8893462.9104038496</v>
      </c>
      <c r="K10" s="23">
        <v>8956227.55823409</v>
      </c>
      <c r="L10" s="23">
        <v>9018992.2060643304</v>
      </c>
      <c r="M10" s="23">
        <v>9081756.8538945802</v>
      </c>
      <c r="N10" s="23">
        <v>9144521.5017248206</v>
      </c>
    </row>
    <row r="11" spans="1:14" outlineLevel="1" x14ac:dyDescent="0.25">
      <c r="A11" s="5">
        <f>'Model-1'!N52</f>
        <v>0</v>
      </c>
      <c r="B11" s="29"/>
      <c r="C11" s="29" t="s">
        <v>157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outlineLevel="1" x14ac:dyDescent="0.25">
      <c r="A12" s="5" t="str">
        <f>'Model-1'!N53</f>
        <v>Varmesalg</v>
      </c>
      <c r="B12" s="29"/>
      <c r="C12" s="29" t="s">
        <v>158</v>
      </c>
      <c r="D12" s="23">
        <v>9139668</v>
      </c>
      <c r="E12" s="23">
        <v>7577826</v>
      </c>
      <c r="F12" s="23">
        <v>7751364</v>
      </c>
      <c r="G12" s="23">
        <v>7924902</v>
      </c>
      <c r="H12" s="23">
        <v>8098440</v>
      </c>
      <c r="I12" s="23">
        <v>8271978</v>
      </c>
      <c r="J12" s="23">
        <v>8445516</v>
      </c>
      <c r="K12" s="23">
        <v>8619054</v>
      </c>
      <c r="L12" s="23">
        <v>8792592</v>
      </c>
      <c r="M12" s="23">
        <v>8966130</v>
      </c>
      <c r="N12" s="23">
        <v>9139668</v>
      </c>
    </row>
    <row r="13" spans="1:14" outlineLevel="1" x14ac:dyDescent="0.25">
      <c r="A13" s="5" t="str">
        <f>'Model-1'!N54</f>
        <v>Elsalg</v>
      </c>
      <c r="B13" s="29"/>
      <c r="C13" s="29" t="s">
        <v>159</v>
      </c>
      <c r="D13" s="23">
        <v>3947332.4512195098</v>
      </c>
      <c r="E13" s="23">
        <v>3947332.4512195098</v>
      </c>
      <c r="F13" s="23">
        <v>3947332.4512195098</v>
      </c>
      <c r="G13" s="23">
        <v>3947332.4512195098</v>
      </c>
      <c r="H13" s="23">
        <v>3947332.4512195098</v>
      </c>
      <c r="I13" s="23">
        <v>3947332.4512195098</v>
      </c>
      <c r="J13" s="23">
        <v>3947332.4512195098</v>
      </c>
      <c r="K13" s="23">
        <v>3947332.4512195098</v>
      </c>
      <c r="L13" s="23">
        <v>3947332.4512195098</v>
      </c>
      <c r="M13" s="23">
        <v>3947332.4512195098</v>
      </c>
      <c r="N13" s="23">
        <v>3947332.4512195098</v>
      </c>
    </row>
    <row r="14" spans="1:14" outlineLevel="1" x14ac:dyDescent="0.25">
      <c r="A14" s="5" t="str">
        <f>'Model-1'!N55</f>
        <v>RGK-rabat</v>
      </c>
      <c r="B14" s="29"/>
      <c r="C14" s="29" t="s">
        <v>160</v>
      </c>
      <c r="D14" s="23">
        <v>246855.16981097599</v>
      </c>
      <c r="E14" s="23">
        <v>0</v>
      </c>
      <c r="F14" s="23">
        <v>0</v>
      </c>
      <c r="G14" s="23">
        <v>0</v>
      </c>
      <c r="H14" s="23">
        <v>218109.241810976</v>
      </c>
      <c r="I14" s="23">
        <v>222900.22981097599</v>
      </c>
      <c r="J14" s="23">
        <v>227691.217810976</v>
      </c>
      <c r="K14" s="23">
        <v>232482.20581097601</v>
      </c>
      <c r="L14" s="23">
        <v>237273.19381097599</v>
      </c>
      <c r="M14" s="23">
        <v>242064.18181097601</v>
      </c>
      <c r="N14" s="23">
        <v>246855.16981097599</v>
      </c>
    </row>
    <row r="15" spans="1:14" outlineLevel="1" x14ac:dyDescent="0.25">
      <c r="A15" s="5" t="str">
        <f>'Model-1'!N56</f>
        <v>Modtagebetaling affald</v>
      </c>
      <c r="B15" s="29"/>
      <c r="C15" s="29" t="s">
        <v>161</v>
      </c>
      <c r="D15" s="23">
        <v>4784851.8022397999</v>
      </c>
      <c r="E15" s="23">
        <v>4784851.8022397999</v>
      </c>
      <c r="F15" s="23">
        <v>4784851.8022397999</v>
      </c>
      <c r="G15" s="23">
        <v>4784851.8022397999</v>
      </c>
      <c r="H15" s="23">
        <v>4784851.8022397999</v>
      </c>
      <c r="I15" s="23">
        <v>4784851.8022397999</v>
      </c>
      <c r="J15" s="23">
        <v>4784851.8022397999</v>
      </c>
      <c r="K15" s="23">
        <v>4784851.8022397999</v>
      </c>
      <c r="L15" s="23">
        <v>4784851.8022397999</v>
      </c>
      <c r="M15" s="23">
        <v>4784851.8022397999</v>
      </c>
      <c r="N15" s="23">
        <v>4784851.8022397999</v>
      </c>
    </row>
    <row r="16" spans="1:14" outlineLevel="1" x14ac:dyDescent="0.25">
      <c r="A16" s="5">
        <f>'Model-1'!N57</f>
        <v>0</v>
      </c>
      <c r="B16" s="29"/>
      <c r="C16" s="29" t="s">
        <v>162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</row>
    <row r="17" spans="1:14" outlineLevel="1" x14ac:dyDescent="0.25">
      <c r="A17" s="5" t="str">
        <f>'Model-1'!N58</f>
        <v>Betaling bioaffald</v>
      </c>
      <c r="B17" s="29"/>
      <c r="C17" s="29" t="s">
        <v>163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</row>
    <row r="18" spans="1:14" outlineLevel="1" x14ac:dyDescent="0.25">
      <c r="A18" s="5" t="str">
        <f>'Model-1'!N59</f>
        <v>DV-omkostninger</v>
      </c>
      <c r="B18" s="29"/>
      <c r="C18" s="29" t="s">
        <v>164</v>
      </c>
      <c r="D18" s="23">
        <v>1107810.8046975599</v>
      </c>
      <c r="E18" s="23">
        <v>1054917.0804697601</v>
      </c>
      <c r="F18" s="23">
        <v>1060794.16093951</v>
      </c>
      <c r="G18" s="23">
        <v>1066671.2414092701</v>
      </c>
      <c r="H18" s="23">
        <v>1072548.32187902</v>
      </c>
      <c r="I18" s="23">
        <v>1078425.4023487801</v>
      </c>
      <c r="J18" s="23">
        <v>1084302.48281854</v>
      </c>
      <c r="K18" s="23">
        <v>1090179.5632882901</v>
      </c>
      <c r="L18" s="23">
        <v>1096056.6437580499</v>
      </c>
      <c r="M18" s="23">
        <v>1101933.7242278</v>
      </c>
      <c r="N18" s="23">
        <v>1107810.8046975599</v>
      </c>
    </row>
    <row r="19" spans="1:14" outlineLevel="1" x14ac:dyDescent="0.25">
      <c r="A19" s="5" t="str">
        <f>'Model-1'!N60</f>
        <v>Affaldvarme-afgift</v>
      </c>
      <c r="B19" s="29"/>
      <c r="C19" s="29" t="s">
        <v>165</v>
      </c>
      <c r="D19" s="23">
        <v>2729557.44</v>
      </c>
      <c r="E19" s="23">
        <v>2263114.08</v>
      </c>
      <c r="F19" s="23">
        <v>2314941.12</v>
      </c>
      <c r="G19" s="23">
        <v>2366768.16</v>
      </c>
      <c r="H19" s="23">
        <v>2418595.2000000002</v>
      </c>
      <c r="I19" s="23">
        <v>2470422.2400000002</v>
      </c>
      <c r="J19" s="23">
        <v>2522249.2799999998</v>
      </c>
      <c r="K19" s="23">
        <v>2574076.3199999998</v>
      </c>
      <c r="L19" s="23">
        <v>2625903.36</v>
      </c>
      <c r="M19" s="23">
        <v>2677730.4</v>
      </c>
      <c r="N19" s="23">
        <v>2729557.44</v>
      </c>
    </row>
    <row r="20" spans="1:14" outlineLevel="1" x14ac:dyDescent="0.25">
      <c r="A20" s="5" t="str">
        <f>'Model-1'!N61</f>
        <v>Tillægsafgift</v>
      </c>
      <c r="B20" s="29"/>
      <c r="C20" s="29" t="s">
        <v>166</v>
      </c>
      <c r="D20" s="23">
        <v>2468551.6981097599</v>
      </c>
      <c r="E20" s="23">
        <v>2037362.77810976</v>
      </c>
      <c r="F20" s="23">
        <v>2085272.6581097599</v>
      </c>
      <c r="G20" s="23">
        <v>2133182.5381097598</v>
      </c>
      <c r="H20" s="23">
        <v>2181092.4181097602</v>
      </c>
      <c r="I20" s="23">
        <v>2229002.29810976</v>
      </c>
      <c r="J20" s="23">
        <v>2276912.1781097599</v>
      </c>
      <c r="K20" s="23">
        <v>2324822.0581097598</v>
      </c>
      <c r="L20" s="23">
        <v>2372731.9381097602</v>
      </c>
      <c r="M20" s="23">
        <v>2420641.8181097601</v>
      </c>
      <c r="N20" s="23">
        <v>2468551.6981097599</v>
      </c>
    </row>
    <row r="21" spans="1:14" outlineLevel="1" x14ac:dyDescent="0.25">
      <c r="A21" s="5" t="str">
        <f>'Model-1'!N62</f>
        <v>CO2-afgift</v>
      </c>
      <c r="B21" s="29"/>
      <c r="C21" s="29" t="s">
        <v>167</v>
      </c>
      <c r="D21" s="23">
        <v>512690.24182911601</v>
      </c>
      <c r="E21" s="23">
        <v>423137.18452911603</v>
      </c>
      <c r="F21" s="23">
        <v>433087.52422911598</v>
      </c>
      <c r="G21" s="23">
        <v>443037.86392911599</v>
      </c>
      <c r="H21" s="23">
        <v>452988.203629116</v>
      </c>
      <c r="I21" s="23">
        <v>462938.54332911602</v>
      </c>
      <c r="J21" s="23">
        <v>472888.88302911603</v>
      </c>
      <c r="K21" s="23">
        <v>482839.22272911598</v>
      </c>
      <c r="L21" s="23">
        <v>492789.56242911599</v>
      </c>
      <c r="M21" s="23">
        <v>502739.902129116</v>
      </c>
      <c r="N21" s="23">
        <v>512690.24182911601</v>
      </c>
    </row>
    <row r="22" spans="1:14" outlineLevel="1" x14ac:dyDescent="0.25">
      <c r="A22" s="5" t="str">
        <f>'Model-1'!N63</f>
        <v>Kvote-omkostning</v>
      </c>
      <c r="B22" s="29"/>
      <c r="C22" s="29" t="s">
        <v>168</v>
      </c>
      <c r="D22" s="23">
        <v>2155575.73690903</v>
      </c>
      <c r="E22" s="23">
        <v>2155575.73690903</v>
      </c>
      <c r="F22" s="23">
        <v>2155575.73690903</v>
      </c>
      <c r="G22" s="23">
        <v>2155575.73690903</v>
      </c>
      <c r="H22" s="23">
        <v>2155575.73690903</v>
      </c>
      <c r="I22" s="23">
        <v>2155575.73690903</v>
      </c>
      <c r="J22" s="23">
        <v>2155575.73690903</v>
      </c>
      <c r="K22" s="23">
        <v>2155575.73690903</v>
      </c>
      <c r="L22" s="23">
        <v>2155575.73690903</v>
      </c>
      <c r="M22" s="23">
        <v>2155575.73690903</v>
      </c>
      <c r="N22" s="23">
        <v>2155575.73690903</v>
      </c>
    </row>
    <row r="23" spans="1:14" outlineLevel="1" x14ac:dyDescent="0.25">
      <c r="A23" s="5">
        <f>'Model-1'!N64</f>
        <v>0</v>
      </c>
      <c r="B23" s="29"/>
      <c r="C23" s="29" t="s">
        <v>169</v>
      </c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</row>
    <row r="24" spans="1:14" outlineLevel="1" x14ac:dyDescent="0.25">
      <c r="A24" s="5" t="str">
        <f>'Model-1'!N65</f>
        <v>Varmemængder:</v>
      </c>
      <c r="B24" s="29"/>
      <c r="C24" s="29" t="s">
        <v>170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 outlineLevel="1" x14ac:dyDescent="0.25">
      <c r="A25" s="5" t="str">
        <f>'Model-1'!N66</f>
        <v>Varmeproduktion Ovn2</v>
      </c>
      <c r="B25" s="29"/>
      <c r="C25" s="29" t="s">
        <v>171</v>
      </c>
      <c r="D25" s="24">
        <v>8556</v>
      </c>
      <c r="E25" s="24">
        <v>7216.8</v>
      </c>
      <c r="F25" s="24">
        <v>7365.6</v>
      </c>
      <c r="G25" s="24">
        <v>7514.4</v>
      </c>
      <c r="H25" s="24">
        <v>7663.2</v>
      </c>
      <c r="I25" s="24">
        <v>7812</v>
      </c>
      <c r="J25" s="24">
        <v>7960.8</v>
      </c>
      <c r="K25" s="24">
        <v>8109.6</v>
      </c>
      <c r="L25" s="24">
        <v>8258.4</v>
      </c>
      <c r="M25" s="24">
        <v>8407.2000000000007</v>
      </c>
      <c r="N25" s="24">
        <v>8556</v>
      </c>
    </row>
    <row r="26" spans="1:14" outlineLevel="1" x14ac:dyDescent="0.25">
      <c r="A26" s="5" t="str">
        <f>'Model-1'!N67</f>
        <v>Varmeproduktion Ovn3</v>
      </c>
      <c r="B26" s="29"/>
      <c r="C26" s="29" t="s">
        <v>172</v>
      </c>
      <c r="D26" s="24">
        <v>20832</v>
      </c>
      <c r="E26" s="24">
        <v>17149.2</v>
      </c>
      <c r="F26" s="24">
        <v>17558.400000000001</v>
      </c>
      <c r="G26" s="24">
        <v>17967.599999999999</v>
      </c>
      <c r="H26" s="24">
        <v>18376.8</v>
      </c>
      <c r="I26" s="24">
        <v>18786</v>
      </c>
      <c r="J26" s="24">
        <v>19195.2</v>
      </c>
      <c r="K26" s="24">
        <v>19604.400000000001</v>
      </c>
      <c r="L26" s="24">
        <v>20013.599999999999</v>
      </c>
      <c r="M26" s="24">
        <v>20422.8</v>
      </c>
      <c r="N26" s="24">
        <v>20832</v>
      </c>
    </row>
    <row r="27" spans="1:14" outlineLevel="1" x14ac:dyDescent="0.25">
      <c r="A27" s="5" t="str">
        <f>'Model-1'!N68</f>
        <v>Heraf RGK-varme</v>
      </c>
      <c r="B27" s="29"/>
      <c r="C27" s="29" t="s">
        <v>173</v>
      </c>
      <c r="D27" s="24">
        <v>5877.0804697560598</v>
      </c>
      <c r="E27" s="24">
        <v>587.70804697560595</v>
      </c>
      <c r="F27" s="24">
        <v>1175.4160939512101</v>
      </c>
      <c r="G27" s="24">
        <v>1763.12414092682</v>
      </c>
      <c r="H27" s="24">
        <v>2350.8321879024202</v>
      </c>
      <c r="I27" s="24">
        <v>2938.5402348780299</v>
      </c>
      <c r="J27" s="24">
        <v>3526.24828185363</v>
      </c>
      <c r="K27" s="24">
        <v>4113.9563288292402</v>
      </c>
      <c r="L27" s="24">
        <v>4701.6643758048504</v>
      </c>
      <c r="M27" s="24">
        <v>5289.3724227804496</v>
      </c>
      <c r="N27" s="24">
        <v>5877.0804697560598</v>
      </c>
    </row>
    <row r="28" spans="1:14" outlineLevel="1" x14ac:dyDescent="0.25">
      <c r="A28" s="5" t="str">
        <f>'Model-1'!N69</f>
        <v>Bortkølet varme</v>
      </c>
      <c r="B28" s="29"/>
      <c r="C28" s="29" t="s">
        <v>174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</row>
    <row r="29" spans="1:14" outlineLevel="1" x14ac:dyDescent="0.25">
      <c r="A29" s="5" t="str">
        <f>'Model-1'!N70</f>
        <v>Leveret varme</v>
      </c>
      <c r="B29" s="29"/>
      <c r="C29" s="29" t="s">
        <v>175</v>
      </c>
      <c r="D29" s="24">
        <v>29388</v>
      </c>
      <c r="E29" s="24">
        <v>24366</v>
      </c>
      <c r="F29" s="24">
        <v>24924</v>
      </c>
      <c r="G29" s="24">
        <v>25482</v>
      </c>
      <c r="H29" s="24">
        <v>26040</v>
      </c>
      <c r="I29" s="24">
        <v>26598</v>
      </c>
      <c r="J29" s="24">
        <v>27156</v>
      </c>
      <c r="K29" s="24">
        <v>27714</v>
      </c>
      <c r="L29" s="24">
        <v>28272</v>
      </c>
      <c r="M29" s="24">
        <v>28830</v>
      </c>
      <c r="N29" s="24">
        <v>29388</v>
      </c>
    </row>
    <row r="30" spans="1:14" outlineLevel="1" x14ac:dyDescent="0.25">
      <c r="A30" s="5" t="str">
        <f>'Model-1'!N71</f>
        <v>Spidslastvarme</v>
      </c>
      <c r="B30" s="29"/>
      <c r="C30" s="29" t="s">
        <v>176</v>
      </c>
      <c r="D30" s="24">
        <v>5612</v>
      </c>
      <c r="E30" s="24">
        <v>10634</v>
      </c>
      <c r="F30" s="24">
        <v>10076</v>
      </c>
      <c r="G30" s="24">
        <v>9518</v>
      </c>
      <c r="H30" s="24">
        <v>8960</v>
      </c>
      <c r="I30" s="24">
        <v>8402</v>
      </c>
      <c r="J30" s="24">
        <v>7844</v>
      </c>
      <c r="K30" s="24">
        <v>7286</v>
      </c>
      <c r="L30" s="24">
        <v>6728</v>
      </c>
      <c r="M30" s="24">
        <v>6170</v>
      </c>
      <c r="N30" s="24">
        <v>5612</v>
      </c>
    </row>
    <row r="31" spans="1:14" outlineLevel="1" x14ac:dyDescent="0.25">
      <c r="A31" s="5">
        <f>'Model-1'!N72</f>
        <v>0</v>
      </c>
      <c r="B31" s="29"/>
      <c r="C31" s="29" t="s">
        <v>177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</row>
    <row r="32" spans="1:14" outlineLevel="1" x14ac:dyDescent="0.25">
      <c r="A32" s="5" t="str">
        <f>'Model-1'!N73</f>
        <v>Brændselsmængder:</v>
      </c>
      <c r="B32" s="29"/>
      <c r="C32" s="29" t="s">
        <v>178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 outlineLevel="1" x14ac:dyDescent="0.25">
      <c r="A33" s="5" t="str">
        <f>'Model-1'!N74</f>
        <v>Affaldsforbrug Ovn3</v>
      </c>
      <c r="B33" s="29"/>
      <c r="C33" s="29" t="s">
        <v>179</v>
      </c>
      <c r="D33" s="24">
        <v>9006.456241033</v>
      </c>
      <c r="E33" s="24">
        <v>9006.456241033</v>
      </c>
      <c r="F33" s="24">
        <v>9006.456241033</v>
      </c>
      <c r="G33" s="24">
        <v>9006.456241033</v>
      </c>
      <c r="H33" s="24">
        <v>9006.456241033</v>
      </c>
      <c r="I33" s="24">
        <v>9006.456241033</v>
      </c>
      <c r="J33" s="24">
        <v>9006.456241033</v>
      </c>
      <c r="K33" s="24">
        <v>9006.456241033</v>
      </c>
      <c r="L33" s="24">
        <v>9006.456241033</v>
      </c>
      <c r="M33" s="24">
        <v>9006.456241033</v>
      </c>
      <c r="N33" s="24">
        <v>9006.456241033</v>
      </c>
    </row>
    <row r="34" spans="1:14" outlineLevel="1" x14ac:dyDescent="0.25">
      <c r="A34" s="5" t="str">
        <f>'Model-1'!N75</f>
        <v>Nordic Sugar varme</v>
      </c>
      <c r="B34" s="29"/>
      <c r="C34" s="29" t="s">
        <v>180</v>
      </c>
      <c r="D34" s="24">
        <v>4000</v>
      </c>
      <c r="E34" s="24">
        <v>4000</v>
      </c>
      <c r="F34" s="24">
        <v>4000</v>
      </c>
      <c r="G34" s="24">
        <v>4000</v>
      </c>
      <c r="H34" s="24">
        <v>4000</v>
      </c>
      <c r="I34" s="24">
        <v>4000</v>
      </c>
      <c r="J34" s="24">
        <v>4000</v>
      </c>
      <c r="K34" s="24">
        <v>4000</v>
      </c>
      <c r="L34" s="24">
        <v>4000</v>
      </c>
      <c r="M34" s="24">
        <v>4000</v>
      </c>
      <c r="N34" s="24">
        <v>4000</v>
      </c>
    </row>
    <row r="35" spans="1:14" outlineLevel="1" x14ac:dyDescent="0.25">
      <c r="A35" s="5" t="str">
        <f>'Model-1'!N76</f>
        <v>Affaldsforbrug Ovn2</v>
      </c>
      <c r="B35" s="29"/>
      <c r="C35" s="29" t="s">
        <v>181</v>
      </c>
      <c r="D35" s="24">
        <v>2955.6732645664902</v>
      </c>
      <c r="E35" s="24">
        <v>2955.6732645664902</v>
      </c>
      <c r="F35" s="24">
        <v>2955.6732645664902</v>
      </c>
      <c r="G35" s="24">
        <v>2955.6732645664902</v>
      </c>
      <c r="H35" s="24">
        <v>2955.6732645664902</v>
      </c>
      <c r="I35" s="24">
        <v>2955.6732645664902</v>
      </c>
      <c r="J35" s="24">
        <v>2955.6732645664902</v>
      </c>
      <c r="K35" s="24">
        <v>2955.6732645664902</v>
      </c>
      <c r="L35" s="24">
        <v>2955.6732645664902</v>
      </c>
      <c r="M35" s="24">
        <v>2955.6732645664902</v>
      </c>
      <c r="N35" s="24">
        <v>2955.6732645664902</v>
      </c>
    </row>
    <row r="36" spans="1:14" outlineLevel="1" x14ac:dyDescent="0.25">
      <c r="A36" s="5" t="str">
        <f>'Model-1'!N77</f>
        <v>Affaldsforbrug kølevarme Ovn3</v>
      </c>
      <c r="B36" s="29"/>
      <c r="C36" s="29" t="s">
        <v>182</v>
      </c>
      <c r="D36" s="24">
        <v>0</v>
      </c>
      <c r="E36" s="24">
        <v>0</v>
      </c>
      <c r="F36" s="24">
        <v>0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</row>
    <row r="37" spans="1:14" outlineLevel="1" x14ac:dyDescent="0.25">
      <c r="A37" s="5" t="str">
        <f>'Model-1'!N78</f>
        <v>Affaldsforbrug kølevarme Ovn2</v>
      </c>
      <c r="B37" s="29"/>
      <c r="C37" s="29" t="s">
        <v>183</v>
      </c>
      <c r="D37" s="24">
        <v>0</v>
      </c>
      <c r="E37" s="24">
        <v>0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</row>
    <row r="38" spans="1:14" outlineLevel="1" x14ac:dyDescent="0.25">
      <c r="A38" s="5" t="str">
        <f>'Model-1'!N79</f>
        <v>Udnyttet affald</v>
      </c>
      <c r="B38" s="29"/>
      <c r="C38" s="29" t="s">
        <v>184</v>
      </c>
      <c r="D38" s="24">
        <v>11962.1295055995</v>
      </c>
      <c r="E38" s="24">
        <v>11962.1295055995</v>
      </c>
      <c r="F38" s="24">
        <v>11962.1295055995</v>
      </c>
      <c r="G38" s="24">
        <v>11962.1295055995</v>
      </c>
      <c r="H38" s="24">
        <v>11962.1295055995</v>
      </c>
      <c r="I38" s="24">
        <v>11962.1295055995</v>
      </c>
      <c r="J38" s="24">
        <v>11962.1295055995</v>
      </c>
      <c r="K38" s="24">
        <v>11962.1295055995</v>
      </c>
      <c r="L38" s="24">
        <v>11962.1295055995</v>
      </c>
      <c r="M38" s="24">
        <v>11962.1295055995</v>
      </c>
      <c r="N38" s="24">
        <v>11962.1295055995</v>
      </c>
    </row>
    <row r="39" spans="1:14" ht="15.75" outlineLevel="1" thickBot="1" x14ac:dyDescent="0.3">
      <c r="A39" s="5" t="str">
        <f>'Model-1'!N80</f>
        <v>Ikke-udnyttet affald</v>
      </c>
      <c r="B39" s="31"/>
      <c r="C39" s="31" t="s">
        <v>185</v>
      </c>
      <c r="D39" s="25">
        <v>37.870494400509401</v>
      </c>
      <c r="E39" s="25">
        <v>37.870494400509401</v>
      </c>
      <c r="F39" s="25">
        <v>37.870494400509401</v>
      </c>
      <c r="G39" s="25">
        <v>37.870494400509401</v>
      </c>
      <c r="H39" s="25">
        <v>37.870494400509401</v>
      </c>
      <c r="I39" s="25">
        <v>37.870494400509401</v>
      </c>
      <c r="J39" s="25">
        <v>37.870494400509401</v>
      </c>
      <c r="K39" s="25">
        <v>37.870494400509401</v>
      </c>
      <c r="L39" s="25">
        <v>37.870494400509898</v>
      </c>
      <c r="M39" s="25">
        <v>37.870494400509003</v>
      </c>
      <c r="N39" s="25">
        <v>37.870494400509401</v>
      </c>
    </row>
    <row r="40" spans="1:14" x14ac:dyDescent="0.25">
      <c r="B40" t="s">
        <v>201</v>
      </c>
    </row>
    <row r="41" spans="1:14" x14ac:dyDescent="0.25">
      <c r="B41" t="s">
        <v>202</v>
      </c>
    </row>
    <row r="42" spans="1:14" x14ac:dyDescent="0.25">
      <c r="B42" t="s">
        <v>203</v>
      </c>
    </row>
  </sheetData>
  <customSheetViews>
    <customSheetView guid="{EEB625C4-AF57-4951-B4C5-8C71271FF126}" scale="85" showGridLines="0" hiddenRows="1">
      <selection activeCell="P5" sqref="P5"/>
      <pageMargins left="0.7" right="0.7" top="0.75" bottom="0.75" header="0.3" footer="0.3"/>
    </customSheetView>
    <customSheetView guid="{B8935784-587B-4D0A-AED7-A4A9B4EF97F4}" scale="85" showGridLines="0" hiddenRows="1">
      <selection activeCell="P5" sqref="P5"/>
      <pageMargins left="0.7" right="0.7" top="0.75" bottom="0.75" header="0.3" footer="0.3"/>
    </customSheetView>
    <customSheetView guid="{2B82E035-636B-4F9F-846A-FEE8C149952C}" scale="85" showGridLines="0" hiddenRows="1">
      <selection activeCell="P5" sqref="P5"/>
      <pageMargins left="0.7" right="0.7" top="0.75" bottom="0.75" header="0.3" footer="0.3"/>
    </customSheetView>
  </customSheetView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ED510920-6599-412A-9380-0323910B00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'Scenario 35 GWh'!E8:N8</xm:f>
              <xm:sqref>O8</xm:sqref>
            </x14:sparkline>
            <x14:sparkline>
              <xm:f>'Scenario 35 GWh'!E9:N9</xm:f>
              <xm:sqref>O9</xm:sqref>
            </x14:sparkline>
            <x14:sparkline>
              <xm:f>'Scenario 35 GWh'!E10:N10</xm:f>
              <xm:sqref>O10</xm:sqref>
            </x14:sparkline>
            <x14:sparkline>
              <xm:f>'Scenario 35 GWh'!E11:N11</xm:f>
              <xm:sqref>O11</xm:sqref>
            </x14:sparkline>
            <x14:sparkline>
              <xm:f>'Scenario 35 GWh'!E12:N12</xm:f>
              <xm:sqref>O12</xm:sqref>
            </x14:sparkline>
            <x14:sparkline>
              <xm:f>'Scenario 35 GWh'!E13:N13</xm:f>
              <xm:sqref>O13</xm:sqref>
            </x14:sparkline>
            <x14:sparkline>
              <xm:f>'Scenario 35 GWh'!E14:N14</xm:f>
              <xm:sqref>O14</xm:sqref>
            </x14:sparkline>
            <x14:sparkline>
              <xm:f>'Scenario 35 GWh'!E15:N15</xm:f>
              <xm:sqref>O15</xm:sqref>
            </x14:sparkline>
            <x14:sparkline>
              <xm:f>'Scenario 35 GWh'!E16:N16</xm:f>
              <xm:sqref>O16</xm:sqref>
            </x14:sparkline>
            <x14:sparkline>
              <xm:f>'Scenario 35 GWh'!E17:N17</xm:f>
              <xm:sqref>O17</xm:sqref>
            </x14:sparkline>
            <x14:sparkline>
              <xm:f>'Scenario 35 GWh'!E18:N18</xm:f>
              <xm:sqref>O18</xm:sqref>
            </x14:sparkline>
            <x14:sparkline>
              <xm:f>'Scenario 35 GWh'!E19:N19</xm:f>
              <xm:sqref>O19</xm:sqref>
            </x14:sparkline>
            <x14:sparkline>
              <xm:f>'Scenario 35 GWh'!E20:N20</xm:f>
              <xm:sqref>O20</xm:sqref>
            </x14:sparkline>
            <x14:sparkline>
              <xm:f>'Scenario 35 GWh'!E21:N21</xm:f>
              <xm:sqref>O21</xm:sqref>
            </x14:sparkline>
            <x14:sparkline>
              <xm:f>'Scenario 35 GWh'!E22:N22</xm:f>
              <xm:sqref>O22</xm:sqref>
            </x14:sparkline>
            <x14:sparkline>
              <xm:f>'Scenario 35 GWh'!E23:N23</xm:f>
              <xm:sqref>O23</xm:sqref>
            </x14:sparkline>
            <x14:sparkline>
              <xm:f>'Scenario 35 GWh'!E24:N24</xm:f>
              <xm:sqref>O24</xm:sqref>
            </x14:sparkline>
            <x14:sparkline>
              <xm:f>'Scenario 35 GWh'!E25:N25</xm:f>
              <xm:sqref>O25</xm:sqref>
            </x14:sparkline>
            <x14:sparkline>
              <xm:f>'Scenario 35 GWh'!E26:N26</xm:f>
              <xm:sqref>O26</xm:sqref>
            </x14:sparkline>
            <x14:sparkline>
              <xm:f>'Scenario 35 GWh'!E27:N27</xm:f>
              <xm:sqref>O27</xm:sqref>
            </x14:sparkline>
            <x14:sparkline>
              <xm:f>'Scenario 35 GWh'!E28:N28</xm:f>
              <xm:sqref>O28</xm:sqref>
            </x14:sparkline>
            <x14:sparkline>
              <xm:f>'Scenario 35 GWh'!E29:N29</xm:f>
              <xm:sqref>O29</xm:sqref>
            </x14:sparkline>
            <x14:sparkline>
              <xm:f>'Scenario 35 GWh'!E30:N30</xm:f>
              <xm:sqref>O30</xm:sqref>
            </x14:sparkline>
            <x14:sparkline>
              <xm:f>'Scenario 35 GWh'!E31:N31</xm:f>
              <xm:sqref>O31</xm:sqref>
            </x14:sparkline>
            <x14:sparkline>
              <xm:f>'Scenario 35 GWh'!E32:N32</xm:f>
              <xm:sqref>O32</xm:sqref>
            </x14:sparkline>
            <x14:sparkline>
              <xm:f>'Scenario 35 GWh'!E33:N33</xm:f>
              <xm:sqref>O33</xm:sqref>
            </x14:sparkline>
            <x14:sparkline>
              <xm:f>'Scenario 35 GWh'!E34:N34</xm:f>
              <xm:sqref>O34</xm:sqref>
            </x14:sparkline>
            <x14:sparkline>
              <xm:f>'Scenario 35 GWh'!E35:N35</xm:f>
              <xm:sqref>O35</xm:sqref>
            </x14:sparkline>
            <x14:sparkline>
              <xm:f>'Scenario 35 GWh'!E36:N36</xm:f>
              <xm:sqref>O36</xm:sqref>
            </x14:sparkline>
            <x14:sparkline>
              <xm:f>'Scenario 35 GWh'!E37:N37</xm:f>
              <xm:sqref>O37</xm:sqref>
            </x14:sparkline>
            <x14:sparkline>
              <xm:f>'Scenario 35 GWh'!E38:N38</xm:f>
              <xm:sqref>O38</xm:sqref>
            </x14:sparkline>
            <x14:sparkline>
              <xm:f>'Scenario 35 GWh'!E39:N39</xm:f>
              <xm:sqref>O39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AE2D-0C92-4631-B92C-FB0A81AF4228}">
  <sheetPr codeName="Sheet6"/>
  <dimension ref="C2:P30"/>
  <sheetViews>
    <sheetView workbookViewId="0">
      <selection activeCell="I33" sqref="I33"/>
    </sheetView>
  </sheetViews>
  <sheetFormatPr defaultRowHeight="15" x14ac:dyDescent="0.25"/>
  <cols>
    <col min="3" max="3" width="14.140625" bestFit="1" customWidth="1"/>
    <col min="6" max="6" width="14.140625" bestFit="1" customWidth="1"/>
    <col min="10" max="10" width="14.140625" bestFit="1" customWidth="1"/>
  </cols>
  <sheetData>
    <row r="2" spans="3:14" x14ac:dyDescent="0.25">
      <c r="C2" t="s">
        <v>92</v>
      </c>
      <c r="F2" t="s">
        <v>136</v>
      </c>
      <c r="M2" t="s">
        <v>54</v>
      </c>
      <c r="N2" t="s">
        <v>54</v>
      </c>
    </row>
    <row r="3" spans="3:14" x14ac:dyDescent="0.25">
      <c r="D3" t="s">
        <v>70</v>
      </c>
      <c r="G3" t="s">
        <v>0</v>
      </c>
      <c r="H3" t="s">
        <v>1</v>
      </c>
      <c r="K3" t="s">
        <v>93</v>
      </c>
      <c r="M3" t="s">
        <v>0</v>
      </c>
      <c r="N3" t="s">
        <v>1</v>
      </c>
    </row>
    <row r="4" spans="3:14" x14ac:dyDescent="0.25">
      <c r="C4" t="s">
        <v>71</v>
      </c>
      <c r="D4" s="12">
        <v>11400.2114002</v>
      </c>
      <c r="F4" t="s">
        <v>71</v>
      </c>
      <c r="G4" s="12">
        <v>1382.27949725194</v>
      </c>
      <c r="H4" s="12">
        <v>2526.36441138806</v>
      </c>
      <c r="J4" t="s">
        <v>71</v>
      </c>
      <c r="K4" s="13">
        <v>10.5</v>
      </c>
      <c r="M4" s="12">
        <f>G4*$K4/3.6</f>
        <v>4031.6485336514916</v>
      </c>
      <c r="N4" s="12">
        <f>H4*$K4/3.6</f>
        <v>7368.5628665485083</v>
      </c>
    </row>
    <row r="5" spans="3:14" x14ac:dyDescent="0.25">
      <c r="C5" t="s">
        <v>72</v>
      </c>
      <c r="D5" s="12">
        <v>0</v>
      </c>
      <c r="F5" t="s">
        <v>72</v>
      </c>
      <c r="G5" s="12">
        <v>0</v>
      </c>
      <c r="H5" s="12">
        <v>0</v>
      </c>
      <c r="J5" t="s">
        <v>72</v>
      </c>
      <c r="K5" s="13">
        <v>10.5</v>
      </c>
      <c r="M5" s="12">
        <f t="shared" ref="M5:M24" si="0">G5*$K5/3.6</f>
        <v>0</v>
      </c>
      <c r="N5" s="12">
        <f t="shared" ref="N5:N24" si="1">H5*$K5/3.6</f>
        <v>0</v>
      </c>
    </row>
    <row r="6" spans="3:14" x14ac:dyDescent="0.25">
      <c r="C6" t="s">
        <v>73</v>
      </c>
      <c r="D6" s="12">
        <v>0</v>
      </c>
      <c r="F6" t="s">
        <v>73</v>
      </c>
      <c r="G6" s="12">
        <v>0</v>
      </c>
      <c r="H6" s="12">
        <v>0</v>
      </c>
      <c r="J6" t="s">
        <v>73</v>
      </c>
      <c r="K6" s="13">
        <v>10.5</v>
      </c>
      <c r="M6" s="12">
        <f t="shared" si="0"/>
        <v>0</v>
      </c>
      <c r="N6" s="12">
        <f t="shared" si="1"/>
        <v>0</v>
      </c>
    </row>
    <row r="7" spans="3:14" x14ac:dyDescent="0.25">
      <c r="C7" t="s">
        <v>74</v>
      </c>
      <c r="D7" s="12">
        <v>6154.3428210033298</v>
      </c>
      <c r="F7" t="s">
        <v>74</v>
      </c>
      <c r="G7" s="12">
        <v>0</v>
      </c>
      <c r="H7" s="12">
        <v>2356.9823569800001</v>
      </c>
      <c r="J7" t="s">
        <v>74</v>
      </c>
      <c r="K7" s="13">
        <v>9.4</v>
      </c>
      <c r="M7" s="12">
        <f t="shared" si="0"/>
        <v>0</v>
      </c>
      <c r="N7" s="12">
        <f t="shared" si="1"/>
        <v>6154.3428210033335</v>
      </c>
    </row>
    <row r="8" spans="3:14" x14ac:dyDescent="0.25">
      <c r="C8" t="s">
        <v>75</v>
      </c>
      <c r="D8" s="12">
        <v>1276.2179428833299</v>
      </c>
      <c r="F8" t="s">
        <v>75</v>
      </c>
      <c r="G8" s="12">
        <v>437.56043756000003</v>
      </c>
      <c r="H8" s="12">
        <v>0</v>
      </c>
      <c r="J8" t="s">
        <v>75</v>
      </c>
      <c r="K8" s="13">
        <v>10.5</v>
      </c>
      <c r="M8" s="12">
        <f t="shared" si="0"/>
        <v>1276.2179428833335</v>
      </c>
      <c r="N8" s="12">
        <f t="shared" si="1"/>
        <v>0</v>
      </c>
    </row>
    <row r="9" spans="3:14" x14ac:dyDescent="0.25">
      <c r="C9" t="s">
        <v>76</v>
      </c>
      <c r="D9" s="12">
        <v>0</v>
      </c>
      <c r="F9" t="s">
        <v>76</v>
      </c>
      <c r="G9" s="12">
        <v>0</v>
      </c>
      <c r="H9" s="12">
        <v>0</v>
      </c>
      <c r="J9" t="s">
        <v>76</v>
      </c>
      <c r="K9" s="13">
        <v>14.5</v>
      </c>
      <c r="M9" s="12">
        <f t="shared" si="0"/>
        <v>0</v>
      </c>
      <c r="N9" s="12">
        <f t="shared" si="1"/>
        <v>0</v>
      </c>
    </row>
    <row r="10" spans="3:14" x14ac:dyDescent="0.25">
      <c r="C10" t="s">
        <v>77</v>
      </c>
      <c r="D10" s="12">
        <v>972.20097220000002</v>
      </c>
      <c r="F10" t="s">
        <v>77</v>
      </c>
      <c r="G10" s="12">
        <v>291.66029165999998</v>
      </c>
      <c r="H10" s="12">
        <v>0</v>
      </c>
      <c r="J10" t="s">
        <v>77</v>
      </c>
      <c r="K10" s="13">
        <v>12</v>
      </c>
      <c r="M10" s="12">
        <f t="shared" si="0"/>
        <v>972.20097219999991</v>
      </c>
      <c r="N10" s="12">
        <f t="shared" si="1"/>
        <v>0</v>
      </c>
    </row>
    <row r="11" spans="3:14" x14ac:dyDescent="0.25">
      <c r="C11" t="s">
        <v>78</v>
      </c>
      <c r="D11" s="12">
        <v>15.375015375</v>
      </c>
      <c r="F11" t="s">
        <v>78</v>
      </c>
      <c r="G11" s="12">
        <v>6.1500061500000003</v>
      </c>
      <c r="H11" s="12">
        <v>0</v>
      </c>
      <c r="J11" t="s">
        <v>78</v>
      </c>
      <c r="K11" s="13">
        <v>9</v>
      </c>
      <c r="M11" s="12">
        <f t="shared" si="0"/>
        <v>15.375015375</v>
      </c>
      <c r="N11" s="12">
        <f t="shared" si="1"/>
        <v>0</v>
      </c>
    </row>
    <row r="12" spans="3:14" x14ac:dyDescent="0.25">
      <c r="C12" t="s">
        <v>79</v>
      </c>
      <c r="D12" s="12">
        <v>785.27856305555599</v>
      </c>
      <c r="F12" t="s">
        <v>79</v>
      </c>
      <c r="G12" s="12">
        <v>257.00025699999998</v>
      </c>
      <c r="H12" s="12">
        <v>0</v>
      </c>
      <c r="J12" t="s">
        <v>79</v>
      </c>
      <c r="K12" s="13">
        <v>11</v>
      </c>
      <c r="M12" s="12">
        <f t="shared" si="0"/>
        <v>785.27856305555542</v>
      </c>
      <c r="N12" s="12">
        <f t="shared" si="1"/>
        <v>0</v>
      </c>
    </row>
    <row r="13" spans="3:14" x14ac:dyDescent="0.25">
      <c r="C13" t="s">
        <v>80</v>
      </c>
      <c r="D13" s="12">
        <v>60.1667268333333</v>
      </c>
      <c r="F13" t="s">
        <v>80</v>
      </c>
      <c r="G13" s="12">
        <v>22.800022800000001</v>
      </c>
      <c r="H13" s="12">
        <v>0</v>
      </c>
      <c r="J13" t="s">
        <v>80</v>
      </c>
      <c r="K13" s="13">
        <v>9.5</v>
      </c>
      <c r="M13" s="12">
        <f t="shared" si="0"/>
        <v>60.166726833333335</v>
      </c>
      <c r="N13" s="12">
        <f t="shared" si="1"/>
        <v>0</v>
      </c>
    </row>
    <row r="14" spans="3:14" x14ac:dyDescent="0.25">
      <c r="C14" t="s">
        <v>81</v>
      </c>
      <c r="D14" s="12">
        <v>2540.00254</v>
      </c>
      <c r="F14" t="s">
        <v>81</v>
      </c>
      <c r="G14" s="12">
        <v>0</v>
      </c>
      <c r="H14" s="12">
        <v>1016.001016</v>
      </c>
      <c r="J14" t="s">
        <v>81</v>
      </c>
      <c r="K14" s="13">
        <v>9</v>
      </c>
      <c r="M14" s="12">
        <f t="shared" si="0"/>
        <v>0</v>
      </c>
      <c r="N14" s="12">
        <f t="shared" si="1"/>
        <v>2540.00254</v>
      </c>
    </row>
    <row r="15" spans="3:14" x14ac:dyDescent="0.25">
      <c r="C15" t="s">
        <v>82</v>
      </c>
      <c r="D15" s="12">
        <v>45.100045100000003</v>
      </c>
      <c r="F15" t="s">
        <v>82</v>
      </c>
      <c r="G15" s="12">
        <v>0</v>
      </c>
      <c r="H15" s="12">
        <v>13.53001353</v>
      </c>
      <c r="J15" t="s">
        <v>82</v>
      </c>
      <c r="K15" s="13">
        <v>12</v>
      </c>
      <c r="M15" s="12">
        <f t="shared" si="0"/>
        <v>0</v>
      </c>
      <c r="N15" s="12">
        <f t="shared" si="1"/>
        <v>45.100045100000003</v>
      </c>
    </row>
    <row r="16" spans="3:14" x14ac:dyDescent="0.25">
      <c r="C16" t="s">
        <v>83</v>
      </c>
      <c r="D16" s="12">
        <v>18.861129972222201</v>
      </c>
      <c r="F16" t="s">
        <v>83</v>
      </c>
      <c r="G16" s="12">
        <v>6.7900067899999996</v>
      </c>
      <c r="H16" s="12">
        <v>0</v>
      </c>
      <c r="J16" t="s">
        <v>83</v>
      </c>
      <c r="K16" s="13">
        <v>10</v>
      </c>
      <c r="M16" s="12">
        <f t="shared" si="0"/>
        <v>18.861129972222219</v>
      </c>
      <c r="N16" s="12">
        <f t="shared" si="1"/>
        <v>0</v>
      </c>
    </row>
    <row r="17" spans="3:16" x14ac:dyDescent="0.25">
      <c r="C17" t="s">
        <v>84</v>
      </c>
      <c r="D17" s="12">
        <v>0</v>
      </c>
      <c r="F17" t="s">
        <v>84</v>
      </c>
      <c r="G17" s="12">
        <v>0</v>
      </c>
      <c r="H17" s="12">
        <v>0</v>
      </c>
      <c r="J17" t="s">
        <v>84</v>
      </c>
      <c r="K17" s="13">
        <v>11</v>
      </c>
      <c r="M17" s="12">
        <f t="shared" si="0"/>
        <v>0</v>
      </c>
      <c r="N17" s="12">
        <f t="shared" si="1"/>
        <v>0</v>
      </c>
    </row>
    <row r="18" spans="3:16" x14ac:dyDescent="0.25">
      <c r="C18" t="s">
        <v>85</v>
      </c>
      <c r="D18" s="12">
        <v>9410.2844102750005</v>
      </c>
      <c r="F18" t="s">
        <v>85</v>
      </c>
      <c r="G18" s="12">
        <v>0</v>
      </c>
      <c r="H18" s="12">
        <v>3226.38322638</v>
      </c>
      <c r="J18" t="s">
        <v>85</v>
      </c>
      <c r="K18" s="13">
        <v>10.5</v>
      </c>
      <c r="M18" s="12">
        <f t="shared" si="0"/>
        <v>0</v>
      </c>
      <c r="N18" s="12">
        <f t="shared" si="1"/>
        <v>9410.2844102750005</v>
      </c>
    </row>
    <row r="19" spans="3:16" x14ac:dyDescent="0.25">
      <c r="C19" t="s">
        <v>86</v>
      </c>
      <c r="D19" s="12">
        <v>0</v>
      </c>
      <c r="F19" t="s">
        <v>86</v>
      </c>
      <c r="G19" s="12">
        <v>0</v>
      </c>
      <c r="H19" s="12">
        <v>0</v>
      </c>
      <c r="J19" t="s">
        <v>86</v>
      </c>
      <c r="K19" s="13">
        <v>10.5</v>
      </c>
      <c r="M19" s="12">
        <f t="shared" si="0"/>
        <v>0</v>
      </c>
      <c r="N19" s="12">
        <f t="shared" si="1"/>
        <v>0</v>
      </c>
    </row>
    <row r="20" spans="3:16" x14ac:dyDescent="0.25">
      <c r="C20" t="s">
        <v>87</v>
      </c>
      <c r="D20" s="12">
        <v>0</v>
      </c>
      <c r="F20" t="s">
        <v>87</v>
      </c>
      <c r="G20" s="12">
        <v>0</v>
      </c>
      <c r="H20" s="12">
        <v>0</v>
      </c>
      <c r="J20" t="s">
        <v>87</v>
      </c>
      <c r="K20" s="13">
        <v>13</v>
      </c>
      <c r="M20" s="12">
        <f t="shared" si="0"/>
        <v>0</v>
      </c>
      <c r="N20" s="12">
        <f t="shared" si="1"/>
        <v>0</v>
      </c>
    </row>
    <row r="21" spans="3:16" x14ac:dyDescent="0.25">
      <c r="C21" t="s">
        <v>88</v>
      </c>
      <c r="D21" s="12">
        <v>231.59745381944401</v>
      </c>
      <c r="F21" t="s">
        <v>88</v>
      </c>
      <c r="G21" s="12">
        <v>57.500057499999997</v>
      </c>
      <c r="H21" s="12">
        <v>0</v>
      </c>
      <c r="J21" t="s">
        <v>88</v>
      </c>
      <c r="K21" s="13">
        <v>14.5</v>
      </c>
      <c r="M21" s="12">
        <f t="shared" si="0"/>
        <v>231.59745381944444</v>
      </c>
      <c r="N21" s="12">
        <f t="shared" si="1"/>
        <v>0</v>
      </c>
    </row>
    <row r="22" spans="3:16" x14ac:dyDescent="0.25">
      <c r="C22" t="s">
        <v>89</v>
      </c>
      <c r="D22" s="12">
        <v>0</v>
      </c>
      <c r="F22" t="s">
        <v>89</v>
      </c>
      <c r="G22" s="12">
        <v>0</v>
      </c>
      <c r="H22" s="12">
        <v>0</v>
      </c>
      <c r="J22" t="s">
        <v>89</v>
      </c>
      <c r="K22" s="13">
        <v>14.7</v>
      </c>
      <c r="M22" s="12">
        <f t="shared" si="0"/>
        <v>0</v>
      </c>
      <c r="N22" s="12">
        <f t="shared" si="1"/>
        <v>0</v>
      </c>
    </row>
    <row r="23" spans="3:16" x14ac:dyDescent="0.25">
      <c r="C23" t="s">
        <v>90</v>
      </c>
      <c r="D23" s="12">
        <v>41.300041299999997</v>
      </c>
      <c r="F23" t="s">
        <v>90</v>
      </c>
      <c r="G23" s="12">
        <v>10.62001062</v>
      </c>
      <c r="H23" s="12">
        <v>0</v>
      </c>
      <c r="J23" t="s">
        <v>90</v>
      </c>
      <c r="K23" s="13">
        <v>14</v>
      </c>
      <c r="M23" s="12">
        <f t="shared" si="0"/>
        <v>41.300041299999997</v>
      </c>
      <c r="N23" s="12">
        <f t="shared" si="1"/>
        <v>0</v>
      </c>
    </row>
    <row r="24" spans="3:16" x14ac:dyDescent="0.25">
      <c r="C24" t="s">
        <v>91</v>
      </c>
      <c r="D24" s="12">
        <v>37.975037974999999</v>
      </c>
      <c r="F24" t="s">
        <v>91</v>
      </c>
      <c r="G24" s="12">
        <v>15.19001519</v>
      </c>
      <c r="H24" s="12">
        <v>0</v>
      </c>
      <c r="J24" t="s">
        <v>91</v>
      </c>
      <c r="K24" s="13">
        <v>9</v>
      </c>
      <c r="M24" s="12">
        <f t="shared" si="0"/>
        <v>37.975037974999999</v>
      </c>
      <c r="N24" s="12">
        <f t="shared" si="1"/>
        <v>0</v>
      </c>
    </row>
    <row r="25" spans="3:16" x14ac:dyDescent="0.25">
      <c r="D25" s="12">
        <f>SUM(D4:D24)</f>
        <v>32988.914099992209</v>
      </c>
      <c r="K25" s="12"/>
      <c r="L25" t="s">
        <v>96</v>
      </c>
      <c r="M25" s="12">
        <f>SUM(M4:M24)</f>
        <v>7470.6214170653802</v>
      </c>
      <c r="N25" s="12">
        <f>SUM(N4:N24)</f>
        <v>25518.29268292684</v>
      </c>
    </row>
    <row r="26" spans="3:16" x14ac:dyDescent="0.25">
      <c r="C26" s="1"/>
      <c r="D26">
        <f>C26*D25</f>
        <v>0</v>
      </c>
    </row>
    <row r="27" spans="3:16" x14ac:dyDescent="0.25">
      <c r="L27" t="s">
        <v>95</v>
      </c>
      <c r="M27" s="12">
        <f>M25*0.844</f>
        <v>6305.2044760031804</v>
      </c>
      <c r="N27" s="12">
        <f>N25*0.656</f>
        <v>16740.000000000007</v>
      </c>
    </row>
    <row r="28" spans="3:16" x14ac:dyDescent="0.25">
      <c r="D28" s="12">
        <f>SUMPRODUCT(G4:G24,K4:K24)+SUMPRODUCT(H4:H24,K4:K24)</f>
        <v>118760.09075997199</v>
      </c>
      <c r="E28" t="s">
        <v>97</v>
      </c>
    </row>
    <row r="29" spans="3:16" x14ac:dyDescent="0.25">
      <c r="D29" s="11">
        <f>D28/SUM(G4:H24)</f>
        <v>10.214329996215641</v>
      </c>
      <c r="E29" t="s">
        <v>32</v>
      </c>
      <c r="M29" t="s">
        <v>0</v>
      </c>
      <c r="N29" t="s">
        <v>1</v>
      </c>
      <c r="O29" t="s">
        <v>22</v>
      </c>
      <c r="P29" t="s">
        <v>94</v>
      </c>
    </row>
    <row r="30" spans="3:16" x14ac:dyDescent="0.25">
      <c r="L30" t="s">
        <v>70</v>
      </c>
      <c r="M30" s="12">
        <v>6305.2044760031904</v>
      </c>
      <c r="N30" s="12">
        <v>16740</v>
      </c>
      <c r="O30" s="12">
        <v>4000</v>
      </c>
      <c r="P30" s="12">
        <v>1069</v>
      </c>
    </row>
  </sheetData>
  <customSheetViews>
    <customSheetView guid="{EEB625C4-AF57-4951-B4C5-8C71271FF126}">
      <selection activeCell="I33" sqref="I33"/>
      <pageMargins left="0.7" right="0.7" top="0.75" bottom="0.75" header="0.3" footer="0.3"/>
      <pageSetup paperSize="9" orientation="portrait" r:id="rId1"/>
    </customSheetView>
    <customSheetView guid="{B8935784-587B-4D0A-AED7-A4A9B4EF97F4}">
      <selection activeCell="I33" sqref="I33"/>
      <pageMargins left="0.7" right="0.7" top="0.75" bottom="0.75" header="0.3" footer="0.3"/>
      <pageSetup paperSize="9" orientation="portrait" r:id="rId2"/>
    </customSheetView>
    <customSheetView guid="{2B82E035-636B-4F9F-846A-FEE8C149952C}">
      <selection activeCell="I33" sqref="I3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70</vt:i4>
      </vt:variant>
    </vt:vector>
  </HeadingPairs>
  <TitlesOfParts>
    <vt:vector size="78" baseType="lpstr">
      <vt:lpstr>Gemte scenarie Input</vt:lpstr>
      <vt:lpstr>Scenarier</vt:lpstr>
      <vt:lpstr>Model-1</vt:lpstr>
      <vt:lpstr>Model-2</vt:lpstr>
      <vt:lpstr>Scenario 7 GWh</vt:lpstr>
      <vt:lpstr>Scenario 28 GWh</vt:lpstr>
      <vt:lpstr>Scenario 35 GWh</vt:lpstr>
      <vt:lpstr>Affald2021</vt:lpstr>
      <vt:lpstr>'Model-2'!AFV</vt:lpstr>
      <vt:lpstr>AFV</vt:lpstr>
      <vt:lpstr>'Model-2'!AndelAffald</vt:lpstr>
      <vt:lpstr>AndelAffald</vt:lpstr>
      <vt:lpstr>'Model-2'!AndelBioaffald</vt:lpstr>
      <vt:lpstr>AndelBioaffald</vt:lpstr>
      <vt:lpstr>'Model-2'!ATL</vt:lpstr>
      <vt:lpstr>ATL</vt:lpstr>
      <vt:lpstr>BioAffaldTonnage</vt:lpstr>
      <vt:lpstr>'Model-2'!BioTonnage</vt:lpstr>
      <vt:lpstr>BioTonnage</vt:lpstr>
      <vt:lpstr>'Model-2'!CO2afgift</vt:lpstr>
      <vt:lpstr>CO2afgift</vt:lpstr>
      <vt:lpstr>'Model-2'!CO2indholdAfgift</vt:lpstr>
      <vt:lpstr>CO2indholdAfgift</vt:lpstr>
      <vt:lpstr>'Model-2'!CO2indholdKvote</vt:lpstr>
      <vt:lpstr>CO2indholdKvote</vt:lpstr>
      <vt:lpstr>'Model-2'!DBmedRGK</vt:lpstr>
      <vt:lpstr>DBmedRGK</vt:lpstr>
      <vt:lpstr>'Model-2'!DBudenRGK</vt:lpstr>
      <vt:lpstr>DBudenRGK</vt:lpstr>
      <vt:lpstr>Elpris</vt:lpstr>
      <vt:lpstr>'Model-2'!ElProdTarif</vt:lpstr>
      <vt:lpstr>ElprodTarif</vt:lpstr>
      <vt:lpstr>'Model-2'!ENSkvoteLHV</vt:lpstr>
      <vt:lpstr>ENSkvoteLHV</vt:lpstr>
      <vt:lpstr>'Model-2'!EtaE</vt:lpstr>
      <vt:lpstr>EtaE</vt:lpstr>
      <vt:lpstr>'Model-2'!EtaQmaxOvn2</vt:lpstr>
      <vt:lpstr>EtaQmaxOvn2</vt:lpstr>
      <vt:lpstr>'Model-2'!EtaQmaxOvn3</vt:lpstr>
      <vt:lpstr>EtaQmaxOvn3</vt:lpstr>
      <vt:lpstr>'Model-2'!EtaQNomOvn2</vt:lpstr>
      <vt:lpstr>EtaQNomOvn2</vt:lpstr>
      <vt:lpstr>'Model-2'!EtaQNomOvn3</vt:lpstr>
      <vt:lpstr>EtaQNomOvn3</vt:lpstr>
      <vt:lpstr>'Model-2'!EtaRgkOvn2</vt:lpstr>
      <vt:lpstr>EtaRgkOvn2</vt:lpstr>
      <vt:lpstr>'Model-2'!EtaRgkOvn3</vt:lpstr>
      <vt:lpstr>EtaRgkOvn3</vt:lpstr>
      <vt:lpstr>'Model-2'!Ftotal</vt:lpstr>
      <vt:lpstr>Ftotal</vt:lpstr>
      <vt:lpstr>'Model-2'!Htotal</vt:lpstr>
      <vt:lpstr>Htotal</vt:lpstr>
      <vt:lpstr>'Model-2'!KapQcool</vt:lpstr>
      <vt:lpstr>KapQcool</vt:lpstr>
      <vt:lpstr>'Model-2'!KapQnomOvn2</vt:lpstr>
      <vt:lpstr>KapQnomOvn2</vt:lpstr>
      <vt:lpstr>'Model-2'!KapQnomOvn3</vt:lpstr>
      <vt:lpstr>KapQnomOvn3</vt:lpstr>
      <vt:lpstr>Kvotepris</vt:lpstr>
      <vt:lpstr>'Model-2'!LHVaffald</vt:lpstr>
      <vt:lpstr>LHVaffald</vt:lpstr>
      <vt:lpstr>'Model-2'!LHVbioaffald</vt:lpstr>
      <vt:lpstr>LHVbioaffald</vt:lpstr>
      <vt:lpstr>'Model-2'!NSvarme</vt:lpstr>
      <vt:lpstr>NSvarme</vt:lpstr>
      <vt:lpstr>Qdemand</vt:lpstr>
      <vt:lpstr>ranCtrlParms</vt:lpstr>
      <vt:lpstr>ranInputNames</vt:lpstr>
      <vt:lpstr>'Model-2'!ranModelResult</vt:lpstr>
      <vt:lpstr>ranModelResult</vt:lpstr>
      <vt:lpstr>ranResultNames</vt:lpstr>
      <vt:lpstr>ranScenOutput</vt:lpstr>
      <vt:lpstr>ranScenOutputRowHeader</vt:lpstr>
      <vt:lpstr>'Model-2'!RGKudnyttelse</vt:lpstr>
      <vt:lpstr>RGKudnyttelse</vt:lpstr>
      <vt:lpstr>TabelScenInput</vt:lpstr>
      <vt:lpstr>'Model-2'!Varmesalgspris</vt:lpstr>
      <vt:lpstr>Varmesalgspris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2022-03-13T11:17:09Z</dcterms:created>
  <dcterms:modified xsi:type="dcterms:W3CDTF">2022-03-19T16:08:39Z</dcterms:modified>
</cp:coreProperties>
</file>