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0D80A554-CE5D-4E85-AE8B-D1F316EB35EF}" xr6:coauthVersionLast="47" xr6:coauthVersionMax="47" xr10:uidLastSave="{00000000-0000-0000-0000-000000000000}"/>
  <bookViews>
    <workbookView xWindow="-120" yWindow="-120" windowWidth="29040" windowHeight="15720" activeTab="4" xr2:uid="{858EECC8-30FB-4D42-A70B-DA5455FDD71D}"/>
  </bookViews>
  <sheets>
    <sheet name="Gemte scenarie Input" sheetId="10" r:id="rId1"/>
    <sheet name="Scenarier" sheetId="9" r:id="rId2"/>
    <sheet name="Model-1" sheetId="1" r:id="rId3"/>
    <sheet name="Scenarier-1B" sheetId="13" r:id="rId4"/>
    <sheet name="Model-1B" sheetId="12" r:id="rId5"/>
    <sheet name="Model-2" sheetId="11" r:id="rId6"/>
    <sheet name="Scenario 7 GWh" sheetId="8" r:id="rId7"/>
    <sheet name="Scenario 28 GWh" sheetId="6" r:id="rId8"/>
    <sheet name="Scenario 35 GWh" sheetId="7" r:id="rId9"/>
    <sheet name="Affald2021" sheetId="14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'[2]Toolpack®'!$B$8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[2]language!$B$2:$G$70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faldsfraktioner">[1]DataFuel!$C$5:$C$30</definedName>
    <definedName name="AFV" localSheetId="4">'Model-1B'!$C$39</definedName>
    <definedName name="AFV" localSheetId="5">'Model-2'!$C$35</definedName>
    <definedName name="AFV">'Model-1'!$C$38</definedName>
    <definedName name="AndelAffald" localSheetId="5">'Model-2'!#REF!</definedName>
    <definedName name="AndelBioaffald" localSheetId="4">'Model-1B'!$E$25</definedName>
    <definedName name="AndelBioaffald" localSheetId="5">'Model-2'!#REF!</definedName>
    <definedName name="AndelBioaffald">'Model-1'!$E$24</definedName>
    <definedName name="AndelFossilFast" localSheetId="4">'Model-1B'!$C$25</definedName>
    <definedName name="AndelFossilFast">'Model-1'!$C$24</definedName>
    <definedName name="AndelFossilFri" localSheetId="4">'Model-1B'!$D$25</definedName>
    <definedName name="AndelFossilFri">'Model-1'!$D$24</definedName>
    <definedName name="arrNiv2">[1]Lister!$A$39:$AL$44</definedName>
    <definedName name="arrNiv3">[1]Lister!$A$48:$AJ$53</definedName>
    <definedName name="ATL" localSheetId="4">'Model-1B'!$C$40</definedName>
    <definedName name="ATL" localSheetId="5">'Model-2'!$C$36</definedName>
    <definedName name="ATL">'Model-1'!$C$39</definedName>
    <definedName name="AvailDaysCooler">'Model-2'!$E$11</definedName>
    <definedName name="BALANCE" hidden="1">" "</definedName>
    <definedName name="BCONCERN" hidden="1">FALSE</definedName>
    <definedName name="bFossilFriOverBiogen">'Model-1B'!$C$8</definedName>
    <definedName name="BioAffaldTonnage">'Model-1'!$C$5</definedName>
    <definedName name="BioTonnage" localSheetId="5">'Model-2'!$J$8</definedName>
    <definedName name="BioTonnage">'Model-1'!$C$7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4">'Model-1B'!$C$41</definedName>
    <definedName name="CO2afgift" localSheetId="5">'Model-2'!$C$37</definedName>
    <definedName name="CO2afgift">'Model-1'!$C$40</definedName>
    <definedName name="CO2indholdAfgift" localSheetId="4">'Model-1B'!$C$30</definedName>
    <definedName name="CO2indholdAfgift" localSheetId="5">'Model-2'!$C$27</definedName>
    <definedName name="CO2indholdAfgift">'Model-1'!$C$29</definedName>
    <definedName name="CO2indholdKvote" localSheetId="4">'Model-1B'!$C$31</definedName>
    <definedName name="CO2indholdKvote" localSheetId="5">'Model-2'!$C$28</definedName>
    <definedName name="CO2indholdKvote">'Model-1'!$C$30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4">'Model-1B'!$K$156</definedName>
    <definedName name="DBmedRGK" localSheetId="5">'Model-2'!$J$117</definedName>
    <definedName name="DBmedRGK">'Model-1'!$K$116</definedName>
    <definedName name="DBudenRGK" localSheetId="4">'Model-1B'!$J$156</definedName>
    <definedName name="DBudenRGK" localSheetId="5">'Model-2'!$L$117</definedName>
    <definedName name="DBudenRGK">'Model-1'!$J$116</definedName>
    <definedName name="dFilter">" "</definedName>
    <definedName name="dFilterStart">" "</definedName>
    <definedName name="DoOptim">'Model-2'!$B$4</definedName>
    <definedName name="DropDown2">_xlfn.LET(_xlpm.icol,MATCH([1]Lister!$R1&amp;"2",listHeaders,0)-1,_xlpm.ran,OFFSET([1]Lister!$B$3,1,_xlpm.icol,40,1),OFFSET([1]Lister!$B$3,1,_xlpm.icol,COUNTA(_xlpm.ran)-COUNTIF(_xlpm.ran,"=0"),1))</definedName>
    <definedName name="DropDown3">_xlfn.LET(_xlpm.icol,MATCH([1]Lister!$R1&amp;"3",listHeaders,0)-1,_xlpm.ran,OFFSET([1]Lister!$B$3,1,_xlpm.icol,40,1),OFFSET([1]Lister!$B$3,1,_xlpm.icol,COUNTA(_xlpm.ran)-COUNTIF(_xlpm.ran,"=0"),1))</definedName>
    <definedName name="DropDownLevel2">[1]Lister!$A$5=_xlfn.LET(_xlpm.a,MATCH([1]Lister!$R1&amp;"2",listHeaders,0)-1,_xlpm.b,OFFSET([1]Lister!$B$3,1,_xlpm.a,40,1),OFFSET([1]Lister!$B$3,1,_xlpm.a,COUNTA(_xlpm.b)-COUNTIF(_xlpm.b,"=0"),1))</definedName>
    <definedName name="DropDownScen2">_xlfn.LET(_xlpm.icol,MATCH([1]Scen!$E1&amp;"2",listHeaders,0)-1,_xlpm.ran,OFFSET([1]Lister!$B$3,1,_xlpm.icol,40,1),OFFSET([1]Lister!$B$3,1,_xlpm.icol,COUNTA(_xlpm.ran)-COUNTIF(_xlpm.ran,"=0"),1))</definedName>
    <definedName name="DropDownScen3">_xlfn.LET(_xlpm.icol,MATCH([1]Scen!$E1&amp;"3",listHeaders,0)-1,_xlpm.ran,OFFSET([1]Lister!$B$3,1,_xlpm.icol,40,1),OFFSET([1]Lister!$B$3,1,_xlpm.icol,COUNTA(_xlpm.ran)-COUNTIF(_xlpm.ran,"=0"),1))</definedName>
    <definedName name="DSN" hidden="1">" "</definedName>
    <definedName name="Elpris" localSheetId="4">'Model-1B'!$C$36</definedName>
    <definedName name="Elpris">'Model-1'!$C$35</definedName>
    <definedName name="ElprodTarif" localSheetId="4">'Model-1B'!$C$37</definedName>
    <definedName name="ElProdTarif" localSheetId="5">'Model-2'!$C$34</definedName>
    <definedName name="ElprodTarif">'Model-1'!$C$36</definedName>
    <definedName name="ENDDATE" hidden="1">" "</definedName>
    <definedName name="ENSkvoteLHV" localSheetId="4">'Model-1B'!$C$32</definedName>
    <definedName name="ENSkvoteLHV" localSheetId="5">'Model-2'!$C$29</definedName>
    <definedName name="ENSkvoteLHV">'Model-1'!$C$31</definedName>
    <definedName name="EtaE" localSheetId="4">'Model-1B'!$D$21</definedName>
    <definedName name="EtaE" localSheetId="5">'Model-2'!$D$19</definedName>
    <definedName name="EtaE">'Model-1'!$D$20</definedName>
    <definedName name="EtaQmaxOvn2" localSheetId="4">'Model-1B'!$C$20</definedName>
    <definedName name="EtaQmaxOvn2" localSheetId="5">'Model-2'!$C$18</definedName>
    <definedName name="EtaQmaxOvn2">'Model-1'!$C$19</definedName>
    <definedName name="EtaQmaxOvn3" localSheetId="4">'Model-1B'!$D$20</definedName>
    <definedName name="EtaQmaxOvn3" localSheetId="5">'Model-2'!$D$18</definedName>
    <definedName name="EtaQmaxOvn3">'Model-1'!$D$19</definedName>
    <definedName name="EtaQNomOvn2" localSheetId="4">'Model-1B'!$C$18</definedName>
    <definedName name="EtaQNomOvn2" localSheetId="5">'Model-2'!$C$16</definedName>
    <definedName name="EtaQNomOvn2">'Model-1'!$C$17</definedName>
    <definedName name="EtaQNomOvn3" localSheetId="4">'Model-1B'!$D$18</definedName>
    <definedName name="EtaQNomOvn3" localSheetId="5">'Model-2'!$D$16</definedName>
    <definedName name="EtaQNomOvn3">'Model-1'!$D$17</definedName>
    <definedName name="EtaRgkOvn2" localSheetId="4">'Model-1B'!$C$19</definedName>
    <definedName name="EtaRgkOvn2" localSheetId="5">'Model-2'!$C$17</definedName>
    <definedName name="EtaRgkOvn2">'Model-1'!$C$18</definedName>
    <definedName name="EtaRgkOvn3" localSheetId="4">'Model-1B'!$D$19</definedName>
    <definedName name="EtaRgkOvn3" localSheetId="5">'Model-2'!$D$17</definedName>
    <definedName name="EtaRgkOvn3">'Model-1'!$D$18</definedName>
    <definedName name="FBiogenFri" localSheetId="4">'Model-1B'!$C$7</definedName>
    <definedName name="FbioMaxÅr">'Model-2'!$E$24</definedName>
    <definedName name="FbioMinÅr">'Model-2'!$E$23</definedName>
    <definedName name="FfastMaxÅr">'Model-2'!$C$24</definedName>
    <definedName name="FfastMinÅr">'Model-2'!$C$23</definedName>
    <definedName name="FFossilFast" localSheetId="4">'Model-1B'!$C$5</definedName>
    <definedName name="FFossilFri">'Model-1B'!$C$6</definedName>
    <definedName name="Ffrak1">'Model-1B'!$J$57</definedName>
    <definedName name="Ffrak2">'Model-1B'!$J$58</definedName>
    <definedName name="Ffrak3">'Model-1B'!$J$59</definedName>
    <definedName name="FfriMaxÅr">'Model-2'!$D$24</definedName>
    <definedName name="FfriMinÅr">'Model-2'!$D$23</definedName>
    <definedName name="FixAffald2021">[1]DataCtrl!$C$9</definedName>
    <definedName name="Ftotal" localSheetId="4">'Model-1B'!$C$26</definedName>
    <definedName name="Ftotal" localSheetId="5">'Model-2'!#REF!</definedName>
    <definedName name="Ftotal">'Model-1'!$C$25</definedName>
    <definedName name="HBiogenFri" localSheetId="4">'Model-1B'!$E$29</definedName>
    <definedName name="HfossilFast" localSheetId="4">'Model-1B'!$C$29</definedName>
    <definedName name="HfossilFri" localSheetId="4">'Model-1B'!$D$29</definedName>
    <definedName name="Hfrak1">'Model-1B'!$K$57</definedName>
    <definedName name="Hfrak2">'Model-1B'!$K$58</definedName>
    <definedName name="Hfrak3">'Model-1B'!$K$59</definedName>
    <definedName name="Htotal" localSheetId="4">'Model-1B'!$C$27</definedName>
    <definedName name="Htotal" localSheetId="5">'Model-2'!#REF!</definedName>
    <definedName name="Htotal">'Model-1'!$C$26</definedName>
    <definedName name="INCOME" hidden="1">" "</definedName>
    <definedName name="KapQcool" localSheetId="4">'Model-1B'!$E$14</definedName>
    <definedName name="KapQcool" localSheetId="5">'Model-2'!$E$12</definedName>
    <definedName name="KapQcool">'Model-1'!$E$13</definedName>
    <definedName name="KapQnomOvn2" localSheetId="4">'Model-1B'!$C$14</definedName>
    <definedName name="KapQnomOvn2" localSheetId="5">'Model-2'!$C$12</definedName>
    <definedName name="KapQnomOvn2">'Model-1'!$C$13</definedName>
    <definedName name="KapQnomOvn3" localSheetId="4">'Model-1B'!$D$14</definedName>
    <definedName name="KapQnomOvn3" localSheetId="5">'Model-2'!$D$12</definedName>
    <definedName name="KapQnomOvn3">'Model-1'!$D$13</definedName>
    <definedName name="KIBS_DIMREP" hidden="1">" "</definedName>
    <definedName name="KIBSBUDGET" hidden="1">TRUE</definedName>
    <definedName name="KIBSCASHFLOW" hidden="1">TRUE</definedName>
    <definedName name="Kvotepris" localSheetId="4">'Model-1B'!$C$38</definedName>
    <definedName name="Kvotepris">'Model-1'!$C$37</definedName>
    <definedName name="LHVbiogent" localSheetId="5">'Model-2'!$E$26</definedName>
    <definedName name="LHVbiogent">'Model-1'!$E$28</definedName>
    <definedName name="LHVFossilFast" localSheetId="5">'Model-2'!$C$26</definedName>
    <definedName name="LHVfossilFast">'Model-1'!$C$28</definedName>
    <definedName name="LHVfossilFri">'Model-1'!$D$28</definedName>
    <definedName name="lindex">" "</definedName>
    <definedName name="listDataCtrl">[1]DataCtrl!$B$4:$B$20</definedName>
    <definedName name="listFuelAttr">[1]DataFuel!$D$4:$T$4</definedName>
    <definedName name="listFuelName">[1]DataFuel!$C$5:$C$33</definedName>
    <definedName name="listHeaders">[1]Lister!$B$3:$P$3</definedName>
    <definedName name="listPrognosisAttr">[1]DataU!$E$22:$AC$22</definedName>
    <definedName name="listRoot">[1]Lister!$B$4:$B$9</definedName>
    <definedName name="listStorageAttr">[1]DataU!$S$11:$AD$11</definedName>
    <definedName name="listStorageName">[1]DataU!$R$12:$R$17</definedName>
    <definedName name="listUnitAttr">[1]DataU!$B$11:$P$11</definedName>
    <definedName name="listUnitsName">[1]DataU!$A$12:$A$17</definedName>
    <definedName name="MANREP_KIBS" hidden="1">"MANREP_KIBS"</definedName>
    <definedName name="ModtageprisBiogent">'Model-2'!$E$25</definedName>
    <definedName name="ModtageprisFastFossil">'Model-2'!$C$25</definedName>
    <definedName name="MONTH" hidden="1">"januar"</definedName>
    <definedName name="MONTHNUMBER">1</definedName>
    <definedName name="MONTHVAT" hidden="1">TRUE</definedName>
    <definedName name="NaN">[1]DataCtrl!$J$4</definedName>
    <definedName name="nFuelA">[1]ModelParms!#REF!</definedName>
    <definedName name="NSvarme" localSheetId="4">'Model-1B'!$C$10</definedName>
    <definedName name="NSvarme" localSheetId="5">'Model-2'!$J$14</definedName>
    <definedName name="NSvarme">'Model-1'!$C$9</definedName>
    <definedName name="NUMBERFACTOR" hidden="1">1</definedName>
    <definedName name="NyAff1Tonnage">[1]DataCtrl!$C$18</definedName>
    <definedName name="OfzNiveau2">[1]Lister!$B$38</definedName>
    <definedName name="OfzNiveau3">[1]Lister!$B$47</definedName>
    <definedName name="PerDataFirst">[1]DataU!$B$6</definedName>
    <definedName name="PerDataLast">[1]DataU!$C$6</definedName>
    <definedName name="PeriodRange">[1]DataU!$C$23:$C$58</definedName>
    <definedName name="PerSlut">[1]DataU!$E$6</definedName>
    <definedName name="PerStart">[1]DataU!$D$6</definedName>
    <definedName name="PrisBiogent">'Model-1B'!$E$28</definedName>
    <definedName name="PrisFossilFast">'Model-1B'!$C$28</definedName>
    <definedName name="PrisFossilFri">'Model-1B'!$D$28</definedName>
    <definedName name="PROTECT" hidden="1">FALSE</definedName>
    <definedName name="Qdemand" localSheetId="4">'Model-1B'!$C$4</definedName>
    <definedName name="Qdemand">'Model-1'!$C$4</definedName>
    <definedName name="QUATERVAT" hidden="1">FALSE</definedName>
    <definedName name="ranCtrlParms" localSheetId="4">'Model-1B'!$C$4:$C$10</definedName>
    <definedName name="ranCtrlParms">'Model-1'!$C$4:$C$9</definedName>
    <definedName name="ranInputNames" localSheetId="3">'Scenarier-1B'!$C$8:$C$12</definedName>
    <definedName name="ranInputNames">Scenarier!$C$8:$C$12</definedName>
    <definedName name="ranModelResult" localSheetId="4">'Model-1B'!$Q$49:$Q$95</definedName>
    <definedName name="ranModelResult" localSheetId="5">'Model-2'!$AF$51:$AF$89</definedName>
    <definedName name="ranModelResult">'Model-1'!$Q$49:$Q$90</definedName>
    <definedName name="ranResultNames" localSheetId="3">'Scenarier-1B'!$A$53:$A$83</definedName>
    <definedName name="ranResultNames">Scenarier!$A$53:$A$83</definedName>
    <definedName name="ranScenOutput" localSheetId="3">'Scenarier-1B'!$C$95:$Y$133</definedName>
    <definedName name="ranScenOutput">Scenarier!$C$95:$Y$133</definedName>
    <definedName name="ranScenOutputRowHeader" localSheetId="3">'Scenarier-1B'!$C$95:$C$133</definedName>
    <definedName name="ranScenOutputRowHeader">Scenarier!$C$95:$C$133</definedName>
    <definedName name="ResultRow" localSheetId="3">_xlfn.LAMBDA(_xlpm.resultName, MATCH(_xlpm.resultName,'Scenarier-1B'!ranScenOutputRowHeader,0))</definedName>
    <definedName name="ResultRow">_xlfn.LAMBDA(_xlpm.resultName, MATCH(_xlpm.resultName,ranScenOutputRowHeader,0))</definedName>
    <definedName name="ResultValue" localSheetId="3">_xlfn.LAMBDA(_xlpm.resultName,_xlpm.icol,_xlfn.LET(_xlpm.irow,'Scenarier-1B'!ResultRow(_xlpm.resultName),INDEX('Scenarier-1B'!ranScenOutput,_xlpm.irow,_xlpm.icol)))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4">'Model-1B'!$C$9</definedName>
    <definedName name="RGKudnyttelse">'Model-1'!$C$8</definedName>
    <definedName name="SCDim">" "</definedName>
    <definedName name="ScenProtoTHIS">!A1</definedName>
    <definedName name="solver_adj" localSheetId="2" hidden="1">'Model-1'!$C$8</definedName>
    <definedName name="solver_adj" localSheetId="4" hidden="1">'Model-1B'!$C$9</definedName>
    <definedName name="solver_adj" localSheetId="5" hidden="1">'Model-2'!$J$13</definedName>
    <definedName name="solver_cvg" localSheetId="2" hidden="1">0.0001</definedName>
    <definedName name="solver_cvg" localSheetId="4" hidden="1">0.0001</definedName>
    <definedName name="solver_cvg" localSheetId="5" hidden="1">0.0001</definedName>
    <definedName name="solver_drv" localSheetId="2" hidden="1">1</definedName>
    <definedName name="solver_drv" localSheetId="4" hidden="1">1</definedName>
    <definedName name="solver_drv" localSheetId="5" hidden="1">1</definedName>
    <definedName name="solver_eng" localSheetId="2" hidden="1">1</definedName>
    <definedName name="solver_eng" localSheetId="4" hidden="1">1</definedName>
    <definedName name="solver_eng" localSheetId="5" hidden="1">1</definedName>
    <definedName name="solver_est" localSheetId="2" hidden="1">1</definedName>
    <definedName name="solver_est" localSheetId="4" hidden="1">1</definedName>
    <definedName name="solver_est" localSheetId="5" hidden="1">1</definedName>
    <definedName name="solver_itr" localSheetId="2" hidden="1">2147483647</definedName>
    <definedName name="solver_itr" localSheetId="4" hidden="1">2147483647</definedName>
    <definedName name="solver_itr" localSheetId="5" hidden="1">2147483647</definedName>
    <definedName name="solver_lhs1" localSheetId="2" hidden="1">'Model-1'!$C$8</definedName>
    <definedName name="solver_lhs1" localSheetId="4" hidden="1">'Model-1B'!$C$9</definedName>
    <definedName name="solver_lhs1" localSheetId="5" hidden="1">'Model-2'!$J$13</definedName>
    <definedName name="solver_lhs2" localSheetId="2" hidden="1">'Model-1'!$C$8</definedName>
    <definedName name="solver_lhs2" localSheetId="4" hidden="1">'Model-1B'!$C$9</definedName>
    <definedName name="solver_lhs2" localSheetId="5" hidden="1">'Model-2'!$J$13</definedName>
    <definedName name="solver_mip" localSheetId="2" hidden="1">2147483647</definedName>
    <definedName name="solver_mip" localSheetId="4" hidden="1">2147483647</definedName>
    <definedName name="solver_mip" localSheetId="5" hidden="1">2147483647</definedName>
    <definedName name="solver_mni" localSheetId="2" hidden="1">30</definedName>
    <definedName name="solver_mni" localSheetId="4" hidden="1">30</definedName>
    <definedName name="solver_mni" localSheetId="5" hidden="1">30</definedName>
    <definedName name="solver_mrt" localSheetId="2" hidden="1">0.075</definedName>
    <definedName name="solver_mrt" localSheetId="4" hidden="1">0.075</definedName>
    <definedName name="solver_mrt" localSheetId="5" hidden="1">0.075</definedName>
    <definedName name="solver_msl" localSheetId="2" hidden="1">2</definedName>
    <definedName name="solver_msl" localSheetId="4" hidden="1">2</definedName>
    <definedName name="solver_msl" localSheetId="5" hidden="1">2</definedName>
    <definedName name="solver_neg" localSheetId="2" hidden="1">1</definedName>
    <definedName name="solver_neg" localSheetId="4" hidden="1">1</definedName>
    <definedName name="solver_neg" localSheetId="5" hidden="1">1</definedName>
    <definedName name="solver_nod" localSheetId="2" hidden="1">2147483647</definedName>
    <definedName name="solver_nod" localSheetId="4" hidden="1">2147483647</definedName>
    <definedName name="solver_nod" localSheetId="5" hidden="1">2147483647</definedName>
    <definedName name="solver_num" localSheetId="2" hidden="1">2</definedName>
    <definedName name="solver_num" localSheetId="4" hidden="1">2</definedName>
    <definedName name="solver_num" localSheetId="5" hidden="1">2</definedName>
    <definedName name="solver_nwt" localSheetId="2" hidden="1">1</definedName>
    <definedName name="solver_nwt" localSheetId="4" hidden="1">1</definedName>
    <definedName name="solver_nwt" localSheetId="5" hidden="1">1</definedName>
    <definedName name="solver_opt" localSheetId="2" hidden="1">'Model-1'!$K$116</definedName>
    <definedName name="solver_opt" localSheetId="4" hidden="1">'Model-1B'!$K$156</definedName>
    <definedName name="solver_opt" localSheetId="5" hidden="1">'Model-2'!$J$117</definedName>
    <definedName name="solver_pre" localSheetId="2" hidden="1">0.000001</definedName>
    <definedName name="solver_pre" localSheetId="4" hidden="1">0.000001</definedName>
    <definedName name="solver_pre" localSheetId="5" hidden="1">0.000001</definedName>
    <definedName name="solver_rbv" localSheetId="2" hidden="1">1</definedName>
    <definedName name="solver_rbv" localSheetId="4" hidden="1">1</definedName>
    <definedName name="solver_rbv" localSheetId="5" hidden="1">1</definedName>
    <definedName name="solver_rel1" localSheetId="2" hidden="1">1</definedName>
    <definedName name="solver_rel1" localSheetId="4" hidden="1">1</definedName>
    <definedName name="solver_rel1" localSheetId="5" hidden="1">1</definedName>
    <definedName name="solver_rel2" localSheetId="2" hidden="1">3</definedName>
    <definedName name="solver_rel2" localSheetId="4" hidden="1">3</definedName>
    <definedName name="solver_rel2" localSheetId="5" hidden="1">3</definedName>
    <definedName name="solver_rhs1" localSheetId="2" hidden="1">1</definedName>
    <definedName name="solver_rhs1" localSheetId="4" hidden="1">1</definedName>
    <definedName name="solver_rhs1" localSheetId="5" hidden="1">1</definedName>
    <definedName name="solver_rhs2" localSheetId="2" hidden="1">0</definedName>
    <definedName name="solver_rhs2" localSheetId="4" hidden="1">0</definedName>
    <definedName name="solver_rhs2" localSheetId="5" hidden="1">0</definedName>
    <definedName name="solver_rlx" localSheetId="2" hidden="1">2</definedName>
    <definedName name="solver_rlx" localSheetId="4" hidden="1">2</definedName>
    <definedName name="solver_rlx" localSheetId="5" hidden="1">2</definedName>
    <definedName name="solver_rsd" localSheetId="2" hidden="1">0</definedName>
    <definedName name="solver_rsd" localSheetId="4" hidden="1">0</definedName>
    <definedName name="solver_rsd" localSheetId="5" hidden="1">0</definedName>
    <definedName name="solver_scl" localSheetId="2" hidden="1">1</definedName>
    <definedName name="solver_scl" localSheetId="4" hidden="1">1</definedName>
    <definedName name="solver_scl" localSheetId="5" hidden="1">1</definedName>
    <definedName name="solver_sho" localSheetId="2" hidden="1">2</definedName>
    <definedName name="solver_sho" localSheetId="4" hidden="1">2</definedName>
    <definedName name="solver_sho" localSheetId="5" hidden="1">2</definedName>
    <definedName name="solver_ssz" localSheetId="2" hidden="1">100</definedName>
    <definedName name="solver_ssz" localSheetId="4" hidden="1">100</definedName>
    <definedName name="solver_ssz" localSheetId="5" hidden="1">100</definedName>
    <definedName name="solver_tim" localSheetId="2" hidden="1">2147483647</definedName>
    <definedName name="solver_tim" localSheetId="4" hidden="1">2147483647</definedName>
    <definedName name="solver_tim" localSheetId="5" hidden="1">2147483647</definedName>
    <definedName name="solver_tol" localSheetId="2" hidden="1">0.01</definedName>
    <definedName name="solver_tol" localSheetId="4" hidden="1">0.01</definedName>
    <definedName name="solver_tol" localSheetId="5" hidden="1">0.01</definedName>
    <definedName name="solver_typ" localSheetId="2" hidden="1">1</definedName>
    <definedName name="solver_typ" localSheetId="4" hidden="1">1</definedName>
    <definedName name="solver_typ" localSheetId="5" hidden="1">1</definedName>
    <definedName name="solver_val" localSheetId="2" hidden="1">0</definedName>
    <definedName name="solver_val" localSheetId="4" hidden="1">0</definedName>
    <definedName name="solver_val" localSheetId="5" hidden="1">0</definedName>
    <definedName name="solver_ver" localSheetId="2" hidden="1">3</definedName>
    <definedName name="solver_ver" localSheetId="4" hidden="1">3</definedName>
    <definedName name="solver_ver" localSheetId="5" hidden="1">3</definedName>
    <definedName name="SR_VPO">'Model-2'!$C$33</definedName>
    <definedName name="STARTDATE" hidden="1">" "</definedName>
    <definedName name="TabelScenInput" localSheetId="3">'Scenarier-1B'!$C$7:$Y$12</definedName>
    <definedName name="TabelScenInput">Scenarier!$C$7:$Y$12</definedName>
    <definedName name="TEMPLATE" hidden="1">"Budget"</definedName>
    <definedName name="USEBORDERS" hidden="1">"ON"</definedName>
    <definedName name="USENEXTYEAR">!A1</definedName>
    <definedName name="Varmesalgspris" localSheetId="4">'Model-1B'!$C$35</definedName>
    <definedName name="Varmesalgspris" localSheetId="5">'Model-2'!$C$32</definedName>
    <definedName name="Varmesalgspris">'Model-1'!$C$34</definedName>
    <definedName name="VCONSOLID" hidden="1">TRUE</definedName>
    <definedName name="VEXPORT" hidden="1">TRUE</definedName>
    <definedName name="YEAR">2022</definedName>
    <definedName name="Z_01B8EE19_BF49_4F3C_9D6B_CD607AE52779_.wvu.Rows" localSheetId="1" hidden="1">Scenarier!$1:$4</definedName>
    <definedName name="Z_01B8EE19_BF49_4F3C_9D6B_CD607AE52779_.wvu.Rows" localSheetId="3" hidden="1">'Scenarier-1B'!$1:$4</definedName>
    <definedName name="Z_01B8EE19_BF49_4F3C_9D6B_CD607AE52779_.wvu.Rows" localSheetId="7" hidden="1">'Scenario 28 GWh'!$4:$4</definedName>
    <definedName name="Z_01B8EE19_BF49_4F3C_9D6B_CD607AE52779_.wvu.Rows" localSheetId="8" hidden="1">'Scenario 35 GWh'!$4:$4</definedName>
    <definedName name="Z_01B8EE19_BF49_4F3C_9D6B_CD607AE52779_.wvu.Rows" localSheetId="6" hidden="1">'Scenario 7 GWh'!$4:$4</definedName>
    <definedName name="Z_2B82E035_636B_4F9F_846A_FEE8C149952C_.wvu.Rows" localSheetId="1" hidden="1">Scenarier!$1:$4</definedName>
    <definedName name="Z_2B82E035_636B_4F9F_846A_FEE8C149952C_.wvu.Rows" localSheetId="3" hidden="1">'Scenarier-1B'!$1:$4</definedName>
    <definedName name="Z_2B82E035_636B_4F9F_846A_FEE8C149952C_.wvu.Rows" localSheetId="7" hidden="1">'Scenario 28 GWh'!$4:$4</definedName>
    <definedName name="Z_2B82E035_636B_4F9F_846A_FEE8C149952C_.wvu.Rows" localSheetId="8" hidden="1">'Scenario 35 GWh'!$4:$4</definedName>
    <definedName name="Z_2B82E035_636B_4F9F_846A_FEE8C149952C_.wvu.Rows" localSheetId="6" hidden="1">'Scenario 7 GWh'!$4:$4</definedName>
    <definedName name="Z_B8935784_587B_4D0A_AED7_A4A9B4EF97F4_.wvu.Cols" localSheetId="2" hidden="1">'Model-1'!$A:$F</definedName>
    <definedName name="Z_B8935784_587B_4D0A_AED7_A4A9B4EF97F4_.wvu.Cols" localSheetId="4" hidden="1">'Model-1B'!$A:$F</definedName>
    <definedName name="Z_B8935784_587B_4D0A_AED7_A4A9B4EF97F4_.wvu.Cols" localSheetId="5" hidden="1">'Model-2'!$H:$M</definedName>
    <definedName name="Z_B8935784_587B_4D0A_AED7_A4A9B4EF97F4_.wvu.Rows" localSheetId="1" hidden="1">Scenarier!$1:$4</definedName>
    <definedName name="Z_B8935784_587B_4D0A_AED7_A4A9B4EF97F4_.wvu.Rows" localSheetId="3" hidden="1">'Scenarier-1B'!$1:$4</definedName>
    <definedName name="Z_B8935784_587B_4D0A_AED7_A4A9B4EF97F4_.wvu.Rows" localSheetId="7" hidden="1">'Scenario 28 GWh'!$4:$4</definedName>
    <definedName name="Z_B8935784_587B_4D0A_AED7_A4A9B4EF97F4_.wvu.Rows" localSheetId="8" hidden="1">'Scenario 35 GWh'!$4:$4</definedName>
    <definedName name="Z_B8935784_587B_4D0A_AED7_A4A9B4EF97F4_.wvu.Rows" localSheetId="6" hidden="1">'Scenario 7 GWh'!$4:$4</definedName>
    <definedName name="Z_D61959C2_356A_4414_A70C_587540F5DA06_.wvu.Cols" localSheetId="4" hidden="1">'Model-1B'!$A:$F</definedName>
    <definedName name="Z_D61959C2_356A_4414_A70C_587540F5DA06_.wvu.Rows" localSheetId="1" hidden="1">Scenarier!$1:$4</definedName>
    <definedName name="Z_D61959C2_356A_4414_A70C_587540F5DA06_.wvu.Rows" localSheetId="3" hidden="1">'Scenarier-1B'!$1:$4</definedName>
    <definedName name="Z_D61959C2_356A_4414_A70C_587540F5DA06_.wvu.Rows" localSheetId="7" hidden="1">'Scenario 28 GWh'!$4:$4</definedName>
    <definedName name="Z_D61959C2_356A_4414_A70C_587540F5DA06_.wvu.Rows" localSheetId="8" hidden="1">'Scenario 35 GWh'!$4:$4</definedName>
    <definedName name="Z_D61959C2_356A_4414_A70C_587540F5DA06_.wvu.Rows" localSheetId="6" hidden="1">'Scenario 7 GWh'!$4:$4</definedName>
    <definedName name="Z_EEB625C4_AF57_4951_B4C5_8C71271FF126_.wvu.Rows" localSheetId="1" hidden="1">Scenarier!$1:$4</definedName>
    <definedName name="Z_EEB625C4_AF57_4951_B4C5_8C71271FF126_.wvu.Rows" localSheetId="3" hidden="1">'Scenarier-1B'!$1:$4</definedName>
    <definedName name="Z_EEB625C4_AF57_4951_B4C5_8C71271FF126_.wvu.Rows" localSheetId="7" hidden="1">'Scenario 28 GWh'!$4:$4</definedName>
    <definedName name="Z_EEB625C4_AF57_4951_B4C5_8C71271FF126_.wvu.Rows" localSheetId="8" hidden="1">'Scenario 35 GWh'!$4:$4</definedName>
    <definedName name="Z_EEB625C4_AF57_4951_B4C5_8C71271FF126_.wvu.Rows" localSheetId="6" hidden="1">'Scenario 7 GWh'!$4:$4</definedName>
    <definedName name="ØvrigeBrændsler">[1]DataFuel!$C$31:$C$33</definedName>
  </definedNames>
  <calcPr calcId="191029"/>
  <customWorkbookViews>
    <customWorkbookView name="Dashboard-Model-1B" guid="{D61959C2-356A-4414-A70C-587540F5DA06}" maximized="1" xWindow="-8" yWindow="-8" windowWidth="1936" windowHeight="1048" activeSheetId="12" showFormulaBar="0"/>
    <customWorkbookView name="MedInput-Model-1B" guid="{01B8EE19-BF49-4F3C-9D6B-CD607AE52779}" maximized="1" xWindow="-8" yWindow="-8" windowWidth="1936" windowHeight="1048" activeSheetId="12"/>
    <customWorkbookView name="All" guid="{2B82E035-636B-4F9F-846A-FEE8C149952C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MedInput" guid="{EEB625C4-AF57-4951-B4C5-8C71271FF126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92" i="12" l="1"/>
  <c r="P92" i="12"/>
  <c r="Q91" i="12"/>
  <c r="P91" i="12"/>
  <c r="H1" i="12"/>
  <c r="K59" i="12"/>
  <c r="J59" i="12"/>
  <c r="K58" i="12"/>
  <c r="J58" i="12"/>
  <c r="C26" i="1"/>
  <c r="U30" i="11"/>
  <c r="T30" i="11"/>
  <c r="S30" i="11"/>
  <c r="R30" i="11"/>
  <c r="Q30" i="11"/>
  <c r="P30" i="11"/>
  <c r="O30" i="11"/>
  <c r="N30" i="11"/>
  <c r="M30" i="11"/>
  <c r="L30" i="11"/>
  <c r="K30" i="11"/>
  <c r="J30" i="11"/>
  <c r="K57" i="12"/>
  <c r="J57" i="12"/>
  <c r="L33" i="14"/>
  <c r="I33" i="14"/>
  <c r="H33" i="14"/>
  <c r="G33" i="14"/>
  <c r="F33" i="14"/>
  <c r="M32" i="14"/>
  <c r="H32" i="14"/>
  <c r="G32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R25" i="14" l="1"/>
  <c r="R18" i="14"/>
  <c r="R26" i="14"/>
  <c r="R13" i="14"/>
  <c r="S16" i="14" a="1"/>
  <c r="S16" i="14" s="1"/>
  <c r="T16" i="14" s="1"/>
  <c r="R24" i="14"/>
  <c r="S13" i="14" a="1"/>
  <c r="S13" i="14" s="1"/>
  <c r="T13" i="14" s="1"/>
  <c r="B35" i="14" a="1"/>
  <c r="B35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M27" i="14"/>
  <c r="L27" i="14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N27" i="14"/>
  <c r="J27" i="14"/>
  <c r="D27" i="14" l="1"/>
  <c r="F27" i="14"/>
  <c r="K27" i="14"/>
  <c r="I27" i="14"/>
  <c r="H27" i="14"/>
  <c r="P20" i="14" l="1"/>
  <c r="C27" i="14"/>
  <c r="Q20" i="14"/>
  <c r="S20" i="14" l="1" a="1"/>
  <c r="S20" i="14" s="1"/>
  <c r="T20" i="14" s="1"/>
  <c r="R20" i="14"/>
  <c r="P27" i="14"/>
  <c r="D133" i="13" l="1"/>
  <c r="C133" i="13"/>
  <c r="D132" i="13"/>
  <c r="C132" i="13"/>
  <c r="D131" i="13"/>
  <c r="C131" i="13"/>
  <c r="D130" i="13"/>
  <c r="C130" i="13"/>
  <c r="D129" i="13"/>
  <c r="C129" i="13"/>
  <c r="D128" i="13"/>
  <c r="C128" i="13"/>
  <c r="D127" i="13"/>
  <c r="D126" i="13"/>
  <c r="C126" i="13"/>
  <c r="D125" i="13"/>
  <c r="C125" i="13"/>
  <c r="D124" i="13"/>
  <c r="C124" i="13"/>
  <c r="D123" i="13"/>
  <c r="C123" i="13"/>
  <c r="D122" i="13"/>
  <c r="C122" i="13"/>
  <c r="D121" i="13"/>
  <c r="C121" i="13"/>
  <c r="D120" i="13"/>
  <c r="C120" i="13"/>
  <c r="D119" i="13"/>
  <c r="C119" i="13"/>
  <c r="D118" i="13"/>
  <c r="D117" i="13"/>
  <c r="C117" i="13"/>
  <c r="D116" i="13"/>
  <c r="C116" i="13"/>
  <c r="D115" i="13"/>
  <c r="C115" i="13"/>
  <c r="D114" i="13"/>
  <c r="C114" i="13"/>
  <c r="D113" i="13"/>
  <c r="C113" i="13"/>
  <c r="D112" i="13"/>
  <c r="C112" i="13"/>
  <c r="D111" i="13"/>
  <c r="C111" i="13"/>
  <c r="D110" i="13"/>
  <c r="D109" i="13"/>
  <c r="C109" i="13"/>
  <c r="D108" i="13"/>
  <c r="C108" i="13"/>
  <c r="D107" i="13"/>
  <c r="C107" i="13"/>
  <c r="D106" i="13"/>
  <c r="C106" i="13"/>
  <c r="D105" i="13"/>
  <c r="C105" i="13"/>
  <c r="D104" i="13"/>
  <c r="C104" i="13"/>
  <c r="D103" i="13"/>
  <c r="D102" i="13"/>
  <c r="C102" i="13"/>
  <c r="D101" i="13"/>
  <c r="C101" i="13"/>
  <c r="D100" i="13"/>
  <c r="C100" i="13"/>
  <c r="D99" i="13"/>
  <c r="C99" i="13"/>
  <c r="D98" i="13"/>
  <c r="D97" i="13"/>
  <c r="C97" i="13"/>
  <c r="D96" i="13"/>
  <c r="C96" i="13"/>
  <c r="D95" i="13"/>
  <c r="C95" i="13"/>
  <c r="Y94" i="13"/>
  <c r="X94" i="13"/>
  <c r="W94" i="13"/>
  <c r="V94" i="13"/>
  <c r="U94" i="13"/>
  <c r="T94" i="13"/>
  <c r="S94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A53" i="13" s="1" a="1"/>
  <c r="A53" i="13" s="1"/>
  <c r="W88" i="13" a="1"/>
  <c r="W88" i="13" s="1"/>
  <c r="V88" i="13" a="1"/>
  <c r="V88" i="13" s="1"/>
  <c r="S88" i="13" a="1"/>
  <c r="S88" i="13" s="1"/>
  <c r="R88" i="13" a="1"/>
  <c r="R88" i="13" s="1"/>
  <c r="P88" i="13" a="1"/>
  <c r="P88" i="13" s="1"/>
  <c r="O88" i="13" a="1"/>
  <c r="O88" i="13" s="1"/>
  <c r="N88" i="13" a="1"/>
  <c r="N88" i="13" s="1"/>
  <c r="M88" i="13" a="1"/>
  <c r="M88" i="13" s="1"/>
  <c r="L88" i="13" a="1"/>
  <c r="L88" i="13" s="1"/>
  <c r="K88" i="13" a="1"/>
  <c r="K88" i="13" s="1"/>
  <c r="J88" i="13" a="1"/>
  <c r="J88" i="13" s="1"/>
  <c r="I88" i="13" a="1"/>
  <c r="I88" i="13" s="1"/>
  <c r="H88" i="13" a="1"/>
  <c r="H88" i="13" s="1"/>
  <c r="G88" i="13" a="1"/>
  <c r="G88" i="13" s="1"/>
  <c r="F88" i="13" a="1"/>
  <c r="F88" i="13" s="1"/>
  <c r="E88" i="13" a="1"/>
  <c r="E88" i="13" s="1"/>
  <c r="D88" i="13"/>
  <c r="Y88" i="13" s="1" a="1"/>
  <c r="Y88" i="13" s="1"/>
  <c r="C88" i="13"/>
  <c r="Y87" i="13" a="1"/>
  <c r="Y87" i="13" s="1"/>
  <c r="X87" i="13" a="1"/>
  <c r="X87" i="13" s="1"/>
  <c r="W87" i="13" a="1"/>
  <c r="W87" i="13" s="1"/>
  <c r="V87" i="13" a="1"/>
  <c r="V87" i="13" s="1"/>
  <c r="U87" i="13" a="1"/>
  <c r="U87" i="13" s="1"/>
  <c r="T87" i="13" a="1"/>
  <c r="T87" i="13" s="1"/>
  <c r="S87" i="13" a="1"/>
  <c r="S87" i="13" s="1"/>
  <c r="R87" i="13" a="1"/>
  <c r="R87" i="13" s="1"/>
  <c r="Q87" i="13" a="1"/>
  <c r="Q87" i="13" s="1"/>
  <c r="P87" i="13" a="1"/>
  <c r="P87" i="13" s="1"/>
  <c r="O87" i="13" a="1"/>
  <c r="O87" i="13" s="1"/>
  <c r="N87" i="13" a="1"/>
  <c r="N87" i="13" s="1"/>
  <c r="M87" i="13" a="1"/>
  <c r="M87" i="13" s="1"/>
  <c r="L87" i="13" a="1"/>
  <c r="L87" i="13" s="1"/>
  <c r="K87" i="13" a="1"/>
  <c r="K87" i="13" s="1"/>
  <c r="J87" i="13" a="1"/>
  <c r="J87" i="13" s="1"/>
  <c r="I87" i="13" a="1"/>
  <c r="I87" i="13" s="1"/>
  <c r="H87" i="13" a="1"/>
  <c r="H87" i="13" s="1"/>
  <c r="G87" i="13"/>
  <c r="G87" i="13" a="1"/>
  <c r="F87" i="13" a="1"/>
  <c r="F87" i="13" s="1"/>
  <c r="E87" i="13" a="1"/>
  <c r="E87" i="13" s="1"/>
  <c r="D87" i="13"/>
  <c r="C87" i="13"/>
  <c r="Y86" i="13" a="1"/>
  <c r="Y86" i="13" s="1"/>
  <c r="X86" i="13" a="1"/>
  <c r="X86" i="13" s="1"/>
  <c r="W86" i="13" a="1"/>
  <c r="W86" i="13" s="1"/>
  <c r="V86" i="13" a="1"/>
  <c r="V86" i="13" s="1"/>
  <c r="U86" i="13" a="1"/>
  <c r="U86" i="13" s="1"/>
  <c r="T86" i="13" a="1"/>
  <c r="T86" i="13" s="1"/>
  <c r="S86" i="13" a="1"/>
  <c r="S86" i="13" s="1"/>
  <c r="R86" i="13" a="1"/>
  <c r="R86" i="13" s="1"/>
  <c r="Q86" i="13"/>
  <c r="Q86" i="13" a="1"/>
  <c r="P86" i="13" a="1"/>
  <c r="P86" i="13" s="1"/>
  <c r="O86" i="13" a="1"/>
  <c r="O86" i="13" s="1"/>
  <c r="N86" i="13" a="1"/>
  <c r="N86" i="13" s="1"/>
  <c r="M86" i="13" a="1"/>
  <c r="M86" i="13" s="1"/>
  <c r="L86" i="13" a="1"/>
  <c r="L86" i="13" s="1"/>
  <c r="K86" i="13" a="1"/>
  <c r="K86" i="13" s="1"/>
  <c r="J86" i="13" a="1"/>
  <c r="J86" i="13" s="1"/>
  <c r="I86" i="13" a="1"/>
  <c r="I86" i="13" s="1"/>
  <c r="H86" i="13" a="1"/>
  <c r="H86" i="13" s="1"/>
  <c r="G86" i="13" a="1"/>
  <c r="G86" i="13" s="1"/>
  <c r="F86" i="13" a="1"/>
  <c r="F86" i="13" s="1"/>
  <c r="E86" i="13" a="1"/>
  <c r="E86" i="13" s="1"/>
  <c r="D86" i="13"/>
  <c r="C86" i="13"/>
  <c r="Y85" i="13" a="1"/>
  <c r="Y85" i="13" s="1"/>
  <c r="X85" i="13" a="1"/>
  <c r="X85" i="13" s="1"/>
  <c r="W85" i="13" a="1"/>
  <c r="W85" i="13" s="1"/>
  <c r="V85" i="13" a="1"/>
  <c r="V85" i="13" s="1"/>
  <c r="U85" i="13" a="1"/>
  <c r="U85" i="13" s="1"/>
  <c r="T85" i="13" a="1"/>
  <c r="T85" i="13" s="1"/>
  <c r="S85" i="13" a="1"/>
  <c r="S85" i="13" s="1"/>
  <c r="R85" i="13" a="1"/>
  <c r="R85" i="13" s="1"/>
  <c r="Q85" i="13" a="1"/>
  <c r="Q85" i="13" s="1"/>
  <c r="P85" i="13" a="1"/>
  <c r="P85" i="13" s="1"/>
  <c r="O85" i="13" a="1"/>
  <c r="O85" i="13" s="1"/>
  <c r="N85" i="13" a="1"/>
  <c r="N85" i="13" s="1"/>
  <c r="M85" i="13" a="1"/>
  <c r="M85" i="13" s="1"/>
  <c r="L85" i="13" a="1"/>
  <c r="L85" i="13" s="1"/>
  <c r="K85" i="13" a="1"/>
  <c r="K85" i="13" s="1"/>
  <c r="J85" i="13" a="1"/>
  <c r="J85" i="13" s="1"/>
  <c r="I85" i="13" a="1"/>
  <c r="I85" i="13" s="1"/>
  <c r="H85" i="13" a="1"/>
  <c r="H85" i="13" s="1"/>
  <c r="G85" i="13" a="1"/>
  <c r="G85" i="13" s="1"/>
  <c r="F85" i="13" a="1"/>
  <c r="F85" i="13" s="1"/>
  <c r="E85" i="13" a="1"/>
  <c r="E85" i="13" s="1"/>
  <c r="D85" i="13"/>
  <c r="C85" i="13"/>
  <c r="Y84" i="13" a="1"/>
  <c r="Y84" i="13" s="1"/>
  <c r="X84" i="13" a="1"/>
  <c r="X84" i="13" s="1"/>
  <c r="W84" i="13" a="1"/>
  <c r="W84" i="13" s="1"/>
  <c r="V84" i="13" a="1"/>
  <c r="V84" i="13" s="1"/>
  <c r="U84" i="13" a="1"/>
  <c r="U84" i="13" s="1"/>
  <c r="T84" i="13" a="1"/>
  <c r="T84" i="13" s="1"/>
  <c r="S84" i="13" a="1"/>
  <c r="S84" i="13" s="1"/>
  <c r="R84" i="13" a="1"/>
  <c r="R84" i="13" s="1"/>
  <c r="Q84" i="13" a="1"/>
  <c r="Q84" i="13" s="1"/>
  <c r="P84" i="13" a="1"/>
  <c r="P84" i="13" s="1"/>
  <c r="O84" i="13" a="1"/>
  <c r="O84" i="13" s="1"/>
  <c r="N84" i="13" a="1"/>
  <c r="N84" i="13" s="1"/>
  <c r="M84" i="13" a="1"/>
  <c r="M84" i="13" s="1"/>
  <c r="L84" i="13" a="1"/>
  <c r="L84" i="13" s="1"/>
  <c r="K84" i="13" a="1"/>
  <c r="K84" i="13" s="1"/>
  <c r="J84" i="13" a="1"/>
  <c r="J84" i="13" s="1"/>
  <c r="I84" i="13" a="1"/>
  <c r="I84" i="13" s="1"/>
  <c r="H84" i="13" a="1"/>
  <c r="H84" i="13" s="1"/>
  <c r="G84" i="13" a="1"/>
  <c r="G84" i="13" s="1"/>
  <c r="F84" i="13" a="1"/>
  <c r="F84" i="13" s="1"/>
  <c r="E84" i="13" a="1"/>
  <c r="E84" i="13" s="1"/>
  <c r="D84" i="13"/>
  <c r="C84" i="13"/>
  <c r="Y83" i="13" a="1"/>
  <c r="Y83" i="13" s="1"/>
  <c r="X83" i="13" a="1"/>
  <c r="X83" i="13" s="1"/>
  <c r="W83" i="13" a="1"/>
  <c r="W83" i="13" s="1"/>
  <c r="V83" i="13" a="1"/>
  <c r="V83" i="13" s="1"/>
  <c r="U83" i="13" a="1"/>
  <c r="U83" i="13" s="1"/>
  <c r="T83" i="13" a="1"/>
  <c r="T83" i="13" s="1"/>
  <c r="S83" i="13" a="1"/>
  <c r="S83" i="13" s="1"/>
  <c r="R83" i="13" a="1"/>
  <c r="R83" i="13" s="1"/>
  <c r="Q83" i="13" a="1"/>
  <c r="Q83" i="13" s="1"/>
  <c r="P83" i="13" a="1"/>
  <c r="P83" i="13" s="1"/>
  <c r="O83" i="13" a="1"/>
  <c r="O83" i="13" s="1"/>
  <c r="N83" i="13" a="1"/>
  <c r="N83" i="13" s="1"/>
  <c r="M83" i="13" a="1"/>
  <c r="M83" i="13" s="1"/>
  <c r="L83" i="13" a="1"/>
  <c r="L83" i="13" s="1"/>
  <c r="K83" i="13" a="1"/>
  <c r="K83" i="13" s="1"/>
  <c r="J83" i="13" a="1"/>
  <c r="J83" i="13" s="1"/>
  <c r="I83" i="13" a="1"/>
  <c r="I83" i="13" s="1"/>
  <c r="H83" i="13" a="1"/>
  <c r="H83" i="13" s="1"/>
  <c r="G83" i="13" a="1"/>
  <c r="G83" i="13" s="1"/>
  <c r="F83" i="13" a="1"/>
  <c r="F83" i="13" s="1"/>
  <c r="E83" i="13" a="1"/>
  <c r="E83" i="13" s="1"/>
  <c r="D83" i="13"/>
  <c r="C83" i="13"/>
  <c r="Y82" i="13" a="1"/>
  <c r="Y82" i="13" s="1"/>
  <c r="X82" i="13" a="1"/>
  <c r="X82" i="13" s="1"/>
  <c r="W82" i="13" a="1"/>
  <c r="W82" i="13" s="1"/>
  <c r="V82" i="13" a="1"/>
  <c r="V82" i="13" s="1"/>
  <c r="U82" i="13" a="1"/>
  <c r="U82" i="13" s="1"/>
  <c r="T82" i="13" a="1"/>
  <c r="T82" i="13" s="1"/>
  <c r="S82" i="13" a="1"/>
  <c r="S82" i="13" s="1"/>
  <c r="R82" i="13" a="1"/>
  <c r="R82" i="13" s="1"/>
  <c r="Q82" i="13" a="1"/>
  <c r="Q82" i="13" s="1"/>
  <c r="P82" i="13" a="1"/>
  <c r="P82" i="13" s="1"/>
  <c r="O82" i="13" a="1"/>
  <c r="O82" i="13" s="1"/>
  <c r="N82" i="13" a="1"/>
  <c r="N82" i="13" s="1"/>
  <c r="M82" i="13" a="1"/>
  <c r="M82" i="13" s="1"/>
  <c r="L82" i="13" a="1"/>
  <c r="L82" i="13" s="1"/>
  <c r="K82" i="13" a="1"/>
  <c r="K82" i="13" s="1"/>
  <c r="J82" i="13" a="1"/>
  <c r="J82" i="13" s="1"/>
  <c r="I82" i="13" a="1"/>
  <c r="I82" i="13" s="1"/>
  <c r="H82" i="13" a="1"/>
  <c r="H82" i="13" s="1"/>
  <c r="G82" i="13" a="1"/>
  <c r="G82" i="13" s="1"/>
  <c r="F82" i="13" a="1"/>
  <c r="F82" i="13" s="1"/>
  <c r="E82" i="13" a="1"/>
  <c r="E82" i="13" s="1"/>
  <c r="D82" i="13"/>
  <c r="C82" i="13"/>
  <c r="Y81" i="13" a="1"/>
  <c r="Y81" i="13" s="1"/>
  <c r="X81" i="13" a="1"/>
  <c r="X81" i="13" s="1"/>
  <c r="W81" i="13" a="1"/>
  <c r="W81" i="13" s="1"/>
  <c r="V81" i="13" a="1"/>
  <c r="V81" i="13" s="1"/>
  <c r="U81" i="13" a="1"/>
  <c r="U81" i="13" s="1"/>
  <c r="T81" i="13" a="1"/>
  <c r="T81" i="13" s="1"/>
  <c r="S81" i="13" a="1"/>
  <c r="S81" i="13" s="1"/>
  <c r="R81" i="13" a="1"/>
  <c r="R81" i="13" s="1"/>
  <c r="Q81" i="13" a="1"/>
  <c r="Q81" i="13" s="1"/>
  <c r="P81" i="13" a="1"/>
  <c r="P81" i="13" s="1"/>
  <c r="O81" i="13" a="1"/>
  <c r="O81" i="13" s="1"/>
  <c r="N81" i="13" a="1"/>
  <c r="N81" i="13" s="1"/>
  <c r="M81" i="13" a="1"/>
  <c r="M81" i="13" s="1"/>
  <c r="L81" i="13" a="1"/>
  <c r="L81" i="13" s="1"/>
  <c r="K81" i="13" a="1"/>
  <c r="K81" i="13" s="1"/>
  <c r="J81" i="13" a="1"/>
  <c r="J81" i="13" s="1"/>
  <c r="I81" i="13" a="1"/>
  <c r="I81" i="13" s="1"/>
  <c r="H81" i="13" a="1"/>
  <c r="H81" i="13" s="1"/>
  <c r="G81" i="13" a="1"/>
  <c r="G81" i="13" s="1"/>
  <c r="F81" i="13" a="1"/>
  <c r="F81" i="13" s="1"/>
  <c r="E81" i="13" a="1"/>
  <c r="E81" i="13" s="1"/>
  <c r="D81" i="13"/>
  <c r="C81" i="13"/>
  <c r="P80" i="13" a="1"/>
  <c r="P80" i="13" s="1"/>
  <c r="D80" i="13"/>
  <c r="C80" i="13"/>
  <c r="D79" i="13"/>
  <c r="C79" i="13"/>
  <c r="V79" i="13" s="1" a="1"/>
  <c r="V79" i="13" s="1"/>
  <c r="C78" i="13"/>
  <c r="D75" i="13"/>
  <c r="D74" i="13"/>
  <c r="C74" i="13"/>
  <c r="S73" i="13" a="1"/>
  <c r="S73" i="13" s="1"/>
  <c r="D73" i="13"/>
  <c r="C73" i="13"/>
  <c r="I72" i="13" a="1"/>
  <c r="I72" i="13" s="1"/>
  <c r="D72" i="13"/>
  <c r="C72" i="13"/>
  <c r="V71" i="13" a="1"/>
  <c r="V71" i="13" s="1"/>
  <c r="D71" i="13"/>
  <c r="C71" i="13"/>
  <c r="R71" i="13" s="1" a="1"/>
  <c r="R71" i="13" s="1"/>
  <c r="Y70" i="13" a="1"/>
  <c r="Y70" i="13" s="1"/>
  <c r="Q70" i="13" a="1"/>
  <c r="Q70" i="13" s="1"/>
  <c r="I70" i="13" a="1"/>
  <c r="I70" i="13" s="1"/>
  <c r="D70" i="13"/>
  <c r="C70" i="13"/>
  <c r="V70" i="13" s="1" a="1"/>
  <c r="V70" i="13" s="1"/>
  <c r="D69" i="13"/>
  <c r="C69" i="13"/>
  <c r="W69" i="13" s="1" a="1"/>
  <c r="W69" i="13" s="1"/>
  <c r="V68" i="13" a="1"/>
  <c r="V68" i="13" s="1"/>
  <c r="N68" i="13" a="1"/>
  <c r="N68" i="13" s="1"/>
  <c r="F68" i="13" a="1"/>
  <c r="F68" i="13" s="1"/>
  <c r="D68" i="13"/>
  <c r="C68" i="13"/>
  <c r="U68" i="13" s="1" a="1"/>
  <c r="U68" i="13" s="1"/>
  <c r="V67" i="13" a="1"/>
  <c r="V67" i="13" s="1"/>
  <c r="N67" i="13" a="1"/>
  <c r="N67" i="13" s="1"/>
  <c r="F67" i="13" a="1"/>
  <c r="F67" i="13" s="1"/>
  <c r="D67" i="13"/>
  <c r="C67" i="13"/>
  <c r="U66" i="13" a="1"/>
  <c r="U66" i="13" s="1"/>
  <c r="M66" i="13" a="1"/>
  <c r="M66" i="13" s="1"/>
  <c r="E66" i="13" a="1"/>
  <c r="E66" i="13" s="1"/>
  <c r="D66" i="13"/>
  <c r="C66" i="13"/>
  <c r="R66" i="13" s="1" a="1"/>
  <c r="R66" i="13" s="1"/>
  <c r="D65" i="13"/>
  <c r="C65" i="13"/>
  <c r="S65" i="13" s="1" a="1"/>
  <c r="S65" i="13" s="1"/>
  <c r="D64" i="13"/>
  <c r="C64" i="13"/>
  <c r="Y64" i="13" s="1" a="1"/>
  <c r="Y64" i="13" s="1"/>
  <c r="R63" i="13" a="1"/>
  <c r="R63" i="13" s="1"/>
  <c r="J63" i="13" a="1"/>
  <c r="J63" i="13" s="1"/>
  <c r="D63" i="13"/>
  <c r="C63" i="13"/>
  <c r="Y62" i="13" a="1"/>
  <c r="Y62" i="13" s="1"/>
  <c r="K62" i="13" a="1"/>
  <c r="K62" i="13" s="1"/>
  <c r="E62" i="13" a="1"/>
  <c r="E62" i="13" s="1"/>
  <c r="D62" i="13"/>
  <c r="C62" i="13"/>
  <c r="S62" i="13" s="1" a="1"/>
  <c r="S62" i="13" s="1"/>
  <c r="U61" i="13" a="1"/>
  <c r="U61" i="13" s="1"/>
  <c r="O61" i="13" a="1"/>
  <c r="O61" i="13" s="1"/>
  <c r="H61" i="13" a="1"/>
  <c r="H61" i="13" s="1"/>
  <c r="D61" i="13"/>
  <c r="C61" i="13"/>
  <c r="W61" i="13" s="1" a="1"/>
  <c r="W61" i="13" s="1"/>
  <c r="Y60" i="13" a="1"/>
  <c r="Y60" i="13" s="1"/>
  <c r="R60" i="13" a="1"/>
  <c r="R60" i="13" s="1"/>
  <c r="L60" i="13" a="1"/>
  <c r="L60" i="13" s="1"/>
  <c r="D60" i="13"/>
  <c r="C60" i="13"/>
  <c r="X60" i="13" s="1" a="1"/>
  <c r="X60" i="13" s="1"/>
  <c r="Y59" i="13" a="1"/>
  <c r="Y59" i="13" s="1"/>
  <c r="X59" i="13" a="1"/>
  <c r="X59" i="13" s="1"/>
  <c r="V59" i="13" a="1"/>
  <c r="V59" i="13" s="1"/>
  <c r="U59" i="13" a="1"/>
  <c r="U59" i="13" s="1"/>
  <c r="S59" i="13" a="1"/>
  <c r="S59" i="13" s="1"/>
  <c r="R59" i="13" a="1"/>
  <c r="R59" i="13" s="1"/>
  <c r="O59" i="13" a="1"/>
  <c r="O59" i="13" s="1"/>
  <c r="L59" i="13" a="1"/>
  <c r="L59" i="13" s="1"/>
  <c r="I59" i="13" a="1"/>
  <c r="I59" i="13" s="1"/>
  <c r="H59" i="13" a="1"/>
  <c r="H59" i="13" s="1"/>
  <c r="F59" i="13" a="1"/>
  <c r="F59" i="13" s="1"/>
  <c r="E59" i="13" a="1"/>
  <c r="E59" i="13" s="1"/>
  <c r="D59" i="13"/>
  <c r="Q59" i="13" s="1" a="1"/>
  <c r="Q59" i="13" s="1"/>
  <c r="C59" i="13"/>
  <c r="T59" i="13" s="1" a="1"/>
  <c r="T59" i="13" s="1"/>
  <c r="D58" i="13"/>
  <c r="C58" i="13"/>
  <c r="X58" i="13" s="1" a="1"/>
  <c r="X58" i="13" s="1"/>
  <c r="D57" i="13"/>
  <c r="C57" i="13"/>
  <c r="V57" i="13" s="1" a="1"/>
  <c r="V57" i="13" s="1"/>
  <c r="Y56" i="13" a="1"/>
  <c r="Y56" i="13" s="1"/>
  <c r="W56" i="13" a="1"/>
  <c r="W56" i="13" s="1"/>
  <c r="U56" i="13"/>
  <c r="U56" i="13" a="1"/>
  <c r="S56" i="13" a="1"/>
  <c r="S56" i="13" s="1"/>
  <c r="Q56" i="13" a="1"/>
  <c r="Q56" i="13" s="1"/>
  <c r="O56" i="13" a="1"/>
  <c r="O56" i="13" s="1"/>
  <c r="M56" i="13" a="1"/>
  <c r="M56" i="13" s="1"/>
  <c r="K56" i="13" a="1"/>
  <c r="K56" i="13" s="1"/>
  <c r="I56" i="13" a="1"/>
  <c r="I56" i="13" s="1"/>
  <c r="G56" i="13" a="1"/>
  <c r="G56" i="13" s="1"/>
  <c r="E56" i="13"/>
  <c r="E56" i="13" a="1"/>
  <c r="D56" i="13"/>
  <c r="C56" i="13"/>
  <c r="X56" i="13" s="1" a="1"/>
  <c r="X56" i="13" s="1"/>
  <c r="Y55" i="13" a="1"/>
  <c r="Y55" i="13" s="1"/>
  <c r="W55" i="13" a="1"/>
  <c r="W55" i="13" s="1"/>
  <c r="U55" i="13" a="1"/>
  <c r="U55" i="13" s="1"/>
  <c r="S55" i="13"/>
  <c r="S55" i="13" a="1"/>
  <c r="Q55" i="13" a="1"/>
  <c r="Q55" i="13" s="1"/>
  <c r="O55" i="13"/>
  <c r="O55" i="13" a="1"/>
  <c r="M55" i="13" a="1"/>
  <c r="M55" i="13" s="1"/>
  <c r="L55" i="13" a="1"/>
  <c r="L55" i="13" s="1"/>
  <c r="K55" i="13" a="1"/>
  <c r="K55" i="13" s="1"/>
  <c r="J55" i="13" a="1"/>
  <c r="J55" i="13" s="1"/>
  <c r="I55" i="13" a="1"/>
  <c r="I55" i="13" s="1"/>
  <c r="G55" i="13"/>
  <c r="G55" i="13" a="1"/>
  <c r="F55" i="13" a="1"/>
  <c r="F55" i="13" s="1"/>
  <c r="E55" i="13" a="1"/>
  <c r="E55" i="13" s="1"/>
  <c r="D55" i="13"/>
  <c r="C55" i="13"/>
  <c r="V55" i="13" s="1" a="1"/>
  <c r="V55" i="13" s="1"/>
  <c r="Y54" i="13" a="1"/>
  <c r="Y54" i="13" s="1"/>
  <c r="W54" i="13" a="1"/>
  <c r="W54" i="13" s="1"/>
  <c r="U54" i="13"/>
  <c r="U54" i="13" a="1"/>
  <c r="S54" i="13" a="1"/>
  <c r="S54" i="13" s="1"/>
  <c r="Q54" i="13" a="1"/>
  <c r="Q54" i="13" s="1"/>
  <c r="O54" i="13" a="1"/>
  <c r="O54" i="13" s="1"/>
  <c r="M54" i="13" a="1"/>
  <c r="M54" i="13" s="1"/>
  <c r="K54" i="13" a="1"/>
  <c r="K54" i="13" s="1"/>
  <c r="I54" i="13" a="1"/>
  <c r="I54" i="13" s="1"/>
  <c r="G54" i="13" a="1"/>
  <c r="G54" i="13" s="1"/>
  <c r="E54" i="13" a="1"/>
  <c r="E54" i="13" s="1"/>
  <c r="D54" i="13"/>
  <c r="C54" i="13"/>
  <c r="X54" i="13" s="1" a="1"/>
  <c r="X54" i="13" s="1"/>
  <c r="Y53" i="13"/>
  <c r="Y77" i="13" s="1"/>
  <c r="X53" i="13"/>
  <c r="X77" i="13" s="1"/>
  <c r="W53" i="13"/>
  <c r="W77" i="13" s="1"/>
  <c r="V53" i="13"/>
  <c r="V77" i="13" s="1"/>
  <c r="U53" i="13"/>
  <c r="U77" i="13" s="1"/>
  <c r="T53" i="13"/>
  <c r="T77" i="13" s="1"/>
  <c r="S53" i="13"/>
  <c r="S77" i="13" s="1"/>
  <c r="R53" i="13"/>
  <c r="R77" i="13" s="1"/>
  <c r="Q53" i="13"/>
  <c r="Q77" i="13" s="1"/>
  <c r="P53" i="13"/>
  <c r="P77" i="13" s="1"/>
  <c r="O53" i="13"/>
  <c r="O77" i="13" s="1"/>
  <c r="N53" i="13"/>
  <c r="N77" i="13" s="1"/>
  <c r="M53" i="13"/>
  <c r="M77" i="13" s="1"/>
  <c r="L53" i="13"/>
  <c r="L77" i="13" s="1"/>
  <c r="K53" i="13"/>
  <c r="K77" i="13" s="1"/>
  <c r="J53" i="13"/>
  <c r="J77" i="13" s="1"/>
  <c r="I53" i="13"/>
  <c r="I77" i="13" s="1"/>
  <c r="H53" i="13"/>
  <c r="H77" i="13" s="1"/>
  <c r="G53" i="13"/>
  <c r="G77" i="13" s="1"/>
  <c r="F53" i="13"/>
  <c r="F77" i="13" s="1"/>
  <c r="E53" i="13"/>
  <c r="E12" i="13"/>
  <c r="D12" i="13"/>
  <c r="C12" i="13"/>
  <c r="D11" i="13"/>
  <c r="C11" i="13"/>
  <c r="E10" i="13"/>
  <c r="D10" i="13"/>
  <c r="C10" i="13"/>
  <c r="E9" i="13"/>
  <c r="D9" i="13"/>
  <c r="C9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H1" i="1"/>
  <c r="J141" i="12"/>
  <c r="P48" i="12" s="1"/>
  <c r="P73" i="12" s="1"/>
  <c r="K119" i="12"/>
  <c r="J119" i="12"/>
  <c r="N71" i="12"/>
  <c r="N70" i="12"/>
  <c r="N69" i="12"/>
  <c r="P68" i="12"/>
  <c r="N68" i="12"/>
  <c r="N67" i="12"/>
  <c r="N66" i="12"/>
  <c r="O63" i="12"/>
  <c r="N63" i="12"/>
  <c r="O62" i="12"/>
  <c r="N62" i="12"/>
  <c r="O61" i="12"/>
  <c r="N61" i="12"/>
  <c r="O60" i="12"/>
  <c r="N60" i="12"/>
  <c r="O59" i="12"/>
  <c r="N59" i="12"/>
  <c r="O58" i="12"/>
  <c r="N58" i="12"/>
  <c r="K62" i="12"/>
  <c r="K141" i="12" s="1"/>
  <c r="Q48" i="12" s="1"/>
  <c r="O56" i="12"/>
  <c r="N56" i="12"/>
  <c r="P55" i="12"/>
  <c r="O55" i="12"/>
  <c r="N55" i="12"/>
  <c r="O54" i="12"/>
  <c r="N54" i="12"/>
  <c r="O53" i="12"/>
  <c r="N53" i="12"/>
  <c r="O51" i="12"/>
  <c r="N51" i="12"/>
  <c r="O50" i="12"/>
  <c r="N50" i="12"/>
  <c r="K50" i="12"/>
  <c r="K51" i="12" s="1"/>
  <c r="J50" i="12"/>
  <c r="J51" i="12" s="1"/>
  <c r="J54" i="12" s="1"/>
  <c r="O49" i="12"/>
  <c r="N49" i="12"/>
  <c r="E28" i="12"/>
  <c r="C26" i="12"/>
  <c r="C27" i="12" s="1"/>
  <c r="D25" i="12"/>
  <c r="C25" i="12"/>
  <c r="D19" i="12"/>
  <c r="C19" i="12"/>
  <c r="AL4" i="12"/>
  <c r="AL3" i="12"/>
  <c r="AL2" i="12"/>
  <c r="K37" i="11"/>
  <c r="L37" i="11"/>
  <c r="M37" i="11"/>
  <c r="N37" i="11"/>
  <c r="O37" i="11"/>
  <c r="P37" i="11"/>
  <c r="Q37" i="11"/>
  <c r="R37" i="11"/>
  <c r="S37" i="11"/>
  <c r="T37" i="11"/>
  <c r="U37" i="11"/>
  <c r="J37" i="11"/>
  <c r="J36" i="11"/>
  <c r="K20" i="11"/>
  <c r="L20" i="11"/>
  <c r="M20" i="11"/>
  <c r="N20" i="11"/>
  <c r="N31" i="11" s="1"/>
  <c r="O20" i="11"/>
  <c r="O31" i="11" s="1"/>
  <c r="O34" i="11" s="1"/>
  <c r="P20" i="11"/>
  <c r="Q20" i="11"/>
  <c r="R20" i="11"/>
  <c r="S20" i="11"/>
  <c r="T20" i="11"/>
  <c r="U20" i="11"/>
  <c r="J20" i="11"/>
  <c r="K42" i="11"/>
  <c r="K43" i="11" s="1"/>
  <c r="L42" i="11"/>
  <c r="L43" i="11" s="1"/>
  <c r="L46" i="11" s="1"/>
  <c r="M42" i="11"/>
  <c r="M43" i="11" s="1"/>
  <c r="M46" i="11" s="1"/>
  <c r="N42" i="11"/>
  <c r="N43" i="11" s="1"/>
  <c r="O42" i="11"/>
  <c r="O43" i="11" s="1"/>
  <c r="O46" i="11" s="1"/>
  <c r="P42" i="11"/>
  <c r="P43" i="11" s="1"/>
  <c r="P46" i="11" s="1"/>
  <c r="Q42" i="11"/>
  <c r="Q43" i="11" s="1"/>
  <c r="Q46" i="11" s="1"/>
  <c r="R42" i="11"/>
  <c r="R43" i="11" s="1"/>
  <c r="S42" i="11"/>
  <c r="S43" i="11" s="1"/>
  <c r="T42" i="11"/>
  <c r="T43" i="11" s="1"/>
  <c r="T46" i="11" s="1"/>
  <c r="U42" i="11"/>
  <c r="U43" i="11" s="1"/>
  <c r="U46" i="11" s="1"/>
  <c r="K49" i="11"/>
  <c r="K50" i="11" s="1"/>
  <c r="K53" i="11" s="1"/>
  <c r="L49" i="11"/>
  <c r="L50" i="11" s="1"/>
  <c r="M49" i="11"/>
  <c r="M50" i="11" s="1"/>
  <c r="N49" i="11"/>
  <c r="N50" i="11" s="1"/>
  <c r="N53" i="11" s="1"/>
  <c r="O49" i="11"/>
  <c r="O50" i="11" s="1"/>
  <c r="P49" i="11"/>
  <c r="P50" i="11" s="1"/>
  <c r="Q49" i="11"/>
  <c r="Q50" i="11" s="1"/>
  <c r="R49" i="11"/>
  <c r="R50" i="11" s="1"/>
  <c r="S49" i="11"/>
  <c r="S50" i="11" s="1"/>
  <c r="S53" i="11" s="1"/>
  <c r="T49" i="11"/>
  <c r="T50" i="11" s="1"/>
  <c r="U49" i="11"/>
  <c r="U50" i="11" s="1"/>
  <c r="U53" i="11" s="1"/>
  <c r="K18" i="11"/>
  <c r="L18" i="11"/>
  <c r="M18" i="11"/>
  <c r="N18" i="11"/>
  <c r="O18" i="11"/>
  <c r="P18" i="11"/>
  <c r="Q18" i="11"/>
  <c r="R18" i="11"/>
  <c r="S18" i="11"/>
  <c r="T18" i="11"/>
  <c r="U18" i="11"/>
  <c r="J18" i="11"/>
  <c r="V7" i="11"/>
  <c r="V8" i="11"/>
  <c r="K119" i="11"/>
  <c r="L119" i="11"/>
  <c r="M119" i="11"/>
  <c r="N119" i="11"/>
  <c r="O119" i="11"/>
  <c r="P119" i="11"/>
  <c r="Q119" i="11"/>
  <c r="R119" i="11"/>
  <c r="S119" i="11"/>
  <c r="T119" i="11"/>
  <c r="U119" i="11"/>
  <c r="J119" i="11"/>
  <c r="J126" i="11"/>
  <c r="J125" i="11"/>
  <c r="AL3" i="1"/>
  <c r="D24" i="1"/>
  <c r="C24" i="1"/>
  <c r="E24" i="1" s="1"/>
  <c r="C24" i="11"/>
  <c r="K82" i="11"/>
  <c r="L82" i="11"/>
  <c r="M82" i="11"/>
  <c r="N82" i="11"/>
  <c r="O82" i="11"/>
  <c r="P82" i="11"/>
  <c r="Q82" i="11"/>
  <c r="R82" i="11"/>
  <c r="S82" i="11"/>
  <c r="T82" i="11"/>
  <c r="U82" i="11"/>
  <c r="J64" i="13" l="1" a="1"/>
  <c r="J64" i="13" s="1"/>
  <c r="W80" i="13" a="1"/>
  <c r="W80" i="13" s="1"/>
  <c r="O80" i="13" a="1"/>
  <c r="O80" i="13" s="1"/>
  <c r="G80" i="13" a="1"/>
  <c r="G80" i="13" s="1"/>
  <c r="F79" i="13" a="1"/>
  <c r="F79" i="13" s="1"/>
  <c r="U74" i="13" a="1"/>
  <c r="U74" i="13" s="1"/>
  <c r="H74" i="13" a="1"/>
  <c r="H74" i="13" s="1"/>
  <c r="R73" i="13" a="1"/>
  <c r="R73" i="13" s="1"/>
  <c r="F80" i="13" a="1"/>
  <c r="F80" i="13" s="1"/>
  <c r="E75" i="13" a="1"/>
  <c r="E75" i="13" s="1"/>
  <c r="T74" i="13" a="1"/>
  <c r="T74" i="13" s="1"/>
  <c r="N74" i="13" a="1"/>
  <c r="N74" i="13" s="1"/>
  <c r="G74" i="13" a="1"/>
  <c r="G74" i="13" s="1"/>
  <c r="T72" i="13" a="1"/>
  <c r="T72" i="13" s="1"/>
  <c r="N72" i="13" a="1"/>
  <c r="N72" i="13" s="1"/>
  <c r="G72" i="13" a="1"/>
  <c r="G72" i="13" s="1"/>
  <c r="E80" i="13" a="1"/>
  <c r="E80" i="13" s="1"/>
  <c r="T80" i="13" a="1"/>
  <c r="T80" i="13" s="1"/>
  <c r="L80" i="13" a="1"/>
  <c r="L80" i="13" s="1"/>
  <c r="Y74" i="13" a="1"/>
  <c r="Y74" i="13" s="1"/>
  <c r="L74" i="13" a="1"/>
  <c r="L74" i="13" s="1"/>
  <c r="F74" i="13" a="1"/>
  <c r="F74" i="13" s="1"/>
  <c r="V73" i="13" a="1"/>
  <c r="V73" i="13" s="1"/>
  <c r="I80" i="13" a="1"/>
  <c r="I80" i="13" s="1"/>
  <c r="J54" i="13" a="1"/>
  <c r="J54" i="13" s="1"/>
  <c r="N54" i="13" a="1"/>
  <c r="N54" i="13" s="1"/>
  <c r="R54" i="13" a="1"/>
  <c r="R54" i="13" s="1"/>
  <c r="V54" i="13" a="1"/>
  <c r="V54" i="13" s="1"/>
  <c r="H55" i="13" a="1"/>
  <c r="H55" i="13" s="1"/>
  <c r="P55" i="13" a="1"/>
  <c r="P55" i="13" s="1"/>
  <c r="T55" i="13" a="1"/>
  <c r="T55" i="13" s="1"/>
  <c r="X55" i="13" a="1"/>
  <c r="X55" i="13" s="1"/>
  <c r="F56" i="13" a="1"/>
  <c r="F56" i="13" s="1"/>
  <c r="J56" i="13" a="1"/>
  <c r="J56" i="13" s="1"/>
  <c r="N56" i="13" a="1"/>
  <c r="N56" i="13" s="1"/>
  <c r="R56" i="13" a="1"/>
  <c r="R56" i="13" s="1"/>
  <c r="V56" i="13" a="1"/>
  <c r="V56" i="13" s="1"/>
  <c r="H57" i="13" a="1"/>
  <c r="H57" i="13" s="1"/>
  <c r="L57" i="13" a="1"/>
  <c r="L57" i="13" s="1"/>
  <c r="P57" i="13" a="1"/>
  <c r="P57" i="13" s="1"/>
  <c r="T57" i="13" a="1"/>
  <c r="T57" i="13" s="1"/>
  <c r="X57" i="13" a="1"/>
  <c r="X57" i="13" s="1"/>
  <c r="F58" i="13" a="1"/>
  <c r="F58" i="13" s="1"/>
  <c r="J58" i="13" a="1"/>
  <c r="J58" i="13" s="1"/>
  <c r="N58" i="13" a="1"/>
  <c r="N58" i="13" s="1"/>
  <c r="R58" i="13" a="1"/>
  <c r="R58" i="13" s="1"/>
  <c r="V58" i="13" a="1"/>
  <c r="V58" i="13" s="1"/>
  <c r="J59" i="13" a="1"/>
  <c r="J59" i="13" s="1"/>
  <c r="P59" i="13" a="1"/>
  <c r="P59" i="13" s="1"/>
  <c r="W59" i="13" a="1"/>
  <c r="W59" i="13" s="1"/>
  <c r="F60" i="13" a="1"/>
  <c r="F60" i="13" s="1"/>
  <c r="M60" i="13" a="1"/>
  <c r="M60" i="13" s="1"/>
  <c r="S60" i="13" a="1"/>
  <c r="S60" i="13" s="1"/>
  <c r="I61" i="13" a="1"/>
  <c r="I61" i="13" s="1"/>
  <c r="V61" i="13" a="1"/>
  <c r="V61" i="13" s="1"/>
  <c r="L62" i="13" a="1"/>
  <c r="L62" i="13" s="1"/>
  <c r="R62" i="13" a="1"/>
  <c r="R62" i="13" s="1"/>
  <c r="K63" i="13" a="1"/>
  <c r="K63" i="13" s="1"/>
  <c r="S63" i="13" a="1"/>
  <c r="S63" i="13" s="1"/>
  <c r="W64" i="13" a="1"/>
  <c r="W64" i="13" s="1"/>
  <c r="L64" i="13" a="1"/>
  <c r="L64" i="13" s="1"/>
  <c r="T64" i="13" a="1"/>
  <c r="T64" i="13" s="1"/>
  <c r="Y65" i="13" a="1"/>
  <c r="Y65" i="13" s="1"/>
  <c r="L65" i="13" a="1"/>
  <c r="L65" i="13" s="1"/>
  <c r="T65" i="13" a="1"/>
  <c r="T65" i="13" s="1"/>
  <c r="G67" i="13" a="1"/>
  <c r="G67" i="13" s="1"/>
  <c r="O67" i="13" a="1"/>
  <c r="O67" i="13" s="1"/>
  <c r="W67" i="13" a="1"/>
  <c r="W67" i="13" s="1"/>
  <c r="H68" i="13" a="1"/>
  <c r="H68" i="13" s="1"/>
  <c r="P68" i="13" a="1"/>
  <c r="P68" i="13" s="1"/>
  <c r="X68" i="13" a="1"/>
  <c r="X68" i="13" s="1"/>
  <c r="H69" i="13" a="1"/>
  <c r="H69" i="13" s="1"/>
  <c r="P69" i="13" a="1"/>
  <c r="P69" i="13" s="1"/>
  <c r="X69" i="13" a="1"/>
  <c r="X69" i="13" s="1"/>
  <c r="L71" i="13" a="1"/>
  <c r="L71" i="13" s="1"/>
  <c r="X71" i="13" a="1"/>
  <c r="X71" i="13" s="1"/>
  <c r="L72" i="13" a="1"/>
  <c r="L72" i="13" s="1"/>
  <c r="X73" i="13" a="1"/>
  <c r="X73" i="13" s="1"/>
  <c r="Y73" i="13" a="1"/>
  <c r="Y73" i="13" s="1"/>
  <c r="X80" i="13" a="1"/>
  <c r="X80" i="13" s="1"/>
  <c r="F54" i="13" a="1"/>
  <c r="F54" i="13" s="1"/>
  <c r="K59" i="13" a="1"/>
  <c r="K59" i="13" s="1"/>
  <c r="G60" i="13" a="1"/>
  <c r="G60" i="13" s="1"/>
  <c r="T60" i="13" a="1"/>
  <c r="T60" i="13" s="1"/>
  <c r="J61" i="13" a="1"/>
  <c r="J61" i="13" s="1"/>
  <c r="P61" i="13" a="1"/>
  <c r="P61" i="13" s="1"/>
  <c r="F62" i="13" a="1"/>
  <c r="F62" i="13" s="1"/>
  <c r="M62" i="13" a="1"/>
  <c r="M62" i="13" s="1"/>
  <c r="I63" i="13" a="1"/>
  <c r="I63" i="13" s="1"/>
  <c r="E63" i="13" a="1"/>
  <c r="E63" i="13" s="1"/>
  <c r="E64" i="13" a="1"/>
  <c r="E64" i="13" s="1"/>
  <c r="M64" i="13" a="1"/>
  <c r="M64" i="13" s="1"/>
  <c r="U64" i="13" a="1"/>
  <c r="U64" i="13" s="1"/>
  <c r="F65" i="13" a="1"/>
  <c r="F65" i="13" s="1"/>
  <c r="N65" i="13" a="1"/>
  <c r="N65" i="13" s="1"/>
  <c r="V65" i="13" a="1"/>
  <c r="V65" i="13" s="1"/>
  <c r="F66" i="13" a="1"/>
  <c r="F66" i="13" s="1"/>
  <c r="N66" i="13" a="1"/>
  <c r="N66" i="13" s="1"/>
  <c r="V66" i="13" a="1"/>
  <c r="V66" i="13" s="1"/>
  <c r="I68" i="13" a="1"/>
  <c r="I68" i="13" s="1"/>
  <c r="Q68" i="13" a="1"/>
  <c r="Q68" i="13" s="1"/>
  <c r="Y68" i="13" a="1"/>
  <c r="Y68" i="13" s="1"/>
  <c r="J69" i="13" a="1"/>
  <c r="J69" i="13" s="1"/>
  <c r="R69" i="13" a="1"/>
  <c r="R69" i="13" s="1"/>
  <c r="J70" i="13" a="1"/>
  <c r="J70" i="13" s="1"/>
  <c r="R70" i="13" a="1"/>
  <c r="R70" i="13" s="1"/>
  <c r="E73" i="13" a="1"/>
  <c r="E73" i="13" s="1"/>
  <c r="S74" i="13" a="1"/>
  <c r="S74" i="13" s="1"/>
  <c r="G79" i="13" a="1"/>
  <c r="G79" i="13" s="1"/>
  <c r="I57" i="13" a="1"/>
  <c r="I57" i="13" s="1"/>
  <c r="M57" i="13" a="1"/>
  <c r="M57" i="13" s="1"/>
  <c r="Q57" i="13" a="1"/>
  <c r="Q57" i="13" s="1"/>
  <c r="U57" i="13" a="1"/>
  <c r="U57" i="13" s="1"/>
  <c r="Y57" i="13" a="1"/>
  <c r="Y57" i="13" s="1"/>
  <c r="G58" i="13" a="1"/>
  <c r="G58" i="13" s="1"/>
  <c r="K58" i="13" a="1"/>
  <c r="K58" i="13" s="1"/>
  <c r="O58" i="13" a="1"/>
  <c r="O58" i="13" s="1"/>
  <c r="S58" i="13" a="1"/>
  <c r="S58" i="13" s="1"/>
  <c r="W58" i="13" a="1"/>
  <c r="W58" i="13" s="1"/>
  <c r="H60" i="13" a="1"/>
  <c r="H60" i="13" s="1"/>
  <c r="N60" i="13" a="1"/>
  <c r="N60" i="13" s="1"/>
  <c r="U60" i="13" a="1"/>
  <c r="U60" i="13" s="1"/>
  <c r="K61" i="13" a="1"/>
  <c r="K61" i="13" s="1"/>
  <c r="Q61" i="13" a="1"/>
  <c r="Q61" i="13" s="1"/>
  <c r="G62" i="13" a="1"/>
  <c r="G62" i="13" s="1"/>
  <c r="T62" i="13" a="1"/>
  <c r="T62" i="13" s="1"/>
  <c r="Y63" i="13" a="1"/>
  <c r="Y63" i="13" s="1"/>
  <c r="L63" i="13" a="1"/>
  <c r="L63" i="13" s="1"/>
  <c r="T63" i="13" a="1"/>
  <c r="T63" i="13" s="1"/>
  <c r="G65" i="13" a="1"/>
  <c r="G65" i="13" s="1"/>
  <c r="O65" i="13" a="1"/>
  <c r="O65" i="13" s="1"/>
  <c r="W65" i="13" a="1"/>
  <c r="W65" i="13" s="1"/>
  <c r="H66" i="13" a="1"/>
  <c r="H66" i="13" s="1"/>
  <c r="P66" i="13" a="1"/>
  <c r="P66" i="13" s="1"/>
  <c r="X66" i="13" a="1"/>
  <c r="X66" i="13" s="1"/>
  <c r="H67" i="13" a="1"/>
  <c r="H67" i="13" s="1"/>
  <c r="P67" i="13" a="1"/>
  <c r="P67" i="13" s="1"/>
  <c r="X67" i="13" a="1"/>
  <c r="X67" i="13" s="1"/>
  <c r="K69" i="13" a="1"/>
  <c r="K69" i="13" s="1"/>
  <c r="S69" i="13" a="1"/>
  <c r="S69" i="13" s="1"/>
  <c r="W70" i="13" a="1"/>
  <c r="W70" i="13" s="1"/>
  <c r="L70" i="13" a="1"/>
  <c r="L70" i="13" s="1"/>
  <c r="T70" i="13" a="1"/>
  <c r="T70" i="13" s="1"/>
  <c r="W71" i="13" a="1"/>
  <c r="W71" i="13" s="1"/>
  <c r="M71" i="13" a="1"/>
  <c r="M71" i="13" s="1"/>
  <c r="Y71" i="13" a="1"/>
  <c r="Y71" i="13" s="1"/>
  <c r="O72" i="13" a="1"/>
  <c r="O72" i="13" s="1"/>
  <c r="F73" i="13" a="1"/>
  <c r="F73" i="13" s="1"/>
  <c r="O79" i="13" a="1"/>
  <c r="O79" i="13" s="1"/>
  <c r="R64" i="13" a="1"/>
  <c r="R64" i="13" s="1"/>
  <c r="E57" i="13" a="1"/>
  <c r="E57" i="13" s="1"/>
  <c r="U78" i="13" a="1"/>
  <c r="U78" i="13" s="1"/>
  <c r="M78" i="13" a="1"/>
  <c r="M78" i="13" s="1"/>
  <c r="E78" i="13" a="1"/>
  <c r="E78" i="13" s="1"/>
  <c r="T78" i="13" a="1"/>
  <c r="T78" i="13" s="1"/>
  <c r="L78" i="13" a="1"/>
  <c r="L78" i="13" s="1"/>
  <c r="S78" i="13" a="1"/>
  <c r="S78" i="13" s="1"/>
  <c r="K78" i="13" a="1"/>
  <c r="K78" i="13" s="1"/>
  <c r="R78" i="13" a="1"/>
  <c r="R78" i="13" s="1"/>
  <c r="J78" i="13" a="1"/>
  <c r="J78" i="13" s="1"/>
  <c r="Y78" i="13" a="1"/>
  <c r="Y78" i="13" s="1"/>
  <c r="Q78" i="13" a="1"/>
  <c r="Q78" i="13" s="1"/>
  <c r="I78" i="13" a="1"/>
  <c r="I78" i="13" s="1"/>
  <c r="X78" i="13" a="1"/>
  <c r="X78" i="13" s="1"/>
  <c r="P78" i="13" a="1"/>
  <c r="P78" i="13" s="1"/>
  <c r="H78" i="13" a="1"/>
  <c r="H78" i="13" s="1"/>
  <c r="W78" i="13" a="1"/>
  <c r="W78" i="13" s="1"/>
  <c r="O78" i="13" a="1"/>
  <c r="O78" i="13" s="1"/>
  <c r="G78" i="13" a="1"/>
  <c r="G78" i="13" s="1"/>
  <c r="I60" i="13" a="1"/>
  <c r="I60" i="13" s="1"/>
  <c r="O60" i="13" a="1"/>
  <c r="O60" i="13" s="1"/>
  <c r="E61" i="13" a="1"/>
  <c r="E61" i="13" s="1"/>
  <c r="R61" i="13" a="1"/>
  <c r="R61" i="13" s="1"/>
  <c r="X61" i="13" a="1"/>
  <c r="X61" i="13" s="1"/>
  <c r="H62" i="13" a="1"/>
  <c r="H62" i="13" s="1"/>
  <c r="N62" i="13" a="1"/>
  <c r="N62" i="13" s="1"/>
  <c r="U62" i="13" a="1"/>
  <c r="U62" i="13" s="1"/>
  <c r="F63" i="13" a="1"/>
  <c r="F63" i="13" s="1"/>
  <c r="N63" i="13" a="1"/>
  <c r="N63" i="13" s="1"/>
  <c r="V63" i="13" a="1"/>
  <c r="V63" i="13" s="1"/>
  <c r="F64" i="13" a="1"/>
  <c r="F64" i="13" s="1"/>
  <c r="N64" i="13" a="1"/>
  <c r="N64" i="13" s="1"/>
  <c r="V64" i="13" a="1"/>
  <c r="V64" i="13" s="1"/>
  <c r="I66" i="13" a="1"/>
  <c r="I66" i="13" s="1"/>
  <c r="Q66" i="13" a="1"/>
  <c r="Q66" i="13" s="1"/>
  <c r="Y66" i="13" a="1"/>
  <c r="Y66" i="13" s="1"/>
  <c r="J67" i="13" a="1"/>
  <c r="J67" i="13" s="1"/>
  <c r="R67" i="13" a="1"/>
  <c r="R67" i="13" s="1"/>
  <c r="J68" i="13" a="1"/>
  <c r="J68" i="13" s="1"/>
  <c r="R68" i="13" a="1"/>
  <c r="R68" i="13" s="1"/>
  <c r="E70" i="13" a="1"/>
  <c r="E70" i="13" s="1"/>
  <c r="M70" i="13" a="1"/>
  <c r="M70" i="13" s="1"/>
  <c r="U70" i="13" a="1"/>
  <c r="U70" i="13" s="1"/>
  <c r="F71" i="13" a="1"/>
  <c r="F71" i="13" s="1"/>
  <c r="P71" i="13" a="1"/>
  <c r="P71" i="13" s="1"/>
  <c r="S72" i="13" a="1"/>
  <c r="S72" i="13" s="1"/>
  <c r="I73" i="13" a="1"/>
  <c r="I73" i="13" s="1"/>
  <c r="I74" i="13" a="1"/>
  <c r="I74" i="13" s="1"/>
  <c r="W79" i="13" a="1"/>
  <c r="W79" i="13" s="1"/>
  <c r="H54" i="13" a="1"/>
  <c r="H54" i="13" s="1"/>
  <c r="P54" i="13" a="1"/>
  <c r="P54" i="13" s="1"/>
  <c r="T54" i="13" a="1"/>
  <c r="T54" i="13" s="1"/>
  <c r="N55" i="13" a="1"/>
  <c r="N55" i="13" s="1"/>
  <c r="R55" i="13" a="1"/>
  <c r="R55" i="13" s="1"/>
  <c r="H56" i="13" a="1"/>
  <c r="H56" i="13" s="1"/>
  <c r="L56" i="13" a="1"/>
  <c r="L56" i="13" s="1"/>
  <c r="P56" i="13" a="1"/>
  <c r="P56" i="13" s="1"/>
  <c r="T56" i="13" a="1"/>
  <c r="T56" i="13" s="1"/>
  <c r="F57" i="13" a="1"/>
  <c r="F57" i="13" s="1"/>
  <c r="J57" i="13" a="1"/>
  <c r="J57" i="13" s="1"/>
  <c r="N57" i="13" a="1"/>
  <c r="N57" i="13" s="1"/>
  <c r="R57" i="13" a="1"/>
  <c r="R57" i="13" s="1"/>
  <c r="H58" i="13" a="1"/>
  <c r="H58" i="13" s="1"/>
  <c r="L58" i="13" a="1"/>
  <c r="L58" i="13" s="1"/>
  <c r="P58" i="13" a="1"/>
  <c r="P58" i="13" s="1"/>
  <c r="T58" i="13" a="1"/>
  <c r="T58" i="13" s="1"/>
  <c r="G59" i="13" a="1"/>
  <c r="G59" i="13" s="1"/>
  <c r="M59" i="13" a="1"/>
  <c r="M59" i="13" s="1"/>
  <c r="P60" i="13" a="1"/>
  <c r="P60" i="13" s="1"/>
  <c r="V60" i="13" a="1"/>
  <c r="V60" i="13" s="1"/>
  <c r="F61" i="13" a="1"/>
  <c r="F61" i="13" s="1"/>
  <c r="L61" i="13" a="1"/>
  <c r="L61" i="13" s="1"/>
  <c r="S61" i="13" a="1"/>
  <c r="S61" i="13" s="1"/>
  <c r="Y61" i="13" a="1"/>
  <c r="Y61" i="13" s="1"/>
  <c r="I62" i="13" a="1"/>
  <c r="I62" i="13" s="1"/>
  <c r="O62" i="13" a="1"/>
  <c r="O62" i="13" s="1"/>
  <c r="G63" i="13" a="1"/>
  <c r="G63" i="13" s="1"/>
  <c r="O63" i="13" a="1"/>
  <c r="O63" i="13" s="1"/>
  <c r="W63" i="13" a="1"/>
  <c r="W63" i="13" s="1"/>
  <c r="H64" i="13" a="1"/>
  <c r="H64" i="13" s="1"/>
  <c r="P64" i="13" a="1"/>
  <c r="P64" i="13" s="1"/>
  <c r="X64" i="13" a="1"/>
  <c r="X64" i="13" s="1"/>
  <c r="H65" i="13" a="1"/>
  <c r="H65" i="13" s="1"/>
  <c r="P65" i="13" a="1"/>
  <c r="P65" i="13" s="1"/>
  <c r="X65" i="13" a="1"/>
  <c r="X65" i="13" s="1"/>
  <c r="K67" i="13" a="1"/>
  <c r="K67" i="13" s="1"/>
  <c r="S67" i="13" a="1"/>
  <c r="S67" i="13" s="1"/>
  <c r="W68" i="13" a="1"/>
  <c r="W68" i="13" s="1"/>
  <c r="L68" i="13" a="1"/>
  <c r="L68" i="13" s="1"/>
  <c r="T68" i="13" a="1"/>
  <c r="T68" i="13" s="1"/>
  <c r="Y69" i="13" a="1"/>
  <c r="Y69" i="13" s="1"/>
  <c r="L69" i="13" a="1"/>
  <c r="L69" i="13" s="1"/>
  <c r="T69" i="13" a="1"/>
  <c r="T69" i="13" s="1"/>
  <c r="G71" i="13" a="1"/>
  <c r="G71" i="13" s="1"/>
  <c r="Q71" i="13" a="1"/>
  <c r="Q71" i="13" s="1"/>
  <c r="U72" i="13" a="1"/>
  <c r="U72" i="13" s="1"/>
  <c r="L73" i="13" a="1"/>
  <c r="L73" i="13" s="1"/>
  <c r="O74" i="13" a="1"/>
  <c r="O74" i="13" s="1"/>
  <c r="F78" i="13" a="1"/>
  <c r="F78" i="13" s="1"/>
  <c r="V80" i="13" a="1"/>
  <c r="V80" i="13" s="1"/>
  <c r="L54" i="13" a="1"/>
  <c r="L54" i="13" s="1"/>
  <c r="N59" i="13" a="1"/>
  <c r="N59" i="13" s="1"/>
  <c r="J60" i="13" a="1"/>
  <c r="J60" i="13" s="1"/>
  <c r="Q60" i="13" a="1"/>
  <c r="Q60" i="13" s="1"/>
  <c r="W60" i="13" a="1"/>
  <c r="W60" i="13" s="1"/>
  <c r="G61" i="13" a="1"/>
  <c r="G61" i="13" s="1"/>
  <c r="M61" i="13" a="1"/>
  <c r="M61" i="13" s="1"/>
  <c r="W62" i="13" a="1"/>
  <c r="W62" i="13" s="1"/>
  <c r="P62" i="13" a="1"/>
  <c r="P62" i="13" s="1"/>
  <c r="V62" i="13" a="1"/>
  <c r="V62" i="13" s="1"/>
  <c r="I64" i="13" a="1"/>
  <c r="I64" i="13" s="1"/>
  <c r="Q64" i="13" a="1"/>
  <c r="Q64" i="13" s="1"/>
  <c r="J65" i="13" a="1"/>
  <c r="J65" i="13" s="1"/>
  <c r="R65" i="13" a="1"/>
  <c r="R65" i="13" s="1"/>
  <c r="J66" i="13" a="1"/>
  <c r="J66" i="13" s="1"/>
  <c r="E68" i="13" a="1"/>
  <c r="E68" i="13" s="1"/>
  <c r="M68" i="13" a="1"/>
  <c r="M68" i="13" s="1"/>
  <c r="F69" i="13" a="1"/>
  <c r="F69" i="13" s="1"/>
  <c r="N69" i="13" a="1"/>
  <c r="N69" i="13" s="1"/>
  <c r="V69" i="13" a="1"/>
  <c r="V69" i="13" s="1"/>
  <c r="F70" i="13" a="1"/>
  <c r="F70" i="13" s="1"/>
  <c r="N70" i="13" a="1"/>
  <c r="N70" i="13" s="1"/>
  <c r="F72" i="13" a="1"/>
  <c r="F72" i="13" s="1"/>
  <c r="V72" i="13" a="1"/>
  <c r="V72" i="13" s="1"/>
  <c r="V74" i="13" a="1"/>
  <c r="V74" i="13" s="1"/>
  <c r="N78" i="13" a="1"/>
  <c r="N78" i="13" s="1"/>
  <c r="G57" i="13" a="1"/>
  <c r="G57" i="13" s="1"/>
  <c r="K57" i="13" a="1"/>
  <c r="K57" i="13" s="1"/>
  <c r="O57" i="13" a="1"/>
  <c r="O57" i="13" s="1"/>
  <c r="S57" i="13" a="1"/>
  <c r="S57" i="13" s="1"/>
  <c r="W57" i="13" a="1"/>
  <c r="W57" i="13" s="1"/>
  <c r="E58" i="13" a="1"/>
  <c r="E58" i="13" s="1"/>
  <c r="I58" i="13" a="1"/>
  <c r="I58" i="13" s="1"/>
  <c r="M58" i="13" a="1"/>
  <c r="M58" i="13" s="1"/>
  <c r="Q58" i="13" a="1"/>
  <c r="Q58" i="13" s="1"/>
  <c r="U58" i="13" a="1"/>
  <c r="U58" i="13" s="1"/>
  <c r="Y58" i="13" a="1"/>
  <c r="Y58" i="13" s="1"/>
  <c r="E60" i="13" a="1"/>
  <c r="E60" i="13" s="1"/>
  <c r="K60" i="13" a="1"/>
  <c r="K60" i="13" s="1"/>
  <c r="N61" i="13" a="1"/>
  <c r="N61" i="13" s="1"/>
  <c r="T61" i="13" a="1"/>
  <c r="T61" i="13" s="1"/>
  <c r="J62" i="13" a="1"/>
  <c r="J62" i="13" s="1"/>
  <c r="Q62" i="13" a="1"/>
  <c r="Q62" i="13" s="1"/>
  <c r="X62" i="13" a="1"/>
  <c r="X62" i="13" s="1"/>
  <c r="H63" i="13" a="1"/>
  <c r="H63" i="13" s="1"/>
  <c r="P63" i="13" a="1"/>
  <c r="P63" i="13" s="1"/>
  <c r="X63" i="13" a="1"/>
  <c r="X63" i="13" s="1"/>
  <c r="K65" i="13" a="1"/>
  <c r="K65" i="13" s="1"/>
  <c r="W66" i="13" a="1"/>
  <c r="W66" i="13" s="1"/>
  <c r="L66" i="13" a="1"/>
  <c r="L66" i="13" s="1"/>
  <c r="T66" i="13" a="1"/>
  <c r="T66" i="13" s="1"/>
  <c r="Y67" i="13" a="1"/>
  <c r="Y67" i="13" s="1"/>
  <c r="L67" i="13" a="1"/>
  <c r="L67" i="13" s="1"/>
  <c r="T67" i="13" a="1"/>
  <c r="T67" i="13" s="1"/>
  <c r="G69" i="13" a="1"/>
  <c r="G69" i="13" s="1"/>
  <c r="O69" i="13" a="1"/>
  <c r="O69" i="13" s="1"/>
  <c r="H70" i="13" a="1"/>
  <c r="H70" i="13" s="1"/>
  <c r="P70" i="13" a="1"/>
  <c r="P70" i="13" s="1"/>
  <c r="X70" i="13" a="1"/>
  <c r="X70" i="13" s="1"/>
  <c r="H71" i="13" a="1"/>
  <c r="H71" i="13" s="1"/>
  <c r="S71" i="13" a="1"/>
  <c r="S71" i="13" s="1"/>
  <c r="H72" i="13" a="1"/>
  <c r="H72" i="13" s="1"/>
  <c r="Y72" i="13" a="1"/>
  <c r="Y72" i="13" s="1"/>
  <c r="P73" i="13" a="1"/>
  <c r="P73" i="13" s="1"/>
  <c r="V78" i="13" a="1"/>
  <c r="V78" i="13" s="1"/>
  <c r="H80" i="13" a="1"/>
  <c r="H80" i="13" s="1"/>
  <c r="N71" i="13" a="1"/>
  <c r="N71" i="13" s="1"/>
  <c r="T71" i="13" a="1"/>
  <c r="T71" i="13" s="1"/>
  <c r="J72" i="13" a="1"/>
  <c r="J72" i="13" s="1"/>
  <c r="P72" i="13" a="1"/>
  <c r="P72" i="13" s="1"/>
  <c r="G73" i="13" a="1"/>
  <c r="G73" i="13" s="1"/>
  <c r="M73" i="13" a="1"/>
  <c r="M73" i="13" s="1"/>
  <c r="T73" i="13" a="1"/>
  <c r="T73" i="13" s="1"/>
  <c r="J74" i="13" a="1"/>
  <c r="J74" i="13" s="1"/>
  <c r="P74" i="13" a="1"/>
  <c r="P74" i="13" s="1"/>
  <c r="H79" i="13" a="1"/>
  <c r="H79" i="13" s="1"/>
  <c r="P79" i="13" a="1"/>
  <c r="P79" i="13" s="1"/>
  <c r="X79" i="13" a="1"/>
  <c r="X79" i="13" s="1"/>
  <c r="Q80" i="13" a="1"/>
  <c r="Q80" i="13" s="1"/>
  <c r="Y80" i="13" a="1"/>
  <c r="Y80" i="13" s="1"/>
  <c r="M63" i="13" a="1"/>
  <c r="M63" i="13" s="1"/>
  <c r="Q63" i="13" a="1"/>
  <c r="Q63" i="13" s="1"/>
  <c r="U63" i="13" a="1"/>
  <c r="U63" i="13" s="1"/>
  <c r="G64" i="13" a="1"/>
  <c r="G64" i="13" s="1"/>
  <c r="K64" i="13" a="1"/>
  <c r="K64" i="13" s="1"/>
  <c r="O64" i="13" a="1"/>
  <c r="O64" i="13" s="1"/>
  <c r="S64" i="13" a="1"/>
  <c r="S64" i="13" s="1"/>
  <c r="E65" i="13" a="1"/>
  <c r="E65" i="13" s="1"/>
  <c r="I65" i="13" a="1"/>
  <c r="I65" i="13" s="1"/>
  <c r="M65" i="13" a="1"/>
  <c r="M65" i="13" s="1"/>
  <c r="Q65" i="13" a="1"/>
  <c r="Q65" i="13" s="1"/>
  <c r="U65" i="13" a="1"/>
  <c r="U65" i="13" s="1"/>
  <c r="G66" i="13" a="1"/>
  <c r="G66" i="13" s="1"/>
  <c r="K66" i="13" a="1"/>
  <c r="K66" i="13" s="1"/>
  <c r="O66" i="13" a="1"/>
  <c r="O66" i="13" s="1"/>
  <c r="S66" i="13" a="1"/>
  <c r="S66" i="13" s="1"/>
  <c r="E67" i="13" a="1"/>
  <c r="E67" i="13" s="1"/>
  <c r="I67" i="13" a="1"/>
  <c r="I67" i="13" s="1"/>
  <c r="M67" i="13" a="1"/>
  <c r="M67" i="13" s="1"/>
  <c r="Q67" i="13" a="1"/>
  <c r="Q67" i="13" s="1"/>
  <c r="U67" i="13" a="1"/>
  <c r="U67" i="13" s="1"/>
  <c r="G68" i="13" a="1"/>
  <c r="G68" i="13" s="1"/>
  <c r="K68" i="13" a="1"/>
  <c r="K68" i="13" s="1"/>
  <c r="O68" i="13" a="1"/>
  <c r="O68" i="13" s="1"/>
  <c r="S68" i="13" a="1"/>
  <c r="S68" i="13" s="1"/>
  <c r="E69" i="13" a="1"/>
  <c r="E69" i="13" s="1"/>
  <c r="I69" i="13" a="1"/>
  <c r="I69" i="13" s="1"/>
  <c r="M69" i="13" a="1"/>
  <c r="M69" i="13" s="1"/>
  <c r="Q69" i="13" a="1"/>
  <c r="Q69" i="13" s="1"/>
  <c r="U69" i="13" a="1"/>
  <c r="U69" i="13" s="1"/>
  <c r="G70" i="13" a="1"/>
  <c r="G70" i="13" s="1"/>
  <c r="K70" i="13" a="1"/>
  <c r="K70" i="13" s="1"/>
  <c r="O70" i="13" a="1"/>
  <c r="O70" i="13" s="1"/>
  <c r="S70" i="13" a="1"/>
  <c r="S70" i="13" s="1"/>
  <c r="E71" i="13" a="1"/>
  <c r="E71" i="13" s="1"/>
  <c r="I71" i="13" a="1"/>
  <c r="I71" i="13" s="1"/>
  <c r="Q72" i="13" a="1"/>
  <c r="Q72" i="13" s="1"/>
  <c r="W72" i="13" a="1"/>
  <c r="W72" i="13" s="1"/>
  <c r="H73" i="13" a="1"/>
  <c r="H73" i="13" s="1"/>
  <c r="N73" i="13" a="1"/>
  <c r="N73" i="13" s="1"/>
  <c r="Q74" i="13" a="1"/>
  <c r="Q74" i="13" s="1"/>
  <c r="W74" i="13" a="1"/>
  <c r="W74" i="13" s="1"/>
  <c r="I79" i="13" a="1"/>
  <c r="I79" i="13" s="1"/>
  <c r="Q79" i="13" a="1"/>
  <c r="Q79" i="13" s="1"/>
  <c r="Y79" i="13" a="1"/>
  <c r="Y79" i="13" s="1"/>
  <c r="J80" i="13" a="1"/>
  <c r="J80" i="13" s="1"/>
  <c r="R80" i="13" a="1"/>
  <c r="R80" i="13" s="1"/>
  <c r="J71" i="13" a="1"/>
  <c r="J71" i="13" s="1"/>
  <c r="O71" i="13" a="1"/>
  <c r="O71" i="13" s="1"/>
  <c r="U71" i="13" a="1"/>
  <c r="U71" i="13" s="1"/>
  <c r="E72" i="13" a="1"/>
  <c r="E72" i="13" s="1"/>
  <c r="K72" i="13" a="1"/>
  <c r="K72" i="13" s="1"/>
  <c r="R72" i="13" a="1"/>
  <c r="R72" i="13" s="1"/>
  <c r="X72" i="13" a="1"/>
  <c r="X72" i="13" s="1"/>
  <c r="O73" i="13" a="1"/>
  <c r="O73" i="13" s="1"/>
  <c r="U73" i="13" a="1"/>
  <c r="U73" i="13" s="1"/>
  <c r="E74" i="13" a="1"/>
  <c r="E74" i="13" s="1"/>
  <c r="K74" i="13" a="1"/>
  <c r="K74" i="13" s="1"/>
  <c r="R74" i="13" a="1"/>
  <c r="R74" i="13" s="1"/>
  <c r="X74" i="13" a="1"/>
  <c r="X74" i="13" s="1"/>
  <c r="J79" i="13" a="1"/>
  <c r="J79" i="13" s="1"/>
  <c r="R79" i="13" a="1"/>
  <c r="R79" i="13" s="1"/>
  <c r="K80" i="13" a="1"/>
  <c r="K80" i="13" s="1"/>
  <c r="S80" i="13" a="1"/>
  <c r="S80" i="13" s="1"/>
  <c r="K79" i="13" a="1"/>
  <c r="K79" i="13" s="1"/>
  <c r="S79" i="13" a="1"/>
  <c r="S79" i="13" s="1"/>
  <c r="K71" i="13" a="1"/>
  <c r="K71" i="13" s="1"/>
  <c r="M72" i="13" a="1"/>
  <c r="M72" i="13" s="1"/>
  <c r="J73" i="13" a="1"/>
  <c r="J73" i="13" s="1"/>
  <c r="W73" i="13" a="1"/>
  <c r="W73" i="13" s="1"/>
  <c r="M74" i="13" a="1"/>
  <c r="M74" i="13" s="1"/>
  <c r="Y75" i="13" a="1"/>
  <c r="Y75" i="13" s="1"/>
  <c r="U75" i="13" a="1"/>
  <c r="U75" i="13" s="1"/>
  <c r="Q75" i="13" a="1"/>
  <c r="Q75" i="13" s="1"/>
  <c r="M75" i="13" a="1"/>
  <c r="M75" i="13" s="1"/>
  <c r="I75" i="13" a="1"/>
  <c r="I75" i="13" s="1"/>
  <c r="X75" i="13" a="1"/>
  <c r="X75" i="13" s="1"/>
  <c r="T75" i="13" a="1"/>
  <c r="T75" i="13" s="1"/>
  <c r="P75" i="13" a="1"/>
  <c r="P75" i="13" s="1"/>
  <c r="L75" i="13" a="1"/>
  <c r="L75" i="13" s="1"/>
  <c r="H75" i="13" a="1"/>
  <c r="H75" i="13" s="1"/>
  <c r="W75" i="13" a="1"/>
  <c r="W75" i="13" s="1"/>
  <c r="S75" i="13" a="1"/>
  <c r="S75" i="13" s="1"/>
  <c r="O75" i="13" a="1"/>
  <c r="O75" i="13" s="1"/>
  <c r="K75" i="13" a="1"/>
  <c r="K75" i="13" s="1"/>
  <c r="G75" i="13" a="1"/>
  <c r="G75" i="13" s="1"/>
  <c r="V75" i="13" a="1"/>
  <c r="V75" i="13" s="1"/>
  <c r="R75" i="13" a="1"/>
  <c r="R75" i="13" s="1"/>
  <c r="N75" i="13" a="1"/>
  <c r="N75" i="13" s="1"/>
  <c r="J75" i="13" a="1"/>
  <c r="J75" i="13" s="1"/>
  <c r="F75" i="13" a="1"/>
  <c r="F75" i="13" s="1"/>
  <c r="L79" i="13" a="1"/>
  <c r="L79" i="13" s="1"/>
  <c r="T79" i="13" a="1"/>
  <c r="T79" i="13" s="1"/>
  <c r="M80" i="13" a="1"/>
  <c r="M80" i="13" s="1"/>
  <c r="U80" i="13" a="1"/>
  <c r="U80" i="13" s="1"/>
  <c r="K73" i="13" a="1"/>
  <c r="K73" i="13" s="1"/>
  <c r="Q73" i="13" a="1"/>
  <c r="Q73" i="13" s="1"/>
  <c r="E79" i="13" a="1"/>
  <c r="E79" i="13" s="1"/>
  <c r="M79" i="13" a="1"/>
  <c r="M79" i="13" s="1"/>
  <c r="U79" i="13" a="1"/>
  <c r="U79" i="13" s="1"/>
  <c r="N80" i="13" a="1"/>
  <c r="N80" i="13" s="1"/>
  <c r="N79" i="13" a="1"/>
  <c r="N79" i="13" s="1"/>
  <c r="T88" i="13" a="1"/>
  <c r="T88" i="13" s="1"/>
  <c r="X88" i="13" a="1"/>
  <c r="X88" i="13" s="1"/>
  <c r="Q88" i="13" a="1"/>
  <c r="Q88" i="13" s="1"/>
  <c r="U88" i="13" a="1"/>
  <c r="U88" i="13" s="1"/>
  <c r="L58" i="12"/>
  <c r="L59" i="12"/>
  <c r="L57" i="12"/>
  <c r="J63" i="12"/>
  <c r="K52" i="12"/>
  <c r="K53" i="12" s="1"/>
  <c r="L119" i="12"/>
  <c r="J52" i="12"/>
  <c r="J53" i="12" s="1"/>
  <c r="D20" i="12"/>
  <c r="E25" i="12"/>
  <c r="K54" i="12"/>
  <c r="K55" i="12" s="1"/>
  <c r="J55" i="12"/>
  <c r="Q65" i="12"/>
  <c r="Q88" i="12"/>
  <c r="Q73" i="12"/>
  <c r="C20" i="12"/>
  <c r="L51" i="12"/>
  <c r="P88" i="12"/>
  <c r="P65" i="12"/>
  <c r="O36" i="11"/>
  <c r="N36" i="11"/>
  <c r="Q36" i="11"/>
  <c r="U36" i="11"/>
  <c r="M36" i="11"/>
  <c r="T36" i="11"/>
  <c r="L36" i="11"/>
  <c r="P36" i="11"/>
  <c r="S36" i="11"/>
  <c r="K36" i="11"/>
  <c r="R36" i="11"/>
  <c r="L31" i="11"/>
  <c r="L35" i="11" s="1"/>
  <c r="J31" i="11"/>
  <c r="J33" i="11" s="1"/>
  <c r="U31" i="11"/>
  <c r="U33" i="11" s="1"/>
  <c r="T31" i="11"/>
  <c r="T35" i="11" s="1"/>
  <c r="M31" i="11"/>
  <c r="M34" i="11" s="1"/>
  <c r="N34" i="11"/>
  <c r="N33" i="11"/>
  <c r="N35" i="11"/>
  <c r="U54" i="11"/>
  <c r="L47" i="11"/>
  <c r="K54" i="11"/>
  <c r="R31" i="11"/>
  <c r="R33" i="11" s="1"/>
  <c r="O32" i="11"/>
  <c r="S31" i="11"/>
  <c r="S33" i="11" s="1"/>
  <c r="Q31" i="11"/>
  <c r="N32" i="11"/>
  <c r="R32" i="11"/>
  <c r="K31" i="11"/>
  <c r="T47" i="11"/>
  <c r="P31" i="11"/>
  <c r="S54" i="11"/>
  <c r="U34" i="11"/>
  <c r="O33" i="11"/>
  <c r="O35" i="11"/>
  <c r="Q47" i="11"/>
  <c r="P47" i="11"/>
  <c r="U47" i="11"/>
  <c r="M47" i="11"/>
  <c r="O53" i="11"/>
  <c r="M53" i="11"/>
  <c r="M54" i="11" s="1"/>
  <c r="P53" i="11"/>
  <c r="P54" i="11" s="1"/>
  <c r="K46" i="11"/>
  <c r="K47" i="11" s="1"/>
  <c r="R46" i="11"/>
  <c r="R47" i="11" s="1"/>
  <c r="Q53" i="11"/>
  <c r="Q54" i="11" s="1"/>
  <c r="S46" i="11"/>
  <c r="S47" i="11" s="1"/>
  <c r="T53" i="11"/>
  <c r="T54" i="11" s="1"/>
  <c r="L53" i="11"/>
  <c r="L54" i="11" s="1"/>
  <c r="N46" i="11"/>
  <c r="R53" i="11"/>
  <c r="R54" i="11" s="1"/>
  <c r="V6" i="11"/>
  <c r="K28" i="11"/>
  <c r="L28" i="11"/>
  <c r="M28" i="11"/>
  <c r="N28" i="11"/>
  <c r="O28" i="11"/>
  <c r="P28" i="11"/>
  <c r="Q28" i="11"/>
  <c r="R28" i="11"/>
  <c r="S28" i="11"/>
  <c r="T28" i="11"/>
  <c r="U28" i="11"/>
  <c r="J28" i="11"/>
  <c r="K55" i="11"/>
  <c r="K92" i="11" s="1"/>
  <c r="L55" i="11"/>
  <c r="L92" i="11" s="1"/>
  <c r="M55" i="11"/>
  <c r="M92" i="11" s="1"/>
  <c r="N55" i="11"/>
  <c r="N92" i="11" s="1"/>
  <c r="O55" i="11"/>
  <c r="O41" i="11" s="1"/>
  <c r="P55" i="11"/>
  <c r="P41" i="11" s="1"/>
  <c r="Q55" i="11"/>
  <c r="Q92" i="11" s="1"/>
  <c r="R55" i="11"/>
  <c r="R102" i="11" s="1"/>
  <c r="S55" i="11"/>
  <c r="S92" i="11" s="1"/>
  <c r="T55" i="11"/>
  <c r="T102" i="11" s="1"/>
  <c r="U55" i="11"/>
  <c r="U92" i="11" s="1"/>
  <c r="J55" i="11"/>
  <c r="J102" i="11" s="1"/>
  <c r="AF50" i="11" s="1"/>
  <c r="J12" i="11"/>
  <c r="J42" i="11"/>
  <c r="J43" i="11" s="1"/>
  <c r="C17" i="11"/>
  <c r="D17" i="11"/>
  <c r="E25" i="11"/>
  <c r="AC73" i="11"/>
  <c r="AC72" i="11"/>
  <c r="AC71" i="11"/>
  <c r="AC70" i="11"/>
  <c r="AC69" i="11"/>
  <c r="AC68" i="11"/>
  <c r="AD65" i="11"/>
  <c r="AC65" i="11"/>
  <c r="AD64" i="11"/>
  <c r="AC64" i="11"/>
  <c r="AD63" i="11"/>
  <c r="AC63" i="11"/>
  <c r="AD62" i="11"/>
  <c r="AC62" i="11"/>
  <c r="AD61" i="11"/>
  <c r="AC61" i="11"/>
  <c r="AD60" i="11"/>
  <c r="AC60" i="11"/>
  <c r="AD58" i="11"/>
  <c r="AC58" i="11"/>
  <c r="AD57" i="11"/>
  <c r="AC57" i="11"/>
  <c r="AD56" i="11"/>
  <c r="AC56" i="11"/>
  <c r="AD55" i="11"/>
  <c r="AC55" i="11"/>
  <c r="AD53" i="11"/>
  <c r="AC53" i="11"/>
  <c r="AD52" i="11"/>
  <c r="AC52" i="11"/>
  <c r="AD51" i="11"/>
  <c r="AC51" i="11"/>
  <c r="AG50" i="11"/>
  <c r="BA4" i="11"/>
  <c r="BA3" i="11"/>
  <c r="BA2" i="11"/>
  <c r="W1" i="11"/>
  <c r="D74" i="9"/>
  <c r="C74" i="9"/>
  <c r="D73" i="9"/>
  <c r="D75" i="9"/>
  <c r="D98" i="9"/>
  <c r="D103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C132" i="9"/>
  <c r="C133" i="9"/>
  <c r="AL2" i="1"/>
  <c r="AL4" i="1"/>
  <c r="C80" i="9"/>
  <c r="C81" i="9"/>
  <c r="C82" i="9"/>
  <c r="C83" i="9"/>
  <c r="C84" i="9"/>
  <c r="C85" i="9"/>
  <c r="C86" i="9"/>
  <c r="C87" i="9"/>
  <c r="C88" i="9"/>
  <c r="C79" i="9"/>
  <c r="C78" i="9"/>
  <c r="D85" i="9"/>
  <c r="J85" i="9" s="1" a="1"/>
  <c r="J85" i="9" s="1"/>
  <c r="D86" i="9"/>
  <c r="E86" i="9" s="1" a="1"/>
  <c r="E86" i="9" s="1"/>
  <c r="D87" i="9"/>
  <c r="I87" i="9" s="1" a="1"/>
  <c r="I87" i="9" s="1"/>
  <c r="D88" i="9"/>
  <c r="K88" i="9" s="1" a="1"/>
  <c r="K88" i="9" s="1"/>
  <c r="D79" i="9"/>
  <c r="D80" i="9"/>
  <c r="D81" i="9"/>
  <c r="G81" i="9" s="1" a="1"/>
  <c r="G81" i="9" s="1"/>
  <c r="D82" i="9"/>
  <c r="I82" i="9" s="1" a="1"/>
  <c r="I82" i="9" s="1"/>
  <c r="D83" i="9"/>
  <c r="L83" i="9" s="1" a="1"/>
  <c r="L83" i="9" s="1"/>
  <c r="D84" i="9"/>
  <c r="G84" i="9" s="1" a="1"/>
  <c r="G84" i="9" s="1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7" i="9" s="1"/>
  <c r="G53" i="9"/>
  <c r="G77" i="9" s="1"/>
  <c r="H53" i="9"/>
  <c r="H77" i="9" s="1"/>
  <c r="I53" i="9"/>
  <c r="I77" i="9" s="1"/>
  <c r="J53" i="9"/>
  <c r="J77" i="9" s="1"/>
  <c r="K53" i="9"/>
  <c r="K77" i="9" s="1"/>
  <c r="L53" i="9"/>
  <c r="L77" i="9" s="1"/>
  <c r="M53" i="9"/>
  <c r="M77" i="9" s="1"/>
  <c r="N53" i="9"/>
  <c r="N77" i="9" s="1"/>
  <c r="O53" i="9"/>
  <c r="O77" i="9" s="1"/>
  <c r="P53" i="9"/>
  <c r="P77" i="9" s="1"/>
  <c r="Q53" i="9"/>
  <c r="Q77" i="9" s="1"/>
  <c r="R53" i="9"/>
  <c r="R77" i="9" s="1"/>
  <c r="S53" i="9"/>
  <c r="S77" i="9" s="1"/>
  <c r="T53" i="9"/>
  <c r="T77" i="9" s="1"/>
  <c r="U53" i="9"/>
  <c r="U77" i="9" s="1"/>
  <c r="V53" i="9"/>
  <c r="V77" i="9" s="1"/>
  <c r="W53" i="9"/>
  <c r="W77" i="9" s="1"/>
  <c r="X53" i="9"/>
  <c r="X77" i="9" s="1"/>
  <c r="Y53" i="9"/>
  <c r="Y77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E94" i="9"/>
  <c r="C94" i="9"/>
  <c r="D94" i="9"/>
  <c r="C111" i="9"/>
  <c r="C119" i="9"/>
  <c r="C120" i="9"/>
  <c r="C121" i="9"/>
  <c r="C122" i="9"/>
  <c r="C123" i="9"/>
  <c r="C124" i="9"/>
  <c r="C125" i="9"/>
  <c r="C126" i="9"/>
  <c r="C128" i="9"/>
  <c r="C129" i="9"/>
  <c r="C130" i="9"/>
  <c r="C131" i="9"/>
  <c r="C25" i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K63" i="12" l="1"/>
  <c r="J64" i="12"/>
  <c r="J65" i="12"/>
  <c r="J67" i="12"/>
  <c r="L54" i="12"/>
  <c r="L55" i="12"/>
  <c r="L53" i="12"/>
  <c r="L52" i="12"/>
  <c r="J35" i="11"/>
  <c r="O54" i="11"/>
  <c r="J34" i="11"/>
  <c r="N51" i="11"/>
  <c r="N52" i="11" s="1"/>
  <c r="Q39" i="11"/>
  <c r="R39" i="11"/>
  <c r="K39" i="11"/>
  <c r="S39" i="11"/>
  <c r="L39" i="11"/>
  <c r="T39" i="11"/>
  <c r="J39" i="11"/>
  <c r="M39" i="11"/>
  <c r="U39" i="11"/>
  <c r="N39" i="11"/>
  <c r="N56" i="11" s="1"/>
  <c r="O39" i="11"/>
  <c r="P39" i="11"/>
  <c r="L38" i="11"/>
  <c r="T38" i="11"/>
  <c r="M38" i="11"/>
  <c r="U38" i="11"/>
  <c r="N38" i="11"/>
  <c r="O38" i="11"/>
  <c r="Q38" i="11"/>
  <c r="P38" i="11"/>
  <c r="R38" i="11"/>
  <c r="J38" i="11"/>
  <c r="K38" i="11"/>
  <c r="S38" i="11"/>
  <c r="U32" i="11"/>
  <c r="U35" i="11"/>
  <c r="O47" i="11"/>
  <c r="T33" i="11"/>
  <c r="T32" i="11"/>
  <c r="T34" i="11"/>
  <c r="M32" i="11"/>
  <c r="L32" i="11"/>
  <c r="L33" i="11"/>
  <c r="L34" i="11"/>
  <c r="M35" i="11"/>
  <c r="M33" i="11"/>
  <c r="K32" i="11"/>
  <c r="K34" i="11"/>
  <c r="K35" i="11"/>
  <c r="N47" i="11"/>
  <c r="N54" i="11"/>
  <c r="U51" i="11"/>
  <c r="U52" i="11" s="1"/>
  <c r="K33" i="11"/>
  <c r="Q32" i="11"/>
  <c r="Q34" i="11"/>
  <c r="Q35" i="11"/>
  <c r="S32" i="11"/>
  <c r="S34" i="11"/>
  <c r="S35" i="11"/>
  <c r="P32" i="11"/>
  <c r="P34" i="11"/>
  <c r="P35" i="11"/>
  <c r="P33" i="11"/>
  <c r="R44" i="11"/>
  <c r="R45" i="11" s="1"/>
  <c r="J44" i="11"/>
  <c r="R34" i="11"/>
  <c r="R35" i="11"/>
  <c r="Q33" i="11"/>
  <c r="P51" i="11"/>
  <c r="P52" i="11" s="1"/>
  <c r="T51" i="11"/>
  <c r="T52" i="11" s="1"/>
  <c r="Q51" i="11"/>
  <c r="Q52" i="11" s="1"/>
  <c r="O44" i="11"/>
  <c r="O45" i="11" s="1"/>
  <c r="S44" i="11"/>
  <c r="S45" i="11" s="1"/>
  <c r="K44" i="11"/>
  <c r="K45" i="11" s="1"/>
  <c r="P44" i="11"/>
  <c r="P45" i="11" s="1"/>
  <c r="N44" i="11"/>
  <c r="N45" i="11" s="1"/>
  <c r="S51" i="11"/>
  <c r="S52" i="11" s="1"/>
  <c r="R51" i="11"/>
  <c r="R52" i="11" s="1"/>
  <c r="O51" i="11"/>
  <c r="O52" i="11" s="1"/>
  <c r="K51" i="11"/>
  <c r="K52" i="11" s="1"/>
  <c r="L51" i="11"/>
  <c r="L52" i="11" s="1"/>
  <c r="M51" i="11"/>
  <c r="M52" i="11" s="1"/>
  <c r="L44" i="11"/>
  <c r="L45" i="11" s="1"/>
  <c r="M44" i="11"/>
  <c r="M45" i="11" s="1"/>
  <c r="U44" i="11"/>
  <c r="U45" i="11" s="1"/>
  <c r="Q44" i="11"/>
  <c r="Q45" i="11" s="1"/>
  <c r="T44" i="11"/>
  <c r="T45" i="11" s="1"/>
  <c r="D18" i="11"/>
  <c r="J32" i="11"/>
  <c r="U41" i="11"/>
  <c r="T41" i="11"/>
  <c r="K41" i="11"/>
  <c r="Q102" i="11"/>
  <c r="S41" i="11"/>
  <c r="P102" i="11"/>
  <c r="Q41" i="11"/>
  <c r="R92" i="11"/>
  <c r="N41" i="11"/>
  <c r="C18" i="11"/>
  <c r="M41" i="11"/>
  <c r="P92" i="11"/>
  <c r="L41" i="11"/>
  <c r="J49" i="11"/>
  <c r="J50" i="11" s="1"/>
  <c r="J51" i="11" s="1"/>
  <c r="J82" i="11"/>
  <c r="J41" i="11"/>
  <c r="O102" i="11"/>
  <c r="O92" i="11"/>
  <c r="N102" i="11"/>
  <c r="R41" i="11"/>
  <c r="U102" i="11"/>
  <c r="M102" i="11"/>
  <c r="L102" i="11"/>
  <c r="AE50" i="11" s="1"/>
  <c r="AE75" i="11" s="1"/>
  <c r="T92" i="11"/>
  <c r="S102" i="11"/>
  <c r="K102" i="11"/>
  <c r="J92" i="11"/>
  <c r="AF67" i="11"/>
  <c r="AF84" i="11"/>
  <c r="AF75" i="11"/>
  <c r="J46" i="11"/>
  <c r="J47" i="11" s="1"/>
  <c r="X81" i="9" a="1"/>
  <c r="X81" i="9" s="1"/>
  <c r="X87" i="9" a="1"/>
  <c r="X87" i="9" s="1"/>
  <c r="S86" i="9" a="1"/>
  <c r="S86" i="9" s="1"/>
  <c r="X82" i="9" a="1"/>
  <c r="X82" i="9" s="1"/>
  <c r="U84" i="9" a="1"/>
  <c r="U84" i="9" s="1"/>
  <c r="E84" i="9" a="1"/>
  <c r="E84" i="9" s="1"/>
  <c r="R88" i="9" a="1"/>
  <c r="R88" i="9" s="1"/>
  <c r="H81" i="9" a="1"/>
  <c r="H81" i="9" s="1"/>
  <c r="Q88" i="9" a="1"/>
  <c r="Q88" i="9" s="1"/>
  <c r="W87" i="9" a="1"/>
  <c r="W87" i="9" s="1"/>
  <c r="G87" i="9" a="1"/>
  <c r="G87" i="9" s="1"/>
  <c r="V81" i="9" a="1"/>
  <c r="V81" i="9" s="1"/>
  <c r="F81" i="9" a="1"/>
  <c r="F81" i="9" s="1"/>
  <c r="V87" i="9" a="1"/>
  <c r="V87" i="9" s="1"/>
  <c r="F87" i="9" a="1"/>
  <c r="F87" i="9" s="1"/>
  <c r="M84" i="9" a="1"/>
  <c r="M84" i="9" s="1"/>
  <c r="U81" i="9" a="1"/>
  <c r="U81" i="9" s="1"/>
  <c r="E81" i="9" a="1"/>
  <c r="E81" i="9" s="1"/>
  <c r="H87" i="9" a="1"/>
  <c r="H87" i="9" s="1"/>
  <c r="N84" i="9" a="1"/>
  <c r="N84" i="9" s="1"/>
  <c r="Y88" i="9" a="1"/>
  <c r="Y88" i="9" s="1"/>
  <c r="R87" i="9" a="1"/>
  <c r="R87" i="9" s="1"/>
  <c r="T86" i="9" a="1"/>
  <c r="T86" i="9" s="1"/>
  <c r="F84" i="9" a="1"/>
  <c r="F84" i="9" s="1"/>
  <c r="T81" i="9" a="1"/>
  <c r="T81" i="9" s="1"/>
  <c r="P87" i="9" a="1"/>
  <c r="P87" i="9" s="1"/>
  <c r="P81" i="9" a="1"/>
  <c r="P81" i="9" s="1"/>
  <c r="O87" i="9" a="1"/>
  <c r="O87" i="9" s="1"/>
  <c r="L86" i="9" a="1"/>
  <c r="L86" i="9" s="1"/>
  <c r="N81" i="9" a="1"/>
  <c r="N81" i="9" s="1"/>
  <c r="J88" i="9" a="1"/>
  <c r="J88" i="9" s="1"/>
  <c r="N87" i="9" a="1"/>
  <c r="N87" i="9" s="1"/>
  <c r="K86" i="9" a="1"/>
  <c r="K86" i="9" s="1"/>
  <c r="P82" i="9" a="1"/>
  <c r="P82" i="9" s="1"/>
  <c r="M81" i="9" a="1"/>
  <c r="M81" i="9" s="1"/>
  <c r="I88" i="9" a="1"/>
  <c r="I88" i="9" s="1"/>
  <c r="J87" i="9" a="1"/>
  <c r="J87" i="9" s="1"/>
  <c r="V84" i="9" a="1"/>
  <c r="V84" i="9" s="1"/>
  <c r="H82" i="9" a="1"/>
  <c r="H82" i="9" s="1"/>
  <c r="L81" i="9" a="1"/>
  <c r="L81" i="9" s="1"/>
  <c r="K83" i="9" a="1"/>
  <c r="K83" i="9" s="1"/>
  <c r="H85" i="9" a="1"/>
  <c r="H85" i="9" s="1"/>
  <c r="X88" i="9" a="1"/>
  <c r="X88" i="9" s="1"/>
  <c r="P88" i="9" a="1"/>
  <c r="P88" i="9" s="1"/>
  <c r="H88" i="9" a="1"/>
  <c r="H88" i="9" s="1"/>
  <c r="U87" i="9" a="1"/>
  <c r="U87" i="9" s="1"/>
  <c r="M87" i="9" a="1"/>
  <c r="M87" i="9" s="1"/>
  <c r="E87" i="9" a="1"/>
  <c r="E87" i="9" s="1"/>
  <c r="R86" i="9" a="1"/>
  <c r="R86" i="9" s="1"/>
  <c r="J86" i="9" a="1"/>
  <c r="J86" i="9" s="1"/>
  <c r="W85" i="9" a="1"/>
  <c r="W85" i="9" s="1"/>
  <c r="O85" i="9" a="1"/>
  <c r="O85" i="9" s="1"/>
  <c r="G85" i="9" a="1"/>
  <c r="G85" i="9" s="1"/>
  <c r="T84" i="9" a="1"/>
  <c r="T84" i="9" s="1"/>
  <c r="L84" i="9" a="1"/>
  <c r="L84" i="9" s="1"/>
  <c r="Y83" i="9" a="1"/>
  <c r="Y83" i="9" s="1"/>
  <c r="Q83" i="9" a="1"/>
  <c r="Q83" i="9" s="1"/>
  <c r="I83" i="9" a="1"/>
  <c r="I83" i="9" s="1"/>
  <c r="V82" i="9" a="1"/>
  <c r="V82" i="9" s="1"/>
  <c r="N82" i="9" a="1"/>
  <c r="N82" i="9" s="1"/>
  <c r="F82" i="9" a="1"/>
  <c r="F82" i="9" s="1"/>
  <c r="S81" i="9" a="1"/>
  <c r="S81" i="9" s="1"/>
  <c r="K81" i="9" a="1"/>
  <c r="K81" i="9" s="1"/>
  <c r="Y85" i="9" a="1"/>
  <c r="Y85" i="9" s="1"/>
  <c r="R83" i="9" a="1"/>
  <c r="R83" i="9" s="1"/>
  <c r="J83" i="9" a="1"/>
  <c r="J83" i="9" s="1"/>
  <c r="O82" i="9" a="1"/>
  <c r="O82" i="9" s="1"/>
  <c r="G82" i="9" a="1"/>
  <c r="G82" i="9" s="1"/>
  <c r="W88" i="9" a="1"/>
  <c r="W88" i="9" s="1"/>
  <c r="O88" i="9" a="1"/>
  <c r="O88" i="9" s="1"/>
  <c r="G88" i="9" a="1"/>
  <c r="G88" i="9" s="1"/>
  <c r="T87" i="9" a="1"/>
  <c r="T87" i="9" s="1"/>
  <c r="L87" i="9" a="1"/>
  <c r="L87" i="9" s="1"/>
  <c r="Y86" i="9" a="1"/>
  <c r="Y86" i="9" s="1"/>
  <c r="Q86" i="9" a="1"/>
  <c r="Q86" i="9" s="1"/>
  <c r="I86" i="9" a="1"/>
  <c r="I86" i="9" s="1"/>
  <c r="V85" i="9" a="1"/>
  <c r="V85" i="9" s="1"/>
  <c r="N85" i="9" a="1"/>
  <c r="N85" i="9" s="1"/>
  <c r="F85" i="9" a="1"/>
  <c r="F85" i="9" s="1"/>
  <c r="S84" i="9" a="1"/>
  <c r="S84" i="9" s="1"/>
  <c r="K84" i="9" a="1"/>
  <c r="K84" i="9" s="1"/>
  <c r="X83" i="9" a="1"/>
  <c r="X83" i="9" s="1"/>
  <c r="P83" i="9" a="1"/>
  <c r="P83" i="9" s="1"/>
  <c r="H83" i="9" a="1"/>
  <c r="H83" i="9" s="1"/>
  <c r="U82" i="9" a="1"/>
  <c r="U82" i="9" s="1"/>
  <c r="M82" i="9" a="1"/>
  <c r="M82" i="9" s="1"/>
  <c r="E82" i="9" a="1"/>
  <c r="E82" i="9" s="1"/>
  <c r="R81" i="9" a="1"/>
  <c r="R81" i="9" s="1"/>
  <c r="J81" i="9" a="1"/>
  <c r="J81" i="9" s="1"/>
  <c r="I85" i="9" a="1"/>
  <c r="I85" i="9" s="1"/>
  <c r="X85" i="9" a="1"/>
  <c r="X85" i="9" s="1"/>
  <c r="V88" i="9" a="1"/>
  <c r="V88" i="9" s="1"/>
  <c r="N88" i="9" a="1"/>
  <c r="N88" i="9" s="1"/>
  <c r="F88" i="9" a="1"/>
  <c r="F88" i="9" s="1"/>
  <c r="S87" i="9" a="1"/>
  <c r="S87" i="9" s="1"/>
  <c r="K87" i="9" a="1"/>
  <c r="K87" i="9" s="1"/>
  <c r="X86" i="9" a="1"/>
  <c r="X86" i="9" s="1"/>
  <c r="P86" i="9" a="1"/>
  <c r="P86" i="9" s="1"/>
  <c r="H86" i="9" a="1"/>
  <c r="H86" i="9" s="1"/>
  <c r="U85" i="9" a="1"/>
  <c r="U85" i="9" s="1"/>
  <c r="M85" i="9" a="1"/>
  <c r="M85" i="9" s="1"/>
  <c r="E85" i="9" a="1"/>
  <c r="E85" i="9" s="1"/>
  <c r="R84" i="9" a="1"/>
  <c r="R84" i="9" s="1"/>
  <c r="J84" i="9" a="1"/>
  <c r="J84" i="9" s="1"/>
  <c r="W83" i="9" a="1"/>
  <c r="W83" i="9" s="1"/>
  <c r="O83" i="9" a="1"/>
  <c r="O83" i="9" s="1"/>
  <c r="G83" i="9" a="1"/>
  <c r="G83" i="9" s="1"/>
  <c r="T82" i="9" a="1"/>
  <c r="T82" i="9" s="1"/>
  <c r="L82" i="9" a="1"/>
  <c r="L82" i="9" s="1"/>
  <c r="Y81" i="9" a="1"/>
  <c r="Y81" i="9" s="1"/>
  <c r="Q81" i="9" a="1"/>
  <c r="Q81" i="9" s="1"/>
  <c r="I81" i="9" a="1"/>
  <c r="I81" i="9" s="1"/>
  <c r="Q85" i="9" a="1"/>
  <c r="Q85" i="9" s="1"/>
  <c r="S83" i="9" a="1"/>
  <c r="S83" i="9" s="1"/>
  <c r="U88" i="9" a="1"/>
  <c r="U88" i="9" s="1"/>
  <c r="M88" i="9" a="1"/>
  <c r="M88" i="9" s="1"/>
  <c r="E88" i="9" a="1"/>
  <c r="E88" i="9" s="1"/>
  <c r="W86" i="9" a="1"/>
  <c r="W86" i="9" s="1"/>
  <c r="O86" i="9" a="1"/>
  <c r="O86" i="9" s="1"/>
  <c r="G86" i="9" a="1"/>
  <c r="G86" i="9" s="1"/>
  <c r="T85" i="9" a="1"/>
  <c r="T85" i="9" s="1"/>
  <c r="L85" i="9" a="1"/>
  <c r="L85" i="9" s="1"/>
  <c r="Y84" i="9" a="1"/>
  <c r="Y84" i="9" s="1"/>
  <c r="Q84" i="9" a="1"/>
  <c r="Q84" i="9" s="1"/>
  <c r="I84" i="9" a="1"/>
  <c r="I84" i="9" s="1"/>
  <c r="V83" i="9" a="1"/>
  <c r="V83" i="9" s="1"/>
  <c r="N83" i="9" a="1"/>
  <c r="N83" i="9" s="1"/>
  <c r="F83" i="9" a="1"/>
  <c r="F83" i="9" s="1"/>
  <c r="S82" i="9" a="1"/>
  <c r="S82" i="9" s="1"/>
  <c r="K82" i="9" a="1"/>
  <c r="K82" i="9" s="1"/>
  <c r="P85" i="9" a="1"/>
  <c r="P85" i="9" s="1"/>
  <c r="W82" i="9" a="1"/>
  <c r="W82" i="9" s="1"/>
  <c r="T88" i="9" a="1"/>
  <c r="T88" i="9" s="1"/>
  <c r="L88" i="9" a="1"/>
  <c r="L88" i="9" s="1"/>
  <c r="Y87" i="9" a="1"/>
  <c r="Y87" i="9" s="1"/>
  <c r="Q87" i="9" a="1"/>
  <c r="Q87" i="9" s="1"/>
  <c r="V86" i="9" a="1"/>
  <c r="V86" i="9" s="1"/>
  <c r="N86" i="9" a="1"/>
  <c r="N86" i="9" s="1"/>
  <c r="F86" i="9" a="1"/>
  <c r="F86" i="9" s="1"/>
  <c r="S85" i="9" a="1"/>
  <c r="S85" i="9" s="1"/>
  <c r="K85" i="9" a="1"/>
  <c r="K85" i="9" s="1"/>
  <c r="X84" i="9" a="1"/>
  <c r="X84" i="9" s="1"/>
  <c r="P84" i="9" a="1"/>
  <c r="P84" i="9" s="1"/>
  <c r="H84" i="9" a="1"/>
  <c r="H84" i="9" s="1"/>
  <c r="U83" i="9" a="1"/>
  <c r="U83" i="9" s="1"/>
  <c r="M83" i="9" a="1"/>
  <c r="M83" i="9" s="1"/>
  <c r="E83" i="9" a="1"/>
  <c r="E83" i="9" s="1"/>
  <c r="R82" i="9" a="1"/>
  <c r="R82" i="9" s="1"/>
  <c r="J82" i="9" a="1"/>
  <c r="J82" i="9" s="1"/>
  <c r="W81" i="9" a="1"/>
  <c r="W81" i="9" s="1"/>
  <c r="O81" i="9" a="1"/>
  <c r="O81" i="9" s="1"/>
  <c r="S88" i="9" a="1"/>
  <c r="S88" i="9" s="1"/>
  <c r="U86" i="9" a="1"/>
  <c r="U86" i="9" s="1"/>
  <c r="M86" i="9" a="1"/>
  <c r="M86" i="9" s="1"/>
  <c r="R85" i="9" a="1"/>
  <c r="R85" i="9" s="1"/>
  <c r="W84" i="9" a="1"/>
  <c r="W84" i="9" s="1"/>
  <c r="O84" i="9" a="1"/>
  <c r="O84" i="9" s="1"/>
  <c r="T83" i="9" a="1"/>
  <c r="T83" i="9" s="1"/>
  <c r="Y82" i="9" a="1"/>
  <c r="Y82" i="9" s="1"/>
  <c r="Q82" i="9" a="1"/>
  <c r="Q82" i="9" s="1"/>
  <c r="P78" i="9" a="1"/>
  <c r="P78" i="9" s="1"/>
  <c r="E78" i="9" a="1"/>
  <c r="E78" i="9" s="1"/>
  <c r="J78" i="9" a="1"/>
  <c r="J78" i="9" s="1"/>
  <c r="U78" i="9" a="1"/>
  <c r="U78" i="9" s="1"/>
  <c r="O78" i="9" a="1"/>
  <c r="O78" i="9" s="1"/>
  <c r="T78" i="9" a="1"/>
  <c r="T78" i="9" s="1"/>
  <c r="Y78" i="9" a="1"/>
  <c r="Y78" i="9" s="1"/>
  <c r="S78" i="9" a="1"/>
  <c r="S78" i="9" s="1"/>
  <c r="N78" i="9" a="1"/>
  <c r="N78" i="9" s="1"/>
  <c r="I78" i="9" a="1"/>
  <c r="I78" i="9" s="1"/>
  <c r="X78" i="9" a="1"/>
  <c r="X78" i="9" s="1"/>
  <c r="H78" i="9" a="1"/>
  <c r="H78" i="9" s="1"/>
  <c r="W78" i="9" a="1"/>
  <c r="W78" i="9" s="1"/>
  <c r="R78" i="9" a="1"/>
  <c r="R78" i="9" s="1"/>
  <c r="M78" i="9" a="1"/>
  <c r="M78" i="9" s="1"/>
  <c r="G78" i="9" a="1"/>
  <c r="G78" i="9" s="1"/>
  <c r="L78" i="9" a="1"/>
  <c r="L78" i="9" s="1"/>
  <c r="V78" i="9" a="1"/>
  <c r="V78" i="9" s="1"/>
  <c r="Q78" i="9" a="1"/>
  <c r="Q78" i="9" s="1"/>
  <c r="K78" i="9" a="1"/>
  <c r="K78" i="9" s="1"/>
  <c r="F78" i="9" a="1"/>
  <c r="F78" i="9" s="1"/>
  <c r="K67" i="12" l="1"/>
  <c r="K64" i="12"/>
  <c r="J66" i="12"/>
  <c r="J68" i="12"/>
  <c r="K65" i="12"/>
  <c r="L63" i="12"/>
  <c r="U56" i="11"/>
  <c r="U59" i="11" s="1"/>
  <c r="U61" i="11" s="1"/>
  <c r="U62" i="11" s="1"/>
  <c r="T56" i="11"/>
  <c r="L56" i="11"/>
  <c r="P56" i="11"/>
  <c r="S56" i="11"/>
  <c r="O56" i="11"/>
  <c r="K56" i="11"/>
  <c r="N58" i="11"/>
  <c r="N60" i="11" s="1"/>
  <c r="N59" i="11"/>
  <c r="N61" i="11" s="1"/>
  <c r="N62" i="11" s="1"/>
  <c r="N57" i="11"/>
  <c r="N124" i="11" s="1"/>
  <c r="R56" i="11"/>
  <c r="Q56" i="11"/>
  <c r="M56" i="11"/>
  <c r="J53" i="11"/>
  <c r="J54" i="11" s="1"/>
  <c r="J52" i="11"/>
  <c r="J56" i="11" s="1"/>
  <c r="AE84" i="11"/>
  <c r="AE67" i="11"/>
  <c r="J45" i="11"/>
  <c r="O54" i="1"/>
  <c r="D100" i="9" s="1"/>
  <c r="O55" i="1"/>
  <c r="D101" i="9" s="1"/>
  <c r="P55" i="1"/>
  <c r="O56" i="1"/>
  <c r="D102" i="9" s="1"/>
  <c r="O58" i="1"/>
  <c r="D104" i="9" s="1"/>
  <c r="O59" i="1"/>
  <c r="D105" i="9" s="1"/>
  <c r="O60" i="1"/>
  <c r="D106" i="9" s="1"/>
  <c r="O61" i="1"/>
  <c r="D107" i="9" s="1"/>
  <c r="O62" i="1"/>
  <c r="D108" i="9" s="1"/>
  <c r="O63" i="1"/>
  <c r="D109" i="9" s="1"/>
  <c r="O49" i="1"/>
  <c r="D95" i="9" s="1"/>
  <c r="O50" i="1"/>
  <c r="D96" i="9" s="1"/>
  <c r="O51" i="1"/>
  <c r="D97" i="9" s="1"/>
  <c r="N54" i="1"/>
  <c r="N55" i="1"/>
  <c r="N56" i="1"/>
  <c r="N58" i="1"/>
  <c r="N59" i="1"/>
  <c r="N60" i="1"/>
  <c r="N61" i="1"/>
  <c r="N62" i="1"/>
  <c r="N63" i="1"/>
  <c r="N49" i="1"/>
  <c r="N50" i="1"/>
  <c r="N51" i="1"/>
  <c r="O53" i="1"/>
  <c r="D99" i="9" s="1"/>
  <c r="N53" i="1"/>
  <c r="K57" i="1"/>
  <c r="K66" i="12" l="1"/>
  <c r="L66" i="12" s="1"/>
  <c r="K68" i="12"/>
  <c r="J69" i="12"/>
  <c r="J70" i="12"/>
  <c r="J72" i="12"/>
  <c r="L65" i="12"/>
  <c r="L67" i="12"/>
  <c r="K78" i="12"/>
  <c r="L64" i="12"/>
  <c r="N63" i="11"/>
  <c r="U58" i="11"/>
  <c r="U60" i="11" s="1"/>
  <c r="U63" i="11" s="1"/>
  <c r="U57" i="11"/>
  <c r="J58" i="11"/>
  <c r="J57" i="11"/>
  <c r="S57" i="11"/>
  <c r="S124" i="11" s="1"/>
  <c r="S58" i="11"/>
  <c r="S60" i="11" s="1"/>
  <c r="S59" i="11"/>
  <c r="S61" i="11" s="1"/>
  <c r="S62" i="11" s="1"/>
  <c r="P57" i="11"/>
  <c r="P124" i="11" s="1"/>
  <c r="P58" i="11"/>
  <c r="P60" i="11" s="1"/>
  <c r="P59" i="11"/>
  <c r="O58" i="11"/>
  <c r="O60" i="11" s="1"/>
  <c r="O59" i="11"/>
  <c r="O57" i="11"/>
  <c r="O124" i="11" s="1"/>
  <c r="R59" i="11"/>
  <c r="R61" i="11" s="1"/>
  <c r="R62" i="11" s="1"/>
  <c r="R58" i="11"/>
  <c r="R60" i="11" s="1"/>
  <c r="R57" i="11"/>
  <c r="R124" i="11" s="1"/>
  <c r="L59" i="11"/>
  <c r="L61" i="11" s="1"/>
  <c r="L62" i="11" s="1"/>
  <c r="L57" i="11"/>
  <c r="L58" i="11"/>
  <c r="L60" i="11" s="1"/>
  <c r="M59" i="11"/>
  <c r="M61" i="11" s="1"/>
  <c r="M62" i="11" s="1"/>
  <c r="M57" i="11"/>
  <c r="M124" i="11" s="1"/>
  <c r="M58" i="11"/>
  <c r="M60" i="11" s="1"/>
  <c r="T58" i="11"/>
  <c r="T60" i="11" s="1"/>
  <c r="T57" i="11"/>
  <c r="T124" i="11" s="1"/>
  <c r="T59" i="11"/>
  <c r="Q57" i="11"/>
  <c r="Q124" i="11" s="1"/>
  <c r="Q58" i="11"/>
  <c r="Q60" i="11" s="1"/>
  <c r="Q59" i="11"/>
  <c r="Q61" i="11" s="1"/>
  <c r="Q62" i="11" s="1"/>
  <c r="Q63" i="11" s="1"/>
  <c r="K57" i="11"/>
  <c r="K124" i="11" s="1"/>
  <c r="K58" i="11"/>
  <c r="K60" i="11" s="1"/>
  <c r="K59" i="11"/>
  <c r="K61" i="11" s="1"/>
  <c r="K62" i="11" s="1"/>
  <c r="N71" i="11"/>
  <c r="J59" i="11"/>
  <c r="J61" i="11" s="1"/>
  <c r="L124" i="11"/>
  <c r="U124" i="11"/>
  <c r="C109" i="9"/>
  <c r="C108" i="9"/>
  <c r="C99" i="9"/>
  <c r="C107" i="9"/>
  <c r="C106" i="9"/>
  <c r="C105" i="9"/>
  <c r="C100" i="9"/>
  <c r="C104" i="9"/>
  <c r="C97" i="9"/>
  <c r="C102" i="9"/>
  <c r="C96" i="9"/>
  <c r="C95" i="9"/>
  <c r="C101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8" i="1"/>
  <c r="C18" i="1"/>
  <c r="L68" i="12" l="1"/>
  <c r="K69" i="12"/>
  <c r="K72" i="12"/>
  <c r="L72" i="12" s="1"/>
  <c r="K70" i="12"/>
  <c r="J71" i="12"/>
  <c r="J73" i="12"/>
  <c r="Q75" i="12"/>
  <c r="T71" i="11"/>
  <c r="M63" i="11"/>
  <c r="K63" i="11"/>
  <c r="K64" i="11" s="1"/>
  <c r="K123" i="11" s="1"/>
  <c r="R63" i="11"/>
  <c r="R65" i="11" s="1"/>
  <c r="S63" i="11"/>
  <c r="S64" i="11" s="1"/>
  <c r="S123" i="11" s="1"/>
  <c r="P61" i="11"/>
  <c r="P62" i="11" s="1"/>
  <c r="P63" i="11" s="1"/>
  <c r="P64" i="11" s="1"/>
  <c r="P123" i="11" s="1"/>
  <c r="T61" i="11"/>
  <c r="T62" i="11" s="1"/>
  <c r="T63" i="11" s="1"/>
  <c r="O61" i="11"/>
  <c r="O62" i="11" s="1"/>
  <c r="O63" i="11" s="1"/>
  <c r="O64" i="11" s="1"/>
  <c r="O123" i="11" s="1"/>
  <c r="L63" i="11"/>
  <c r="L64" i="11" s="1"/>
  <c r="L123" i="11" s="1"/>
  <c r="R71" i="11"/>
  <c r="M71" i="11"/>
  <c r="R127" i="11"/>
  <c r="U71" i="11"/>
  <c r="J127" i="11"/>
  <c r="S127" i="11"/>
  <c r="J71" i="11"/>
  <c r="L127" i="11"/>
  <c r="J124" i="11"/>
  <c r="U127" i="11"/>
  <c r="K127" i="11"/>
  <c r="M127" i="11"/>
  <c r="N127" i="11"/>
  <c r="S71" i="11"/>
  <c r="K71" i="11"/>
  <c r="L71" i="11"/>
  <c r="O71" i="11"/>
  <c r="P71" i="11"/>
  <c r="Q71" i="11"/>
  <c r="P85" i="1"/>
  <c r="P73" i="1"/>
  <c r="P65" i="1"/>
  <c r="Q85" i="1"/>
  <c r="Q73" i="1"/>
  <c r="Q65" i="1"/>
  <c r="C116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80" i="9" a="1"/>
  <c r="Q80" i="9" s="1"/>
  <c r="Y59" i="9" a="1"/>
  <c r="Y59" i="9" s="1"/>
  <c r="U54" i="9" a="1"/>
  <c r="U54" i="9" s="1"/>
  <c r="J56" i="9" a="1"/>
  <c r="J56" i="9" s="1"/>
  <c r="V79" i="9" a="1"/>
  <c r="V79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80" i="9" a="1"/>
  <c r="L80" i="9" s="1"/>
  <c r="F79" i="9" a="1"/>
  <c r="F79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9" i="9" a="1"/>
  <c r="U79" i="9" s="1"/>
  <c r="Q55" i="9" a="1"/>
  <c r="Q55" i="9" s="1"/>
  <c r="J80" i="9" a="1"/>
  <c r="J80" i="9" s="1"/>
  <c r="Q59" i="9" a="1"/>
  <c r="Q59" i="9" s="1"/>
  <c r="M54" i="9" a="1"/>
  <c r="M54" i="9" s="1"/>
  <c r="E54" i="9" a="1"/>
  <c r="E54" i="9" s="1"/>
  <c r="W55" i="9" a="1"/>
  <c r="W55" i="9" s="1"/>
  <c r="P79" i="9" a="1"/>
  <c r="P79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9" i="9" a="1"/>
  <c r="S79" i="9" s="1"/>
  <c r="W80" i="9" a="1"/>
  <c r="W80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80" i="9" a="1"/>
  <c r="X80" i="9" s="1"/>
  <c r="J55" i="9" a="1"/>
  <c r="J55" i="9" s="1"/>
  <c r="X79" i="9" a="1"/>
  <c r="X79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80" i="9" a="1"/>
  <c r="S80" i="9" s="1"/>
  <c r="L55" i="9" a="1"/>
  <c r="L55" i="9" s="1"/>
  <c r="M79" i="9" a="1"/>
  <c r="M79" i="9" s="1"/>
  <c r="M55" i="9" a="1"/>
  <c r="M55" i="9" s="1"/>
  <c r="J79" i="9" a="1"/>
  <c r="J79" i="9" s="1"/>
  <c r="I79" i="9" a="1"/>
  <c r="I79" i="9" s="1"/>
  <c r="R80" i="9" a="1"/>
  <c r="R80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9" i="9" a="1"/>
  <c r="N79" i="9" s="1"/>
  <c r="G80" i="9" a="1"/>
  <c r="G80" i="9" s="1"/>
  <c r="S56" i="9" a="1"/>
  <c r="S56" i="9" s="1"/>
  <c r="K80" i="9" a="1"/>
  <c r="K80" i="9" s="1"/>
  <c r="V54" i="9" a="1"/>
  <c r="V54" i="9" s="1"/>
  <c r="K79" i="9" a="1"/>
  <c r="K79" i="9" s="1"/>
  <c r="Q56" i="9" a="1"/>
  <c r="Q56" i="9" s="1"/>
  <c r="V80" i="9" a="1"/>
  <c r="V80" i="9" s="1"/>
  <c r="H55" i="9" a="1"/>
  <c r="H55" i="9" s="1"/>
  <c r="W56" i="9" a="1"/>
  <c r="W56" i="9" s="1"/>
  <c r="U80" i="9" a="1"/>
  <c r="U80" i="9" s="1"/>
  <c r="H79" i="9" a="1"/>
  <c r="H79" i="9" s="1"/>
  <c r="U56" i="9" a="1"/>
  <c r="U56" i="9" s="1"/>
  <c r="M80" i="9" a="1"/>
  <c r="M80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9" i="9" a="1"/>
  <c r="Y79" i="9" s="1"/>
  <c r="R59" i="9" a="1"/>
  <c r="R59" i="9" s="1"/>
  <c r="N54" i="9" a="1"/>
  <c r="N54" i="9" s="1"/>
  <c r="K56" i="9" a="1"/>
  <c r="K56" i="9" s="1"/>
  <c r="P80" i="9" a="1"/>
  <c r="P80" i="9" s="1"/>
  <c r="X59" i="9" a="1"/>
  <c r="X59" i="9" s="1"/>
  <c r="T54" i="9" a="1"/>
  <c r="T54" i="9" s="1"/>
  <c r="T80" i="9" a="1"/>
  <c r="T80" i="9" s="1"/>
  <c r="P56" i="9" a="1"/>
  <c r="P56" i="9" s="1"/>
  <c r="N80" i="9" a="1"/>
  <c r="N80" i="9" s="1"/>
  <c r="N56" i="9" a="1"/>
  <c r="N56" i="9" s="1"/>
  <c r="F80" i="9" a="1"/>
  <c r="F80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9" i="9" a="1"/>
  <c r="R79" i="9" s="1"/>
  <c r="K59" i="9" a="1"/>
  <c r="K59" i="9" s="1"/>
  <c r="G54" i="9" a="1"/>
  <c r="G54" i="9" s="1"/>
  <c r="G59" i="9" a="1"/>
  <c r="G59" i="9" s="1"/>
  <c r="X55" i="9" a="1"/>
  <c r="X55" i="9" s="1"/>
  <c r="W79" i="9" a="1"/>
  <c r="W79" i="9" s="1"/>
  <c r="P59" i="9" a="1"/>
  <c r="P59" i="9" s="1"/>
  <c r="E79" i="9" a="1"/>
  <c r="E79" i="9" s="1"/>
  <c r="I56" i="9" a="1"/>
  <c r="I56" i="9" s="1"/>
  <c r="H80" i="9" a="1"/>
  <c r="H80" i="9" s="1"/>
  <c r="G56" i="9" a="1"/>
  <c r="G56" i="9" s="1"/>
  <c r="T79" i="9" a="1"/>
  <c r="T79" i="9" s="1"/>
  <c r="T59" i="9" a="1"/>
  <c r="T59" i="9" s="1"/>
  <c r="I54" i="9" a="1"/>
  <c r="I54" i="9" s="1"/>
  <c r="R58" i="9" a="1"/>
  <c r="R58" i="9" s="1"/>
  <c r="W54" i="9" a="1"/>
  <c r="W54" i="9" s="1"/>
  <c r="I80" i="9" a="1"/>
  <c r="I80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9" i="9" a="1"/>
  <c r="L79" i="9" s="1"/>
  <c r="Y56" i="9" a="1"/>
  <c r="Y56" i="9" s="1"/>
  <c r="E80" i="9" a="1"/>
  <c r="E80" i="9" s="1"/>
  <c r="P55" i="9" a="1"/>
  <c r="P55" i="9" s="1"/>
  <c r="Q79" i="9" a="1"/>
  <c r="Q79" i="9" s="1"/>
  <c r="I59" i="9" a="1"/>
  <c r="I59" i="9" s="1"/>
  <c r="O80" i="9" a="1"/>
  <c r="O80" i="9" s="1"/>
  <c r="E56" i="9" a="1"/>
  <c r="E56" i="9" s="1"/>
  <c r="V55" i="9" a="1"/>
  <c r="V55" i="9" s="1"/>
  <c r="O79" i="9" a="1"/>
  <c r="O79" i="9" s="1"/>
  <c r="T55" i="9" a="1"/>
  <c r="T55" i="9" s="1"/>
  <c r="G79" i="9" a="1"/>
  <c r="G79" i="9" s="1"/>
  <c r="T56" i="9" a="1"/>
  <c r="T56" i="9" s="1"/>
  <c r="Y80" i="9" a="1"/>
  <c r="Y80" i="9" s="1"/>
  <c r="W57" i="9" a="1"/>
  <c r="W57" i="9" s="1"/>
  <c r="K57" i="9" a="1"/>
  <c r="K57" i="9" s="1"/>
  <c r="C115" i="9"/>
  <c r="C112" i="9"/>
  <c r="W60" i="9" s="1" a="1"/>
  <c r="W60" i="9" s="1"/>
  <c r="C113" i="9"/>
  <c r="C114" i="9"/>
  <c r="C117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K71" i="12" l="1"/>
  <c r="L71" i="12" s="1"/>
  <c r="L69" i="12"/>
  <c r="K73" i="12"/>
  <c r="L70" i="12"/>
  <c r="J74" i="12"/>
  <c r="P74" i="12" s="1"/>
  <c r="J75" i="12"/>
  <c r="J77" i="12"/>
  <c r="Q94" i="12"/>
  <c r="T127" i="11"/>
  <c r="O127" i="11"/>
  <c r="P127" i="11"/>
  <c r="N65" i="11"/>
  <c r="Q64" i="11"/>
  <c r="Q123" i="11" s="1"/>
  <c r="Q127" i="11"/>
  <c r="U66" i="11"/>
  <c r="U69" i="11" s="1"/>
  <c r="U64" i="11"/>
  <c r="U123" i="11" s="1"/>
  <c r="M65" i="11"/>
  <c r="M70" i="11" s="1"/>
  <c r="M64" i="11"/>
  <c r="M123" i="11" s="1"/>
  <c r="T66" i="11"/>
  <c r="T69" i="11" s="1"/>
  <c r="T64" i="11"/>
  <c r="T123" i="11" s="1"/>
  <c r="R68" i="11"/>
  <c r="R64" i="11"/>
  <c r="R123" i="11" s="1"/>
  <c r="R66" i="11"/>
  <c r="R69" i="11" s="1"/>
  <c r="F74" i="9" a="1"/>
  <c r="F74" i="9" s="1"/>
  <c r="G74" i="9" a="1"/>
  <c r="G74" i="9" s="1"/>
  <c r="X74" i="9" a="1"/>
  <c r="X74" i="9" s="1"/>
  <c r="Y74" i="9" a="1"/>
  <c r="Y74" i="9" s="1"/>
  <c r="M74" i="9" a="1"/>
  <c r="M74" i="9" s="1"/>
  <c r="J74" i="9" a="1"/>
  <c r="J74" i="9" s="1"/>
  <c r="O74" i="9" a="1"/>
  <c r="O74" i="9" s="1"/>
  <c r="H74" i="9" a="1"/>
  <c r="H74" i="9" s="1"/>
  <c r="N74" i="9" a="1"/>
  <c r="N74" i="9" s="1"/>
  <c r="K74" i="9" a="1"/>
  <c r="K74" i="9" s="1"/>
  <c r="E74" i="9" a="1"/>
  <c r="E74" i="9" s="1"/>
  <c r="I74" i="9" a="1"/>
  <c r="I74" i="9" s="1"/>
  <c r="A53" i="9" a="1"/>
  <c r="A53" i="9" s="1"/>
  <c r="U74" i="9" a="1"/>
  <c r="U74" i="9" s="1"/>
  <c r="T74" i="9" a="1"/>
  <c r="T74" i="9" s="1"/>
  <c r="W74" i="9" a="1"/>
  <c r="W74" i="9" s="1"/>
  <c r="P74" i="9" a="1"/>
  <c r="P74" i="9" s="1"/>
  <c r="V74" i="9" a="1"/>
  <c r="V74" i="9" s="1"/>
  <c r="S74" i="9" a="1"/>
  <c r="S74" i="9" s="1"/>
  <c r="L74" i="9" a="1"/>
  <c r="L74" i="9" s="1"/>
  <c r="Q74" i="9" a="1"/>
  <c r="Q74" i="9" s="1"/>
  <c r="R74" i="9" a="1"/>
  <c r="R74" i="9" s="1"/>
  <c r="M68" i="11"/>
  <c r="M66" i="11"/>
  <c r="M69" i="11" s="1"/>
  <c r="T65" i="11"/>
  <c r="T68" i="11"/>
  <c r="K65" i="11"/>
  <c r="K68" i="11"/>
  <c r="R67" i="11"/>
  <c r="R70" i="11"/>
  <c r="R87" i="11"/>
  <c r="P68" i="11"/>
  <c r="P65" i="11"/>
  <c r="U65" i="11"/>
  <c r="U68" i="11"/>
  <c r="O66" i="11"/>
  <c r="O69" i="11" s="1"/>
  <c r="O65" i="11"/>
  <c r="O68" i="11"/>
  <c r="L65" i="11"/>
  <c r="L68" i="11"/>
  <c r="P66" i="11"/>
  <c r="P69" i="11" s="1"/>
  <c r="S65" i="11"/>
  <c r="S68" i="11"/>
  <c r="L66" i="11"/>
  <c r="L69" i="11" s="1"/>
  <c r="K66" i="11"/>
  <c r="K69" i="11" s="1"/>
  <c r="S66" i="11"/>
  <c r="S69" i="11" s="1"/>
  <c r="Q75" i="9" a="1"/>
  <c r="Q75" i="9" s="1"/>
  <c r="J75" i="9" a="1"/>
  <c r="J75" i="9" s="1"/>
  <c r="Y75" i="9" a="1"/>
  <c r="Y75" i="9" s="1"/>
  <c r="W75" i="9" a="1"/>
  <c r="W75" i="9" s="1"/>
  <c r="G75" i="9" a="1"/>
  <c r="G75" i="9" s="1"/>
  <c r="U75" i="9" a="1"/>
  <c r="U75" i="9" s="1"/>
  <c r="M75" i="9" a="1"/>
  <c r="M75" i="9" s="1"/>
  <c r="E75" i="9" a="1"/>
  <c r="E75" i="9" s="1"/>
  <c r="N75" i="9" a="1"/>
  <c r="N75" i="9" s="1"/>
  <c r="T75" i="9" a="1"/>
  <c r="T75" i="9" s="1"/>
  <c r="R75" i="9" a="1"/>
  <c r="R75" i="9" s="1"/>
  <c r="H75" i="9" a="1"/>
  <c r="H75" i="9" s="1"/>
  <c r="V75" i="9" a="1"/>
  <c r="V75" i="9" s="1"/>
  <c r="L75" i="9" a="1"/>
  <c r="L75" i="9" s="1"/>
  <c r="P75" i="9" a="1"/>
  <c r="P75" i="9" s="1"/>
  <c r="O75" i="9" a="1"/>
  <c r="O75" i="9" s="1"/>
  <c r="X75" i="9" a="1"/>
  <c r="X75" i="9" s="1"/>
  <c r="S75" i="9" a="1"/>
  <c r="S75" i="9" s="1"/>
  <c r="K75" i="9" a="1"/>
  <c r="K75" i="9" s="1"/>
  <c r="I75" i="9" a="1"/>
  <c r="I75" i="9" s="1"/>
  <c r="F75" i="9" a="1"/>
  <c r="F75" i="9" s="1"/>
  <c r="V63" i="9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L73" i="12" l="1"/>
  <c r="K74" i="12"/>
  <c r="Q74" i="12" s="1"/>
  <c r="R74" i="12" s="1"/>
  <c r="K75" i="12"/>
  <c r="K77" i="12"/>
  <c r="K98" i="12" s="1"/>
  <c r="Q90" i="12" s="1"/>
  <c r="J76" i="12"/>
  <c r="J98" i="12"/>
  <c r="P90" i="12" s="1"/>
  <c r="J78" i="12"/>
  <c r="N64" i="11"/>
  <c r="N123" i="11" s="1"/>
  <c r="N66" i="11"/>
  <c r="N69" i="11" s="1"/>
  <c r="N68" i="11"/>
  <c r="M67" i="11"/>
  <c r="M80" i="11" s="1"/>
  <c r="M108" i="11" s="1"/>
  <c r="M87" i="11"/>
  <c r="T67" i="11"/>
  <c r="T70" i="11"/>
  <c r="T87" i="11"/>
  <c r="S67" i="11"/>
  <c r="S70" i="11"/>
  <c r="S87" i="11"/>
  <c r="U67" i="11"/>
  <c r="U70" i="11"/>
  <c r="U87" i="11"/>
  <c r="R80" i="11"/>
  <c r="R108" i="11" s="1"/>
  <c r="R72" i="11"/>
  <c r="L67" i="11"/>
  <c r="L70" i="11"/>
  <c r="L87" i="11"/>
  <c r="Q68" i="11"/>
  <c r="Q65" i="11"/>
  <c r="K67" i="11"/>
  <c r="K70" i="11"/>
  <c r="K87" i="11"/>
  <c r="N67" i="11"/>
  <c r="N70" i="11"/>
  <c r="N87" i="11"/>
  <c r="M72" i="11"/>
  <c r="P67" i="11"/>
  <c r="P70" i="11"/>
  <c r="P87" i="11"/>
  <c r="O67" i="11"/>
  <c r="O70" i="11"/>
  <c r="O87" i="11"/>
  <c r="Q66" i="11"/>
  <c r="Q69" i="11" s="1"/>
  <c r="K50" i="1"/>
  <c r="K51" i="1" s="1"/>
  <c r="J50" i="1"/>
  <c r="J51" i="1" s="1"/>
  <c r="E27" i="1"/>
  <c r="D19" i="1"/>
  <c r="C19" i="1"/>
  <c r="L75" i="12" l="1"/>
  <c r="K79" i="12"/>
  <c r="K76" i="12"/>
  <c r="L76" i="12" s="1"/>
  <c r="L77" i="12"/>
  <c r="L74" i="12"/>
  <c r="L98" i="12"/>
  <c r="P75" i="12"/>
  <c r="L78" i="12"/>
  <c r="J79" i="12"/>
  <c r="J80" i="12" s="1"/>
  <c r="R79" i="11"/>
  <c r="R93" i="11" s="1"/>
  <c r="R106" i="11"/>
  <c r="AE70" i="11"/>
  <c r="M79" i="11"/>
  <c r="M93" i="11" s="1"/>
  <c r="M106" i="11"/>
  <c r="T72" i="11"/>
  <c r="T80" i="11"/>
  <c r="T108" i="11" s="1"/>
  <c r="U72" i="11"/>
  <c r="U80" i="11"/>
  <c r="U108" i="11" s="1"/>
  <c r="P72" i="11"/>
  <c r="P80" i="11"/>
  <c r="P108" i="11" s="1"/>
  <c r="N72" i="11"/>
  <c r="N80" i="11"/>
  <c r="N108" i="11" s="1"/>
  <c r="L80" i="11"/>
  <c r="L108" i="11" s="1"/>
  <c r="L72" i="11"/>
  <c r="K72" i="11"/>
  <c r="K80" i="11"/>
  <c r="K108" i="11" s="1"/>
  <c r="R73" i="11"/>
  <c r="R85" i="11"/>
  <c r="M73" i="11"/>
  <c r="M85" i="11"/>
  <c r="Q67" i="11"/>
  <c r="Q70" i="11"/>
  <c r="Q87" i="11"/>
  <c r="O80" i="11"/>
  <c r="O108" i="11" s="1"/>
  <c r="O72" i="11"/>
  <c r="S80" i="11"/>
  <c r="S108" i="11" s="1"/>
  <c r="S72" i="11"/>
  <c r="L51" i="1"/>
  <c r="K52" i="1"/>
  <c r="K54" i="1"/>
  <c r="J54" i="1"/>
  <c r="J52" i="1"/>
  <c r="K80" i="12" l="1"/>
  <c r="J84" i="12"/>
  <c r="J81" i="12"/>
  <c r="J86" i="12"/>
  <c r="L79" i="12"/>
  <c r="P94" i="12"/>
  <c r="R94" i="12" s="1"/>
  <c r="R75" i="12"/>
  <c r="M95" i="11"/>
  <c r="M94" i="11"/>
  <c r="R113" i="11"/>
  <c r="R94" i="11"/>
  <c r="R95" i="11"/>
  <c r="M113" i="11"/>
  <c r="S79" i="11"/>
  <c r="S93" i="11" s="1"/>
  <c r="S106" i="11"/>
  <c r="P79" i="11"/>
  <c r="P93" i="11" s="1"/>
  <c r="P106" i="11"/>
  <c r="O79" i="11"/>
  <c r="O93" i="11" s="1"/>
  <c r="O106" i="11"/>
  <c r="K79" i="11"/>
  <c r="K93" i="11" s="1"/>
  <c r="K106" i="11"/>
  <c r="U79" i="11"/>
  <c r="U93" i="11" s="1"/>
  <c r="U106" i="11"/>
  <c r="T79" i="11"/>
  <c r="T93" i="11" s="1"/>
  <c r="T106" i="11"/>
  <c r="L79" i="11"/>
  <c r="L93" i="11" s="1"/>
  <c r="L106" i="11"/>
  <c r="N79" i="11"/>
  <c r="N93" i="11" s="1"/>
  <c r="N106" i="11"/>
  <c r="T73" i="11"/>
  <c r="T85" i="11"/>
  <c r="O73" i="11"/>
  <c r="O85" i="11"/>
  <c r="N73" i="11"/>
  <c r="N85" i="11"/>
  <c r="M81" i="11"/>
  <c r="M74" i="11"/>
  <c r="M75" i="11" s="1"/>
  <c r="K73" i="11"/>
  <c r="K85" i="11"/>
  <c r="P73" i="11"/>
  <c r="P85" i="11"/>
  <c r="R81" i="11"/>
  <c r="R83" i="11" s="1"/>
  <c r="R104" i="11" s="1"/>
  <c r="R74" i="11"/>
  <c r="R75" i="11" s="1"/>
  <c r="L73" i="11"/>
  <c r="L85" i="11"/>
  <c r="S73" i="11"/>
  <c r="S85" i="11"/>
  <c r="Q80" i="11"/>
  <c r="Q108" i="11" s="1"/>
  <c r="Q72" i="11"/>
  <c r="U73" i="11"/>
  <c r="U85" i="11"/>
  <c r="L52" i="1"/>
  <c r="L54" i="1"/>
  <c r="J58" i="1"/>
  <c r="K55" i="1"/>
  <c r="J55" i="1"/>
  <c r="J53" i="1"/>
  <c r="K53" i="1"/>
  <c r="K58" i="1" s="1"/>
  <c r="K81" i="12" l="1"/>
  <c r="K84" i="12"/>
  <c r="K86" i="12"/>
  <c r="K88" i="12" s="1"/>
  <c r="K110" i="12" s="1"/>
  <c r="K116" i="12" s="1"/>
  <c r="K82" i="12"/>
  <c r="J88" i="12"/>
  <c r="J82" i="12"/>
  <c r="J85" i="12" s="1"/>
  <c r="L80" i="12"/>
  <c r="N95" i="11"/>
  <c r="N94" i="11"/>
  <c r="K94" i="11"/>
  <c r="K95" i="11"/>
  <c r="L95" i="11"/>
  <c r="L94" i="11"/>
  <c r="O113" i="11"/>
  <c r="O94" i="11"/>
  <c r="O95" i="11"/>
  <c r="T95" i="11"/>
  <c r="T94" i="11"/>
  <c r="P113" i="11"/>
  <c r="P94" i="11"/>
  <c r="P95" i="11"/>
  <c r="U113" i="11"/>
  <c r="U95" i="11"/>
  <c r="U94" i="11"/>
  <c r="S113" i="11"/>
  <c r="S94" i="11"/>
  <c r="S95" i="11"/>
  <c r="N113" i="11"/>
  <c r="K113" i="11"/>
  <c r="L113" i="11"/>
  <c r="T113" i="11"/>
  <c r="Q79" i="11"/>
  <c r="Q93" i="11" s="1"/>
  <c r="Q106" i="11"/>
  <c r="T81" i="11"/>
  <c r="T74" i="11"/>
  <c r="T75" i="11" s="1"/>
  <c r="M83" i="11"/>
  <c r="M104" i="11" s="1"/>
  <c r="M76" i="11"/>
  <c r="M77" i="11" s="1"/>
  <c r="M84" i="11"/>
  <c r="M78" i="11"/>
  <c r="M128" i="11" s="1"/>
  <c r="S81" i="11"/>
  <c r="S74" i="11"/>
  <c r="S75" i="11" s="1"/>
  <c r="U81" i="11"/>
  <c r="U74" i="11"/>
  <c r="U75" i="11" s="1"/>
  <c r="K81" i="11"/>
  <c r="K74" i="11"/>
  <c r="K75" i="11" s="1"/>
  <c r="P81" i="11"/>
  <c r="P74" i="11"/>
  <c r="P75" i="11" s="1"/>
  <c r="N81" i="11"/>
  <c r="N74" i="11"/>
  <c r="N75" i="11" s="1"/>
  <c r="R76" i="11"/>
  <c r="R77" i="11" s="1"/>
  <c r="R84" i="11"/>
  <c r="R78" i="11"/>
  <c r="R128" i="11" s="1"/>
  <c r="Q73" i="11"/>
  <c r="Q85" i="11"/>
  <c r="L81" i="11"/>
  <c r="L74" i="11"/>
  <c r="L75" i="11" s="1"/>
  <c r="O81" i="11"/>
  <c r="O74" i="11"/>
  <c r="O75" i="11" s="1"/>
  <c r="J60" i="11"/>
  <c r="L53" i="1"/>
  <c r="L55" i="1"/>
  <c r="K59" i="1"/>
  <c r="Q74" i="1" s="1"/>
  <c r="L58" i="1"/>
  <c r="K83" i="12" l="1"/>
  <c r="K99" i="12" s="1"/>
  <c r="R91" i="12" s="1"/>
  <c r="L84" i="12"/>
  <c r="K85" i="12"/>
  <c r="K89" i="12" s="1"/>
  <c r="K107" i="12"/>
  <c r="Q85" i="12"/>
  <c r="L88" i="12"/>
  <c r="J110" i="12"/>
  <c r="L86" i="12"/>
  <c r="L82" i="12"/>
  <c r="J83" i="12"/>
  <c r="J99" i="12" s="1"/>
  <c r="L81" i="12"/>
  <c r="Q94" i="11"/>
  <c r="Q95" i="11"/>
  <c r="M86" i="11"/>
  <c r="M89" i="11" s="1"/>
  <c r="M109" i="11"/>
  <c r="R86" i="11"/>
  <c r="R89" i="11" s="1"/>
  <c r="R109" i="11"/>
  <c r="Q113" i="11"/>
  <c r="P83" i="11"/>
  <c r="P104" i="11" s="1"/>
  <c r="S83" i="11"/>
  <c r="S104" i="11" s="1"/>
  <c r="K83" i="11"/>
  <c r="K104" i="11" s="1"/>
  <c r="T76" i="11"/>
  <c r="T77" i="11" s="1"/>
  <c r="T84" i="11"/>
  <c r="T78" i="11"/>
  <c r="T128" i="11" s="1"/>
  <c r="T83" i="11"/>
  <c r="T104" i="11" s="1"/>
  <c r="O83" i="11"/>
  <c r="O104" i="11" s="1"/>
  <c r="N83" i="11"/>
  <c r="N104" i="11" s="1"/>
  <c r="U83" i="11"/>
  <c r="U104" i="11" s="1"/>
  <c r="L83" i="11"/>
  <c r="L104" i="11" s="1"/>
  <c r="N76" i="11"/>
  <c r="N77" i="11" s="1"/>
  <c r="N84" i="11"/>
  <c r="N78" i="11"/>
  <c r="N128" i="11" s="1"/>
  <c r="S76" i="11"/>
  <c r="S77" i="11" s="1"/>
  <c r="S84" i="11"/>
  <c r="S78" i="11"/>
  <c r="S128" i="11" s="1"/>
  <c r="U76" i="11"/>
  <c r="U77" i="11" s="1"/>
  <c r="U84" i="11"/>
  <c r="U78" i="11"/>
  <c r="U128" i="11" s="1"/>
  <c r="Q81" i="11"/>
  <c r="Q74" i="11"/>
  <c r="Q75" i="11" s="1"/>
  <c r="L76" i="11"/>
  <c r="L77" i="11" s="1"/>
  <c r="L84" i="11"/>
  <c r="L78" i="11"/>
  <c r="L128" i="11" s="1"/>
  <c r="P76" i="11"/>
  <c r="P77" i="11" s="1"/>
  <c r="P84" i="11"/>
  <c r="P78" i="11"/>
  <c r="P128" i="11" s="1"/>
  <c r="O78" i="11"/>
  <c r="O128" i="11" s="1"/>
  <c r="O76" i="11"/>
  <c r="O77" i="11" s="1"/>
  <c r="O84" i="11"/>
  <c r="K76" i="11"/>
  <c r="K77" i="11" s="1"/>
  <c r="K84" i="11"/>
  <c r="K78" i="11"/>
  <c r="K128" i="11" s="1"/>
  <c r="AE76" i="11"/>
  <c r="AE77" i="11"/>
  <c r="AE88" i="11" s="1"/>
  <c r="AF76" i="11"/>
  <c r="K60" i="1"/>
  <c r="J59" i="1"/>
  <c r="J71" i="1" s="1"/>
  <c r="K71" i="1" s="1"/>
  <c r="L71" i="1" s="1"/>
  <c r="J60" i="1"/>
  <c r="J62" i="1" s="1"/>
  <c r="P75" i="1" s="1"/>
  <c r="P89" i="1" s="1"/>
  <c r="L110" i="12" l="1"/>
  <c r="J116" i="12"/>
  <c r="P85" i="12" s="1"/>
  <c r="K113" i="12"/>
  <c r="Q82" i="12" s="1"/>
  <c r="K87" i="12"/>
  <c r="K100" i="12"/>
  <c r="K122" i="12"/>
  <c r="Q67" i="12" s="1"/>
  <c r="J107" i="12"/>
  <c r="J113" i="12" s="1"/>
  <c r="J100" i="12"/>
  <c r="J122" i="12"/>
  <c r="J87" i="12"/>
  <c r="L85" i="12"/>
  <c r="J89" i="12"/>
  <c r="L83" i="12"/>
  <c r="R90" i="11"/>
  <c r="M90" i="11"/>
  <c r="O86" i="11"/>
  <c r="O90" i="11" s="1"/>
  <c r="O109" i="11"/>
  <c r="S86" i="11"/>
  <c r="S89" i="11" s="1"/>
  <c r="S109" i="11"/>
  <c r="N86" i="11"/>
  <c r="N89" i="11" s="1"/>
  <c r="N109" i="11"/>
  <c r="T86" i="11"/>
  <c r="T89" i="11" s="1"/>
  <c r="T109" i="11"/>
  <c r="L86" i="11"/>
  <c r="L89" i="11" s="1"/>
  <c r="L109" i="11"/>
  <c r="K86" i="11"/>
  <c r="K89" i="11" s="1"/>
  <c r="K109" i="11"/>
  <c r="P86" i="11"/>
  <c r="P89" i="11" s="1"/>
  <c r="P109" i="11"/>
  <c r="U86" i="11"/>
  <c r="U89" i="11" s="1"/>
  <c r="U109" i="11"/>
  <c r="Q83" i="11"/>
  <c r="Q104" i="11" s="1"/>
  <c r="M88" i="11"/>
  <c r="M96" i="11"/>
  <c r="R88" i="11"/>
  <c r="R96" i="11"/>
  <c r="Q78" i="11"/>
  <c r="Q128" i="11" s="1"/>
  <c r="Q76" i="11"/>
  <c r="Q77" i="11" s="1"/>
  <c r="Q84" i="11"/>
  <c r="AG76" i="11"/>
  <c r="J62" i="11"/>
  <c r="J63" i="11" s="1"/>
  <c r="AF77" i="11"/>
  <c r="L59" i="1"/>
  <c r="P74" i="1"/>
  <c r="K62" i="1"/>
  <c r="L60" i="1"/>
  <c r="K61" i="1"/>
  <c r="J61" i="1"/>
  <c r="J63" i="1"/>
  <c r="J118" i="12" l="1"/>
  <c r="R92" i="12"/>
  <c r="K90" i="12"/>
  <c r="K92" i="12" s="1"/>
  <c r="K96" i="12" s="1"/>
  <c r="K101" i="12"/>
  <c r="K118" i="12"/>
  <c r="K120" i="12" s="1"/>
  <c r="K143" i="12" s="1"/>
  <c r="Q54" i="12" s="1"/>
  <c r="Q77" i="12"/>
  <c r="L116" i="12"/>
  <c r="R85" i="12"/>
  <c r="L107" i="12"/>
  <c r="L87" i="12"/>
  <c r="J90" i="12"/>
  <c r="L89" i="12"/>
  <c r="L99" i="12"/>
  <c r="J64" i="11"/>
  <c r="J65" i="11"/>
  <c r="O91" i="11"/>
  <c r="O121" i="11" s="1"/>
  <c r="M91" i="11"/>
  <c r="M121" i="11" s="1"/>
  <c r="R91" i="11"/>
  <c r="R121" i="11" s="1"/>
  <c r="M103" i="11"/>
  <c r="O89" i="11"/>
  <c r="O96" i="11" s="1"/>
  <c r="R103" i="11"/>
  <c r="M110" i="11"/>
  <c r="R110" i="11"/>
  <c r="J68" i="11"/>
  <c r="O110" i="11"/>
  <c r="S90" i="11"/>
  <c r="K90" i="11"/>
  <c r="T90" i="11"/>
  <c r="U90" i="11"/>
  <c r="P90" i="11"/>
  <c r="L90" i="11"/>
  <c r="Q86" i="11"/>
  <c r="Q89" i="11" s="1"/>
  <c r="Q109" i="11"/>
  <c r="N90" i="11"/>
  <c r="O103" i="11"/>
  <c r="R98" i="11"/>
  <c r="R97" i="11"/>
  <c r="M98" i="11"/>
  <c r="M97" i="11"/>
  <c r="N88" i="11"/>
  <c r="N96" i="11"/>
  <c r="P88" i="11"/>
  <c r="P96" i="11"/>
  <c r="S88" i="11"/>
  <c r="S96" i="11"/>
  <c r="T88" i="11"/>
  <c r="T96" i="11"/>
  <c r="U88" i="11"/>
  <c r="U96" i="11"/>
  <c r="K88" i="11"/>
  <c r="K96" i="11"/>
  <c r="L88" i="11"/>
  <c r="L96" i="11"/>
  <c r="AG77" i="11"/>
  <c r="AF88" i="11"/>
  <c r="AG88" i="11" s="1"/>
  <c r="L62" i="1"/>
  <c r="Q75" i="1"/>
  <c r="Q89" i="1" s="1"/>
  <c r="R89" i="1" s="1"/>
  <c r="R74" i="1"/>
  <c r="K63" i="1"/>
  <c r="L61" i="1"/>
  <c r="J64" i="1"/>
  <c r="K91" i="12" l="1"/>
  <c r="Q76" i="12" s="1"/>
  <c r="K94" i="12"/>
  <c r="K97" i="12" s="1"/>
  <c r="K95" i="12"/>
  <c r="J91" i="12"/>
  <c r="L113" i="12"/>
  <c r="P82" i="12"/>
  <c r="R82" i="12" s="1"/>
  <c r="J95" i="12"/>
  <c r="L90" i="12"/>
  <c r="J92" i="12"/>
  <c r="J94" i="12"/>
  <c r="P67" i="12"/>
  <c r="R67" i="12" s="1"/>
  <c r="L122" i="12"/>
  <c r="P77" i="12"/>
  <c r="L100" i="12"/>
  <c r="J101" i="12"/>
  <c r="N91" i="11"/>
  <c r="N121" i="11" s="1"/>
  <c r="S91" i="11"/>
  <c r="S121" i="11" s="1"/>
  <c r="J70" i="11"/>
  <c r="L91" i="11"/>
  <c r="L121" i="11" s="1"/>
  <c r="K91" i="11"/>
  <c r="K121" i="11" s="1"/>
  <c r="P91" i="11"/>
  <c r="P121" i="11" s="1"/>
  <c r="U91" i="11"/>
  <c r="U121" i="11" s="1"/>
  <c r="T91" i="11"/>
  <c r="T121" i="11" s="1"/>
  <c r="O88" i="11"/>
  <c r="S103" i="11"/>
  <c r="K103" i="11"/>
  <c r="J66" i="11"/>
  <c r="J69" i="11" s="1"/>
  <c r="J123" i="11"/>
  <c r="Q90" i="11"/>
  <c r="L110" i="11"/>
  <c r="P110" i="11"/>
  <c r="U110" i="11"/>
  <c r="T110" i="11"/>
  <c r="K110" i="11"/>
  <c r="N110" i="11"/>
  <c r="S110" i="11"/>
  <c r="T103" i="11"/>
  <c r="P103" i="11"/>
  <c r="U103" i="11"/>
  <c r="N103" i="11"/>
  <c r="R99" i="11"/>
  <c r="R100" i="11" s="1"/>
  <c r="L103" i="11"/>
  <c r="M99" i="11"/>
  <c r="N97" i="11"/>
  <c r="N98" i="11"/>
  <c r="T98" i="11"/>
  <c r="T97" i="11"/>
  <c r="O98" i="11"/>
  <c r="O97" i="11"/>
  <c r="L98" i="11"/>
  <c r="L97" i="11"/>
  <c r="K98" i="11"/>
  <c r="K97" i="11"/>
  <c r="S98" i="11"/>
  <c r="S97" i="11"/>
  <c r="Q88" i="11"/>
  <c r="Q96" i="11"/>
  <c r="U98" i="11"/>
  <c r="U97" i="11"/>
  <c r="P97" i="11"/>
  <c r="P98" i="11"/>
  <c r="R75" i="1"/>
  <c r="L63" i="1"/>
  <c r="K64" i="1"/>
  <c r="K65" i="1" s="1"/>
  <c r="J66" i="1"/>
  <c r="J69" i="1" s="1"/>
  <c r="J68" i="1"/>
  <c r="J65" i="1"/>
  <c r="J70" i="1" s="1"/>
  <c r="K70" i="1" s="1"/>
  <c r="L70" i="1" s="1"/>
  <c r="J93" i="12" l="1"/>
  <c r="P76" i="12"/>
  <c r="K102" i="12"/>
  <c r="K103" i="12" s="1"/>
  <c r="Q89" i="12"/>
  <c r="R76" i="12"/>
  <c r="L95" i="12"/>
  <c r="K93" i="12"/>
  <c r="K111" i="12" s="1"/>
  <c r="K117" i="12" s="1"/>
  <c r="K124" i="12"/>
  <c r="L91" i="12"/>
  <c r="J111" i="12"/>
  <c r="J117" i="12" s="1"/>
  <c r="L94" i="12"/>
  <c r="J97" i="12"/>
  <c r="L92" i="12"/>
  <c r="J96" i="12"/>
  <c r="L96" i="12" s="1"/>
  <c r="L101" i="12"/>
  <c r="J120" i="12"/>
  <c r="L118" i="12"/>
  <c r="R90" i="12"/>
  <c r="R77" i="12"/>
  <c r="Q91" i="11"/>
  <c r="Q121" i="11" s="1"/>
  <c r="S99" i="11"/>
  <c r="S100" i="11" s="1"/>
  <c r="Q110" i="11"/>
  <c r="T99" i="11"/>
  <c r="T100" i="11" s="1"/>
  <c r="J67" i="11"/>
  <c r="J72" i="11" s="1"/>
  <c r="Q103" i="11"/>
  <c r="AF78" i="11"/>
  <c r="J87" i="11"/>
  <c r="AF70" i="11" s="1"/>
  <c r="AG70" i="11" s="1"/>
  <c r="R112" i="11"/>
  <c r="R111" i="11"/>
  <c r="P99" i="11"/>
  <c r="P111" i="11" s="1"/>
  <c r="K99" i="11"/>
  <c r="K100" i="11" s="1"/>
  <c r="N99" i="11"/>
  <c r="N100" i="11" s="1"/>
  <c r="O99" i="11"/>
  <c r="O100" i="11" s="1"/>
  <c r="M100" i="11"/>
  <c r="M112" i="11"/>
  <c r="M111" i="11"/>
  <c r="U99" i="11"/>
  <c r="L99" i="11"/>
  <c r="Q98" i="11"/>
  <c r="Q97" i="11"/>
  <c r="AE78" i="11"/>
  <c r="J67" i="1"/>
  <c r="J80" i="1" s="1"/>
  <c r="P76" i="1"/>
  <c r="K66" i="1"/>
  <c r="K69" i="1" s="1"/>
  <c r="L69" i="1" s="1"/>
  <c r="K68" i="1"/>
  <c r="L68" i="1" s="1"/>
  <c r="L64" i="1"/>
  <c r="J102" i="12" l="1"/>
  <c r="J121" i="12" s="1"/>
  <c r="P89" i="12"/>
  <c r="K121" i="12"/>
  <c r="K123" i="12" s="1"/>
  <c r="K127" i="12" s="1"/>
  <c r="L111" i="12"/>
  <c r="L124" i="12"/>
  <c r="Q68" i="12"/>
  <c r="R68" i="12" s="1"/>
  <c r="K108" i="12"/>
  <c r="K114" i="12" s="1"/>
  <c r="Q86" i="12"/>
  <c r="L93" i="12"/>
  <c r="J108" i="12"/>
  <c r="J114" i="12" s="1"/>
  <c r="P86" i="12"/>
  <c r="L97" i="12"/>
  <c r="J143" i="12"/>
  <c r="L120" i="12"/>
  <c r="J73" i="11"/>
  <c r="S111" i="11"/>
  <c r="S112" i="11"/>
  <c r="T112" i="11"/>
  <c r="R116" i="11"/>
  <c r="T111" i="11"/>
  <c r="T105" i="11" s="1"/>
  <c r="T115" i="11" s="1"/>
  <c r="R105" i="11"/>
  <c r="R115" i="11" s="1"/>
  <c r="AG78" i="11"/>
  <c r="N112" i="11"/>
  <c r="N111" i="11"/>
  <c r="N105" i="11" s="1"/>
  <c r="N115" i="11" s="1"/>
  <c r="K112" i="11"/>
  <c r="K111" i="11"/>
  <c r="P100" i="11"/>
  <c r="P112" i="11"/>
  <c r="P116" i="11" s="1"/>
  <c r="O112" i="11"/>
  <c r="O111" i="11"/>
  <c r="Q99" i="11"/>
  <c r="Q100" i="11" s="1"/>
  <c r="U100" i="11"/>
  <c r="U111" i="11"/>
  <c r="U112" i="11"/>
  <c r="M105" i="11"/>
  <c r="M115" i="11" s="1"/>
  <c r="M116" i="11"/>
  <c r="P105" i="11"/>
  <c r="P115" i="11" s="1"/>
  <c r="L100" i="11"/>
  <c r="L111" i="11"/>
  <c r="L112" i="11"/>
  <c r="P80" i="1"/>
  <c r="J79" i="1"/>
  <c r="J93" i="1" s="1"/>
  <c r="J72" i="1"/>
  <c r="J73" i="1" s="1"/>
  <c r="P77" i="1" s="1"/>
  <c r="P86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J103" i="12" l="1"/>
  <c r="J104" i="12" s="1"/>
  <c r="J109" i="12" s="1"/>
  <c r="K147" i="12"/>
  <c r="K136" i="12"/>
  <c r="Q83" i="12"/>
  <c r="K132" i="12"/>
  <c r="Q58" i="12"/>
  <c r="J106" i="12"/>
  <c r="J112" i="12" s="1"/>
  <c r="J115" i="12"/>
  <c r="P84" i="12" s="1"/>
  <c r="P80" i="12" s="1"/>
  <c r="L117" i="12"/>
  <c r="R86" i="12"/>
  <c r="L108" i="12"/>
  <c r="J105" i="12"/>
  <c r="J148" i="12" s="1"/>
  <c r="L102" i="12"/>
  <c r="K105" i="12"/>
  <c r="Q69" i="12" s="1"/>
  <c r="Q93" i="12" s="1"/>
  <c r="L121" i="12"/>
  <c r="L103" i="12"/>
  <c r="P54" i="12"/>
  <c r="L143" i="12"/>
  <c r="R54" i="12" s="1"/>
  <c r="P78" i="12"/>
  <c r="J123" i="12"/>
  <c r="J127" i="12" s="1"/>
  <c r="L127" i="12" s="1"/>
  <c r="P66" i="12"/>
  <c r="S116" i="11"/>
  <c r="S105" i="11"/>
  <c r="S115" i="11" s="1"/>
  <c r="J81" i="11"/>
  <c r="J85" i="11"/>
  <c r="AF69" i="11" s="1"/>
  <c r="N116" i="11"/>
  <c r="N117" i="11" s="1"/>
  <c r="T116" i="11"/>
  <c r="T117" i="11" s="1"/>
  <c r="R117" i="11"/>
  <c r="K116" i="11"/>
  <c r="K105" i="11"/>
  <c r="K115" i="11" s="1"/>
  <c r="O116" i="11"/>
  <c r="O105" i="11"/>
  <c r="O115" i="11" s="1"/>
  <c r="Q111" i="11"/>
  <c r="Q105" i="11" s="1"/>
  <c r="Q115" i="11" s="1"/>
  <c r="Q112" i="11"/>
  <c r="M117" i="11"/>
  <c r="U116" i="11"/>
  <c r="U105" i="11"/>
  <c r="U115" i="11" s="1"/>
  <c r="L105" i="11"/>
  <c r="L116" i="11"/>
  <c r="P117" i="11"/>
  <c r="AE58" i="11"/>
  <c r="AE82" i="11"/>
  <c r="AF79" i="11"/>
  <c r="J74" i="11"/>
  <c r="J75" i="11" s="1"/>
  <c r="AE69" i="11"/>
  <c r="Q80" i="1"/>
  <c r="K79" i="1"/>
  <c r="K93" i="1" s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J145" i="12" l="1"/>
  <c r="P56" i="12" s="1"/>
  <c r="J131" i="12"/>
  <c r="J152" i="12"/>
  <c r="P63" i="12" s="1"/>
  <c r="J147" i="12"/>
  <c r="P58" i="12" s="1"/>
  <c r="J136" i="12"/>
  <c r="L136" i="12" s="1"/>
  <c r="P81" i="12"/>
  <c r="L114" i="12"/>
  <c r="P83" i="12"/>
  <c r="R83" i="12" s="1"/>
  <c r="J132" i="12"/>
  <c r="L132" i="12" s="1"/>
  <c r="L105" i="12"/>
  <c r="P69" i="12"/>
  <c r="P93" i="12" s="1"/>
  <c r="R93" i="12" s="1"/>
  <c r="K104" i="12"/>
  <c r="Q78" i="12"/>
  <c r="L123" i="12"/>
  <c r="Q66" i="12"/>
  <c r="R66" i="12" s="1"/>
  <c r="P59" i="12"/>
  <c r="K148" i="12"/>
  <c r="J128" i="12"/>
  <c r="J126" i="12"/>
  <c r="K94" i="1"/>
  <c r="L94" i="1" s="1"/>
  <c r="L93" i="1"/>
  <c r="S117" i="11"/>
  <c r="J76" i="11"/>
  <c r="J79" i="11" s="1"/>
  <c r="J93" i="11" s="1"/>
  <c r="K117" i="11"/>
  <c r="U117" i="11"/>
  <c r="O117" i="11"/>
  <c r="Q116" i="11"/>
  <c r="Q117" i="11" s="1"/>
  <c r="AE57" i="11"/>
  <c r="L115" i="11"/>
  <c r="L117" i="11" s="1"/>
  <c r="AG58" i="11"/>
  <c r="AF85" i="11"/>
  <c r="AG69" i="11"/>
  <c r="AE79" i="11"/>
  <c r="AG79" i="11" s="1"/>
  <c r="AE65" i="11"/>
  <c r="AE60" i="11"/>
  <c r="J83" i="11"/>
  <c r="J104" i="11" s="1"/>
  <c r="AG60" i="11"/>
  <c r="R68" i="1"/>
  <c r="R80" i="1"/>
  <c r="R77" i="1"/>
  <c r="L79" i="1"/>
  <c r="K112" i="1"/>
  <c r="Q63" i="1" s="1"/>
  <c r="L107" i="1"/>
  <c r="R58" i="1" s="1"/>
  <c r="Q86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8" i="1" s="1"/>
  <c r="J95" i="11" l="1"/>
  <c r="J137" i="12"/>
  <c r="G137" i="12"/>
  <c r="J133" i="12"/>
  <c r="J149" i="12"/>
  <c r="L104" i="12"/>
  <c r="K109" i="12"/>
  <c r="P79" i="12"/>
  <c r="L147" i="12"/>
  <c r="R58" i="12" s="1"/>
  <c r="R69" i="12"/>
  <c r="K126" i="12"/>
  <c r="G133" i="12" s="1"/>
  <c r="K128" i="12"/>
  <c r="R89" i="12"/>
  <c r="R78" i="12"/>
  <c r="Q59" i="12"/>
  <c r="L148" i="12"/>
  <c r="R59" i="12" s="1"/>
  <c r="J129" i="12"/>
  <c r="P70" i="12"/>
  <c r="J142" i="12"/>
  <c r="J94" i="11"/>
  <c r="J122" i="11"/>
  <c r="J80" i="11"/>
  <c r="J113" i="11"/>
  <c r="AF65" i="11" s="1"/>
  <c r="J108" i="1"/>
  <c r="AE56" i="11"/>
  <c r="J84" i="11"/>
  <c r="J78" i="11"/>
  <c r="J128" i="11" s="1"/>
  <c r="AE85" i="11"/>
  <c r="AG85" i="11" s="1"/>
  <c r="AG65" i="11"/>
  <c r="R86" i="1"/>
  <c r="R67" i="1"/>
  <c r="L112" i="1"/>
  <c r="R63" i="1" s="1"/>
  <c r="K75" i="1"/>
  <c r="K84" i="1" s="1"/>
  <c r="L81" i="1"/>
  <c r="L85" i="1"/>
  <c r="J77" i="1"/>
  <c r="P78" i="1"/>
  <c r="K103" i="1"/>
  <c r="L83" i="1"/>
  <c r="J90" i="1"/>
  <c r="J111" i="1"/>
  <c r="P62" i="1" s="1"/>
  <c r="J99" i="1"/>
  <c r="J97" i="1"/>
  <c r="L128" i="12" l="1"/>
  <c r="K137" i="12"/>
  <c r="L137" i="12" s="1"/>
  <c r="L126" i="12"/>
  <c r="K133" i="12"/>
  <c r="K115" i="12"/>
  <c r="K106" i="12"/>
  <c r="L109" i="12"/>
  <c r="Q70" i="12"/>
  <c r="R70" i="12" s="1"/>
  <c r="K142" i="12"/>
  <c r="Q53" i="12" s="1"/>
  <c r="K129" i="12"/>
  <c r="Q71" i="12" s="1"/>
  <c r="K149" i="12"/>
  <c r="Q60" i="12" s="1"/>
  <c r="K125" i="12"/>
  <c r="L125" i="12" s="1"/>
  <c r="J135" i="12"/>
  <c r="J134" i="12"/>
  <c r="J154" i="12"/>
  <c r="P53" i="12"/>
  <c r="P60" i="12"/>
  <c r="P71" i="12"/>
  <c r="P70" i="1"/>
  <c r="J91" i="1"/>
  <c r="P71" i="1" s="1"/>
  <c r="J106" i="11"/>
  <c r="AF58" i="11" s="1"/>
  <c r="AF82" i="11"/>
  <c r="AG82" i="11" s="1"/>
  <c r="J108" i="11"/>
  <c r="AF60" i="11" s="1"/>
  <c r="J109" i="11"/>
  <c r="AF56" i="11"/>
  <c r="AG56" i="11"/>
  <c r="AF71" i="11"/>
  <c r="J86" i="11"/>
  <c r="AF68" i="11"/>
  <c r="AE71" i="11"/>
  <c r="AE87" i="11" s="1"/>
  <c r="AF80" i="11"/>
  <c r="J77" i="11"/>
  <c r="K76" i="1"/>
  <c r="Q78" i="1" s="1"/>
  <c r="L75" i="1"/>
  <c r="K78" i="1"/>
  <c r="Q69" i="1" s="1"/>
  <c r="P87" i="1"/>
  <c r="P79" i="1"/>
  <c r="L103" i="1"/>
  <c r="R54" i="1" s="1"/>
  <c r="Q54" i="1"/>
  <c r="K108" i="1"/>
  <c r="Q59" i="1" s="1"/>
  <c r="P59" i="1"/>
  <c r="J102" i="1"/>
  <c r="J109" i="1"/>
  <c r="L84" i="1"/>
  <c r="Q66" i="1"/>
  <c r="K86" i="1"/>
  <c r="Q84" i="12" l="1"/>
  <c r="L115" i="12"/>
  <c r="K112" i="12"/>
  <c r="L106" i="12"/>
  <c r="L129" i="12"/>
  <c r="L142" i="12"/>
  <c r="R53" i="12" s="1"/>
  <c r="R71" i="12"/>
  <c r="K135" i="12"/>
  <c r="L135" i="12" s="1"/>
  <c r="K134" i="12"/>
  <c r="L133" i="12"/>
  <c r="L149" i="12"/>
  <c r="R60" i="12" s="1"/>
  <c r="P49" i="12"/>
  <c r="J138" i="12"/>
  <c r="J151" i="12" s="1"/>
  <c r="J90" i="11"/>
  <c r="J89" i="11"/>
  <c r="J96" i="11" s="1"/>
  <c r="J97" i="11" s="1"/>
  <c r="AE68" i="11"/>
  <c r="AG68" i="11" s="1"/>
  <c r="AE80" i="11"/>
  <c r="AG80" i="11" s="1"/>
  <c r="AF87" i="11"/>
  <c r="AG87" i="11" s="1"/>
  <c r="AG71" i="11"/>
  <c r="AF86" i="11"/>
  <c r="AF81" i="11"/>
  <c r="R66" i="1"/>
  <c r="Q87" i="1"/>
  <c r="K77" i="1"/>
  <c r="L77" i="1" s="1"/>
  <c r="Q79" i="1"/>
  <c r="R78" i="1"/>
  <c r="L76" i="1"/>
  <c r="L78" i="1"/>
  <c r="R69" i="1"/>
  <c r="Q88" i="1"/>
  <c r="L108" i="1"/>
  <c r="R59" i="1" s="1"/>
  <c r="J115" i="1"/>
  <c r="P50" i="1" s="1"/>
  <c r="P60" i="1"/>
  <c r="P90" i="1" s="1"/>
  <c r="J114" i="1"/>
  <c r="P49" i="1" s="1"/>
  <c r="P53" i="1"/>
  <c r="K89" i="1"/>
  <c r="K95" i="1" s="1"/>
  <c r="L86" i="1"/>
  <c r="K90" i="1"/>
  <c r="K91" i="1" s="1"/>
  <c r="K145" i="12" l="1"/>
  <c r="K131" i="12"/>
  <c r="L131" i="12" s="1"/>
  <c r="K152" i="12"/>
  <c r="Q81" i="12"/>
  <c r="L112" i="12"/>
  <c r="Q63" i="12"/>
  <c r="L152" i="12"/>
  <c r="R63" i="12" s="1"/>
  <c r="Q80" i="12"/>
  <c r="R80" i="12" s="1"/>
  <c r="R84" i="12"/>
  <c r="K138" i="12"/>
  <c r="L134" i="12"/>
  <c r="J150" i="12"/>
  <c r="J139" i="12"/>
  <c r="J91" i="11"/>
  <c r="J121" i="11" s="1"/>
  <c r="J110" i="11"/>
  <c r="J103" i="11"/>
  <c r="AF72" i="11"/>
  <c r="AE61" i="11"/>
  <c r="J88" i="11"/>
  <c r="AE86" i="11"/>
  <c r="AG86" i="11" s="1"/>
  <c r="AE81" i="11"/>
  <c r="AG81" i="11" s="1"/>
  <c r="R87" i="1"/>
  <c r="R79" i="1"/>
  <c r="R88" i="1"/>
  <c r="J116" i="1"/>
  <c r="L90" i="1"/>
  <c r="Q70" i="1"/>
  <c r="K102" i="1"/>
  <c r="K109" i="1"/>
  <c r="K88" i="1"/>
  <c r="L88" i="1" s="1"/>
  <c r="L89" i="1"/>
  <c r="K139" i="12" l="1"/>
  <c r="L139" i="12" s="1"/>
  <c r="K151" i="12"/>
  <c r="Q62" i="12" s="1"/>
  <c r="Q56" i="12"/>
  <c r="L145" i="12"/>
  <c r="R56" i="12" s="1"/>
  <c r="Q79" i="12"/>
  <c r="R79" i="12" s="1"/>
  <c r="R81" i="12"/>
  <c r="L138" i="12"/>
  <c r="K150" i="12"/>
  <c r="L150" i="12" s="1"/>
  <c r="R61" i="12" s="1"/>
  <c r="P62" i="12"/>
  <c r="P61" i="12"/>
  <c r="J155" i="12"/>
  <c r="AE63" i="11"/>
  <c r="AF61" i="11"/>
  <c r="AG61" i="11"/>
  <c r="AE73" i="11"/>
  <c r="AG55" i="11"/>
  <c r="AE72" i="11"/>
  <c r="AG72" i="11" s="1"/>
  <c r="AF73" i="11"/>
  <c r="AF55" i="11"/>
  <c r="AF62" i="11"/>
  <c r="J98" i="11"/>
  <c r="R70" i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K155" i="12" l="1"/>
  <c r="Q50" i="12" s="1"/>
  <c r="K144" i="12"/>
  <c r="Q55" i="12" s="1"/>
  <c r="Q61" i="12"/>
  <c r="L151" i="12"/>
  <c r="R62" i="12" s="1"/>
  <c r="P95" i="12"/>
  <c r="P50" i="12"/>
  <c r="J156" i="12"/>
  <c r="AE64" i="11"/>
  <c r="J99" i="11"/>
  <c r="AE62" i="11"/>
  <c r="AE52" i="11"/>
  <c r="AG73" i="11"/>
  <c r="AG62" i="11"/>
  <c r="AE55" i="11"/>
  <c r="K98" i="1"/>
  <c r="R71" i="1"/>
  <c r="L96" i="1"/>
  <c r="Q95" i="12" l="1"/>
  <c r="R95" i="12" s="1"/>
  <c r="L155" i="12"/>
  <c r="R50" i="12" s="1"/>
  <c r="K154" i="12"/>
  <c r="Q49" i="12" s="1"/>
  <c r="L144" i="12"/>
  <c r="R55" i="12" s="1"/>
  <c r="P51" i="12"/>
  <c r="AE89" i="11"/>
  <c r="J100" i="11"/>
  <c r="J112" i="11"/>
  <c r="J111" i="11"/>
  <c r="AE53" i="11"/>
  <c r="AE51" i="11"/>
  <c r="L98" i="1"/>
  <c r="K99" i="1"/>
  <c r="L99" i="1" s="1"/>
  <c r="K110" i="1"/>
  <c r="Q61" i="1" s="1"/>
  <c r="K111" i="1"/>
  <c r="K156" i="12" l="1"/>
  <c r="Q51" i="12" s="1"/>
  <c r="L154" i="12"/>
  <c r="R49" i="12" s="1"/>
  <c r="AF63" i="11"/>
  <c r="AG63" i="11"/>
  <c r="J105" i="11"/>
  <c r="J116" i="11"/>
  <c r="AF64" i="11"/>
  <c r="AG64" i="11"/>
  <c r="L111" i="1"/>
  <c r="R62" i="1" s="1"/>
  <c r="Q62" i="1"/>
  <c r="L110" i="1"/>
  <c r="R61" i="1" s="1"/>
  <c r="K104" i="1"/>
  <c r="Q55" i="1" s="1"/>
  <c r="K115" i="1"/>
  <c r="L156" i="12" l="1"/>
  <c r="R51" i="12" s="1"/>
  <c r="AG52" i="11"/>
  <c r="AF52" i="11"/>
  <c r="AG57" i="11"/>
  <c r="AF57" i="11"/>
  <c r="J115" i="11"/>
  <c r="AF89" i="11"/>
  <c r="AG89" i="11" s="1"/>
  <c r="Q90" i="1"/>
  <c r="R90" i="1" s="1"/>
  <c r="L115" i="1"/>
  <c r="R50" i="1" s="1"/>
  <c r="Q50" i="1"/>
  <c r="K114" i="1"/>
  <c r="Q49" i="1" s="1"/>
  <c r="L104" i="1"/>
  <c r="R55" i="1" s="1"/>
  <c r="J117" i="11" l="1"/>
  <c r="J120" i="11" s="1"/>
  <c r="AG51" i="11"/>
  <c r="AF51" i="11"/>
  <c r="L114" i="1"/>
  <c r="R49" i="1" s="1"/>
  <c r="K116" i="1"/>
  <c r="Q51" i="1" s="1"/>
  <c r="AF53" i="11" l="1"/>
  <c r="AG53" i="11"/>
  <c r="L116" i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9" authorId="0" shapeId="0" xr:uid="{0235EB0A-1924-4905-8FB4-DF37FAAC61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0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8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3" authorId="0" shapeId="0" xr:uid="{855CB3BC-8157-4FCA-8936-7A86AB213DE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0" authorId="0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8" authorId="0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9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4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0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1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H97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98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133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38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6" authorId="0" shapeId="0" xr:uid="{24D7EB09-E685-46F7-AC91-A3FC2C9BB9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Denne tonnage ligger fast, dvs. mængden skal afbrændes i den pågældende måned.</t>
        </r>
      </text>
    </comment>
    <comment ref="H7" authorId="0" shapeId="0" xr:uid="{BAE2A4F9-51A6-4424-B5D7-29C10901E4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8" authorId="0" shapeId="0" xr:uid="{66843D03-B08F-465B-A301-A0669EB3A65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13" authorId="0" shapeId="0" xr:uid="{92473D5D-7359-495D-963A-5C7217C47F7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2" authorId="0" shapeId="0" xr:uid="{EF9D517D-E880-41FC-8342-B1708E01EE7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7" authorId="0" shapeId="0" xr:uid="{237C4E21-54F6-4598-A653-0A5DC891F29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28" authorId="0" shapeId="0" xr:uid="{97747213-2C9B-48DC-8156-B92B084828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43" authorId="0" shapeId="0" xr:uid="{4CB677D0-B670-452C-9232-B4FAF32454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44" authorId="0" shapeId="0" xr:uid="{6AE30B97-927D-44C5-97FD-5857FA3064C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45" authorId="0" shapeId="0" xr:uid="{EB7840DF-0173-4028-89D0-4C665A84C65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46" authorId="0" shapeId="0" xr:uid="{AE7FE634-570B-4803-854E-70BD3B3B46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47" authorId="0" shapeId="0" xr:uid="{A9519F75-FED9-49AE-B28B-2692C49EFA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50" authorId="0" shapeId="0" xr:uid="{13319115-2FA1-4CEB-A4F8-A648CB87CA8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1" authorId="0" shapeId="0" xr:uid="{A6477C5D-B1EA-4709-A579-69C20567AE6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2" authorId="0" shapeId="0" xr:uid="{1BE7FFA4-2B57-495E-BD4A-7E50396941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3" authorId="0" shapeId="0" xr:uid="{47A11DFF-8F11-420E-A776-7114AFC2859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4" authorId="0" shapeId="0" xr:uid="{E2CBAC6E-A1B3-4F2B-91AC-47D88BA422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0809D7D5-EEB6-47B2-BCEA-3187D84E309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6C79A2E9-5C2A-4B12-A307-D92BD02F27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J96" authorId="0" shapeId="0" xr:uid="{35944CB2-93CC-4104-A43C-92622984A4B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J99" authorId="0" shapeId="0" xr:uid="{C33DC7EB-36C2-497D-9768-C7E4139FA35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H121" authorId="0" shapeId="0" xr:uid="{064554AD-25CF-4C0B-9093-18D08B29ECA1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H122" authorId="0" shapeId="0" xr:uid="{98BFD696-F71C-4B71-A2AF-7DDD30EBE5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H123" authorId="0" shapeId="0" xr:uid="{CCBC0C39-9950-4CD2-B51C-6104DFE6CF2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H124" authorId="0" shapeId="0" xr:uid="{A97E4654-BAF3-4F5A-A586-8F94940FD0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H125" authorId="0" shapeId="0" xr:uid="{476CEB3A-90F3-4A1D-B7F5-C5C781D8720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sum(mo, Ffri(mo)) - MindsteÅrsmængde &gt; 0</t>
        </r>
      </text>
    </comment>
    <comment ref="H126" authorId="0" shapeId="0" xr:uid="{DB074E5D-F04C-440B-81F3-5C2087404F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StørsteÅrsmængde &gt; sum(mo, Ffri(mo)) </t>
        </r>
      </text>
    </comment>
    <comment ref="H127" authorId="0" shapeId="0" xr:uid="{173209EA-FE50-42D3-B8C1-80B908B9211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<sst xmlns="http://schemas.openxmlformats.org/spreadsheetml/2006/main" count="1455" uniqueCount="410">
  <si>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</si>
  <si>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</si>
  <si>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</si>
  <si>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</si>
  <si>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</si>
  <si>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</si>
  <si>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</si>
  <si>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</si>
  <si>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</si>
  <si>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</si>
  <si>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</si>
  <si>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</si>
  <si>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</si>
  <si>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</si>
  <si>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</si>
  <si>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</si>
  <si>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</si>
  <si>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Bioaffald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</si>
  <si>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</si>
  <si>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</si>
  <si>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</si>
  <si>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</si>
  <si>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</si>
  <si>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</si>
  <si>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</si>
  <si>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</si>
  <si>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</si>
  <si>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</si>
  <si>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</si>
  <si>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</si>
  <si>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</si>
  <si>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</si>
  <si>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</si>
  <si>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</si>
  <si>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</si>
  <si>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</si>
  <si>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</si>
  <si>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</si>
  <si>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</si>
  <si>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</si>
  <si>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</si>
  <si>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</si>
  <si>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</si>
  <si>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</si>
  <si>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</si>
  <si>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</si>
  <si>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</si>
  <si>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</si>
  <si>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</si>
  <si>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</si>
  <si>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</si>
  <si>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</si>
  <si>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</si>
  <si>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</si>
  <si>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</si>
  <si>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</si>
  <si>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</si>
  <si>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</si>
  <si>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</si>
  <si>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</si>
  <si>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</si>
  <si>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</si>
  <si>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</si>
  <si>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</si>
  <si>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</si>
  <si>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</si>
  <si>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</si>
  <si>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</si>
  <si>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</si>
  <si>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</si>
  <si>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</si>
  <si>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</si>
  <si>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</si>
  <si>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</si>
  <si>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</si>
  <si>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</si>
  <si>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</si>
  <si>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</si>
  <si>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</si>
  <si>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</si>
  <si>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</si>
  <si>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</si>
  <si>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</si>
  <si>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</si>
  <si>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</si>
  <si>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</si>
  <si>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</si>
  <si>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</si>
  <si>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</si>
  <si>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</si>
  <si>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</si>
  <si>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</si>
  <si>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</si>
  <si>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</si>
  <si>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</si>
  <si>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</si>
  <si>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</si>
  <si>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</si>
  <si>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</si>
  <si>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</si>
  <si>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</si>
  <si>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</si>
  <si>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</si>
  <si>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</si>
  <si>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</si>
  <si>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</si>
  <si>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</si>
  <si>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</si>
  <si>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</si>
  <si>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</si>
  <si>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</si>
  <si>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</si>
  <si>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</si>
  <si>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</si>
  <si>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</si>
  <si>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</si>
  <si>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</si>
  <si>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</si>
  <si>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</si>
  <si>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</si>
  <si>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</si>
  <si>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</si>
  <si>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</si>
  <si>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</si>
  <si>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</si>
  <si>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</si>
  <si>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</si>
  <si>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</si>
  <si>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</si>
  <si>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</si>
  <si>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</si>
  <si>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</si>
  <si>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</si>
  <si>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</si>
  <si>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</si>
  <si>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</si>
  <si>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</si>
  <si>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</si>
  <si>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</si>
  <si>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</si>
  <si>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</si>
  <si>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</si>
  <si>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</si>
  <si>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</si>
  <si>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</si>
  <si>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</si>
  <si>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</si>
  <si>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</si>
  <si>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</si>
  <si>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</si>
  <si>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</si>
  <si>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</si>
  <si>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</si>
  <si>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</si>
  <si>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</si>
  <si>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</si>
  <si>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</si>
  <si>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</si>
  <si>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</si>
  <si>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</si>
  <si>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</si>
  <si>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</si>
  <si>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</si>
  <si>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</si>
  <si>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</si>
  <si>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</si>
  <si>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</si>
  <si>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</si>
  <si>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</si>
  <si>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</si>
  <si>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</si>
  <si>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</si>
  <si>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</si>
  <si>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</si>
  <si>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</si>
  <si>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</si>
  <si>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</si>
  <si>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</si>
  <si>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</si>
  <si>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</si>
  <si>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</si>
  <si>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</si>
  <si>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</si>
  <si>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</si>
  <si>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</si>
  <si>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</si>
  <si>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</si>
  <si>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</si>
  <si>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</si>
  <si>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</si>
  <si>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</si>
  <si>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</si>
  <si>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</si>
  <si>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</si>
  <si>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</si>
  <si>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</si>
  <si>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</si>
  <si>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</si>
  <si>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</si>
  <si>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</si>
  <si>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</si>
  <si>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</si>
  <si>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</si>
  <si>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</si>
  <si>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</si>
  <si>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</si>
  <si>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</si>
  <si>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</si>
  <si>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</si>
  <si>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</si>
  <si>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</si>
  <si>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</si>
  <si>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</si>
  <si>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</si>
  <si>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</si>
  <si>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</si>
  <si>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</si>
  <si>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</si>
  <si>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</si>
  <si>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</si>
  <si>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</si>
  <si>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</si>
  <si>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</si>
  <si>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</si>
  <si>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</si>
  <si>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</si>
  <si>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</si>
  <si>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</si>
  <si>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</si>
  <si>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</si>
  <si>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</si>
  <si>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</si>
  <si>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</si>
  <si>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</si>
  <si>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</si>
  <si>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</si>
  <si>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</si>
  <si>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Med 100% RGK</t>
  </si>
  <si>
    <t>Med 5% RGK</t>
  </si>
  <si>
    <t>Med 10% RGK</t>
  </si>
  <si>
    <t>Med 15% RGK</t>
  </si>
  <si>
    <t>Med 20% RGK</t>
  </si>
  <si>
    <t>Med 25% RGK</t>
  </si>
  <si>
    <t>Med 30% RGK</t>
  </si>
  <si>
    <t>Med 35% RGK</t>
  </si>
  <si>
    <t>Med 40% RGK</t>
  </si>
  <si>
    <t>Med 45% RGK</t>
  </si>
  <si>
    <t>Med 50% RGK</t>
  </si>
  <si>
    <t>Med 55% RGK</t>
  </si>
  <si>
    <t>Med 60% RGK</t>
  </si>
  <si>
    <t>Med 65% RGK</t>
  </si>
  <si>
    <t>Med 70% RGK</t>
  </si>
  <si>
    <t>Med 75% RGK</t>
  </si>
  <si>
    <t>Med 80% RGK</t>
  </si>
  <si>
    <t>Med 85% RGK</t>
  </si>
  <si>
    <t>Med 90% RGK</t>
  </si>
  <si>
    <t>Med 95% RGK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</si>
  <si>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</si>
  <si>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</si>
  <si>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</si>
  <si>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</si>
  <si>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</si>
  <si>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Scenarie-beskrivelse:</t>
  </si>
  <si>
    <t>Varierende RGK-udnyttelse</t>
  </si>
  <si>
    <t>Rådige døgn Ovn2</t>
  </si>
  <si>
    <t>Rådige døgn Ovn3</t>
  </si>
  <si>
    <t>dage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</si>
  <si>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</si>
  <si>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</si>
  <si>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</si>
  <si>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</si>
  <si>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</si>
  <si>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</si>
  <si>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</si>
  <si>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</si>
  <si>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</si>
  <si>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</si>
  <si>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</si>
  <si>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</si>
  <si>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Htotal</t>
  </si>
  <si>
    <t>Biogent</t>
  </si>
  <si>
    <t>DV-omkostnings sats</t>
  </si>
  <si>
    <t>Ftotal</t>
  </si>
  <si>
    <t>Ptotal</t>
  </si>
  <si>
    <t>Antal dage</t>
  </si>
  <si>
    <t>BiogenAndel</t>
  </si>
  <si>
    <t>Brændværdi fri fossil fraktion</t>
  </si>
  <si>
    <t>Modtagepris fri fossil fraktion</t>
  </si>
  <si>
    <t>ton/år</t>
  </si>
  <si>
    <t>Priser og afgifter</t>
  </si>
  <si>
    <t>Fri fossil</t>
  </si>
  <si>
    <t>Fast fossil</t>
  </si>
  <si>
    <t>Mindste årsmængde</t>
  </si>
  <si>
    <t>Største årsmøngde</t>
  </si>
  <si>
    <t xml:space="preserve"> RESTRIKTIONER</t>
  </si>
  <si>
    <t>SR-varmeproduktionspris</t>
  </si>
  <si>
    <t>Fast fossil andel</t>
  </si>
  <si>
    <t>Fri fossil andel</t>
  </si>
  <si>
    <t>Forbrugt fossilt affald fast</t>
  </si>
  <si>
    <t>Forbrugt fossilt affald fri</t>
  </si>
  <si>
    <t>NPV (Objective)</t>
  </si>
  <si>
    <t>tkr/år</t>
  </si>
  <si>
    <t>FriFossil</t>
  </si>
  <si>
    <t>FastFossil</t>
  </si>
  <si>
    <t>Leveret affaldsvarme</t>
  </si>
  <si>
    <t>Med RGK ift.Uden RGK</t>
  </si>
  <si>
    <t>Heraf modtryksvarme</t>
  </si>
  <si>
    <t>EQ_Qdemand</t>
  </si>
  <si>
    <t xml:space="preserve">GE_MaxBiogenTonnage </t>
  </si>
  <si>
    <t>GE_MaxModtryksvarme_Ovn2</t>
  </si>
  <si>
    <t>GE_MaxModtryksvarme_Ovn3</t>
  </si>
  <si>
    <t>Input-parametre</t>
  </si>
  <si>
    <t>Modelstyring</t>
  </si>
  <si>
    <t>Optimering eller Konsekvens</t>
  </si>
  <si>
    <t>NordicSugar varme maksimum</t>
  </si>
  <si>
    <t>GE_NSvarme</t>
  </si>
  <si>
    <t xml:space="preserve">GE_FossilFriMax </t>
  </si>
  <si>
    <t>GE_FossilFriMin</t>
  </si>
  <si>
    <t>Optimeringsvariable</t>
  </si>
  <si>
    <t>NS-varme forbrugt</t>
  </si>
  <si>
    <t>RGK aktiv</t>
  </si>
  <si>
    <t>0/1</t>
  </si>
  <si>
    <t>GE_Cool</t>
  </si>
  <si>
    <t>HERTIL</t>
  </si>
  <si>
    <t>Bortkølet affaldsvarme</t>
  </si>
  <si>
    <t>=MIN(J64;EtaQNomOvn3*J60*J26/3,6;24*EtaQNomOvn3*KapQcool)</t>
  </si>
  <si>
    <t>=MIN(J63;EtaQNomOvn3*J67*J26/3,6;24*$E$11*KapQcool-J65)</t>
  </si>
  <si>
    <t>=J49+J65</t>
  </si>
  <si>
    <t xml:space="preserve">Aktiv måned </t>
  </si>
  <si>
    <t>Affaldsforbrug Biogen Fri Ovn3</t>
  </si>
  <si>
    <t>Affaldsforbrug Biogen Fri Ovn2</t>
  </si>
  <si>
    <t>Ftotal Ovn2</t>
  </si>
  <si>
    <t>Ftotal Ovn3</t>
  </si>
  <si>
    <t>EtaQmaxOvn3</t>
  </si>
  <si>
    <t>EtaQmaxOvn2</t>
  </si>
  <si>
    <t>NordicSugar varme max.</t>
  </si>
  <si>
    <t>Forklaring til mellemregningceller:</t>
  </si>
  <si>
    <t>Her beregnes Ovn2 max. varmeprod. baseret på FossilFast fraktion</t>
  </si>
  <si>
    <t>FossilFri før Biogen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</si>
  <si>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</si>
  <si>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</si>
  <si>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</si>
  <si>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</si>
  <si>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</si>
  <si>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</si>
  <si>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</si>
  <si>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</si>
  <si>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</si>
  <si>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</si>
  <si>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</si>
  <si>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</si>
  <si>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</si>
  <si>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</si>
  <si>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</si>
  <si>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</si>
  <si>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</si>
  <si>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</si>
  <si>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</si>
  <si>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</si>
  <si>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</si>
  <si>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</si>
  <si>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</si>
  <si>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</si>
  <si>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</si>
  <si>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</si>
  <si>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</si>
  <si>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</si>
  <si>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</si>
  <si>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</si>
  <si>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</si>
  <si>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</si>
  <si>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</si>
  <si>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</si>
  <si>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</si>
  <si>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Udnyttet tonnage FossilFast</t>
  </si>
  <si>
    <t>Udnyttet tonnage FossilFri</t>
  </si>
  <si>
    <t>Udnyttet tonnage BiogenFri</t>
  </si>
  <si>
    <t>Ikke-udnyttet tonnage FossilFast</t>
  </si>
  <si>
    <t>Ikke-udnyttet tonnage fossilFri</t>
  </si>
  <si>
    <t>Ikke-udnyttet tonnage BiogenFri</t>
  </si>
  <si>
    <t>Effekt</t>
  </si>
  <si>
    <t>Biogent udnyttet</t>
  </si>
  <si>
    <t>Frit Fossilt udnyttet</t>
  </si>
  <si>
    <t>Fast Fossilt udnyttet</t>
  </si>
  <si>
    <t>Fast Fossilt ikke-udnyttet</t>
  </si>
  <si>
    <t>Frit Fossilt ikke-udnyttet</t>
  </si>
  <si>
    <t>Biogent ikke-udnyttet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</si>
  <si>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</si>
  <si>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</si>
  <si>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</si>
  <si>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</si>
  <si>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</si>
  <si>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</si>
  <si>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</si>
  <si>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</si>
  <si>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</si>
  <si>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</si>
  <si>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</si>
  <si>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</si>
  <si>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Driftsdage</t>
  </si>
  <si>
    <t>Affaldstonnage Fast Fossil</t>
  </si>
  <si>
    <t>Affaldsforbrug Fast Fossil Ovn2</t>
  </si>
  <si>
    <t>Affaldsforbrug Fast Fossil Ovn3</t>
  </si>
  <si>
    <t>Affaldstonnage Fri Fossil</t>
  </si>
  <si>
    <t>Affaldsforbrug Fri Fossil Ovn2</t>
  </si>
  <si>
    <t>Affaldsforbrug Fri Fossil Ovn3</t>
  </si>
  <si>
    <t>Ovn3 udnyttelse</t>
  </si>
  <si>
    <t>Ovn2 udnyttelse</t>
  </si>
  <si>
    <t>Ovn2 udnyttelse efter køling</t>
  </si>
  <si>
    <t>Ovn3 udnyttelse efter køling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</si>
</sst>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  <xf numFmtId="0" fontId="19" fillId="14" borderId="0" applyNumberFormat="0" applyBorder="0" applyAlignment="0" applyProtection="0"/>
    <xf numFmtId="43" fontId="1" fillId="0" borderId="0" applyFont="0" applyFill="0" applyBorder="0" applyAlignment="0" applyProtection="0"/>
  </cellStyleXfs>
  <cellXfs count="179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3" borderId="0" xfId="0" applyFill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8" fillId="13" borderId="0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20" fillId="15" borderId="11" xfId="0" applyFont="1" applyFill="1" applyBorder="1"/>
    <xf numFmtId="0" fontId="20" fillId="15" borderId="12" xfId="0" applyFont="1" applyFill="1" applyBorder="1" applyAlignment="1">
      <alignment horizontal="left" indent="1"/>
    </xf>
    <xf numFmtId="0" fontId="20" fillId="15" borderId="12" xfId="0" applyFont="1" applyFill="1" applyBorder="1" applyAlignment="1">
      <alignment horizontal="center"/>
    </xf>
    <xf numFmtId="0" fontId="20" fillId="15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3" fontId="0" fillId="0" borderId="13" xfId="0" applyNumberFormat="1" applyFont="1" applyBorder="1"/>
    <xf numFmtId="9" fontId="0" fillId="0" borderId="12" xfId="0" applyNumberFormat="1" applyFont="1" applyBorder="1"/>
    <xf numFmtId="9" fontId="0" fillId="0" borderId="13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16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right" indent="1"/>
    </xf>
    <xf numFmtId="0" fontId="7" fillId="12" borderId="6" xfId="4" applyFill="1" applyBorder="1"/>
    <xf numFmtId="3" fontId="7" fillId="12" borderId="6" xfId="4" applyNumberFormat="1" applyFill="1" applyBorder="1"/>
    <xf numFmtId="3" fontId="7" fillId="12" borderId="6" xfId="4" applyNumberFormat="1" applyFill="1" applyBorder="1" applyAlignment="1">
      <alignment horizontal="right"/>
    </xf>
    <xf numFmtId="0" fontId="0" fillId="12" borderId="4" xfId="0" applyFill="1" applyBorder="1"/>
    <xf numFmtId="0" fontId="17" fillId="12" borderId="0" xfId="0" applyFont="1" applyFill="1"/>
    <xf numFmtId="0" fontId="0" fillId="12" borderId="17" xfId="0" applyFill="1" applyBorder="1"/>
    <xf numFmtId="0" fontId="3" fillId="0" borderId="18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9" xfId="0" applyFont="1" applyBorder="1" applyAlignment="1">
      <alignment horizontal="left"/>
    </xf>
    <xf numFmtId="0" fontId="0" fillId="0" borderId="20" xfId="0" applyBorder="1" applyAlignment="1">
      <alignment horizontal="left" indent="1"/>
    </xf>
    <xf numFmtId="0" fontId="0" fillId="0" borderId="21" xfId="0" applyBorder="1"/>
    <xf numFmtId="0" fontId="0" fillId="0" borderId="22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3" xfId="0" applyBorder="1"/>
    <xf numFmtId="0" fontId="3" fillId="0" borderId="19" xfId="0" applyFont="1" applyBorder="1" applyAlignment="1">
      <alignment horizontal="center"/>
    </xf>
    <xf numFmtId="164" fontId="2" fillId="2" borderId="0" xfId="2" applyNumberFormat="1" applyBorder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9" xfId="0" applyBorder="1"/>
    <xf numFmtId="0" fontId="0" fillId="0" borderId="2" xfId="0" applyBorder="1"/>
    <xf numFmtId="0" fontId="0" fillId="0" borderId="24" xfId="0" applyBorder="1"/>
    <xf numFmtId="0" fontId="0" fillId="0" borderId="0" xfId="0" applyFill="1" applyBorder="1"/>
    <xf numFmtId="0" fontId="3" fillId="8" borderId="0" xfId="0" applyFont="1" applyFill="1" applyAlignment="1"/>
    <xf numFmtId="166" fontId="0" fillId="0" borderId="0" xfId="0" applyNumberFormat="1" applyFont="1" applyAlignment="1"/>
    <xf numFmtId="3" fontId="0" fillId="0" borderId="0" xfId="0" applyNumberFormat="1" applyFont="1" applyAlignment="1"/>
    <xf numFmtId="0" fontId="19" fillId="14" borderId="0" xfId="5"/>
    <xf numFmtId="164" fontId="0" fillId="0" borderId="0" xfId="1" applyNumberFormat="1" applyFont="1" applyAlignment="1"/>
    <xf numFmtId="9" fontId="0" fillId="0" borderId="0" xfId="1" applyFont="1" applyBorder="1"/>
    <xf numFmtId="9" fontId="0" fillId="0" borderId="21" xfId="1" applyFont="1" applyBorder="1"/>
    <xf numFmtId="166" fontId="0" fillId="0" borderId="0" xfId="0" applyNumberFormat="1" applyBorder="1"/>
    <xf numFmtId="166" fontId="0" fillId="0" borderId="0" xfId="0" applyNumberFormat="1" applyFill="1" applyBorder="1"/>
    <xf numFmtId="166" fontId="0" fillId="0" borderId="21" xfId="0" applyNumberFormat="1" applyBorder="1"/>
    <xf numFmtId="0" fontId="3" fillId="0" borderId="2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2" borderId="1" xfId="2"/>
    <xf numFmtId="0" fontId="21" fillId="0" borderId="0" xfId="0" applyFont="1" applyBorder="1"/>
    <xf numFmtId="0" fontId="0" fillId="8" borderId="0" xfId="0" applyFill="1" applyAlignment="1">
      <alignment horizontal="left" indent="1"/>
    </xf>
    <xf numFmtId="0" fontId="3" fillId="8" borderId="0" xfId="0" applyFont="1" applyFill="1"/>
    <xf numFmtId="0" fontId="0" fillId="0" borderId="0" xfId="0" applyFill="1" applyBorder="1" applyAlignment="1">
      <alignment horizontal="left" indent="1"/>
    </xf>
    <xf numFmtId="0" fontId="0" fillId="16" borderId="0" xfId="0" applyFill="1"/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0" fontId="0" fillId="17" borderId="0" xfId="0" applyFill="1"/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3" fontId="0" fillId="0" borderId="21" xfId="0" applyNumberFormat="1" applyBorder="1"/>
    <xf numFmtId="0" fontId="0" fillId="0" borderId="20" xfId="0" applyBorder="1"/>
    <xf numFmtId="0" fontId="0" fillId="0" borderId="22" xfId="0" applyBorder="1"/>
    <xf numFmtId="0" fontId="3" fillId="8" borderId="0" xfId="0" applyFont="1" applyFill="1" applyAlignment="1">
      <alignment horizontal="left"/>
    </xf>
    <xf numFmtId="3" fontId="3" fillId="8" borderId="0" xfId="0" applyNumberFormat="1" applyFont="1" applyFill="1" applyAlignment="1">
      <alignment horizontal="center"/>
    </xf>
    <xf numFmtId="0" fontId="0" fillId="13" borderId="0" xfId="0" applyFill="1"/>
    <xf numFmtId="0" fontId="21" fillId="0" borderId="0" xfId="0" applyFont="1" applyFill="1" applyBorder="1" applyAlignment="1">
      <alignment horizontal="left" indent="1"/>
    </xf>
    <xf numFmtId="0" fontId="21" fillId="0" borderId="0" xfId="0" applyFont="1"/>
    <xf numFmtId="0" fontId="0" fillId="18" borderId="0" xfId="0" applyFill="1"/>
    <xf numFmtId="0" fontId="0" fillId="0" borderId="0" xfId="0" quotePrefix="1"/>
    <xf numFmtId="0" fontId="21" fillId="0" borderId="0" xfId="0" applyFont="1" applyAlignment="1">
      <alignment horizontal="left" indent="1"/>
    </xf>
    <xf numFmtId="0" fontId="0" fillId="0" borderId="20" xfId="0" applyFont="1" applyBorder="1" applyAlignment="1">
      <alignment horizontal="left" indent="1"/>
    </xf>
    <xf numFmtId="0" fontId="0" fillId="0" borderId="0" xfId="0" quotePrefix="1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3" fillId="8" borderId="0" xfId="0" applyFont="1" applyFill="1" applyAlignment="1">
      <alignment horizontal="left" indent="1"/>
    </xf>
    <xf numFmtId="3" fontId="2" fillId="2" borderId="1" xfId="2" applyNumberFormat="1"/>
    <xf numFmtId="0" fontId="16" fillId="18" borderId="0" xfId="0" applyFont="1" applyFill="1" applyAlignment="1">
      <alignment horizontal="center"/>
    </xf>
    <xf numFmtId="0" fontId="0" fillId="0" borderId="0" xfId="0" quotePrefix="1" applyBorder="1" applyAlignment="1">
      <alignment horizontal="left" indent="1"/>
    </xf>
    <xf numFmtId="1" fontId="0" fillId="0" borderId="0" xfId="0" applyNumberFormat="1" applyBorder="1" applyAlignment="1">
      <alignment horizontal="center"/>
    </xf>
    <xf numFmtId="0" fontId="22" fillId="5" borderId="0" xfId="0" applyFont="1" applyFill="1" applyAlignment="1">
      <alignment horizontal="center"/>
    </xf>
    <xf numFmtId="3" fontId="22" fillId="5" borderId="0" xfId="0" applyNumberFormat="1" applyFont="1" applyFill="1"/>
    <xf numFmtId="3" fontId="23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7" xfId="6" applyNumberFormat="1" applyFont="1" applyBorder="1"/>
    <xf numFmtId="3" fontId="0" fillId="0" borderId="25" xfId="0" applyNumberFormat="1" applyBorder="1" applyAlignment="1">
      <alignment horizontal="left" indent="1"/>
    </xf>
    <xf numFmtId="3" fontId="0" fillId="0" borderId="25" xfId="0" applyNumberFormat="1" applyBorder="1"/>
    <xf numFmtId="3" fontId="0" fillId="0" borderId="0" xfId="0" applyNumberFormat="1" applyBorder="1" applyAlignment="1">
      <alignment horizontal="left" indent="1"/>
    </xf>
  </cellXfs>
  <cellStyles count="7">
    <cellStyle name="Bad" xfId="3" builtinId="27"/>
    <cellStyle name="Calculation" xfId="2" builtinId="22"/>
    <cellStyle name="Comma" xfId="6" builtinId="3"/>
    <cellStyle name="Input" xfId="4" builtinId="20"/>
    <cellStyle name="Neutral" xfId="5" builtinId="28"/>
    <cellStyle name="Normal" xfId="0" builtinId="0"/>
    <cellStyle name="Percent" xfId="1" builtinId="5"/>
  </cellStyles>
  <dxfs count="19">
    <dxf>
      <font>
        <color theme="0" tint="-0.24994659260841701"/>
      </font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FFFF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Scenarier!$C$79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Scenarier!$F$79:$Y$79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Scenarier!$C$80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Scenarier!$F$80:$Y$80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tonnageudnyttelse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ser>
          <c:idx val="3"/>
          <c:order val="3"/>
          <c:tx>
            <c:strRef>
              <c:f>Scenarier!$C$74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Scenarier!$E$74:$Y$74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9-4E14-BA2D-4B06EB792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Scenarier!$E$33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Scenarier!$C$75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61-4B10-9D4F-6B278E76E958}"/>
              </c:ext>
            </c:extLst>
          </c:dPt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Scenarier!$E$75:$Y$75</c:f>
              <c:numCache>
                <c:formatCode>#,##0</c:formatCode>
                <c:ptCount val="21"/>
                <c:pt idx="0">
                  <c:v>-25.711195069525662</c:v>
                </c:pt>
                <c:pt idx="1">
                  <c:v>-36.044007947642243</c:v>
                </c:pt>
                <c:pt idx="2">
                  <c:v>-34.880981324960246</c:v>
                </c:pt>
                <c:pt idx="3">
                  <c:v>-33.741332256634173</c:v>
                </c:pt>
                <c:pt idx="4">
                  <c:v>-32.624352331926232</c:v>
                </c:pt>
                <c:pt idx="5">
                  <c:v>-31.529361476527761</c:v>
                </c:pt>
                <c:pt idx="6">
                  <c:v>-30.455706549766241</c:v>
                </c:pt>
                <c:pt idx="7">
                  <c:v>-29.402760024328717</c:v>
                </c:pt>
                <c:pt idx="8">
                  <c:v>-36.727993818352502</c:v>
                </c:pt>
                <c:pt idx="9">
                  <c:v>-35.714677821961345</c:v>
                </c:pt>
                <c:pt idx="10">
                  <c:v>-34.720329245325452</c:v>
                </c:pt>
                <c:pt idx="11">
                  <c:v>-33.744411274678271</c:v>
                </c:pt>
                <c:pt idx="12">
                  <c:v>-32.7864071640576</c:v>
                </c:pt>
                <c:pt idx="13">
                  <c:v>-31.845819306240379</c:v>
                </c:pt>
                <c:pt idx="14">
                  <c:v>-30.922168354819217</c:v>
                </c:pt>
                <c:pt idx="15">
                  <c:v>-30.014992394165059</c:v>
                </c:pt>
                <c:pt idx="16">
                  <c:v>-29.12384615425723</c:v>
                </c:pt>
                <c:pt idx="17">
                  <c:v>-28.248300267575697</c:v>
                </c:pt>
                <c:pt idx="18">
                  <c:v>-27.387940565450815</c:v>
                </c:pt>
                <c:pt idx="19">
                  <c:v>-26.542367411446836</c:v>
                </c:pt>
                <c:pt idx="20">
                  <c:v>-25.711195069525662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1-4B10-9D4F-6B278E76E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'Model-1'!$P$49:$P$63</c:f>
              <c:numCache>
                <c:formatCode>#,##0,</c:formatCode>
                <c:ptCount val="15"/>
                <c:pt idx="0">
                  <c:v>16027328.736072451</c:v>
                </c:pt>
                <c:pt idx="1">
                  <c:v>8143171.6554425396</c:v>
                </c:pt>
                <c:pt idx="2">
                  <c:v>7884157.0806299113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4675708.2848529397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2139841.6074425387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'Model-1'!$Q$48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'Model-1'!$Q$49:$Q$63</c:f>
              <c:numCache>
                <c:formatCode>#,##0,</c:formatCode>
                <c:ptCount val="15"/>
                <c:pt idx="0">
                  <c:v>15560102.467270171</c:v>
                </c:pt>
                <c:pt idx="1">
                  <c:v>7557908.8353493344</c:v>
                </c:pt>
                <c:pt idx="2">
                  <c:v>8002193.6319208369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3948176.214239683</c:v>
                </c:pt>
                <c:pt idx="9">
                  <c:v>0</c:v>
                </c:pt>
                <c:pt idx="10">
                  <c:v>1099354.221690486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1806885.9779199767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'Model-1'!$P$66:$P$71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'Model-1'!$Q$66:$Q$71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5031.4221690485911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'Model-1'!$R$49:$R$63</c:f>
              <c:numCache>
                <c:formatCode>#,##0,</c:formatCode>
                <c:ptCount val="15"/>
                <c:pt idx="0">
                  <c:v>-467226.26880227961</c:v>
                </c:pt>
                <c:pt idx="1">
                  <c:v>-585262.8200932052</c:v>
                </c:pt>
                <c:pt idx="2">
                  <c:v>118036.55129092559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-727532.07061325666</c:v>
                </c:pt>
                <c:pt idx="9">
                  <c:v>0</c:v>
                </c:pt>
                <c:pt idx="10">
                  <c:v>50314.221690485952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-332955.62952256203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'Model-1'!$P$74:$P$80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2934.0990071608958</c:v>
                </c:pt>
                <c:pt idx="3">
                  <c:v>0</c:v>
                </c:pt>
                <c:pt idx="4">
                  <c:v>0</c:v>
                </c:pt>
                <c:pt idx="5">
                  <c:v>11874.814691690004</c:v>
                </c:pt>
                <c:pt idx="6">
                  <c:v>125.18530830999589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'Model-1'!$Q$74:$Q$80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1086.3985103653247</c:v>
                </c:pt>
                <c:pt idx="3">
                  <c:v>0</c:v>
                </c:pt>
                <c:pt idx="4">
                  <c:v>0</c:v>
                </c:pt>
                <c:pt idx="5">
                  <c:v>10027.114194894433</c:v>
                </c:pt>
                <c:pt idx="6">
                  <c:v>1972.885805105567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'Model-1'!$N$86:$N$89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'Model-1'!$P$86:$P$89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'Model-1'!$Q$85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'Model-1'!$N$86:$N$89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'Model-1'!$Q$86:$Q$89</c:f>
              <c:numCache>
                <c:formatCode>0.0%</c:formatCode>
                <c:ptCount val="4"/>
                <c:pt idx="0">
                  <c:v>1</c:v>
                </c:pt>
                <c:pt idx="1">
                  <c:v>0.3702664796633941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'Model-1'!$N$86:$N$89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'Model-1'!$O$86:$O$89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'Model-1'!$N$90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'Model-1'!$P$90</c:f>
              <c:numCache>
                <c:formatCode>0.00</c:formatCode>
                <c:ptCount val="1"/>
                <c:pt idx="0">
                  <c:v>-20.155791357103205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'Model-1'!$Q$85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'Model-1'!$N$90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'Model-1'!$Q$90</c:f>
              <c:numCache>
                <c:formatCode>0.00</c:formatCode>
                <c:ptCount val="1"/>
                <c:pt idx="0">
                  <c:v>-22.424734663368202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'Model-1'!$N$90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'Model-1'!$O$90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'Scenarier-1B'!$C$54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'Scenarier-1B'!$C$55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'Scenarier-1B'!$C$56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'Scenarier-1B'!$C$57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'Scenarier-1B'!$C$58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'Scenarier-1B'!$C$59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'Scenarier-1B'!$C$79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'Scenarier-1B'!$F$78:$Y$78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'Scenarier-1B'!$F$79:$Y$79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'Scenarier-1B'!$C$80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'Scenarier-1B'!$F$78:$Y$78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'Scenarier-1B'!$F$80:$Y$80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'Scenarier-1B'!$C$59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'Scenarier-1B'!$C$60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'Scenarier-1B'!$C$61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'Scenarier-1B'!$C$62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'Scenarier-1B'!$C$63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'Scenarier-1B'!$E$63:$Y$63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'Scenarier-1B'!$C$64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'Scenarier-1B'!$C$65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'Scenarier-1B'!$C$66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'Scenarier-1B'!$C$67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'Scenarier-1B'!$C$68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'Scenarier-1B'!$C$69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'Scenarier-1B'!$C$70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'Scenarier-1B'!$C$71</c:f>
              <c:strCache>
                <c:ptCount val="1"/>
                <c:pt idx="0">
                  <c:v>Ovn2 tonnageudnyttelse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'Scenarier-1B'!$C$72</c:f>
              <c:strCache>
                <c:ptCount val="1"/>
                <c:pt idx="0">
                  <c:v>Ovn3 tonnageudnyttelse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'Scenarier-1B'!$C$73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'Scenarier-1B'!$C$74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'Scenarier-1B'!$E$74:$Y$74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'Scenarier-1B'!$E$33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'Scenarier-1B'!$C$75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'Scenarier-1B'!$E$6:$Y$6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'Scenarier-1B'!$E$75:$Y$75</c:f>
              <c:numCache>
                <c:formatCode>#,##0</c:formatCode>
                <c:ptCount val="21"/>
                <c:pt idx="0">
                  <c:v>-25.711195069525662</c:v>
                </c:pt>
                <c:pt idx="1">
                  <c:v>-36.044007947642243</c:v>
                </c:pt>
                <c:pt idx="2">
                  <c:v>-34.880981324960246</c:v>
                </c:pt>
                <c:pt idx="3">
                  <c:v>-33.741332256634173</c:v>
                </c:pt>
                <c:pt idx="4">
                  <c:v>-32.624352331926232</c:v>
                </c:pt>
                <c:pt idx="5">
                  <c:v>-31.529361476527761</c:v>
                </c:pt>
                <c:pt idx="6">
                  <c:v>-30.455706549766241</c:v>
                </c:pt>
                <c:pt idx="7">
                  <c:v>-29.402760024328717</c:v>
                </c:pt>
                <c:pt idx="8">
                  <c:v>-36.727993818352502</c:v>
                </c:pt>
                <c:pt idx="9">
                  <c:v>-35.714677821961345</c:v>
                </c:pt>
                <c:pt idx="10">
                  <c:v>-34.720329245325452</c:v>
                </c:pt>
                <c:pt idx="11">
                  <c:v>-33.744411274678271</c:v>
                </c:pt>
                <c:pt idx="12">
                  <c:v>-32.7864071640576</c:v>
                </c:pt>
                <c:pt idx="13">
                  <c:v>-31.845819306240379</c:v>
                </c:pt>
                <c:pt idx="14">
                  <c:v>-30.922168354819217</c:v>
                </c:pt>
                <c:pt idx="15">
                  <c:v>-30.014992394165059</c:v>
                </c:pt>
                <c:pt idx="16">
                  <c:v>-29.12384615425723</c:v>
                </c:pt>
                <c:pt idx="17">
                  <c:v>-28.248300267575697</c:v>
                </c:pt>
                <c:pt idx="18">
                  <c:v>-27.387940565450815</c:v>
                </c:pt>
                <c:pt idx="19">
                  <c:v>-26.542367411446836</c:v>
                </c:pt>
                <c:pt idx="20">
                  <c:v>-25.711195069525662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'Model-1B'!$P$49:$P$63</c:f>
              <c:numCache>
                <c:formatCode>#,##0,</c:formatCode>
                <c:ptCount val="15"/>
                <c:pt idx="0">
                  <c:v>16010914.876306619</c:v>
                </c:pt>
                <c:pt idx="1">
                  <c:v>7537028.2537997076</c:v>
                </c:pt>
                <c:pt idx="2">
                  <c:v>8473886.6225069128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4659294.4250871083</c:v>
                </c:pt>
                <c:pt idx="9">
                  <c:v>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1620355.8885017419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'Model-1B'!$Q$48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'Model-1B'!$Q$49:$Q$63</c:f>
              <c:numCache>
                <c:formatCode>#,##0,</c:formatCode>
                <c:ptCount val="15"/>
                <c:pt idx="0">
                  <c:v>16271220.678117596</c:v>
                </c:pt>
                <c:pt idx="1">
                  <c:v>7361984.524240613</c:v>
                </c:pt>
                <c:pt idx="2">
                  <c:v>8909236.1538769826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4659294.4250871073</c:v>
                </c:pt>
                <c:pt idx="9">
                  <c:v>0</c:v>
                </c:pt>
                <c:pt idx="10">
                  <c:v>1089960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1620355.8885017419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'Model-1B'!$P$66:$P$71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'Model-1B'!$Q$65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'Model-1B'!$Q$66:$Q$71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4092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'Model-1B'!$R$49:$R$63</c:f>
              <c:numCache>
                <c:formatCode>#,##0,</c:formatCode>
                <c:ptCount val="15"/>
                <c:pt idx="0">
                  <c:v>260305.80181097612</c:v>
                </c:pt>
                <c:pt idx="1">
                  <c:v>-175043.72955909465</c:v>
                </c:pt>
                <c:pt idx="2">
                  <c:v>435349.53137006983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0</c:v>
                </c:pt>
                <c:pt idx="9">
                  <c:v>-3819.149561570111</c:v>
                </c:pt>
                <c:pt idx="10">
                  <c:v>40920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'Model-1B'!$N$74:$N$86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'Model-1B'!$P$74:$P$86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163.21151972521841</c:v>
                </c:pt>
                <c:pt idx="3">
                  <c:v>0</c:v>
                </c:pt>
                <c:pt idx="4">
                  <c:v>0</c:v>
                </c:pt>
                <c:pt idx="5">
                  <c:v>9155.1975824429883</c:v>
                </c:pt>
                <c:pt idx="6">
                  <c:v>3544.8024175570113</c:v>
                </c:pt>
                <c:pt idx="7">
                  <c:v>8500</c:v>
                </c:pt>
                <c:pt idx="8">
                  <c:v>491.98606271777044</c:v>
                </c:pt>
                <c:pt idx="9">
                  <c:v>163.21151972521841</c:v>
                </c:pt>
                <c:pt idx="10">
                  <c:v>0</c:v>
                </c:pt>
                <c:pt idx="11">
                  <c:v>2708.0139372822296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'Model-1B'!$Q$65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'Model-1B'!$N$74:$N$86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'Model-1B'!$Q$74:$Q$86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8991.9860627177695</c:v>
                </c:pt>
                <c:pt idx="6">
                  <c:v>3708.0139372822309</c:v>
                </c:pt>
                <c:pt idx="7">
                  <c:v>8500</c:v>
                </c:pt>
                <c:pt idx="8">
                  <c:v>491.98606271776907</c:v>
                </c:pt>
                <c:pt idx="9">
                  <c:v>0</c:v>
                </c:pt>
                <c:pt idx="10">
                  <c:v>0</c:v>
                </c:pt>
                <c:pt idx="11">
                  <c:v>2708.0139372822309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'Model-1B'!$O$88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'Model-1B'!$N$89:$N$94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'Model-1B'!$O$89:$O$94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'Model-1B'!$P$88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'Model-1B'!$N$89:$N$94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'Model-1B'!$P$89:$P$94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'Model-1B'!$Q$88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'Model-1B'!$N$89:$N$94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'Model-1B'!$Q$89:$Q$94</c:f>
              <c:numCache>
                <c:formatCode>0.0%</c:formatCode>
                <c:ptCount val="6"/>
                <c:pt idx="0">
                  <c:v>0.3702664796633941</c:v>
                </c:pt>
                <c:pt idx="1">
                  <c:v>1</c:v>
                </c:pt>
                <c:pt idx="2">
                  <c:v>0.3702664796633941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'Model-1B'!$P$88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'Model-1B'!$N$95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'Model-1B'!$P$95</c:f>
              <c:numCache>
                <c:formatCode>0.00</c:formatCode>
                <c:ptCount val="1"/>
                <c:pt idx="0">
                  <c:v>-44.92601741040464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'Model-1B'!$Q$88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'Model-1B'!$N$95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'Model-1B'!$Q$95</c:f>
              <c:numCache>
                <c:formatCode>0.00</c:formatCode>
                <c:ptCount val="1"/>
                <c:pt idx="0">
                  <c:v>-60.218173078207613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'Model-1B'!$O$88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'Model-1B'!$N$95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'Model-1B'!$O$95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'Model-2'!$AE$50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'Model-2'!$AE$51:$AE$65</c:f>
              <c:numCache>
                <c:formatCode>#,##0,</c:formatCode>
                <c:ptCount val="15"/>
                <c:pt idx="0">
                  <c:v>17633572.47287292</c:v>
                </c:pt>
                <c:pt idx="1">
                  <c:v>7585715.596531732</c:v>
                </c:pt>
                <c:pt idx="2">
                  <c:v>10047856.876341188</c:v>
                </c:pt>
                <c:pt idx="4">
                  <c:v>7997392.6730004624</c:v>
                </c:pt>
                <c:pt idx="5">
                  <c:v>3947332.4512195117</c:v>
                </c:pt>
                <c:pt idx="6">
                  <c:v>88847.348652948102</c:v>
                </c:pt>
                <c:pt idx="7">
                  <c:v>5600000</c:v>
                </c:pt>
                <c:pt idx="9">
                  <c:v>0</c:v>
                </c:pt>
                <c:pt idx="10">
                  <c:v>1241098.7605122505</c:v>
                </c:pt>
                <c:pt idx="11">
                  <c:v>2388417.4645282412</c:v>
                </c:pt>
                <c:pt idx="12">
                  <c:v>888473.4865294809</c:v>
                </c:pt>
                <c:pt idx="13">
                  <c:v>184525.88496175961</c:v>
                </c:pt>
                <c:pt idx="14">
                  <c:v>2883200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D-43ED-955C-B6E56812DFB1}"/>
            </c:ext>
          </c:extLst>
        </c:ser>
        <c:ser>
          <c:idx val="1"/>
          <c:order val="1"/>
          <c:tx>
            <c:strRef>
              <c:f>'Model-2'!$AF$50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'Model-2'!$AF$51:$AF$65</c:f>
              <c:numCache>
                <c:formatCode>#,##0,</c:formatCode>
                <c:ptCount val="15"/>
                <c:pt idx="0">
                  <c:v>16292695.043325918</c:v>
                </c:pt>
                <c:pt idx="1">
                  <c:v>8022694.7999229478</c:v>
                </c:pt>
                <c:pt idx="2">
                  <c:v>8270000.24340297</c:v>
                </c:pt>
                <c:pt idx="4">
                  <c:v>7499765</c:v>
                </c:pt>
                <c:pt idx="5">
                  <c:v>3947332.4512195126</c:v>
                </c:pt>
                <c:pt idx="6">
                  <c:v>197595.87992407382</c:v>
                </c:pt>
                <c:pt idx="7">
                  <c:v>4648001.7121823318</c:v>
                </c:pt>
                <c:pt idx="9">
                  <c:v>9281.9833062222588</c:v>
                </c:pt>
                <c:pt idx="10">
                  <c:v>1364822.9775574182</c:v>
                </c:pt>
                <c:pt idx="11">
                  <c:v>2239801.2000000002</c:v>
                </c:pt>
                <c:pt idx="12">
                  <c:v>1975958.7992407379</c:v>
                </c:pt>
                <c:pt idx="13">
                  <c:v>410384.27325740416</c:v>
                </c:pt>
                <c:pt idx="14">
                  <c:v>2022445.5665611641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D-43ED-955C-B6E5681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'Model-2'!$AE$68:$AE$73</c:f>
              <c:numCache>
                <c:formatCode>#,##0</c:formatCode>
                <c:ptCount val="6"/>
                <c:pt idx="0">
                  <c:v>4883.0889807088834</c:v>
                </c:pt>
                <c:pt idx="1">
                  <c:v>20832</c:v>
                </c:pt>
                <c:pt idx="2">
                  <c:v>5300.6091090984</c:v>
                </c:pt>
                <c:pt idx="3">
                  <c:v>0</c:v>
                </c:pt>
                <c:pt idx="4">
                  <c:v>25715.088980708882</c:v>
                </c:pt>
                <c:pt idx="5">
                  <c:v>1639.9110192911176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F-41FC-9A14-7E1800988E17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'Model-2'!$AF$68:$AF$73</c:f>
              <c:numCache>
                <c:formatCode>#,##0</c:formatCode>
                <c:ptCount val="6"/>
                <c:pt idx="0">
                  <c:v>7638.95652173913</c:v>
                </c:pt>
                <c:pt idx="1">
                  <c:v>20832</c:v>
                </c:pt>
                <c:pt idx="2">
                  <c:v>5049.4716687852942</c:v>
                </c:pt>
                <c:pt idx="3">
                  <c:v>4355.95652173913</c:v>
                </c:pt>
                <c:pt idx="4">
                  <c:v>24115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F-41FC-9A14-7E180098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'Model-2'!$AG$51:$AG$65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2-43AD-B48E-6049F87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'Model-2'!$AE$76:$AE$82</c:f>
              <c:numCache>
                <c:formatCode>#,##0</c:formatCode>
                <c:ptCount val="7"/>
                <c:pt idx="0">
                  <c:v>8001.3808303570249</c:v>
                </c:pt>
                <c:pt idx="1">
                  <c:v>0</c:v>
                </c:pt>
                <c:pt idx="2">
                  <c:v>1498.6191696429751</c:v>
                </c:pt>
                <c:pt idx="3">
                  <c:v>0</c:v>
                </c:pt>
                <c:pt idx="4">
                  <c:v>0</c:v>
                </c:pt>
                <c:pt idx="5">
                  <c:v>9500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CB8-B9B3-D8DE634DEA3D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'Model-2'!$AF$76:$AF$82</c:f>
              <c:numCache>
                <c:formatCode>#,##0</c:formatCode>
                <c:ptCount val="7"/>
                <c:pt idx="0">
                  <c:v>8450.2099291689374</c:v>
                </c:pt>
                <c:pt idx="1">
                  <c:v>4000</c:v>
                </c:pt>
                <c:pt idx="2">
                  <c:v>1064.0697207492935</c:v>
                </c:pt>
                <c:pt idx="3">
                  <c:v>0</c:v>
                </c:pt>
                <c:pt idx="4">
                  <c:v>1709.0586772802387</c:v>
                </c:pt>
                <c:pt idx="5">
                  <c:v>11223.338327198469</c:v>
                </c:pt>
                <c:pt idx="6">
                  <c:v>2776.6616728015306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E-4CB8-B9B3-D8DE634DE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'Model-2'!$BA$9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'Model-2'!$AE$85:$AE$88</c:f>
              <c:numCache>
                <c:formatCode>0.0%</c:formatCode>
                <c:ptCount val="4"/>
                <c:pt idx="0">
                  <c:v>0.94688544987946188</c:v>
                </c:pt>
                <c:pt idx="1">
                  <c:v>0.54040742242870199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0-4E39-B61E-CD1A9A59E8D7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'Model-2'!$AF$85:$AF$88</c:f>
              <c:numCache>
                <c:formatCode>0.0%</c:formatCode>
                <c:ptCount val="4"/>
                <c:pt idx="0">
                  <c:v>1</c:v>
                </c:pt>
                <c:pt idx="1">
                  <c:v>0.99999999999999989</c:v>
                </c:pt>
                <c:pt idx="2">
                  <c:v>0.39031868474364967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0-4E39-B61E-CD1A9A59E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'Model-2'!$AC$85:$AC$88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'Model-2'!$AD$85:$AD$88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C60-4E39-B61E-CD1A9A59E8D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'Model-2'!$AE$89</c:f>
              <c:numCache>
                <c:formatCode>0.00</c:formatCode>
                <c:ptCount val="1"/>
                <c:pt idx="0">
                  <c:v>-79.737783714416025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1-4D32-BB18-A8FA5E26F26E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'Model-2'!$AF$89</c:f>
              <c:numCache>
                <c:formatCode>0.00</c:formatCode>
                <c:ptCount val="1"/>
                <c:pt idx="0">
                  <c:v>-31.940088882561476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1-4D32-BB18-A8FA5E26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'Model-2'!$AC$89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C81-4D32-BB18-A8FA5E26F26E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Affald2021!$C$36:$C$47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Affald2021!$D$35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Affald2021!$D$36:$D$47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33</xdr:row>
      <xdr:rowOff>22412</xdr:rowOff>
    </xdr:from>
    <xdr:to>
      <xdr:col>8</xdr:col>
      <xdr:colOff>552090</xdr:colOff>
      <xdr:row>50</xdr:row>
      <xdr:rowOff>23912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5E14A8-5003-4D6B-8D8D-096FAE72C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892725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38</xdr:row>
      <xdr:rowOff>164276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6895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19</xdr:col>
      <xdr:colOff>1453</xdr:colOff>
      <xdr:row>38</xdr:row>
      <xdr:rowOff>164276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568989</xdr:colOff>
      <xdr:row>38</xdr:row>
      <xdr:rowOff>170999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563387</xdr:colOff>
      <xdr:row>19</xdr:row>
      <xdr:rowOff>146908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3" name="Rectangle: Rounded Corners 2" hidden="1">
          <a:extLst>
            <a:ext uri="{FF2B5EF4-FFF2-40B4-BE49-F238E27FC236}">
              <a16:creationId xmlns:a16="http://schemas.microsoft.com/office/drawing/2014/main" id="{17CAFD58-C3C5-4765-80AA-CC95613CE43B}"/>
            </a:ext>
          </a:extLst>
        </xdr:cNvPr>
        <xdr:cNvSpPr/>
      </xdr:nvSpPr>
      <xdr:spPr>
        <a:xfrm>
          <a:off x="3429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B675F12-0546-4A50-8037-A1AA9D3E8830}"/>
            </a:ext>
          </a:extLst>
        </xdr:cNvPr>
        <xdr:cNvSpPr/>
      </xdr:nvSpPr>
      <xdr:spPr>
        <a:xfrm>
          <a:off x="3924300" y="81242"/>
          <a:ext cx="11049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CBAAF1-4EEB-41F7-8EA1-B3B0BB0C7B80}"/>
            </a:ext>
          </a:extLst>
        </xdr:cNvPr>
        <xdr:cNvSpPr/>
      </xdr:nvSpPr>
      <xdr:spPr>
        <a:xfrm>
          <a:off x="257734" y="33617"/>
          <a:ext cx="1165412" cy="3899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3CA22-ED79-4FB7-84C0-2E84691C5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D8A80D-F531-4EA2-8ED6-30B2B9118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0F636-0395-41AC-A6BD-CD225847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B425D8-D737-4DBA-BE1C-848277257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D23F2C-652C-4170-9991-FC5E457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33</xdr:row>
      <xdr:rowOff>22412</xdr:rowOff>
    </xdr:from>
    <xdr:to>
      <xdr:col>8</xdr:col>
      <xdr:colOff>552090</xdr:colOff>
      <xdr:row>50</xdr:row>
      <xdr:rowOff>23912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13A57C1-CA4B-4121-8FBC-AD4AAA6BB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164276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253433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251192</xdr:colOff>
      <xdr:row>38</xdr:row>
      <xdr:rowOff>164276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319542</xdr:colOff>
      <xdr:row>38</xdr:row>
      <xdr:rowOff>159793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313940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261937</xdr:colOff>
      <xdr:row>2</xdr:row>
      <xdr:rowOff>80963</xdr:rowOff>
    </xdr:from>
    <xdr:to>
      <xdr:col>48</xdr:col>
      <xdr:colOff>440287</xdr:colOff>
      <xdr:row>20</xdr:row>
      <xdr:rowOff>191132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B2867-52F8-4D59-9F75-EC3FFA255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261937</xdr:colOff>
      <xdr:row>25</xdr:row>
      <xdr:rowOff>109538</xdr:rowOff>
    </xdr:from>
    <xdr:to>
      <xdr:col>48</xdr:col>
      <xdr:colOff>440287</xdr:colOff>
      <xdr:row>44</xdr:row>
      <xdr:rowOff>42813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43D8B-682E-42B4-B51D-8FD0F9D34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48</xdr:col>
      <xdr:colOff>500062</xdr:colOff>
      <xdr:row>2</xdr:row>
      <xdr:rowOff>80963</xdr:rowOff>
    </xdr:from>
    <xdr:to>
      <xdr:col>58</xdr:col>
      <xdr:colOff>78337</xdr:colOff>
      <xdr:row>20</xdr:row>
      <xdr:rowOff>191132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40EBCD-CFA4-4D21-BE3B-3A6BFAE85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500062</xdr:colOff>
      <xdr:row>25</xdr:row>
      <xdr:rowOff>109538</xdr:rowOff>
    </xdr:from>
    <xdr:to>
      <xdr:col>58</xdr:col>
      <xdr:colOff>59287</xdr:colOff>
      <xdr:row>44</xdr:row>
      <xdr:rowOff>42813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496411-327D-4432-ABB8-166D87873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58</xdr:col>
      <xdr:colOff>166686</xdr:colOff>
      <xdr:row>25</xdr:row>
      <xdr:rowOff>116261</xdr:rowOff>
    </xdr:from>
    <xdr:to>
      <xdr:col>66</xdr:col>
      <xdr:colOff>1967</xdr:colOff>
      <xdr:row>44</xdr:row>
      <xdr:rowOff>49536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F88531-9C18-4F8D-A444-04BD2776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58</xdr:col>
      <xdr:colOff>161084</xdr:colOff>
      <xdr:row>2</xdr:row>
      <xdr:rowOff>80963</xdr:rowOff>
    </xdr:from>
    <xdr:to>
      <xdr:col>66</xdr:col>
      <xdr:colOff>1407</xdr:colOff>
      <xdr:row>20</xdr:row>
      <xdr:rowOff>191132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75CEFD-7418-489E-8576-1FC7A4B24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152400</xdr:colOff>
      <xdr:row>0</xdr:row>
      <xdr:rowOff>85725</xdr:rowOff>
    </xdr:from>
    <xdr:to>
      <xdr:col>22</xdr:col>
      <xdr:colOff>1066800</xdr:colOff>
      <xdr:row>0</xdr:row>
      <xdr:rowOff>342900</xdr:rowOff>
    </xdr:to>
    <xdr:sp macro="[0]!ShowInputView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A95A7C53-AEE4-405B-9C6E-A5EC3BC230A6}"/>
            </a:ext>
          </a:extLst>
        </xdr:cNvPr>
        <xdr:cNvSpPr/>
      </xdr:nvSpPr>
      <xdr:spPr>
        <a:xfrm>
          <a:off x="55245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10</xdr:col>
      <xdr:colOff>596153</xdr:colOff>
      <xdr:row>0</xdr:row>
      <xdr:rowOff>81242</xdr:rowOff>
    </xdr:from>
    <xdr:to>
      <xdr:col>12</xdr:col>
      <xdr:colOff>490818</xdr:colOff>
      <xdr:row>0</xdr:row>
      <xdr:rowOff>338417</xdr:rowOff>
    </xdr:to>
    <xdr:sp macro="[0]!HideInputVie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02434A-50EA-4220-ADBC-66893347CE52}"/>
            </a:ext>
          </a:extLst>
        </xdr:cNvPr>
        <xdr:cNvSpPr/>
      </xdr:nvSpPr>
      <xdr:spPr>
        <a:xfrm>
          <a:off x="3929903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  <xdr:twoCellAnchor>
    <xdr:from>
      <xdr:col>28</xdr:col>
      <xdr:colOff>1945823</xdr:colOff>
      <xdr:row>3</xdr:row>
      <xdr:rowOff>54429</xdr:rowOff>
    </xdr:from>
    <xdr:to>
      <xdr:col>40</xdr:col>
      <xdr:colOff>244930</xdr:colOff>
      <xdr:row>22</xdr:row>
      <xdr:rowOff>122465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86F0827-27A5-48D3-BD5C-59792E290E4D}"/>
            </a:ext>
          </a:extLst>
        </xdr:cNvPr>
        <xdr:cNvSpPr txBox="1"/>
      </xdr:nvSpPr>
      <xdr:spPr>
        <a:xfrm rot="21262677">
          <a:off x="24424823" y="884465"/>
          <a:ext cx="9388928" cy="3741964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8800" b="1"/>
            <a:t>IN PROGRESS</a:t>
          </a:r>
        </a:p>
      </xdr:txBody>
    </xdr:sp>
    <xdr:clientData/>
  </xdr:twoCellAnchor>
  <xdr:twoCellAnchor>
    <xdr:from>
      <xdr:col>1</xdr:col>
      <xdr:colOff>156883</xdr:colOff>
      <xdr:row>109</xdr:row>
      <xdr:rowOff>134471</xdr:rowOff>
    </xdr:from>
    <xdr:to>
      <xdr:col>5</xdr:col>
      <xdr:colOff>56029</xdr:colOff>
      <xdr:row>116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60C5D09-4F71-4DD0-8D44-2B51DEB29FC6}"/>
            </a:ext>
          </a:extLst>
        </xdr:cNvPr>
        <xdr:cNvSpPr txBox="1"/>
      </xdr:nvSpPr>
      <xdr:spPr>
        <a:xfrm>
          <a:off x="2207559" y="21235147"/>
          <a:ext cx="2745441" cy="1199029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Objective</a:t>
          </a:r>
          <a:r>
            <a:rPr lang="da-DK" sz="1100" baseline="0"/>
            <a:t> tilføjes følgende:</a:t>
          </a:r>
          <a:endParaRPr lang="da-DK" sz="1100"/>
        </a:p>
        <a:p>
          <a:endParaRPr lang="da-DK" sz="1100"/>
        </a:p>
        <a:p>
          <a:r>
            <a:rPr lang="da-DK" sz="1100"/>
            <a:t>NPV -</a:t>
          </a:r>
          <a:r>
            <a:rPr lang="da-DK" sz="1100" baseline="0"/>
            <a:t> Penalty_UudnyttetAffald</a:t>
          </a:r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588308</xdr:colOff>
      <xdr:row>34</xdr:row>
      <xdr:rowOff>12325</xdr:rowOff>
    </xdr:from>
    <xdr:to>
      <xdr:col>12</xdr:col>
      <xdr:colOff>319367</xdr:colOff>
      <xdr:row>46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39C02B-0220-48E4-87EE-64248112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S/REFAinput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 Backup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</sheetNames>
    <sheetDataSet>
      <sheetData sheetId="0"/>
      <sheetData sheetId="1"/>
      <sheetData sheetId="2"/>
      <sheetData sheetId="3"/>
      <sheetData sheetId="4">
        <row r="4">
          <cell r="B4" t="str">
            <v>RunScenarios</v>
          </cell>
          <cell r="J4">
            <v>-9.99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  <cell r="C9">
            <v>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  <row r="16">
          <cell r="B16" t="str">
            <v>DVomkRGK</v>
          </cell>
        </row>
        <row r="17">
          <cell r="B17" t="str">
            <v>RGKudnyttelse</v>
          </cell>
        </row>
        <row r="18">
          <cell r="B18" t="str">
            <v>NyAff1Tonnage</v>
          </cell>
          <cell r="C18">
            <v>10000</v>
          </cell>
        </row>
      </sheetData>
      <sheetData sheetId="5">
        <row r="6"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KapQMin</v>
          </cell>
          <cell r="L11" t="str">
            <v>KapE</v>
          </cell>
          <cell r="M11" t="str">
            <v>EtaE</v>
          </cell>
          <cell r="N11" t="str">
            <v>EtaQ</v>
          </cell>
          <cell r="O11" t="str">
            <v>DVMWhq</v>
          </cell>
          <cell r="P11" t="str">
            <v>DVtime</v>
          </cell>
          <cell r="S11" t="str">
            <v>Aktiv</v>
          </cell>
          <cell r="T11" t="str">
            <v>StoKind</v>
          </cell>
          <cell r="U11" t="str">
            <v>LoadInit</v>
          </cell>
          <cell r="V11" t="str">
            <v>LoadMin</v>
          </cell>
          <cell r="W11" t="str">
            <v>LoadMax</v>
          </cell>
          <cell r="X11" t="str">
            <v>DLoadMax</v>
          </cell>
          <cell r="Y11" t="str">
            <v>LossRate</v>
          </cell>
          <cell r="Z11" t="str">
            <v>LoadCost</v>
          </cell>
          <cell r="AA11" t="str">
            <v>DLoadCost</v>
          </cell>
          <cell r="AB11" t="str">
            <v>ResetFirst</v>
          </cell>
          <cell r="AC11" t="str">
            <v>ResetIntv</v>
          </cell>
          <cell r="AD11" t="str">
            <v>ResetLast</v>
          </cell>
        </row>
        <row r="12">
          <cell r="A12" t="str">
            <v>Ovn2</v>
          </cell>
          <cell r="R12" t="str">
            <v>sto1</v>
          </cell>
        </row>
        <row r="13">
          <cell r="A13" t="str">
            <v>Ovn3</v>
          </cell>
          <cell r="R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6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  <cell r="T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7">
        <row r="46">
          <cell r="C46" t="str">
            <v>Ovn2</v>
          </cell>
          <cell r="D46" t="str">
            <v>Ovn3</v>
          </cell>
        </row>
        <row r="47">
          <cell r="B47" t="str">
            <v>JAN</v>
          </cell>
          <cell r="C47">
            <v>31</v>
          </cell>
          <cell r="D47">
            <v>31</v>
          </cell>
        </row>
        <row r="48">
          <cell r="B48" t="str">
            <v>FEB</v>
          </cell>
          <cell r="C48">
            <v>27</v>
          </cell>
          <cell r="D48">
            <v>28</v>
          </cell>
        </row>
        <row r="49">
          <cell r="B49" t="str">
            <v>MAR</v>
          </cell>
          <cell r="C49">
            <v>31</v>
          </cell>
          <cell r="D49">
            <v>31</v>
          </cell>
        </row>
        <row r="50">
          <cell r="B50" t="str">
            <v>APR</v>
          </cell>
          <cell r="C50">
            <v>30</v>
          </cell>
          <cell r="D50">
            <v>29</v>
          </cell>
        </row>
        <row r="51">
          <cell r="B51" t="str">
            <v>MAJ</v>
          </cell>
          <cell r="C51">
            <v>22</v>
          </cell>
          <cell r="D51">
            <v>17</v>
          </cell>
        </row>
        <row r="52">
          <cell r="B52" t="str">
            <v>JUN</v>
          </cell>
          <cell r="C52">
            <v>15</v>
          </cell>
          <cell r="D52">
            <v>13</v>
          </cell>
        </row>
        <row r="53">
          <cell r="B53" t="str">
            <v>JUL</v>
          </cell>
          <cell r="C53">
            <v>0</v>
          </cell>
          <cell r="D53">
            <v>30</v>
          </cell>
        </row>
        <row r="54">
          <cell r="B54" t="str">
            <v>AUG</v>
          </cell>
          <cell r="C54">
            <v>0</v>
          </cell>
          <cell r="D54">
            <v>31</v>
          </cell>
        </row>
        <row r="55">
          <cell r="B55" t="str">
            <v>SEP</v>
          </cell>
          <cell r="C55">
            <v>0</v>
          </cell>
          <cell r="D55">
            <v>30</v>
          </cell>
        </row>
        <row r="56">
          <cell r="B56" t="str">
            <v>OKT</v>
          </cell>
          <cell r="C56">
            <v>4</v>
          </cell>
          <cell r="D56">
            <v>28</v>
          </cell>
        </row>
        <row r="57">
          <cell r="B57" t="str">
            <v>NOV</v>
          </cell>
          <cell r="C57">
            <v>19</v>
          </cell>
          <cell r="D57">
            <v>31</v>
          </cell>
        </row>
        <row r="58">
          <cell r="B58" t="str">
            <v>DEC</v>
          </cell>
          <cell r="C58">
            <v>31</v>
          </cell>
          <cell r="D58">
            <v>31</v>
          </cell>
        </row>
      </sheetData>
      <sheetData sheetId="8"/>
      <sheetData sheetId="9">
        <row r="3">
          <cell r="B3" t="str">
            <v>Root</v>
          </cell>
          <cell r="C3" t="str">
            <v>Control2</v>
          </cell>
          <cell r="D3" t="str">
            <v>Plant2</v>
          </cell>
          <cell r="E3" t="str">
            <v>Storage2</v>
          </cell>
          <cell r="F3" t="str">
            <v>Prognoses2</v>
          </cell>
          <cell r="G3" t="str">
            <v>Fuel2</v>
          </cell>
          <cell r="H3" t="str">
            <v>FuelBounds2</v>
          </cell>
          <cell r="J3" t="str">
            <v>Control3</v>
          </cell>
          <cell r="K3" t="str">
            <v>Plant3</v>
          </cell>
          <cell r="L3" t="str">
            <v>Storage3</v>
          </cell>
          <cell r="M3" t="str">
            <v>Prognoses3</v>
          </cell>
          <cell r="N3" t="str">
            <v>Fuel3</v>
          </cell>
          <cell r="O3" t="str">
            <v>FuelBounds3</v>
          </cell>
        </row>
        <row r="4">
          <cell r="B4" t="str">
            <v>Control</v>
          </cell>
        </row>
        <row r="5">
          <cell r="B5" t="str">
            <v>Plant</v>
          </cell>
        </row>
        <row r="6">
          <cell r="B6" t="str">
            <v>Storage</v>
          </cell>
        </row>
        <row r="7">
          <cell r="B7" t="str">
            <v>Prognoses</v>
          </cell>
        </row>
        <row r="8">
          <cell r="B8" t="str">
            <v>Fuel</v>
          </cell>
        </row>
        <row r="9">
          <cell r="B9" t="str">
            <v>FuelBounds</v>
          </cell>
        </row>
        <row r="38">
          <cell r="B38" t="str">
            <v>Niveau2</v>
          </cell>
        </row>
        <row r="39">
          <cell r="A39">
            <v>15</v>
          </cell>
          <cell r="B39" t="str">
            <v>Control</v>
          </cell>
          <cell r="C39" t="str">
            <v>RunScenarios</v>
          </cell>
          <cell r="D39" t="str">
            <v>IncludeGSF</v>
          </cell>
          <cell r="E39" t="str">
            <v>VirtuelVarme</v>
          </cell>
          <cell r="F39" t="str">
            <v>VirtuelAffald</v>
          </cell>
          <cell r="G39" t="str">
            <v>Skorstensmetode</v>
          </cell>
          <cell r="H39" t="str">
            <v>FixAffald2021</v>
          </cell>
          <cell r="I39" t="str">
            <v>FixAffaldSum</v>
          </cell>
          <cell r="J39" t="str">
            <v>DeltaTonAktiv</v>
          </cell>
          <cell r="K39" t="str">
            <v>RgkRabatSats</v>
          </cell>
          <cell r="L39" t="str">
            <v>RgkAndelRabat</v>
          </cell>
          <cell r="M39" t="str">
            <v>Varmesalgspris</v>
          </cell>
          <cell r="N39" t="str">
            <v>EgetforbrugKVV</v>
          </cell>
          <cell r="O39" t="str">
            <v>DVomkRGK</v>
          </cell>
          <cell r="P39" t="str">
            <v>RGKudnyttelse</v>
          </cell>
          <cell r="Q39" t="str">
            <v>NyAff1Tonnage</v>
          </cell>
        </row>
        <row r="40">
          <cell r="A40">
            <v>6</v>
          </cell>
          <cell r="B40" t="str">
            <v>Plant</v>
          </cell>
          <cell r="C40" t="str">
            <v>Ovn2</v>
          </cell>
          <cell r="D40" t="str">
            <v>Ovn3</v>
          </cell>
          <cell r="E40" t="str">
            <v>FlisK</v>
          </cell>
          <cell r="F40" t="str">
            <v>NS</v>
          </cell>
          <cell r="G40" t="str">
            <v>Cooler</v>
          </cell>
          <cell r="H40" t="str">
            <v>PeakK</v>
          </cell>
        </row>
        <row r="41">
          <cell r="A41">
            <v>2</v>
          </cell>
          <cell r="B41" t="str">
            <v>Storage</v>
          </cell>
          <cell r="C41" t="str">
            <v>sto1</v>
          </cell>
          <cell r="D41" t="str">
            <v>sto2</v>
          </cell>
        </row>
        <row r="42">
          <cell r="A42">
            <v>25</v>
          </cell>
          <cell r="B42" t="str">
            <v>Prognoses</v>
          </cell>
          <cell r="C42" t="str">
            <v>Aktiv</v>
          </cell>
          <cell r="D42" t="str">
            <v>Ndage</v>
          </cell>
          <cell r="E42" t="str">
            <v>Ovn2</v>
          </cell>
          <cell r="F42" t="str">
            <v>Ovn3</v>
          </cell>
          <cell r="G42" t="str">
            <v>FlisK</v>
          </cell>
          <cell r="H42" t="str">
            <v>NS</v>
          </cell>
          <cell r="I42" t="str">
            <v>Cooler</v>
          </cell>
          <cell r="J42" t="str">
            <v>PeakK</v>
          </cell>
          <cell r="K42" t="str">
            <v>Turbine</v>
          </cell>
          <cell r="L42" t="str">
            <v>Varmebehov</v>
          </cell>
          <cell r="M42" t="str">
            <v>NSprod</v>
          </cell>
          <cell r="N42" t="str">
            <v>ELprod</v>
          </cell>
          <cell r="O42" t="str">
            <v>Bypass</v>
          </cell>
          <cell r="P42" t="str">
            <v>Elpris</v>
          </cell>
          <cell r="Q42" t="str">
            <v>ETS</v>
          </cell>
          <cell r="R42" t="str">
            <v>AFV</v>
          </cell>
          <cell r="S42" t="str">
            <v>ATL</v>
          </cell>
          <cell r="T42" t="str">
            <v>CO2aff</v>
          </cell>
          <cell r="U42" t="str">
            <v>ETSaff</v>
          </cell>
          <cell r="V42" t="str">
            <v>CO2afgAff</v>
          </cell>
          <cell r="W42" t="str">
            <v>NOxAff</v>
          </cell>
          <cell r="X42" t="str">
            <v>NOxFlis</v>
          </cell>
          <cell r="Y42" t="str">
            <v>EnrPeak</v>
          </cell>
          <cell r="Z42" t="str">
            <v>CO2peak</v>
          </cell>
          <cell r="AA42" t="str">
            <v>NOxPeak</v>
          </cell>
        </row>
        <row r="43">
          <cell r="A43">
            <v>29</v>
          </cell>
          <cell r="B43" t="str">
            <v>Fuel</v>
          </cell>
          <cell r="C43" t="str">
            <v>DepoSort</v>
          </cell>
          <cell r="D43" t="str">
            <v>DepoSmaat</v>
          </cell>
          <cell r="E43" t="str">
            <v>DepoNedd</v>
          </cell>
          <cell r="F43" t="str">
            <v>Dagren</v>
          </cell>
          <cell r="G43" t="str">
            <v>AndetBrand</v>
          </cell>
          <cell r="H43" t="str">
            <v>Trae</v>
          </cell>
          <cell r="I43" t="str">
            <v>DagrenRast</v>
          </cell>
          <cell r="J43" t="str">
            <v>DagrenInst</v>
          </cell>
          <cell r="K43" t="str">
            <v>DagrenHandel</v>
          </cell>
          <cell r="L43" t="str">
            <v>DagrenRestau</v>
          </cell>
          <cell r="M43" t="str">
            <v>Erhverv</v>
          </cell>
          <cell r="N43" t="str">
            <v>DagrenErhverv</v>
          </cell>
          <cell r="O43" t="str">
            <v>HandelKontor</v>
          </cell>
          <cell r="P43" t="str">
            <v>Privat</v>
          </cell>
          <cell r="Q43" t="str">
            <v>TyskRest</v>
          </cell>
          <cell r="R43" t="str">
            <v>PolskRest</v>
          </cell>
          <cell r="S43" t="str">
            <v>PcbTrae</v>
          </cell>
          <cell r="T43" t="str">
            <v>TraeRekv</v>
          </cell>
          <cell r="U43" t="str">
            <v>Halm</v>
          </cell>
          <cell r="V43" t="str">
            <v>Pulver</v>
          </cell>
          <cell r="W43" t="str">
            <v>FlisAffald</v>
          </cell>
          <cell r="X43" t="str">
            <v>NyAff1</v>
          </cell>
          <cell r="Y43" t="str">
            <v>NyAff2</v>
          </cell>
          <cell r="Z43" t="str">
            <v>NyAff3</v>
          </cell>
          <cell r="AA43" t="str">
            <v>NyAff4</v>
          </cell>
          <cell r="AB43" t="str">
            <v>NyAff5</v>
          </cell>
          <cell r="AC43" t="str">
            <v>Flis</v>
          </cell>
          <cell r="AD43" t="str">
            <v>NSvarme</v>
          </cell>
          <cell r="AE43" t="str">
            <v>PeakFuel</v>
          </cell>
        </row>
        <row r="44">
          <cell r="A44">
            <v>29</v>
          </cell>
          <cell r="B44" t="str">
            <v>FuelBounds</v>
          </cell>
          <cell r="C44" t="str">
            <v>DepoSort</v>
          </cell>
          <cell r="D44" t="str">
            <v>DepoSmaat</v>
          </cell>
          <cell r="E44" t="str">
            <v>DepoNedd</v>
          </cell>
          <cell r="F44" t="str">
            <v>Dagren</v>
          </cell>
          <cell r="G44" t="str">
            <v>AndetBrand</v>
          </cell>
          <cell r="H44" t="str">
            <v>Trae</v>
          </cell>
          <cell r="I44" t="str">
            <v>DagrenRast</v>
          </cell>
          <cell r="J44" t="str">
            <v>DagrenInst</v>
          </cell>
          <cell r="K44" t="str">
            <v>DagrenHandel</v>
          </cell>
          <cell r="L44" t="str">
            <v>DagrenRestau</v>
          </cell>
          <cell r="M44" t="str">
            <v>Erhverv</v>
          </cell>
          <cell r="N44" t="str">
            <v>DagrenErhverv</v>
          </cell>
          <cell r="O44" t="str">
            <v>HandelKontor</v>
          </cell>
          <cell r="P44" t="str">
            <v>Privat</v>
          </cell>
          <cell r="Q44" t="str">
            <v>TyskRest</v>
          </cell>
          <cell r="R44" t="str">
            <v>PolskRest</v>
          </cell>
          <cell r="S44" t="str">
            <v>PcbTrae</v>
          </cell>
          <cell r="T44" t="str">
            <v>TraeRekv</v>
          </cell>
          <cell r="U44" t="str">
            <v>Halm</v>
          </cell>
          <cell r="V44" t="str">
            <v>Pulver</v>
          </cell>
          <cell r="W44" t="str">
            <v>FlisAffald</v>
          </cell>
          <cell r="X44" t="str">
            <v>NyAff1</v>
          </cell>
          <cell r="Y44" t="str">
            <v>NyAff2</v>
          </cell>
          <cell r="Z44" t="str">
            <v>NyAff3</v>
          </cell>
          <cell r="AA44" t="str">
            <v>NyAff4</v>
          </cell>
          <cell r="AB44" t="str">
            <v>NyAff5</v>
          </cell>
          <cell r="AC44" t="str">
            <v>Flis</v>
          </cell>
          <cell r="AD44" t="str">
            <v>NSvarme</v>
          </cell>
          <cell r="AE44" t="str">
            <v>PeakFuel</v>
          </cell>
        </row>
        <row r="47">
          <cell r="B47" t="str">
            <v>Niveau3</v>
          </cell>
        </row>
        <row r="48">
          <cell r="B48" t="str">
            <v>Control</v>
          </cell>
          <cell r="C48" t="str">
            <v>VOID</v>
          </cell>
        </row>
        <row r="49">
          <cell r="A49">
            <v>15</v>
          </cell>
          <cell r="B49" t="str">
            <v>Plant</v>
          </cell>
          <cell r="C49" t="str">
            <v>Aktiv</v>
          </cell>
          <cell r="D49" t="str">
            <v>Ukind</v>
          </cell>
          <cell r="E49" t="str">
            <v>Prioritet</v>
          </cell>
          <cell r="F49" t="str">
            <v>MinLhv</v>
          </cell>
          <cell r="G49" t="str">
            <v>MaxLhv</v>
          </cell>
          <cell r="H49" t="str">
            <v>MinTon</v>
          </cell>
          <cell r="I49" t="str">
            <v>MaxTon</v>
          </cell>
          <cell r="J49" t="str">
            <v>KapQNom</v>
          </cell>
          <cell r="K49" t="str">
            <v>KapRgk</v>
          </cell>
          <cell r="L49" t="str">
            <v>KapQMin</v>
          </cell>
          <cell r="M49" t="str">
            <v>KapE</v>
          </cell>
          <cell r="N49" t="str">
            <v>EtaE</v>
          </cell>
          <cell r="O49" t="str">
            <v>EtaQ</v>
          </cell>
          <cell r="P49" t="str">
            <v>DVMWhq</v>
          </cell>
          <cell r="Q49" t="str">
            <v>DVtime</v>
          </cell>
        </row>
        <row r="50">
          <cell r="A50">
            <v>12</v>
          </cell>
          <cell r="B50" t="str">
            <v>Storage</v>
          </cell>
          <cell r="C50" t="str">
            <v>Aktiv</v>
          </cell>
          <cell r="D50" t="str">
            <v>StoKind</v>
          </cell>
          <cell r="E50" t="str">
            <v>LoadInit</v>
          </cell>
          <cell r="F50" t="str">
            <v>LoadMin</v>
          </cell>
          <cell r="G50" t="str">
            <v>LoadMax</v>
          </cell>
          <cell r="H50" t="str">
            <v>DLoadMax</v>
          </cell>
          <cell r="I50" t="str">
            <v>LossRate</v>
          </cell>
          <cell r="J50" t="str">
            <v>LoadCost</v>
          </cell>
          <cell r="K50" t="str">
            <v>DLoadCost</v>
          </cell>
          <cell r="L50" t="str">
            <v>ResetFirst</v>
          </cell>
          <cell r="M50" t="str">
            <v>ResetIntv</v>
          </cell>
          <cell r="N50" t="str">
            <v>ResetLast</v>
          </cell>
        </row>
        <row r="51">
          <cell r="A51">
            <v>1</v>
          </cell>
          <cell r="B51" t="str">
            <v>Prognoses</v>
          </cell>
          <cell r="C51" t="str">
            <v>VOID</v>
          </cell>
        </row>
        <row r="52">
          <cell r="A52">
            <v>17</v>
          </cell>
          <cell r="B52" t="str">
            <v>Fuel</v>
          </cell>
          <cell r="C52" t="str">
            <v>Aktiv</v>
          </cell>
          <cell r="D52" t="str">
            <v>Fkind</v>
          </cell>
          <cell r="E52" t="str">
            <v>Lagerbar</v>
          </cell>
          <cell r="F52" t="str">
            <v>Fri</v>
          </cell>
          <cell r="G52" t="str">
            <v>Flex</v>
          </cell>
          <cell r="H52" t="str">
            <v>Bortskaf</v>
          </cell>
          <cell r="I52" t="str">
            <v>TilOvn2</v>
          </cell>
          <cell r="J52" t="str">
            <v>TilOvn3</v>
          </cell>
          <cell r="K52" t="str">
            <v>DeltaTon</v>
          </cell>
          <cell r="L52" t="str">
            <v>MinTonnage</v>
          </cell>
          <cell r="M52" t="str">
            <v>MaxTonnage</v>
          </cell>
          <cell r="N52" t="str">
            <v>InitSto1</v>
          </cell>
          <cell r="O52" t="str">
            <v>InitSto2</v>
          </cell>
          <cell r="P52" t="str">
            <v>Pris</v>
          </cell>
          <cell r="Q52" t="str">
            <v>LHV</v>
          </cell>
          <cell r="R52" t="str">
            <v>NOxKgTon</v>
          </cell>
          <cell r="S52" t="str">
            <v>CO2kgGJ</v>
          </cell>
        </row>
        <row r="53">
          <cell r="A53">
            <v>7</v>
          </cell>
          <cell r="B53" t="str">
            <v>FuelBounds</v>
          </cell>
          <cell r="C53" t="str">
            <v>TilOvn2</v>
          </cell>
          <cell r="D53" t="str">
            <v>TilOvn3</v>
          </cell>
          <cell r="E53" t="str">
            <v>MinTonnage</v>
          </cell>
          <cell r="F53" t="str">
            <v>MaxTonnage</v>
          </cell>
          <cell r="G53" t="str">
            <v>Pris</v>
          </cell>
          <cell r="H53" t="str">
            <v>LHV</v>
          </cell>
          <cell r="I53" t="str">
            <v>CO2kgGJ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9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5041-A897-4B9A-847B-80A5909CEA13}">
  <sheetPr codeName="Sheet7"/>
  <dimension ref="C3:Y10"/>
  <sheetViews>
    <sheetView zoomScale="85" zoomScaleNormal="85" workbookViewId="0">
      <selection activeCell="D3" sqref="D3"/>
    </sheetView>
  </sheetViews>
  <sheetFormatPr defaultRowHeight="15" x14ac:dyDescent="0.25"/>
  <cols>
    <col min="3" max="3" width="24" bestFit="1" customWidth="1"/>
    <col min="4" max="4" width="9.42578125" bestFit="1" customWidth="1"/>
  </cols>
  <sheetData>
    <row r="3" spans="3:25" x14ac:dyDescent="0.25">
      <c r="C3" t="s">
        <v>262</v>
      </c>
      <c r="D3" t="s">
        <v>263</v>
      </c>
    </row>
    <row r="4" spans="3:25" x14ac:dyDescent="0.25">
      <c r="C4" s="74" t="s">
        <v>124</v>
      </c>
      <c r="D4" s="75" t="s">
        <v>47</v>
      </c>
      <c r="E4" s="76" t="s">
        <v>199</v>
      </c>
      <c r="F4" s="76" t="s">
        <v>200</v>
      </c>
      <c r="G4" s="76" t="s">
        <v>201</v>
      </c>
      <c r="H4" s="76" t="s">
        <v>202</v>
      </c>
      <c r="I4" s="76" t="s">
        <v>203</v>
      </c>
      <c r="J4" s="76" t="s">
        <v>204</v>
      </c>
      <c r="K4" s="76" t="s">
        <v>205</v>
      </c>
      <c r="L4" s="76" t="s">
        <v>206</v>
      </c>
      <c r="M4" s="76" t="s">
        <v>207</v>
      </c>
      <c r="N4" s="76" t="s">
        <v>208</v>
      </c>
      <c r="O4" s="76" t="s">
        <v>209</v>
      </c>
      <c r="P4" s="76" t="s">
        <v>210</v>
      </c>
      <c r="Q4" s="76" t="s">
        <v>211</v>
      </c>
      <c r="R4" s="76" t="s">
        <v>212</v>
      </c>
      <c r="S4" s="76" t="s">
        <v>213</v>
      </c>
      <c r="T4" s="76" t="s">
        <v>214</v>
      </c>
      <c r="U4" s="76" t="s">
        <v>215</v>
      </c>
      <c r="V4" s="76" t="s">
        <v>216</v>
      </c>
      <c r="W4" s="76" t="s">
        <v>217</v>
      </c>
      <c r="X4" s="76" t="s">
        <v>218</v>
      </c>
      <c r="Y4" s="77" t="s">
        <v>219</v>
      </c>
    </row>
    <row r="5" spans="3:25" x14ac:dyDescent="0.25">
      <c r="C5" s="78" t="s">
        <v>220</v>
      </c>
      <c r="D5" s="79"/>
      <c r="E5" s="80">
        <v>1</v>
      </c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1">
        <v>1</v>
      </c>
    </row>
    <row r="6" spans="3:25" x14ac:dyDescent="0.25">
      <c r="C6" s="78" t="s">
        <v>194</v>
      </c>
      <c r="D6" s="82" t="s">
        <v>41</v>
      </c>
      <c r="E6" s="83">
        <v>28000</v>
      </c>
      <c r="F6" s="83">
        <v>28000</v>
      </c>
      <c r="G6" s="83">
        <v>28000</v>
      </c>
      <c r="H6" s="83">
        <v>28000</v>
      </c>
      <c r="I6" s="83">
        <v>28000</v>
      </c>
      <c r="J6" s="83">
        <v>28000</v>
      </c>
      <c r="K6" s="83">
        <v>28000</v>
      </c>
      <c r="L6" s="83">
        <v>28000</v>
      </c>
      <c r="M6" s="83">
        <v>28000</v>
      </c>
      <c r="N6" s="83">
        <v>28000</v>
      </c>
      <c r="O6" s="83">
        <v>28000</v>
      </c>
      <c r="P6" s="83">
        <v>28000</v>
      </c>
      <c r="Q6" s="83">
        <v>28000</v>
      </c>
      <c r="R6" s="83">
        <v>28000</v>
      </c>
      <c r="S6" s="83">
        <v>28000</v>
      </c>
      <c r="T6" s="83">
        <v>28000</v>
      </c>
      <c r="U6" s="83">
        <v>28000</v>
      </c>
      <c r="V6" s="83">
        <v>28000</v>
      </c>
      <c r="W6" s="83">
        <v>28000</v>
      </c>
      <c r="X6" s="83">
        <v>28000</v>
      </c>
      <c r="Y6" s="84">
        <v>28000</v>
      </c>
    </row>
    <row r="7" spans="3:25" x14ac:dyDescent="0.25">
      <c r="C7" s="78" t="s">
        <v>195</v>
      </c>
      <c r="D7" s="82" t="s">
        <v>16</v>
      </c>
      <c r="E7" s="83">
        <v>12000</v>
      </c>
      <c r="F7" s="83">
        <v>12000</v>
      </c>
      <c r="G7" s="83">
        <v>12000</v>
      </c>
      <c r="H7" s="83">
        <v>12000</v>
      </c>
      <c r="I7" s="83">
        <v>12000</v>
      </c>
      <c r="J7" s="83">
        <v>12000</v>
      </c>
      <c r="K7" s="83">
        <v>12000</v>
      </c>
      <c r="L7" s="83">
        <v>12000</v>
      </c>
      <c r="M7" s="83">
        <v>12000</v>
      </c>
      <c r="N7" s="83">
        <v>12000</v>
      </c>
      <c r="O7" s="83">
        <v>12000</v>
      </c>
      <c r="P7" s="83">
        <v>12000</v>
      </c>
      <c r="Q7" s="83">
        <v>12000</v>
      </c>
      <c r="R7" s="83">
        <v>12000</v>
      </c>
      <c r="S7" s="83">
        <v>12000</v>
      </c>
      <c r="T7" s="83">
        <v>12000</v>
      </c>
      <c r="U7" s="83">
        <v>12000</v>
      </c>
      <c r="V7" s="83">
        <v>12000</v>
      </c>
      <c r="W7" s="83">
        <v>12000</v>
      </c>
      <c r="X7" s="83">
        <v>12000</v>
      </c>
      <c r="Y7" s="84">
        <v>12000</v>
      </c>
    </row>
    <row r="8" spans="3:25" x14ac:dyDescent="0.25">
      <c r="C8" s="78" t="s">
        <v>196</v>
      </c>
      <c r="D8" s="82" t="s">
        <v>16</v>
      </c>
      <c r="E8" s="83">
        <v>0</v>
      </c>
      <c r="F8" s="83">
        <v>0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0</v>
      </c>
      <c r="M8" s="83">
        <v>0</v>
      </c>
      <c r="N8" s="83">
        <v>0</v>
      </c>
      <c r="O8" s="83">
        <v>0</v>
      </c>
      <c r="P8" s="83">
        <v>0</v>
      </c>
      <c r="Q8" s="83">
        <v>0</v>
      </c>
      <c r="R8" s="83">
        <v>0</v>
      </c>
      <c r="S8" s="83">
        <v>0</v>
      </c>
      <c r="T8" s="83">
        <v>0</v>
      </c>
      <c r="U8" s="83">
        <v>0</v>
      </c>
      <c r="V8" s="83">
        <v>0</v>
      </c>
      <c r="W8" s="83">
        <v>0</v>
      </c>
      <c r="X8" s="83">
        <v>0</v>
      </c>
      <c r="Y8" s="84">
        <v>0</v>
      </c>
    </row>
    <row r="9" spans="3:25" x14ac:dyDescent="0.25">
      <c r="C9" s="78" t="s">
        <v>123</v>
      </c>
      <c r="D9" s="82" t="s">
        <v>125</v>
      </c>
      <c r="E9" s="85">
        <v>1</v>
      </c>
      <c r="F9" s="85">
        <v>0.05</v>
      </c>
      <c r="G9" s="85">
        <v>0.1</v>
      </c>
      <c r="H9" s="85">
        <v>0.15</v>
      </c>
      <c r="I9" s="85">
        <v>0.2</v>
      </c>
      <c r="J9" s="85">
        <v>0.25</v>
      </c>
      <c r="K9" s="85">
        <v>0.3</v>
      </c>
      <c r="L9" s="85">
        <v>0.35</v>
      </c>
      <c r="M9" s="85">
        <v>0.4</v>
      </c>
      <c r="N9" s="85">
        <v>0.45</v>
      </c>
      <c r="O9" s="85">
        <v>0.5</v>
      </c>
      <c r="P9" s="85">
        <v>0.55000000000000004</v>
      </c>
      <c r="Q9" s="85">
        <v>0.6</v>
      </c>
      <c r="R9" s="85">
        <v>0.65</v>
      </c>
      <c r="S9" s="85">
        <v>0.7</v>
      </c>
      <c r="T9" s="85">
        <v>0.75</v>
      </c>
      <c r="U9" s="85">
        <v>0.8</v>
      </c>
      <c r="V9" s="85">
        <v>0.85</v>
      </c>
      <c r="W9" s="85">
        <v>0.9</v>
      </c>
      <c r="X9" s="85">
        <v>0.95</v>
      </c>
      <c r="Y9" s="86">
        <v>1</v>
      </c>
    </row>
    <row r="10" spans="3:25" x14ac:dyDescent="0.25">
      <c r="C10" s="87" t="s">
        <v>197</v>
      </c>
      <c r="D10" s="88" t="s">
        <v>41</v>
      </c>
      <c r="E10" s="89">
        <v>4000</v>
      </c>
      <c r="F10" s="89">
        <v>4000</v>
      </c>
      <c r="G10" s="89">
        <v>4000</v>
      </c>
      <c r="H10" s="89">
        <v>4000</v>
      </c>
      <c r="I10" s="89">
        <v>4000</v>
      </c>
      <c r="J10" s="89">
        <v>4000</v>
      </c>
      <c r="K10" s="89">
        <v>4000</v>
      </c>
      <c r="L10" s="89">
        <v>4000</v>
      </c>
      <c r="M10" s="89">
        <v>4000</v>
      </c>
      <c r="N10" s="89">
        <v>4000</v>
      </c>
      <c r="O10" s="89">
        <v>4000</v>
      </c>
      <c r="P10" s="89">
        <v>4000</v>
      </c>
      <c r="Q10" s="89">
        <v>4000</v>
      </c>
      <c r="R10" s="89">
        <v>4000</v>
      </c>
      <c r="S10" s="89">
        <v>4000</v>
      </c>
      <c r="T10" s="89">
        <v>4000</v>
      </c>
      <c r="U10" s="89">
        <v>4000</v>
      </c>
      <c r="V10" s="89">
        <v>4000</v>
      </c>
      <c r="W10" s="89">
        <v>4000</v>
      </c>
      <c r="X10" s="89">
        <v>4000</v>
      </c>
      <c r="Y10" s="90">
        <v>4000</v>
      </c>
    </row>
  </sheetData>
  <customSheetViews>
    <customSheetView guid="{D61959C2-356A-4414-A70C-587540F5DA06}" scale="85">
      <selection activeCell="D3" sqref="D3"/>
      <pageMargins left="0.7" right="0.7" top="0.75" bottom="0.75" header="0.3" footer="0.3"/>
    </customSheetView>
    <customSheetView guid="{01B8EE19-BF49-4F3C-9D6B-CD607AE52779}" scale="85">
      <selection activeCell="D3" sqref="D3"/>
      <pageMargins left="0.7" right="0.7" top="0.75" bottom="0.75" header="0.3" footer="0.3"/>
    </customSheetView>
  </customSheetViews>
  <conditionalFormatting sqref="E5:Y5">
    <cfRule type="cellIs" dxfId="18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E148"/>
  <sheetViews>
    <sheetView topLeftCell="B5" zoomScale="85" zoomScaleNormal="85" workbookViewId="0">
      <selection activeCell="E109" sqref="E109:Y109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35">
      <c r="A5" s="47"/>
      <c r="B5" s="47"/>
      <c r="C5" s="98" t="s">
        <v>231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</row>
    <row r="6" spans="1:31" x14ac:dyDescent="0.25">
      <c r="A6" s="47"/>
      <c r="B6" s="47"/>
      <c r="C6" s="74" t="s">
        <v>124</v>
      </c>
      <c r="D6" s="75" t="s">
        <v>47</v>
      </c>
      <c r="E6" s="76" t="s">
        <v>199</v>
      </c>
      <c r="F6" s="76" t="s">
        <v>200</v>
      </c>
      <c r="G6" s="76" t="s">
        <v>201</v>
      </c>
      <c r="H6" s="76" t="s">
        <v>202</v>
      </c>
      <c r="I6" s="76" t="s">
        <v>203</v>
      </c>
      <c r="J6" s="76" t="s">
        <v>204</v>
      </c>
      <c r="K6" s="76" t="s">
        <v>205</v>
      </c>
      <c r="L6" s="76" t="s">
        <v>206</v>
      </c>
      <c r="M6" s="76" t="s">
        <v>207</v>
      </c>
      <c r="N6" s="76" t="s">
        <v>208</v>
      </c>
      <c r="O6" s="76" t="s">
        <v>209</v>
      </c>
      <c r="P6" s="76" t="s">
        <v>210</v>
      </c>
      <c r="Q6" s="76" t="s">
        <v>211</v>
      </c>
      <c r="R6" s="76" t="s">
        <v>212</v>
      </c>
      <c r="S6" s="76" t="s">
        <v>213</v>
      </c>
      <c r="T6" s="76" t="s">
        <v>214</v>
      </c>
      <c r="U6" s="76" t="s">
        <v>215</v>
      </c>
      <c r="V6" s="76" t="s">
        <v>216</v>
      </c>
      <c r="W6" s="76" t="s">
        <v>217</v>
      </c>
      <c r="X6" s="76" t="s">
        <v>218</v>
      </c>
      <c r="Y6" s="77" t="s">
        <v>219</v>
      </c>
      <c r="Z6" s="47"/>
      <c r="AA6" s="47"/>
      <c r="AB6" s="47"/>
      <c r="AC6" s="47"/>
      <c r="AD6" s="47"/>
      <c r="AE6" s="47"/>
    </row>
    <row r="7" spans="1:31" x14ac:dyDescent="0.25">
      <c r="A7" s="47"/>
      <c r="B7" s="47"/>
      <c r="C7" s="78" t="s">
        <v>220</v>
      </c>
      <c r="D7" s="79"/>
      <c r="E7" s="80">
        <v>1</v>
      </c>
      <c r="F7" s="80">
        <v>1</v>
      </c>
      <c r="G7" s="80">
        <v>1</v>
      </c>
      <c r="H7" s="80">
        <v>1</v>
      </c>
      <c r="I7" s="80">
        <v>1</v>
      </c>
      <c r="J7" s="80">
        <v>1</v>
      </c>
      <c r="K7" s="80">
        <v>1</v>
      </c>
      <c r="L7" s="80">
        <v>1</v>
      </c>
      <c r="M7" s="80">
        <v>1</v>
      </c>
      <c r="N7" s="80">
        <v>1</v>
      </c>
      <c r="O7" s="80">
        <v>1</v>
      </c>
      <c r="P7" s="80">
        <v>1</v>
      </c>
      <c r="Q7" s="80">
        <v>1</v>
      </c>
      <c r="R7" s="80">
        <v>1</v>
      </c>
      <c r="S7" s="80">
        <v>1</v>
      </c>
      <c r="T7" s="80">
        <v>1</v>
      </c>
      <c r="U7" s="80">
        <v>1</v>
      </c>
      <c r="V7" s="80">
        <v>1</v>
      </c>
      <c r="W7" s="80">
        <v>1</v>
      </c>
      <c r="X7" s="80">
        <v>1</v>
      </c>
      <c r="Y7" s="81">
        <v>1</v>
      </c>
      <c r="Z7" s="47"/>
      <c r="AA7" s="47"/>
      <c r="AB7" s="47"/>
      <c r="AC7" s="47"/>
      <c r="AD7" s="47"/>
      <c r="AE7" s="47"/>
    </row>
    <row r="8" spans="1:31" x14ac:dyDescent="0.25">
      <c r="A8" s="99"/>
      <c r="B8" s="47"/>
      <c r="C8" s="78" t="str">
        <f>'Model-1'!A4</f>
        <v>FJV-behov</v>
      </c>
      <c r="D8" s="82" t="str">
        <f>'Model-1'!B4</f>
        <v>MWhq</v>
      </c>
      <c r="E8" s="83">
        <f>28000</f>
        <v>28000</v>
      </c>
      <c r="F8" s="83">
        <f>28000</f>
        <v>28000</v>
      </c>
      <c r="G8" s="83">
        <f>28000</f>
        <v>28000</v>
      </c>
      <c r="H8" s="83">
        <f>28000</f>
        <v>28000</v>
      </c>
      <c r="I8" s="83">
        <f>28000</f>
        <v>28000</v>
      </c>
      <c r="J8" s="83">
        <f>28000</f>
        <v>28000</v>
      </c>
      <c r="K8" s="83">
        <f>28000</f>
        <v>28000</v>
      </c>
      <c r="L8" s="83">
        <f>28000</f>
        <v>28000</v>
      </c>
      <c r="M8" s="83">
        <f>28000</f>
        <v>28000</v>
      </c>
      <c r="N8" s="83">
        <f>28000</f>
        <v>28000</v>
      </c>
      <c r="O8" s="83">
        <f>28000</f>
        <v>28000</v>
      </c>
      <c r="P8" s="83">
        <f>28000</f>
        <v>28000</v>
      </c>
      <c r="Q8" s="83">
        <f>28000</f>
        <v>28000</v>
      </c>
      <c r="R8" s="83">
        <f>28000</f>
        <v>28000</v>
      </c>
      <c r="S8" s="83">
        <f>28000</f>
        <v>28000</v>
      </c>
      <c r="T8" s="83">
        <f>28000</f>
        <v>28000</v>
      </c>
      <c r="U8" s="83">
        <f>28000</f>
        <v>28000</v>
      </c>
      <c r="V8" s="83">
        <f>28000</f>
        <v>28000</v>
      </c>
      <c r="W8" s="83">
        <f>28000</f>
        <v>28000</v>
      </c>
      <c r="X8" s="83">
        <f>28000</f>
        <v>28000</v>
      </c>
      <c r="Y8" s="84">
        <f>28000</f>
        <v>28000</v>
      </c>
      <c r="Z8" s="47"/>
      <c r="AA8" s="47"/>
      <c r="AB8" s="47"/>
      <c r="AC8" s="47"/>
      <c r="AD8" s="47"/>
      <c r="AE8" s="47"/>
    </row>
    <row r="9" spans="1:31" x14ac:dyDescent="0.25">
      <c r="A9" s="99"/>
      <c r="B9" s="47"/>
      <c r="C9" s="78" t="str">
        <f>'Model-1'!A5</f>
        <v>Affaldstonnage Fast Fossil</v>
      </c>
      <c r="D9" s="82" t="str">
        <f>'Model-1'!B5</f>
        <v>ton</v>
      </c>
      <c r="E9" s="83">
        <f>'Model-1'!C5</f>
        <v>9000</v>
      </c>
      <c r="F9" s="83">
        <v>12000</v>
      </c>
      <c r="G9" s="83">
        <v>12000</v>
      </c>
      <c r="H9" s="83">
        <v>12000</v>
      </c>
      <c r="I9" s="83">
        <v>12000</v>
      </c>
      <c r="J9" s="83">
        <v>12000</v>
      </c>
      <c r="K9" s="83">
        <v>12000</v>
      </c>
      <c r="L9" s="83">
        <v>12000</v>
      </c>
      <c r="M9" s="83">
        <v>12000</v>
      </c>
      <c r="N9" s="83">
        <v>12000</v>
      </c>
      <c r="O9" s="83">
        <v>12000</v>
      </c>
      <c r="P9" s="83">
        <v>12000</v>
      </c>
      <c r="Q9" s="83">
        <v>12000</v>
      </c>
      <c r="R9" s="83">
        <v>12000</v>
      </c>
      <c r="S9" s="83">
        <v>12000</v>
      </c>
      <c r="T9" s="83">
        <v>12000</v>
      </c>
      <c r="U9" s="83">
        <v>12000</v>
      </c>
      <c r="V9" s="83">
        <v>12000</v>
      </c>
      <c r="W9" s="83">
        <v>12000</v>
      </c>
      <c r="X9" s="83">
        <v>12000</v>
      </c>
      <c r="Y9" s="84">
        <v>12000</v>
      </c>
      <c r="Z9" s="47"/>
      <c r="AA9" s="47"/>
      <c r="AB9" s="47"/>
      <c r="AC9" s="47"/>
      <c r="AD9" s="47"/>
      <c r="AE9" s="47"/>
    </row>
    <row r="10" spans="1:31" x14ac:dyDescent="0.25">
      <c r="A10" s="99"/>
      <c r="B10" s="47"/>
      <c r="C10" s="78" t="str">
        <f>'Model-1'!A7</f>
        <v>Affaldstonnage Biogen</v>
      </c>
      <c r="D10" s="82" t="str">
        <f>'Model-1'!B7</f>
        <v>ton</v>
      </c>
      <c r="E10" s="83">
        <f>'Model-1'!C7</f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4">
        <v>0</v>
      </c>
      <c r="Z10" s="47"/>
      <c r="AA10" s="47"/>
      <c r="AB10" s="47"/>
      <c r="AC10" s="47"/>
      <c r="AD10" s="47"/>
      <c r="AE10" s="47"/>
    </row>
    <row r="11" spans="1:31" x14ac:dyDescent="0.25">
      <c r="A11" s="99"/>
      <c r="B11" s="47"/>
      <c r="C11" s="78" t="str">
        <f>'Model-1'!A8</f>
        <v>RGK-udnyttelse</v>
      </c>
      <c r="D11" s="82" t="str">
        <f>'Model-1'!B8</f>
        <v>procent</v>
      </c>
      <c r="E11" s="85">
        <v>1</v>
      </c>
      <c r="F11" s="85">
        <v>0.05</v>
      </c>
      <c r="G11" s="85">
        <v>0.1</v>
      </c>
      <c r="H11" s="85">
        <v>0.15</v>
      </c>
      <c r="I11" s="85">
        <v>0.2</v>
      </c>
      <c r="J11" s="85">
        <v>0.25</v>
      </c>
      <c r="K11" s="85">
        <v>0.3</v>
      </c>
      <c r="L11" s="85">
        <v>0.35</v>
      </c>
      <c r="M11" s="85">
        <v>0.4</v>
      </c>
      <c r="N11" s="85">
        <v>0.45</v>
      </c>
      <c r="O11" s="85">
        <v>0.5</v>
      </c>
      <c r="P11" s="85">
        <v>0.55000000000000004</v>
      </c>
      <c r="Q11" s="85">
        <v>0.6</v>
      </c>
      <c r="R11" s="85">
        <v>0.65</v>
      </c>
      <c r="S11" s="85">
        <v>0.7</v>
      </c>
      <c r="T11" s="85">
        <v>0.75</v>
      </c>
      <c r="U11" s="85">
        <v>0.8</v>
      </c>
      <c r="V11" s="85">
        <v>0.85</v>
      </c>
      <c r="W11" s="85">
        <v>0.9</v>
      </c>
      <c r="X11" s="85">
        <v>0.95</v>
      </c>
      <c r="Y11" s="86">
        <v>1</v>
      </c>
      <c r="Z11" s="47"/>
      <c r="AA11" s="47"/>
      <c r="AB11" s="47"/>
      <c r="AC11" s="47"/>
      <c r="AD11" s="47"/>
      <c r="AE11" s="47"/>
    </row>
    <row r="12" spans="1:31" x14ac:dyDescent="0.25">
      <c r="A12" s="99"/>
      <c r="B12" s="47"/>
      <c r="C12" s="87" t="str">
        <f>'Model-1'!A9</f>
        <v>NordicSugar varme</v>
      </c>
      <c r="D12" s="88" t="str">
        <f>'Model-1'!B9</f>
        <v>MWhq</v>
      </c>
      <c r="E12" s="89">
        <f>'Model-1'!C9</f>
        <v>4000</v>
      </c>
      <c r="F12" s="89">
        <v>4000</v>
      </c>
      <c r="G12" s="89">
        <v>4000</v>
      </c>
      <c r="H12" s="89">
        <v>4000</v>
      </c>
      <c r="I12" s="89">
        <v>4000</v>
      </c>
      <c r="J12" s="89">
        <v>4000</v>
      </c>
      <c r="K12" s="89">
        <v>4000</v>
      </c>
      <c r="L12" s="89">
        <v>4000</v>
      </c>
      <c r="M12" s="89">
        <v>4000</v>
      </c>
      <c r="N12" s="89">
        <v>4000</v>
      </c>
      <c r="O12" s="89">
        <v>4000</v>
      </c>
      <c r="P12" s="89">
        <v>4000</v>
      </c>
      <c r="Q12" s="89">
        <v>4000</v>
      </c>
      <c r="R12" s="89">
        <v>4000</v>
      </c>
      <c r="S12" s="89">
        <v>4000</v>
      </c>
      <c r="T12" s="89">
        <v>4000</v>
      </c>
      <c r="U12" s="89">
        <v>4000</v>
      </c>
      <c r="V12" s="89">
        <v>4000</v>
      </c>
      <c r="W12" s="89">
        <v>4000</v>
      </c>
      <c r="X12" s="89">
        <v>4000</v>
      </c>
      <c r="Y12" s="90">
        <v>4000</v>
      </c>
      <c r="Z12" s="47"/>
      <c r="AA12" s="47"/>
      <c r="AB12" s="47"/>
      <c r="AC12" s="47"/>
      <c r="AD12" s="47"/>
      <c r="AE12" s="47"/>
    </row>
    <row r="13" spans="1:31" x14ac:dyDescent="0.25">
      <c r="A13" s="47"/>
      <c r="B13" s="47"/>
      <c r="C13" s="48"/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7"/>
      <c r="AA13" s="47"/>
      <c r="AB13" s="47"/>
      <c r="AC13" s="47"/>
      <c r="AD13" s="47"/>
      <c r="AE13" s="47"/>
    </row>
    <row r="14" spans="1:31" x14ac:dyDescent="0.25">
      <c r="A14" s="47"/>
      <c r="B14" s="47"/>
      <c r="C14" s="93" t="s">
        <v>228</v>
      </c>
      <c r="D14" s="94" t="s">
        <v>229</v>
      </c>
      <c r="E14" s="95"/>
      <c r="F14" s="95"/>
      <c r="G14" s="95"/>
      <c r="H14" s="95"/>
      <c r="I14" s="94"/>
      <c r="J14" s="93" t="s">
        <v>228</v>
      </c>
      <c r="K14" s="94" t="s">
        <v>233</v>
      </c>
      <c r="L14" s="95"/>
      <c r="M14" s="95"/>
      <c r="N14" s="95"/>
      <c r="O14" s="95"/>
      <c r="P14" s="95"/>
      <c r="Q14" s="95"/>
      <c r="R14" s="95"/>
      <c r="S14" s="95" t="s">
        <v>228</v>
      </c>
      <c r="T14" s="95" t="s">
        <v>132</v>
      </c>
      <c r="U14" s="95"/>
      <c r="V14" s="95"/>
      <c r="W14" s="95"/>
      <c r="X14" s="95"/>
      <c r="Y14" s="95"/>
      <c r="Z14" s="95"/>
      <c r="AA14" s="95"/>
      <c r="AB14" s="95"/>
      <c r="AC14" s="47"/>
      <c r="AD14" s="47"/>
      <c r="AE14" s="47"/>
    </row>
    <row r="15" spans="1:31" x14ac:dyDescent="0.25">
      <c r="A15" s="39" t="s">
        <v>232</v>
      </c>
      <c r="B15" s="42" t="s">
        <v>230</v>
      </c>
      <c r="C15" s="48"/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7"/>
      <c r="AA15" s="47"/>
      <c r="AB15" s="47"/>
      <c r="AC15" s="47"/>
      <c r="AD15" s="47"/>
      <c r="AE15" s="47"/>
    </row>
    <row r="16" spans="1:31" x14ac:dyDescent="0.25">
      <c r="A16" t="s">
        <v>113</v>
      </c>
      <c r="B16" s="37">
        <v>1000</v>
      </c>
      <c r="C16" s="48"/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7"/>
      <c r="AA16" s="47"/>
      <c r="AB16" s="47"/>
      <c r="AC16" s="47"/>
      <c r="AD16" s="47"/>
      <c r="AE16" s="47"/>
    </row>
    <row r="17" spans="1:31" x14ac:dyDescent="0.25">
      <c r="A17" t="s">
        <v>111</v>
      </c>
      <c r="B17" s="37">
        <v>1000</v>
      </c>
      <c r="C17" s="48"/>
      <c r="D17" s="48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7"/>
      <c r="AA17" s="47"/>
      <c r="AB17" s="47"/>
      <c r="AC17" s="47"/>
      <c r="AD17" s="47"/>
      <c r="AE17" s="47"/>
    </row>
    <row r="18" spans="1:31" x14ac:dyDescent="0.25">
      <c r="A18" t="s">
        <v>112</v>
      </c>
      <c r="B18" s="37">
        <v>-1000</v>
      </c>
      <c r="C18" s="48"/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7"/>
      <c r="AA18" s="47"/>
      <c r="AB18" s="47"/>
      <c r="AC18" s="47"/>
      <c r="AD18" s="47"/>
      <c r="AE18" s="47"/>
    </row>
    <row r="19" spans="1:31" x14ac:dyDescent="0.25">
      <c r="A19" t="s">
        <v>98</v>
      </c>
      <c r="B19" s="37">
        <v>1000</v>
      </c>
      <c r="C19" s="48"/>
      <c r="D19" s="48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7"/>
      <c r="AA19" s="47"/>
      <c r="AB19" s="47"/>
      <c r="AC19" s="47"/>
      <c r="AD19" s="47"/>
      <c r="AE19" s="47"/>
    </row>
    <row r="20" spans="1:31" x14ac:dyDescent="0.25">
      <c r="A20" t="s">
        <v>96</v>
      </c>
      <c r="B20" s="37">
        <v>1000</v>
      </c>
      <c r="C20" s="48"/>
      <c r="D20" s="48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7"/>
      <c r="AA20" s="47"/>
      <c r="AB20" s="47"/>
      <c r="AC20" s="47"/>
      <c r="AD20" s="47"/>
      <c r="AE20" s="47"/>
    </row>
    <row r="21" spans="1:31" x14ac:dyDescent="0.25">
      <c r="A21" t="s">
        <v>22</v>
      </c>
      <c r="B21" s="37">
        <v>1000</v>
      </c>
      <c r="C21" s="48"/>
      <c r="D21" s="48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7"/>
      <c r="AA21" s="47"/>
      <c r="AB21" s="47"/>
      <c r="AC21" s="47"/>
      <c r="AD21" s="47"/>
      <c r="AE21" s="47"/>
    </row>
    <row r="22" spans="1:31" x14ac:dyDescent="0.25">
      <c r="A22" t="s">
        <v>105</v>
      </c>
      <c r="B22" s="37">
        <v>1</v>
      </c>
      <c r="C22" s="48"/>
      <c r="D22" s="48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7"/>
      <c r="AA22" s="47"/>
      <c r="AB22" s="47"/>
      <c r="AC22" s="47"/>
      <c r="AD22" s="47"/>
      <c r="AE22" s="47"/>
    </row>
    <row r="23" spans="1:31" x14ac:dyDescent="0.25">
      <c r="A23" t="s">
        <v>106</v>
      </c>
      <c r="B23" s="37">
        <v>1</v>
      </c>
      <c r="C23" s="48"/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7"/>
      <c r="AA23" s="47"/>
      <c r="AB23" s="47"/>
      <c r="AC23" s="47"/>
      <c r="AD23" s="47"/>
      <c r="AE23" s="47"/>
    </row>
    <row r="24" spans="1:31" x14ac:dyDescent="0.25">
      <c r="A24" t="s">
        <v>44</v>
      </c>
      <c r="B24" s="37">
        <v>-1</v>
      </c>
      <c r="C24" s="48"/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7"/>
      <c r="AA24" s="47"/>
      <c r="AB24" s="47"/>
      <c r="AC24" s="47"/>
      <c r="AD24" s="47"/>
      <c r="AE24" s="47"/>
    </row>
    <row r="25" spans="1:31" x14ac:dyDescent="0.25">
      <c r="A25" t="s">
        <v>102</v>
      </c>
      <c r="B25" s="37">
        <v>1</v>
      </c>
      <c r="C25" s="48"/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7"/>
      <c r="AA25" s="47"/>
      <c r="AB25" s="47"/>
      <c r="AC25" s="47"/>
      <c r="AD25" s="47"/>
      <c r="AE25" s="47"/>
    </row>
    <row r="26" spans="1:31" x14ac:dyDescent="0.25">
      <c r="A26" t="s">
        <v>126</v>
      </c>
      <c r="B26" s="37">
        <v>1</v>
      </c>
      <c r="C26" s="48"/>
      <c r="D26" s="48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7"/>
      <c r="AA26" s="47"/>
      <c r="AB26" s="47"/>
      <c r="AC26" s="47"/>
      <c r="AD26" s="47"/>
      <c r="AE26" s="47"/>
    </row>
    <row r="27" spans="1:31" x14ac:dyDescent="0.25">
      <c r="A27" t="s">
        <v>137</v>
      </c>
      <c r="B27" s="37">
        <v>1</v>
      </c>
      <c r="C27" s="48"/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7"/>
      <c r="AA27" s="47"/>
      <c r="AB27" s="47"/>
      <c r="AC27" s="47"/>
      <c r="AD27" s="47"/>
      <c r="AE27" s="47"/>
    </row>
    <row r="28" spans="1:31" x14ac:dyDescent="0.25">
      <c r="A28" t="s">
        <v>135</v>
      </c>
      <c r="B28" s="37">
        <v>1</v>
      </c>
      <c r="C28" s="48"/>
      <c r="D28" s="48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7"/>
      <c r="AA28" s="47"/>
      <c r="AB28" s="47"/>
      <c r="AC28" s="47"/>
      <c r="AD28" s="47"/>
      <c r="AE28" s="47"/>
    </row>
    <row r="29" spans="1:31" x14ac:dyDescent="0.25">
      <c r="A29" t="s">
        <v>94</v>
      </c>
      <c r="B29" s="37">
        <v>1</v>
      </c>
      <c r="C29" s="48"/>
      <c r="D29" s="48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7"/>
      <c r="AA29" s="47"/>
      <c r="AB29" s="47"/>
      <c r="AC29" s="47"/>
      <c r="AD29" s="47"/>
      <c r="AE29" s="47"/>
    </row>
    <row r="30" spans="1:31" x14ac:dyDescent="0.25">
      <c r="A30" t="s">
        <v>93</v>
      </c>
      <c r="B30" s="37">
        <v>1</v>
      </c>
      <c r="C30" s="48"/>
      <c r="D30" s="4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7"/>
      <c r="AA30" s="47"/>
      <c r="AB30" s="47"/>
      <c r="AC30" s="47"/>
      <c r="AD30" s="47"/>
      <c r="AE30" s="47"/>
    </row>
    <row r="31" spans="1:31" x14ac:dyDescent="0.25">
      <c r="A31" t="s">
        <v>139</v>
      </c>
      <c r="B31" s="37">
        <v>1</v>
      </c>
      <c r="C31" s="48"/>
      <c r="D31" s="48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7"/>
      <c r="AA31" s="47"/>
      <c r="AB31" s="47"/>
      <c r="AC31" s="47"/>
      <c r="AD31" s="47"/>
      <c r="AE31" s="47"/>
    </row>
    <row r="32" spans="1:31" x14ac:dyDescent="0.25">
      <c r="A32" t="s">
        <v>138</v>
      </c>
      <c r="B32" s="37">
        <v>1</v>
      </c>
      <c r="C32" s="48"/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7"/>
      <c r="AA32" s="47"/>
      <c r="AB32" s="47"/>
      <c r="AC32" s="47"/>
      <c r="AD32" s="47"/>
      <c r="AE32" s="47"/>
    </row>
    <row r="33" spans="1:31" x14ac:dyDescent="0.25">
      <c r="A33" t="s">
        <v>258</v>
      </c>
      <c r="B33" s="37">
        <v>1</v>
      </c>
      <c r="C33" s="93"/>
      <c r="D33" s="96" t="s">
        <v>228</v>
      </c>
      <c r="E33" s="95" t="s">
        <v>261</v>
      </c>
      <c r="F33" s="95"/>
      <c r="G33" s="95"/>
      <c r="H33" s="95"/>
      <c r="I33" s="95"/>
      <c r="J33" s="95" t="s">
        <v>228</v>
      </c>
      <c r="K33" s="95" t="s">
        <v>140</v>
      </c>
      <c r="L33" s="95"/>
      <c r="M33" s="95"/>
      <c r="N33" s="95"/>
      <c r="O33" s="95"/>
      <c r="P33" s="95"/>
      <c r="Q33" s="95"/>
      <c r="R33" s="95"/>
      <c r="S33" s="95" t="s">
        <v>228</v>
      </c>
      <c r="T33" s="95" t="s">
        <v>141</v>
      </c>
      <c r="U33" s="95"/>
      <c r="V33" s="95"/>
      <c r="W33" s="95"/>
      <c r="X33" s="95"/>
      <c r="Y33" s="95"/>
      <c r="Z33" s="95"/>
      <c r="AA33" s="95"/>
      <c r="AB33" s="95"/>
      <c r="AC33" s="47"/>
      <c r="AD33" s="47"/>
      <c r="AE33" s="47"/>
    </row>
    <row r="34" spans="1:31" x14ac:dyDescent="0.25">
      <c r="A34" t="s">
        <v>257</v>
      </c>
      <c r="B34" s="37">
        <v>1</v>
      </c>
      <c r="C34" s="48"/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7"/>
      <c r="AA34" s="47"/>
      <c r="AB34" s="47"/>
      <c r="AC34" s="47"/>
      <c r="AD34" s="47"/>
      <c r="AE34" s="47"/>
    </row>
    <row r="35" spans="1:31" x14ac:dyDescent="0.25">
      <c r="A35" t="s">
        <v>259</v>
      </c>
      <c r="B35" s="37">
        <v>1</v>
      </c>
      <c r="C35" s="48"/>
      <c r="D35" s="48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7"/>
      <c r="AA35" s="47"/>
      <c r="AB35" s="47"/>
      <c r="AC35" s="47"/>
      <c r="AD35" s="47"/>
      <c r="AE35" s="47"/>
    </row>
    <row r="36" spans="1:31" x14ac:dyDescent="0.25">
      <c r="A36" t="s">
        <v>260</v>
      </c>
      <c r="B36" s="92">
        <v>1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</row>
    <row r="37" spans="1:31" x14ac:dyDescent="0.25">
      <c r="A37" t="s">
        <v>235</v>
      </c>
      <c r="B37" s="92">
        <v>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</row>
    <row r="38" spans="1:31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</row>
    <row r="39" spans="1:31" x14ac:dyDescent="0.25">
      <c r="A39" s="39" t="s">
        <v>227</v>
      </c>
      <c r="B39" s="40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</row>
    <row r="40" spans="1:31" x14ac:dyDescent="0.25">
      <c r="A40" s="35" t="s">
        <v>123</v>
      </c>
      <c r="B40" s="3" t="s">
        <v>230</v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</row>
    <row r="41" spans="1:31" x14ac:dyDescent="0.25">
      <c r="A41" s="38" t="s">
        <v>98</v>
      </c>
      <c r="B41" s="37">
        <v>1000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</row>
    <row r="42" spans="1:31" x14ac:dyDescent="0.25">
      <c r="A42" s="38" t="s">
        <v>96</v>
      </c>
      <c r="B42" s="37">
        <v>1000</v>
      </c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</row>
    <row r="43" spans="1:31" x14ac:dyDescent="0.25">
      <c r="A43" s="38"/>
      <c r="B43" s="37">
        <v>0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1" x14ac:dyDescent="0.25">
      <c r="A44" s="38"/>
      <c r="B44" s="37">
        <v>0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</row>
    <row r="45" spans="1:31" x14ac:dyDescent="0.25">
      <c r="A45" s="38"/>
      <c r="B45" s="37">
        <v>0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</row>
    <row r="46" spans="1:31" x14ac:dyDescent="0.25">
      <c r="A46" s="38"/>
      <c r="B46" s="37">
        <v>0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</row>
    <row r="47" spans="1:31" x14ac:dyDescent="0.25">
      <c r="A47" s="38"/>
      <c r="B47" s="37">
        <v>0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</row>
    <row r="48" spans="1:31" x14ac:dyDescent="0.25">
      <c r="A48" s="38"/>
      <c r="B48" s="37">
        <v>0</v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</row>
    <row r="49" spans="1:31" x14ac:dyDescent="0.25">
      <c r="A49" s="38"/>
      <c r="B49" s="37">
        <v>0</v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</row>
    <row r="50" spans="1:31" x14ac:dyDescent="0.25">
      <c r="A50" s="38"/>
      <c r="B50" s="37">
        <v>0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</row>
    <row r="51" spans="1:31" x14ac:dyDescent="0.25"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47"/>
      <c r="AD51" s="47"/>
      <c r="AE51" s="47"/>
    </row>
    <row r="52" spans="1:31" x14ac:dyDescent="0.25">
      <c r="A52" s="45" t="s">
        <v>226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</row>
    <row r="53" spans="1:31" x14ac:dyDescent="0.25">
      <c r="A53" s="46" t="str" cm="1">
        <f t="array" ref="A53:A83">_xlfn.LET(_xlpm.ran,C94:C133,_xlfn._xlws.FILTER(_xlpm.ran,(LEN(_xlpm.ran)&gt;0)*(IFERROR(FIND(":",_xlpm.ran)=0,TRUE))))</f>
        <v>Indtægter total</v>
      </c>
      <c r="C53" s="39" t="s">
        <v>232</v>
      </c>
      <c r="D53" s="39" t="s">
        <v>230</v>
      </c>
      <c r="E53" s="42" t="str">
        <f>Scenarier!$E$6</f>
        <v>Nominelt</v>
      </c>
      <c r="F53" s="42" t="str">
        <f>Scenarier!$F$6</f>
        <v>sc1</v>
      </c>
      <c r="G53" s="42" t="str">
        <f>Scenarier!$G$6</f>
        <v>sc2</v>
      </c>
      <c r="H53" s="42" t="str">
        <f>Scenarier!$H$6</f>
        <v>sc3</v>
      </c>
      <c r="I53" s="42" t="str">
        <f>Scenarier!$I$6</f>
        <v>sc4</v>
      </c>
      <c r="J53" s="42" t="str">
        <f>Scenarier!$J$6</f>
        <v>sc5</v>
      </c>
      <c r="K53" s="42" t="str">
        <f>Scenarier!$K$6</f>
        <v>sc6</v>
      </c>
      <c r="L53" s="42" t="str">
        <f>Scenarier!$L$6</f>
        <v>sc7</v>
      </c>
      <c r="M53" s="42" t="str">
        <f>Scenarier!$M$6</f>
        <v>sc8</v>
      </c>
      <c r="N53" s="42" t="str">
        <f>Scenarier!$N$6</f>
        <v>sc9</v>
      </c>
      <c r="O53" s="42" t="str">
        <f>Scenarier!$O$6</f>
        <v>sc10</v>
      </c>
      <c r="P53" s="42" t="str">
        <f>Scenarier!$P$6</f>
        <v>sc11</v>
      </c>
      <c r="Q53" s="42" t="str">
        <f>Scenarier!$Q$6</f>
        <v>sc12</v>
      </c>
      <c r="R53" s="42" t="str">
        <f>Scenarier!$R$6</f>
        <v>sc13</v>
      </c>
      <c r="S53" s="42" t="str">
        <f>Scenarier!$S$6</f>
        <v>sc14</v>
      </c>
      <c r="T53" s="42" t="str">
        <f>Scenarier!$T$6</f>
        <v>sc15</v>
      </c>
      <c r="U53" s="42" t="str">
        <f>Scenarier!$U$6</f>
        <v>sc16</v>
      </c>
      <c r="V53" s="42" t="str">
        <f>Scenarier!$V$6</f>
        <v>sc17</v>
      </c>
      <c r="W53" s="42" t="str">
        <f>Scenarier!$W$6</f>
        <v>sc18</v>
      </c>
      <c r="X53" s="42" t="str">
        <f>Scenarier!$X$6</f>
        <v>sc19</v>
      </c>
      <c r="Y53" s="42" t="str">
        <f>Scenarier!$Y$6</f>
        <v>sc20</v>
      </c>
    </row>
    <row r="54" spans="1:31" x14ac:dyDescent="0.25">
      <c r="A54" t="str">
        <v>Omkostninger total</v>
      </c>
      <c r="B54" s="44"/>
      <c r="C54" t="str">
        <f t="shared" ref="C54:C74" si="0">IF(ISBLANK(A16),"",A16)</f>
        <v>Dækningsbidrag</v>
      </c>
      <c r="D54" s="37">
        <f t="shared" ref="D54:D74" si="1">B16</f>
        <v>1000</v>
      </c>
      <c r="E54" s="11" cm="1">
        <f t="array" ref="E54">IFERROR(IF($D54 &lt;&gt;0,ResultValue($C54,COLUMN(F54)-COLUMN($C54))/$D54,""),"")</f>
        <v>8081.0686816686157</v>
      </c>
      <c r="F54" s="11" cm="1">
        <f t="array" ref="F54">IFERROR(IF($D54 &lt;&gt;0,ResultValue($C54,COLUMN(G54)-COLUMN($C54))/$D54,""),"")</f>
        <v>8329.056190743413</v>
      </c>
      <c r="G54" s="11" cm="1">
        <f t="array" ref="G54">IFERROR(IF($D54 &lt;&gt;0,ResultValue($C54,COLUMN(H54)-COLUMN($C54))/$D54,""),"")</f>
        <v>8301.1435517990449</v>
      </c>
      <c r="H54" s="11" cm="1">
        <f t="array" ref="H54">IFERROR(IF($D54 &lt;&gt;0,ResultValue($C54,COLUMN(I54)-COLUMN($C54))/$D54,""),"")</f>
        <v>8273.7919741592195</v>
      </c>
      <c r="I54" s="11" cm="1">
        <f t="array" ref="I54">IFERROR(IF($D54 &lt;&gt;0,ResultValue($C54,COLUMN(J54)-COLUMN($C54))/$D54,""),"")</f>
        <v>8246.984455966227</v>
      </c>
      <c r="J54" s="11" cm="1">
        <f t="array" ref="J54">IFERROR(IF($D54 &lt;&gt;0,ResultValue($C54,COLUMN(K54)-COLUMN($C54))/$D54,""),"")</f>
        <v>8220.7046754366638</v>
      </c>
      <c r="K54" s="11" cm="1">
        <f t="array" ref="K54">IFERROR(IF($D54 &lt;&gt;0,ResultValue($C54,COLUMN(L54)-COLUMN($C54))/$D54,""),"")</f>
        <v>8194.9369571943898</v>
      </c>
      <c r="L54" s="11" cm="1">
        <f t="array" ref="L54">IFERROR(IF($D54 &lt;&gt;0,ResultValue($C54,COLUMN(M54)-COLUMN($C54))/$D54,""),"")</f>
        <v>8169.6662405838888</v>
      </c>
      <c r="M54" s="11" cm="1">
        <f t="array" ref="M54">IFERROR(IF($D54 &lt;&gt;0,ResultValue($C54,COLUMN(N54)-COLUMN($C54))/$D54,""),"")</f>
        <v>8345.471851640461</v>
      </c>
      <c r="N54" s="11" cm="1">
        <f t="array" ref="N54">IFERROR(IF($D54 &lt;&gt;0,ResultValue($C54,COLUMN(O54)-COLUMN($C54))/$D54,""),"")</f>
        <v>8321.1522677270732</v>
      </c>
      <c r="O54" s="11" cm="1">
        <f t="array" ref="O54">IFERROR(IF($D54 &lt;&gt;0,ResultValue($C54,COLUMN(P54)-COLUMN($C54))/$D54,""),"")</f>
        <v>8297.2879018878102</v>
      </c>
      <c r="P54" s="11" cm="1">
        <f t="array" ref="P54">IFERROR(IF($D54 &lt;&gt;0,ResultValue($C54,COLUMN(Q54)-COLUMN($C54))/$D54,""),"")</f>
        <v>8273.8658705922808</v>
      </c>
      <c r="Q54" s="11" cm="1">
        <f t="array" ref="Q54">IFERROR(IF($D54 &lt;&gt;0,ResultValue($C54,COLUMN(R54)-COLUMN($C54))/$D54,""),"")</f>
        <v>8250.8737719373821</v>
      </c>
      <c r="R54" s="11" cm="1">
        <f t="array" ref="R54">IFERROR(IF($D54 &lt;&gt;0,ResultValue($C54,COLUMN(S54)-COLUMN($C54))/$D54,""),"")</f>
        <v>8228.2996633497696</v>
      </c>
      <c r="S54" s="11" cm="1">
        <f t="array" ref="S54">IFERROR(IF($D54 &lt;&gt;0,ResultValue($C54,COLUMN(T54)-COLUMN($C54))/$D54,""),"")</f>
        <v>8206.1320405156621</v>
      </c>
      <c r="T54" s="11" cm="1">
        <f t="array" ref="T54">IFERROR(IF($D54 &lt;&gt;0,ResultValue($C54,COLUMN(U54)-COLUMN($C54))/$D54,""),"")</f>
        <v>8184.3598174599611</v>
      </c>
      <c r="U54" s="11" cm="1">
        <f t="array" ref="U54">IFERROR(IF($D54 &lt;&gt;0,ResultValue($C54,COLUMN(V54)-COLUMN($C54))/$D54,""),"")</f>
        <v>8162.9723077021736</v>
      </c>
      <c r="V54" s="11" cm="1">
        <f t="array" ref="V54">IFERROR(IF($D54 &lt;&gt;0,ResultValue($C54,COLUMN(W54)-COLUMN($C54))/$D54,""),"")</f>
        <v>8141.9592064218168</v>
      </c>
      <c r="W54" s="11" cm="1">
        <f t="array" ref="W54">IFERROR(IF($D54 &lt;&gt;0,ResultValue($C54,COLUMN(X54)-COLUMN($C54))/$D54,""),"")</f>
        <v>8121.3105735708205</v>
      </c>
      <c r="X54" s="11" cm="1">
        <f t="array" ref="X54">IFERROR(IF($D54 &lt;&gt;0,ResultValue($C54,COLUMN(Y54)-COLUMN($C54))/$D54,""),"")</f>
        <v>8101.0168178747244</v>
      </c>
      <c r="Y54" s="11" cm="1">
        <f t="array" ref="Y54">IFERROR(IF($D54 &lt;&gt;0,ResultValue($C54,COLUMN(Z54)-COLUMN($C54))/$D54,""),"")</f>
        <v>8081.0686816686157</v>
      </c>
    </row>
    <row r="55" spans="1:31" x14ac:dyDescent="0.25">
      <c r="A55" t="str">
        <v>Dækningsbidrag</v>
      </c>
      <c r="B55" s="44"/>
      <c r="C55" t="str">
        <f t="shared" si="0"/>
        <v>Indtægter total</v>
      </c>
      <c r="D55" s="37">
        <f t="shared" si="1"/>
        <v>1000</v>
      </c>
      <c r="E55" s="11" cm="1">
        <f t="array" ref="E55">IFERROR(IF($D55 &lt;&gt;0,ResultValue($C55,COLUMN(F55)-COLUMN($C55))/$D55,""),"")</f>
        <v>15652.263443326186</v>
      </c>
      <c r="F55" s="11" cm="1">
        <f t="array" ref="F55">IFERROR(IF($D55 &lt;&gt;0,ResultValue($C55,COLUMN(G55)-COLUMN($C55))/$D55,""),"")</f>
        <v>16181.783291652784</v>
      </c>
      <c r="G55" s="11" cm="1">
        <f t="array" ref="G55">IFERROR(IF($D55 &lt;&gt;0,ResultValue($C55,COLUMN(H55)-COLUMN($C55))/$D55,""),"")</f>
        <v>16136.225467580172</v>
      </c>
      <c r="H55" s="11" cm="1">
        <f t="array" ref="H55">IFERROR(IF($D55 &lt;&gt;0,ResultValue($C55,COLUMN(I55)-COLUMN($C55))/$D55,""),"")</f>
        <v>16091.597395019249</v>
      </c>
      <c r="I55" s="11" cm="1">
        <f t="array" ref="I55">IFERROR(IF($D55 &lt;&gt;0,ResultValue($C55,COLUMN(J55)-COLUMN($C55))/$D55,""),"")</f>
        <v>16047.870899681777</v>
      </c>
      <c r="J55" s="11" cm="1">
        <f t="array" ref="J55">IFERROR(IF($D55 &lt;&gt;0,ResultValue($C55,COLUMN(K55)-COLUMN($C55))/$D55,""),"")</f>
        <v>16005.018934251055</v>
      </c>
      <c r="K55" s="11" cm="1">
        <f t="array" ref="K55">IFERROR(IF($D55 &lt;&gt;0,ResultValue($C55,COLUMN(L55)-COLUMN($C55))/$D55,""),"")</f>
        <v>15963.01552259124</v>
      </c>
      <c r="L55" s="11" cm="1">
        <f t="array" ref="L55">IFERROR(IF($D55 &lt;&gt;0,ResultValue($C55,COLUMN(M55)-COLUMN($C55))/$D55,""),"")</f>
        <v>15921.835707238479</v>
      </c>
      <c r="M55" s="11" cm="1">
        <f t="array" ref="M55">IFERROR(IF($D55 &lt;&gt;0,ResultValue($C55,COLUMN(N55)-COLUMN($C55))/$D55,""),"")</f>
        <v>16082.049301761796</v>
      </c>
      <c r="N55" s="11" cm="1">
        <f t="array" ref="N55">IFERROR(IF($D55 &lt;&gt;0,ResultValue($C55,COLUMN(O55)-COLUMN($C55))/$D55,""),"")</f>
        <v>16042.445636921975</v>
      </c>
      <c r="O55" s="11" cm="1">
        <f t="array" ref="O55">IFERROR(IF($D55 &lt;&gt;0,ResultValue($C55,COLUMN(P55)-COLUMN($C55))/$D55,""),"")</f>
        <v>16003.596327602914</v>
      </c>
      <c r="P55" s="11" cm="1">
        <f t="array" ref="P55">IFERROR(IF($D55 &lt;&gt;0,ResultValue($C55,COLUMN(Q55)-COLUMN($C55))/$D55,""),"")</f>
        <v>15965.480024120061</v>
      </c>
      <c r="Q55" s="11" cm="1">
        <f t="array" ref="Q55">IFERROR(IF($D55 &lt;&gt;0,ResultValue($C55,COLUMN(R55)-COLUMN($C55))/$D55,""),"")</f>
        <v>15928.076174907916</v>
      </c>
      <c r="R55" s="11" cm="1">
        <f t="array" ref="R55">IFERROR(IF($D55 &lt;&gt;0,ResultValue($C55,COLUMN(S55)-COLUMN($C55))/$D55,""),"")</f>
        <v>15891.364989570069</v>
      </c>
      <c r="S55" s="11" cm="1">
        <f t="array" ref="S55">IFERROR(IF($D55 &lt;&gt;0,ResultValue($C55,COLUMN(T55)-COLUMN($C55))/$D55,""),"")</f>
        <v>15855.327403963192</v>
      </c>
      <c r="T55" s="11" cm="1">
        <f t="array" ref="T55">IFERROR(IF($D55 &lt;&gt;0,ResultValue($C55,COLUMN(U55)-COLUMN($C55))/$D55,""),"")</f>
        <v>15819.945047185534</v>
      </c>
      <c r="U55" s="11" cm="1">
        <f t="array" ref="U55">IFERROR(IF($D55 &lt;&gt;0,ResultValue($C55,COLUMN(V55)-COLUMN($C55))/$D55,""),"")</f>
        <v>15785.200210349813</v>
      </c>
      <c r="V55" s="11" cm="1">
        <f t="array" ref="V55">IFERROR(IF($D55 &lt;&gt;0,ResultValue($C55,COLUMN(W55)-COLUMN($C55))/$D55,""),"")</f>
        <v>15751.075817029016</v>
      </c>
      <c r="W55" s="11" cm="1">
        <f t="array" ref="W55">IFERROR(IF($D55 &lt;&gt;0,ResultValue($C55,COLUMN(X55)-COLUMN($C55))/$D55,""),"")</f>
        <v>15717.55539527142</v>
      </c>
      <c r="X55" s="11" cm="1">
        <f t="array" ref="X55">IFERROR(IF($D55 &lt;&gt;0,ResultValue($C55,COLUMN(Y55)-COLUMN($C55))/$D55,""),"")</f>
        <v>15684.623051088518</v>
      </c>
      <c r="Y55" s="11" cm="1">
        <f t="array" ref="Y55">IFERROR(IF($D55 &lt;&gt;0,ResultValue($C55,COLUMN(Z55)-COLUMN($C55))/$D55,""),"")</f>
        <v>15652.263443326186</v>
      </c>
    </row>
    <row r="56" spans="1:31" x14ac:dyDescent="0.25">
      <c r="A56" t="str">
        <v>Varmesalg</v>
      </c>
      <c r="B56" s="44"/>
      <c r="C56" t="str">
        <f t="shared" si="0"/>
        <v>Omkostninger total</v>
      </c>
      <c r="D56" s="37">
        <f t="shared" si="1"/>
        <v>-1000</v>
      </c>
      <c r="E56" s="11" cm="1">
        <f t="array" ref="E56">IFERROR(IF($D56 &lt;&gt;0,ResultValue($C56,COLUMN(F56)-COLUMN($C56))/$D56,""),"")</f>
        <v>-7571.1947616575708</v>
      </c>
      <c r="F56" s="11" cm="1">
        <f t="array" ref="F56">IFERROR(IF($D56 &lt;&gt;0,ResultValue($C56,COLUMN(G56)-COLUMN($C56))/$D56,""),"")</f>
        <v>-7852.7271009093702</v>
      </c>
      <c r="G56" s="11" cm="1">
        <f t="array" ref="G56">IFERROR(IF($D56 &lt;&gt;0,ResultValue($C56,COLUMN(H56)-COLUMN($C56))/$D56,""),"")</f>
        <v>-7835.0819157811293</v>
      </c>
      <c r="H56" s="11" cm="1">
        <f t="array" ref="H56">IFERROR(IF($D56 &lt;&gt;0,ResultValue($C56,COLUMN(I56)-COLUMN($C56))/$D56,""),"")</f>
        <v>-7817.8054208600297</v>
      </c>
      <c r="I56" s="11" cm="1">
        <f t="array" ref="I56">IFERROR(IF($D56 &lt;&gt;0,ResultValue($C56,COLUMN(J56)-COLUMN($C56))/$D56,""),"")</f>
        <v>-7800.8864437155489</v>
      </c>
      <c r="J56" s="11" cm="1">
        <f t="array" ref="J56">IFERROR(IF($D56 &lt;&gt;0,ResultValue($C56,COLUMN(K56)-COLUMN($C56))/$D56,""),"")</f>
        <v>-7784.314258814391</v>
      </c>
      <c r="K56" s="11" cm="1">
        <f t="array" ref="K56">IFERROR(IF($D56 &lt;&gt;0,ResultValue($C56,COLUMN(L56)-COLUMN($C56))/$D56,""),"")</f>
        <v>-7768.0785653968505</v>
      </c>
      <c r="L56" s="11" cm="1">
        <f t="array" ref="L56">IFERROR(IF($D56 &lt;&gt;0,ResultValue($C56,COLUMN(M56)-COLUMN($C56))/$D56,""),"")</f>
        <v>-7752.1694666545891</v>
      </c>
      <c r="M56" s="11" cm="1">
        <f t="array" ref="M56">IFERROR(IF($D56 &lt;&gt;0,ResultValue($C56,COLUMN(N56)-COLUMN($C56))/$D56,""),"")</f>
        <v>-7736.5774501213346</v>
      </c>
      <c r="N56" s="11" cm="1">
        <f t="array" ref="N56">IFERROR(IF($D56 &lt;&gt;0,ResultValue($C56,COLUMN(O56)-COLUMN($C56))/$D56,""),"")</f>
        <v>-7721.2933691949038</v>
      </c>
      <c r="O56" s="11" cm="1">
        <f t="array" ref="O56">IFERROR(IF($D56 &lt;&gt;0,ResultValue($C56,COLUMN(P56)-COLUMN($C56))/$D56,""),"")</f>
        <v>-7706.3084257151031</v>
      </c>
      <c r="P56" s="11" cm="1">
        <f t="array" ref="P56">IFERROR(IF($D56 &lt;&gt;0,ResultValue($C56,COLUMN(Q56)-COLUMN($C56))/$D56,""),"")</f>
        <v>-7691.6141535277802</v>
      </c>
      <c r="Q56" s="11" cm="1">
        <f t="array" ref="Q56">IFERROR(IF($D56 &lt;&gt;0,ResultValue($C56,COLUMN(R56)-COLUMN($C56))/$D56,""),"")</f>
        <v>-7677.2024029705326</v>
      </c>
      <c r="R56" s="11" cm="1">
        <f t="array" ref="R56">IFERROR(IF($D56 &lt;&gt;0,ResultValue($C56,COLUMN(S56)-COLUMN($C56))/$D56,""),"")</f>
        <v>-7663.0653262203014</v>
      </c>
      <c r="S56" s="11" cm="1">
        <f t="array" ref="S56">IFERROR(IF($D56 &lt;&gt;0,ResultValue($C56,COLUMN(T56)-COLUMN($C56))/$D56,""),"")</f>
        <v>-7649.1953634475321</v>
      </c>
      <c r="T56" s="11" cm="1">
        <f t="array" ref="T56">IFERROR(IF($D56 &lt;&gt;0,ResultValue($C56,COLUMN(U56)-COLUMN($C56))/$D56,""),"")</f>
        <v>-7635.5852297255733</v>
      </c>
      <c r="U56" s="11" cm="1">
        <f t="array" ref="U56">IFERROR(IF($D56 &lt;&gt;0,ResultValue($C56,COLUMN(V56)-COLUMN($C56))/$D56,""),"")</f>
        <v>-7622.2279026476399</v>
      </c>
      <c r="V56" s="11" cm="1">
        <f t="array" ref="V56">IFERROR(IF($D56 &lt;&gt;0,ResultValue($C56,COLUMN(W56)-COLUMN($C56))/$D56,""),"")</f>
        <v>-7609.1166106071996</v>
      </c>
      <c r="W56" s="11" cm="1">
        <f t="array" ref="W56">IFERROR(IF($D56 &lt;&gt;0,ResultValue($C56,COLUMN(X56)-COLUMN($C56))/$D56,""),"")</f>
        <v>-7596.2448217006004</v>
      </c>
      <c r="X56" s="11" cm="1">
        <f t="array" ref="X56">IFERROR(IF($D56 &lt;&gt;0,ResultValue($C56,COLUMN(Y56)-COLUMN($C56))/$D56,""),"")</f>
        <v>-7583.6062332137935</v>
      </c>
      <c r="Y56" s="11" cm="1">
        <f t="array" ref="Y56">IFERROR(IF($D56 &lt;&gt;0,ResultValue($C56,COLUMN(Z56)-COLUMN($C56))/$D56,""),"")</f>
        <v>-7571.1947616575708</v>
      </c>
    </row>
    <row r="57" spans="1:31" x14ac:dyDescent="0.25">
      <c r="A57" t="str">
        <v>Elsalg</v>
      </c>
      <c r="B57" s="44"/>
      <c r="C57" t="str">
        <f t="shared" si="0"/>
        <v>RGK-rabat</v>
      </c>
      <c r="D57" s="37">
        <f t="shared" si="1"/>
        <v>1000</v>
      </c>
      <c r="E57" s="11" cm="1">
        <f t="array" ref="E57">IFERROR(IF($D57 &lt;&gt;0,ResultValue($C57,COLUMN(F57)-COLUMN($C57))/$D57,""),"")</f>
        <v>200.59380181097563</v>
      </c>
      <c r="F57" s="11" cm="1">
        <f t="array" ref="F57">IFERROR(IF($D57 &lt;&gt;0,ResultValue($C57,COLUMN(G57)-COLUMN($C57))/$D57,""),"")</f>
        <v>0</v>
      </c>
      <c r="G57" s="11" cm="1">
        <f t="array" ref="G57">IFERROR(IF($D57 &lt;&gt;0,ResultValue($C57,COLUMN(H57)-COLUMN($C57))/$D57,""),"")</f>
        <v>0</v>
      </c>
      <c r="H57" s="11" cm="1">
        <f t="array" ref="H57">IFERROR(IF($D57 &lt;&gt;0,ResultValue($C57,COLUMN(I57)-COLUMN($C57))/$D57,""),"")</f>
        <v>0</v>
      </c>
      <c r="I57" s="11" cm="1">
        <f t="array" ref="I57">IFERROR(IF($D57 &lt;&gt;0,ResultValue($C57,COLUMN(J57)-COLUMN($C57))/$D57,""),"")</f>
        <v>0</v>
      </c>
      <c r="J57" s="11" cm="1">
        <f t="array" ref="J57">IFERROR(IF($D57 &lt;&gt;0,ResultValue($C57,COLUMN(K57)-COLUMN($C57))/$D57,""),"")</f>
        <v>0</v>
      </c>
      <c r="K57" s="11" cm="1">
        <f t="array" ref="K57">IFERROR(IF($D57 &lt;&gt;0,ResultValue($C57,COLUMN(L57)-COLUMN($C57))/$D57,""),"")</f>
        <v>0</v>
      </c>
      <c r="L57" s="11" cm="1">
        <f t="array" ref="L57">IFERROR(IF($D57 &lt;&gt;0,ResultValue($C57,COLUMN(M57)-COLUMN($C57))/$D57,""),"")</f>
        <v>0</v>
      </c>
      <c r="M57" s="11" cm="1">
        <f t="array" ref="M57">IFERROR(IF($D57 &lt;&gt;0,ResultValue($C57,COLUMN(N57)-COLUMN($C57))/$D57,""),"")</f>
        <v>200.59380181097563</v>
      </c>
      <c r="N57" s="11" cm="1">
        <f t="array" ref="N57">IFERROR(IF($D57 &lt;&gt;0,ResultValue($C57,COLUMN(O57)-COLUMN($C57))/$D57,""),"")</f>
        <v>200.59380181097563</v>
      </c>
      <c r="O57" s="11" cm="1">
        <f t="array" ref="O57">IFERROR(IF($D57 &lt;&gt;0,ResultValue($C57,COLUMN(P57)-COLUMN($C57))/$D57,""),"")</f>
        <v>200.59380181097563</v>
      </c>
      <c r="P57" s="11" cm="1">
        <f t="array" ref="P57">IFERROR(IF($D57 &lt;&gt;0,ResultValue($C57,COLUMN(Q57)-COLUMN($C57))/$D57,""),"")</f>
        <v>200.59380181097563</v>
      </c>
      <c r="Q57" s="11" cm="1">
        <f t="array" ref="Q57">IFERROR(IF($D57 &lt;&gt;0,ResultValue($C57,COLUMN(R57)-COLUMN($C57))/$D57,""),"")</f>
        <v>200.59380181097563</v>
      </c>
      <c r="R57" s="11" cm="1">
        <f t="array" ref="R57">IFERROR(IF($D57 &lt;&gt;0,ResultValue($C57,COLUMN(S57)-COLUMN($C57))/$D57,""),"")</f>
        <v>200.59380181097563</v>
      </c>
      <c r="S57" s="11" cm="1">
        <f t="array" ref="S57">IFERROR(IF($D57 &lt;&gt;0,ResultValue($C57,COLUMN(T57)-COLUMN($C57))/$D57,""),"")</f>
        <v>200.59380181097563</v>
      </c>
      <c r="T57" s="11" cm="1">
        <f t="array" ref="T57">IFERROR(IF($D57 &lt;&gt;0,ResultValue($C57,COLUMN(U57)-COLUMN($C57))/$D57,""),"")</f>
        <v>200.59380181097563</v>
      </c>
      <c r="U57" s="11" cm="1">
        <f t="array" ref="U57">IFERROR(IF($D57 &lt;&gt;0,ResultValue($C57,COLUMN(V57)-COLUMN($C57))/$D57,""),"")</f>
        <v>200.59380181097563</v>
      </c>
      <c r="V57" s="11" cm="1">
        <f t="array" ref="V57">IFERROR(IF($D57 &lt;&gt;0,ResultValue($C57,COLUMN(W57)-COLUMN($C57))/$D57,""),"")</f>
        <v>200.59380181097563</v>
      </c>
      <c r="W57" s="11" cm="1">
        <f t="array" ref="W57">IFERROR(IF($D57 &lt;&gt;0,ResultValue($C57,COLUMN(X57)-COLUMN($C57))/$D57,""),"")</f>
        <v>200.59380181097563</v>
      </c>
      <c r="X57" s="11" cm="1">
        <f t="array" ref="X57">IFERROR(IF($D57 &lt;&gt;0,ResultValue($C57,COLUMN(Y57)-COLUMN($C57))/$D57,""),"")</f>
        <v>200.59380181097563</v>
      </c>
      <c r="Y57" s="11" cm="1">
        <f t="array" ref="Y57">IFERROR(IF($D57 &lt;&gt;0,ResultValue($C57,COLUMN(Z57)-COLUMN($C57))/$D57,""),"")</f>
        <v>200.59380181097563</v>
      </c>
    </row>
    <row r="58" spans="1:31" x14ac:dyDescent="0.25">
      <c r="A58" t="str">
        <v>RGK-rabat</v>
      </c>
      <c r="B58" s="44"/>
      <c r="C58" t="str">
        <f t="shared" si="0"/>
        <v>Modtagebetaling affald</v>
      </c>
      <c r="D58" s="37">
        <f t="shared" si="1"/>
        <v>1000</v>
      </c>
      <c r="E58" s="11" cm="1">
        <f t="array" ref="E58">IFERROR(IF($D58 &lt;&gt;0,ResultValue($C58,COLUMN(F58)-COLUMN($C58))/$D58,""),"")</f>
        <v>4040.3371902956987</v>
      </c>
      <c r="F58" s="11" cm="1">
        <f t="array" ref="F58">IFERROR(IF($D58 &lt;&gt;0,ResultValue($C58,COLUMN(G58)-COLUMN($C58))/$D58,""),"")</f>
        <v>4770.4508404332728</v>
      </c>
      <c r="G58" s="11" cm="1">
        <f t="array" ref="G58">IFERROR(IF($D58 &lt;&gt;0,ResultValue($C58,COLUMN(H58)-COLUMN($C58))/$D58,""),"")</f>
        <v>4724.8930163606619</v>
      </c>
      <c r="H58" s="11" cm="1">
        <f t="array" ref="H58">IFERROR(IF($D58 &lt;&gt;0,ResultValue($C58,COLUMN(I58)-COLUMN($C58))/$D58,""),"")</f>
        <v>4680.2649437997379</v>
      </c>
      <c r="I58" s="11" cm="1">
        <f t="array" ref="I58">IFERROR(IF($D58 &lt;&gt;0,ResultValue($C58,COLUMN(J58)-COLUMN($C58))/$D58,""),"")</f>
        <v>4636.5384484622655</v>
      </c>
      <c r="J58" s="11" cm="1">
        <f t="array" ref="J58">IFERROR(IF($D58 &lt;&gt;0,ResultValue($C58,COLUMN(K58)-COLUMN($C58))/$D58,""),"")</f>
        <v>4593.6864830315435</v>
      </c>
      <c r="K58" s="11" cm="1">
        <f t="array" ref="K58">IFERROR(IF($D58 &lt;&gt;0,ResultValue($C58,COLUMN(L58)-COLUMN($C58))/$D58,""),"")</f>
        <v>4551.6830713717272</v>
      </c>
      <c r="L58" s="11" cm="1">
        <f t="array" ref="L58">IFERROR(IF($D58 &lt;&gt;0,ResultValue($C58,COLUMN(M58)-COLUMN($C58))/$D58,""),"")</f>
        <v>4510.5032560189666</v>
      </c>
      <c r="M58" s="11" cm="1">
        <f t="array" ref="M58">IFERROR(IF($D58 &lt;&gt;0,ResultValue($C58,COLUMN(N58)-COLUMN($C58))/$D58,""),"")</f>
        <v>4470.1230487313078</v>
      </c>
      <c r="N58" s="11" cm="1">
        <f t="array" ref="N58">IFERROR(IF($D58 &lt;&gt;0,ResultValue($C58,COLUMN(O58)-COLUMN($C58))/$D58,""),"")</f>
        <v>4430.5193838914875</v>
      </c>
      <c r="O58" s="11" cm="1">
        <f t="array" ref="O58">IFERROR(IF($D58 &lt;&gt;0,ResultValue($C58,COLUMN(P58)-COLUMN($C58))/$D58,""),"")</f>
        <v>4391.6700745724256</v>
      </c>
      <c r="P58" s="11" cm="1">
        <f t="array" ref="P58">IFERROR(IF($D58 &lt;&gt;0,ResultValue($C58,COLUMN(Q58)-COLUMN($C58))/$D58,""),"")</f>
        <v>4353.5537710895724</v>
      </c>
      <c r="Q58" s="11" cm="1">
        <f t="array" ref="Q58">IFERROR(IF($D58 &lt;&gt;0,ResultValue($C58,COLUMN(R58)-COLUMN($C58))/$D58,""),"")</f>
        <v>4316.1499218774279</v>
      </c>
      <c r="R58" s="11" cm="1">
        <f t="array" ref="R58">IFERROR(IF($D58 &lt;&gt;0,ResultValue($C58,COLUMN(S58)-COLUMN($C58))/$D58,""),"")</f>
        <v>4279.4387365395824</v>
      </c>
      <c r="S58" s="11" cm="1">
        <f t="array" ref="S58">IFERROR(IF($D58 &lt;&gt;0,ResultValue($C58,COLUMN(T58)-COLUMN($C58))/$D58,""),"")</f>
        <v>4243.4011509327056</v>
      </c>
      <c r="T58" s="11" cm="1">
        <f t="array" ref="T58">IFERROR(IF($D58 &lt;&gt;0,ResultValue($C58,COLUMN(U58)-COLUMN($C58))/$D58,""),"")</f>
        <v>4208.0187941550466</v>
      </c>
      <c r="U58" s="11" cm="1">
        <f t="array" ref="U58">IFERROR(IF($D58 &lt;&gt;0,ResultValue($C58,COLUMN(V58)-COLUMN($C58))/$D58,""),"")</f>
        <v>4173.2739573193248</v>
      </c>
      <c r="V58" s="11" cm="1">
        <f t="array" ref="V58">IFERROR(IF($D58 &lt;&gt;0,ResultValue($C58,COLUMN(W58)-COLUMN($C58))/$D58,""),"")</f>
        <v>4139.1495639985287</v>
      </c>
      <c r="W58" s="11" cm="1">
        <f t="array" ref="W58">IFERROR(IF($D58 &lt;&gt;0,ResultValue($C58,COLUMN(X58)-COLUMN($C58))/$D58,""),"")</f>
        <v>4105.6291422409313</v>
      </c>
      <c r="X58" s="11" cm="1">
        <f t="array" ref="X58">IFERROR(IF($D58 &lt;&gt;0,ResultValue($C58,COLUMN(Y58)-COLUMN($C58))/$D58,""),"")</f>
        <v>4072.6967980580289</v>
      </c>
      <c r="Y58" s="11" cm="1">
        <f t="array" ref="Y58">IFERROR(IF($D58 &lt;&gt;0,ResultValue($C58,COLUMN(Z58)-COLUMN($C58))/$D58,""),"")</f>
        <v>4040.3371902956987</v>
      </c>
    </row>
    <row r="59" spans="1:31" x14ac:dyDescent="0.25">
      <c r="A59" t="str">
        <v>Modtagebetaling affald</v>
      </c>
      <c r="B59" s="44"/>
      <c r="C59" t="str">
        <f t="shared" si="0"/>
        <v>Varmesalg</v>
      </c>
      <c r="D59" s="37">
        <f t="shared" si="1"/>
        <v>1000</v>
      </c>
      <c r="E59" s="11" cm="1">
        <f t="array" ref="E59">IFERROR(IF($D59 &lt;&gt;0,ResultValue($C59,COLUMN(F59)-COLUMN($C59))/$D59,""),"")</f>
        <v>7464</v>
      </c>
      <c r="F59" s="11" cm="1">
        <f t="array" ref="F59">IFERROR(IF($D59 &lt;&gt;0,ResultValue($C59,COLUMN(G59)-COLUMN($C59))/$D59,""),"")</f>
        <v>7464</v>
      </c>
      <c r="G59" s="11" cm="1">
        <f t="array" ref="G59">IFERROR(IF($D59 &lt;&gt;0,ResultValue($C59,COLUMN(H59)-COLUMN($C59))/$D59,""),"")</f>
        <v>7464</v>
      </c>
      <c r="H59" s="11" cm="1">
        <f t="array" ref="H59">IFERROR(IF($D59 &lt;&gt;0,ResultValue($C59,COLUMN(I59)-COLUMN($C59))/$D59,""),"")</f>
        <v>7464</v>
      </c>
      <c r="I59" s="11" cm="1">
        <f t="array" ref="I59">IFERROR(IF($D59 &lt;&gt;0,ResultValue($C59,COLUMN(J59)-COLUMN($C59))/$D59,""),"")</f>
        <v>7464</v>
      </c>
      <c r="J59" s="11" cm="1">
        <f t="array" ref="J59">IFERROR(IF($D59 &lt;&gt;0,ResultValue($C59,COLUMN(K59)-COLUMN($C59))/$D59,""),"")</f>
        <v>7464</v>
      </c>
      <c r="K59" s="11" cm="1">
        <f t="array" ref="K59">IFERROR(IF($D59 &lt;&gt;0,ResultValue($C59,COLUMN(L59)-COLUMN($C59))/$D59,""),"")</f>
        <v>7464</v>
      </c>
      <c r="L59" s="11" cm="1">
        <f t="array" ref="L59">IFERROR(IF($D59 &lt;&gt;0,ResultValue($C59,COLUMN(M59)-COLUMN($C59))/$D59,""),"")</f>
        <v>7464</v>
      </c>
      <c r="M59" s="11" cm="1">
        <f t="array" ref="M59">IFERROR(IF($D59 &lt;&gt;0,ResultValue($C59,COLUMN(N59)-COLUMN($C59))/$D59,""),"")</f>
        <v>7464</v>
      </c>
      <c r="N59" s="11" cm="1">
        <f t="array" ref="N59">IFERROR(IF($D59 &lt;&gt;0,ResultValue($C59,COLUMN(O59)-COLUMN($C59))/$D59,""),"")</f>
        <v>7464</v>
      </c>
      <c r="O59" s="11" cm="1">
        <f t="array" ref="O59">IFERROR(IF($D59 &lt;&gt;0,ResultValue($C59,COLUMN(P59)-COLUMN($C59))/$D59,""),"")</f>
        <v>7464</v>
      </c>
      <c r="P59" s="11" cm="1">
        <f t="array" ref="P59">IFERROR(IF($D59 &lt;&gt;0,ResultValue($C59,COLUMN(Q59)-COLUMN($C59))/$D59,""),"")</f>
        <v>7464</v>
      </c>
      <c r="Q59" s="11" cm="1">
        <f t="array" ref="Q59">IFERROR(IF($D59 &lt;&gt;0,ResultValue($C59,COLUMN(R59)-COLUMN($C59))/$D59,""),"")</f>
        <v>7464</v>
      </c>
      <c r="R59" s="11" cm="1">
        <f t="array" ref="R59">IFERROR(IF($D59 &lt;&gt;0,ResultValue($C59,COLUMN(S59)-COLUMN($C59))/$D59,""),"")</f>
        <v>7464</v>
      </c>
      <c r="S59" s="11" cm="1">
        <f t="array" ref="S59">IFERROR(IF($D59 &lt;&gt;0,ResultValue($C59,COLUMN(T59)-COLUMN($C59))/$D59,""),"")</f>
        <v>7464</v>
      </c>
      <c r="T59" s="11" cm="1">
        <f t="array" ref="T59">IFERROR(IF($D59 &lt;&gt;0,ResultValue($C59,COLUMN(U59)-COLUMN($C59))/$D59,""),"")</f>
        <v>7464</v>
      </c>
      <c r="U59" s="11" cm="1">
        <f t="array" ref="U59">IFERROR(IF($D59 &lt;&gt;0,ResultValue($C59,COLUMN(V59)-COLUMN($C59))/$D59,""),"")</f>
        <v>7464</v>
      </c>
      <c r="V59" s="11" cm="1">
        <f t="array" ref="V59">IFERROR(IF($D59 &lt;&gt;0,ResultValue($C59,COLUMN(W59)-COLUMN($C59))/$D59,""),"")</f>
        <v>7464</v>
      </c>
      <c r="W59" s="11" cm="1">
        <f t="array" ref="W59">IFERROR(IF($D59 &lt;&gt;0,ResultValue($C59,COLUMN(X59)-COLUMN($C59))/$D59,""),"")</f>
        <v>7464</v>
      </c>
      <c r="X59" s="11" cm="1">
        <f t="array" ref="X59">IFERROR(IF($D59 &lt;&gt;0,ResultValue($C59,COLUMN(Y59)-COLUMN($C59))/$D59,""),"")</f>
        <v>7464</v>
      </c>
      <c r="Y59" s="11" cm="1">
        <f t="array" ref="Y59">IFERROR(IF($D59 &lt;&gt;0,ResultValue($C59,COLUMN(Z59)-COLUMN($C59))/$D59,""),"")</f>
        <v>7464</v>
      </c>
    </row>
    <row r="60" spans="1:31" x14ac:dyDescent="0.25">
      <c r="A60" t="str">
        <v>Betaling bioaffald</v>
      </c>
      <c r="B60" s="44"/>
      <c r="C60" t="str">
        <f t="shared" si="0"/>
        <v>Varmeproduktion Ovn2</v>
      </c>
      <c r="D60" s="37">
        <f t="shared" si="1"/>
        <v>1</v>
      </c>
      <c r="E60" s="11" cm="1">
        <f t="array" ref="E60">IFERROR(IF($D60 &lt;&gt;0,ResultValue($C60,COLUMN(F60)-COLUMN($C60))/$D60,""),"")</f>
        <v>3168</v>
      </c>
      <c r="F60" s="11" cm="1">
        <f t="array" ref="F60">IFERROR(IF($D60 &lt;&gt;0,ResultValue($C60,COLUMN(G60)-COLUMN($C60))/$D60,""),"")</f>
        <v>7055.4000000000015</v>
      </c>
      <c r="G60" s="11" cm="1">
        <f t="array" ref="G60">IFERROR(IF($D60 &lt;&gt;0,ResultValue($C60,COLUMN(H60)-COLUMN($C60))/$D60,""),"")</f>
        <v>6850.7999999999993</v>
      </c>
      <c r="H60" s="11" cm="1">
        <f t="array" ref="H60">IFERROR(IF($D60 &lt;&gt;0,ResultValue($C60,COLUMN(I60)-COLUMN($C60))/$D60,""),"")</f>
        <v>6646.2000000000007</v>
      </c>
      <c r="I60" s="11" cm="1">
        <f t="array" ref="I60">IFERROR(IF($D60 &lt;&gt;0,ResultValue($C60,COLUMN(J60)-COLUMN($C60))/$D60,""),"")</f>
        <v>6441.5999999999985</v>
      </c>
      <c r="J60" s="11" cm="1">
        <f t="array" ref="J60">IFERROR(IF($D60 &lt;&gt;0,ResultValue($C60,COLUMN(K60)-COLUMN($C60))/$D60,""),"")</f>
        <v>6237</v>
      </c>
      <c r="K60" s="11" cm="1">
        <f t="array" ref="K60">IFERROR(IF($D60 &lt;&gt;0,ResultValue($C60,COLUMN(L60)-COLUMN($C60))/$D60,""),"")</f>
        <v>6032.4000000000015</v>
      </c>
      <c r="L60" s="11" cm="1">
        <f t="array" ref="L60">IFERROR(IF($D60 &lt;&gt;0,ResultValue($C60,COLUMN(M60)-COLUMN($C60))/$D60,""),"")</f>
        <v>5827.7999999999993</v>
      </c>
      <c r="M60" s="11" cm="1">
        <f t="array" ref="M60">IFERROR(IF($D60 &lt;&gt;0,ResultValue($C60,COLUMN(N60)-COLUMN($C60))/$D60,""),"")</f>
        <v>5623.2000000000007</v>
      </c>
      <c r="N60" s="11" cm="1">
        <f t="array" ref="N60">IFERROR(IF($D60 &lt;&gt;0,ResultValue($C60,COLUMN(O60)-COLUMN($C60))/$D60,""),"")</f>
        <v>5418.5999999999985</v>
      </c>
      <c r="O60" s="11" cm="1">
        <f t="array" ref="O60">IFERROR(IF($D60 &lt;&gt;0,ResultValue($C60,COLUMN(P60)-COLUMN($C60))/$D60,""),"")</f>
        <v>5214</v>
      </c>
      <c r="P60" s="11" cm="1">
        <f t="array" ref="P60">IFERROR(IF($D60 &lt;&gt;0,ResultValue($C60,COLUMN(Q60)-COLUMN($C60))/$D60,""),"")</f>
        <v>5009.4000000000015</v>
      </c>
      <c r="Q60" s="11" cm="1">
        <f t="array" ref="Q60">IFERROR(IF($D60 &lt;&gt;0,ResultValue($C60,COLUMN(R60)-COLUMN($C60))/$D60,""),"")</f>
        <v>4804.7999999999993</v>
      </c>
      <c r="R60" s="11" cm="1">
        <f t="array" ref="R60">IFERROR(IF($D60 &lt;&gt;0,ResultValue($C60,COLUMN(S60)-COLUMN($C60))/$D60,""),"")</f>
        <v>4600.2000000000007</v>
      </c>
      <c r="S60" s="11" cm="1">
        <f t="array" ref="S60">IFERROR(IF($D60 &lt;&gt;0,ResultValue($C60,COLUMN(T60)-COLUMN($C60))/$D60,""),"")</f>
        <v>4395.5999999999985</v>
      </c>
      <c r="T60" s="11" cm="1">
        <f t="array" ref="T60">IFERROR(IF($D60 &lt;&gt;0,ResultValue($C60,COLUMN(U60)-COLUMN($C60))/$D60,""),"")</f>
        <v>4191</v>
      </c>
      <c r="U60" s="11" cm="1">
        <f t="array" ref="U60">IFERROR(IF($D60 &lt;&gt;0,ResultValue($C60,COLUMN(V60)-COLUMN($C60))/$D60,""),"")</f>
        <v>3986.4000000000015</v>
      </c>
      <c r="V60" s="11" cm="1">
        <f t="array" ref="V60">IFERROR(IF($D60 &lt;&gt;0,ResultValue($C60,COLUMN(W60)-COLUMN($C60))/$D60,""),"")</f>
        <v>3781.7999999999993</v>
      </c>
      <c r="W60" s="11" cm="1">
        <f t="array" ref="W60">IFERROR(IF($D60 &lt;&gt;0,ResultValue($C60,COLUMN(X60)-COLUMN($C60))/$D60,""),"")</f>
        <v>3577.2000000000007</v>
      </c>
      <c r="X60" s="11" cm="1">
        <f t="array" ref="X60">IFERROR(IF($D60 &lt;&gt;0,ResultValue($C60,COLUMN(Y60)-COLUMN($C60))/$D60,""),"")</f>
        <v>3372.5999999999985</v>
      </c>
      <c r="Y60" s="11" cm="1">
        <f t="array" ref="Y60">IFERROR(IF($D60 &lt;&gt;0,ResultValue($C60,COLUMN(Z60)-COLUMN($C60))/$D60,""),"")</f>
        <v>3168</v>
      </c>
    </row>
    <row r="61" spans="1:31" x14ac:dyDescent="0.25">
      <c r="A61" t="str">
        <v>DV-omkostninger</v>
      </c>
      <c r="B61" s="44"/>
      <c r="C61" t="str">
        <f t="shared" si="0"/>
        <v>Varmeproduktion Ovn3</v>
      </c>
      <c r="D61" s="37">
        <f t="shared" si="1"/>
        <v>1</v>
      </c>
      <c r="E61" s="11" cm="1">
        <f t="array" ref="E61">IFERROR(IF($D61 &lt;&gt;0,ResultValue($C61,COLUMN(F61)-COLUMN($C61))/$D61,""),"")</f>
        <v>20832</v>
      </c>
      <c r="F61" s="11" cm="1">
        <f t="array" ref="F61">IFERROR(IF($D61 &lt;&gt;0,ResultValue($C61,COLUMN(G61)-COLUMN($C61))/$D61,""),"")</f>
        <v>16944.599999999999</v>
      </c>
      <c r="G61" s="11" cm="1">
        <f t="array" ref="G61">IFERROR(IF($D61 &lt;&gt;0,ResultValue($C61,COLUMN(H61)-COLUMN($C61))/$D61,""),"")</f>
        <v>17149.2</v>
      </c>
      <c r="H61" s="11" cm="1">
        <f t="array" ref="H61">IFERROR(IF($D61 &lt;&gt;0,ResultValue($C61,COLUMN(I61)-COLUMN($C61))/$D61,""),"")</f>
        <v>17353.8</v>
      </c>
      <c r="I61" s="11" cm="1">
        <f t="array" ref="I61">IFERROR(IF($D61 &lt;&gt;0,ResultValue($C61,COLUMN(J61)-COLUMN($C61))/$D61,""),"")</f>
        <v>17558.400000000001</v>
      </c>
      <c r="J61" s="11" cm="1">
        <f t="array" ref="J61">IFERROR(IF($D61 &lt;&gt;0,ResultValue($C61,COLUMN(K61)-COLUMN($C61))/$D61,""),"")</f>
        <v>17763</v>
      </c>
      <c r="K61" s="11" cm="1">
        <f t="array" ref="K61">IFERROR(IF($D61 &lt;&gt;0,ResultValue($C61,COLUMN(L61)-COLUMN($C61))/$D61,""),"")</f>
        <v>17967.599999999999</v>
      </c>
      <c r="L61" s="11" cm="1">
        <f t="array" ref="L61">IFERROR(IF($D61 &lt;&gt;0,ResultValue($C61,COLUMN(M61)-COLUMN($C61))/$D61,""),"")</f>
        <v>18172.2</v>
      </c>
      <c r="M61" s="11" cm="1">
        <f t="array" ref="M61">IFERROR(IF($D61 &lt;&gt;0,ResultValue($C61,COLUMN(N61)-COLUMN($C61))/$D61,""),"")</f>
        <v>18376.8</v>
      </c>
      <c r="N61" s="11" cm="1">
        <f t="array" ref="N61">IFERROR(IF($D61 &lt;&gt;0,ResultValue($C61,COLUMN(O61)-COLUMN($C61))/$D61,""),"")</f>
        <v>18581.400000000001</v>
      </c>
      <c r="O61" s="11" cm="1">
        <f t="array" ref="O61">IFERROR(IF($D61 &lt;&gt;0,ResultValue($C61,COLUMN(P61)-COLUMN($C61))/$D61,""),"")</f>
        <v>18786</v>
      </c>
      <c r="P61" s="11" cm="1">
        <f t="array" ref="P61">IFERROR(IF($D61 &lt;&gt;0,ResultValue($C61,COLUMN(Q61)-COLUMN($C61))/$D61,""),"")</f>
        <v>18990.599999999999</v>
      </c>
      <c r="Q61" s="11" cm="1">
        <f t="array" ref="Q61">IFERROR(IF($D61 &lt;&gt;0,ResultValue($C61,COLUMN(R61)-COLUMN($C61))/$D61,""),"")</f>
        <v>19195.2</v>
      </c>
      <c r="R61" s="11" cm="1">
        <f t="array" ref="R61">IFERROR(IF($D61 &lt;&gt;0,ResultValue($C61,COLUMN(S61)-COLUMN($C61))/$D61,""),"")</f>
        <v>19399.8</v>
      </c>
      <c r="S61" s="11" cm="1">
        <f t="array" ref="S61">IFERROR(IF($D61 &lt;&gt;0,ResultValue($C61,COLUMN(T61)-COLUMN($C61))/$D61,""),"")</f>
        <v>19604.400000000001</v>
      </c>
      <c r="T61" s="11" cm="1">
        <f t="array" ref="T61">IFERROR(IF($D61 &lt;&gt;0,ResultValue($C61,COLUMN(U61)-COLUMN($C61))/$D61,""),"")</f>
        <v>19809</v>
      </c>
      <c r="U61" s="11" cm="1">
        <f t="array" ref="U61">IFERROR(IF($D61 &lt;&gt;0,ResultValue($C61,COLUMN(V61)-COLUMN($C61))/$D61,""),"")</f>
        <v>20013.599999999999</v>
      </c>
      <c r="V61" s="11" cm="1">
        <f t="array" ref="V61">IFERROR(IF($D61 &lt;&gt;0,ResultValue($C61,COLUMN(W61)-COLUMN($C61))/$D61,""),"")</f>
        <v>20218.2</v>
      </c>
      <c r="W61" s="11" cm="1">
        <f t="array" ref="W61">IFERROR(IF($D61 &lt;&gt;0,ResultValue($C61,COLUMN(X61)-COLUMN($C61))/$D61,""),"")</f>
        <v>20422.8</v>
      </c>
      <c r="X61" s="11" cm="1">
        <f t="array" ref="X61">IFERROR(IF($D61 &lt;&gt;0,ResultValue($C61,COLUMN(Y61)-COLUMN($C61))/$D61,""),"")</f>
        <v>20627.400000000001</v>
      </c>
      <c r="Y61" s="11" cm="1">
        <f t="array" ref="Y61">IFERROR(IF($D61 &lt;&gt;0,ResultValue($C61,COLUMN(Z61)-COLUMN($C61))/$D61,""),"")</f>
        <v>20832</v>
      </c>
    </row>
    <row r="62" spans="1:31" x14ac:dyDescent="0.25">
      <c r="A62" t="str">
        <v>Affaldvarme-afgift</v>
      </c>
      <c r="B62" s="44"/>
      <c r="C62" t="str">
        <f t="shared" si="0"/>
        <v>Bortkølet varme</v>
      </c>
      <c r="D62" s="37">
        <f t="shared" si="1"/>
        <v>-1</v>
      </c>
      <c r="E62" s="11" cm="1">
        <f t="array" ref="E62">IFERROR(IF($D62 &lt;&gt;0,ResultValue($C62,COLUMN(F62)-COLUMN($C62))/$D62,""),"")</f>
        <v>0</v>
      </c>
      <c r="F62" s="11" cm="1">
        <f t="array" ref="F62">IFERROR(IF($D62 &lt;&gt;0,ResultValue($C62,COLUMN(G62)-COLUMN($C62))/$D62,""),"")</f>
        <v>0</v>
      </c>
      <c r="G62" s="11" cm="1">
        <f t="array" ref="G62">IFERROR(IF($D62 &lt;&gt;0,ResultValue($C62,COLUMN(H62)-COLUMN($C62))/$D62,""),"")</f>
        <v>0</v>
      </c>
      <c r="H62" s="11" cm="1">
        <f t="array" ref="H62">IFERROR(IF($D62 &lt;&gt;0,ResultValue($C62,COLUMN(I62)-COLUMN($C62))/$D62,""),"")</f>
        <v>0</v>
      </c>
      <c r="I62" s="11" cm="1">
        <f t="array" ref="I62">IFERROR(IF($D62 &lt;&gt;0,ResultValue($C62,COLUMN(J62)-COLUMN($C62))/$D62,""),"")</f>
        <v>0</v>
      </c>
      <c r="J62" s="11" cm="1">
        <f t="array" ref="J62">IFERROR(IF($D62 &lt;&gt;0,ResultValue($C62,COLUMN(K62)-COLUMN($C62))/$D62,""),"")</f>
        <v>0</v>
      </c>
      <c r="K62" s="11" cm="1">
        <f t="array" ref="K62">IFERROR(IF($D62 &lt;&gt;0,ResultValue($C62,COLUMN(L62)-COLUMN($C62))/$D62,""),"")</f>
        <v>0</v>
      </c>
      <c r="L62" s="11" cm="1">
        <f t="array" ref="L62">IFERROR(IF($D62 &lt;&gt;0,ResultValue($C62,COLUMN(M62)-COLUMN($C62))/$D62,""),"")</f>
        <v>0</v>
      </c>
      <c r="M62" s="11" cm="1">
        <f t="array" ref="M62">IFERROR(IF($D62 &lt;&gt;0,ResultValue($C62,COLUMN(N62)-COLUMN($C62))/$D62,""),"")</f>
        <v>0</v>
      </c>
      <c r="N62" s="11" cm="1">
        <f t="array" ref="N62">IFERROR(IF($D62 &lt;&gt;0,ResultValue($C62,COLUMN(O62)-COLUMN($C62))/$D62,""),"")</f>
        <v>0</v>
      </c>
      <c r="O62" s="11" cm="1">
        <f t="array" ref="O62">IFERROR(IF($D62 &lt;&gt;0,ResultValue($C62,COLUMN(P62)-COLUMN($C62))/$D62,""),"")</f>
        <v>0</v>
      </c>
      <c r="P62" s="11" cm="1">
        <f t="array" ref="P62">IFERROR(IF($D62 &lt;&gt;0,ResultValue($C62,COLUMN(Q62)-COLUMN($C62))/$D62,""),"")</f>
        <v>0</v>
      </c>
      <c r="Q62" s="11" cm="1">
        <f t="array" ref="Q62">IFERROR(IF($D62 &lt;&gt;0,ResultValue($C62,COLUMN(R62)-COLUMN($C62))/$D62,""),"")</f>
        <v>0</v>
      </c>
      <c r="R62" s="11" cm="1">
        <f t="array" ref="R62">IFERROR(IF($D62 &lt;&gt;0,ResultValue($C62,COLUMN(S62)-COLUMN($C62))/$D62,""),"")</f>
        <v>0</v>
      </c>
      <c r="S62" s="11" cm="1">
        <f t="array" ref="S62">IFERROR(IF($D62 &lt;&gt;0,ResultValue($C62,COLUMN(T62)-COLUMN($C62))/$D62,""),"")</f>
        <v>0</v>
      </c>
      <c r="T62" s="11" cm="1">
        <f t="array" ref="T62">IFERROR(IF($D62 &lt;&gt;0,ResultValue($C62,COLUMN(U62)-COLUMN($C62))/$D62,""),"")</f>
        <v>0</v>
      </c>
      <c r="U62" s="11" cm="1">
        <f t="array" ref="U62">IFERROR(IF($D62 &lt;&gt;0,ResultValue($C62,COLUMN(V62)-COLUMN($C62))/$D62,""),"")</f>
        <v>0</v>
      </c>
      <c r="V62" s="11" cm="1">
        <f t="array" ref="V62">IFERROR(IF($D62 &lt;&gt;0,ResultValue($C62,COLUMN(W62)-COLUMN($C62))/$D62,""),"")</f>
        <v>0</v>
      </c>
      <c r="W62" s="11" cm="1">
        <f t="array" ref="W62">IFERROR(IF($D62 &lt;&gt;0,ResultValue($C62,COLUMN(X62)-COLUMN($C62))/$D62,""),"")</f>
        <v>0</v>
      </c>
      <c r="X62" s="11" cm="1">
        <f t="array" ref="X62">IFERROR(IF($D62 &lt;&gt;0,ResultValue($C62,COLUMN(Y62)-COLUMN($C62))/$D62,""),"")</f>
        <v>0</v>
      </c>
      <c r="Y62" s="11" cm="1">
        <f t="array" ref="Y62">IFERROR(IF($D62 &lt;&gt;0,ResultValue($C62,COLUMN(Z62)-COLUMN($C62))/$D62,""),"")</f>
        <v>0</v>
      </c>
    </row>
    <row r="63" spans="1:31" x14ac:dyDescent="0.25">
      <c r="A63" t="str">
        <v>Tillægsafgift</v>
      </c>
      <c r="B63" s="44"/>
      <c r="C63" t="str">
        <f t="shared" si="0"/>
        <v>Leveret varme</v>
      </c>
      <c r="D63" s="37">
        <f t="shared" si="1"/>
        <v>1</v>
      </c>
      <c r="E63" s="11" t="str" cm="1">
        <f t="array" ref="E63">IFERROR(IF($D63 &lt;&gt;0,ResultValue($C63,COLUMN(F63)-COLUMN($C63))/$D63,""),"")</f>
        <v/>
      </c>
      <c r="F63" s="11" t="str" cm="1">
        <f t="array" ref="F63">IFERROR(IF($D63 &lt;&gt;0,ResultValue($C63,COLUMN(G63)-COLUMN($C63))/$D63,""),"")</f>
        <v/>
      </c>
      <c r="G63" s="11" t="str" cm="1">
        <f t="array" ref="G63">IFERROR(IF($D63 &lt;&gt;0,ResultValue($C63,COLUMN(H63)-COLUMN($C63))/$D63,""),"")</f>
        <v/>
      </c>
      <c r="H63" s="11" t="str" cm="1">
        <f t="array" ref="H63">IFERROR(IF($D63 &lt;&gt;0,ResultValue($C63,COLUMN(I63)-COLUMN($C63))/$D63,""),"")</f>
        <v/>
      </c>
      <c r="I63" s="11" t="str" cm="1">
        <f t="array" ref="I63">IFERROR(IF($D63 &lt;&gt;0,ResultValue($C63,COLUMN(J63)-COLUMN($C63))/$D63,""),"")</f>
        <v/>
      </c>
      <c r="J63" s="11" t="str" cm="1">
        <f t="array" ref="J63">IFERROR(IF($D63 &lt;&gt;0,ResultValue($C63,COLUMN(K63)-COLUMN($C63))/$D63,""),"")</f>
        <v/>
      </c>
      <c r="K63" s="11" t="str" cm="1">
        <f t="array" ref="K63">IFERROR(IF($D63 &lt;&gt;0,ResultValue($C63,COLUMN(L63)-COLUMN($C63))/$D63,""),"")</f>
        <v/>
      </c>
      <c r="L63" s="11" t="str" cm="1">
        <f t="array" ref="L63">IFERROR(IF($D63 &lt;&gt;0,ResultValue($C63,COLUMN(M63)-COLUMN($C63))/$D63,""),"")</f>
        <v/>
      </c>
      <c r="M63" s="11" t="str" cm="1">
        <f t="array" ref="M63">IFERROR(IF($D63 &lt;&gt;0,ResultValue($C63,COLUMN(N63)-COLUMN($C63))/$D63,""),"")</f>
        <v/>
      </c>
      <c r="N63" s="11" t="str" cm="1">
        <f t="array" ref="N63">IFERROR(IF($D63 &lt;&gt;0,ResultValue($C63,COLUMN(O63)-COLUMN($C63))/$D63,""),"")</f>
        <v/>
      </c>
      <c r="O63" s="11" t="str" cm="1">
        <f t="array" ref="O63">IFERROR(IF($D63 &lt;&gt;0,ResultValue($C63,COLUMN(P63)-COLUMN($C63))/$D63,""),"")</f>
        <v/>
      </c>
      <c r="P63" s="11" t="str" cm="1">
        <f t="array" ref="P63">IFERROR(IF($D63 &lt;&gt;0,ResultValue($C63,COLUMN(Q63)-COLUMN($C63))/$D63,""),"")</f>
        <v/>
      </c>
      <c r="Q63" s="11" t="str" cm="1">
        <f t="array" ref="Q63">IFERROR(IF($D63 &lt;&gt;0,ResultValue($C63,COLUMN(R63)-COLUMN($C63))/$D63,""),"")</f>
        <v/>
      </c>
      <c r="R63" s="11" t="str" cm="1">
        <f t="array" ref="R63">IFERROR(IF($D63 &lt;&gt;0,ResultValue($C63,COLUMN(S63)-COLUMN($C63))/$D63,""),"")</f>
        <v/>
      </c>
      <c r="S63" s="11" t="str" cm="1">
        <f t="array" ref="S63">IFERROR(IF($D63 &lt;&gt;0,ResultValue($C63,COLUMN(T63)-COLUMN($C63))/$D63,""),"")</f>
        <v/>
      </c>
      <c r="T63" s="11" t="str" cm="1">
        <f t="array" ref="T63">IFERROR(IF($D63 &lt;&gt;0,ResultValue($C63,COLUMN(U63)-COLUMN($C63))/$D63,""),"")</f>
        <v/>
      </c>
      <c r="U63" s="11" t="str" cm="1">
        <f t="array" ref="U63">IFERROR(IF($D63 &lt;&gt;0,ResultValue($C63,COLUMN(V63)-COLUMN($C63))/$D63,""),"")</f>
        <v/>
      </c>
      <c r="V63" s="11" t="str" cm="1">
        <f t="array" ref="V63">IFERROR(IF($D63 &lt;&gt;0,ResultValue($C63,COLUMN(W63)-COLUMN($C63))/$D63,""),"")</f>
        <v/>
      </c>
      <c r="W63" s="11" t="str" cm="1">
        <f t="array" ref="W63">IFERROR(IF($D63 &lt;&gt;0,ResultValue($C63,COLUMN(X63)-COLUMN($C63))/$D63,""),"")</f>
        <v/>
      </c>
      <c r="X63" s="11" t="str" cm="1">
        <f t="array" ref="X63">IFERROR(IF($D63 &lt;&gt;0,ResultValue($C63,COLUMN(Y63)-COLUMN($C63))/$D63,""),"")</f>
        <v/>
      </c>
      <c r="Y63" s="11" t="str" cm="1">
        <f t="array" ref="Y63">IFERROR(IF($D63 &lt;&gt;0,ResultValue($C63,COLUMN(Z63)-COLUMN($C63))/$D63,""),"")</f>
        <v/>
      </c>
    </row>
    <row r="64" spans="1:31" x14ac:dyDescent="0.25">
      <c r="A64" t="str">
        <v>CO2-afgift</v>
      </c>
      <c r="B64" s="44"/>
      <c r="C64" t="str">
        <f t="shared" si="0"/>
        <v>Spidslastvarme</v>
      </c>
      <c r="D64" s="37">
        <f t="shared" si="1"/>
        <v>1</v>
      </c>
      <c r="E64" s="11" cm="1">
        <f t="array" ref="E64">IFERROR(IF($D64 &lt;&gt;0,ResultValue($C64,COLUMN(F64)-COLUMN($C64))/$D64,""),"")</f>
        <v>4000</v>
      </c>
      <c r="F64" s="11" cm="1">
        <f t="array" ref="F64">IFERROR(IF($D64 &lt;&gt;0,ResultValue($C64,COLUMN(G64)-COLUMN($C64))/$D64,""),"")</f>
        <v>4000</v>
      </c>
      <c r="G64" s="11" cm="1">
        <f t="array" ref="G64">IFERROR(IF($D64 &lt;&gt;0,ResultValue($C64,COLUMN(H64)-COLUMN($C64))/$D64,""),"")</f>
        <v>4000</v>
      </c>
      <c r="H64" s="11" cm="1">
        <f t="array" ref="H64">IFERROR(IF($D64 &lt;&gt;0,ResultValue($C64,COLUMN(I64)-COLUMN($C64))/$D64,""),"")</f>
        <v>4000</v>
      </c>
      <c r="I64" s="11" cm="1">
        <f t="array" ref="I64">IFERROR(IF($D64 &lt;&gt;0,ResultValue($C64,COLUMN(J64)-COLUMN($C64))/$D64,""),"")</f>
        <v>4000</v>
      </c>
      <c r="J64" s="11" cm="1">
        <f t="array" ref="J64">IFERROR(IF($D64 &lt;&gt;0,ResultValue($C64,COLUMN(K64)-COLUMN($C64))/$D64,""),"")</f>
        <v>4000</v>
      </c>
      <c r="K64" s="11" cm="1">
        <f t="array" ref="K64">IFERROR(IF($D64 &lt;&gt;0,ResultValue($C64,COLUMN(L64)-COLUMN($C64))/$D64,""),"")</f>
        <v>4000</v>
      </c>
      <c r="L64" s="11" cm="1">
        <f t="array" ref="L64">IFERROR(IF($D64 &lt;&gt;0,ResultValue($C64,COLUMN(M64)-COLUMN($C64))/$D64,""),"")</f>
        <v>4000</v>
      </c>
      <c r="M64" s="11" cm="1">
        <f t="array" ref="M64">IFERROR(IF($D64 &lt;&gt;0,ResultValue($C64,COLUMN(N64)-COLUMN($C64))/$D64,""),"")</f>
        <v>4000</v>
      </c>
      <c r="N64" s="11" cm="1">
        <f t="array" ref="N64">IFERROR(IF($D64 &lt;&gt;0,ResultValue($C64,COLUMN(O64)-COLUMN($C64))/$D64,""),"")</f>
        <v>4000</v>
      </c>
      <c r="O64" s="11" cm="1">
        <f t="array" ref="O64">IFERROR(IF($D64 &lt;&gt;0,ResultValue($C64,COLUMN(P64)-COLUMN($C64))/$D64,""),"")</f>
        <v>4000</v>
      </c>
      <c r="P64" s="11" cm="1">
        <f t="array" ref="P64">IFERROR(IF($D64 &lt;&gt;0,ResultValue($C64,COLUMN(Q64)-COLUMN($C64))/$D64,""),"")</f>
        <v>4000</v>
      </c>
      <c r="Q64" s="11" cm="1">
        <f t="array" ref="Q64">IFERROR(IF($D64 &lt;&gt;0,ResultValue($C64,COLUMN(R64)-COLUMN($C64))/$D64,""),"")</f>
        <v>4000</v>
      </c>
      <c r="R64" s="11" cm="1">
        <f t="array" ref="R64">IFERROR(IF($D64 &lt;&gt;0,ResultValue($C64,COLUMN(S64)-COLUMN($C64))/$D64,""),"")</f>
        <v>4000</v>
      </c>
      <c r="S64" s="11" cm="1">
        <f t="array" ref="S64">IFERROR(IF($D64 &lt;&gt;0,ResultValue($C64,COLUMN(T64)-COLUMN($C64))/$D64,""),"")</f>
        <v>4000</v>
      </c>
      <c r="T64" s="11" cm="1">
        <f t="array" ref="T64">IFERROR(IF($D64 &lt;&gt;0,ResultValue($C64,COLUMN(U64)-COLUMN($C64))/$D64,""),"")</f>
        <v>4000</v>
      </c>
      <c r="U64" s="11" cm="1">
        <f t="array" ref="U64">IFERROR(IF($D64 &lt;&gt;0,ResultValue($C64,COLUMN(V64)-COLUMN($C64))/$D64,""),"")</f>
        <v>4000</v>
      </c>
      <c r="V64" s="11" cm="1">
        <f t="array" ref="V64">IFERROR(IF($D64 &lt;&gt;0,ResultValue($C64,COLUMN(W64)-COLUMN($C64))/$D64,""),"")</f>
        <v>4000</v>
      </c>
      <c r="W64" s="11" cm="1">
        <f t="array" ref="W64">IFERROR(IF($D64 &lt;&gt;0,ResultValue($C64,COLUMN(X64)-COLUMN($C64))/$D64,""),"")</f>
        <v>4000</v>
      </c>
      <c r="X64" s="11" cm="1">
        <f t="array" ref="X64">IFERROR(IF($D64 &lt;&gt;0,ResultValue($C64,COLUMN(Y64)-COLUMN($C64))/$D64,""),"")</f>
        <v>4000</v>
      </c>
      <c r="Y64" s="11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4"/>
      <c r="C65" t="str">
        <f t="shared" si="0"/>
        <v>Affaldsforbrug Ovn2</v>
      </c>
      <c r="D65" s="37">
        <f t="shared" si="1"/>
        <v>1</v>
      </c>
      <c r="E65" s="11" cm="1">
        <f t="array" ref="E65">IFERROR(IF($D65 &lt;&gt;0,ResultValue($C65,COLUMN(F65)-COLUMN($C65))/$D65,""),"")</f>
        <v>1094.3867347062462</v>
      </c>
      <c r="F65" s="11" cm="1">
        <f t="array" ref="F65">IFERROR(IF($D65 &lt;&gt;0,ResultValue($C65,COLUMN(G65)-COLUMN($C65))/$D65,""),"")</f>
        <v>2919.670860050182</v>
      </c>
      <c r="G65" s="11" cm="1">
        <f t="array" ref="G65">IFERROR(IF($D65 &lt;&gt;0,ResultValue($C65,COLUMN(H65)-COLUMN($C65))/$D65,""),"")</f>
        <v>2805.7762998686553</v>
      </c>
      <c r="H65" s="11" cm="1">
        <f t="array" ref="H65">IFERROR(IF($D65 &lt;&gt;0,ResultValue($C65,COLUMN(I65)-COLUMN($C65))/$D65,""),"")</f>
        <v>2694.2061184663444</v>
      </c>
      <c r="I65" s="11" cm="1">
        <f t="array" ref="I65">IFERROR(IF($D65 &lt;&gt;0,ResultValue($C65,COLUMN(J65)-COLUMN($C65))/$D65,""),"")</f>
        <v>2584.8898801226651</v>
      </c>
      <c r="J65" s="11" cm="1">
        <f t="array" ref="J65">IFERROR(IF($D65 &lt;&gt;0,ResultValue($C65,COLUMN(K65)-COLUMN($C65))/$D65,""),"")</f>
        <v>2477.7599665458606</v>
      </c>
      <c r="K65" s="11" cm="1">
        <f t="array" ref="K65">IFERROR(IF($D65 &lt;&gt;0,ResultValue($C65,COLUMN(L65)-COLUMN($C65))/$D65,""),"")</f>
        <v>2372.751437396319</v>
      </c>
      <c r="L65" s="11" cm="1">
        <f t="array" ref="L65">IFERROR(IF($D65 &lt;&gt;0,ResultValue($C65,COLUMN(M65)-COLUMN($C65))/$D65,""),"")</f>
        <v>2269.8018990144151</v>
      </c>
      <c r="M65" s="11" cm="1">
        <f t="array" ref="M65">IFERROR(IF($D65 &lt;&gt;0,ResultValue($C65,COLUMN(N65)-COLUMN($C65))/$D65,""),"")</f>
        <v>2168.8513807952672</v>
      </c>
      <c r="N65" s="11" cm="1">
        <f t="array" ref="N65">IFERROR(IF($D65 &lt;&gt;0,ResultValue($C65,COLUMN(O65)-COLUMN($C65))/$D65,""),"")</f>
        <v>2069.8422186957168</v>
      </c>
      <c r="O65" s="11" cm="1">
        <f t="array" ref="O65">IFERROR(IF($D65 &lt;&gt;0,ResultValue($C65,COLUMN(P65)-COLUMN($C65))/$D65,""),"")</f>
        <v>1972.7189453980645</v>
      </c>
      <c r="P65" s="11" cm="1">
        <f t="array" ref="P65">IFERROR(IF($D65 &lt;&gt;0,ResultValue($C65,COLUMN(Q65)-COLUMN($C65))/$D65,""),"")</f>
        <v>1877.4281866909339</v>
      </c>
      <c r="Q65" s="11" cm="1">
        <f t="array" ref="Q65">IFERROR(IF($D65 &lt;&gt;0,ResultValue($C65,COLUMN(R65)-COLUMN($C65))/$D65,""),"")</f>
        <v>1783.9185636605707</v>
      </c>
      <c r="R65" s="11" cm="1">
        <f t="array" ref="R65">IFERROR(IF($D65 &lt;&gt;0,ResultValue($C65,COLUMN(S65)-COLUMN($C65))/$D65,""),"")</f>
        <v>1692.1406003159564</v>
      </c>
      <c r="S65" s="11" cm="1">
        <f t="array" ref="S65">IFERROR(IF($D65 &lt;&gt;0,ResultValue($C65,COLUMN(T65)-COLUMN($C65))/$D65,""),"")</f>
        <v>1602.0466362987647</v>
      </c>
      <c r="T65" s="11" cm="1">
        <f t="array" ref="T65">IFERROR(IF($D65 &lt;&gt;0,ResultValue($C65,COLUMN(U65)-COLUMN($C65))/$D65,""),"")</f>
        <v>1513.5907443546141</v>
      </c>
      <c r="U65" s="11" cm="1">
        <f t="array" ref="U65">IFERROR(IF($D65 &lt;&gt;0,ResultValue($C65,COLUMN(V65)-COLUMN($C65))/$D65,""),"")</f>
        <v>1426.728652265313</v>
      </c>
      <c r="V65" s="11" cm="1">
        <f t="array" ref="V65">IFERROR(IF($D65 &lt;&gt;0,ResultValue($C65,COLUMN(W65)-COLUMN($C65))/$D65,""),"")</f>
        <v>1341.41766896332</v>
      </c>
      <c r="W65" s="11" cm="1">
        <f t="array" ref="W65">IFERROR(IF($D65 &lt;&gt;0,ResultValue($C65,COLUMN(X65)-COLUMN($C65))/$D65,""),"")</f>
        <v>1257.6166145693278</v>
      </c>
      <c r="X65" s="11" cm="1">
        <f t="array" ref="X65">IFERROR(IF($D65 &lt;&gt;0,ResultValue($C65,COLUMN(Y65)-COLUMN($C65))/$D65,""),"")</f>
        <v>1175.2857541120711</v>
      </c>
      <c r="Y65" s="11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4"/>
      <c r="C66" t="str">
        <f t="shared" si="0"/>
        <v>Affaldsforbrug Ovn3</v>
      </c>
      <c r="D66" s="37">
        <f t="shared" si="1"/>
        <v>1</v>
      </c>
      <c r="E66" s="11" cm="1">
        <f t="array" ref="E66">IFERROR(IF($D66 &lt;&gt;0,ResultValue($C66,COLUMN(F66)-COLUMN($C66))/$D66,""),"")</f>
        <v>9006.456241033</v>
      </c>
      <c r="F66" s="11" cm="1">
        <f t="array" ref="F66">IFERROR(IF($D66 &lt;&gt;0,ResultValue($C66,COLUMN(G66)-COLUMN($C66))/$D66,""),"")</f>
        <v>9006.4562410329982</v>
      </c>
      <c r="G66" s="11" cm="1">
        <f t="array" ref="G66">IFERROR(IF($D66 &lt;&gt;0,ResultValue($C66,COLUMN(H66)-COLUMN($C66))/$D66,""),"")</f>
        <v>9006.456241033</v>
      </c>
      <c r="H66" s="11" cm="1">
        <f t="array" ref="H66">IFERROR(IF($D66 &lt;&gt;0,ResultValue($C66,COLUMN(I66)-COLUMN($C66))/$D66,""),"")</f>
        <v>9006.4562410329982</v>
      </c>
      <c r="I66" s="11" cm="1">
        <f t="array" ref="I66">IFERROR(IF($D66 &lt;&gt;0,ResultValue($C66,COLUMN(J66)-COLUMN($C66))/$D66,""),"")</f>
        <v>9006.456241033</v>
      </c>
      <c r="J66" s="11" cm="1">
        <f t="array" ref="J66">IFERROR(IF($D66 &lt;&gt;0,ResultValue($C66,COLUMN(K66)-COLUMN($C66))/$D66,""),"")</f>
        <v>9006.456241033</v>
      </c>
      <c r="K66" s="11" cm="1">
        <f t="array" ref="K66">IFERROR(IF($D66 &lt;&gt;0,ResultValue($C66,COLUMN(L66)-COLUMN($C66))/$D66,""),"")</f>
        <v>9006.456241033</v>
      </c>
      <c r="L66" s="11" cm="1">
        <f t="array" ref="L66">IFERROR(IF($D66 &lt;&gt;0,ResultValue($C66,COLUMN(M66)-COLUMN($C66))/$D66,""),"")</f>
        <v>9006.456241033</v>
      </c>
      <c r="M66" s="11" cm="1">
        <f t="array" ref="M66">IFERROR(IF($D66 &lt;&gt;0,ResultValue($C66,COLUMN(N66)-COLUMN($C66))/$D66,""),"")</f>
        <v>9006.456241033</v>
      </c>
      <c r="N66" s="11" cm="1">
        <f t="array" ref="N66">IFERROR(IF($D66 &lt;&gt;0,ResultValue($C66,COLUMN(O66)-COLUMN($C66))/$D66,""),"")</f>
        <v>9006.456241033</v>
      </c>
      <c r="O66" s="11" cm="1">
        <f t="array" ref="O66">IFERROR(IF($D66 &lt;&gt;0,ResultValue($C66,COLUMN(P66)-COLUMN($C66))/$D66,""),"")</f>
        <v>9006.456241033</v>
      </c>
      <c r="P66" s="11" cm="1">
        <f t="array" ref="P66">IFERROR(IF($D66 &lt;&gt;0,ResultValue($C66,COLUMN(Q66)-COLUMN($C66))/$D66,""),"")</f>
        <v>9006.4562410329982</v>
      </c>
      <c r="Q66" s="11" cm="1">
        <f t="array" ref="Q66">IFERROR(IF($D66 &lt;&gt;0,ResultValue($C66,COLUMN(R66)-COLUMN($C66))/$D66,""),"")</f>
        <v>9006.456241033</v>
      </c>
      <c r="R66" s="11" cm="1">
        <f t="array" ref="R66">IFERROR(IF($D66 &lt;&gt;0,ResultValue($C66,COLUMN(S66)-COLUMN($C66))/$D66,""),"")</f>
        <v>9006.456241033</v>
      </c>
      <c r="S66" s="11" cm="1">
        <f t="array" ref="S66">IFERROR(IF($D66 &lt;&gt;0,ResultValue($C66,COLUMN(T66)-COLUMN($C66))/$D66,""),"")</f>
        <v>9006.456241033</v>
      </c>
      <c r="T66" s="11" cm="1">
        <f t="array" ref="T66">IFERROR(IF($D66 &lt;&gt;0,ResultValue($C66,COLUMN(U66)-COLUMN($C66))/$D66,""),"")</f>
        <v>9006.456241033</v>
      </c>
      <c r="U66" s="11" cm="1">
        <f t="array" ref="U66">IFERROR(IF($D66 &lt;&gt;0,ResultValue($C66,COLUMN(V66)-COLUMN($C66))/$D66,""),"")</f>
        <v>9006.456241033</v>
      </c>
      <c r="V66" s="11" cm="1">
        <f t="array" ref="V66">IFERROR(IF($D66 &lt;&gt;0,ResultValue($C66,COLUMN(W66)-COLUMN($C66))/$D66,""),"")</f>
        <v>9006.456241033</v>
      </c>
      <c r="W66" s="11" cm="1">
        <f t="array" ref="W66">IFERROR(IF($D66 &lt;&gt;0,ResultValue($C66,COLUMN(X66)-COLUMN($C66))/$D66,""),"")</f>
        <v>9006.456241033</v>
      </c>
      <c r="X66" s="11" cm="1">
        <f t="array" ref="X66">IFERROR(IF($D66 &lt;&gt;0,ResultValue($C66,COLUMN(Y66)-COLUMN($C66))/$D66,""),"")</f>
        <v>9006.456241033</v>
      </c>
      <c r="Y66" s="11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4"/>
      <c r="C67" t="str">
        <f t="shared" si="0"/>
        <v>Affaldsforbrug kølevarme Ovn2</v>
      </c>
      <c r="D67" s="37">
        <f t="shared" si="1"/>
        <v>1</v>
      </c>
      <c r="E67" s="11" cm="1">
        <f t="array" ref="E67">IFERROR(IF($D67 &lt;&gt;0,ResultValue($C67,COLUMN(F67)-COLUMN($C67))/$D67,""),"")</f>
        <v>0</v>
      </c>
      <c r="F67" s="11" cm="1">
        <f t="array" ref="F67">IFERROR(IF($D67 &lt;&gt;0,ResultValue($C67,COLUMN(G67)-COLUMN($C67))/$D67,""),"")</f>
        <v>0</v>
      </c>
      <c r="G67" s="11" cm="1">
        <f t="array" ref="G67">IFERROR(IF($D67 &lt;&gt;0,ResultValue($C67,COLUMN(H67)-COLUMN($C67))/$D67,""),"")</f>
        <v>0</v>
      </c>
      <c r="H67" s="11" cm="1">
        <f t="array" ref="H67">IFERROR(IF($D67 &lt;&gt;0,ResultValue($C67,COLUMN(I67)-COLUMN($C67))/$D67,""),"")</f>
        <v>0</v>
      </c>
      <c r="I67" s="11" cm="1">
        <f t="array" ref="I67">IFERROR(IF($D67 &lt;&gt;0,ResultValue($C67,COLUMN(J67)-COLUMN($C67))/$D67,""),"")</f>
        <v>0</v>
      </c>
      <c r="J67" s="11" cm="1">
        <f t="array" ref="J67">IFERROR(IF($D67 &lt;&gt;0,ResultValue($C67,COLUMN(K67)-COLUMN($C67))/$D67,""),"")</f>
        <v>0</v>
      </c>
      <c r="K67" s="11" cm="1">
        <f t="array" ref="K67">IFERROR(IF($D67 &lt;&gt;0,ResultValue($C67,COLUMN(L67)-COLUMN($C67))/$D67,""),"")</f>
        <v>0</v>
      </c>
      <c r="L67" s="11" cm="1">
        <f t="array" ref="L67">IFERROR(IF($D67 &lt;&gt;0,ResultValue($C67,COLUMN(M67)-COLUMN($C67))/$D67,""),"")</f>
        <v>0</v>
      </c>
      <c r="M67" s="11" cm="1">
        <f t="array" ref="M67">IFERROR(IF($D67 &lt;&gt;0,ResultValue($C67,COLUMN(N67)-COLUMN($C67))/$D67,""),"")</f>
        <v>0</v>
      </c>
      <c r="N67" s="11" cm="1">
        <f t="array" ref="N67">IFERROR(IF($D67 &lt;&gt;0,ResultValue($C67,COLUMN(O67)-COLUMN($C67))/$D67,""),"")</f>
        <v>0</v>
      </c>
      <c r="O67" s="11" cm="1">
        <f t="array" ref="O67">IFERROR(IF($D67 &lt;&gt;0,ResultValue($C67,COLUMN(P67)-COLUMN($C67))/$D67,""),"")</f>
        <v>0</v>
      </c>
      <c r="P67" s="11" cm="1">
        <f t="array" ref="P67">IFERROR(IF($D67 &lt;&gt;0,ResultValue($C67,COLUMN(Q67)-COLUMN($C67))/$D67,""),"")</f>
        <v>0</v>
      </c>
      <c r="Q67" s="11" cm="1">
        <f t="array" ref="Q67">IFERROR(IF($D67 &lt;&gt;0,ResultValue($C67,COLUMN(R67)-COLUMN($C67))/$D67,""),"")</f>
        <v>0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4"/>
      <c r="C68" t="str">
        <f t="shared" si="0"/>
        <v>Affaldsforbrug kølevarme Ovn3</v>
      </c>
      <c r="D68" s="37">
        <f t="shared" si="1"/>
        <v>1</v>
      </c>
      <c r="E68" s="11" cm="1">
        <f t="array" ref="E68">IFERROR(IF($D68 &lt;&gt;0,ResultValue($C68,COLUMN(F68)-COLUMN($C68))/$D68,""),"")</f>
        <v>0</v>
      </c>
      <c r="F68" s="11" cm="1">
        <f t="array" ref="F68">IFERROR(IF($D68 &lt;&gt;0,ResultValue($C68,COLUMN(G68)-COLUMN($C68))/$D68,""),"")</f>
        <v>0</v>
      </c>
      <c r="G68" s="11" cm="1">
        <f t="array" ref="G68">IFERROR(IF($D68 &lt;&gt;0,ResultValue($C68,COLUMN(H68)-COLUMN($C68))/$D68,""),"")</f>
        <v>0</v>
      </c>
      <c r="H68" s="11" cm="1">
        <f t="array" ref="H68">IFERROR(IF($D68 &lt;&gt;0,ResultValue($C68,COLUMN(I68)-COLUMN($C68))/$D68,""),"")</f>
        <v>0</v>
      </c>
      <c r="I68" s="11" cm="1">
        <f t="array" ref="I68">IFERROR(IF($D68 &lt;&gt;0,ResultValue($C68,COLUMN(J68)-COLUMN($C68))/$D68,""),"")</f>
        <v>0</v>
      </c>
      <c r="J68" s="11" cm="1">
        <f t="array" ref="J68">IFERROR(IF($D68 &lt;&gt;0,ResultValue($C68,COLUMN(K68)-COLUMN($C68))/$D68,""),"")</f>
        <v>0</v>
      </c>
      <c r="K68" s="11" cm="1">
        <f t="array" ref="K68">IFERROR(IF($D68 &lt;&gt;0,ResultValue($C68,COLUMN(L68)-COLUMN($C68))/$D68,""),"")</f>
        <v>0</v>
      </c>
      <c r="L68" s="11" cm="1">
        <f t="array" ref="L68">IFERROR(IF($D68 &lt;&gt;0,ResultValue($C68,COLUMN(M68)-COLUMN($C68))/$D68,""),"")</f>
        <v>0</v>
      </c>
      <c r="M68" s="11" cm="1">
        <f t="array" ref="M68">IFERROR(IF($D68 &lt;&gt;0,ResultValue($C68,COLUMN(N68)-COLUMN($C68))/$D68,""),"")</f>
        <v>0</v>
      </c>
      <c r="N68" s="11" cm="1">
        <f t="array" ref="N68">IFERROR(IF($D68 &lt;&gt;0,ResultValue($C68,COLUMN(O68)-COLUMN($C68))/$D68,""),"")</f>
        <v>0</v>
      </c>
      <c r="O68" s="11" cm="1">
        <f t="array" ref="O68">IFERROR(IF($D68 &lt;&gt;0,ResultValue($C68,COLUMN(P68)-COLUMN($C68))/$D68,""),"")</f>
        <v>0</v>
      </c>
      <c r="P68" s="11" cm="1">
        <f t="array" ref="P68">IFERROR(IF($D68 &lt;&gt;0,ResultValue($C68,COLUMN(Q68)-COLUMN($C68))/$D68,""),"")</f>
        <v>0</v>
      </c>
      <c r="Q68" s="11" cm="1">
        <f t="array" ref="Q68">IFERROR(IF($D68 &lt;&gt;0,ResultValue($C68,COLUMN(R68)-COLUMN($C68))/$D68,""),"")</f>
        <v>0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4"/>
      <c r="C69" t="str">
        <f t="shared" si="0"/>
        <v>Udnyttet affald</v>
      </c>
      <c r="D69" s="37">
        <f t="shared" si="1"/>
        <v>1</v>
      </c>
      <c r="E69" s="11" cm="1">
        <f t="array" ref="E69">IFERROR(IF($D69 &lt;&gt;0,ResultValue($C69,COLUMN(F69)-COLUMN($C69))/$D69,""),"")</f>
        <v>10100.842975739246</v>
      </c>
      <c r="F69" s="11" cm="1">
        <f t="array" ref="F69">IFERROR(IF($D69 &lt;&gt;0,ResultValue($C69,COLUMN(G69)-COLUMN($C69))/$D69,""),"")</f>
        <v>11926.127101083181</v>
      </c>
      <c r="G69" s="11" cm="1">
        <f t="array" ref="G69">IFERROR(IF($D69 &lt;&gt;0,ResultValue($C69,COLUMN(H69)-COLUMN($C69))/$D69,""),"")</f>
        <v>11812.232540901656</v>
      </c>
      <c r="H69" s="11" cm="1">
        <f t="array" ref="H69">IFERROR(IF($D69 &lt;&gt;0,ResultValue($C69,COLUMN(I69)-COLUMN($C69))/$D69,""),"")</f>
        <v>11700.662359499343</v>
      </c>
      <c r="I69" s="11" cm="1">
        <f t="array" ref="I69">IFERROR(IF($D69 &lt;&gt;0,ResultValue($C69,COLUMN(J69)-COLUMN($C69))/$D69,""),"")</f>
        <v>11591.346121155664</v>
      </c>
      <c r="J69" s="11" cm="1">
        <f t="array" ref="J69">IFERROR(IF($D69 &lt;&gt;0,ResultValue($C69,COLUMN(K69)-COLUMN($C69))/$D69,""),"")</f>
        <v>11484.21620757886</v>
      </c>
      <c r="K69" s="11" cm="1">
        <f t="array" ref="K69">IFERROR(IF($D69 &lt;&gt;0,ResultValue($C69,COLUMN(L69)-COLUMN($C69))/$D69,""),"")</f>
        <v>11379.207678429319</v>
      </c>
      <c r="L69" s="11" cm="1">
        <f t="array" ref="L69">IFERROR(IF($D69 &lt;&gt;0,ResultValue($C69,COLUMN(M69)-COLUMN($C69))/$D69,""),"")</f>
        <v>11276.258140047416</v>
      </c>
      <c r="M69" s="11" cm="1">
        <f t="array" ref="M69">IFERROR(IF($D69 &lt;&gt;0,ResultValue($C69,COLUMN(N69)-COLUMN($C69))/$D69,""),"")</f>
        <v>11175.307621828268</v>
      </c>
      <c r="N69" s="11" cm="1">
        <f t="array" ref="N69">IFERROR(IF($D69 &lt;&gt;0,ResultValue($C69,COLUMN(O69)-COLUMN($C69))/$D69,""),"")</f>
        <v>11076.298459728718</v>
      </c>
      <c r="O69" s="11" cm="1">
        <f t="array" ref="O69">IFERROR(IF($D69 &lt;&gt;0,ResultValue($C69,COLUMN(P69)-COLUMN($C69))/$D69,""),"")</f>
        <v>10979.175186431065</v>
      </c>
      <c r="P69" s="11" cm="1">
        <f t="array" ref="P69">IFERROR(IF($D69 &lt;&gt;0,ResultValue($C69,COLUMN(Q69)-COLUMN($C69))/$D69,""),"")</f>
        <v>10883.884427723931</v>
      </c>
      <c r="Q69" s="11" cm="1">
        <f t="array" ref="Q69">IFERROR(IF($D69 &lt;&gt;0,ResultValue($C69,COLUMN(R69)-COLUMN($C69))/$D69,""),"")</f>
        <v>10790.374804693571</v>
      </c>
      <c r="R69" s="11" cm="1">
        <f t="array" ref="R69">IFERROR(IF($D69 &lt;&gt;0,ResultValue($C69,COLUMN(S69)-COLUMN($C69))/$D69,""),"")</f>
        <v>10698.596841348957</v>
      </c>
      <c r="S69" s="11" cm="1">
        <f t="array" ref="S69">IFERROR(IF($D69 &lt;&gt;0,ResultValue($C69,COLUMN(T69)-COLUMN($C69))/$D69,""),"")</f>
        <v>10608.502877331764</v>
      </c>
      <c r="T69" s="11" cm="1">
        <f t="array" ref="T69">IFERROR(IF($D69 &lt;&gt;0,ResultValue($C69,COLUMN(U69)-COLUMN($C69))/$D69,""),"")</f>
        <v>10520.046985387615</v>
      </c>
      <c r="U69" s="11" cm="1">
        <f t="array" ref="U69">IFERROR(IF($D69 &lt;&gt;0,ResultValue($C69,COLUMN(V69)-COLUMN($C69))/$D69,""),"")</f>
        <v>10433.184893298312</v>
      </c>
      <c r="V69" s="11" cm="1">
        <f t="array" ref="V69">IFERROR(IF($D69 &lt;&gt;0,ResultValue($C69,COLUMN(W69)-COLUMN($C69))/$D69,""),"")</f>
        <v>10347.87390999632</v>
      </c>
      <c r="W69" s="11" cm="1">
        <f t="array" ref="W69">IFERROR(IF($D69 &lt;&gt;0,ResultValue($C69,COLUMN(X69)-COLUMN($C69))/$D69,""),"")</f>
        <v>10264.072855602328</v>
      </c>
      <c r="X69" s="11" cm="1">
        <f t="array" ref="X69">IFERROR(IF($D69 &lt;&gt;0,ResultValue($C69,COLUMN(Y69)-COLUMN($C69))/$D69,""),"")</f>
        <v>10181.741995145072</v>
      </c>
      <c r="Y69" s="11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affaldsvarme</v>
      </c>
      <c r="B70" s="44"/>
      <c r="C70" t="str">
        <f t="shared" si="0"/>
        <v>Ikke-udnyttet affald</v>
      </c>
      <c r="D70" s="37">
        <f t="shared" si="1"/>
        <v>1</v>
      </c>
      <c r="E70" s="11" cm="1">
        <f t="array" ref="E70">IFERROR(IF($D70 &lt;&gt;0,ResultValue($C70,COLUMN(F70)-COLUMN($C70))/$D70,""),"")</f>
        <v>1899.1570242607538</v>
      </c>
      <c r="F70" s="11" cm="1">
        <f t="array" ref="F70">IFERROR(IF($D70 &lt;&gt;0,ResultValue($C70,COLUMN(G70)-COLUMN($C70))/$D70,""),"")</f>
        <v>73.87289891681985</v>
      </c>
      <c r="G70" s="11" cm="1">
        <f t="array" ref="G70">IFERROR(IF($D70 &lt;&gt;0,ResultValue($C70,COLUMN(H70)-COLUMN($C70))/$D70,""),"")</f>
        <v>187.76745909834472</v>
      </c>
      <c r="H70" s="11" cm="1">
        <f t="array" ref="H70">IFERROR(IF($D70 &lt;&gt;0,ResultValue($C70,COLUMN(I70)-COLUMN($C70))/$D70,""),"")</f>
        <v>299.33764050065747</v>
      </c>
      <c r="I70" s="11" cm="1">
        <f t="array" ref="I70">IFERROR(IF($D70 &lt;&gt;0,ResultValue($C70,COLUMN(J70)-COLUMN($C70))/$D70,""),"")</f>
        <v>408.65387884433494</v>
      </c>
      <c r="J70" s="11" cm="1">
        <f t="array" ref="J70">IFERROR(IF($D70 &lt;&gt;0,ResultValue($C70,COLUMN(K70)-COLUMN($C70))/$D70,""),"")</f>
        <v>515.78379242113942</v>
      </c>
      <c r="K70" s="11" cm="1">
        <f t="array" ref="K70">IFERROR(IF($D70 &lt;&gt;0,ResultValue($C70,COLUMN(L70)-COLUMN($C70))/$D70,""),"")</f>
        <v>620.792321570681</v>
      </c>
      <c r="L70" s="11" cm="1">
        <f t="array" ref="L70">IFERROR(IF($D70 &lt;&gt;0,ResultValue($C70,COLUMN(M70)-COLUMN($C70))/$D70,""),"")</f>
        <v>723.74185995258495</v>
      </c>
      <c r="M70" s="11" cm="1">
        <f t="array" ref="M70">IFERROR(IF($D70 &lt;&gt;0,ResultValue($C70,COLUMN(N70)-COLUMN($C70))/$D70,""),"")</f>
        <v>824.6923781717328</v>
      </c>
      <c r="N70" s="11" cm="1">
        <f t="array" ref="N70">IFERROR(IF($D70 &lt;&gt;0,ResultValue($C70,COLUMN(O70)-COLUMN($C70))/$D70,""),"")</f>
        <v>923.70154027128319</v>
      </c>
      <c r="O70" s="11" cm="1">
        <f t="array" ref="O70">IFERROR(IF($D70 &lt;&gt;0,ResultValue($C70,COLUMN(P70)-COLUMN($C70))/$D70,""),"")</f>
        <v>1020.8248135689355</v>
      </c>
      <c r="P70" s="11" cm="1">
        <f t="array" ref="P70">IFERROR(IF($D70 &lt;&gt;0,ResultValue($C70,COLUMN(Q70)-COLUMN($C70))/$D70,""),"")</f>
        <v>1116.115572276068</v>
      </c>
      <c r="Q70" s="11" cm="1">
        <f t="array" ref="Q70">IFERROR(IF($D70 &lt;&gt;0,ResultValue($C70,COLUMN(R70)-COLUMN($C70))/$D70,""),"")</f>
        <v>1209.6251953064293</v>
      </c>
      <c r="R70" s="11" cm="1">
        <f t="array" ref="R70">IFERROR(IF($D70 &lt;&gt;0,ResultValue($C70,COLUMN(S70)-COLUMN($C70))/$D70,""),"")</f>
        <v>1301.4031586510437</v>
      </c>
      <c r="S70" s="11" cm="1">
        <f t="array" ref="S70">IFERROR(IF($D70 &lt;&gt;0,ResultValue($C70,COLUMN(T70)-COLUMN($C70))/$D70,""),"")</f>
        <v>1391.4971226682353</v>
      </c>
      <c r="T70" s="11" cm="1">
        <f t="array" ref="T70">IFERROR(IF($D70 &lt;&gt;0,ResultValue($C70,COLUMN(U70)-COLUMN($C70))/$D70,""),"")</f>
        <v>1479.9530146123859</v>
      </c>
      <c r="U70" s="11" cm="1">
        <f t="array" ref="U70">IFERROR(IF($D70 &lt;&gt;0,ResultValue($C70,COLUMN(V70)-COLUMN($C70))/$D70,""),"")</f>
        <v>1566.815106701687</v>
      </c>
      <c r="V70" s="11" cm="1">
        <f t="array" ref="V70">IFERROR(IF($D70 &lt;&gt;0,ResultValue($C70,COLUMN(W70)-COLUMN($C70))/$D70,""),"")</f>
        <v>1652.12609000368</v>
      </c>
      <c r="W70" s="11" cm="1">
        <f t="array" ref="W70">IFERROR(IF($D70 &lt;&gt;0,ResultValue($C70,COLUMN(X70)-COLUMN($C70))/$D70,""),"")</f>
        <v>1735.9271443976722</v>
      </c>
      <c r="X70" s="11" cm="1">
        <f t="array" ref="X70">IFERROR(IF($D70 &lt;&gt;0,ResultValue($C70,COLUMN(Y70)-COLUMN($C70))/$D70,""),"")</f>
        <v>1818.2580048549289</v>
      </c>
      <c r="Y70" s="11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4"/>
      <c r="C71" t="str">
        <f t="shared" si="0"/>
        <v>Ovn2 tonnageudnyttelse</v>
      </c>
      <c r="D71" s="37">
        <f t="shared" si="1"/>
        <v>1</v>
      </c>
      <c r="E71" s="11" cm="1">
        <f t="array" ref="E71">IFERROR(IF($D71 &lt;&gt;0,ResultValue($C71,COLUMN(F71)-COLUMN($C71))/$D71,""),"")</f>
        <v>0.3702664796633941</v>
      </c>
      <c r="F71" s="11" cm="1">
        <f t="array" ref="F71">IFERROR(IF($D71 &lt;&gt;0,ResultValue($C71,COLUMN(G71)-COLUMN($C71))/$D71,""),"")</f>
        <v>0.98781922043010761</v>
      </c>
      <c r="G71" s="11" cm="1">
        <f t="array" ref="G71">IFERROR(IF($D71 &lt;&gt;0,ResultValue($C71,COLUMN(H71)-COLUMN($C71))/$D71,""),"")</f>
        <v>0.94928500166278673</v>
      </c>
      <c r="H71" s="11" cm="1">
        <f t="array" ref="H71">IFERROR(IF($D71 &lt;&gt;0,ResultValue($C71,COLUMN(I71)-COLUMN($C71))/$D71,""),"")</f>
        <v>0.91153719552337065</v>
      </c>
      <c r="I71" s="11" cm="1">
        <f t="array" ref="I71">IFERROR(IF($D71 &lt;&gt;0,ResultValue($C71,COLUMN(J71)-COLUMN($C71))/$D71,""),"")</f>
        <v>0.87455197132616469</v>
      </c>
      <c r="J71" s="11" cm="1">
        <f t="array" ref="J71">IFERROR(IF($D71 &lt;&gt;0,ResultValue($C71,COLUMN(K71)-COLUMN($C71))/$D71,""),"")</f>
        <v>0.83830645161290329</v>
      </c>
      <c r="K71" s="11" cm="1">
        <f t="array" ref="K71">IFERROR(IF($D71 &lt;&gt;0,ResultValue($C71,COLUMN(L71)-COLUMN($C71))/$D71,""),"")</f>
        <v>0.80277866496327055</v>
      </c>
      <c r="L71" s="11" cm="1">
        <f t="array" ref="L71">IFERROR(IF($D71 &lt;&gt;0,ResultValue($C71,COLUMN(M71)-COLUMN($C71))/$D71,""),"")</f>
        <v>0.76794750158127767</v>
      </c>
      <c r="M71" s="11" cm="1">
        <f t="array" ref="M71">IFERROR(IF($D71 &lt;&gt;0,ResultValue($C71,COLUMN(N71)-COLUMN($C71))/$D71,""),"")</f>
        <v>0.7337926714688382</v>
      </c>
      <c r="N71" s="11" cm="1">
        <f t="array" ref="N71">IFERROR(IF($D71 &lt;&gt;0,ResultValue($C71,COLUMN(O71)-COLUMN($C71))/$D71,""),"")</f>
        <v>0.70029466501240667</v>
      </c>
      <c r="O71" s="11" cm="1">
        <f t="array" ref="O71">IFERROR(IF($D71 &lt;&gt;0,ResultValue($C71,COLUMN(P71)-COLUMN($C71))/$D71,""),"")</f>
        <v>0.66743471582181246</v>
      </c>
      <c r="P71" s="11" cm="1">
        <f t="array" ref="P71">IFERROR(IF($D71 &lt;&gt;0,ResultValue($C71,COLUMN(Q71)-COLUMN($C71))/$D71,""),"")</f>
        <v>0.63519476567255029</v>
      </c>
      <c r="Q71" s="11" cm="1">
        <f t="array" ref="Q71">IFERROR(IF($D71 &lt;&gt;0,ResultValue($C71,COLUMN(R71)-COLUMN($C71))/$D71,""),"")</f>
        <v>0.60355743141392815</v>
      </c>
      <c r="R71" s="11" cm="1">
        <f t="array" ref="R71">IFERROR(IF($D71 &lt;&gt;0,ResultValue($C71,COLUMN(S71)-COLUMN($C71))/$D71,""),"")</f>
        <v>0.57250597371565126</v>
      </c>
      <c r="S71" s="11" cm="1">
        <f t="array" ref="S71">IFERROR(IF($D71 &lt;&gt;0,ResultValue($C71,COLUMN(T71)-COLUMN($C71))/$D71,""),"")</f>
        <v>0.5420242675347734</v>
      </c>
      <c r="T71" s="11" cm="1">
        <f t="array" ref="T71">IFERROR(IF($D71 &lt;&gt;0,ResultValue($C71,COLUMN(U71)-COLUMN($C71))/$D71,""),"")</f>
        <v>0.51209677419354838</v>
      </c>
      <c r="U71" s="11" cm="1">
        <f t="array" ref="U71">IFERROR(IF($D71 &lt;&gt;0,ResultValue($C71,COLUMN(V71)-COLUMN($C71))/$D71,""),"")</f>
        <v>0.48270851496657963</v>
      </c>
      <c r="V71" s="11" cm="1">
        <f t="array" ref="V71">IFERROR(IF($D71 &lt;&gt;0,ResultValue($C71,COLUMN(W71)-COLUMN($C71))/$D71,""),"")</f>
        <v>0.45384504608294923</v>
      </c>
      <c r="W71" s="11" cm="1">
        <f t="array" ref="W71">IFERROR(IF($D71 &lt;&gt;0,ResultValue($C71,COLUMN(X71)-COLUMN($C71))/$D71,""),"")</f>
        <v>0.4254924350556667</v>
      </c>
      <c r="X71" s="11" cm="1">
        <f t="array" ref="X71">IFERROR(IF($D71 &lt;&gt;0,ResultValue($C71,COLUMN(Y71)-COLUMN($C71))/$D71,""),"")</f>
        <v>0.39763723825693248</v>
      </c>
      <c r="Y71" s="11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4"/>
      <c r="C72" t="str">
        <f t="shared" si="0"/>
        <v>Ovn3 tonnageudnyttelse</v>
      </c>
      <c r="D72" s="37">
        <f t="shared" si="1"/>
        <v>1</v>
      </c>
      <c r="E72" s="11" cm="1">
        <f t="array" ref="E72">IFERROR(IF($D72 &lt;&gt;0,ResultValue($C72,COLUMN(F72)-COLUMN($C72))/$D72,""),"")</f>
        <v>1</v>
      </c>
      <c r="F72" s="11" cm="1">
        <f t="array" ref="F72">IFERROR(IF($D72 &lt;&gt;0,ResultValue($C72,COLUMN(G72)-COLUMN($C72))/$D72,""),"")</f>
        <v>0.99999999999999978</v>
      </c>
      <c r="G72" s="11" cm="1">
        <f t="array" ref="G72">IFERROR(IF($D72 &lt;&gt;0,ResultValue($C72,COLUMN(H72)-COLUMN($C72))/$D72,""),"")</f>
        <v>1</v>
      </c>
      <c r="H72" s="11" cm="1">
        <f t="array" ref="H72">IFERROR(IF($D72 &lt;&gt;0,ResultValue($C72,COLUMN(I72)-COLUMN($C72))/$D72,""),"")</f>
        <v>0.99999999999999978</v>
      </c>
      <c r="I72" s="11" cm="1">
        <f t="array" ref="I72">IFERROR(IF($D72 &lt;&gt;0,ResultValue($C72,COLUMN(J72)-COLUMN($C72))/$D72,""),"")</f>
        <v>1</v>
      </c>
      <c r="J72" s="11" cm="1">
        <f t="array" ref="J72">IFERROR(IF($D72 &lt;&gt;0,ResultValue($C72,COLUMN(K72)-COLUMN($C72))/$D72,""),"")</f>
        <v>1</v>
      </c>
      <c r="K72" s="11" cm="1">
        <f t="array" ref="K72">IFERROR(IF($D72 &lt;&gt;0,ResultValue($C72,COLUMN(L72)-COLUMN($C72))/$D72,""),"")</f>
        <v>1</v>
      </c>
      <c r="L72" s="11" cm="1">
        <f t="array" ref="L72">IFERROR(IF($D72 &lt;&gt;0,ResultValue($C72,COLUMN(M72)-COLUMN($C72))/$D72,""),"")</f>
        <v>1</v>
      </c>
      <c r="M72" s="11" cm="1">
        <f t="array" ref="M72">IFERROR(IF($D72 &lt;&gt;0,ResultValue($C72,COLUMN(N72)-COLUMN($C72))/$D72,""),"")</f>
        <v>1</v>
      </c>
      <c r="N72" s="11" cm="1">
        <f t="array" ref="N72">IFERROR(IF($D72 &lt;&gt;0,ResultValue($C72,COLUMN(O72)-COLUMN($C72))/$D72,""),"")</f>
        <v>1</v>
      </c>
      <c r="O72" s="11" cm="1">
        <f t="array" ref="O72">IFERROR(IF($D72 &lt;&gt;0,ResultValue($C72,COLUMN(P72)-COLUMN($C72))/$D72,""),"")</f>
        <v>1</v>
      </c>
      <c r="P72" s="11" cm="1">
        <f t="array" ref="P72">IFERROR(IF($D72 &lt;&gt;0,ResultValue($C72,COLUMN(Q72)-COLUMN($C72))/$D72,""),"")</f>
        <v>0.99999999999999978</v>
      </c>
      <c r="Q72" s="11" cm="1">
        <f t="array" ref="Q72">IFERROR(IF($D72 &lt;&gt;0,ResultValue($C72,COLUMN(R72)-COLUMN($C72))/$D72,""),"")</f>
        <v>1</v>
      </c>
      <c r="R72" s="11" cm="1">
        <f t="array" ref="R72">IFERROR(IF($D72 &lt;&gt;0,ResultValue($C72,COLUMN(S72)-COLUMN($C72))/$D72,""),"")</f>
        <v>1</v>
      </c>
      <c r="S72" s="11" cm="1">
        <f t="array" ref="S72">IFERROR(IF($D72 &lt;&gt;0,ResultValue($C72,COLUMN(T72)-COLUMN($C72))/$D72,""),"")</f>
        <v>1</v>
      </c>
      <c r="T72" s="11" cm="1">
        <f t="array" ref="T72">IFERROR(IF($D72 &lt;&gt;0,ResultValue($C72,COLUMN(U72)-COLUMN($C72))/$D72,""),"")</f>
        <v>1</v>
      </c>
      <c r="U72" s="11" cm="1">
        <f t="array" ref="U72">IFERROR(IF($D72 &lt;&gt;0,ResultValue($C72,COLUMN(V72)-COLUMN($C72))/$D72,""),"")</f>
        <v>1</v>
      </c>
      <c r="V72" s="11" cm="1">
        <f t="array" ref="V72">IFERROR(IF($D72 &lt;&gt;0,ResultValue($C72,COLUMN(W72)-COLUMN($C72))/$D72,""),"")</f>
        <v>1</v>
      </c>
      <c r="W72" s="11" cm="1">
        <f t="array" ref="W72">IFERROR(IF($D72 &lt;&gt;0,ResultValue($C72,COLUMN(X72)-COLUMN($C72))/$D72,""),"")</f>
        <v>1</v>
      </c>
      <c r="X72" s="11" cm="1">
        <f t="array" ref="X72">IFERROR(IF($D72 &lt;&gt;0,ResultValue($C72,COLUMN(Y72)-COLUMN($C72))/$D72,""),"")</f>
        <v>1</v>
      </c>
      <c r="Y72" s="11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4"/>
      <c r="C73" t="str">
        <f t="shared" si="0"/>
        <v>Bortkøleanlæg udnyttelse</v>
      </c>
      <c r="D73" s="37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4"/>
      <c r="C74" t="str">
        <f t="shared" si="0"/>
        <v>NS-varme udnyttelse</v>
      </c>
      <c r="D74" s="37">
        <f t="shared" si="1"/>
        <v>1</v>
      </c>
      <c r="E74" s="11" cm="1">
        <f t="array" ref="E74">IFERROR(IF($D74 &lt;&gt;0,ResultValue($C74,COLUMN(F74)-COLUMN($C74))/$D74,""),"")</f>
        <v>1</v>
      </c>
      <c r="F74" s="11" cm="1">
        <f t="array" ref="F74">IFERROR(IF($D74 &lt;&gt;0,ResultValue($C74,COLUMN(G74)-COLUMN($C74))/$D74,""),"")</f>
        <v>1</v>
      </c>
      <c r="G74" s="11" cm="1">
        <f t="array" ref="G74">IFERROR(IF($D74 &lt;&gt;0,ResultValue($C74,COLUMN(H74)-COLUMN($C74))/$D74,""),"")</f>
        <v>1</v>
      </c>
      <c r="H74" s="11" cm="1">
        <f t="array" ref="H74">IFERROR(IF($D74 &lt;&gt;0,ResultValue($C74,COLUMN(I74)-COLUMN($C74))/$D74,""),"")</f>
        <v>1</v>
      </c>
      <c r="I74" s="11" cm="1">
        <f t="array" ref="I74">IFERROR(IF($D74 &lt;&gt;0,ResultValue($C74,COLUMN(J74)-COLUMN($C74))/$D74,""),"")</f>
        <v>1</v>
      </c>
      <c r="J74" s="11" cm="1">
        <f t="array" ref="J74">IFERROR(IF($D74 &lt;&gt;0,ResultValue($C74,COLUMN(K74)-COLUMN($C74))/$D74,""),"")</f>
        <v>1</v>
      </c>
      <c r="K74" s="11" cm="1">
        <f t="array" ref="K74">IFERROR(IF($D74 &lt;&gt;0,ResultValue($C74,COLUMN(L74)-COLUMN($C74))/$D74,""),"")</f>
        <v>1</v>
      </c>
      <c r="L74" s="11" cm="1">
        <f t="array" ref="L74">IFERROR(IF($D74 &lt;&gt;0,ResultValue($C74,COLUMN(M74)-COLUMN($C74))/$D74,""),"")</f>
        <v>1</v>
      </c>
      <c r="M74" s="11" cm="1">
        <f t="array" ref="M74">IFERROR(IF($D74 &lt;&gt;0,ResultValue($C74,COLUMN(N74)-COLUMN($C74))/$D74,""),"")</f>
        <v>1</v>
      </c>
      <c r="N74" s="11" cm="1">
        <f t="array" ref="N74">IFERROR(IF($D74 &lt;&gt;0,ResultValue($C74,COLUMN(O74)-COLUMN($C74))/$D74,""),"")</f>
        <v>1</v>
      </c>
      <c r="O74" s="11" cm="1">
        <f t="array" ref="O74">IFERROR(IF($D74 &lt;&gt;0,ResultValue($C74,COLUMN(P74)-COLUMN($C74))/$D74,""),"")</f>
        <v>1</v>
      </c>
      <c r="P74" s="11" cm="1">
        <f t="array" ref="P74">IFERROR(IF($D74 &lt;&gt;0,ResultValue($C74,COLUMN(Q74)-COLUMN($C74))/$D74,""),"")</f>
        <v>1</v>
      </c>
      <c r="Q74" s="11" cm="1">
        <f t="array" ref="Q74">IFERROR(IF($D74 &lt;&gt;0,ResultValue($C74,COLUMN(R74)-COLUMN($C74))/$D74,""),"")</f>
        <v>1</v>
      </c>
      <c r="R74" s="11" cm="1">
        <f t="array" ref="R74">IFERROR(IF($D74 &lt;&gt;0,ResultValue($C74,COLUMN(S74)-COLUMN($C74))/$D74,""),"")</f>
        <v>1</v>
      </c>
      <c r="S74" s="11" cm="1">
        <f t="array" ref="S74">IFERROR(IF($D74 &lt;&gt;0,ResultValue($C74,COLUMN(T74)-COLUMN($C74))/$D74,""),"")</f>
        <v>1</v>
      </c>
      <c r="T74" s="11" cm="1">
        <f t="array" ref="T74">IFERROR(IF($D74 &lt;&gt;0,ResultValue($C74,COLUMN(U74)-COLUMN($C74))/$D74,""),"")</f>
        <v>1</v>
      </c>
      <c r="U74" s="11" cm="1">
        <f t="array" ref="U74">IFERROR(IF($D74 &lt;&gt;0,ResultValue($C74,COLUMN(V74)-COLUMN($C74))/$D74,""),"")</f>
        <v>1</v>
      </c>
      <c r="V74" s="11" cm="1">
        <f t="array" ref="V74">IFERROR(IF($D74 &lt;&gt;0,ResultValue($C74,COLUMN(W74)-COLUMN($C74))/$D74,""),"")</f>
        <v>1</v>
      </c>
      <c r="W74" s="11" cm="1">
        <f t="array" ref="W74">IFERROR(IF($D74 &lt;&gt;0,ResultValue($C74,COLUMN(X74)-COLUMN($C74))/$D74,""),"")</f>
        <v>1</v>
      </c>
      <c r="X74" s="11" cm="1">
        <f t="array" ref="X74">IFERROR(IF($D74 &lt;&gt;0,ResultValue($C74,COLUMN(Y74)-COLUMN($C74))/$D74,""),"")</f>
        <v>1</v>
      </c>
      <c r="Y74" s="11" cm="1">
        <f t="array" ref="Y74">IFERROR(IF($D74 &lt;&gt;0,ResultValue($C74,COLUMN(Z74)-COLUMN($C74))/$D74,""),"")</f>
        <v>1</v>
      </c>
    </row>
    <row r="75" spans="1:25" x14ac:dyDescent="0.25">
      <c r="A75" t="str">
        <v>Affaldsforbrug kølevarme Ovn3</v>
      </c>
      <c r="B75" s="44"/>
      <c r="C75" t="s">
        <v>235</v>
      </c>
      <c r="D75" s="37">
        <f>B36</f>
        <v>1</v>
      </c>
      <c r="E75" s="11" cm="1">
        <f t="array" ref="E75">IFERROR(IF($D75 &lt;&gt;0,ResultValue($C75,COLUMN(F75)-COLUMN($C75))/$D75,""),"")</f>
        <v>-25.711195069525662</v>
      </c>
      <c r="F75" s="11" cm="1">
        <f t="array" ref="F75">IFERROR(IF($D75 &lt;&gt;0,ResultValue($C75,COLUMN(G75)-COLUMN($C75))/$D75,""),"")</f>
        <v>-36.044007947642243</v>
      </c>
      <c r="G75" s="11" cm="1">
        <f t="array" ref="G75">IFERROR(IF($D75 &lt;&gt;0,ResultValue($C75,COLUMN(H75)-COLUMN($C75))/$D75,""),"")</f>
        <v>-34.880981324960246</v>
      </c>
      <c r="H75" s="11" cm="1">
        <f t="array" ref="H75">IFERROR(IF($D75 &lt;&gt;0,ResultValue($C75,COLUMN(I75)-COLUMN($C75))/$D75,""),"")</f>
        <v>-33.741332256634173</v>
      </c>
      <c r="I75" s="11" cm="1">
        <f t="array" ref="I75">IFERROR(IF($D75 &lt;&gt;0,ResultValue($C75,COLUMN(J75)-COLUMN($C75))/$D75,""),"")</f>
        <v>-32.624352331926232</v>
      </c>
      <c r="J75" s="11" cm="1">
        <f t="array" ref="J75">IFERROR(IF($D75 &lt;&gt;0,ResultValue($C75,COLUMN(K75)-COLUMN($C75))/$D75,""),"")</f>
        <v>-31.529361476527761</v>
      </c>
      <c r="K75" s="11" cm="1">
        <f t="array" ref="K75">IFERROR(IF($D75 &lt;&gt;0,ResultValue($C75,COLUMN(L75)-COLUMN($C75))/$D75,""),"")</f>
        <v>-30.455706549766241</v>
      </c>
      <c r="L75" s="11" cm="1">
        <f t="array" ref="L75">IFERROR(IF($D75 &lt;&gt;0,ResultValue($C75,COLUMN(M75)-COLUMN($C75))/$D75,""),"")</f>
        <v>-29.402760024328717</v>
      </c>
      <c r="M75" s="11" cm="1">
        <f t="array" ref="M75">IFERROR(IF($D75 &lt;&gt;0,ResultValue($C75,COLUMN(N75)-COLUMN($C75))/$D75,""),"")</f>
        <v>-36.727993818352502</v>
      </c>
      <c r="N75" s="11" cm="1">
        <f t="array" ref="N75">IFERROR(IF($D75 &lt;&gt;0,ResultValue($C75,COLUMN(O75)-COLUMN($C75))/$D75,""),"")</f>
        <v>-35.714677821961345</v>
      </c>
      <c r="O75" s="11" cm="1">
        <f t="array" ref="O75">IFERROR(IF($D75 &lt;&gt;0,ResultValue($C75,COLUMN(P75)-COLUMN($C75))/$D75,""),"")</f>
        <v>-34.720329245325452</v>
      </c>
      <c r="P75" s="11" cm="1">
        <f t="array" ref="P75">IFERROR(IF($D75 &lt;&gt;0,ResultValue($C75,COLUMN(Q75)-COLUMN($C75))/$D75,""),"")</f>
        <v>-33.744411274678271</v>
      </c>
      <c r="Q75" s="11" cm="1">
        <f t="array" ref="Q75">IFERROR(IF($D75 &lt;&gt;0,ResultValue($C75,COLUMN(R75)-COLUMN($C75))/$D75,""),"")</f>
        <v>-32.7864071640576</v>
      </c>
      <c r="R75" s="11" cm="1">
        <f t="array" ref="R75">IFERROR(IF($D75 &lt;&gt;0,ResultValue($C75,COLUMN(S75)-COLUMN($C75))/$D75,""),"")</f>
        <v>-31.845819306240379</v>
      </c>
      <c r="S75" s="11" cm="1">
        <f t="array" ref="S75">IFERROR(IF($D75 &lt;&gt;0,ResultValue($C75,COLUMN(T75)-COLUMN($C75))/$D75,""),"")</f>
        <v>-30.922168354819217</v>
      </c>
      <c r="T75" s="11" cm="1">
        <f t="array" ref="T75">IFERROR(IF($D75 &lt;&gt;0,ResultValue($C75,COLUMN(U75)-COLUMN($C75))/$D75,""),"")</f>
        <v>-30.014992394165059</v>
      </c>
      <c r="U75" s="11" cm="1">
        <f t="array" ref="U75">IFERROR(IF($D75 &lt;&gt;0,ResultValue($C75,COLUMN(V75)-COLUMN($C75))/$D75,""),"")</f>
        <v>-29.12384615425723</v>
      </c>
      <c r="V75" s="11" cm="1">
        <f t="array" ref="V75">IFERROR(IF($D75 &lt;&gt;0,ResultValue($C75,COLUMN(W75)-COLUMN($C75))/$D75,""),"")</f>
        <v>-28.248300267575697</v>
      </c>
      <c r="W75" s="11" cm="1">
        <f t="array" ref="W75">IFERROR(IF($D75 &lt;&gt;0,ResultValue($C75,COLUMN(X75)-COLUMN($C75))/$D75,""),"")</f>
        <v>-27.387940565450815</v>
      </c>
      <c r="X75" s="11" cm="1">
        <f t="array" ref="X75">IFERROR(IF($D75 &lt;&gt;0,ResultValue($C75,COLUMN(Y75)-COLUMN($C75))/$D75,""),"")</f>
        <v>-26.542367411446836</v>
      </c>
      <c r="Y75" s="11" cm="1">
        <f t="array" ref="Y75">IFERROR(IF($D75 &lt;&gt;0,ResultValue($C75,COLUMN(Z75)-COLUMN($C75))/$D75,""),"")</f>
        <v>-25.711195069525662</v>
      </c>
    </row>
    <row r="76" spans="1:25" x14ac:dyDescent="0.25">
      <c r="A76" t="str">
        <v>Affaldsforbrug kølevarme Ovn2</v>
      </c>
      <c r="B76" s="44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</row>
    <row r="77" spans="1:25" x14ac:dyDescent="0.25">
      <c r="A77" t="str">
        <v>Udnyttet affald</v>
      </c>
      <c r="B77" s="44"/>
      <c r="C77" s="39" t="s">
        <v>227</v>
      </c>
      <c r="D77" s="40"/>
      <c r="E77" s="39" t="s">
        <v>199</v>
      </c>
      <c r="F77" s="41" t="str">
        <f>F53</f>
        <v>sc1</v>
      </c>
      <c r="G77" s="41" t="str">
        <f t="shared" ref="G77:Y77" si="2">G53</f>
        <v>sc2</v>
      </c>
      <c r="H77" s="41" t="str">
        <f t="shared" si="2"/>
        <v>sc3</v>
      </c>
      <c r="I77" s="41" t="str">
        <f t="shared" si="2"/>
        <v>sc4</v>
      </c>
      <c r="J77" s="41" t="str">
        <f t="shared" si="2"/>
        <v>sc5</v>
      </c>
      <c r="K77" s="41" t="str">
        <f t="shared" si="2"/>
        <v>sc6</v>
      </c>
      <c r="L77" s="41" t="str">
        <f t="shared" si="2"/>
        <v>sc7</v>
      </c>
      <c r="M77" s="41" t="str">
        <f t="shared" si="2"/>
        <v>sc8</v>
      </c>
      <c r="N77" s="41" t="str">
        <f t="shared" si="2"/>
        <v>sc9</v>
      </c>
      <c r="O77" s="41" t="str">
        <f t="shared" si="2"/>
        <v>sc10</v>
      </c>
      <c r="P77" s="41" t="str">
        <f t="shared" si="2"/>
        <v>sc11</v>
      </c>
      <c r="Q77" s="41" t="str">
        <f t="shared" si="2"/>
        <v>sc12</v>
      </c>
      <c r="R77" s="41" t="str">
        <f t="shared" si="2"/>
        <v>sc13</v>
      </c>
      <c r="S77" s="41" t="str">
        <f t="shared" si="2"/>
        <v>sc14</v>
      </c>
      <c r="T77" s="41" t="str">
        <f t="shared" si="2"/>
        <v>sc15</v>
      </c>
      <c r="U77" s="41" t="str">
        <f t="shared" si="2"/>
        <v>sc16</v>
      </c>
      <c r="V77" s="41" t="str">
        <f t="shared" si="2"/>
        <v>sc17</v>
      </c>
      <c r="W77" s="41" t="str">
        <f t="shared" si="2"/>
        <v>sc18</v>
      </c>
      <c r="X77" s="41" t="str">
        <f t="shared" si="2"/>
        <v>sc19</v>
      </c>
      <c r="Y77" s="41" t="str">
        <f t="shared" si="2"/>
        <v>sc20</v>
      </c>
    </row>
    <row r="78" spans="1:25" x14ac:dyDescent="0.25">
      <c r="A78" t="str">
        <v>Ikke-udnyttet affald</v>
      </c>
      <c r="B78" s="44"/>
      <c r="C78" s="35" t="str">
        <f>IF(ISBLANK(A40),"X-værdi mangler",A40)</f>
        <v>RGK-udnyttelse</v>
      </c>
      <c r="D78" s="2" t="s">
        <v>230</v>
      </c>
      <c r="E78" s="18" cm="1">
        <f t="array" ref="E78">_xlfn.LET(_xlpm.inputName,$C78,_xlpm.icol,COLUMN(E54)-1,_xlpm.irow,MATCH(_xlpm.inputName,ranInputNames,0),INDEX(Scenarier!$C$7:$Y$12,_xlpm.irow+1,_xlpm.icol))</f>
        <v>0.05</v>
      </c>
      <c r="F78" s="18" cm="1">
        <f t="array" ref="F78">_xlfn.LET(_xlpm.inputName,$C78,_xlpm.icol,COLUMN(F54)-1,_xlpm.irow,MATCH(_xlpm.inputName,ranInputNames,0),INDEX(Scenarier!$C$7:$Y$12,_xlpm.irow+1,_xlpm.icol))</f>
        <v>0.1</v>
      </c>
      <c r="G78" s="18" cm="1">
        <f t="array" ref="G78">_xlfn.LET(_xlpm.inputName,$C78,_xlpm.icol,COLUMN(G54)-1,_xlpm.irow,MATCH(_xlpm.inputName,ranInputNames,0),INDEX(Scenarier!$C$7:$Y$12,_xlpm.irow+1,_xlpm.icol))</f>
        <v>0.15</v>
      </c>
      <c r="H78" s="18" cm="1">
        <f t="array" ref="H78">_xlfn.LET(_xlpm.inputName,$C78,_xlpm.icol,COLUMN(H54)-1,_xlpm.irow,MATCH(_xlpm.inputName,ranInputNames,0),INDEX(Scenarier!$C$7:$Y$12,_xlpm.irow+1,_xlpm.icol))</f>
        <v>0.2</v>
      </c>
      <c r="I78" s="18" cm="1">
        <f t="array" ref="I78">_xlfn.LET(_xlpm.inputName,$C78,_xlpm.icol,COLUMN(I54)-1,_xlpm.irow,MATCH(_xlpm.inputName,ranInputNames,0),INDEX(Scenarier!$C$7:$Y$12,_xlpm.irow+1,_xlpm.icol))</f>
        <v>0.25</v>
      </c>
      <c r="J78" s="18" cm="1">
        <f t="array" ref="J78">_xlfn.LET(_xlpm.inputName,$C78,_xlpm.icol,COLUMN(J54)-1,_xlpm.irow,MATCH(_xlpm.inputName,ranInputNames,0),INDEX(Scenarier!$C$7:$Y$12,_xlpm.irow+1,_xlpm.icol))</f>
        <v>0.3</v>
      </c>
      <c r="K78" s="18" cm="1">
        <f t="array" ref="K78">_xlfn.LET(_xlpm.inputName,$C78,_xlpm.icol,COLUMN(K54)-1,_xlpm.irow,MATCH(_xlpm.inputName,ranInputNames,0),INDEX(Scenarier!$C$7:$Y$12,_xlpm.irow+1,_xlpm.icol))</f>
        <v>0.35</v>
      </c>
      <c r="L78" s="18" cm="1">
        <f t="array" ref="L78">_xlfn.LET(_xlpm.inputName,$C78,_xlpm.icol,COLUMN(L54)-1,_xlpm.irow,MATCH(_xlpm.inputName,ranInputNames,0),INDEX(Scenarier!$C$7:$Y$12,_xlpm.irow+1,_xlpm.icol))</f>
        <v>0.4</v>
      </c>
      <c r="M78" s="18" cm="1">
        <f t="array" ref="M78">_xlfn.LET(_xlpm.inputName,$C78,_xlpm.icol,COLUMN(M54)-1,_xlpm.irow,MATCH(_xlpm.inputName,ranInputNames,0),INDEX(Scenarier!$C$7:$Y$12,_xlpm.irow+1,_xlpm.icol))</f>
        <v>0.45</v>
      </c>
      <c r="N78" s="18" cm="1">
        <f t="array" ref="N78">_xlfn.LET(_xlpm.inputName,$C78,_xlpm.icol,COLUMN(N54)-1,_xlpm.irow,MATCH(_xlpm.inputName,ranInputNames,0),INDEX(Scenarier!$C$7:$Y$12,_xlpm.irow+1,_xlpm.icol))</f>
        <v>0.5</v>
      </c>
      <c r="O78" s="18" cm="1">
        <f t="array" ref="O78">_xlfn.LET(_xlpm.inputName,$C78,_xlpm.icol,COLUMN(O54)-1,_xlpm.irow,MATCH(_xlpm.inputName,ranInputNames,0),INDEX(Scenarier!$C$7:$Y$12,_xlpm.irow+1,_xlpm.icol))</f>
        <v>0.55000000000000004</v>
      </c>
      <c r="P78" s="18" cm="1">
        <f t="array" ref="P78">_xlfn.LET(_xlpm.inputName,$C78,_xlpm.icol,COLUMN(P54)-1,_xlpm.irow,MATCH(_xlpm.inputName,ranInputNames,0),INDEX(Scenarier!$C$7:$Y$12,_xlpm.irow+1,_xlpm.icol))</f>
        <v>0.6</v>
      </c>
      <c r="Q78" s="18" cm="1">
        <f t="array" ref="Q78">_xlfn.LET(_xlpm.inputName,$C78,_xlpm.icol,COLUMN(Q54)-1,_xlpm.irow,MATCH(_xlpm.inputName,ranInputNames,0),INDEX(Scenarier!$C$7:$Y$12,_xlpm.irow+1,_xlpm.icol))</f>
        <v>0.65</v>
      </c>
      <c r="R78" s="18" cm="1">
        <f t="array" ref="R78">_xlfn.LET(_xlpm.inputName,$C78,_xlpm.icol,COLUMN(R54)-1,_xlpm.irow,MATCH(_xlpm.inputName,ranInputNames,0),INDEX(Scenarier!$C$7:$Y$12,_xlpm.irow+1,_xlpm.icol))</f>
        <v>0.7</v>
      </c>
      <c r="S78" s="18" cm="1">
        <f t="array" ref="S78">_xlfn.LET(_xlpm.inputName,$C78,_xlpm.icol,COLUMN(S54)-1,_xlpm.irow,MATCH(_xlpm.inputName,ranInputNames,0),INDEX(Scenarier!$C$7:$Y$12,_xlpm.irow+1,_xlpm.icol))</f>
        <v>0.75</v>
      </c>
      <c r="T78" s="18" cm="1">
        <f t="array" ref="T78">_xlfn.LET(_xlpm.inputName,$C78,_xlpm.icol,COLUMN(T54)-1,_xlpm.irow,MATCH(_xlpm.inputName,ranInputNames,0),INDEX(Scenarier!$C$7:$Y$12,_xlpm.irow+1,_xlpm.icol))</f>
        <v>0.8</v>
      </c>
      <c r="U78" s="18" cm="1">
        <f t="array" ref="U78">_xlfn.LET(_xlpm.inputName,$C78,_xlpm.icol,COLUMN(U54)-1,_xlpm.irow,MATCH(_xlpm.inputName,ranInputNames,0),INDEX(Scenarier!$C$7:$Y$12,_xlpm.irow+1,_xlpm.icol))</f>
        <v>0.85</v>
      </c>
      <c r="V78" s="18" cm="1">
        <f t="array" ref="V78">_xlfn.LET(_xlpm.inputName,$C78,_xlpm.icol,COLUMN(V54)-1,_xlpm.irow,MATCH(_xlpm.inputName,ranInputNames,0),INDEX(Scenarier!$C$7:$Y$12,_xlpm.irow+1,_xlpm.icol))</f>
        <v>0.9</v>
      </c>
      <c r="W78" s="18" cm="1">
        <f t="array" ref="W78">_xlfn.LET(_xlpm.inputName,$C78,_xlpm.icol,COLUMN(W54)-1,_xlpm.irow,MATCH(_xlpm.inputName,ranInputNames,0),INDEX(Scenarier!$C$7:$Y$12,_xlpm.irow+1,_xlpm.icol))</f>
        <v>0.95</v>
      </c>
      <c r="X78" s="18" cm="1">
        <f t="array" ref="X78">_xlfn.LET(_xlpm.inputName,$C78,_xlpm.icol,COLUMN(X54)-1,_xlpm.irow,MATCH(_xlpm.inputName,ranInputNames,0),INDEX(Scenarier!$C$7:$Y$12,_xlpm.irow+1,_xlpm.icol))</f>
        <v>1</v>
      </c>
      <c r="Y78" s="18" t="e" cm="1">
        <f t="array" ref="Y78">_xlfn.LET(_xlpm.inputName,$C78,_xlpm.icol,COLUMN(Y54)-1,_xlpm.irow,MATCH(_xlpm.inputName,ranInputNames,0),INDEX(Scenarier!$C$7:$Y$12,_xlpm.irow+1,_xlpm.icol))</f>
        <v>#REF!</v>
      </c>
    </row>
    <row r="79" spans="1:25" x14ac:dyDescent="0.25">
      <c r="A79" t="str">
        <v>Ovn3 tonnageudnyttelse</v>
      </c>
      <c r="B79" s="44"/>
      <c r="C79" s="38" t="str">
        <f t="shared" ref="C79:C88" si="3">IF(ISBLANK(A41),"",A41)</f>
        <v>RGK-rabat</v>
      </c>
      <c r="D79" s="37">
        <f t="shared" ref="D79:D88" si="4">B41</f>
        <v>1000</v>
      </c>
      <c r="E79" s="11" cm="1">
        <f t="array" ref="E79">IF($D79 &lt;&gt;0,ResultValue($C79,COLUMN(F79)-COLUMN($C79))/$D79,"")</f>
        <v>200.59380181097563</v>
      </c>
      <c r="F79" s="11" cm="1">
        <f t="array" ref="F79">IF($D79 &lt;&gt;0,ResultValue($C79,COLUMN(G79)-COLUMN($C79))/$D79,"")</f>
        <v>0</v>
      </c>
      <c r="G79" s="11" cm="1">
        <f t="array" ref="G79">IF($D79 &lt;&gt;0,ResultValue($C79,COLUMN(H79)-COLUMN($C79))/$D79,"")</f>
        <v>0</v>
      </c>
      <c r="H79" s="11" cm="1">
        <f t="array" ref="H79">IF($D79 &lt;&gt;0,ResultValue($C79,COLUMN(I79)-COLUMN($C79))/$D79,"")</f>
        <v>0</v>
      </c>
      <c r="I79" s="11" cm="1">
        <f t="array" ref="I79">IF($D79 &lt;&gt;0,ResultValue($C79,COLUMN(J79)-COLUMN($C79))/$D79,"")</f>
        <v>0</v>
      </c>
      <c r="J79" s="11" cm="1">
        <f t="array" ref="J79">IF($D79 &lt;&gt;0,ResultValue($C79,COLUMN(K79)-COLUMN($C79))/$D79,"")</f>
        <v>0</v>
      </c>
      <c r="K79" s="11" cm="1">
        <f t="array" ref="K79">IF($D79 &lt;&gt;0,ResultValue($C79,COLUMN(L79)-COLUMN($C79))/$D79,"")</f>
        <v>0</v>
      </c>
      <c r="L79" s="11" cm="1">
        <f t="array" ref="L79">IF($D79 &lt;&gt;0,ResultValue($C79,COLUMN(M79)-COLUMN($C79))/$D79,"")</f>
        <v>0</v>
      </c>
      <c r="M79" s="11" cm="1">
        <f t="array" ref="M79">IF($D79 &lt;&gt;0,ResultValue($C79,COLUMN(N79)-COLUMN($C79))/$D79,"")</f>
        <v>200.59380181097563</v>
      </c>
      <c r="N79" s="11" cm="1">
        <f t="array" ref="N79">IF($D79 &lt;&gt;0,ResultValue($C79,COLUMN(O79)-COLUMN($C79))/$D79,"")</f>
        <v>200.59380181097563</v>
      </c>
      <c r="O79" s="11" cm="1">
        <f t="array" ref="O79">IF($D79 &lt;&gt;0,ResultValue($C79,COLUMN(P79)-COLUMN($C79))/$D79,"")</f>
        <v>200.59380181097563</v>
      </c>
      <c r="P79" s="11" cm="1">
        <f t="array" ref="P79">IF($D79 &lt;&gt;0,ResultValue($C79,COLUMN(Q79)-COLUMN($C79))/$D79,"")</f>
        <v>200.59380181097563</v>
      </c>
      <c r="Q79" s="11" cm="1">
        <f t="array" ref="Q79">IF($D79 &lt;&gt;0,ResultValue($C79,COLUMN(R79)-COLUMN($C79))/$D79,"")</f>
        <v>200.59380181097563</v>
      </c>
      <c r="R79" s="11" cm="1">
        <f t="array" ref="R79">IF($D79 &lt;&gt;0,ResultValue($C79,COLUMN(S79)-COLUMN($C79))/$D79,"")</f>
        <v>200.59380181097563</v>
      </c>
      <c r="S79" s="11" cm="1">
        <f t="array" ref="S79">IF($D79 &lt;&gt;0,ResultValue($C79,COLUMN(T79)-COLUMN($C79))/$D79,"")</f>
        <v>200.59380181097563</v>
      </c>
      <c r="T79" s="11" cm="1">
        <f t="array" ref="T79">IF($D79 &lt;&gt;0,ResultValue($C79,COLUMN(U79)-COLUMN($C79))/$D79,"")</f>
        <v>200.59380181097563</v>
      </c>
      <c r="U79" s="11" cm="1">
        <f t="array" ref="U79">IF($D79 &lt;&gt;0,ResultValue($C79,COLUMN(V79)-COLUMN($C79))/$D79,"")</f>
        <v>200.59380181097563</v>
      </c>
      <c r="V79" s="11" cm="1">
        <f t="array" ref="V79">IF($D79 &lt;&gt;0,ResultValue($C79,COLUMN(W79)-COLUMN($C79))/$D79,"")</f>
        <v>200.59380181097563</v>
      </c>
      <c r="W79" s="11" cm="1">
        <f t="array" ref="W79">IF($D79 &lt;&gt;0,ResultValue($C79,COLUMN(X79)-COLUMN($C79))/$D79,"")</f>
        <v>200.59380181097563</v>
      </c>
      <c r="X79" s="11" cm="1">
        <f t="array" ref="X79">IF($D79 &lt;&gt;0,ResultValue($C79,COLUMN(Y79)-COLUMN($C79))/$D79,"")</f>
        <v>200.59380181097563</v>
      </c>
      <c r="Y79" s="11" cm="1">
        <f t="array" ref="Y79">IF($D79 &lt;&gt;0,ResultValue($C79,COLUMN(Z80)-COLUMN($C79))/$D79,"")</f>
        <v>200.59380181097563</v>
      </c>
    </row>
    <row r="80" spans="1:25" x14ac:dyDescent="0.25">
      <c r="A80" t="str">
        <v>Ovn2 tonnageudnyttelse</v>
      </c>
      <c r="B80" s="44"/>
      <c r="C80" s="38" t="str">
        <f t="shared" si="3"/>
        <v>Modtagebetaling affald</v>
      </c>
      <c r="D80" s="37">
        <f t="shared" si="4"/>
        <v>1000</v>
      </c>
      <c r="E80" s="11" cm="1">
        <f t="array" ref="E80">IF($D80 &lt;&gt;0,ResultValue($C80,COLUMN(F80)-COLUMN($C80))/$D80,"")</f>
        <v>4040.3371902956987</v>
      </c>
      <c r="F80" s="11" cm="1">
        <f t="array" ref="F80">IF($D80 &lt;&gt;0,ResultValue($C80,COLUMN(G80)-COLUMN($C80))/$D80,"")</f>
        <v>4770.4508404332728</v>
      </c>
      <c r="G80" s="11" cm="1">
        <f t="array" ref="G80">IF($D80 &lt;&gt;0,ResultValue($C80,COLUMN(H80)-COLUMN($C80))/$D80,"")</f>
        <v>4724.8930163606619</v>
      </c>
      <c r="H80" s="11" cm="1">
        <f t="array" ref="H80">IF($D80 &lt;&gt;0,ResultValue($C80,COLUMN(I80)-COLUMN($C80))/$D80,"")</f>
        <v>4680.2649437997379</v>
      </c>
      <c r="I80" s="11" cm="1">
        <f t="array" ref="I80">IF($D80 &lt;&gt;0,ResultValue($C80,COLUMN(J80)-COLUMN($C80))/$D80,"")</f>
        <v>4636.5384484622655</v>
      </c>
      <c r="J80" s="11" cm="1">
        <f t="array" ref="J80">IF($D80 &lt;&gt;0,ResultValue($C80,COLUMN(K80)-COLUMN($C80))/$D80,"")</f>
        <v>4593.6864830315435</v>
      </c>
      <c r="K80" s="11" cm="1">
        <f t="array" ref="K80">IF($D80 &lt;&gt;0,ResultValue($C80,COLUMN(L80)-COLUMN($C80))/$D80,"")</f>
        <v>4551.6830713717272</v>
      </c>
      <c r="L80" s="11" cm="1">
        <f t="array" ref="L80">IF($D80 &lt;&gt;0,ResultValue($C80,COLUMN(M80)-COLUMN($C80))/$D80,"")</f>
        <v>4510.5032560189666</v>
      </c>
      <c r="M80" s="11" cm="1">
        <f t="array" ref="M80">IF($D80 &lt;&gt;0,ResultValue($C80,COLUMN(N80)-COLUMN($C80))/$D80,"")</f>
        <v>4470.1230487313078</v>
      </c>
      <c r="N80" s="11" cm="1">
        <f t="array" ref="N80">IF($D80 &lt;&gt;0,ResultValue($C80,COLUMN(O80)-COLUMN($C80))/$D80,"")</f>
        <v>4430.5193838914875</v>
      </c>
      <c r="O80" s="11" cm="1">
        <f t="array" ref="O80">IF($D80 &lt;&gt;0,ResultValue($C80,COLUMN(P80)-COLUMN($C80))/$D80,"")</f>
        <v>4391.6700745724256</v>
      </c>
      <c r="P80" s="11" cm="1">
        <f t="array" ref="P80">IF($D80 &lt;&gt;0,ResultValue($C80,COLUMN(Q80)-COLUMN($C80))/$D80,"")</f>
        <v>4353.5537710895724</v>
      </c>
      <c r="Q80" s="11" cm="1">
        <f t="array" ref="Q80">IF($D80 &lt;&gt;0,ResultValue($C80,COLUMN(R80)-COLUMN($C80))/$D80,"")</f>
        <v>4316.1499218774279</v>
      </c>
      <c r="R80" s="11" cm="1">
        <f t="array" ref="R80">IF($D80 &lt;&gt;0,ResultValue($C80,COLUMN(S80)-COLUMN($C80))/$D80,"")</f>
        <v>4279.4387365395824</v>
      </c>
      <c r="S80" s="11" cm="1">
        <f t="array" ref="S80">IF($D80 &lt;&gt;0,ResultValue($C80,COLUMN(T80)-COLUMN($C80))/$D80,"")</f>
        <v>4243.4011509327056</v>
      </c>
      <c r="T80" s="11" cm="1">
        <f t="array" ref="T80">IF($D80 &lt;&gt;0,ResultValue($C80,COLUMN(U80)-COLUMN($C80))/$D80,"")</f>
        <v>4208.0187941550466</v>
      </c>
      <c r="U80" s="11" cm="1">
        <f t="array" ref="U80">IF($D80 &lt;&gt;0,ResultValue($C80,COLUMN(V80)-COLUMN($C80))/$D80,"")</f>
        <v>4173.2739573193248</v>
      </c>
      <c r="V80" s="11" cm="1">
        <f t="array" ref="V80">IF($D80 &lt;&gt;0,ResultValue($C80,COLUMN(W80)-COLUMN($C80))/$D80,"")</f>
        <v>4139.1495639985287</v>
      </c>
      <c r="W80" s="11" cm="1">
        <f t="array" ref="W80">IF($D80 &lt;&gt;0,ResultValue($C80,COLUMN(X80)-COLUMN($C80))/$D80,"")</f>
        <v>4105.6291422409313</v>
      </c>
      <c r="X80" s="11" cm="1">
        <f t="array" ref="X80">IF($D80 &lt;&gt;0,ResultValue($C80,COLUMN(Y80)-COLUMN($C80))/$D80,"")</f>
        <v>4072.6967980580289</v>
      </c>
      <c r="Y80" s="11" cm="1">
        <f t="array" ref="Y80">IF($D80 &lt;&gt;0,ResultValue($C80,COLUMN(Z81)-COLUMN($C80))/$D80,"")</f>
        <v>4040.3371902956987</v>
      </c>
    </row>
    <row r="81" spans="1:25" x14ac:dyDescent="0.25">
      <c r="A81" t="str">
        <v>Bortkøleanlæg udnyttelse</v>
      </c>
      <c r="B81" s="44"/>
      <c r="C81" s="38" t="str">
        <f t="shared" si="3"/>
        <v/>
      </c>
      <c r="D81" s="37">
        <f t="shared" si="4"/>
        <v>0</v>
      </c>
      <c r="E81" s="11" t="str" cm="1">
        <f t="array" ref="E81">IF($D81 &lt;&gt;0,ResultValue($C81,COLUMN(F81)-COLUMN($C81))/$D81,"")</f>
        <v/>
      </c>
      <c r="F81" s="11" t="str" cm="1">
        <f t="array" ref="F81">IF($D81 &lt;&gt;0,ResultValue($C81,COLUMN(G81)-COLUMN($C81))/$D81,"")</f>
        <v/>
      </c>
      <c r="G81" s="11" t="str" cm="1">
        <f t="array" ref="G81">IF($D81 &lt;&gt;0,ResultValue($C81,COLUMN(H81)-COLUMN($C81))/$D81,"")</f>
        <v/>
      </c>
      <c r="H81" s="11" t="str" cm="1">
        <f t="array" ref="H81">IF($D81 &lt;&gt;0,ResultValue($C81,COLUMN(I81)-COLUMN($C81))/$D81,"")</f>
        <v/>
      </c>
      <c r="I81" s="11" t="str" cm="1">
        <f t="array" ref="I81">IF($D81 &lt;&gt;0,ResultValue($C81,COLUMN(J81)-COLUMN($C81))/$D81,"")</f>
        <v/>
      </c>
      <c r="J81" s="11" t="str" cm="1">
        <f t="array" ref="J81">IF($D81 &lt;&gt;0,ResultValue($C81,COLUMN(K81)-COLUMN($C81))/$D81,"")</f>
        <v/>
      </c>
      <c r="K81" s="11" t="str" cm="1">
        <f t="array" ref="K81">IF($D81 &lt;&gt;0,ResultValue($C81,COLUMN(L81)-COLUMN($C81))/$D81,"")</f>
        <v/>
      </c>
      <c r="L81" s="11" t="str" cm="1">
        <f t="array" ref="L81">IF($D81 &lt;&gt;0,ResultValue($C81,COLUMN(M81)-COLUMN($C81))/$D81,"")</f>
        <v/>
      </c>
      <c r="M81" s="11" t="str" cm="1">
        <f t="array" ref="M81">IF($D81 &lt;&gt;0,ResultValue($C81,COLUMN(N81)-COLUMN($C81))/$D81,"")</f>
        <v/>
      </c>
      <c r="N81" s="11" t="str" cm="1">
        <f t="array" ref="N81">IF($D81 &lt;&gt;0,ResultValue($C81,COLUMN(O81)-COLUMN($C81))/$D81,"")</f>
        <v/>
      </c>
      <c r="O81" s="11" t="str" cm="1">
        <f t="array" ref="O81">IF($D81 &lt;&gt;0,ResultValue($C81,COLUMN(P81)-COLUMN($C81))/$D81,"")</f>
        <v/>
      </c>
      <c r="P81" s="11" t="str" cm="1">
        <f t="array" ref="P81">IF($D81 &lt;&gt;0,ResultValue($C81,COLUMN(Q81)-COLUMN($C81))/$D81,"")</f>
        <v/>
      </c>
      <c r="Q81" s="11" t="str" cm="1">
        <f t="array" ref="Q81">IF($D81 &lt;&gt;0,ResultValue($C81,COLUMN(R81)-COLUMN($C81))/$D81,"")</f>
        <v/>
      </c>
      <c r="R81" s="11" t="str" cm="1">
        <f t="array" ref="R81">IF($D81 &lt;&gt;0,ResultValue($C81,COLUMN(S81)-COLUMN($C81))/$D81,"")</f>
        <v/>
      </c>
      <c r="S81" s="11" t="str" cm="1">
        <f t="array" ref="S81">IF($D81 &lt;&gt;0,ResultValue($C81,COLUMN(T81)-COLUMN($C81))/$D81,"")</f>
        <v/>
      </c>
      <c r="T81" s="11" t="str" cm="1">
        <f t="array" ref="T81">IF($D81 &lt;&gt;0,ResultValue($C81,COLUMN(U81)-COLUMN($C81))/$D81,"")</f>
        <v/>
      </c>
      <c r="U81" s="11" t="str" cm="1">
        <f t="array" ref="U81">IF($D81 &lt;&gt;0,ResultValue($C81,COLUMN(V81)-COLUMN($C81))/$D81,"")</f>
        <v/>
      </c>
      <c r="V81" s="11" t="str" cm="1">
        <f t="array" ref="V81">IF($D81 &lt;&gt;0,ResultValue($C81,COLUMN(W81)-COLUMN($C81))/$D81,"")</f>
        <v/>
      </c>
      <c r="W81" s="11" t="str" cm="1">
        <f t="array" ref="W81">IF($D81 &lt;&gt;0,ResultValue($C81,COLUMN(X81)-COLUMN($C81))/$D81,"")</f>
        <v/>
      </c>
      <c r="X81" s="11" t="str" cm="1">
        <f t="array" ref="X81">IF($D81 &lt;&gt;0,ResultValue($C81,COLUMN(Y81)-COLUMN($C81))/$D81,"")</f>
        <v/>
      </c>
      <c r="Y81" s="11" t="str" cm="1">
        <f t="array" ref="Y81">IF($D81 &lt;&gt;0,ResultValue($C81,COLUMN(Z82)-COLUMN($C81))/$D81,"")</f>
        <v/>
      </c>
    </row>
    <row r="82" spans="1:25" x14ac:dyDescent="0.25">
      <c r="A82" s="46" t="str">
        <v>NS-varme udnyttelse</v>
      </c>
      <c r="B82" s="44"/>
      <c r="C82" s="38" t="str">
        <f t="shared" si="3"/>
        <v/>
      </c>
      <c r="D82" s="37">
        <f t="shared" si="4"/>
        <v>0</v>
      </c>
      <c r="E82" s="11" t="str" cm="1">
        <f t="array" ref="E82">IF($D82 &lt;&gt;0,ResultValue($C82,COLUMN(F82)-COLUMN($C82))/$D82,"")</f>
        <v/>
      </c>
      <c r="F82" s="11" t="str" cm="1">
        <f t="array" ref="F82">IF($D82 &lt;&gt;0,ResultValue($C82,COLUMN(G82)-COLUMN($C82))/$D82,"")</f>
        <v/>
      </c>
      <c r="G82" s="11" t="str" cm="1">
        <f t="array" ref="G82">IF($D82 &lt;&gt;0,ResultValue($C82,COLUMN(H82)-COLUMN($C82))/$D82,"")</f>
        <v/>
      </c>
      <c r="H82" s="11" t="str" cm="1">
        <f t="array" ref="H82">IF($D82 &lt;&gt;0,ResultValue($C82,COLUMN(I82)-COLUMN($C82))/$D82,"")</f>
        <v/>
      </c>
      <c r="I82" s="11" t="str" cm="1">
        <f t="array" ref="I82">IF($D82 &lt;&gt;0,ResultValue($C82,COLUMN(J82)-COLUMN($C82))/$D82,"")</f>
        <v/>
      </c>
      <c r="J82" s="11" t="str" cm="1">
        <f t="array" ref="J82">IF($D82 &lt;&gt;0,ResultValue($C82,COLUMN(K82)-COLUMN($C82))/$D82,"")</f>
        <v/>
      </c>
      <c r="K82" s="11" t="str" cm="1">
        <f t="array" ref="K82">IF($D82 &lt;&gt;0,ResultValue($C82,COLUMN(L82)-COLUMN($C82))/$D82,"")</f>
        <v/>
      </c>
      <c r="L82" s="11" t="str" cm="1">
        <f t="array" ref="L82">IF($D82 &lt;&gt;0,ResultValue($C82,COLUMN(M82)-COLUMN($C82))/$D82,"")</f>
        <v/>
      </c>
      <c r="M82" s="11" t="str" cm="1">
        <f t="array" ref="M82">IF($D82 &lt;&gt;0,ResultValue($C82,COLUMN(N82)-COLUMN($C82))/$D82,"")</f>
        <v/>
      </c>
      <c r="N82" s="11" t="str" cm="1">
        <f t="array" ref="N82">IF($D82 &lt;&gt;0,ResultValue($C82,COLUMN(O82)-COLUMN($C82))/$D82,"")</f>
        <v/>
      </c>
      <c r="O82" s="11" t="str" cm="1">
        <f t="array" ref="O82">IF($D82 &lt;&gt;0,ResultValue($C82,COLUMN(P82)-COLUMN($C82))/$D82,"")</f>
        <v/>
      </c>
      <c r="P82" s="11" t="str" cm="1">
        <f t="array" ref="P82">IF($D82 &lt;&gt;0,ResultValue($C82,COLUMN(Q82)-COLUMN($C82))/$D82,"")</f>
        <v/>
      </c>
      <c r="Q82" s="11" t="str" cm="1">
        <f t="array" ref="Q82">IF($D82 &lt;&gt;0,ResultValue($C82,COLUMN(R82)-COLUMN($C82))/$D82,"")</f>
        <v/>
      </c>
      <c r="R82" s="11" t="str" cm="1">
        <f t="array" ref="R82">IF($D82 &lt;&gt;0,ResultValue($C82,COLUMN(S82)-COLUMN($C82))/$D82,"")</f>
        <v/>
      </c>
      <c r="S82" s="11" t="str" cm="1">
        <f t="array" ref="S82">IF($D82 &lt;&gt;0,ResultValue($C82,COLUMN(T82)-COLUMN($C82))/$D82,"")</f>
        <v/>
      </c>
      <c r="T82" s="11" t="str" cm="1">
        <f t="array" ref="T82">IF($D82 &lt;&gt;0,ResultValue($C82,COLUMN(U82)-COLUMN($C82))/$D82,"")</f>
        <v/>
      </c>
      <c r="U82" s="11" t="str" cm="1">
        <f t="array" ref="U82">IF($D82 &lt;&gt;0,ResultValue($C82,COLUMN(V82)-COLUMN($C82))/$D82,"")</f>
        <v/>
      </c>
      <c r="V82" s="11" t="str" cm="1">
        <f t="array" ref="V82">IF($D82 &lt;&gt;0,ResultValue($C82,COLUMN(W82)-COLUMN($C82))/$D82,"")</f>
        <v/>
      </c>
      <c r="W82" s="11" t="str" cm="1">
        <f t="array" ref="W82">IF($D82 &lt;&gt;0,ResultValue($C82,COLUMN(X82)-COLUMN($C82))/$D82,"")</f>
        <v/>
      </c>
      <c r="X82" s="11" t="str" cm="1">
        <f t="array" ref="X82">IF($D82 &lt;&gt;0,ResultValue($C82,COLUMN(Y82)-COLUMN($C82))/$D82,"")</f>
        <v/>
      </c>
      <c r="Y82" s="11" t="str" cm="1">
        <f t="array" ref="Y82">IF($D82 &lt;&gt;0,ResultValue($C82,COLUMN(Z83)-COLUMN($C82))/$D82,"")</f>
        <v/>
      </c>
    </row>
    <row r="83" spans="1:25" x14ac:dyDescent="0.25">
      <c r="A83" s="46" t="str">
        <v>VPO affald</v>
      </c>
      <c r="B83" s="44"/>
      <c r="C83" s="38" t="str">
        <f t="shared" si="3"/>
        <v/>
      </c>
      <c r="D83" s="37">
        <f t="shared" si="4"/>
        <v>0</v>
      </c>
      <c r="E83" s="11" t="str" cm="1">
        <f t="array" ref="E83">IF($D83 &lt;&gt;0,ResultValue($C83,COLUMN(F83)-COLUMN($C83))/$D83,"")</f>
        <v/>
      </c>
      <c r="F83" s="11" t="str" cm="1">
        <f t="array" ref="F83">IF($D83 &lt;&gt;0,ResultValue($C83,COLUMN(G83)-COLUMN($C83))/$D83,"")</f>
        <v/>
      </c>
      <c r="G83" s="11" t="str" cm="1">
        <f t="array" ref="G83">IF($D83 &lt;&gt;0,ResultValue($C83,COLUMN(H83)-COLUMN($C83))/$D83,"")</f>
        <v/>
      </c>
      <c r="H83" s="11" t="str" cm="1">
        <f t="array" ref="H83">IF($D83 &lt;&gt;0,ResultValue($C83,COLUMN(I83)-COLUMN($C83))/$D83,"")</f>
        <v/>
      </c>
      <c r="I83" s="11" t="str" cm="1">
        <f t="array" ref="I83">IF($D83 &lt;&gt;0,ResultValue($C83,COLUMN(J83)-COLUMN($C83))/$D83,"")</f>
        <v/>
      </c>
      <c r="J83" s="11" t="str" cm="1">
        <f t="array" ref="J83">IF($D83 &lt;&gt;0,ResultValue($C83,COLUMN(K83)-COLUMN($C83))/$D83,"")</f>
        <v/>
      </c>
      <c r="K83" s="11" t="str" cm="1">
        <f t="array" ref="K83">IF($D83 &lt;&gt;0,ResultValue($C83,COLUMN(L83)-COLUMN($C83))/$D83,"")</f>
        <v/>
      </c>
      <c r="L83" s="11" t="str" cm="1">
        <f t="array" ref="L83">IF($D83 &lt;&gt;0,ResultValue($C83,COLUMN(M83)-COLUMN($C83))/$D83,"")</f>
        <v/>
      </c>
      <c r="M83" s="11" t="str" cm="1">
        <f t="array" ref="M83">IF($D83 &lt;&gt;0,ResultValue($C83,COLUMN(N83)-COLUMN($C83))/$D83,"")</f>
        <v/>
      </c>
      <c r="N83" s="11" t="str" cm="1">
        <f t="array" ref="N83">IF($D83 &lt;&gt;0,ResultValue($C83,COLUMN(O83)-COLUMN($C83))/$D83,"")</f>
        <v/>
      </c>
      <c r="O83" s="11" t="str" cm="1">
        <f t="array" ref="O83">IF($D83 &lt;&gt;0,ResultValue($C83,COLUMN(P83)-COLUMN($C83))/$D83,"")</f>
        <v/>
      </c>
      <c r="P83" s="11" t="str" cm="1">
        <f t="array" ref="P83">IF($D83 &lt;&gt;0,ResultValue($C83,COLUMN(Q83)-COLUMN($C83))/$D83,"")</f>
        <v/>
      </c>
      <c r="Q83" s="11" t="str" cm="1">
        <f t="array" ref="Q83">IF($D83 &lt;&gt;0,ResultValue($C83,COLUMN(R83)-COLUMN($C83))/$D83,"")</f>
        <v/>
      </c>
      <c r="R83" s="11" t="str" cm="1">
        <f t="array" ref="R83">IF($D83 &lt;&gt;0,ResultValue($C83,COLUMN(S83)-COLUMN($C83))/$D83,"")</f>
        <v/>
      </c>
      <c r="S83" s="11" t="str" cm="1">
        <f t="array" ref="S83">IF($D83 &lt;&gt;0,ResultValue($C83,COLUMN(T83)-COLUMN($C83))/$D83,"")</f>
        <v/>
      </c>
      <c r="T83" s="11" t="str" cm="1">
        <f t="array" ref="T83">IF($D83 &lt;&gt;0,ResultValue($C83,COLUMN(U83)-COLUMN($C83))/$D83,"")</f>
        <v/>
      </c>
      <c r="U83" s="11" t="str" cm="1">
        <f t="array" ref="U83">IF($D83 &lt;&gt;0,ResultValue($C83,COLUMN(V83)-COLUMN($C83))/$D83,"")</f>
        <v/>
      </c>
      <c r="V83" s="11" t="str" cm="1">
        <f t="array" ref="V83">IF($D83 &lt;&gt;0,ResultValue($C83,COLUMN(W83)-COLUMN($C83))/$D83,"")</f>
        <v/>
      </c>
      <c r="W83" s="11" t="str" cm="1">
        <f t="array" ref="W83">IF($D83 &lt;&gt;0,ResultValue($C83,COLUMN(X83)-COLUMN($C83))/$D83,"")</f>
        <v/>
      </c>
      <c r="X83" s="11" t="str" cm="1">
        <f t="array" ref="X83">IF($D83 &lt;&gt;0,ResultValue($C83,COLUMN(Y83)-COLUMN($C83))/$D83,"")</f>
        <v/>
      </c>
      <c r="Y83" s="11" t="str" cm="1">
        <f t="array" ref="Y83">IF($D83 &lt;&gt;0,ResultValue($C83,COLUMN(Z84)-COLUMN($C83))/$D83,"")</f>
        <v/>
      </c>
    </row>
    <row r="84" spans="1:25" x14ac:dyDescent="0.25">
      <c r="A84" s="44"/>
      <c r="B84" s="44"/>
      <c r="C84" s="38" t="str">
        <f t="shared" si="3"/>
        <v/>
      </c>
      <c r="D84" s="37">
        <f t="shared" si="4"/>
        <v>0</v>
      </c>
      <c r="E84" s="11" t="str" cm="1">
        <f t="array" ref="E84">IF($D84 &lt;&gt;0,ResultValue($C84,COLUMN(F84)-COLUMN($C84))/$D84,"")</f>
        <v/>
      </c>
      <c r="F84" s="11" t="str" cm="1">
        <f t="array" ref="F84">IF($D84 &lt;&gt;0,ResultValue($C84,COLUMN(G84)-COLUMN($C84))/$D84,"")</f>
        <v/>
      </c>
      <c r="G84" s="11" t="str" cm="1">
        <f t="array" ref="G84">IF($D84 &lt;&gt;0,ResultValue($C84,COLUMN(H84)-COLUMN($C84))/$D84,"")</f>
        <v/>
      </c>
      <c r="H84" s="11" t="str" cm="1">
        <f t="array" ref="H84">IF($D84 &lt;&gt;0,ResultValue($C84,COLUMN(I84)-COLUMN($C84))/$D84,"")</f>
        <v/>
      </c>
      <c r="I84" s="11" t="str" cm="1">
        <f t="array" ref="I84">IF($D84 &lt;&gt;0,ResultValue($C84,COLUMN(J84)-COLUMN($C84))/$D84,"")</f>
        <v/>
      </c>
      <c r="J84" s="11" t="str" cm="1">
        <f t="array" ref="J84">IF($D84 &lt;&gt;0,ResultValue($C84,COLUMN(K84)-COLUMN($C84))/$D84,"")</f>
        <v/>
      </c>
      <c r="K84" s="11" t="str" cm="1">
        <f t="array" ref="K84">IF($D84 &lt;&gt;0,ResultValue($C84,COLUMN(L84)-COLUMN($C84))/$D84,"")</f>
        <v/>
      </c>
      <c r="L84" s="11" t="str" cm="1">
        <f t="array" ref="L84">IF($D84 &lt;&gt;0,ResultValue($C84,COLUMN(M84)-COLUMN($C84))/$D84,"")</f>
        <v/>
      </c>
      <c r="M84" s="11" t="str" cm="1">
        <f t="array" ref="M84">IF($D84 &lt;&gt;0,ResultValue($C84,COLUMN(N84)-COLUMN($C84))/$D84,"")</f>
        <v/>
      </c>
      <c r="N84" s="11" t="str" cm="1">
        <f t="array" ref="N84">IF($D84 &lt;&gt;0,ResultValue($C84,COLUMN(O84)-COLUMN($C84))/$D84,"")</f>
        <v/>
      </c>
      <c r="O84" s="11" t="str" cm="1">
        <f t="array" ref="O84">IF($D84 &lt;&gt;0,ResultValue($C84,COLUMN(P84)-COLUMN($C84))/$D84,"")</f>
        <v/>
      </c>
      <c r="P84" s="11" t="str" cm="1">
        <f t="array" ref="P84">IF($D84 &lt;&gt;0,ResultValue($C84,COLUMN(Q84)-COLUMN($C84))/$D84,"")</f>
        <v/>
      </c>
      <c r="Q84" s="11" t="str" cm="1">
        <f t="array" ref="Q84">IF($D84 &lt;&gt;0,ResultValue($C84,COLUMN(R84)-COLUMN($C84))/$D84,"")</f>
        <v/>
      </c>
      <c r="R84" s="11" t="str" cm="1">
        <f t="array" ref="R84">IF($D84 &lt;&gt;0,ResultValue($C84,COLUMN(S84)-COLUMN($C84))/$D84,"")</f>
        <v/>
      </c>
      <c r="S84" s="11" t="str" cm="1">
        <f t="array" ref="S84">IF($D84 &lt;&gt;0,ResultValue($C84,COLUMN(T84)-COLUMN($C84))/$D84,"")</f>
        <v/>
      </c>
      <c r="T84" s="11" t="str" cm="1">
        <f t="array" ref="T84">IF($D84 &lt;&gt;0,ResultValue($C84,COLUMN(U84)-COLUMN($C84))/$D84,"")</f>
        <v/>
      </c>
      <c r="U84" s="11" t="str" cm="1">
        <f t="array" ref="U84">IF($D84 &lt;&gt;0,ResultValue($C84,COLUMN(V84)-COLUMN($C84))/$D84,"")</f>
        <v/>
      </c>
      <c r="V84" s="11" t="str" cm="1">
        <f t="array" ref="V84">IF($D84 &lt;&gt;0,ResultValue($C84,COLUMN(W84)-COLUMN($C84))/$D84,"")</f>
        <v/>
      </c>
      <c r="W84" s="11" t="str" cm="1">
        <f t="array" ref="W84">IF($D84 &lt;&gt;0,ResultValue($C84,COLUMN(X84)-COLUMN($C84))/$D84,"")</f>
        <v/>
      </c>
      <c r="X84" s="11" t="str" cm="1">
        <f t="array" ref="X84">IF($D84 &lt;&gt;0,ResultValue($C84,COLUMN(Y84)-COLUMN($C84))/$D84,"")</f>
        <v/>
      </c>
      <c r="Y84" s="11" t="str" cm="1">
        <f t="array" ref="Y84">IF($D84 &lt;&gt;0,ResultValue($C84,COLUMN(Z85)-COLUMN($C84))/$D84,"")</f>
        <v/>
      </c>
    </row>
    <row r="85" spans="1:25" x14ac:dyDescent="0.25">
      <c r="A85" s="44"/>
      <c r="B85" s="44"/>
      <c r="C85" s="38" t="str">
        <f t="shared" si="3"/>
        <v/>
      </c>
      <c r="D85" s="37">
        <f t="shared" si="4"/>
        <v>0</v>
      </c>
      <c r="E85" s="11" t="str" cm="1">
        <f t="array" ref="E85">IF($D85 &lt;&gt;0,ResultValue($C85,COLUMN(F85)-COLUMN($C85))/$D85,"")</f>
        <v/>
      </c>
      <c r="F85" s="11" t="str" cm="1">
        <f t="array" ref="F85">IF($D85 &lt;&gt;0,ResultValue($C85,COLUMN(G85)-COLUMN($C85))/$D85,"")</f>
        <v/>
      </c>
      <c r="G85" s="11" t="str" cm="1">
        <f t="array" ref="G85">IF($D85 &lt;&gt;0,ResultValue($C85,COLUMN(H85)-COLUMN($C85))/$D85,"")</f>
        <v/>
      </c>
      <c r="H85" s="11" t="str" cm="1">
        <f t="array" ref="H85">IF($D85 &lt;&gt;0,ResultValue($C85,COLUMN(I85)-COLUMN($C85))/$D85,"")</f>
        <v/>
      </c>
      <c r="I85" s="11" t="str" cm="1">
        <f t="array" ref="I85">IF($D85 &lt;&gt;0,ResultValue($C85,COLUMN(J85)-COLUMN($C85))/$D85,"")</f>
        <v/>
      </c>
      <c r="J85" s="11" t="str" cm="1">
        <f t="array" ref="J85">IF($D85 &lt;&gt;0,ResultValue($C85,COLUMN(K85)-COLUMN($C85))/$D85,"")</f>
        <v/>
      </c>
      <c r="K85" s="11" t="str" cm="1">
        <f t="array" ref="K85">IF($D85 &lt;&gt;0,ResultValue($C85,COLUMN(L85)-COLUMN($C85))/$D85,"")</f>
        <v/>
      </c>
      <c r="L85" s="11" t="str" cm="1">
        <f t="array" ref="L85">IF($D85 &lt;&gt;0,ResultValue($C85,COLUMN(M85)-COLUMN($C85))/$D85,"")</f>
        <v/>
      </c>
      <c r="M85" s="11" t="str" cm="1">
        <f t="array" ref="M85">IF($D85 &lt;&gt;0,ResultValue($C85,COLUMN(N85)-COLUMN($C85))/$D85,"")</f>
        <v/>
      </c>
      <c r="N85" s="11" t="str" cm="1">
        <f t="array" ref="N85">IF($D85 &lt;&gt;0,ResultValue($C85,COLUMN(O85)-COLUMN($C85))/$D85,"")</f>
        <v/>
      </c>
      <c r="O85" s="11" t="str" cm="1">
        <f t="array" ref="O85">IF($D85 &lt;&gt;0,ResultValue($C85,COLUMN(P85)-COLUMN($C85))/$D85,"")</f>
        <v/>
      </c>
      <c r="P85" s="11" t="str" cm="1">
        <f t="array" ref="P85">IF($D85 &lt;&gt;0,ResultValue($C85,COLUMN(Q85)-COLUMN($C85))/$D85,"")</f>
        <v/>
      </c>
      <c r="Q85" s="11" t="str" cm="1">
        <f t="array" ref="Q85">IF($D85 &lt;&gt;0,ResultValue($C85,COLUMN(R85)-COLUMN($C85))/$D85,"")</f>
        <v/>
      </c>
      <c r="R85" s="11" t="str" cm="1">
        <f t="array" ref="R85">IF($D85 &lt;&gt;0,ResultValue($C85,COLUMN(S85)-COLUMN($C85))/$D85,"")</f>
        <v/>
      </c>
      <c r="S85" s="11" t="str" cm="1">
        <f t="array" ref="S85">IF($D85 &lt;&gt;0,ResultValue($C85,COLUMN(T85)-COLUMN($C85))/$D85,"")</f>
        <v/>
      </c>
      <c r="T85" s="11" t="str" cm="1">
        <f t="array" ref="T85">IF($D85 &lt;&gt;0,ResultValue($C85,COLUMN(U85)-COLUMN($C85))/$D85,"")</f>
        <v/>
      </c>
      <c r="U85" s="11" t="str" cm="1">
        <f t="array" ref="U85">IF($D85 &lt;&gt;0,ResultValue($C85,COLUMN(V85)-COLUMN($C85))/$D85,"")</f>
        <v/>
      </c>
      <c r="V85" s="11" t="str" cm="1">
        <f t="array" ref="V85">IF($D85 &lt;&gt;0,ResultValue($C85,COLUMN(W85)-COLUMN($C85))/$D85,"")</f>
        <v/>
      </c>
      <c r="W85" s="11" t="str" cm="1">
        <f t="array" ref="W85">IF($D85 &lt;&gt;0,ResultValue($C85,COLUMN(X85)-COLUMN($C85))/$D85,"")</f>
        <v/>
      </c>
      <c r="X85" s="11" t="str" cm="1">
        <f t="array" ref="X85">IF($D85 &lt;&gt;0,ResultValue($C85,COLUMN(Y85)-COLUMN($C85))/$D85,"")</f>
        <v/>
      </c>
      <c r="Y85" s="11" t="str" cm="1">
        <f t="array" ref="Y85">IF($D85 &lt;&gt;0,ResultValue($C85,COLUMN(Z86)-COLUMN($C85))/$D85,"")</f>
        <v/>
      </c>
    </row>
    <row r="86" spans="1:25" x14ac:dyDescent="0.25">
      <c r="A86" s="44"/>
      <c r="B86" s="44"/>
      <c r="C86" s="38" t="str">
        <f t="shared" si="3"/>
        <v/>
      </c>
      <c r="D86" s="37">
        <f t="shared" si="4"/>
        <v>0</v>
      </c>
      <c r="E86" s="11" t="str" cm="1">
        <f t="array" ref="E86">IF($D86 &lt;&gt;0,ResultValue($C86,COLUMN(F86)-COLUMN($C86))/$D86,"")</f>
        <v/>
      </c>
      <c r="F86" s="11" t="str" cm="1">
        <f t="array" ref="F86">IF($D86 &lt;&gt;0,ResultValue($C86,COLUMN(G86)-COLUMN($C86))/$D86,"")</f>
        <v/>
      </c>
      <c r="G86" s="11" t="str" cm="1">
        <f t="array" ref="G86">IF($D86 &lt;&gt;0,ResultValue($C86,COLUMN(H86)-COLUMN($C86))/$D86,"")</f>
        <v/>
      </c>
      <c r="H86" s="11" t="str" cm="1">
        <f t="array" ref="H86">IF($D86 &lt;&gt;0,ResultValue($C86,COLUMN(I86)-COLUMN($C86))/$D86,"")</f>
        <v/>
      </c>
      <c r="I86" s="11" t="str" cm="1">
        <f t="array" ref="I86">IF($D86 &lt;&gt;0,ResultValue($C86,COLUMN(J86)-COLUMN($C86))/$D86,"")</f>
        <v/>
      </c>
      <c r="J86" s="11" t="str" cm="1">
        <f t="array" ref="J86">IF($D86 &lt;&gt;0,ResultValue($C86,COLUMN(K86)-COLUMN($C86))/$D86,"")</f>
        <v/>
      </c>
      <c r="K86" s="11" t="str" cm="1">
        <f t="array" ref="K86">IF($D86 &lt;&gt;0,ResultValue($C86,COLUMN(L86)-COLUMN($C86))/$D86,"")</f>
        <v/>
      </c>
      <c r="L86" s="11" t="str" cm="1">
        <f t="array" ref="L86">IF($D86 &lt;&gt;0,ResultValue($C86,COLUMN(M86)-COLUMN($C86))/$D86,"")</f>
        <v/>
      </c>
      <c r="M86" s="11" t="str" cm="1">
        <f t="array" ref="M86">IF($D86 &lt;&gt;0,ResultValue($C86,COLUMN(N86)-COLUMN($C86))/$D86,"")</f>
        <v/>
      </c>
      <c r="N86" s="11" t="str" cm="1">
        <f t="array" ref="N86">IF($D86 &lt;&gt;0,ResultValue($C86,COLUMN(O86)-COLUMN($C86))/$D86,"")</f>
        <v/>
      </c>
      <c r="O86" s="11" t="str" cm="1">
        <f t="array" ref="O86">IF($D86 &lt;&gt;0,ResultValue($C86,COLUMN(P86)-COLUMN($C86))/$D86,"")</f>
        <v/>
      </c>
      <c r="P86" s="11" t="str" cm="1">
        <f t="array" ref="P86">IF($D86 &lt;&gt;0,ResultValue($C86,COLUMN(Q86)-COLUMN($C86))/$D86,"")</f>
        <v/>
      </c>
      <c r="Q86" s="11" t="str" cm="1">
        <f t="array" ref="Q86">IF($D86 &lt;&gt;0,ResultValue($C86,COLUMN(R86)-COLUMN($C86))/$D86,"")</f>
        <v/>
      </c>
      <c r="R86" s="11" t="str" cm="1">
        <f t="array" ref="R86">IF($D86 &lt;&gt;0,ResultValue($C86,COLUMN(S86)-COLUMN($C86))/$D86,"")</f>
        <v/>
      </c>
      <c r="S86" s="11" t="str" cm="1">
        <f t="array" ref="S86">IF($D86 &lt;&gt;0,ResultValue($C86,COLUMN(T86)-COLUMN($C86))/$D86,"")</f>
        <v/>
      </c>
      <c r="T86" s="11" t="str" cm="1">
        <f t="array" ref="T86">IF($D86 &lt;&gt;0,ResultValue($C86,COLUMN(U86)-COLUMN($C86))/$D86,"")</f>
        <v/>
      </c>
      <c r="U86" s="11" t="str" cm="1">
        <f t="array" ref="U86">IF($D86 &lt;&gt;0,ResultValue($C86,COLUMN(V86)-COLUMN($C86))/$D86,"")</f>
        <v/>
      </c>
      <c r="V86" s="11" t="str" cm="1">
        <f t="array" ref="V86">IF($D86 &lt;&gt;0,ResultValue($C86,COLUMN(W86)-COLUMN($C86))/$D86,"")</f>
        <v/>
      </c>
      <c r="W86" s="11" t="str" cm="1">
        <f t="array" ref="W86">IF($D86 &lt;&gt;0,ResultValue($C86,COLUMN(X86)-COLUMN($C86))/$D86,"")</f>
        <v/>
      </c>
      <c r="X86" s="11" t="str" cm="1">
        <f t="array" ref="X86">IF($D86 &lt;&gt;0,ResultValue($C86,COLUMN(Y86)-COLUMN($C86))/$D86,"")</f>
        <v/>
      </c>
      <c r="Y86" s="11" t="str" cm="1">
        <f t="array" ref="Y86">IF($D86 &lt;&gt;0,ResultValue($C86,COLUMN(Z87)-COLUMN($C86))/$D86,"")</f>
        <v/>
      </c>
    </row>
    <row r="87" spans="1:25" x14ac:dyDescent="0.25">
      <c r="A87" s="44"/>
      <c r="B87" s="44"/>
      <c r="C87" s="38" t="str">
        <f t="shared" si="3"/>
        <v/>
      </c>
      <c r="D87" s="37">
        <f t="shared" si="4"/>
        <v>0</v>
      </c>
      <c r="E87" s="11" t="str" cm="1">
        <f t="array" ref="E87">IF($D87 &lt;&gt;0,ResultValue($C87,COLUMN(F87)-COLUMN($C87))/$D87,"")</f>
        <v/>
      </c>
      <c r="F87" s="11" t="str" cm="1">
        <f t="array" ref="F87">IF($D87 &lt;&gt;0,ResultValue($C87,COLUMN(G87)-COLUMN($C87))/$D87,"")</f>
        <v/>
      </c>
      <c r="G87" s="11" t="str" cm="1">
        <f t="array" ref="G87">IF($D87 &lt;&gt;0,ResultValue($C87,COLUMN(H87)-COLUMN($C87))/$D87,"")</f>
        <v/>
      </c>
      <c r="H87" s="11" t="str" cm="1">
        <f t="array" ref="H87">IF($D87 &lt;&gt;0,ResultValue($C87,COLUMN(I87)-COLUMN($C87))/$D87,"")</f>
        <v/>
      </c>
      <c r="I87" s="11" t="str" cm="1">
        <f t="array" ref="I87">IF($D87 &lt;&gt;0,ResultValue($C87,COLUMN(J87)-COLUMN($C87))/$D87,"")</f>
        <v/>
      </c>
      <c r="J87" s="11" t="str" cm="1">
        <f t="array" ref="J87">IF($D87 &lt;&gt;0,ResultValue($C87,COLUMN(K87)-COLUMN($C87))/$D87,"")</f>
        <v/>
      </c>
      <c r="K87" s="11" t="str" cm="1">
        <f t="array" ref="K87">IF($D87 &lt;&gt;0,ResultValue($C87,COLUMN(L87)-COLUMN($C87))/$D87,"")</f>
        <v/>
      </c>
      <c r="L87" s="11" t="str" cm="1">
        <f t="array" ref="L87">IF($D87 &lt;&gt;0,ResultValue($C87,COLUMN(M87)-COLUMN($C87))/$D87,"")</f>
        <v/>
      </c>
      <c r="M87" s="11" t="str" cm="1">
        <f t="array" ref="M87">IF($D87 &lt;&gt;0,ResultValue($C87,COLUMN(N87)-COLUMN($C87))/$D87,"")</f>
        <v/>
      </c>
      <c r="N87" s="11" t="str" cm="1">
        <f t="array" ref="N87">IF($D87 &lt;&gt;0,ResultValue($C87,COLUMN(O87)-COLUMN($C87))/$D87,"")</f>
        <v/>
      </c>
      <c r="O87" s="11" t="str" cm="1">
        <f t="array" ref="O87">IF($D87 &lt;&gt;0,ResultValue($C87,COLUMN(P87)-COLUMN($C87))/$D87,"")</f>
        <v/>
      </c>
      <c r="P87" s="11" t="str" cm="1">
        <f t="array" ref="P87">IF($D87 &lt;&gt;0,ResultValue($C87,COLUMN(Q87)-COLUMN($C87))/$D87,"")</f>
        <v/>
      </c>
      <c r="Q87" s="11" t="str" cm="1">
        <f t="array" ref="Q87">IF($D87 &lt;&gt;0,ResultValue($C87,COLUMN(R87)-COLUMN($C87))/$D87,"")</f>
        <v/>
      </c>
      <c r="R87" s="11" t="str" cm="1">
        <f t="array" ref="R87">IF($D87 &lt;&gt;0,ResultValue($C87,COLUMN(S87)-COLUMN($C87))/$D87,"")</f>
        <v/>
      </c>
      <c r="S87" s="11" t="str" cm="1">
        <f t="array" ref="S87">IF($D87 &lt;&gt;0,ResultValue($C87,COLUMN(T87)-COLUMN($C87))/$D87,"")</f>
        <v/>
      </c>
      <c r="T87" s="11" t="str" cm="1">
        <f t="array" ref="T87">IF($D87 &lt;&gt;0,ResultValue($C87,COLUMN(U87)-COLUMN($C87))/$D87,"")</f>
        <v/>
      </c>
      <c r="U87" s="11" t="str" cm="1">
        <f t="array" ref="U87">IF($D87 &lt;&gt;0,ResultValue($C87,COLUMN(V87)-COLUMN($C87))/$D87,"")</f>
        <v/>
      </c>
      <c r="V87" s="11" t="str" cm="1">
        <f t="array" ref="V87">IF($D87 &lt;&gt;0,ResultValue($C87,COLUMN(W87)-COLUMN($C87))/$D87,"")</f>
        <v/>
      </c>
      <c r="W87" s="11" t="str" cm="1">
        <f t="array" ref="W87">IF($D87 &lt;&gt;0,ResultValue($C87,COLUMN(X87)-COLUMN($C87))/$D87,"")</f>
        <v/>
      </c>
      <c r="X87" s="11" t="str" cm="1">
        <f t="array" ref="X87">IF($D87 &lt;&gt;0,ResultValue($C87,COLUMN(Y87)-COLUMN($C87))/$D87,"")</f>
        <v/>
      </c>
      <c r="Y87" s="11" t="str" cm="1">
        <f t="array" ref="Y87">IF($D87 &lt;&gt;0,ResultValue($C87,COLUMN(Z88)-COLUMN($C87))/$D87,"")</f>
        <v/>
      </c>
    </row>
    <row r="88" spans="1:25" x14ac:dyDescent="0.25">
      <c r="A88" s="44"/>
      <c r="B88" s="44"/>
      <c r="C88" s="38" t="str">
        <f t="shared" si="3"/>
        <v/>
      </c>
      <c r="D88" s="37">
        <f t="shared" si="4"/>
        <v>0</v>
      </c>
      <c r="E88" s="11" t="str" cm="1">
        <f t="array" ref="E88">IF($D88 &lt;&gt;0,ResultValue($C88,COLUMN(F88)-COLUMN($C88))/$D88,"")</f>
        <v/>
      </c>
      <c r="F88" s="11" t="str" cm="1">
        <f t="array" ref="F88">IF($D88 &lt;&gt;0,ResultValue($C88,COLUMN(G88)-COLUMN($C88))/$D88,"")</f>
        <v/>
      </c>
      <c r="G88" s="11" t="str" cm="1">
        <f t="array" ref="G88">IF($D88 &lt;&gt;0,ResultValue($C88,COLUMN(H88)-COLUMN($C88))/$D88,"")</f>
        <v/>
      </c>
      <c r="H88" s="11" t="str" cm="1">
        <f t="array" ref="H88">IF($D88 &lt;&gt;0,ResultValue($C88,COLUMN(I88)-COLUMN($C88))/$D88,"")</f>
        <v/>
      </c>
      <c r="I88" s="11" t="str" cm="1">
        <f t="array" ref="I88">IF($D88 &lt;&gt;0,ResultValue($C88,COLUMN(J88)-COLUMN($C88))/$D88,"")</f>
        <v/>
      </c>
      <c r="J88" s="11" t="str" cm="1">
        <f t="array" ref="J88">IF($D88 &lt;&gt;0,ResultValue($C88,COLUMN(K88)-COLUMN($C88))/$D88,"")</f>
        <v/>
      </c>
      <c r="K88" s="11" t="str" cm="1">
        <f t="array" ref="K88">IF($D88 &lt;&gt;0,ResultValue($C88,COLUMN(L88)-COLUMN($C88))/$D88,"")</f>
        <v/>
      </c>
      <c r="L88" s="11" t="str" cm="1">
        <f t="array" ref="L88">IF($D88 &lt;&gt;0,ResultValue($C88,COLUMN(M88)-COLUMN($C88))/$D88,"")</f>
        <v/>
      </c>
      <c r="M88" s="11" t="str" cm="1">
        <f t="array" ref="M88">IF($D88 &lt;&gt;0,ResultValue($C88,COLUMN(N88)-COLUMN($C88))/$D88,"")</f>
        <v/>
      </c>
      <c r="N88" s="11" t="str" cm="1">
        <f t="array" ref="N88">IF($D88 &lt;&gt;0,ResultValue($C88,COLUMN(O88)-COLUMN($C88))/$D88,"")</f>
        <v/>
      </c>
      <c r="O88" s="11" t="str" cm="1">
        <f t="array" ref="O88">IF($D88 &lt;&gt;0,ResultValue($C88,COLUMN(P88)-COLUMN($C88))/$D88,"")</f>
        <v/>
      </c>
      <c r="P88" s="11" t="str" cm="1">
        <f t="array" ref="P88">IF($D88 &lt;&gt;0,ResultValue($C88,COLUMN(Q88)-COLUMN($C88))/$D88,"")</f>
        <v/>
      </c>
      <c r="Q88" s="11" t="str" cm="1">
        <f t="array" ref="Q88">IF($D88 &lt;&gt;0,ResultValue($C88,COLUMN(R88)-COLUMN($C88))/$D88,"")</f>
        <v/>
      </c>
      <c r="R88" s="11" t="str" cm="1">
        <f t="array" ref="R88">IF($D88 &lt;&gt;0,ResultValue($C88,COLUMN(S88)-COLUMN($C88))/$D88,"")</f>
        <v/>
      </c>
      <c r="S88" s="11" t="str" cm="1">
        <f t="array" ref="S88">IF($D88 &lt;&gt;0,ResultValue($C88,COLUMN(T88)-COLUMN($C88))/$D88,"")</f>
        <v/>
      </c>
      <c r="T88" s="11" t="str" cm="1">
        <f t="array" ref="T88">IF($D88 &lt;&gt;0,ResultValue($C88,COLUMN(U88)-COLUMN($C88))/$D88,"")</f>
        <v/>
      </c>
      <c r="U88" s="11" t="str" cm="1">
        <f t="array" ref="U88">IF($D88 &lt;&gt;0,ResultValue($C88,COLUMN(V88)-COLUMN($C88))/$D88,"")</f>
        <v/>
      </c>
      <c r="V88" s="11" t="str" cm="1">
        <f t="array" ref="V88">IF($D88 &lt;&gt;0,ResultValue($C88,COLUMN(W88)-COLUMN($C88))/$D88,"")</f>
        <v/>
      </c>
      <c r="W88" s="11" t="str" cm="1">
        <f t="array" ref="W88">IF($D88 &lt;&gt;0,ResultValue($C88,COLUMN(X88)-COLUMN($C88))/$D88,"")</f>
        <v/>
      </c>
      <c r="X88" s="11" t="str" cm="1">
        <f t="array" ref="X88">IF($D88 &lt;&gt;0,ResultValue($C88,COLUMN(Y88)-COLUMN($C88))/$D88,"")</f>
        <v/>
      </c>
      <c r="Y88" s="11" t="str" cm="1">
        <f t="array" ref="Y88">IF($D88 &lt;&gt;0,ResultValue($C88,COLUMN(Z89)-COLUMN($C88))/$D88,"")</f>
        <v/>
      </c>
    </row>
    <row r="89" spans="1:25" x14ac:dyDescent="0.25">
      <c r="A89" s="44"/>
      <c r="B89" s="44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</row>
    <row r="90" spans="1:25" x14ac:dyDescent="0.25">
      <c r="A90" s="44"/>
      <c r="B90" s="44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</row>
    <row r="91" spans="1:25" x14ac:dyDescent="0.25">
      <c r="A91" s="44"/>
      <c r="B91" s="44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44"/>
      <c r="B92" s="44"/>
    </row>
    <row r="93" spans="1:25" x14ac:dyDescent="0.25">
      <c r="C93" s="9" t="s">
        <v>221</v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</row>
    <row r="94" spans="1:25" x14ac:dyDescent="0.25">
      <c r="C94" s="2" t="str">
        <f>'Model-1'!N48</f>
        <v>Økonomi:</v>
      </c>
      <c r="D94" s="7" t="str">
        <f>'Model-1'!O48</f>
        <v>Enhed</v>
      </c>
      <c r="E94" s="13" t="str">
        <f t="shared" ref="E94:Y94" si="5">E6</f>
        <v>Nominelt</v>
      </c>
      <c r="F94" s="13" t="str">
        <f t="shared" si="5"/>
        <v>sc1</v>
      </c>
      <c r="G94" s="13" t="str">
        <f t="shared" si="5"/>
        <v>sc2</v>
      </c>
      <c r="H94" s="13" t="str">
        <f t="shared" si="5"/>
        <v>sc3</v>
      </c>
      <c r="I94" s="13" t="str">
        <f t="shared" si="5"/>
        <v>sc4</v>
      </c>
      <c r="J94" s="13" t="str">
        <f t="shared" si="5"/>
        <v>sc5</v>
      </c>
      <c r="K94" s="13" t="str">
        <f t="shared" si="5"/>
        <v>sc6</v>
      </c>
      <c r="L94" s="13" t="str">
        <f t="shared" si="5"/>
        <v>sc7</v>
      </c>
      <c r="M94" s="13" t="str">
        <f t="shared" si="5"/>
        <v>sc8</v>
      </c>
      <c r="N94" s="13" t="str">
        <f t="shared" si="5"/>
        <v>sc9</v>
      </c>
      <c r="O94" s="13" t="str">
        <f t="shared" si="5"/>
        <v>sc10</v>
      </c>
      <c r="P94" s="13" t="str">
        <f t="shared" si="5"/>
        <v>sc11</v>
      </c>
      <c r="Q94" s="13" t="str">
        <f t="shared" si="5"/>
        <v>sc12</v>
      </c>
      <c r="R94" s="13" t="str">
        <f t="shared" si="5"/>
        <v>sc13</v>
      </c>
      <c r="S94" s="13" t="str">
        <f t="shared" si="5"/>
        <v>sc14</v>
      </c>
      <c r="T94" s="13" t="str">
        <f t="shared" si="5"/>
        <v>sc15</v>
      </c>
      <c r="U94" s="13" t="str">
        <f t="shared" si="5"/>
        <v>sc16</v>
      </c>
      <c r="V94" s="13" t="str">
        <f t="shared" si="5"/>
        <v>sc17</v>
      </c>
      <c r="W94" s="13" t="str">
        <f t="shared" si="5"/>
        <v>sc18</v>
      </c>
      <c r="X94" s="13" t="str">
        <f t="shared" si="5"/>
        <v>sc19</v>
      </c>
      <c r="Y94" s="13" t="str">
        <f t="shared" si="5"/>
        <v>sc20</v>
      </c>
    </row>
    <row r="95" spans="1:25" x14ac:dyDescent="0.25">
      <c r="C95" s="12" t="str">
        <f>'Model-1'!N49</f>
        <v>Indtægter total</v>
      </c>
      <c r="D95" s="12" t="str">
        <f>_xlfn.LET(_xlpm.label,'Model-1'!O49,IF(ISBLANK(_xlpm.label),"",_xlpm.label))</f>
        <v>tkr</v>
      </c>
      <c r="E95" s="16">
        <v>15652263.443326186</v>
      </c>
      <c r="F95" s="16">
        <v>16181783.291652784</v>
      </c>
      <c r="G95" s="16">
        <v>16136225.467580173</v>
      </c>
      <c r="H95" s="16">
        <v>16091597.39501925</v>
      </c>
      <c r="I95" s="16">
        <v>16047870.899681777</v>
      </c>
      <c r="J95" s="16">
        <v>16005018.934251055</v>
      </c>
      <c r="K95" s="16">
        <v>15963015.522591241</v>
      </c>
      <c r="L95" s="16">
        <v>15921835.707238479</v>
      </c>
      <c r="M95" s="16">
        <v>16082049.301761795</v>
      </c>
      <c r="N95" s="16">
        <v>16042445.636921976</v>
      </c>
      <c r="O95" s="16">
        <v>16003596.327602914</v>
      </c>
      <c r="P95" s="16">
        <v>15965480.024120061</v>
      </c>
      <c r="Q95" s="16">
        <v>15928076.174907915</v>
      </c>
      <c r="R95" s="16">
        <v>15891364.98957007</v>
      </c>
      <c r="S95" s="16">
        <v>15855327.403963193</v>
      </c>
      <c r="T95" s="16">
        <v>15819945.047185535</v>
      </c>
      <c r="U95" s="16">
        <v>15785200.210349813</v>
      </c>
      <c r="V95" s="16">
        <v>15751075.817029016</v>
      </c>
      <c r="W95" s="16">
        <v>15717555.39527142</v>
      </c>
      <c r="X95" s="16">
        <v>15684623.051088518</v>
      </c>
      <c r="Y95" s="16">
        <v>15652263.443326186</v>
      </c>
    </row>
    <row r="96" spans="1:25" x14ac:dyDescent="0.25">
      <c r="C96" s="12" t="str">
        <f>'Model-1'!N50</f>
        <v>Omkostninger total</v>
      </c>
      <c r="D96" s="12" t="str">
        <f>_xlfn.LET(_xlpm.label,'Model-1'!O50,IF(ISBLANK(_xlpm.label),"",_xlpm.label))</f>
        <v>tkr</v>
      </c>
      <c r="E96" s="16">
        <v>7571194.7616575705</v>
      </c>
      <c r="F96" s="16">
        <v>7852727.10090937</v>
      </c>
      <c r="G96" s="16">
        <v>7835081.9157811292</v>
      </c>
      <c r="H96" s="16">
        <v>7817805.4208600298</v>
      </c>
      <c r="I96" s="16">
        <v>7800886.4437155491</v>
      </c>
      <c r="J96" s="16">
        <v>7784314.2588143907</v>
      </c>
      <c r="K96" s="16">
        <v>7768078.5653968509</v>
      </c>
      <c r="L96" s="16">
        <v>7752169.4666545894</v>
      </c>
      <c r="M96" s="16">
        <v>7736577.4501213348</v>
      </c>
      <c r="N96" s="16">
        <v>7721293.3691949034</v>
      </c>
      <c r="O96" s="16">
        <v>7706308.4257151028</v>
      </c>
      <c r="P96" s="16">
        <v>7691614.1535277804</v>
      </c>
      <c r="Q96" s="16">
        <v>7677202.4029705329</v>
      </c>
      <c r="R96" s="16">
        <v>7663065.326220301</v>
      </c>
      <c r="S96" s="16">
        <v>7649195.3634475321</v>
      </c>
      <c r="T96" s="16">
        <v>7635585.2297255732</v>
      </c>
      <c r="U96" s="16">
        <v>7622227.9026476396</v>
      </c>
      <c r="V96" s="16">
        <v>7609116.6106071994</v>
      </c>
      <c r="W96" s="16">
        <v>7596244.8217006</v>
      </c>
      <c r="X96" s="16">
        <v>7583606.2332137935</v>
      </c>
      <c r="Y96" s="16">
        <v>7571194.7616575705</v>
      </c>
    </row>
    <row r="97" spans="3:26" x14ac:dyDescent="0.25">
      <c r="C97" s="12" t="str">
        <f>'Model-1'!N51</f>
        <v>Dækningsbidrag</v>
      </c>
      <c r="D97" s="12" t="str">
        <f>_xlfn.LET(_xlpm.label,'Model-1'!O51,IF(ISBLANK(_xlpm.label),"",_xlpm.label))</f>
        <v>tkr</v>
      </c>
      <c r="E97" s="16">
        <v>8081068.6816686159</v>
      </c>
      <c r="F97" s="16">
        <v>8329056.1907434138</v>
      </c>
      <c r="G97" s="16">
        <v>8301143.551799044</v>
      </c>
      <c r="H97" s="16">
        <v>8273791.9741592202</v>
      </c>
      <c r="I97" s="16">
        <v>8246984.4559662277</v>
      </c>
      <c r="J97" s="16">
        <v>8220704.6754366644</v>
      </c>
      <c r="K97" s="16">
        <v>8194936.9571943898</v>
      </c>
      <c r="L97" s="16">
        <v>8169666.2405838892</v>
      </c>
      <c r="M97" s="16">
        <v>8345471.8516404601</v>
      </c>
      <c r="N97" s="16">
        <v>8321152.2677270724</v>
      </c>
      <c r="O97" s="16">
        <v>8297287.9018878108</v>
      </c>
      <c r="P97" s="16">
        <v>8273865.8705922803</v>
      </c>
      <c r="Q97" s="16">
        <v>8250873.7719373824</v>
      </c>
      <c r="R97" s="16">
        <v>8228299.6633497691</v>
      </c>
      <c r="S97" s="16">
        <v>8206132.0405156612</v>
      </c>
      <c r="T97" s="16">
        <v>8184359.8174599614</v>
      </c>
      <c r="U97" s="16">
        <v>8162972.3077021735</v>
      </c>
      <c r="V97" s="16">
        <v>8141959.2064218167</v>
      </c>
      <c r="W97" s="16">
        <v>8121310.5735708205</v>
      </c>
      <c r="X97" s="16">
        <v>8101016.817874724</v>
      </c>
      <c r="Y97" s="16">
        <v>8081068.6816686159</v>
      </c>
    </row>
    <row r="98" spans="3:26" x14ac:dyDescent="0.25">
      <c r="C98" s="2"/>
      <c r="D98" s="12" t="str">
        <f>_xlfn.LET(_xlpm.label,'Model-1'!O52,IF(ISBLANK(_xlpm.label),"",_xlpm.label))</f>
        <v/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</row>
    <row r="99" spans="3:26" x14ac:dyDescent="0.25">
      <c r="C99" s="12" t="str">
        <f>'Model-1'!N53</f>
        <v>Varmesalg</v>
      </c>
      <c r="D99" s="12" t="str">
        <f>_xlfn.LET(_xlpm.label,'Model-1'!O53,IF(ISBLANK(_xlpm.label),"",_xlpm.label))</f>
        <v>tkr</v>
      </c>
      <c r="E99" s="15">
        <v>7464000</v>
      </c>
      <c r="F99" s="15">
        <v>7464000</v>
      </c>
      <c r="G99" s="15">
        <v>7464000</v>
      </c>
      <c r="H99" s="15">
        <v>7464000</v>
      </c>
      <c r="I99" s="15">
        <v>7464000</v>
      </c>
      <c r="J99" s="15">
        <v>7464000</v>
      </c>
      <c r="K99" s="15">
        <v>7464000</v>
      </c>
      <c r="L99" s="15">
        <v>7464000</v>
      </c>
      <c r="M99" s="15">
        <v>7464000</v>
      </c>
      <c r="N99" s="15">
        <v>7464000</v>
      </c>
      <c r="O99" s="15">
        <v>7464000</v>
      </c>
      <c r="P99" s="15">
        <v>7464000</v>
      </c>
      <c r="Q99" s="15">
        <v>7464000</v>
      </c>
      <c r="R99" s="15">
        <v>7464000</v>
      </c>
      <c r="S99" s="15">
        <v>7464000</v>
      </c>
      <c r="T99" s="15">
        <v>7464000</v>
      </c>
      <c r="U99" s="15">
        <v>7464000</v>
      </c>
      <c r="V99" s="15">
        <v>7464000</v>
      </c>
      <c r="W99" s="15">
        <v>7464000</v>
      </c>
      <c r="X99" s="15">
        <v>7464000</v>
      </c>
      <c r="Y99" s="15">
        <v>7464000</v>
      </c>
    </row>
    <row r="100" spans="3:26" x14ac:dyDescent="0.25">
      <c r="C100" s="12" t="str">
        <f>'Model-1'!N54</f>
        <v>Elsalg</v>
      </c>
      <c r="D100" s="12" t="str">
        <f>_xlfn.LET(_xlpm.label,'Model-1'!O54,IF(ISBLANK(_xlpm.label),"",_xlpm.label))</f>
        <v>tkr</v>
      </c>
      <c r="E100" s="15">
        <v>3947332.4512195126</v>
      </c>
      <c r="F100" s="15">
        <v>3947332.4512195117</v>
      </c>
      <c r="G100" s="15">
        <v>3947332.4512195126</v>
      </c>
      <c r="H100" s="15">
        <v>3947332.4512195117</v>
      </c>
      <c r="I100" s="15">
        <v>3947332.4512195126</v>
      </c>
      <c r="J100" s="15">
        <v>3947332.4512195126</v>
      </c>
      <c r="K100" s="15">
        <v>3947332.4512195126</v>
      </c>
      <c r="L100" s="15">
        <v>3947332.4512195126</v>
      </c>
      <c r="M100" s="15">
        <v>3947332.4512195126</v>
      </c>
      <c r="N100" s="15">
        <v>3947332.4512195126</v>
      </c>
      <c r="O100" s="15">
        <v>3947332.4512195126</v>
      </c>
      <c r="P100" s="15">
        <v>3947332.4512195117</v>
      </c>
      <c r="Q100" s="15">
        <v>3947332.4512195126</v>
      </c>
      <c r="R100" s="15">
        <v>3947332.4512195126</v>
      </c>
      <c r="S100" s="15">
        <v>3947332.4512195126</v>
      </c>
      <c r="T100" s="15">
        <v>3947332.4512195126</v>
      </c>
      <c r="U100" s="15">
        <v>3947332.4512195126</v>
      </c>
      <c r="V100" s="15">
        <v>3947332.4512195126</v>
      </c>
      <c r="W100" s="15">
        <v>3947332.4512195126</v>
      </c>
      <c r="X100" s="15">
        <v>3947332.4512195126</v>
      </c>
      <c r="Y100" s="15">
        <v>3947332.4512195126</v>
      </c>
    </row>
    <row r="101" spans="3:26" x14ac:dyDescent="0.25">
      <c r="C101" s="12" t="str">
        <f>'Model-1'!N55</f>
        <v>RGK-rabat</v>
      </c>
      <c r="D101" s="12" t="str">
        <f>_xlfn.LET(_xlpm.label,'Model-1'!O55,IF(ISBLANK(_xlpm.label),"",_xlpm.label))</f>
        <v>tkr</v>
      </c>
      <c r="E101" s="15">
        <v>200593.80181097562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200593.80181097562</v>
      </c>
      <c r="N101" s="15">
        <v>200593.80181097562</v>
      </c>
      <c r="O101" s="15">
        <v>200593.80181097562</v>
      </c>
      <c r="P101" s="15">
        <v>200593.80181097562</v>
      </c>
      <c r="Q101" s="15">
        <v>200593.80181097562</v>
      </c>
      <c r="R101" s="15">
        <v>200593.80181097562</v>
      </c>
      <c r="S101" s="15">
        <v>200593.80181097562</v>
      </c>
      <c r="T101" s="15">
        <v>200593.80181097562</v>
      </c>
      <c r="U101" s="15">
        <v>200593.80181097562</v>
      </c>
      <c r="V101" s="15">
        <v>200593.80181097562</v>
      </c>
      <c r="W101" s="15">
        <v>200593.80181097562</v>
      </c>
      <c r="X101" s="15">
        <v>200593.80181097562</v>
      </c>
      <c r="Y101" s="15">
        <v>200593.80181097562</v>
      </c>
    </row>
    <row r="102" spans="3:26" x14ac:dyDescent="0.25">
      <c r="C102" s="12" t="str">
        <f>'Model-1'!N56</f>
        <v>Modtagebetaling affald</v>
      </c>
      <c r="D102" s="12" t="str">
        <f>_xlfn.LET(_xlpm.label,'Model-1'!O56,IF(ISBLANK(_xlpm.label),"",_xlpm.label))</f>
        <v>tkr</v>
      </c>
      <c r="E102" s="15">
        <v>4040337.1902956986</v>
      </c>
      <c r="F102" s="15">
        <v>4770450.8404332725</v>
      </c>
      <c r="G102" s="15">
        <v>4724893.0163606619</v>
      </c>
      <c r="H102" s="15">
        <v>4680264.9437997378</v>
      </c>
      <c r="I102" s="15">
        <v>4636538.4484622655</v>
      </c>
      <c r="J102" s="15">
        <v>4593686.4830315439</v>
      </c>
      <c r="K102" s="15">
        <v>4551683.0713717276</v>
      </c>
      <c r="L102" s="15">
        <v>4510503.2560189664</v>
      </c>
      <c r="M102" s="15">
        <v>4470123.0487313075</v>
      </c>
      <c r="N102" s="15">
        <v>4430519.3838914875</v>
      </c>
      <c r="O102" s="15">
        <v>4391670.0745724253</v>
      </c>
      <c r="P102" s="15">
        <v>4353553.7710895725</v>
      </c>
      <c r="Q102" s="15">
        <v>4316149.921877428</v>
      </c>
      <c r="R102" s="15">
        <v>4279438.7365395827</v>
      </c>
      <c r="S102" s="15">
        <v>4243401.150932706</v>
      </c>
      <c r="T102" s="15">
        <v>4208018.7941550463</v>
      </c>
      <c r="U102" s="15">
        <v>4173273.9573193248</v>
      </c>
      <c r="V102" s="15">
        <v>4139149.5639985283</v>
      </c>
      <c r="W102" s="15">
        <v>4105629.1422409313</v>
      </c>
      <c r="X102" s="15">
        <v>4072696.7980580288</v>
      </c>
      <c r="Y102" s="15">
        <v>4040337.1902956986</v>
      </c>
    </row>
    <row r="103" spans="3:26" x14ac:dyDescent="0.25">
      <c r="C103" s="12"/>
      <c r="D103" s="12" t="str">
        <f>_xlfn.LET(_xlpm.label,'Model-1'!O57,IF(ISBLANK(_xlpm.label),"",_xlpm.label))</f>
        <v/>
      </c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3:26" x14ac:dyDescent="0.25">
      <c r="C104" s="12" t="str">
        <f>'Model-1'!N58</f>
        <v>Betaling bioaffald</v>
      </c>
      <c r="D104" s="12" t="str">
        <f>_xlfn.LET(_xlpm.label,'Model-1'!O58,IF(ISBLANK(_xlpm.label),"",_xlpm.label))</f>
        <v>tkr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</row>
    <row r="105" spans="3:26" x14ac:dyDescent="0.25">
      <c r="C105" s="12" t="str">
        <f>'Model-1'!N59</f>
        <v>DV-omkostninger</v>
      </c>
      <c r="D105" s="12" t="str">
        <f>_xlfn.LET(_xlpm.label,'Model-1'!O59,IF(ISBLANK(_xlpm.label),"",_xlpm.label))</f>
        <v>tkr</v>
      </c>
      <c r="E105" s="15">
        <v>1099354.221690486</v>
      </c>
      <c r="F105" s="15">
        <v>1051970.3615553097</v>
      </c>
      <c r="G105" s="15">
        <v>1054848.9761717804</v>
      </c>
      <c r="H105" s="15">
        <v>1057677.4279393763</v>
      </c>
      <c r="I105" s="15">
        <v>1060457.236944427</v>
      </c>
      <c r="J105" s="15">
        <v>1063189.8624698089</v>
      </c>
      <c r="K105" s="15">
        <v>1065876.7060050168</v>
      </c>
      <c r="L105" s="15">
        <v>1068519.1140791739</v>
      </c>
      <c r="M105" s="15">
        <v>1071118.3809290098</v>
      </c>
      <c r="N105" s="15">
        <v>1073675.7510129178</v>
      </c>
      <c r="O105" s="15">
        <v>1076192.4213813539</v>
      </c>
      <c r="P105" s="15">
        <v>1078669.5439130571</v>
      </c>
      <c r="Q105" s="15">
        <v>1081108.22742588</v>
      </c>
      <c r="R105" s="15">
        <v>1083509.5396703472</v>
      </c>
      <c r="S105" s="15">
        <v>1085874.5092134776</v>
      </c>
      <c r="T105" s="15">
        <v>1088204.127219853</v>
      </c>
      <c r="U105" s="15">
        <v>1090499.3491364126</v>
      </c>
      <c r="V105" s="15">
        <v>1092761.0962869911</v>
      </c>
      <c r="W105" s="15">
        <v>1094990.2573821894</v>
      </c>
      <c r="X105" s="15">
        <v>1097187.6899497809</v>
      </c>
      <c r="Y105" s="15">
        <v>1099354.221690486</v>
      </c>
    </row>
    <row r="106" spans="3:26" x14ac:dyDescent="0.25">
      <c r="C106" s="12" t="str">
        <f>'Model-1'!N60</f>
        <v>Affaldvarme-afgift</v>
      </c>
      <c r="D106" s="12" t="str">
        <f>_xlfn.LET(_xlpm.label,'Model-1'!O60,IF(ISBLANK(_xlpm.label),"",_xlpm.label))</f>
        <v>tkr</v>
      </c>
      <c r="E106" s="15">
        <v>2229120</v>
      </c>
      <c r="F106" s="15">
        <v>2229120</v>
      </c>
      <c r="G106" s="15">
        <v>2229120</v>
      </c>
      <c r="H106" s="15">
        <v>2229120</v>
      </c>
      <c r="I106" s="15">
        <v>2229120</v>
      </c>
      <c r="J106" s="15">
        <v>2229120</v>
      </c>
      <c r="K106" s="15">
        <v>2229120</v>
      </c>
      <c r="L106" s="15">
        <v>2229120</v>
      </c>
      <c r="M106" s="15">
        <v>2229120</v>
      </c>
      <c r="N106" s="15">
        <v>2229120</v>
      </c>
      <c r="O106" s="15">
        <v>2229120</v>
      </c>
      <c r="P106" s="15">
        <v>2229120</v>
      </c>
      <c r="Q106" s="15">
        <v>2229120</v>
      </c>
      <c r="R106" s="15">
        <v>2229120</v>
      </c>
      <c r="S106" s="15">
        <v>2229120</v>
      </c>
      <c r="T106" s="15">
        <v>2229120</v>
      </c>
      <c r="U106" s="15">
        <v>2229120</v>
      </c>
      <c r="V106" s="15">
        <v>2229120</v>
      </c>
      <c r="W106" s="15">
        <v>2229120</v>
      </c>
      <c r="X106" s="15">
        <v>2229120</v>
      </c>
      <c r="Y106" s="15">
        <v>2229120</v>
      </c>
    </row>
    <row r="107" spans="3:26" x14ac:dyDescent="0.25">
      <c r="C107" s="12" t="str">
        <f>'Model-1'!N61</f>
        <v>Tillægsafgift</v>
      </c>
      <c r="D107" s="12" t="str">
        <f>_xlfn.LET(_xlpm.label,'Model-1'!O61,IF(ISBLANK(_xlpm.label),"",_xlpm.label))</f>
        <v>tkr</v>
      </c>
      <c r="E107" s="16">
        <v>2005938.0181097561</v>
      </c>
      <c r="F107" s="16">
        <v>2005938.0181097561</v>
      </c>
      <c r="G107" s="16">
        <v>2005938.0181097561</v>
      </c>
      <c r="H107" s="16">
        <v>2005938.0181097561</v>
      </c>
      <c r="I107" s="16">
        <v>2005938.0181097561</v>
      </c>
      <c r="J107" s="16">
        <v>2005938.0181097561</v>
      </c>
      <c r="K107" s="16">
        <v>2005938.0181097561</v>
      </c>
      <c r="L107" s="16">
        <v>2005938.0181097561</v>
      </c>
      <c r="M107" s="16">
        <v>2005938.0181097561</v>
      </c>
      <c r="N107" s="16">
        <v>2005938.0181097561</v>
      </c>
      <c r="O107" s="16">
        <v>2005938.0181097561</v>
      </c>
      <c r="P107" s="16">
        <v>2005938.0181097561</v>
      </c>
      <c r="Q107" s="16">
        <v>2005938.0181097561</v>
      </c>
      <c r="R107" s="16">
        <v>2005938.0181097561</v>
      </c>
      <c r="S107" s="16">
        <v>2005938.0181097561</v>
      </c>
      <c r="T107" s="16">
        <v>2005938.0181097561</v>
      </c>
      <c r="U107" s="16">
        <v>2005938.0181097561</v>
      </c>
      <c r="V107" s="16">
        <v>2005938.0181097561</v>
      </c>
      <c r="W107" s="16">
        <v>2005938.0181097561</v>
      </c>
      <c r="X107" s="16">
        <v>2005938.0181097561</v>
      </c>
      <c r="Y107" s="16">
        <v>2005938.0181097561</v>
      </c>
    </row>
    <row r="108" spans="3:26" x14ac:dyDescent="0.25">
      <c r="C108" s="12" t="str">
        <f>'Model-1'!N62</f>
        <v>CO2-afgift</v>
      </c>
      <c r="D108" s="12" t="str">
        <f>_xlfn.LET(_xlpm.label,'Model-1'!O62,IF(ISBLANK(_xlpm.label),"",_xlpm.label))</f>
        <v>tkr</v>
      </c>
      <c r="E108" s="16">
        <v>416610.61762911582</v>
      </c>
      <c r="F108" s="16">
        <v>416610.61762911582</v>
      </c>
      <c r="G108" s="16">
        <v>416610.61762911582</v>
      </c>
      <c r="H108" s="16">
        <v>416610.61762911582</v>
      </c>
      <c r="I108" s="16">
        <v>416610.61762911582</v>
      </c>
      <c r="J108" s="16">
        <v>416610.61762911582</v>
      </c>
      <c r="K108" s="16">
        <v>416610.61762911582</v>
      </c>
      <c r="L108" s="16">
        <v>416610.61762911582</v>
      </c>
      <c r="M108" s="16">
        <v>416610.61762911582</v>
      </c>
      <c r="N108" s="16">
        <v>416610.61762911582</v>
      </c>
      <c r="O108" s="16">
        <v>416610.61762911582</v>
      </c>
      <c r="P108" s="16">
        <v>416610.61762911582</v>
      </c>
      <c r="Q108" s="16">
        <v>416610.61762911582</v>
      </c>
      <c r="R108" s="16">
        <v>416610.61762911582</v>
      </c>
      <c r="S108" s="16">
        <v>416610.61762911582</v>
      </c>
      <c r="T108" s="16">
        <v>416610.61762911582</v>
      </c>
      <c r="U108" s="16">
        <v>416610.61762911582</v>
      </c>
      <c r="V108" s="16">
        <v>416610.61762911582</v>
      </c>
      <c r="W108" s="16">
        <v>416610.61762911582</v>
      </c>
      <c r="X108" s="16">
        <v>416610.61762911582</v>
      </c>
      <c r="Y108" s="16">
        <v>416610.61762911582</v>
      </c>
    </row>
    <row r="109" spans="3:26" x14ac:dyDescent="0.25">
      <c r="C109" s="12" t="str">
        <f>'Model-1'!N63</f>
        <v>Kvote-omkostning</v>
      </c>
      <c r="D109" s="12" t="str">
        <f>_xlfn.LET(_xlpm.label,'Model-1'!O63,IF(ISBLANK(_xlpm.label),"",_xlpm.label))</f>
        <v>tkr</v>
      </c>
      <c r="E109" s="16">
        <v>1820171.9042282121</v>
      </c>
      <c r="F109" s="16">
        <v>2149088.103615189</v>
      </c>
      <c r="G109" s="16">
        <v>2128564.3038704782</v>
      </c>
      <c r="H109" s="16">
        <v>2108459.3571817814</v>
      </c>
      <c r="I109" s="16">
        <v>2088760.5710322505</v>
      </c>
      <c r="J109" s="16">
        <v>2069455.7606057106</v>
      </c>
      <c r="K109" s="16">
        <v>2050533.2236529631</v>
      </c>
      <c r="L109" s="16">
        <v>2031981.7168365442</v>
      </c>
      <c r="M109" s="16">
        <v>2013790.4334534537</v>
      </c>
      <c r="N109" s="16">
        <v>1995948.9824431147</v>
      </c>
      <c r="O109" s="16">
        <v>1978447.3685948777</v>
      </c>
      <c r="P109" s="16">
        <v>1961275.9738758523</v>
      </c>
      <c r="Q109" s="16">
        <v>1944425.5398057813</v>
      </c>
      <c r="R109" s="16">
        <v>1927887.150811082</v>
      </c>
      <c r="S109" s="16">
        <v>1911652.2184951839</v>
      </c>
      <c r="T109" s="16">
        <v>1895712.466766848</v>
      </c>
      <c r="U109" s="16">
        <v>1880059.9177723557</v>
      </c>
      <c r="V109" s="16">
        <v>1864686.8785813369</v>
      </c>
      <c r="W109" s="16">
        <v>1849585.9285795393</v>
      </c>
      <c r="X109" s="16">
        <v>1834749.907525142</v>
      </c>
      <c r="Y109" s="16">
        <v>1820171.9042282121</v>
      </c>
    </row>
    <row r="110" spans="3:26" x14ac:dyDescent="0.25">
      <c r="C110" s="12"/>
      <c r="D110" s="12" t="str">
        <f>_xlfn.LET(_xlpm.label,'Model-1'!O64,IF(ISBLANK(_xlpm.label),"",_xlpm.label))</f>
        <v/>
      </c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</row>
    <row r="111" spans="3:26" x14ac:dyDescent="0.25">
      <c r="C111" s="6" t="str">
        <f>'Model-1'!N65</f>
        <v>Varmemængder:</v>
      </c>
      <c r="D111" s="12" t="str">
        <f>_xlfn.LET(_xlpm.label,'Model-1'!O65,IF(ISBLANK(_xlpm.label),"",_xlpm.label))</f>
        <v/>
      </c>
      <c r="E111" s="91" t="s">
        <v>237</v>
      </c>
      <c r="F111" s="91" t="s">
        <v>238</v>
      </c>
      <c r="G111" s="91" t="s">
        <v>239</v>
      </c>
      <c r="H111" s="91" t="s">
        <v>240</v>
      </c>
      <c r="I111" s="91" t="s">
        <v>241</v>
      </c>
      <c r="J111" s="91" t="s">
        <v>242</v>
      </c>
      <c r="K111" s="91" t="s">
        <v>243</v>
      </c>
      <c r="L111" s="91" t="s">
        <v>244</v>
      </c>
      <c r="M111" s="91" t="s">
        <v>245</v>
      </c>
      <c r="N111" s="91" t="s">
        <v>246</v>
      </c>
      <c r="O111" s="91" t="s">
        <v>247</v>
      </c>
      <c r="P111" s="91" t="s">
        <v>248</v>
      </c>
      <c r="Q111" s="91" t="s">
        <v>249</v>
      </c>
      <c r="R111" s="91" t="s">
        <v>250</v>
      </c>
      <c r="S111" s="91" t="s">
        <v>251</v>
      </c>
      <c r="T111" s="91" t="s">
        <v>252</v>
      </c>
      <c r="U111" s="91" t="s">
        <v>253</v>
      </c>
      <c r="V111" s="91" t="s">
        <v>254</v>
      </c>
      <c r="W111" s="91" t="s">
        <v>255</v>
      </c>
      <c r="X111" s="91" t="s">
        <v>256</v>
      </c>
      <c r="Y111" s="91" t="s">
        <v>237</v>
      </c>
    </row>
    <row r="112" spans="3:26" x14ac:dyDescent="0.25">
      <c r="C112" s="4" t="str">
        <f>'Model-1'!N66</f>
        <v>Varmeproduktion Ovn2</v>
      </c>
      <c r="D112" s="12" t="str">
        <f>_xlfn.LET(_xlpm.label,'Model-1'!O66,IF(ISBLANK(_xlpm.label),"",_xlpm.label))</f>
        <v>MWhq</v>
      </c>
      <c r="E112" s="11">
        <v>3168</v>
      </c>
      <c r="F112" s="11">
        <v>7055.4000000000015</v>
      </c>
      <c r="G112" s="11">
        <v>6850.7999999999993</v>
      </c>
      <c r="H112" s="11">
        <v>6646.2000000000007</v>
      </c>
      <c r="I112" s="11">
        <v>6441.5999999999985</v>
      </c>
      <c r="J112" s="11">
        <v>6237</v>
      </c>
      <c r="K112" s="11">
        <v>6032.4000000000015</v>
      </c>
      <c r="L112" s="11">
        <v>5827.7999999999993</v>
      </c>
      <c r="M112" s="11">
        <v>5623.2000000000007</v>
      </c>
      <c r="N112" s="11">
        <v>5418.5999999999985</v>
      </c>
      <c r="O112" s="11">
        <v>5214</v>
      </c>
      <c r="P112" s="11">
        <v>5009.4000000000015</v>
      </c>
      <c r="Q112" s="11">
        <v>4804.7999999999993</v>
      </c>
      <c r="R112" s="11">
        <v>4600.2000000000007</v>
      </c>
      <c r="S112" s="11">
        <v>4395.5999999999985</v>
      </c>
      <c r="T112" s="11">
        <v>4191</v>
      </c>
      <c r="U112" s="11">
        <v>3986.4000000000015</v>
      </c>
      <c r="V112" s="11">
        <v>3781.7999999999993</v>
      </c>
      <c r="W112" s="11">
        <v>3577.2000000000007</v>
      </c>
      <c r="X112" s="11">
        <v>3372.5999999999985</v>
      </c>
      <c r="Y112" s="11">
        <v>3168</v>
      </c>
      <c r="Z112" s="16"/>
    </row>
    <row r="113" spans="3:26" x14ac:dyDescent="0.25">
      <c r="C113" s="4" t="str">
        <f>'Model-1'!N67</f>
        <v>Varmeproduktion Ovn3</v>
      </c>
      <c r="D113" s="12" t="str">
        <f>_xlfn.LET(_xlpm.label,'Model-1'!O67,IF(ISBLANK(_xlpm.label),"",_xlpm.label))</f>
        <v>MWhq</v>
      </c>
      <c r="E113" s="11">
        <v>20832</v>
      </c>
      <c r="F113" s="11">
        <v>16944.599999999999</v>
      </c>
      <c r="G113" s="11">
        <v>17149.2</v>
      </c>
      <c r="H113" s="11">
        <v>17353.8</v>
      </c>
      <c r="I113" s="11">
        <v>17558.400000000001</v>
      </c>
      <c r="J113" s="11">
        <v>17763</v>
      </c>
      <c r="K113" s="11">
        <v>17967.599999999999</v>
      </c>
      <c r="L113" s="11">
        <v>18172.2</v>
      </c>
      <c r="M113" s="11">
        <v>18376.8</v>
      </c>
      <c r="N113" s="11">
        <v>18581.400000000001</v>
      </c>
      <c r="O113" s="11">
        <v>18786</v>
      </c>
      <c r="P113" s="11">
        <v>18990.599999999999</v>
      </c>
      <c r="Q113" s="11">
        <v>19195.2</v>
      </c>
      <c r="R113" s="11">
        <v>19399.8</v>
      </c>
      <c r="S113" s="11">
        <v>19604.400000000001</v>
      </c>
      <c r="T113" s="11">
        <v>19809</v>
      </c>
      <c r="U113" s="11">
        <v>20013.599999999999</v>
      </c>
      <c r="V113" s="11">
        <v>20218.2</v>
      </c>
      <c r="W113" s="11">
        <v>20422.8</v>
      </c>
      <c r="X113" s="11">
        <v>20627.400000000001</v>
      </c>
      <c r="Y113" s="11">
        <v>20832</v>
      </c>
      <c r="Z113" s="16"/>
    </row>
    <row r="114" spans="3:26" x14ac:dyDescent="0.25">
      <c r="C114" s="4" t="str">
        <f>'Model-1'!N68</f>
        <v>Heraf RGK-varme</v>
      </c>
      <c r="D114" s="12" t="str">
        <f>_xlfn.LET(_xlpm.label,'Model-1'!O68,IF(ISBLANK(_xlpm.label),"",_xlpm.label))</f>
        <v>MWhq</v>
      </c>
      <c r="E114" s="11">
        <v>5031.4221690485911</v>
      </c>
      <c r="F114" s="11">
        <v>293.03615553098348</v>
      </c>
      <c r="G114" s="11">
        <v>580.89761717804538</v>
      </c>
      <c r="H114" s="11">
        <v>863.74279393763243</v>
      </c>
      <c r="I114" s="11">
        <v>1141.7236944426982</v>
      </c>
      <c r="J114" s="11">
        <v>1414.9862469808784</v>
      </c>
      <c r="K114" s="11">
        <v>1683.6706005016847</v>
      </c>
      <c r="L114" s="11">
        <v>1947.9114079173924</v>
      </c>
      <c r="M114" s="11">
        <v>2207.8380929009663</v>
      </c>
      <c r="N114" s="11">
        <v>2463.5751012917935</v>
      </c>
      <c r="O114" s="11">
        <v>2715.242138135382</v>
      </c>
      <c r="P114" s="11">
        <v>2962.95439130571</v>
      </c>
      <c r="Q114" s="11">
        <v>3206.8227425880104</v>
      </c>
      <c r="R114" s="11">
        <v>3446.9539670347258</v>
      </c>
      <c r="S114" s="11">
        <v>3683.4509213477545</v>
      </c>
      <c r="T114" s="11">
        <v>3916.4127219852894</v>
      </c>
      <c r="U114" s="11">
        <v>4145.9349136412611</v>
      </c>
      <c r="V114" s="11">
        <v>4372.1096286991033</v>
      </c>
      <c r="W114" s="11">
        <v>4595.0257382189448</v>
      </c>
      <c r="X114" s="11">
        <v>4814.7689949781015</v>
      </c>
      <c r="Y114" s="11">
        <v>5031.4221690485911</v>
      </c>
      <c r="Z114" s="16"/>
    </row>
    <row r="115" spans="3:26" x14ac:dyDescent="0.25">
      <c r="C115" s="4" t="str">
        <f>'Model-1'!N69</f>
        <v>Bortkølet varme</v>
      </c>
      <c r="D115" s="12" t="str">
        <f>_xlfn.LET(_xlpm.label,'Model-1'!O69,IF(ISBLANK(_xlpm.label),"",_xlpm.label))</f>
        <v>MWhq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3"/>
    </row>
    <row r="116" spans="3:26" x14ac:dyDescent="0.25">
      <c r="C116" s="4" t="str">
        <f>'Model-1'!N70</f>
        <v>Leveret affaldsvarme</v>
      </c>
      <c r="D116" s="12" t="str">
        <f>_xlfn.LET(_xlpm.label,'Model-1'!O70,IF(ISBLANK(_xlpm.label),"",_xlpm.label))</f>
        <v>MWhq</v>
      </c>
      <c r="E116" s="11">
        <v>24000</v>
      </c>
      <c r="F116" s="11">
        <v>24000</v>
      </c>
      <c r="G116" s="11">
        <v>24000</v>
      </c>
      <c r="H116" s="11">
        <v>24000</v>
      </c>
      <c r="I116" s="11">
        <v>24000</v>
      </c>
      <c r="J116" s="11">
        <v>24000</v>
      </c>
      <c r="K116" s="11">
        <v>24000</v>
      </c>
      <c r="L116" s="11">
        <v>24000</v>
      </c>
      <c r="M116" s="11">
        <v>24000</v>
      </c>
      <c r="N116" s="11">
        <v>24000</v>
      </c>
      <c r="O116" s="11">
        <v>24000</v>
      </c>
      <c r="P116" s="11">
        <v>24000</v>
      </c>
      <c r="Q116" s="11">
        <v>24000</v>
      </c>
      <c r="R116" s="11">
        <v>24000</v>
      </c>
      <c r="S116" s="11">
        <v>24000</v>
      </c>
      <c r="T116" s="11">
        <v>24000</v>
      </c>
      <c r="U116" s="11">
        <v>24000</v>
      </c>
      <c r="V116" s="11">
        <v>24000</v>
      </c>
      <c r="W116" s="11">
        <v>24000</v>
      </c>
      <c r="X116" s="11">
        <v>24000</v>
      </c>
      <c r="Y116" s="11">
        <v>24000</v>
      </c>
      <c r="Z116" s="15"/>
    </row>
    <row r="117" spans="3:26" x14ac:dyDescent="0.25">
      <c r="C117" s="4" t="str">
        <f>'Model-1'!N71</f>
        <v>Spidslastvarme</v>
      </c>
      <c r="D117" s="12" t="str">
        <f>_xlfn.LET(_xlpm.label,'Model-1'!O71,IF(ISBLANK(_xlpm.label),"",_xlpm.label))</f>
        <v>MWhq</v>
      </c>
      <c r="E117" s="11">
        <v>4000</v>
      </c>
      <c r="F117" s="11">
        <v>4000</v>
      </c>
      <c r="G117" s="11">
        <v>4000</v>
      </c>
      <c r="H117" s="11">
        <v>4000</v>
      </c>
      <c r="I117" s="11">
        <v>4000</v>
      </c>
      <c r="J117" s="11">
        <v>4000</v>
      </c>
      <c r="K117" s="11">
        <v>4000</v>
      </c>
      <c r="L117" s="11">
        <v>4000</v>
      </c>
      <c r="M117" s="11">
        <v>4000</v>
      </c>
      <c r="N117" s="11">
        <v>4000</v>
      </c>
      <c r="O117" s="11">
        <v>4000</v>
      </c>
      <c r="P117" s="11">
        <v>4000</v>
      </c>
      <c r="Q117" s="11">
        <v>4000</v>
      </c>
      <c r="R117" s="11">
        <v>4000</v>
      </c>
      <c r="S117" s="11">
        <v>4000</v>
      </c>
      <c r="T117" s="11">
        <v>4000</v>
      </c>
      <c r="U117" s="11">
        <v>4000</v>
      </c>
      <c r="V117" s="11">
        <v>4000</v>
      </c>
      <c r="W117" s="11">
        <v>4000</v>
      </c>
      <c r="X117" s="11">
        <v>4000</v>
      </c>
      <c r="Y117" s="11">
        <v>4000</v>
      </c>
      <c r="Z117" s="15"/>
    </row>
    <row r="118" spans="3:26" x14ac:dyDescent="0.25">
      <c r="C118" s="4"/>
      <c r="D118" s="12" t="str">
        <f>_xlfn.LET(_xlpm.label,'Model-1'!O72,IF(ISBLANK(_xlpm.label),"",_xlpm.label))</f>
        <v/>
      </c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5"/>
    </row>
    <row r="119" spans="3:26" x14ac:dyDescent="0.25">
      <c r="C119" s="6" t="str">
        <f>'Model-1'!N73</f>
        <v>Brændselsmængder:</v>
      </c>
      <c r="D119" s="12" t="str">
        <f>_xlfn.LET(_xlpm.label,'Model-1'!O73,IF(ISBLANK(_xlpm.label),"",_xlpm.label))</f>
        <v/>
      </c>
      <c r="E119" s="11" t="s">
        <v>237</v>
      </c>
      <c r="F119" s="11" t="s">
        <v>238</v>
      </c>
      <c r="G119" s="11" t="s">
        <v>239</v>
      </c>
      <c r="H119" s="11" t="s">
        <v>240</v>
      </c>
      <c r="I119" s="11" t="s">
        <v>241</v>
      </c>
      <c r="J119" s="11" t="s">
        <v>242</v>
      </c>
      <c r="K119" s="11" t="s">
        <v>243</v>
      </c>
      <c r="L119" s="11" t="s">
        <v>244</v>
      </c>
      <c r="M119" s="11" t="s">
        <v>245</v>
      </c>
      <c r="N119" s="11" t="s">
        <v>246</v>
      </c>
      <c r="O119" s="11" t="s">
        <v>247</v>
      </c>
      <c r="P119" s="11" t="s">
        <v>248</v>
      </c>
      <c r="Q119" s="11" t="s">
        <v>249</v>
      </c>
      <c r="R119" s="11" t="s">
        <v>250</v>
      </c>
      <c r="S119" s="11" t="s">
        <v>251</v>
      </c>
      <c r="T119" s="11" t="s">
        <v>252</v>
      </c>
      <c r="U119" s="11" t="s">
        <v>253</v>
      </c>
      <c r="V119" s="11" t="s">
        <v>254</v>
      </c>
      <c r="W119" s="11" t="s">
        <v>255</v>
      </c>
      <c r="X119" s="11" t="s">
        <v>256</v>
      </c>
      <c r="Y119" s="11" t="s">
        <v>237</v>
      </c>
      <c r="Z119" s="15"/>
    </row>
    <row r="120" spans="3:26" x14ac:dyDescent="0.25">
      <c r="C120" s="4" t="str">
        <f>'Model-1'!N74</f>
        <v>Affaldsforbrug Ovn3</v>
      </c>
      <c r="D120" s="12" t="str">
        <f>_xlfn.LET(_xlpm.label,'Model-1'!O74,IF(ISBLANK(_xlpm.label),"",_xlpm.label))</f>
        <v>ton</v>
      </c>
      <c r="E120" s="11">
        <v>9006.456241033</v>
      </c>
      <c r="F120" s="11">
        <v>9006.4562410329982</v>
      </c>
      <c r="G120" s="11">
        <v>9006.456241033</v>
      </c>
      <c r="H120" s="11">
        <v>9006.4562410329982</v>
      </c>
      <c r="I120" s="11">
        <v>9006.456241033</v>
      </c>
      <c r="J120" s="11">
        <v>9006.456241033</v>
      </c>
      <c r="K120" s="11">
        <v>9006.456241033</v>
      </c>
      <c r="L120" s="11">
        <v>9006.456241033</v>
      </c>
      <c r="M120" s="11">
        <v>9006.456241033</v>
      </c>
      <c r="N120" s="11">
        <v>9006.456241033</v>
      </c>
      <c r="O120" s="11">
        <v>9006.456241033</v>
      </c>
      <c r="P120" s="11">
        <v>9006.4562410329982</v>
      </c>
      <c r="Q120" s="11">
        <v>9006.456241033</v>
      </c>
      <c r="R120" s="11">
        <v>9006.456241033</v>
      </c>
      <c r="S120" s="11">
        <v>9006.456241033</v>
      </c>
      <c r="T120" s="11">
        <v>9006.456241033</v>
      </c>
      <c r="U120" s="11">
        <v>9006.456241033</v>
      </c>
      <c r="V120" s="11">
        <v>9006.456241033</v>
      </c>
      <c r="W120" s="11">
        <v>9006.456241033</v>
      </c>
      <c r="X120" s="11">
        <v>9006.456241033</v>
      </c>
      <c r="Y120" s="11">
        <v>9006.456241033</v>
      </c>
      <c r="Z120" s="16"/>
    </row>
    <row r="121" spans="3:26" x14ac:dyDescent="0.25">
      <c r="C121" s="4" t="str">
        <f>'Model-1'!N75</f>
        <v>Nordic Sugar varme</v>
      </c>
      <c r="D121" s="12" t="str">
        <f>_xlfn.LET(_xlpm.label,'Model-1'!O75,IF(ISBLANK(_xlpm.label),"",_xlpm.label))</f>
        <v>MWhq</v>
      </c>
      <c r="E121" s="11">
        <v>4000</v>
      </c>
      <c r="F121" s="11">
        <v>4000</v>
      </c>
      <c r="G121" s="11">
        <v>4000</v>
      </c>
      <c r="H121" s="11">
        <v>4000</v>
      </c>
      <c r="I121" s="11">
        <v>4000</v>
      </c>
      <c r="J121" s="11">
        <v>4000</v>
      </c>
      <c r="K121" s="11">
        <v>4000</v>
      </c>
      <c r="L121" s="11">
        <v>4000</v>
      </c>
      <c r="M121" s="11">
        <v>4000</v>
      </c>
      <c r="N121" s="11">
        <v>4000</v>
      </c>
      <c r="O121" s="11">
        <v>4000</v>
      </c>
      <c r="P121" s="11">
        <v>4000</v>
      </c>
      <c r="Q121" s="11">
        <v>4000</v>
      </c>
      <c r="R121" s="11">
        <v>4000</v>
      </c>
      <c r="S121" s="11">
        <v>4000</v>
      </c>
      <c r="T121" s="11">
        <v>4000</v>
      </c>
      <c r="U121" s="11">
        <v>4000</v>
      </c>
      <c r="V121" s="11">
        <v>4000</v>
      </c>
      <c r="W121" s="11">
        <v>4000</v>
      </c>
      <c r="X121" s="11">
        <v>4000</v>
      </c>
      <c r="Y121" s="11">
        <v>4000</v>
      </c>
      <c r="Z121" s="16"/>
    </row>
    <row r="122" spans="3:26" x14ac:dyDescent="0.25">
      <c r="C122" s="4" t="str">
        <f>'Model-1'!N76</f>
        <v>Affaldsforbrug Ovn2</v>
      </c>
      <c r="D122" s="12" t="str">
        <f>_xlfn.LET(_xlpm.label,'Model-1'!O76,IF(ISBLANK(_xlpm.label),"",_xlpm.label))</f>
        <v>ton</v>
      </c>
      <c r="E122" s="11">
        <v>1094.3867347062462</v>
      </c>
      <c r="F122" s="11">
        <v>2919.670860050182</v>
      </c>
      <c r="G122" s="11">
        <v>2805.7762998686553</v>
      </c>
      <c r="H122" s="11">
        <v>2694.2061184663444</v>
      </c>
      <c r="I122" s="11">
        <v>2584.8898801226651</v>
      </c>
      <c r="J122" s="11">
        <v>2477.7599665458606</v>
      </c>
      <c r="K122" s="11">
        <v>2372.751437396319</v>
      </c>
      <c r="L122" s="11">
        <v>2269.8018990144151</v>
      </c>
      <c r="M122" s="11">
        <v>2168.8513807952672</v>
      </c>
      <c r="N122" s="11">
        <v>2069.8422186957168</v>
      </c>
      <c r="O122" s="11">
        <v>1972.7189453980645</v>
      </c>
      <c r="P122" s="11">
        <v>1877.4281866909339</v>
      </c>
      <c r="Q122" s="11">
        <v>1783.9185636605707</v>
      </c>
      <c r="R122" s="11">
        <v>1692.1406003159564</v>
      </c>
      <c r="S122" s="11">
        <v>1602.0466362987647</v>
      </c>
      <c r="T122" s="11">
        <v>1513.5907443546141</v>
      </c>
      <c r="U122" s="11">
        <v>1426.728652265313</v>
      </c>
      <c r="V122" s="11">
        <v>1341.41766896332</v>
      </c>
      <c r="W122" s="11">
        <v>1257.6166145693278</v>
      </c>
      <c r="X122" s="11">
        <v>1175.2857541120711</v>
      </c>
      <c r="Y122" s="11">
        <v>1094.3867347062462</v>
      </c>
      <c r="Z122" s="15"/>
    </row>
    <row r="123" spans="3:26" x14ac:dyDescent="0.25">
      <c r="C123" s="4" t="str">
        <f>'Model-1'!N77</f>
        <v>Affaldsforbrug kølevarme Ovn3</v>
      </c>
      <c r="D123" s="12" t="str">
        <f>_xlfn.LET(_xlpm.label,'Model-1'!O77,IF(ISBLANK(_xlpm.label),"",_xlpm.label))</f>
        <v>ton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5"/>
    </row>
    <row r="124" spans="3:26" x14ac:dyDescent="0.25">
      <c r="C124" s="4" t="str">
        <f>'Model-1'!N78</f>
        <v>Affaldsforbrug kølevarme Ovn2</v>
      </c>
      <c r="D124" s="12" t="str">
        <f>_xlfn.LET(_xlpm.label,'Model-1'!O78,IF(ISBLANK(_xlpm.label),"",_xlpm.label))</f>
        <v>ton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6"/>
    </row>
    <row r="125" spans="3:26" x14ac:dyDescent="0.25">
      <c r="C125" s="4" t="str">
        <f>'Model-1'!N79</f>
        <v>Udnyttet affald</v>
      </c>
      <c r="D125" s="12" t="str">
        <f>_xlfn.LET(_xlpm.label,'Model-1'!O79,IF(ISBLANK(_xlpm.label),"",_xlpm.label))</f>
        <v>ton</v>
      </c>
      <c r="E125" s="11">
        <v>10100.842975739246</v>
      </c>
      <c r="F125" s="11">
        <v>11926.127101083181</v>
      </c>
      <c r="G125" s="11">
        <v>11812.232540901656</v>
      </c>
      <c r="H125" s="11">
        <v>11700.662359499343</v>
      </c>
      <c r="I125" s="11">
        <v>11591.346121155664</v>
      </c>
      <c r="J125" s="11">
        <v>11484.21620757886</v>
      </c>
      <c r="K125" s="11">
        <v>11379.207678429319</v>
      </c>
      <c r="L125" s="11">
        <v>11276.258140047416</v>
      </c>
      <c r="M125" s="11">
        <v>11175.307621828268</v>
      </c>
      <c r="N125" s="11">
        <v>11076.298459728718</v>
      </c>
      <c r="O125" s="11">
        <v>10979.175186431065</v>
      </c>
      <c r="P125" s="11">
        <v>10883.884427723931</v>
      </c>
      <c r="Q125" s="11">
        <v>10790.374804693571</v>
      </c>
      <c r="R125" s="11">
        <v>10698.596841348957</v>
      </c>
      <c r="S125" s="11">
        <v>10608.502877331764</v>
      </c>
      <c r="T125" s="11">
        <v>10520.046985387615</v>
      </c>
      <c r="U125" s="11">
        <v>10433.184893298312</v>
      </c>
      <c r="V125" s="11">
        <v>10347.87390999632</v>
      </c>
      <c r="W125" s="11">
        <v>10264.072855602328</v>
      </c>
      <c r="X125" s="11">
        <v>10181.741995145072</v>
      </c>
      <c r="Y125" s="11">
        <v>10100.842975739246</v>
      </c>
      <c r="Z125" s="16"/>
    </row>
    <row r="126" spans="3:26" x14ac:dyDescent="0.25">
      <c r="C126" s="4" t="str">
        <f>'Model-1'!N80</f>
        <v>Ikke-udnyttet affald</v>
      </c>
      <c r="D126" s="12" t="str">
        <f>_xlfn.LET(_xlpm.label,'Model-1'!O80,IF(ISBLANK(_xlpm.label),"",_xlpm.label))</f>
        <v>ton</v>
      </c>
      <c r="E126" s="14">
        <v>1899.1570242607538</v>
      </c>
      <c r="F126" s="14">
        <v>73.87289891681985</v>
      </c>
      <c r="G126" s="14">
        <v>187.76745909834472</v>
      </c>
      <c r="H126" s="14">
        <v>299.33764050065747</v>
      </c>
      <c r="I126" s="14">
        <v>408.65387884433494</v>
      </c>
      <c r="J126" s="14">
        <v>515.78379242113942</v>
      </c>
      <c r="K126" s="14">
        <v>620.792321570681</v>
      </c>
      <c r="L126" s="14">
        <v>723.74185995258495</v>
      </c>
      <c r="M126" s="14">
        <v>824.6923781717328</v>
      </c>
      <c r="N126" s="14">
        <v>923.70154027128319</v>
      </c>
      <c r="O126" s="14">
        <v>1020.8248135689355</v>
      </c>
      <c r="P126" s="14">
        <v>1116.115572276068</v>
      </c>
      <c r="Q126" s="14">
        <v>1209.6251953064293</v>
      </c>
      <c r="R126" s="14">
        <v>1301.4031586510437</v>
      </c>
      <c r="S126" s="14">
        <v>1391.4971226682353</v>
      </c>
      <c r="T126" s="14">
        <v>1479.9530146123859</v>
      </c>
      <c r="U126" s="14">
        <v>1566.815106701687</v>
      </c>
      <c r="V126" s="14">
        <v>1652.12609000368</v>
      </c>
      <c r="W126" s="14">
        <v>1735.9271443976722</v>
      </c>
      <c r="X126" s="14">
        <v>1818.2580048549289</v>
      </c>
      <c r="Y126" s="14">
        <v>1899.1570242607538</v>
      </c>
      <c r="Z126" s="16"/>
    </row>
    <row r="127" spans="3:26" x14ac:dyDescent="0.25">
      <c r="D127" s="12" t="str">
        <f>_xlfn.LET(_xlpm.label,'Model-1'!O84,IF(ISBLANK(_xlpm.label),"",_xlpm.label))</f>
        <v/>
      </c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6"/>
    </row>
    <row r="128" spans="3:26" x14ac:dyDescent="0.25">
      <c r="C128" s="6" t="str">
        <f>'Model-1'!N85</f>
        <v>Kapacitetsudnyttelse:</v>
      </c>
      <c r="D128" s="12" t="str">
        <f>_xlfn.LET(_xlpm.label,'Model-1'!O85,IF(ISBLANK(_xlpm.label),"",_xlpm.label))</f>
        <v/>
      </c>
      <c r="E128" s="11" t="s">
        <v>237</v>
      </c>
      <c r="F128" s="11" t="s">
        <v>238</v>
      </c>
      <c r="G128" s="11" t="s">
        <v>239</v>
      </c>
      <c r="H128" s="11" t="s">
        <v>240</v>
      </c>
      <c r="I128" s="11" t="s">
        <v>241</v>
      </c>
      <c r="J128" s="11" t="s">
        <v>242</v>
      </c>
      <c r="K128" s="11" t="s">
        <v>243</v>
      </c>
      <c r="L128" s="11" t="s">
        <v>244</v>
      </c>
      <c r="M128" s="11" t="s">
        <v>245</v>
      </c>
      <c r="N128" s="11" t="s">
        <v>246</v>
      </c>
      <c r="O128" s="11" t="s">
        <v>247</v>
      </c>
      <c r="P128" s="11" t="s">
        <v>248</v>
      </c>
      <c r="Q128" s="11" t="s">
        <v>249</v>
      </c>
      <c r="R128" s="11" t="s">
        <v>250</v>
      </c>
      <c r="S128" s="11" t="s">
        <v>251</v>
      </c>
      <c r="T128" s="11" t="s">
        <v>252</v>
      </c>
      <c r="U128" s="11" t="s">
        <v>253</v>
      </c>
      <c r="V128" s="11" t="s">
        <v>254</v>
      </c>
      <c r="W128" s="11" t="s">
        <v>255</v>
      </c>
      <c r="X128" s="11" t="s">
        <v>256</v>
      </c>
      <c r="Y128" s="11" t="s">
        <v>237</v>
      </c>
      <c r="Z128" s="13"/>
    </row>
    <row r="129" spans="1:26" x14ac:dyDescent="0.25">
      <c r="C129" s="4" t="str">
        <f>'Model-1'!N86</f>
        <v>Ovn3 tonnageudnyttelse</v>
      </c>
      <c r="D129" s="12" t="str">
        <f>_xlfn.LET(_xlpm.label,'Model-1'!O86,IF(ISBLANK(_xlpm.label),"",_xlpm.label))</f>
        <v/>
      </c>
      <c r="E129" s="1">
        <v>1</v>
      </c>
      <c r="F129" s="1">
        <v>0.99999999999999978</v>
      </c>
      <c r="G129" s="1">
        <v>1</v>
      </c>
      <c r="H129" s="1">
        <v>0.99999999999999978</v>
      </c>
      <c r="I129" s="1">
        <v>1</v>
      </c>
      <c r="J129" s="1">
        <v>1</v>
      </c>
      <c r="K129" s="1">
        <v>1</v>
      </c>
      <c r="L129" s="1">
        <v>1</v>
      </c>
      <c r="M129" s="1">
        <v>1</v>
      </c>
      <c r="N129" s="1">
        <v>1</v>
      </c>
      <c r="O129" s="1">
        <v>1</v>
      </c>
      <c r="P129" s="1">
        <v>0.99999999999999978</v>
      </c>
      <c r="Q129" s="1">
        <v>1</v>
      </c>
      <c r="R129" s="1">
        <v>1</v>
      </c>
      <c r="S129" s="1">
        <v>1</v>
      </c>
      <c r="T129" s="1">
        <v>1</v>
      </c>
      <c r="U129" s="1">
        <v>1</v>
      </c>
      <c r="V129" s="1">
        <v>1</v>
      </c>
      <c r="W129" s="1">
        <v>1</v>
      </c>
      <c r="X129" s="1">
        <v>1</v>
      </c>
      <c r="Y129" s="1">
        <v>1</v>
      </c>
      <c r="Z129" s="11"/>
    </row>
    <row r="130" spans="1:26" x14ac:dyDescent="0.25">
      <c r="C130" s="4" t="str">
        <f>'Model-1'!N87</f>
        <v>Ovn2 tonnageudnyttelse</v>
      </c>
      <c r="D130" s="12" t="str">
        <f>_xlfn.LET(_xlpm.label,'Model-1'!O87,IF(ISBLANK(_xlpm.label),"",_xlpm.label))</f>
        <v/>
      </c>
      <c r="E130" s="1">
        <v>0.3702664796633941</v>
      </c>
      <c r="F130" s="1">
        <v>0.98781922043010761</v>
      </c>
      <c r="G130" s="1">
        <v>0.94928500166278673</v>
      </c>
      <c r="H130" s="1">
        <v>0.91153719552337065</v>
      </c>
      <c r="I130" s="1">
        <v>0.87455197132616469</v>
      </c>
      <c r="J130" s="1">
        <v>0.83830645161290329</v>
      </c>
      <c r="K130" s="1">
        <v>0.80277866496327055</v>
      </c>
      <c r="L130" s="1">
        <v>0.76794750158127767</v>
      </c>
      <c r="M130" s="1">
        <v>0.7337926714688382</v>
      </c>
      <c r="N130" s="1">
        <v>0.70029466501240667</v>
      </c>
      <c r="O130" s="1">
        <v>0.66743471582181246</v>
      </c>
      <c r="P130" s="1">
        <v>0.63519476567255029</v>
      </c>
      <c r="Q130" s="1">
        <v>0.60355743141392815</v>
      </c>
      <c r="R130" s="1">
        <v>0.57250597371565126</v>
      </c>
      <c r="S130" s="1">
        <v>0.5420242675347734</v>
      </c>
      <c r="T130" s="1">
        <v>0.51209677419354838</v>
      </c>
      <c r="U130" s="1">
        <v>0.48270851496657963</v>
      </c>
      <c r="V130" s="1">
        <v>0.45384504608294923</v>
      </c>
      <c r="W130" s="1">
        <v>0.4254924350556667</v>
      </c>
      <c r="X130" s="1">
        <v>0.39763723825693248</v>
      </c>
      <c r="Y130" s="1">
        <v>0.3702664796633941</v>
      </c>
      <c r="Z130" s="11"/>
    </row>
    <row r="131" spans="1:26" x14ac:dyDescent="0.25">
      <c r="C131" s="4" t="str">
        <f>'Model-1'!N88</f>
        <v>Bortkøleanlæg udnyttelse</v>
      </c>
      <c r="D131" s="12" t="str">
        <f>_xlfn.LET(_xlpm.label,'Model-1'!O88,IF(ISBLANK(_xlpm.label),"",_xlpm.label))</f>
        <v/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1"/>
    </row>
    <row r="132" spans="1:26" x14ac:dyDescent="0.25">
      <c r="A132" s="36"/>
      <c r="C132" s="4" t="str">
        <f>'Model-1'!N89</f>
        <v>NS-varme udnyttelse</v>
      </c>
      <c r="D132" s="12" t="str">
        <f>_xlfn.LET(_xlpm.label,'Model-1'!O89,IF(ISBLANK(_xlpm.label),"",_xlpm.label))</f>
        <v/>
      </c>
      <c r="E132" s="1">
        <v>1</v>
      </c>
      <c r="F132" s="1">
        <v>1</v>
      </c>
      <c r="G132" s="1">
        <v>1</v>
      </c>
      <c r="H132" s="1">
        <v>1</v>
      </c>
      <c r="I132" s="1">
        <v>1</v>
      </c>
      <c r="J132" s="1">
        <v>1</v>
      </c>
      <c r="K132" s="1">
        <v>1</v>
      </c>
      <c r="L132" s="1">
        <v>1</v>
      </c>
      <c r="M132" s="1">
        <v>1</v>
      </c>
      <c r="N132" s="1">
        <v>1</v>
      </c>
      <c r="O132" s="1">
        <v>1</v>
      </c>
      <c r="P132" s="1">
        <v>1</v>
      </c>
      <c r="Q132" s="1">
        <v>1</v>
      </c>
      <c r="R132" s="1">
        <v>1</v>
      </c>
      <c r="S132" s="1">
        <v>1</v>
      </c>
      <c r="T132" s="1">
        <v>1</v>
      </c>
      <c r="U132" s="1">
        <v>1</v>
      </c>
      <c r="V132" s="1">
        <v>1</v>
      </c>
      <c r="W132" s="1">
        <v>1</v>
      </c>
      <c r="X132" s="1">
        <v>1</v>
      </c>
      <c r="Y132" s="1">
        <v>1</v>
      </c>
      <c r="Z132" s="11"/>
    </row>
    <row r="133" spans="1:26" x14ac:dyDescent="0.25">
      <c r="A133" s="36"/>
      <c r="C133" s="4" t="str">
        <f>'Model-1'!N90</f>
        <v>VPO affald</v>
      </c>
      <c r="D133" s="12" t="str">
        <f>_xlfn.LET(_xlpm.label,'Model-1'!O90,IF(ISBLANK(_xlpm.label),"",_xlpm.label))</f>
        <v>kr/MWhq</v>
      </c>
      <c r="E133" s="10">
        <v>-25.711195069525662</v>
      </c>
      <c r="F133" s="10">
        <v>-36.044007947642243</v>
      </c>
      <c r="G133" s="10">
        <v>-34.880981324960246</v>
      </c>
      <c r="H133" s="10">
        <v>-33.741332256634173</v>
      </c>
      <c r="I133" s="10">
        <v>-32.624352331926232</v>
      </c>
      <c r="J133" s="10">
        <v>-31.529361476527761</v>
      </c>
      <c r="K133" s="10">
        <v>-30.455706549766241</v>
      </c>
      <c r="L133" s="10">
        <v>-29.402760024328717</v>
      </c>
      <c r="M133" s="10">
        <v>-36.727993818352502</v>
      </c>
      <c r="N133" s="10">
        <v>-35.714677821961345</v>
      </c>
      <c r="O133" s="10">
        <v>-34.720329245325452</v>
      </c>
      <c r="P133" s="10">
        <v>-33.744411274678271</v>
      </c>
      <c r="Q133" s="10">
        <v>-32.7864071640576</v>
      </c>
      <c r="R133" s="10">
        <v>-31.845819306240379</v>
      </c>
      <c r="S133" s="10">
        <v>-30.922168354819217</v>
      </c>
      <c r="T133" s="10">
        <v>-30.014992394165059</v>
      </c>
      <c r="U133" s="10">
        <v>-29.12384615425723</v>
      </c>
      <c r="V133" s="10">
        <v>-28.248300267575697</v>
      </c>
      <c r="W133" s="10">
        <v>-27.387940565450815</v>
      </c>
      <c r="X133" s="10">
        <v>-26.542367411446836</v>
      </c>
      <c r="Y133" s="10">
        <v>-25.711195069525662</v>
      </c>
      <c r="Z133" s="11"/>
    </row>
    <row r="134" spans="1:26" x14ac:dyDescent="0.25">
      <c r="Z134" s="11"/>
    </row>
    <row r="135" spans="1:26" x14ac:dyDescent="0.25">
      <c r="Z135" s="16"/>
    </row>
    <row r="136" spans="1:26" x14ac:dyDescent="0.25">
      <c r="Z136" s="11"/>
    </row>
    <row r="137" spans="1:26" x14ac:dyDescent="0.25">
      <c r="Z137" s="11"/>
    </row>
    <row r="138" spans="1:26" x14ac:dyDescent="0.25">
      <c r="Z138" s="11"/>
    </row>
    <row r="139" spans="1:26" x14ac:dyDescent="0.25">
      <c r="Z139" s="11"/>
    </row>
    <row r="140" spans="1:26" x14ac:dyDescent="0.25">
      <c r="Z140" s="11"/>
    </row>
    <row r="141" spans="1:26" x14ac:dyDescent="0.25">
      <c r="A141" s="36"/>
      <c r="Z141" s="11"/>
    </row>
    <row r="142" spans="1:26" x14ac:dyDescent="0.25">
      <c r="A142" s="36"/>
      <c r="B142" s="36"/>
      <c r="Z142" s="11"/>
    </row>
    <row r="143" spans="1:26" x14ac:dyDescent="0.25">
      <c r="Z143" s="14"/>
    </row>
    <row r="144" spans="1:26" x14ac:dyDescent="0.25">
      <c r="Z144" s="11"/>
    </row>
    <row r="145" spans="26:26" x14ac:dyDescent="0.25">
      <c r="Z145" s="11"/>
    </row>
    <row r="146" spans="26:26" x14ac:dyDescent="0.25">
      <c r="Z146" s="1"/>
    </row>
    <row r="147" spans="26:26" x14ac:dyDescent="0.25">
      <c r="Z147" s="1"/>
    </row>
    <row r="148" spans="26:26" x14ac:dyDescent="0.25">
      <c r="Z148" s="1"/>
    </row>
  </sheetData>
  <customSheetViews>
    <customSheetView guid="{D61959C2-356A-4414-A70C-587540F5DA06}" scale="85" hiddenRows="1" topLeftCell="B5">
      <selection activeCell="E109" sqref="E109:Y109"/>
      <pageMargins left="0.7" right="0.7" top="0.75" bottom="0.75" header="0.3" footer="0.3"/>
      <pageSetup paperSize="9" orientation="portrait" r:id="rId1"/>
    </customSheetView>
    <customSheetView guid="{01B8EE19-BF49-4F3C-9D6B-CD607AE52779}" scale="85" hiddenRows="1" topLeftCell="B5">
      <selection activeCell="E109" sqref="E109:Y109"/>
      <pageMargins left="0.7" right="0.7" top="0.75" bottom="0.75" header="0.3" footer="0.3"/>
      <pageSetup paperSize="9" orientation="portrait" r:id="rId2"/>
    </customSheetView>
    <customSheetView guid="{2B82E035-636B-4F9F-846A-FEE8C149952C}" scale="85" hiddenRows="1" topLeftCell="B5">
      <selection activeCell="E109" sqref="E109:Y109"/>
      <pageMargins left="0.7" right="0.7" top="0.75" bottom="0.75" header="0.3" footer="0.3"/>
      <pageSetup paperSize="9" orientation="portrait" r:id="rId3"/>
    </customSheetView>
    <customSheetView guid="{B8935784-587B-4D0A-AED7-A4A9B4EF97F4}" scale="85" hiddenRows="1" topLeftCell="B5">
      <selection activeCell="E109" sqref="E109:Y109"/>
      <pageMargins left="0.7" right="0.7" top="0.75" bottom="0.75" header="0.3" footer="0.3"/>
      <pageSetup paperSize="9" orientation="portrait" r:id="rId4"/>
    </customSheetView>
    <customSheetView guid="{EEB625C4-AF57-4951-B4C5-8C71271FF126}" scale="85" hiddenRows="1" topLeftCell="B5">
      <selection activeCell="E109" sqref="E109:Y109"/>
      <pageMargins left="0.7" right="0.7" top="0.75" bottom="0.75" header="0.3" footer="0.3"/>
      <pageSetup paperSize="9" orientation="portrait" r:id="rId5"/>
    </customSheetView>
  </customSheetViews>
  <phoneticPr fontId="14" type="noConversion"/>
  <conditionalFormatting sqref="E7:Y7">
    <cfRule type="cellIs" dxfId="17" priority="5" operator="greaterThan">
      <formula>0</formula>
    </cfRule>
  </conditionalFormatting>
  <conditionalFormatting sqref="D79:D88 D54:D75">
    <cfRule type="cellIs" dxfId="16" priority="4" operator="notEqual">
      <formula>0</formula>
    </cfRule>
  </conditionalFormatting>
  <conditionalFormatting sqref="B16:B37">
    <cfRule type="cellIs" dxfId="15" priority="2" operator="notEqual">
      <formula>0</formula>
    </cfRule>
  </conditionalFormatting>
  <conditionalFormatting sqref="B41:B50">
    <cfRule type="cellIs" dxfId="14" priority="1" operator="notEqual">
      <formula>0</formula>
    </cfRule>
  </conditionalFormatting>
  <dataValidations count="2">
    <dataValidation type="list" allowBlank="1" showInputMessage="1" showErrorMessage="1" sqref="A41:A50 C79:C89 A16:A36 C54:C75" xr:uid="{1E94A7E2-205B-4EB1-8F0B-15D4AD919DF3}">
      <formula1>ranResultNames</formula1>
    </dataValidation>
    <dataValidation type="list" allowBlank="1" showInputMessage="1" showErrorMessage="1" sqref="C78 A40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6"/>
  <drawing r:id="rId7"/>
  <legacyDrawing r:id="rId8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9946C-3155-4A34-9BC8-B9BC0E24C3D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Scenarier!E79:Y79</xm:f>
              <xm:sqref>A93</xm:sqref>
            </x14:sparkline>
            <x14:sparkline>
              <xm:f>Scenarier!E80:Y80</xm:f>
              <xm:sqref>A94</xm:sqref>
            </x14:sparkline>
            <x14:sparkline>
              <xm:f>Scenarier!E81:Y81</xm:f>
              <xm:sqref>A95</xm:sqref>
            </x14:sparkline>
            <x14:sparkline>
              <xm:f>Scenarier!E82:Y82</xm:f>
              <xm:sqref>A96</xm:sqref>
            </x14:sparkline>
            <x14:sparkline>
              <xm:f>Scenarier!E83:Y83</xm:f>
              <xm:sqref>A97</xm:sqref>
            </x14:sparkline>
            <x14:sparkline>
              <xm:f>Scenarier!E84:Y84</xm:f>
              <xm:sqref>A98</xm:sqref>
            </x14:sparkline>
            <x14:sparkline>
              <xm:f>Scenarier!E85:Y85</xm:f>
              <xm:sqref>A99</xm:sqref>
            </x14:sparkline>
            <x14:sparkline>
              <xm:f>Scenarier!E86:Y86</xm:f>
              <xm:sqref>A100</xm:sqref>
            </x14:sparkline>
            <x14:sparkline>
              <xm:f>Scenarier!E87:Y87</xm:f>
              <xm:sqref>A101</xm:sqref>
            </x14:sparkline>
            <x14:sparkline>
              <xm:f>Scenarier!E88:Y88</xm:f>
              <xm:sqref>A102</xm:sqref>
            </x14:sparkline>
            <x14:sparkline>
              <xm:f>Scenarier!E89:Y89</xm:f>
              <xm:sqref>A103</xm:sqref>
            </x14:sparkline>
            <x14:sparkline>
              <xm:f>Scenarier!E90:Y90</xm:f>
              <xm:sqref>A104</xm:sqref>
            </x14:sparkline>
            <x14:sparkline>
              <xm:f>Scenarier!E91:Y91</xm:f>
              <xm:sqref>A105</xm:sqref>
            </x14:sparkline>
            <x14:sparkline>
              <xm:f>Scenarier!E92:Y92</xm:f>
              <xm:sqref>A106</xm:sqref>
            </x14:sparkline>
            <x14:sparkline>
              <xm:f>Scenarier!E93:Y93</xm:f>
              <xm:sqref>A107</xm:sqref>
            </x14:sparkline>
            <x14:sparkline>
              <xm:f>Scenarier!E94:Y94</xm:f>
              <xm:sqref>A108</xm:sqref>
            </x14:sparkline>
            <x14:sparkline>
              <xm:f>Scenarier!E95:Y95</xm:f>
              <xm:sqref>A109</xm:sqref>
            </x14:sparkline>
            <x14:sparkline>
              <xm:f>Scenarier!E96:Y96</xm:f>
              <xm:sqref>A110</xm:sqref>
            </x14:sparkline>
            <x14:sparkline>
              <xm:f>Scenarier!E97:Y97</xm:f>
              <xm:sqref>A111</xm:sqref>
            </x14:sparkline>
            <x14:sparkline>
              <xm:f>Scenarier!E98:Y98</xm:f>
              <xm:sqref>A112</xm:sqref>
            </x14:sparkline>
            <x14:sparkline>
              <xm:f>Scenarier!E99:Y99</xm:f>
              <xm:sqref>A113</xm:sqref>
            </x14:sparkline>
            <x14:sparkline>
              <xm:f>Scenarier!E100:Y100</xm:f>
              <xm:sqref>A114</xm:sqref>
            </x14:sparkline>
            <x14:sparkline>
              <xm:f>Scenarier!E101:Y101</xm:f>
              <xm:sqref>A115</xm:sqref>
            </x14:sparkline>
            <x14:sparkline>
              <xm:f>Scenarier!E102:Y102</xm:f>
              <xm:sqref>A116</xm:sqref>
            </x14:sparkline>
            <x14:sparkline>
              <xm:f>Scenarier!E103:Y103</xm:f>
              <xm:sqref>A117</xm:sqref>
            </x14:sparkline>
            <x14:sparkline>
              <xm:f>Scenarier!E104:Y104</xm:f>
              <xm:sqref>A118</xm:sqref>
            </x14:sparkline>
            <x14:sparkline>
              <xm:f>Scenarier!E105:Y105</xm:f>
              <xm:sqref>A119</xm:sqref>
            </x14:sparkline>
            <x14:sparkline>
              <xm:f>Scenarier!E106:Y106</xm:f>
              <xm:sqref>A120</xm:sqref>
            </x14:sparkline>
            <x14:sparkline>
              <xm:f>Scenarier!E107:Y107</xm:f>
              <xm:sqref>A121</xm:sqref>
            </x14:sparkline>
            <x14:sparkline>
              <xm:f>Scenarier!E108:Y108</xm:f>
              <xm:sqref>A122</xm:sqref>
            </x14:sparkline>
            <x14:sparkline>
              <xm:f>Scenarier!E109:Y109</xm:f>
              <xm:sqref>A123</xm:sqref>
            </x14:sparkline>
            <x14:sparkline>
              <xm:f>Scenarier!E110:Y110</xm:f>
              <xm:sqref>A124</xm:sqref>
            </x14:sparkline>
            <x14:sparkline>
              <xm:f>Scenarier!E111:Y111</xm:f>
              <xm:sqref>A125</xm:sqref>
            </x14:sparkline>
            <x14:sparkline>
              <xm:f>Scenarier!E112:Y112</xm:f>
              <xm:sqref>A126</xm:sqref>
            </x14:sparkline>
            <x14:sparkline>
              <xm:f>Scenarier!E113:Y113</xm:f>
              <xm:sqref>A127</xm:sqref>
            </x14:sparkline>
            <x14:sparkline>
              <xm:f>Scenarier!E114:Y114</xm:f>
              <xm:sqref>A128</xm:sqref>
            </x14:sparkline>
            <x14:sparkline>
              <xm:f>Scenarier!E115:Y115</xm:f>
              <xm:sqref>A129</xm:sqref>
            </x14:sparkline>
            <x14:sparkline>
              <xm:f>Scenarier!E116:Y116</xm:f>
              <xm:sqref>A130</xm:sqref>
            </x14:sparkline>
            <x14:sparkline>
              <xm:f>Scenarier!E117:Y117</xm:f>
              <xm:sqref>A131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L120"/>
  <sheetViews>
    <sheetView zoomScale="70" zoomScaleNormal="100" workbookViewId="0">
      <selection sqref="A1:F1"/>
    </sheetView>
  </sheetViews>
  <sheetFormatPr defaultRowHeight="15" x14ac:dyDescent="0.25"/>
  <cols>
    <col min="1" max="1" width="28.5703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43" customWidth="1"/>
    <col min="8" max="8" width="34.28515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43" customWidth="1"/>
    <col min="14" max="14" width="30.7109375" bestFit="1" customWidth="1"/>
    <col min="15" max="15" width="8.42578125" style="68" bestFit="1" customWidth="1"/>
    <col min="16" max="16" width="10" style="11" bestFit="1" customWidth="1"/>
    <col min="17" max="17" width="14.42578125" style="11" bestFit="1" customWidth="1"/>
    <col min="18" max="18" width="15.7109375" bestFit="1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45" t="s">
        <v>234</v>
      </c>
      <c r="B1" s="146"/>
      <c r="C1" s="146"/>
      <c r="D1" s="146"/>
      <c r="E1" s="146"/>
      <c r="F1" s="147"/>
      <c r="G1" s="47"/>
      <c r="H1" s="148" t="str">
        <f>"Resultat for "&amp;C5&amp;" ton fast fossilt affald, "&amp;C6&amp;" ton frit fossilt affald, " &amp;BioTonnage&amp;" ton bioaffald, Varmebehov "&amp;TEXT(Qdemand,"#.##0")&amp;" MWh, NS-varme "&amp;TEXT(NSvarme,"#.##0")&amp;" MWh, RGK-grad "&amp;TEXT(RGKudnyttelse,"0 %")</f>
        <v>Resultat for 9000 ton fast fossilt affald, 3000 ton frit fossilt affald, 0 ton bioaffald, Varmebehov 28.000 MWh, NS-varme 4.000 MWh, RGK-grad 100 %</v>
      </c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</row>
    <row r="2" spans="1:38" ht="15.75" thickBot="1" x14ac:dyDescent="0.3">
      <c r="A2" s="52"/>
      <c r="B2" s="53"/>
      <c r="C2" s="54"/>
      <c r="D2" s="54"/>
      <c r="E2" s="54"/>
      <c r="F2" s="55"/>
      <c r="G2" s="47"/>
      <c r="H2" s="47"/>
      <c r="I2" s="48"/>
      <c r="J2" s="49"/>
      <c r="K2" s="49"/>
      <c r="L2" s="47"/>
      <c r="M2" s="47"/>
      <c r="N2" s="47"/>
      <c r="O2" s="67"/>
      <c r="P2" s="49"/>
      <c r="Q2" s="49"/>
      <c r="R2" s="47"/>
      <c r="S2" s="47"/>
      <c r="T2" s="51"/>
      <c r="U2" s="47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47"/>
      <c r="AK2" s="47"/>
      <c r="AL2" s="64" t="str">
        <f>"Økonomiske nøgletal "</f>
        <v xml:space="preserve">Økonomiske nøgletal </v>
      </c>
    </row>
    <row r="3" spans="1:38" x14ac:dyDescent="0.25">
      <c r="A3" s="100" t="s">
        <v>124</v>
      </c>
      <c r="B3" s="101" t="s">
        <v>47</v>
      </c>
      <c r="C3" s="102" t="s">
        <v>198</v>
      </c>
      <c r="D3" s="102"/>
      <c r="E3" s="102"/>
      <c r="F3" s="103"/>
      <c r="G3" s="47"/>
      <c r="H3" s="47"/>
      <c r="I3" s="48"/>
      <c r="J3" s="49"/>
      <c r="K3" s="49"/>
      <c r="L3" s="47"/>
      <c r="M3" s="47"/>
      <c r="N3" s="47"/>
      <c r="O3" s="67"/>
      <c r="P3" s="49"/>
      <c r="Q3" s="49"/>
      <c r="R3" s="47"/>
      <c r="S3" s="47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65" t="str">
        <f>"Økonomi: Med RGK ift. Uden RGK"</f>
        <v>Økonomi: Med RGK ift. Uden RGK</v>
      </c>
    </row>
    <row r="4" spans="1:38" x14ac:dyDescent="0.25">
      <c r="A4" s="104" t="s">
        <v>194</v>
      </c>
      <c r="B4" s="53" t="s">
        <v>41</v>
      </c>
      <c r="C4" s="57">
        <v>28000</v>
      </c>
      <c r="D4" s="54"/>
      <c r="E4" s="54"/>
      <c r="F4" s="105"/>
      <c r="G4" s="47"/>
      <c r="H4" s="47"/>
      <c r="I4" s="48"/>
      <c r="J4" s="49"/>
      <c r="K4" s="49"/>
      <c r="L4" s="47"/>
      <c r="M4" s="47"/>
      <c r="N4" s="47"/>
      <c r="O4" s="67"/>
      <c r="P4" s="49"/>
      <c r="Q4" s="49"/>
      <c r="R4" s="47"/>
      <c r="S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65" t="str">
        <f>"Varmemængder"</f>
        <v>Varmemængder</v>
      </c>
    </row>
    <row r="5" spans="1:38" x14ac:dyDescent="0.25">
      <c r="A5" s="104" t="s">
        <v>400</v>
      </c>
      <c r="B5" s="53" t="s">
        <v>16</v>
      </c>
      <c r="C5" s="57">
        <v>9000</v>
      </c>
      <c r="D5" s="54"/>
      <c r="E5" s="54"/>
      <c r="F5" s="105"/>
      <c r="G5" s="47"/>
      <c r="H5" s="47"/>
      <c r="I5" s="48"/>
      <c r="J5" s="49"/>
      <c r="K5" s="49"/>
      <c r="L5" s="47"/>
      <c r="M5" s="47"/>
      <c r="N5" s="47"/>
      <c r="O5" s="67"/>
      <c r="P5" s="49"/>
      <c r="Q5" s="49"/>
      <c r="R5" s="47"/>
      <c r="S5" s="47"/>
      <c r="T5" s="48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65" t="s">
        <v>140</v>
      </c>
    </row>
    <row r="6" spans="1:38" x14ac:dyDescent="0.25">
      <c r="A6" s="104" t="s">
        <v>403</v>
      </c>
      <c r="B6" s="53" t="s">
        <v>16</v>
      </c>
      <c r="C6" s="57">
        <v>3000</v>
      </c>
      <c r="D6" s="54"/>
      <c r="E6" s="54"/>
      <c r="F6" s="105"/>
      <c r="G6" s="47"/>
      <c r="H6" s="47"/>
      <c r="I6" s="48"/>
      <c r="J6" s="49"/>
      <c r="K6" s="49"/>
      <c r="L6" s="47"/>
      <c r="M6" s="47"/>
      <c r="N6" s="47"/>
      <c r="O6" s="67"/>
      <c r="P6" s="49"/>
      <c r="Q6" s="49"/>
      <c r="R6" s="47"/>
      <c r="S6" s="47"/>
      <c r="T6" s="48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t="s">
        <v>236</v>
      </c>
    </row>
    <row r="7" spans="1:38" x14ac:dyDescent="0.25">
      <c r="A7" s="104" t="s">
        <v>196</v>
      </c>
      <c r="B7" s="53" t="s">
        <v>16</v>
      </c>
      <c r="C7" s="57">
        <v>0</v>
      </c>
      <c r="D7" s="54"/>
      <c r="E7" s="54"/>
      <c r="F7" s="105"/>
      <c r="G7" s="47"/>
      <c r="H7" s="47"/>
      <c r="I7" s="48"/>
      <c r="J7" s="49"/>
      <c r="K7" s="49"/>
      <c r="L7" s="47"/>
      <c r="M7" s="47"/>
      <c r="N7" s="47"/>
      <c r="O7" s="67"/>
      <c r="P7" s="49"/>
      <c r="Q7" s="49"/>
      <c r="R7" s="47"/>
      <c r="S7" s="47"/>
      <c r="T7" s="48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 t="s">
        <v>141</v>
      </c>
    </row>
    <row r="8" spans="1:38" x14ac:dyDescent="0.25">
      <c r="A8" s="104" t="s">
        <v>123</v>
      </c>
      <c r="B8" s="53" t="s">
        <v>125</v>
      </c>
      <c r="C8" s="58">
        <v>1</v>
      </c>
      <c r="D8" s="54"/>
      <c r="E8" s="54"/>
      <c r="F8" s="105"/>
      <c r="G8" s="47"/>
      <c r="H8" s="47"/>
      <c r="I8" s="48"/>
      <c r="J8" s="49"/>
      <c r="K8" s="49"/>
      <c r="L8" s="47"/>
      <c r="M8" s="47"/>
      <c r="N8" s="47"/>
      <c r="O8" s="67"/>
      <c r="P8" s="49"/>
      <c r="Q8" s="49"/>
      <c r="R8" s="47"/>
      <c r="S8" s="47"/>
      <c r="T8" s="48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</row>
    <row r="9" spans="1:38" ht="15.75" thickBot="1" x14ac:dyDescent="0.3">
      <c r="A9" s="106" t="s">
        <v>197</v>
      </c>
      <c r="B9" s="107" t="s">
        <v>41</v>
      </c>
      <c r="C9" s="108">
        <v>4000</v>
      </c>
      <c r="D9" s="109"/>
      <c r="E9" s="109"/>
      <c r="F9" s="110"/>
      <c r="G9" s="47"/>
      <c r="H9" s="47"/>
      <c r="I9" s="48"/>
      <c r="J9" s="49"/>
      <c r="K9" s="49"/>
      <c r="L9" s="47"/>
      <c r="M9" s="47"/>
      <c r="N9" s="47"/>
      <c r="O9" s="67"/>
      <c r="P9" s="49"/>
      <c r="Q9" s="49"/>
      <c r="R9" s="47"/>
      <c r="S9" s="47"/>
      <c r="T9" s="48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</row>
    <row r="10" spans="1:38" ht="15.75" thickBot="1" x14ac:dyDescent="0.3">
      <c r="A10" s="56"/>
      <c r="B10" s="53"/>
      <c r="C10" s="54"/>
      <c r="D10" s="54"/>
      <c r="E10" s="54"/>
      <c r="F10" s="55"/>
      <c r="G10" s="47"/>
      <c r="H10" s="47"/>
      <c r="I10" s="48"/>
      <c r="J10" s="49"/>
      <c r="K10" s="49"/>
      <c r="L10" s="47"/>
      <c r="M10" s="47"/>
      <c r="N10" s="47"/>
      <c r="O10" s="67"/>
      <c r="P10" s="49"/>
      <c r="Q10" s="49"/>
      <c r="R10" s="47"/>
      <c r="S10" s="47"/>
      <c r="T10" s="48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38" x14ac:dyDescent="0.25">
      <c r="A11" s="100" t="s">
        <v>14</v>
      </c>
      <c r="B11" s="101"/>
      <c r="C11" s="102" t="s">
        <v>0</v>
      </c>
      <c r="D11" s="102" t="s">
        <v>1</v>
      </c>
      <c r="E11" s="102" t="s">
        <v>7</v>
      </c>
      <c r="F11" s="111" t="s">
        <v>133</v>
      </c>
      <c r="G11" s="47"/>
      <c r="H11" s="47"/>
      <c r="I11" s="48"/>
      <c r="J11" s="49"/>
      <c r="K11" s="49"/>
      <c r="L11" s="47"/>
      <c r="M11" s="47"/>
      <c r="N11" s="47"/>
      <c r="O11" s="67"/>
      <c r="P11" s="49"/>
      <c r="Q11" s="49"/>
      <c r="R11" s="47"/>
      <c r="S11" s="47"/>
      <c r="T11" s="48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</row>
    <row r="12" spans="1:38" x14ac:dyDescent="0.25">
      <c r="A12" s="104" t="s">
        <v>12</v>
      </c>
      <c r="B12" s="53"/>
      <c r="C12" s="54">
        <v>31</v>
      </c>
      <c r="D12" s="54">
        <v>31</v>
      </c>
      <c r="E12" s="54">
        <v>31</v>
      </c>
      <c r="F12" s="105"/>
      <c r="G12" s="47"/>
      <c r="H12" s="47"/>
      <c r="I12" s="48"/>
      <c r="J12" s="49"/>
      <c r="K12" s="49"/>
      <c r="L12" s="47"/>
      <c r="M12" s="47"/>
      <c r="N12" s="47"/>
      <c r="O12" s="67"/>
      <c r="P12" s="49"/>
      <c r="Q12" s="49"/>
      <c r="R12" s="47"/>
      <c r="S12" s="47"/>
      <c r="T12" s="48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</row>
    <row r="13" spans="1:38" x14ac:dyDescent="0.25">
      <c r="A13" s="104" t="s">
        <v>2</v>
      </c>
      <c r="B13" s="53" t="s">
        <v>3</v>
      </c>
      <c r="C13" s="54">
        <v>9.5</v>
      </c>
      <c r="D13" s="54">
        <v>22.5</v>
      </c>
      <c r="E13" s="54">
        <v>15</v>
      </c>
      <c r="F13" s="105"/>
      <c r="G13" s="47"/>
      <c r="H13" s="47"/>
      <c r="I13" s="48"/>
      <c r="J13" s="49"/>
      <c r="K13" s="49"/>
      <c r="L13" s="47"/>
      <c r="M13" s="47"/>
      <c r="N13" s="47"/>
      <c r="O13" s="67"/>
      <c r="P13" s="49"/>
      <c r="Q13" s="49"/>
      <c r="R13" s="47"/>
      <c r="S13" s="47"/>
      <c r="T13" s="48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</row>
    <row r="14" spans="1:38" x14ac:dyDescent="0.25">
      <c r="A14" s="104" t="s">
        <v>8</v>
      </c>
      <c r="B14" s="53" t="s">
        <v>3</v>
      </c>
      <c r="C14" s="54">
        <v>2</v>
      </c>
      <c r="D14" s="54">
        <v>5.5</v>
      </c>
      <c r="E14" s="54"/>
      <c r="F14" s="105"/>
      <c r="G14" s="47"/>
      <c r="H14" s="47"/>
      <c r="I14" s="48"/>
      <c r="J14" s="49"/>
      <c r="K14" s="49"/>
      <c r="L14" s="47"/>
      <c r="M14" s="47"/>
      <c r="N14" s="47"/>
      <c r="O14" s="67"/>
      <c r="P14" s="49"/>
      <c r="Q14" s="49"/>
      <c r="R14" s="47"/>
      <c r="S14" s="47"/>
      <c r="T14" s="48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</row>
    <row r="15" spans="1:38" x14ac:dyDescent="0.25">
      <c r="A15" s="104" t="s">
        <v>4</v>
      </c>
      <c r="B15" s="53" t="s">
        <v>5</v>
      </c>
      <c r="C15" s="54"/>
      <c r="D15" s="54">
        <v>8</v>
      </c>
      <c r="E15" s="54"/>
      <c r="F15" s="105"/>
      <c r="G15" s="47"/>
      <c r="H15" s="47"/>
      <c r="I15" s="48"/>
      <c r="J15" s="49"/>
      <c r="K15" s="49"/>
      <c r="L15" s="47"/>
      <c r="M15" s="47"/>
      <c r="N15" s="47"/>
      <c r="O15" s="67"/>
      <c r="P15" s="49"/>
      <c r="Q15" s="49"/>
      <c r="R15" s="47"/>
      <c r="S15" s="47"/>
      <c r="T15" s="48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1:38" x14ac:dyDescent="0.25">
      <c r="A16" s="104" t="s">
        <v>6</v>
      </c>
      <c r="B16" s="53" t="s">
        <v>13</v>
      </c>
      <c r="C16" s="54"/>
      <c r="D16" s="54">
        <v>25</v>
      </c>
      <c r="E16" s="54"/>
      <c r="F16" s="105"/>
      <c r="G16" s="47"/>
      <c r="H16" s="47"/>
      <c r="I16" s="48"/>
      <c r="J16" s="49"/>
      <c r="K16" s="49"/>
      <c r="L16" s="47"/>
      <c r="M16" s="47"/>
      <c r="N16" s="47"/>
      <c r="O16" s="67"/>
      <c r="P16" s="49"/>
      <c r="Q16" s="49"/>
      <c r="R16" s="47"/>
      <c r="S16" s="47"/>
      <c r="T16" s="48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</row>
    <row r="17" spans="1:37" x14ac:dyDescent="0.25">
      <c r="A17" s="104" t="s">
        <v>9</v>
      </c>
      <c r="B17" s="53"/>
      <c r="C17" s="59">
        <v>0.84399999999999997</v>
      </c>
      <c r="D17" s="59">
        <v>0.65600000000000003</v>
      </c>
      <c r="E17" s="54"/>
      <c r="F17" s="105"/>
      <c r="G17" s="47"/>
      <c r="H17" s="47"/>
      <c r="I17" s="48"/>
      <c r="J17" s="49"/>
      <c r="K17" s="49"/>
      <c r="L17" s="47"/>
      <c r="M17" s="47"/>
      <c r="N17" s="47"/>
      <c r="O17" s="67"/>
      <c r="P17" s="49"/>
      <c r="Q17" s="49"/>
      <c r="R17" s="47"/>
      <c r="S17" s="47"/>
      <c r="T17" s="48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</row>
    <row r="18" spans="1:37" x14ac:dyDescent="0.25">
      <c r="A18" s="104" t="s">
        <v>10</v>
      </c>
      <c r="B18" s="53"/>
      <c r="C18" s="139">
        <f>$C$8*C14/C13*C17</f>
        <v>0.17768421052631578</v>
      </c>
      <c r="D18" s="139">
        <f>$C$8*D14/D13*D17</f>
        <v>0.16035555555555556</v>
      </c>
      <c r="E18" s="54"/>
      <c r="F18" s="105"/>
      <c r="G18" s="47"/>
      <c r="H18" s="47"/>
      <c r="I18" s="48"/>
      <c r="J18" s="49"/>
      <c r="K18" s="49"/>
      <c r="L18" s="47"/>
      <c r="M18" s="47"/>
      <c r="N18" s="47"/>
      <c r="O18" s="67"/>
      <c r="P18" s="49"/>
      <c r="Q18" s="49"/>
      <c r="R18" s="47"/>
      <c r="S18" s="47"/>
      <c r="T18" s="48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</row>
    <row r="19" spans="1:37" x14ac:dyDescent="0.25">
      <c r="A19" s="104" t="s">
        <v>67</v>
      </c>
      <c r="B19" s="53"/>
      <c r="C19" s="139">
        <f>SUM(C17:C18)</f>
        <v>1.0216842105263158</v>
      </c>
      <c r="D19" s="139">
        <f>SUM(D17:D18)</f>
        <v>0.81635555555555561</v>
      </c>
      <c r="E19" s="54"/>
      <c r="F19" s="105"/>
      <c r="G19" s="47"/>
      <c r="H19" s="47"/>
      <c r="I19" s="48"/>
      <c r="J19" s="49"/>
      <c r="K19" s="49"/>
      <c r="L19" s="47"/>
      <c r="M19" s="47"/>
      <c r="N19" s="47"/>
      <c r="O19" s="67"/>
      <c r="P19" s="49"/>
      <c r="Q19" s="49"/>
      <c r="R19" s="47"/>
      <c r="S19" s="47"/>
      <c r="T19" s="48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</row>
    <row r="20" spans="1:37" x14ac:dyDescent="0.25">
      <c r="A20" s="104" t="s">
        <v>11</v>
      </c>
      <c r="B20" s="53"/>
      <c r="C20" s="54"/>
      <c r="D20" s="60">
        <v>0.22470000000000001</v>
      </c>
      <c r="E20" s="54"/>
      <c r="F20" s="105"/>
      <c r="G20" s="47"/>
      <c r="H20" s="47"/>
      <c r="I20" s="48"/>
      <c r="J20" s="49"/>
      <c r="K20" s="49"/>
      <c r="L20" s="47"/>
      <c r="M20" s="47"/>
      <c r="N20" s="47"/>
      <c r="O20" s="67"/>
      <c r="P20" s="49"/>
      <c r="Q20" s="49"/>
      <c r="R20" s="47"/>
      <c r="S20" s="47"/>
      <c r="T20" s="48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1:37" ht="15.75" thickBot="1" x14ac:dyDescent="0.3">
      <c r="A21" s="106" t="s">
        <v>18</v>
      </c>
      <c r="B21" s="107" t="s">
        <v>19</v>
      </c>
      <c r="C21" s="109">
        <v>30</v>
      </c>
      <c r="D21" s="109">
        <v>50</v>
      </c>
      <c r="E21" s="109">
        <v>10</v>
      </c>
      <c r="F21" s="110">
        <v>10</v>
      </c>
      <c r="G21" s="47"/>
      <c r="H21" s="47"/>
      <c r="I21" s="48"/>
      <c r="J21" s="49"/>
      <c r="K21" s="49"/>
      <c r="L21" s="47"/>
      <c r="M21" s="47"/>
      <c r="N21" s="47"/>
      <c r="O21" s="67"/>
      <c r="P21" s="49"/>
      <c r="Q21" s="49"/>
      <c r="R21" s="47"/>
      <c r="S21" s="47"/>
      <c r="T21" s="48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</row>
    <row r="22" spans="1:37" ht="15.75" thickBot="1" x14ac:dyDescent="0.3">
      <c r="A22" s="56"/>
      <c r="B22" s="53"/>
      <c r="C22" s="54"/>
      <c r="D22" s="54"/>
      <c r="E22" s="54"/>
      <c r="F22" s="55"/>
      <c r="G22" s="47"/>
      <c r="H22" s="47"/>
      <c r="I22" s="48"/>
      <c r="J22" s="49"/>
      <c r="K22" s="49"/>
      <c r="L22" s="47"/>
      <c r="M22" s="47"/>
      <c r="N22" s="47"/>
      <c r="O22" s="67"/>
      <c r="P22" s="49"/>
      <c r="Q22" s="49"/>
      <c r="R22" s="47"/>
      <c r="S22" s="47"/>
      <c r="T22" s="48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</row>
    <row r="23" spans="1:37" x14ac:dyDescent="0.25">
      <c r="A23" s="113" t="s">
        <v>15</v>
      </c>
      <c r="B23" s="114"/>
      <c r="C23" s="102" t="s">
        <v>303</v>
      </c>
      <c r="D23" s="102" t="s">
        <v>302</v>
      </c>
      <c r="E23" s="102" t="s">
        <v>17</v>
      </c>
      <c r="F23" s="111" t="s">
        <v>20</v>
      </c>
      <c r="G23" s="47"/>
      <c r="H23" s="47"/>
      <c r="I23" s="48"/>
      <c r="J23" s="49"/>
      <c r="K23" s="49"/>
      <c r="L23" s="47"/>
      <c r="M23" s="47"/>
      <c r="N23" s="47"/>
      <c r="O23" s="67"/>
      <c r="P23" s="49"/>
      <c r="Q23" s="49"/>
      <c r="R23" s="47"/>
      <c r="S23" s="47"/>
      <c r="T23" s="48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</row>
    <row r="24" spans="1:37" x14ac:dyDescent="0.25">
      <c r="A24" s="104" t="s">
        <v>54</v>
      </c>
      <c r="B24" s="53"/>
      <c r="C24" s="139">
        <f>C5/SUM($C$5:$C$7)</f>
        <v>0.75</v>
      </c>
      <c r="D24" s="139">
        <f>C6/SUM($C$5:$C$7)</f>
        <v>0.25</v>
      </c>
      <c r="E24" s="139">
        <f>1-SUM(C24:D24)</f>
        <v>0</v>
      </c>
      <c r="F24" s="105"/>
      <c r="G24" s="47"/>
      <c r="H24" s="47"/>
      <c r="I24" s="48"/>
      <c r="J24" s="49"/>
      <c r="K24" s="49"/>
      <c r="L24" s="47"/>
      <c r="M24" s="47"/>
      <c r="N24" s="47"/>
      <c r="O24" s="67"/>
      <c r="P24" s="49"/>
      <c r="Q24" s="49"/>
      <c r="R24" s="47"/>
      <c r="S24" s="47"/>
      <c r="T24" s="48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</row>
    <row r="25" spans="1:37" x14ac:dyDescent="0.25">
      <c r="A25" s="104" t="s">
        <v>60</v>
      </c>
      <c r="B25" s="53" t="s">
        <v>16</v>
      </c>
      <c r="C25" s="133">
        <f>SUM(C5:C7)</f>
        <v>12000</v>
      </c>
      <c r="E25" s="54"/>
      <c r="F25" s="105"/>
      <c r="G25" s="47"/>
      <c r="H25" s="47"/>
      <c r="I25" s="48"/>
      <c r="J25" s="49"/>
      <c r="K25" s="49"/>
      <c r="L25" s="47"/>
      <c r="M25" s="47"/>
      <c r="N25" s="47"/>
      <c r="O25" s="67"/>
      <c r="P25" s="49"/>
      <c r="Q25" s="49"/>
      <c r="R25" s="47"/>
      <c r="S25" s="47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47"/>
      <c r="AK25" s="47"/>
    </row>
    <row r="26" spans="1:37" x14ac:dyDescent="0.25">
      <c r="A26" s="104" t="s">
        <v>59</v>
      </c>
      <c r="B26" s="53" t="s">
        <v>30</v>
      </c>
      <c r="C26" s="140">
        <f>(C5*LHVfossilFast+C6*LHVfossilFri+C7*LHVbiogent)/Ftotal</f>
        <v>10.275</v>
      </c>
      <c r="E26" s="61"/>
      <c r="F26" s="105"/>
      <c r="G26" s="47"/>
      <c r="H26" s="47"/>
      <c r="I26" s="48"/>
      <c r="J26" s="49"/>
      <c r="K26" s="49"/>
      <c r="L26" s="47"/>
      <c r="M26" s="47"/>
      <c r="N26" s="47"/>
      <c r="O26" s="67"/>
      <c r="P26" s="49"/>
      <c r="Q26" s="49"/>
      <c r="R26" s="47"/>
      <c r="S26" s="47"/>
      <c r="T26" s="48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</row>
    <row r="27" spans="1:37" x14ac:dyDescent="0.25">
      <c r="A27" s="104" t="s">
        <v>39</v>
      </c>
      <c r="B27" s="53" t="s">
        <v>24</v>
      </c>
      <c r="C27" s="54">
        <v>525</v>
      </c>
      <c r="D27">
        <v>400</v>
      </c>
      <c r="E27" s="54">
        <f>-6.5*3.6</f>
        <v>-23.400000000000002</v>
      </c>
      <c r="F27" s="105">
        <v>0</v>
      </c>
      <c r="G27" s="47"/>
      <c r="H27" s="47"/>
      <c r="I27" s="48"/>
      <c r="J27" s="49"/>
      <c r="K27" s="49"/>
      <c r="L27" s="47"/>
      <c r="M27" s="47"/>
      <c r="N27" s="47"/>
      <c r="O27" s="67"/>
      <c r="P27" s="49"/>
      <c r="Q27" s="49"/>
      <c r="R27" s="47"/>
      <c r="S27" s="47"/>
      <c r="T27" s="48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</row>
    <row r="28" spans="1:37" x14ac:dyDescent="0.25">
      <c r="A28" s="104" t="s">
        <v>29</v>
      </c>
      <c r="B28" s="53" t="s">
        <v>30</v>
      </c>
      <c r="C28" s="54">
        <v>10.199999999999999</v>
      </c>
      <c r="D28">
        <v>10.5</v>
      </c>
      <c r="E28" s="54">
        <v>14</v>
      </c>
      <c r="F28" s="105">
        <v>3.6</v>
      </c>
      <c r="G28" s="47"/>
      <c r="H28" s="47"/>
      <c r="I28" s="48"/>
      <c r="J28" s="49"/>
      <c r="K28" s="49"/>
      <c r="L28" s="47"/>
      <c r="M28" s="47"/>
      <c r="N28" s="47"/>
      <c r="O28" s="67"/>
      <c r="P28" s="49"/>
      <c r="Q28" s="49"/>
      <c r="R28" s="47"/>
      <c r="S28" s="47"/>
      <c r="T28" s="48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</row>
    <row r="29" spans="1:37" x14ac:dyDescent="0.25">
      <c r="A29" s="104" t="s">
        <v>36</v>
      </c>
      <c r="B29" s="53" t="s">
        <v>34</v>
      </c>
      <c r="C29" s="54">
        <v>37</v>
      </c>
      <c r="D29" s="54">
        <v>37</v>
      </c>
      <c r="E29" s="54">
        <v>0</v>
      </c>
      <c r="F29" s="105">
        <v>0</v>
      </c>
      <c r="G29" s="47"/>
      <c r="H29" s="47"/>
      <c r="I29" s="48"/>
      <c r="J29" s="49"/>
      <c r="K29" s="49"/>
      <c r="L29" s="47"/>
      <c r="M29" s="47"/>
      <c r="N29" s="47"/>
      <c r="O29" s="67"/>
      <c r="P29" s="49"/>
      <c r="Q29" s="49"/>
      <c r="R29" s="47"/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</row>
    <row r="30" spans="1:37" x14ac:dyDescent="0.25">
      <c r="A30" s="104" t="s">
        <v>37</v>
      </c>
      <c r="B30" s="53" t="s">
        <v>34</v>
      </c>
      <c r="C30" s="54">
        <v>42.5</v>
      </c>
      <c r="D30" s="54">
        <v>42.5</v>
      </c>
      <c r="E30" s="54">
        <v>0</v>
      </c>
      <c r="F30" s="105">
        <v>0</v>
      </c>
      <c r="G30" s="47"/>
      <c r="H30" s="47"/>
      <c r="I30" s="48"/>
      <c r="J30" s="49"/>
      <c r="K30" s="49"/>
      <c r="L30" s="47"/>
      <c r="M30" s="47"/>
      <c r="N30" s="47"/>
      <c r="O30" s="67"/>
      <c r="P30" s="49"/>
      <c r="Q30" s="49"/>
      <c r="R30" s="47"/>
      <c r="S30" s="47"/>
      <c r="T30" s="48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</row>
    <row r="31" spans="1:37" ht="15.75" thickBot="1" x14ac:dyDescent="0.3">
      <c r="A31" s="106" t="s">
        <v>129</v>
      </c>
      <c r="B31" s="107" t="s">
        <v>30</v>
      </c>
      <c r="C31" s="109">
        <v>10.6</v>
      </c>
      <c r="D31" s="109">
        <v>10.6</v>
      </c>
      <c r="E31" s="109">
        <v>0</v>
      </c>
      <c r="F31" s="110">
        <v>0</v>
      </c>
      <c r="G31" s="47"/>
      <c r="H31" s="47"/>
      <c r="I31" s="48"/>
      <c r="J31" s="49"/>
      <c r="K31" s="49"/>
      <c r="L31" s="47"/>
      <c r="M31" s="47"/>
      <c r="N31" s="47"/>
      <c r="O31" s="67"/>
      <c r="P31" s="49"/>
      <c r="Q31" s="49"/>
      <c r="R31" s="47"/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</row>
    <row r="32" spans="1:37" ht="15.75" thickBot="1" x14ac:dyDescent="0.3">
      <c r="G32" s="47"/>
      <c r="H32" s="47"/>
      <c r="I32" s="48"/>
      <c r="J32" s="49"/>
      <c r="K32" s="49"/>
      <c r="L32" s="47"/>
      <c r="M32" s="47"/>
      <c r="N32" s="47"/>
      <c r="O32" s="67"/>
      <c r="P32" s="49"/>
      <c r="Q32" s="49"/>
      <c r="R32" s="47"/>
      <c r="S32" s="47"/>
      <c r="T32" s="48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</row>
    <row r="33" spans="1:37" x14ac:dyDescent="0.25">
      <c r="A33" s="113" t="s">
        <v>21</v>
      </c>
      <c r="B33" s="114"/>
      <c r="C33" s="116"/>
      <c r="D33" s="116"/>
      <c r="E33" s="116"/>
      <c r="F33" s="115"/>
      <c r="G33" s="47"/>
      <c r="H33" s="47"/>
      <c r="I33" s="48"/>
      <c r="J33" s="49"/>
      <c r="K33" s="49"/>
      <c r="L33" s="47"/>
      <c r="M33" s="47"/>
      <c r="N33" s="47"/>
      <c r="O33" s="67"/>
      <c r="P33" s="49"/>
      <c r="Q33" s="49"/>
      <c r="R33" s="47"/>
      <c r="S33" s="47"/>
      <c r="T33" s="48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</row>
    <row r="34" spans="1:37" x14ac:dyDescent="0.25">
      <c r="A34" s="104" t="s">
        <v>28</v>
      </c>
      <c r="B34" s="53" t="s">
        <v>23</v>
      </c>
      <c r="C34" s="54">
        <v>311</v>
      </c>
      <c r="D34" s="54"/>
      <c r="E34" s="54"/>
      <c r="F34" s="105"/>
      <c r="G34" s="47"/>
      <c r="H34" s="47"/>
      <c r="I34" s="48"/>
      <c r="J34" s="49"/>
      <c r="K34" s="49"/>
      <c r="L34" s="47"/>
      <c r="M34" s="47"/>
      <c r="N34" s="47"/>
      <c r="O34" s="67"/>
      <c r="P34" s="49"/>
      <c r="Q34" s="49"/>
      <c r="R34" s="47"/>
      <c r="S34" s="47"/>
      <c r="T34" s="48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</row>
    <row r="35" spans="1:37" x14ac:dyDescent="0.25">
      <c r="A35" s="104" t="s">
        <v>25</v>
      </c>
      <c r="B35" s="53" t="s">
        <v>26</v>
      </c>
      <c r="C35" s="54">
        <v>800</v>
      </c>
      <c r="D35" s="54"/>
      <c r="E35" s="54"/>
      <c r="F35" s="105"/>
      <c r="G35" s="47"/>
      <c r="H35" s="47"/>
      <c r="I35" s="48"/>
      <c r="J35" s="49"/>
      <c r="K35" s="49"/>
      <c r="L35" s="47"/>
      <c r="M35" s="47"/>
      <c r="N35" s="47"/>
      <c r="O35" s="67"/>
      <c r="P35" s="49"/>
      <c r="Q35" s="49"/>
      <c r="R35" s="47"/>
      <c r="S35" s="47"/>
      <c r="T35" s="48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</row>
    <row r="36" spans="1:37" x14ac:dyDescent="0.25">
      <c r="A36" s="104" t="s">
        <v>40</v>
      </c>
      <c r="B36" s="53" t="s">
        <v>26</v>
      </c>
      <c r="C36" s="54">
        <v>4</v>
      </c>
      <c r="D36" s="54"/>
      <c r="E36" s="54"/>
      <c r="F36" s="105"/>
      <c r="G36" s="47"/>
      <c r="H36" s="47"/>
      <c r="I36" s="48"/>
      <c r="J36" s="49"/>
      <c r="K36" s="49"/>
      <c r="L36" s="47"/>
      <c r="M36" s="47"/>
      <c r="N36" s="47"/>
      <c r="O36" s="67"/>
      <c r="P36" s="49"/>
      <c r="Q36" s="49"/>
      <c r="R36" s="47"/>
      <c r="S36" s="47"/>
      <c r="T36" s="48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</row>
    <row r="37" spans="1:37" x14ac:dyDescent="0.25">
      <c r="A37" s="104" t="s">
        <v>27</v>
      </c>
      <c r="B37" s="53" t="s">
        <v>38</v>
      </c>
      <c r="C37" s="54">
        <v>400</v>
      </c>
      <c r="D37" s="54"/>
      <c r="E37" s="54"/>
      <c r="F37" s="105"/>
      <c r="G37" s="47"/>
      <c r="H37" s="47"/>
      <c r="I37" s="48"/>
      <c r="J37" s="49"/>
      <c r="K37" s="49"/>
      <c r="L37" s="47"/>
      <c r="M37" s="47"/>
      <c r="N37" s="47"/>
      <c r="O37" s="67"/>
      <c r="P37" s="49"/>
      <c r="Q37" s="49"/>
      <c r="R37" s="47"/>
      <c r="S37" s="47"/>
      <c r="T37" s="48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</row>
    <row r="38" spans="1:37" x14ac:dyDescent="0.25">
      <c r="A38" s="104" t="s">
        <v>31</v>
      </c>
      <c r="B38" s="53" t="s">
        <v>35</v>
      </c>
      <c r="C38" s="54">
        <v>25.8</v>
      </c>
      <c r="D38" s="54"/>
      <c r="E38" s="54"/>
      <c r="F38" s="105"/>
      <c r="G38" s="47"/>
      <c r="H38" s="47"/>
      <c r="I38" s="48"/>
      <c r="J38" s="49"/>
      <c r="K38" s="49"/>
      <c r="L38" s="47"/>
      <c r="M38" s="47"/>
      <c r="N38" s="47"/>
      <c r="O38" s="67"/>
      <c r="P38" s="49"/>
      <c r="Q38" s="49"/>
      <c r="R38" s="47"/>
      <c r="S38" s="47"/>
      <c r="T38" s="48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</row>
    <row r="39" spans="1:37" x14ac:dyDescent="0.25">
      <c r="A39" s="104" t="s">
        <v>32</v>
      </c>
      <c r="B39" s="53" t="s">
        <v>35</v>
      </c>
      <c r="C39" s="54">
        <v>31.8</v>
      </c>
      <c r="D39" s="54"/>
      <c r="E39" s="54"/>
      <c r="F39" s="105"/>
      <c r="G39" s="47"/>
      <c r="H39" s="47"/>
      <c r="I39" s="48"/>
      <c r="J39" s="49"/>
      <c r="K39" s="49"/>
      <c r="L39" s="47"/>
      <c r="M39" s="47"/>
      <c r="N39" s="47"/>
      <c r="O39" s="67"/>
      <c r="P39" s="49"/>
      <c r="Q39" s="49"/>
      <c r="R39" s="47"/>
      <c r="S39" s="47"/>
      <c r="T39" s="48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</row>
    <row r="40" spans="1:37" ht="15.75" thickBot="1" x14ac:dyDescent="0.3">
      <c r="A40" s="106" t="s">
        <v>33</v>
      </c>
      <c r="B40" s="107" t="s">
        <v>38</v>
      </c>
      <c r="C40" s="109">
        <v>178.5</v>
      </c>
      <c r="D40" s="109"/>
      <c r="E40" s="109"/>
      <c r="F40" s="110"/>
      <c r="G40" s="47"/>
      <c r="H40" s="47"/>
      <c r="I40" s="48"/>
      <c r="J40" s="49"/>
      <c r="K40" s="49"/>
      <c r="L40" s="47"/>
      <c r="M40" s="47"/>
      <c r="N40" s="47"/>
      <c r="O40" s="67"/>
      <c r="P40" s="49"/>
      <c r="Q40" s="49"/>
      <c r="R40" s="47"/>
      <c r="S40" s="47"/>
      <c r="T40" s="48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</row>
    <row r="41" spans="1:37" x14ac:dyDescent="0.25">
      <c r="A41" s="62"/>
      <c r="B41" s="48"/>
      <c r="C41" s="47"/>
      <c r="D41" s="47"/>
      <c r="E41" s="47"/>
      <c r="F41" s="47"/>
      <c r="G41" s="47"/>
      <c r="H41" s="47"/>
      <c r="I41" s="48"/>
      <c r="J41" s="49"/>
      <c r="K41" s="49"/>
      <c r="L41" s="47"/>
      <c r="M41" s="47"/>
      <c r="N41" s="47"/>
      <c r="O41" s="67"/>
      <c r="P41" s="49"/>
      <c r="Q41" s="49"/>
      <c r="R41" s="47"/>
      <c r="S41" s="47"/>
      <c r="T41" s="48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</row>
    <row r="42" spans="1:37" x14ac:dyDescent="0.25">
      <c r="A42" s="48"/>
      <c r="B42" s="48"/>
      <c r="C42" s="47"/>
      <c r="D42" s="47"/>
      <c r="E42" s="47"/>
      <c r="F42" s="47"/>
      <c r="G42" s="47"/>
      <c r="H42" s="47"/>
      <c r="I42" s="48"/>
      <c r="J42" s="49"/>
      <c r="K42" s="49"/>
      <c r="L42" s="47"/>
      <c r="M42" s="47"/>
      <c r="N42" s="47"/>
      <c r="O42" s="67"/>
      <c r="P42" s="49"/>
      <c r="Q42" s="49"/>
      <c r="R42" s="47"/>
      <c r="S42" s="47"/>
      <c r="T42" s="48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</row>
    <row r="43" spans="1:37" x14ac:dyDescent="0.25">
      <c r="A43" s="48"/>
      <c r="B43" s="48"/>
      <c r="C43" s="47"/>
      <c r="D43" s="47"/>
      <c r="E43" s="47"/>
      <c r="F43" s="47"/>
      <c r="G43" s="47"/>
      <c r="H43" s="47"/>
      <c r="I43" s="48"/>
      <c r="J43" s="49"/>
      <c r="K43" s="49"/>
      <c r="L43" s="47"/>
      <c r="M43" s="47"/>
      <c r="N43" s="47"/>
      <c r="O43" s="67"/>
      <c r="P43" s="49"/>
      <c r="Q43" s="49"/>
      <c r="R43" s="47"/>
      <c r="S43" s="47"/>
      <c r="T43" s="48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</row>
    <row r="44" spans="1:37" x14ac:dyDescent="0.25">
      <c r="A44" s="47"/>
      <c r="B44" s="48"/>
      <c r="C44" s="47"/>
      <c r="D44" s="47"/>
      <c r="E44" s="47"/>
      <c r="F44" s="47"/>
      <c r="G44" s="47"/>
      <c r="H44" s="47"/>
      <c r="I44" s="48"/>
      <c r="J44" s="49"/>
      <c r="K44" s="49"/>
      <c r="L44" s="47"/>
      <c r="M44" s="47"/>
      <c r="N44" s="47"/>
      <c r="O44" s="67"/>
      <c r="P44" s="49"/>
      <c r="Q44" s="49"/>
      <c r="R44" s="47"/>
      <c r="S44" s="47"/>
      <c r="T44" s="48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</row>
    <row r="45" spans="1:37" x14ac:dyDescent="0.25">
      <c r="G45" s="47"/>
      <c r="H45" s="47"/>
      <c r="I45" s="48"/>
      <c r="J45" s="49"/>
      <c r="K45" s="49"/>
      <c r="L45" s="47"/>
      <c r="M45" s="47"/>
      <c r="N45" s="47"/>
      <c r="O45" s="67"/>
      <c r="P45" s="49"/>
      <c r="Q45" s="49"/>
      <c r="R45" s="47"/>
      <c r="S45" s="47"/>
      <c r="T45" s="48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</row>
    <row r="46" spans="1:37" x14ac:dyDescent="0.25">
      <c r="H46" s="143" t="s">
        <v>134</v>
      </c>
      <c r="I46" s="143"/>
      <c r="J46" s="143"/>
      <c r="K46" s="143"/>
      <c r="L46" s="143"/>
      <c r="N46" s="144" t="s">
        <v>42</v>
      </c>
      <c r="O46" s="144"/>
      <c r="P46" s="144"/>
      <c r="Q46" s="144"/>
      <c r="R46" s="144"/>
      <c r="T46" s="48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</row>
    <row r="47" spans="1:37" x14ac:dyDescent="0.25">
      <c r="T47" s="48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</row>
    <row r="48" spans="1:37" x14ac:dyDescent="0.25">
      <c r="I48" s="7" t="s">
        <v>47</v>
      </c>
      <c r="J48" s="13"/>
      <c r="K48" s="13"/>
      <c r="L48" s="2"/>
      <c r="N48" s="2" t="s">
        <v>222</v>
      </c>
      <c r="O48" s="6" t="s">
        <v>47</v>
      </c>
      <c r="P48" s="13" t="str">
        <f>J101</f>
        <v>Uden RGK</v>
      </c>
      <c r="Q48" s="13" t="str">
        <f t="shared" ref="Q48" si="0">K101</f>
        <v>Med 100% RGK</v>
      </c>
      <c r="R48" s="141" t="s">
        <v>305</v>
      </c>
      <c r="T48" s="48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</row>
    <row r="49" spans="8:37" x14ac:dyDescent="0.25">
      <c r="H49" s="2" t="s">
        <v>127</v>
      </c>
      <c r="I49" s="7"/>
      <c r="J49" s="13" t="s">
        <v>0</v>
      </c>
      <c r="K49" s="13" t="s">
        <v>1</v>
      </c>
      <c r="L49" s="3" t="s">
        <v>142</v>
      </c>
      <c r="N49" s="12" t="str">
        <f t="shared" ref="N49:R51" si="1">H114</f>
        <v>Indtægter total</v>
      </c>
      <c r="O49" s="71" t="str">
        <f t="shared" si="1"/>
        <v>tkr</v>
      </c>
      <c r="P49" s="16">
        <f t="shared" si="1"/>
        <v>16027328.736072451</v>
      </c>
      <c r="Q49" s="16">
        <f t="shared" si="1"/>
        <v>15560102.467270171</v>
      </c>
      <c r="R49" s="16">
        <f t="shared" si="1"/>
        <v>-467226.26880227961</v>
      </c>
      <c r="T49" s="48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</row>
    <row r="50" spans="8:37" x14ac:dyDescent="0.25">
      <c r="H50" s="5" t="s">
        <v>49</v>
      </c>
      <c r="I50" s="7"/>
      <c r="J50" s="11">
        <f>24*C$12</f>
        <v>744</v>
      </c>
      <c r="K50" s="11">
        <f>24*D$12</f>
        <v>744</v>
      </c>
      <c r="N50" s="12" t="str">
        <f t="shared" si="1"/>
        <v>Omkostninger total</v>
      </c>
      <c r="O50" s="71" t="str">
        <f t="shared" si="1"/>
        <v>tkr</v>
      </c>
      <c r="P50" s="16">
        <f t="shared" si="1"/>
        <v>8143171.6554425396</v>
      </c>
      <c r="Q50" s="16">
        <f t="shared" si="1"/>
        <v>7557908.8353493344</v>
      </c>
      <c r="R50" s="16">
        <f t="shared" si="1"/>
        <v>-585262.8200932052</v>
      </c>
      <c r="T50" s="48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</row>
    <row r="51" spans="8:37" x14ac:dyDescent="0.25">
      <c r="H51" s="5" t="s">
        <v>50</v>
      </c>
      <c r="I51" s="4" t="s">
        <v>41</v>
      </c>
      <c r="J51" s="14">
        <f>J50*C13</f>
        <v>7068</v>
      </c>
      <c r="K51" s="14">
        <f>K50*D13</f>
        <v>16740</v>
      </c>
      <c r="L51" s="14">
        <f>SUM(J51:K51)</f>
        <v>23808</v>
      </c>
      <c r="N51" s="12" t="str">
        <f t="shared" si="1"/>
        <v>Dækningsbidrag</v>
      </c>
      <c r="O51" s="71" t="str">
        <f t="shared" si="1"/>
        <v>tkr</v>
      </c>
      <c r="P51" s="16">
        <f t="shared" si="1"/>
        <v>7884157.0806299113</v>
      </c>
      <c r="Q51" s="16">
        <f t="shared" si="1"/>
        <v>8002193.6319208369</v>
      </c>
      <c r="R51" s="16">
        <f t="shared" si="1"/>
        <v>118036.55129092559</v>
      </c>
      <c r="T51" s="48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</row>
    <row r="52" spans="8:37" x14ac:dyDescent="0.25">
      <c r="H52" s="5" t="s">
        <v>63</v>
      </c>
      <c r="I52" s="12" t="s">
        <v>41</v>
      </c>
      <c r="J52" s="14">
        <f>EtaRgkOvn2/EtaQNomOvn2*J51</f>
        <v>1488</v>
      </c>
      <c r="K52" s="14">
        <f>EtaRgkOvn3/EtaQNomOvn3*K51</f>
        <v>4092</v>
      </c>
      <c r="L52" s="14">
        <f t="shared" ref="L52:L55" si="2">SUM(J52:K52)</f>
        <v>5580</v>
      </c>
      <c r="N52" s="2"/>
      <c r="O52" s="6"/>
      <c r="P52" s="13"/>
      <c r="Q52" s="13"/>
      <c r="R52" s="13"/>
      <c r="T52" s="48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</row>
    <row r="53" spans="8:37" x14ac:dyDescent="0.25">
      <c r="H53" s="5" t="s">
        <v>64</v>
      </c>
      <c r="I53" s="12" t="s">
        <v>41</v>
      </c>
      <c r="J53" s="14">
        <f>SUM(J51:J52)</f>
        <v>8556</v>
      </c>
      <c r="K53" s="14">
        <f>SUM(K51:K52)</f>
        <v>20832</v>
      </c>
      <c r="L53" s="14">
        <f t="shared" si="2"/>
        <v>29388</v>
      </c>
      <c r="N53" s="12" t="str">
        <f>H102</f>
        <v>Varmesalg</v>
      </c>
      <c r="O53" s="71" t="str">
        <f t="shared" ref="O53:R56" si="3">I102</f>
        <v>tkr</v>
      </c>
      <c r="P53" s="15">
        <f t="shared" si="3"/>
        <v>7404288</v>
      </c>
      <c r="Q53" s="15">
        <f t="shared" si="3"/>
        <v>7464000</v>
      </c>
      <c r="R53" s="16">
        <f t="shared" si="3"/>
        <v>59712</v>
      </c>
      <c r="T53" s="48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</row>
    <row r="54" spans="8:37" x14ac:dyDescent="0.25">
      <c r="H54" s="5" t="s">
        <v>51</v>
      </c>
      <c r="I54" s="4" t="s">
        <v>52</v>
      </c>
      <c r="J54" s="11">
        <f>J51/EtaQNomOvn2</f>
        <v>8374.4075829383892</v>
      </c>
      <c r="K54" s="11">
        <f>K51/EtaQNomOvn3</f>
        <v>25518.292682926829</v>
      </c>
      <c r="L54" s="14">
        <f t="shared" si="2"/>
        <v>33892.70026586522</v>
      </c>
      <c r="N54" s="12" t="str">
        <f>H103</f>
        <v>Elsalg</v>
      </c>
      <c r="O54" s="71" t="str">
        <f t="shared" si="3"/>
        <v>tkr</v>
      </c>
      <c r="P54" s="15">
        <f t="shared" si="3"/>
        <v>3947332.4512195126</v>
      </c>
      <c r="Q54" s="15">
        <f t="shared" si="3"/>
        <v>3947332.4512195126</v>
      </c>
      <c r="R54" s="16">
        <f t="shared" si="3"/>
        <v>0</v>
      </c>
      <c r="T54" s="48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</row>
    <row r="55" spans="8:37" x14ac:dyDescent="0.25">
      <c r="H55" s="5" t="s">
        <v>53</v>
      </c>
      <c r="I55" s="12" t="s">
        <v>16</v>
      </c>
      <c r="J55" s="14">
        <f>J54*3.6/Htotal</f>
        <v>2934.0990071608958</v>
      </c>
      <c r="K55" s="14">
        <f>K54/(Htotal/3.6)</f>
        <v>8940.7156845291083</v>
      </c>
      <c r="L55" s="14">
        <f t="shared" si="2"/>
        <v>11874.814691690004</v>
      </c>
      <c r="N55" s="12" t="str">
        <f>H104</f>
        <v>RGK-rabat</v>
      </c>
      <c r="O55" s="71" t="str">
        <f t="shared" si="3"/>
        <v>tkr</v>
      </c>
      <c r="P55" s="15">
        <f t="shared" si="3"/>
        <v>0</v>
      </c>
      <c r="Q55" s="15">
        <f t="shared" si="3"/>
        <v>200593.80181097562</v>
      </c>
      <c r="R55" s="16">
        <f t="shared" si="3"/>
        <v>200593.80181097562</v>
      </c>
      <c r="T55" s="48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</row>
    <row r="56" spans="8:37" x14ac:dyDescent="0.25">
      <c r="H56" s="4"/>
      <c r="J56" s="14"/>
      <c r="K56" s="14"/>
      <c r="N56" s="12" t="str">
        <f>H105</f>
        <v>Modtagebetaling affald</v>
      </c>
      <c r="O56" s="71" t="str">
        <f t="shared" si="3"/>
        <v>tkr</v>
      </c>
      <c r="P56" s="15">
        <f t="shared" si="3"/>
        <v>4675708.2848529397</v>
      </c>
      <c r="Q56" s="15">
        <f t="shared" si="3"/>
        <v>3948176.214239683</v>
      </c>
      <c r="R56" s="16">
        <f t="shared" si="3"/>
        <v>-727532.07061325666</v>
      </c>
      <c r="T56" s="48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</row>
    <row r="57" spans="8:37" x14ac:dyDescent="0.25">
      <c r="H57" s="6" t="s">
        <v>128</v>
      </c>
      <c r="J57" s="13" t="s">
        <v>43</v>
      </c>
      <c r="K57" s="13" t="str">
        <f>"Med "&amp;TEXT(RGKudnyttelse,"0%")&amp;" RGK"</f>
        <v>Med 100% RGK</v>
      </c>
      <c r="L57" s="2" t="s">
        <v>131</v>
      </c>
      <c r="N57" s="12"/>
      <c r="O57" s="71"/>
      <c r="P57" s="16"/>
      <c r="Q57" s="16"/>
      <c r="R57" s="16"/>
      <c r="T57" s="48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</row>
    <row r="58" spans="8:37" x14ac:dyDescent="0.25">
      <c r="H58" s="5" t="s">
        <v>55</v>
      </c>
      <c r="I58" s="4" t="s">
        <v>41</v>
      </c>
      <c r="J58" s="14">
        <f>MIN(Qdemand,K51,EtaQNomOvn3*Ftotal*Htotal/3.6)</f>
        <v>16740</v>
      </c>
      <c r="K58" s="14">
        <f>MIN(Qdemand,K53,EtaQmaxOvn3*Ftotal*Htotal/3.6)</f>
        <v>20832</v>
      </c>
      <c r="L58" s="11">
        <f>K58-J58</f>
        <v>4092</v>
      </c>
      <c r="N58" s="12" t="str">
        <f t="shared" ref="N58:N63" si="4">H107</f>
        <v>Betaling bioaffald</v>
      </c>
      <c r="O58" s="71" t="str">
        <f t="shared" ref="O58:O63" si="5">I107</f>
        <v>tkr</v>
      </c>
      <c r="P58" s="16">
        <f t="shared" ref="P58:P63" si="6">J107</f>
        <v>0</v>
      </c>
      <c r="Q58" s="16">
        <f t="shared" ref="Q58:Q63" si="7">K107</f>
        <v>0</v>
      </c>
      <c r="R58" s="16">
        <f t="shared" ref="R58:R63" si="8">L107</f>
        <v>0</v>
      </c>
      <c r="T58" s="48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</row>
    <row r="59" spans="8:37" x14ac:dyDescent="0.25">
      <c r="H59" s="4" t="s">
        <v>58</v>
      </c>
      <c r="I59" s="4" t="s">
        <v>16</v>
      </c>
      <c r="J59" s="11">
        <f>$J$58/EtaQNomOvn3/(Htotal/3.6)</f>
        <v>8940.7156845291083</v>
      </c>
      <c r="K59" s="11">
        <f>$K$58/EtaQmaxOvn3/(Htotal/3.6)</f>
        <v>8940.7156845291083</v>
      </c>
      <c r="L59" s="11">
        <f t="shared" ref="L59:L99" si="9">K59-J59</f>
        <v>0</v>
      </c>
      <c r="N59" s="12" t="str">
        <f t="shared" si="4"/>
        <v>DV-omkostninger</v>
      </c>
      <c r="O59" s="71" t="str">
        <f t="shared" si="5"/>
        <v>tkr</v>
      </c>
      <c r="P59" s="15">
        <f t="shared" si="6"/>
        <v>1049040</v>
      </c>
      <c r="Q59" s="15">
        <f t="shared" si="7"/>
        <v>1099354.221690486</v>
      </c>
      <c r="R59" s="16">
        <f t="shared" si="8"/>
        <v>50314.221690485952</v>
      </c>
      <c r="T59" s="48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</row>
    <row r="60" spans="8:37" x14ac:dyDescent="0.25">
      <c r="H60" s="4" t="s">
        <v>56</v>
      </c>
      <c r="I60" s="4" t="s">
        <v>41</v>
      </c>
      <c r="J60" s="14">
        <f>Qdemand-J58</f>
        <v>11260</v>
      </c>
      <c r="K60" s="14">
        <f>Qdemand-K58</f>
        <v>7168</v>
      </c>
      <c r="L60" s="11">
        <f t="shared" si="9"/>
        <v>-4092</v>
      </c>
      <c r="N60" s="12" t="str">
        <f t="shared" si="4"/>
        <v>Affaldvarme-afgift</v>
      </c>
      <c r="O60" s="71" t="str">
        <f t="shared" si="5"/>
        <v>tkr</v>
      </c>
      <c r="P60" s="15">
        <f t="shared" si="6"/>
        <v>2211287.04</v>
      </c>
      <c r="Q60" s="15">
        <f t="shared" si="7"/>
        <v>2229120</v>
      </c>
      <c r="R60" s="16">
        <f t="shared" si="8"/>
        <v>17832.959999999963</v>
      </c>
      <c r="T60" s="48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</row>
    <row r="61" spans="8:37" x14ac:dyDescent="0.25">
      <c r="H61" s="4" t="s">
        <v>57</v>
      </c>
      <c r="I61" s="4" t="s">
        <v>16</v>
      </c>
      <c r="J61" s="14">
        <f>Ftotal-J59</f>
        <v>3059.2843154708917</v>
      </c>
      <c r="K61" s="14">
        <f>Ftotal-K59</f>
        <v>3059.2843154708917</v>
      </c>
      <c r="L61" s="11">
        <f t="shared" si="9"/>
        <v>0</v>
      </c>
      <c r="N61" s="12" t="str">
        <f t="shared" si="4"/>
        <v>Tillægsafgift</v>
      </c>
      <c r="O61" s="71" t="str">
        <f t="shared" si="5"/>
        <v>tkr</v>
      </c>
      <c r="P61" s="16">
        <f t="shared" si="6"/>
        <v>2271283.2000000002</v>
      </c>
      <c r="Q61" s="16">
        <f t="shared" si="7"/>
        <v>2005938.0181097561</v>
      </c>
      <c r="R61" s="16">
        <f t="shared" si="8"/>
        <v>-265345.18189024413</v>
      </c>
      <c r="T61" s="48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</row>
    <row r="62" spans="8:37" x14ac:dyDescent="0.25">
      <c r="H62" s="5" t="s">
        <v>61</v>
      </c>
      <c r="I62" s="4" t="s">
        <v>41</v>
      </c>
      <c r="J62" s="14">
        <f>MIN(J60,NSvarme)</f>
        <v>4000</v>
      </c>
      <c r="K62" s="14">
        <f>MIN(K60,NSvarme)</f>
        <v>4000</v>
      </c>
      <c r="L62" s="11">
        <f t="shared" si="9"/>
        <v>0</v>
      </c>
      <c r="N62" s="12" t="str">
        <f t="shared" si="4"/>
        <v>CO2-afgift</v>
      </c>
      <c r="O62" s="71" t="str">
        <f t="shared" si="5"/>
        <v>tkr</v>
      </c>
      <c r="P62" s="16">
        <f t="shared" si="6"/>
        <v>471719.80799999996</v>
      </c>
      <c r="Q62" s="16">
        <f t="shared" si="7"/>
        <v>416610.61762911582</v>
      </c>
      <c r="R62" s="16">
        <f t="shared" si="8"/>
        <v>-55109.190370884142</v>
      </c>
      <c r="T62" s="48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</row>
    <row r="63" spans="8:37" x14ac:dyDescent="0.25">
      <c r="H63" s="4" t="s">
        <v>56</v>
      </c>
      <c r="I63" s="4" t="s">
        <v>41</v>
      </c>
      <c r="J63" s="14">
        <f>J60-J62</f>
        <v>7260</v>
      </c>
      <c r="K63" s="14">
        <f>K60-K62</f>
        <v>3168</v>
      </c>
      <c r="L63" s="11">
        <f t="shared" si="9"/>
        <v>-4092</v>
      </c>
      <c r="N63" s="12" t="str">
        <f t="shared" si="4"/>
        <v>Kvote-omkostning</v>
      </c>
      <c r="O63" s="71" t="str">
        <f t="shared" si="5"/>
        <v>tkr</v>
      </c>
      <c r="P63" s="16">
        <f t="shared" si="6"/>
        <v>2139841.6074425387</v>
      </c>
      <c r="Q63" s="16">
        <f t="shared" si="7"/>
        <v>1806885.9779199767</v>
      </c>
      <c r="R63" s="16">
        <f t="shared" si="8"/>
        <v>-332955.62952256203</v>
      </c>
      <c r="T63" s="48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</row>
    <row r="64" spans="8:37" x14ac:dyDescent="0.25">
      <c r="H64" s="5" t="s">
        <v>62</v>
      </c>
      <c r="I64" s="4" t="s">
        <v>41</v>
      </c>
      <c r="J64" s="14">
        <f>MIN($J$63,J51,EtaQNomOvn2*(J61*Htotal)/3.6)</f>
        <v>7068</v>
      </c>
      <c r="K64" s="14">
        <f>MIN($K$63,J53,EtaQmaxOvn2*(K61*Htotal)/3.6)</f>
        <v>3168</v>
      </c>
      <c r="L64" s="11">
        <f t="shared" si="9"/>
        <v>-3900</v>
      </c>
      <c r="N64" s="12"/>
      <c r="O64" s="71"/>
      <c r="P64" s="16"/>
      <c r="Q64" s="16"/>
      <c r="R64" s="16"/>
      <c r="T64" s="48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</row>
    <row r="65" spans="8:37" x14ac:dyDescent="0.25">
      <c r="H65" s="4" t="s">
        <v>58</v>
      </c>
      <c r="I65" s="4" t="s">
        <v>16</v>
      </c>
      <c r="J65" s="14">
        <f>$J$64/EtaQNomOvn2/(Htotal/3.6)</f>
        <v>2934.0990071608958</v>
      </c>
      <c r="K65" s="14">
        <f>$K$64/EtaQmaxOvn2/(Htotal/3.6)</f>
        <v>1086.3985103653247</v>
      </c>
      <c r="L65" s="11">
        <f t="shared" si="9"/>
        <v>-1847.7004967955711</v>
      </c>
      <c r="N65" s="6" t="s">
        <v>223</v>
      </c>
      <c r="O65" s="5"/>
      <c r="P65" s="13" t="str">
        <f>P48</f>
        <v>Uden RGK</v>
      </c>
      <c r="Q65" s="13" t="str">
        <f>Q48</f>
        <v>Med 100% RGK</v>
      </c>
      <c r="R65" s="11"/>
      <c r="T65" s="48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</row>
    <row r="66" spans="8:37" x14ac:dyDescent="0.25">
      <c r="H66" s="4" t="s">
        <v>56</v>
      </c>
      <c r="I66" s="4" t="s">
        <v>41</v>
      </c>
      <c r="J66" s="14">
        <f>J63-J64</f>
        <v>192</v>
      </c>
      <c r="K66" s="14">
        <f>K63-K64</f>
        <v>0</v>
      </c>
      <c r="L66" s="11">
        <f t="shared" si="9"/>
        <v>-192</v>
      </c>
      <c r="N66" s="4" t="str">
        <f>H84</f>
        <v>Varmeproduktion Ovn2</v>
      </c>
      <c r="O66" s="5" t="s">
        <v>41</v>
      </c>
      <c r="P66" s="11">
        <f>J84</f>
        <v>7068</v>
      </c>
      <c r="Q66" s="11">
        <f>K84</f>
        <v>3168</v>
      </c>
      <c r="R66" s="11">
        <f>Q66-P66</f>
        <v>-3900</v>
      </c>
      <c r="T66" s="48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</row>
    <row r="67" spans="8:37" x14ac:dyDescent="0.25">
      <c r="H67" s="4" t="s">
        <v>57</v>
      </c>
      <c r="I67" s="4" t="s">
        <v>16</v>
      </c>
      <c r="J67" s="14">
        <f>J61-J65</f>
        <v>125.18530830999589</v>
      </c>
      <c r="K67" s="14">
        <f>K61-K65</f>
        <v>1972.885805105567</v>
      </c>
      <c r="L67" s="11">
        <f t="shared" si="9"/>
        <v>1847.7004967955711</v>
      </c>
      <c r="N67" s="4" t="str">
        <f>H85</f>
        <v>Varmeproduktion Ovn3</v>
      </c>
      <c r="O67" s="5" t="s">
        <v>41</v>
      </c>
      <c r="P67" s="11">
        <f>J85</f>
        <v>16740</v>
      </c>
      <c r="Q67" s="11">
        <f>K85</f>
        <v>20832</v>
      </c>
      <c r="R67" s="11">
        <f t="shared" ref="R67:R71" si="10">Q67-P67</f>
        <v>4092</v>
      </c>
      <c r="T67" s="48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</row>
    <row r="68" spans="8:37" x14ac:dyDescent="0.25">
      <c r="H68" s="5" t="s">
        <v>65</v>
      </c>
      <c r="I68" s="4" t="s">
        <v>41</v>
      </c>
      <c r="J68" s="14">
        <f>J58+J64</f>
        <v>23808</v>
      </c>
      <c r="K68" s="14">
        <f>K58+K64</f>
        <v>24000</v>
      </c>
      <c r="L68" s="11">
        <f t="shared" si="9"/>
        <v>192</v>
      </c>
      <c r="N68" s="4" t="str">
        <f>H87</f>
        <v>Heraf RGK-varme</v>
      </c>
      <c r="O68" s="5" t="s">
        <v>41</v>
      </c>
      <c r="P68" s="11">
        <f>J87</f>
        <v>0</v>
      </c>
      <c r="Q68" s="11">
        <f>K87</f>
        <v>5031.4221690485911</v>
      </c>
      <c r="R68" s="11">
        <f t="shared" si="10"/>
        <v>5031.4221690485911</v>
      </c>
      <c r="T68" s="48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</row>
    <row r="69" spans="8:37" x14ac:dyDescent="0.25">
      <c r="H69" s="5" t="s">
        <v>66</v>
      </c>
      <c r="I69" s="4" t="s">
        <v>41</v>
      </c>
      <c r="J69" s="14">
        <f>J66</f>
        <v>192</v>
      </c>
      <c r="K69" s="14">
        <f>K66</f>
        <v>0</v>
      </c>
      <c r="L69" s="11">
        <f t="shared" si="9"/>
        <v>-192</v>
      </c>
      <c r="N69" s="4" t="str">
        <f>H78</f>
        <v>Bortkølet varme</v>
      </c>
      <c r="O69" s="5" t="s">
        <v>41</v>
      </c>
      <c r="P69" s="11">
        <f>J78</f>
        <v>0</v>
      </c>
      <c r="Q69" s="11">
        <f>K78</f>
        <v>0</v>
      </c>
      <c r="R69" s="11">
        <f t="shared" si="10"/>
        <v>0</v>
      </c>
      <c r="T69" s="48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</row>
    <row r="70" spans="8:37" x14ac:dyDescent="0.25">
      <c r="H70" s="4" t="s">
        <v>89</v>
      </c>
      <c r="I70" s="4" t="s">
        <v>41</v>
      </c>
      <c r="J70" s="11">
        <f>$J$51-EtaQNomOvn2*J65*Htotal/3.6</f>
        <v>0</v>
      </c>
      <c r="K70" s="11">
        <f>J70</f>
        <v>0</v>
      </c>
      <c r="L70" s="11">
        <f t="shared" si="9"/>
        <v>0</v>
      </c>
      <c r="N70" s="4" t="str">
        <f>H90</f>
        <v>Leveret affaldsvarme</v>
      </c>
      <c r="O70" s="5" t="s">
        <v>41</v>
      </c>
      <c r="P70" s="11">
        <f>J90</f>
        <v>23808</v>
      </c>
      <c r="Q70" s="11">
        <f>K90</f>
        <v>24000</v>
      </c>
      <c r="R70" s="11">
        <f t="shared" si="10"/>
        <v>192</v>
      </c>
      <c r="T70" s="48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</row>
    <row r="71" spans="8:37" x14ac:dyDescent="0.25">
      <c r="H71" s="4" t="s">
        <v>90</v>
      </c>
      <c r="I71" s="4" t="s">
        <v>41</v>
      </c>
      <c r="J71" s="11">
        <f>$K$51-EtaQNomOvn3*J59*Htotal/3.6</f>
        <v>0</v>
      </c>
      <c r="K71" s="11">
        <f>J71</f>
        <v>0</v>
      </c>
      <c r="L71" s="11">
        <f t="shared" si="9"/>
        <v>0</v>
      </c>
      <c r="N71" s="4" t="str">
        <f>H91</f>
        <v>Spidslastvarme</v>
      </c>
      <c r="O71" s="5" t="s">
        <v>41</v>
      </c>
      <c r="P71" s="11">
        <f>J91</f>
        <v>192</v>
      </c>
      <c r="Q71" s="11">
        <f>K91</f>
        <v>0</v>
      </c>
      <c r="R71" s="11">
        <f t="shared" si="10"/>
        <v>-192</v>
      </c>
      <c r="T71" s="48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</row>
    <row r="72" spans="8:37" x14ac:dyDescent="0.25">
      <c r="H72" s="4" t="s">
        <v>92</v>
      </c>
      <c r="I72" s="4" t="s">
        <v>41</v>
      </c>
      <c r="J72" s="11">
        <f>MIN(J71,EtaQNomOvn3*J67*Htotal/3.6,24*E12*KapQcool)</f>
        <v>0</v>
      </c>
      <c r="K72" s="11">
        <f>MIN(K71,EtaQNomOvn3*K67*Htotal/3.6,24*E12*KapQcool)</f>
        <v>0</v>
      </c>
      <c r="L72" s="11">
        <f t="shared" si="9"/>
        <v>0</v>
      </c>
      <c r="N72" s="4"/>
      <c r="O72" s="5"/>
      <c r="P72" s="16"/>
      <c r="Q72" s="16"/>
      <c r="R72" s="11"/>
      <c r="T72" s="48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</row>
    <row r="73" spans="8:37" x14ac:dyDescent="0.25">
      <c r="H73" s="4" t="s">
        <v>93</v>
      </c>
      <c r="I73" s="4" t="s">
        <v>16</v>
      </c>
      <c r="J73" s="11">
        <f>J72/EtaQNomOvn3/(Htotal/3.6)</f>
        <v>0</v>
      </c>
      <c r="K73" s="11">
        <f>K72/EtaQNomOvn3/(Htotal/3.6)</f>
        <v>0</v>
      </c>
      <c r="L73" s="11">
        <f t="shared" si="9"/>
        <v>0</v>
      </c>
      <c r="N73" s="6" t="s">
        <v>224</v>
      </c>
      <c r="O73" s="5"/>
      <c r="P73" s="63" t="str">
        <f>P48</f>
        <v>Uden RGK</v>
      </c>
      <c r="Q73" s="63" t="str">
        <f>Q48</f>
        <v>Med 100% RGK</v>
      </c>
      <c r="R73" s="11"/>
      <c r="T73" s="48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</row>
    <row r="74" spans="8:37" x14ac:dyDescent="0.25">
      <c r="H74" s="4" t="s">
        <v>57</v>
      </c>
      <c r="I74" s="4" t="s">
        <v>16</v>
      </c>
      <c r="J74" s="11">
        <f>J67-J73</f>
        <v>125.18530830999589</v>
      </c>
      <c r="K74" s="11">
        <f>K67-K73</f>
        <v>1972.885805105567</v>
      </c>
      <c r="L74" s="11">
        <f t="shared" si="9"/>
        <v>1847.7004967955711</v>
      </c>
      <c r="N74" s="4" t="s">
        <v>135</v>
      </c>
      <c r="O74" s="5" t="s">
        <v>16</v>
      </c>
      <c r="P74" s="11">
        <f>J59</f>
        <v>8940.7156845291083</v>
      </c>
      <c r="Q74" s="11">
        <f>K59</f>
        <v>8940.7156845291083</v>
      </c>
      <c r="R74" s="11">
        <f>Q74-P74</f>
        <v>0</v>
      </c>
      <c r="T74" s="48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</row>
    <row r="75" spans="8:37" x14ac:dyDescent="0.25">
      <c r="H75" s="4" t="s">
        <v>91</v>
      </c>
      <c r="I75" s="4" t="s">
        <v>41</v>
      </c>
      <c r="J75" s="11">
        <f>MIN(J70,EtaQNomOvn3*J74*Htotal/3.6,24*E12*KapQcool-J72)</f>
        <v>0</v>
      </c>
      <c r="K75" s="11">
        <f>MIN(K70,EtaQNomOvn3*K74*Htotal/3.6,24*E12*KapQcool-K72)</f>
        <v>0</v>
      </c>
      <c r="L75" s="11">
        <f t="shared" si="9"/>
        <v>0</v>
      </c>
      <c r="N75" s="4" t="s">
        <v>136</v>
      </c>
      <c r="O75" s="5" t="s">
        <v>41</v>
      </c>
      <c r="P75" s="11">
        <f>J62</f>
        <v>4000</v>
      </c>
      <c r="Q75" s="11">
        <f>K62</f>
        <v>4000</v>
      </c>
      <c r="R75" s="11">
        <f t="shared" ref="R75:R80" si="11">Q75-P75</f>
        <v>0</v>
      </c>
      <c r="T75" s="48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</row>
    <row r="76" spans="8:37" x14ac:dyDescent="0.25">
      <c r="H76" s="4" t="s">
        <v>94</v>
      </c>
      <c r="I76" s="4" t="s">
        <v>16</v>
      </c>
      <c r="J76" s="11">
        <f>J75/EtaQNomOvn2/(Htotal/3.6)</f>
        <v>0</v>
      </c>
      <c r="K76" s="11">
        <f>K75/EtaQNomOvn2/(Htotal/3.6)</f>
        <v>0</v>
      </c>
      <c r="L76" s="11">
        <f t="shared" si="9"/>
        <v>0</v>
      </c>
      <c r="N76" s="4" t="s">
        <v>137</v>
      </c>
      <c r="O76" s="5" t="s">
        <v>16</v>
      </c>
      <c r="P76" s="11">
        <f>J65</f>
        <v>2934.0990071608958</v>
      </c>
      <c r="Q76" s="11">
        <f>K65</f>
        <v>1086.3985103653247</v>
      </c>
      <c r="R76" s="11">
        <f t="shared" si="11"/>
        <v>-1847.7004967955711</v>
      </c>
      <c r="T76" s="48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</row>
    <row r="77" spans="8:37" x14ac:dyDescent="0.25">
      <c r="H77" s="4" t="s">
        <v>57</v>
      </c>
      <c r="I77" s="4" t="s">
        <v>16</v>
      </c>
      <c r="J77" s="11">
        <f>J74-J76</f>
        <v>125.18530830999589</v>
      </c>
      <c r="K77" s="11">
        <f>K74-K76</f>
        <v>1972.885805105567</v>
      </c>
      <c r="L77" s="11">
        <f t="shared" si="9"/>
        <v>1847.7004967955711</v>
      </c>
      <c r="N77" s="4" t="s">
        <v>93</v>
      </c>
      <c r="O77" s="5" t="s">
        <v>16</v>
      </c>
      <c r="P77" s="11">
        <f>J73</f>
        <v>0</v>
      </c>
      <c r="Q77" s="11">
        <f>K73</f>
        <v>0</v>
      </c>
      <c r="R77" s="11">
        <f t="shared" si="11"/>
        <v>0</v>
      </c>
      <c r="T77" s="48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</row>
    <row r="78" spans="8:37" x14ac:dyDescent="0.25">
      <c r="H78" s="4" t="s">
        <v>44</v>
      </c>
      <c r="I78" s="4" t="s">
        <v>41</v>
      </c>
      <c r="J78" s="11">
        <f>J72+J75</f>
        <v>0</v>
      </c>
      <c r="K78" s="11">
        <f>K72+K75</f>
        <v>0</v>
      </c>
      <c r="L78" s="11">
        <f t="shared" si="9"/>
        <v>0</v>
      </c>
      <c r="N78" s="4" t="s">
        <v>94</v>
      </c>
      <c r="O78" s="5" t="s">
        <v>16</v>
      </c>
      <c r="P78" s="11">
        <f>J76</f>
        <v>0</v>
      </c>
      <c r="Q78" s="11">
        <f>K76</f>
        <v>0</v>
      </c>
      <c r="R78" s="11">
        <f t="shared" si="11"/>
        <v>0</v>
      </c>
      <c r="T78" s="48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</row>
    <row r="79" spans="8:37" x14ac:dyDescent="0.25">
      <c r="H79" s="4" t="s">
        <v>109</v>
      </c>
      <c r="I79" s="4" t="s">
        <v>16</v>
      </c>
      <c r="J79" s="11">
        <f>Ftotal-J80</f>
        <v>11874.814691690004</v>
      </c>
      <c r="K79" s="11">
        <f>Ftotal-K80</f>
        <v>10027.114194894433</v>
      </c>
      <c r="L79" s="11">
        <f t="shared" si="9"/>
        <v>-1847.7004967955709</v>
      </c>
      <c r="N79" s="4" t="s">
        <v>139</v>
      </c>
      <c r="O79" s="5" t="s">
        <v>16</v>
      </c>
      <c r="P79" s="11">
        <f>P74+SUM(P76:P78)</f>
        <v>11874.814691690004</v>
      </c>
      <c r="Q79" s="11">
        <f>Q74+SUM(Q76:Q78)</f>
        <v>10027.114194894433</v>
      </c>
      <c r="R79" s="11">
        <f t="shared" si="11"/>
        <v>-1847.7004967955709</v>
      </c>
      <c r="T79" s="48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</row>
    <row r="80" spans="8:37" x14ac:dyDescent="0.25">
      <c r="H80" s="4" t="s">
        <v>110</v>
      </c>
      <c r="I80" s="4" t="s">
        <v>16</v>
      </c>
      <c r="J80" s="14">
        <f>J67</f>
        <v>125.18530830999589</v>
      </c>
      <c r="K80" s="14">
        <f>K67</f>
        <v>1972.885805105567</v>
      </c>
      <c r="L80" s="11">
        <f t="shared" si="9"/>
        <v>1847.7004967955711</v>
      </c>
      <c r="N80" s="4" t="s">
        <v>138</v>
      </c>
      <c r="O80" s="5" t="s">
        <v>16</v>
      </c>
      <c r="P80" s="14">
        <f>J80</f>
        <v>125.18530830999589</v>
      </c>
      <c r="Q80" s="14">
        <f>K80</f>
        <v>1972.885805105567</v>
      </c>
      <c r="R80" s="11">
        <f t="shared" si="11"/>
        <v>1847.7004967955711</v>
      </c>
      <c r="T80" s="48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</row>
    <row r="81" spans="8:37" x14ac:dyDescent="0.25">
      <c r="H81" t="s">
        <v>45</v>
      </c>
      <c r="I81" s="4" t="s">
        <v>48</v>
      </c>
      <c r="J81" s="11">
        <f>EtaE*(J59+J73)*Htotal/3.6</f>
        <v>5733.9603658536589</v>
      </c>
      <c r="K81" s="11">
        <f>EtaE*(K59+K73)*Htotal/3.6</f>
        <v>5733.9603658536589</v>
      </c>
      <c r="L81" s="11">
        <f t="shared" si="9"/>
        <v>0</v>
      </c>
      <c r="N81" s="4" t="s">
        <v>383</v>
      </c>
      <c r="O81" s="5" t="s">
        <v>16</v>
      </c>
      <c r="P81" s="14"/>
      <c r="Q81" s="14"/>
      <c r="R81" s="11"/>
      <c r="T81" s="48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</row>
    <row r="82" spans="8:37" x14ac:dyDescent="0.25">
      <c r="H82" t="s">
        <v>6</v>
      </c>
      <c r="I82" s="4" t="s">
        <v>48</v>
      </c>
      <c r="J82" s="11">
        <f>$D$12*$D$16</f>
        <v>775</v>
      </c>
      <c r="K82" s="11">
        <f>$D$12*$D$16</f>
        <v>775</v>
      </c>
      <c r="L82" s="11">
        <f t="shared" si="9"/>
        <v>0</v>
      </c>
      <c r="N82" s="4" t="s">
        <v>382</v>
      </c>
      <c r="O82" s="5" t="s">
        <v>16</v>
      </c>
      <c r="P82" s="14"/>
      <c r="Q82" s="14"/>
      <c r="R82" s="11"/>
      <c r="T82" s="48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</row>
    <row r="83" spans="8:37" x14ac:dyDescent="0.25">
      <c r="H83" t="s">
        <v>46</v>
      </c>
      <c r="I83" s="4" t="s">
        <v>48</v>
      </c>
      <c r="J83" s="11">
        <f>J81-J82</f>
        <v>4958.9603658536589</v>
      </c>
      <c r="K83" s="11">
        <f>K81-K82</f>
        <v>4958.9603658536589</v>
      </c>
      <c r="L83" s="11">
        <f t="shared" si="9"/>
        <v>0</v>
      </c>
      <c r="N83" s="4" t="s">
        <v>381</v>
      </c>
      <c r="O83" s="5" t="s">
        <v>16</v>
      </c>
      <c r="P83" s="14"/>
      <c r="Q83" s="14"/>
      <c r="R83" s="11"/>
      <c r="T83" s="48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</row>
    <row r="84" spans="8:37" x14ac:dyDescent="0.25">
      <c r="H84" t="s">
        <v>105</v>
      </c>
      <c r="I84" s="4" t="s">
        <v>41</v>
      </c>
      <c r="J84" s="11">
        <f>J64+J75</f>
        <v>7068</v>
      </c>
      <c r="K84" s="11">
        <f>K64+K75</f>
        <v>3168</v>
      </c>
      <c r="L84" s="11">
        <f t="shared" si="9"/>
        <v>-3900</v>
      </c>
      <c r="O84" s="5"/>
      <c r="R84" s="11"/>
      <c r="T84" s="48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</row>
    <row r="85" spans="8:37" x14ac:dyDescent="0.25">
      <c r="H85" t="s">
        <v>106</v>
      </c>
      <c r="I85" s="4" t="s">
        <v>41</v>
      </c>
      <c r="J85" s="11">
        <f>J58+J72</f>
        <v>16740</v>
      </c>
      <c r="K85" s="11">
        <f>K58+K72</f>
        <v>20832</v>
      </c>
      <c r="L85" s="11">
        <f t="shared" si="9"/>
        <v>4092</v>
      </c>
      <c r="N85" s="6" t="s">
        <v>225</v>
      </c>
      <c r="O85" s="5"/>
      <c r="P85" s="63" t="str">
        <f>P48</f>
        <v>Uden RGK</v>
      </c>
      <c r="Q85" s="63" t="str">
        <f>Q48</f>
        <v>Med 100% RGK</v>
      </c>
      <c r="R85" s="11"/>
      <c r="T85" s="48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</row>
    <row r="86" spans="8:37" x14ac:dyDescent="0.25">
      <c r="H86" t="s">
        <v>101</v>
      </c>
      <c r="I86" s="4" t="s">
        <v>41</v>
      </c>
      <c r="J86" s="11">
        <f>SUM(J84:J85)</f>
        <v>23808</v>
      </c>
      <c r="K86" s="11">
        <f>SUM(K84:K85)</f>
        <v>24000</v>
      </c>
      <c r="L86" s="11">
        <f t="shared" si="9"/>
        <v>192</v>
      </c>
      <c r="N86" s="4" t="s">
        <v>257</v>
      </c>
      <c r="O86" s="5"/>
      <c r="P86" s="1">
        <f>(P74+P77)/$K$55</f>
        <v>1</v>
      </c>
      <c r="Q86" s="1">
        <f>(Q74+Q77)/$K$55</f>
        <v>1</v>
      </c>
      <c r="R86" s="1">
        <f>Q86-P86</f>
        <v>0</v>
      </c>
      <c r="T86" s="48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</row>
    <row r="87" spans="8:37" x14ac:dyDescent="0.25">
      <c r="H87" s="4" t="s">
        <v>107</v>
      </c>
      <c r="I87" s="4" t="s">
        <v>41</v>
      </c>
      <c r="J87" s="11">
        <v>0</v>
      </c>
      <c r="K87" s="11">
        <f>(EtaRgkOvn2*K59+EtaRgkOvn3*K65)*Htotal/3.6</f>
        <v>5031.4221690485911</v>
      </c>
      <c r="L87" s="11">
        <f t="shared" si="9"/>
        <v>5031.4221690485911</v>
      </c>
      <c r="N87" s="4" t="s">
        <v>258</v>
      </c>
      <c r="O87" s="5"/>
      <c r="P87" s="1">
        <f>(P76+P78)/$J$55</f>
        <v>1</v>
      </c>
      <c r="Q87" s="1">
        <f>(Q76+Q78)/$J$55</f>
        <v>0.3702664796633941</v>
      </c>
      <c r="R87" s="1">
        <f t="shared" ref="R87:R90" si="12">Q87-P87</f>
        <v>-0.6297335203366059</v>
      </c>
      <c r="T87" s="48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</row>
    <row r="88" spans="8:37" x14ac:dyDescent="0.25">
      <c r="H88" s="4" t="s">
        <v>120</v>
      </c>
      <c r="J88" s="11">
        <v>0</v>
      </c>
      <c r="K88" s="1">
        <f>K87/K89</f>
        <v>0.16921466589518472</v>
      </c>
      <c r="L88" s="11">
        <f t="shared" si="9"/>
        <v>0.16921466589518472</v>
      </c>
      <c r="N88" s="4" t="s">
        <v>259</v>
      </c>
      <c r="O88" s="5"/>
      <c r="P88" s="1">
        <f>P69/(24*$E$12*KapQcool)</f>
        <v>0</v>
      </c>
      <c r="Q88" s="1">
        <f>Q69/(24*$E$12*KapQcool)</f>
        <v>0</v>
      </c>
      <c r="R88" s="1">
        <f t="shared" si="12"/>
        <v>0</v>
      </c>
      <c r="T88" s="48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</row>
    <row r="89" spans="8:37" x14ac:dyDescent="0.25">
      <c r="H89" t="s">
        <v>99</v>
      </c>
      <c r="I89" s="4" t="s">
        <v>100</v>
      </c>
      <c r="J89" s="11">
        <f>J86+J81</f>
        <v>29541.960365853658</v>
      </c>
      <c r="K89" s="11">
        <f>K86+K81</f>
        <v>29733.960365853658</v>
      </c>
      <c r="L89" s="11">
        <f t="shared" si="9"/>
        <v>192</v>
      </c>
      <c r="N89" s="4" t="s">
        <v>260</v>
      </c>
      <c r="O89" s="5"/>
      <c r="P89" s="1">
        <f>P75/NSvarme</f>
        <v>1</v>
      </c>
      <c r="Q89" s="1">
        <f>Q75/NSvarme</f>
        <v>1</v>
      </c>
      <c r="R89" s="1">
        <f t="shared" si="12"/>
        <v>0</v>
      </c>
      <c r="T89" s="48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</row>
    <row r="90" spans="8:37" x14ac:dyDescent="0.25">
      <c r="H90" t="s">
        <v>304</v>
      </c>
      <c r="I90" s="4" t="s">
        <v>41</v>
      </c>
      <c r="J90" s="11">
        <f>J86-J78</f>
        <v>23808</v>
      </c>
      <c r="K90" s="11">
        <f>K86-K78</f>
        <v>24000</v>
      </c>
      <c r="L90" s="11">
        <f t="shared" si="9"/>
        <v>192</v>
      </c>
      <c r="N90" s="4" t="s">
        <v>235</v>
      </c>
      <c r="O90" s="5" t="s">
        <v>23</v>
      </c>
      <c r="P90" s="10">
        <f>(SUM(P58:P63)-SUM(P54:P56))/P70</f>
        <v>-20.155791357103205</v>
      </c>
      <c r="Q90" s="10">
        <f>(SUM(Q58:Q63)-SUM(Q54:Q56))/Q70</f>
        <v>-22.424734663368202</v>
      </c>
      <c r="R90" s="66">
        <f t="shared" si="12"/>
        <v>-2.2689433062649975</v>
      </c>
      <c r="T90" s="48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</row>
    <row r="91" spans="8:37" x14ac:dyDescent="0.25">
      <c r="H91" t="s">
        <v>126</v>
      </c>
      <c r="I91" s="4" t="s">
        <v>41</v>
      </c>
      <c r="J91" s="11">
        <f>Qdemand-J90-J62</f>
        <v>192</v>
      </c>
      <c r="K91" s="11">
        <f>Qdemand-K90-K62</f>
        <v>0</v>
      </c>
      <c r="L91" s="11">
        <f t="shared" si="9"/>
        <v>-192</v>
      </c>
      <c r="N91" s="5"/>
      <c r="Q91" s="1"/>
      <c r="R91" s="11"/>
      <c r="T91" s="48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</row>
    <row r="92" spans="8:37" x14ac:dyDescent="0.25">
      <c r="H92" s="2" t="s">
        <v>114</v>
      </c>
      <c r="L92" s="11"/>
      <c r="R92" s="11"/>
      <c r="T92" s="48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</row>
    <row r="93" spans="8:37" x14ac:dyDescent="0.25">
      <c r="H93" t="s">
        <v>116</v>
      </c>
      <c r="I93" s="4" t="s">
        <v>52</v>
      </c>
      <c r="J93" s="11">
        <f>J$79*(AndelFossilFast*LHVfossilFast+AndelFossilFri*LHVfossilFri)/3.6</f>
        <v>33892.700265865213</v>
      </c>
      <c r="K93" s="11">
        <f>K$79*(AndelFossilFast*LHVfossilFast+AndelFossilFri*LHVfossilFri)/3.6</f>
        <v>28619.055097927856</v>
      </c>
      <c r="L93" s="11">
        <f t="shared" si="9"/>
        <v>-5273.6451679373567</v>
      </c>
      <c r="R93" s="11"/>
      <c r="T93" s="48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</row>
    <row r="94" spans="8:37" x14ac:dyDescent="0.25">
      <c r="H94" t="s">
        <v>117</v>
      </c>
      <c r="I94" s="4" t="s">
        <v>52</v>
      </c>
      <c r="J94" s="11">
        <f>J$79*AndelBioaffald*LHVbiogent/3.6</f>
        <v>0</v>
      </c>
      <c r="K94" s="11">
        <f>K$79*AndelBioaffald*LHVbiogent/3.6</f>
        <v>0</v>
      </c>
      <c r="L94" s="11">
        <f t="shared" si="9"/>
        <v>0</v>
      </c>
      <c r="R94" s="11"/>
      <c r="T94" s="48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</row>
    <row r="95" spans="8:37" x14ac:dyDescent="0.25">
      <c r="H95" t="s">
        <v>115</v>
      </c>
      <c r="I95" s="4" t="s">
        <v>100</v>
      </c>
      <c r="J95" s="11">
        <f>J89/0.85 - J94</f>
        <v>34755.247489239599</v>
      </c>
      <c r="K95" s="11">
        <f>IF(RGKudnyttelse&gt;0,K89/0.95 - K94,J95)</f>
        <v>31298.905648267009</v>
      </c>
      <c r="L95" s="11">
        <f t="shared" si="9"/>
        <v>-3456.3418409725891</v>
      </c>
      <c r="N95" s="2"/>
      <c r="R95" s="11"/>
      <c r="T95" s="48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</row>
    <row r="96" spans="8:37" x14ac:dyDescent="0.25">
      <c r="H96" t="s">
        <v>121</v>
      </c>
      <c r="I96" s="4" t="s">
        <v>41</v>
      </c>
      <c r="J96" s="11">
        <f>J86*J95/(J95+J94)</f>
        <v>23808</v>
      </c>
      <c r="K96" s="11">
        <f>K86*K95/(K95+K94)</f>
        <v>24000</v>
      </c>
      <c r="L96" s="11">
        <f t="shared" si="9"/>
        <v>192</v>
      </c>
      <c r="R96" s="11"/>
      <c r="T96" s="48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</row>
    <row r="97" spans="8:37" x14ac:dyDescent="0.25">
      <c r="H97" t="s">
        <v>118</v>
      </c>
      <c r="I97" s="4" t="s">
        <v>48</v>
      </c>
      <c r="J97" s="11">
        <f>J81*J95/(J95+J94)</f>
        <v>5733.9603658536589</v>
      </c>
      <c r="K97" s="11">
        <f>K81*K95/(K95+K94)</f>
        <v>5733.9603658536589</v>
      </c>
      <c r="L97" s="11">
        <f t="shared" si="9"/>
        <v>0</v>
      </c>
      <c r="R97" s="11"/>
      <c r="T97" s="48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</row>
    <row r="98" spans="8:37" x14ac:dyDescent="0.25">
      <c r="H98" t="s">
        <v>119</v>
      </c>
      <c r="I98" s="4" t="s">
        <v>41</v>
      </c>
      <c r="J98" s="11">
        <f>J96/1.2</f>
        <v>19840</v>
      </c>
      <c r="K98" s="11">
        <f>IF(RGKudnyttelse&gt;0,(K96-0.1*(K96+K97))/1.2,J98)</f>
        <v>17522.169969512193</v>
      </c>
      <c r="L98" s="11">
        <f t="shared" si="9"/>
        <v>-2317.8300304878067</v>
      </c>
      <c r="R98" s="11"/>
      <c r="T98" s="48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</row>
    <row r="99" spans="8:37" x14ac:dyDescent="0.25">
      <c r="H99" t="s">
        <v>122</v>
      </c>
      <c r="I99" s="4" t="s">
        <v>41</v>
      </c>
      <c r="J99" s="11">
        <f>J98</f>
        <v>19840</v>
      </c>
      <c r="K99" s="11">
        <f>K98</f>
        <v>17522.169969512193</v>
      </c>
      <c r="L99" s="11">
        <f t="shared" si="9"/>
        <v>-2317.8300304878067</v>
      </c>
      <c r="R99" s="11"/>
      <c r="T99" s="48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</row>
    <row r="100" spans="8:37" x14ac:dyDescent="0.25">
      <c r="R100" s="11"/>
      <c r="T100" s="48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</row>
    <row r="101" spans="8:37" x14ac:dyDescent="0.25">
      <c r="H101" s="2" t="s">
        <v>95</v>
      </c>
      <c r="I101" s="7"/>
      <c r="J101" s="13" t="str">
        <f>J57</f>
        <v>Uden RGK</v>
      </c>
      <c r="K101" s="13" t="str">
        <f>K57</f>
        <v>Med 100% RGK</v>
      </c>
      <c r="L101" s="2" t="s">
        <v>131</v>
      </c>
      <c r="R101" s="11"/>
      <c r="T101" s="48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</row>
    <row r="102" spans="8:37" x14ac:dyDescent="0.25">
      <c r="H102" s="12" t="s">
        <v>22</v>
      </c>
      <c r="I102" s="12" t="s">
        <v>130</v>
      </c>
      <c r="J102" s="15">
        <f>Varmesalgspris*J90</f>
        <v>7404288</v>
      </c>
      <c r="K102" s="15">
        <f>Varmesalgspris*K90</f>
        <v>7464000</v>
      </c>
      <c r="L102" s="16">
        <f>K102-J102</f>
        <v>59712</v>
      </c>
      <c r="R102" s="11"/>
      <c r="T102" s="48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</row>
    <row r="103" spans="8:37" x14ac:dyDescent="0.25">
      <c r="H103" s="12" t="s">
        <v>97</v>
      </c>
      <c r="I103" s="12" t="s">
        <v>130</v>
      </c>
      <c r="J103" s="15">
        <f>(Elpris-ElprodTarif)*J83</f>
        <v>3947332.4512195126</v>
      </c>
      <c r="K103" s="15">
        <f>(Elpris-ElprodTarif)*K83</f>
        <v>3947332.4512195126</v>
      </c>
      <c r="L103" s="16">
        <f t="shared" ref="L103:L116" si="13">K103-J103</f>
        <v>0</v>
      </c>
      <c r="T103" s="48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</row>
    <row r="104" spans="8:37" x14ac:dyDescent="0.25">
      <c r="H104" s="12" t="s">
        <v>98</v>
      </c>
      <c r="I104" s="12" t="s">
        <v>130</v>
      </c>
      <c r="J104" s="15">
        <v>0</v>
      </c>
      <c r="K104" s="15">
        <f>IF(K87&lt;7%*K89,0,10%)*K110</f>
        <v>200593.80181097562</v>
      </c>
      <c r="L104" s="16">
        <f t="shared" si="13"/>
        <v>200593.80181097562</v>
      </c>
      <c r="N104" s="2"/>
      <c r="O104" s="69"/>
      <c r="P104" s="13"/>
      <c r="Q104" s="13"/>
      <c r="R104" s="2"/>
      <c r="T104" s="48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</row>
    <row r="105" spans="8:37" x14ac:dyDescent="0.25">
      <c r="H105" s="12" t="s">
        <v>96</v>
      </c>
      <c r="I105" s="12" t="s">
        <v>130</v>
      </c>
      <c r="J105" s="15">
        <f>$C$27*($C$5-J80*$C$24)</f>
        <v>4675708.2848529397</v>
      </c>
      <c r="K105" s="15">
        <f>$C$27*($C$5-K80*$C$24)</f>
        <v>3948176.214239683</v>
      </c>
      <c r="L105" s="16">
        <f t="shared" si="13"/>
        <v>-727532.07061325666</v>
      </c>
      <c r="N105" s="12"/>
      <c r="O105" s="70"/>
      <c r="P105" s="15"/>
      <c r="Q105" s="15"/>
      <c r="R105" s="16"/>
      <c r="T105" s="48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</row>
    <row r="106" spans="8:37" x14ac:dyDescent="0.25">
      <c r="I106" s="12"/>
      <c r="J106" s="16"/>
      <c r="K106" s="16"/>
      <c r="L106" s="16"/>
      <c r="N106" s="12"/>
      <c r="O106" s="70"/>
      <c r="P106" s="15"/>
      <c r="Q106" s="15"/>
      <c r="R106" s="16"/>
      <c r="T106" s="48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</row>
    <row r="107" spans="8:37" x14ac:dyDescent="0.25">
      <c r="H107" s="12" t="s">
        <v>103</v>
      </c>
      <c r="I107" s="12" t="s">
        <v>130</v>
      </c>
      <c r="J107" s="16">
        <f>$E$27*($C$7-J80*AndelBioaffald)</f>
        <v>0</v>
      </c>
      <c r="K107" s="16">
        <f>$E$27*($C$7-K80*AndelBioaffald)</f>
        <v>0</v>
      </c>
      <c r="L107" s="16">
        <f t="shared" si="13"/>
        <v>0</v>
      </c>
      <c r="N107" s="12"/>
      <c r="O107" s="70"/>
      <c r="P107" s="15"/>
      <c r="Q107" s="15"/>
      <c r="R107" s="16"/>
      <c r="T107" s="48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</row>
    <row r="108" spans="8:37" x14ac:dyDescent="0.25">
      <c r="H108" s="12" t="s">
        <v>104</v>
      </c>
      <c r="I108" s="12" t="s">
        <v>130</v>
      </c>
      <c r="J108" s="15">
        <f>$C$21*J84+$D$21*J85+$E$21*J78</f>
        <v>1049040</v>
      </c>
      <c r="K108" s="15">
        <f>J108+$F$21*$K$87</f>
        <v>1099354.221690486</v>
      </c>
      <c r="L108" s="16">
        <f t="shared" si="13"/>
        <v>50314.221690485952</v>
      </c>
      <c r="N108" s="12"/>
      <c r="O108" s="70"/>
      <c r="P108" s="15"/>
      <c r="Q108" s="15"/>
      <c r="R108" s="16"/>
      <c r="T108" s="48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</row>
    <row r="109" spans="8:37" x14ac:dyDescent="0.25">
      <c r="H109" s="12" t="s">
        <v>31</v>
      </c>
      <c r="I109" s="12" t="s">
        <v>130</v>
      </c>
      <c r="J109" s="15">
        <f>AFV*3.6*J90</f>
        <v>2211287.04</v>
      </c>
      <c r="K109" s="15">
        <f>AFV*3.6*K90</f>
        <v>2229120</v>
      </c>
      <c r="L109" s="16">
        <f t="shared" si="13"/>
        <v>17832.959999999963</v>
      </c>
      <c r="O109" s="70"/>
      <c r="P109" s="16"/>
      <c r="Q109" s="16"/>
      <c r="R109" s="16"/>
      <c r="T109" s="48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</row>
    <row r="110" spans="8:37" x14ac:dyDescent="0.25">
      <c r="H110" s="12" t="s">
        <v>32</v>
      </c>
      <c r="I110" s="12" t="s">
        <v>130</v>
      </c>
      <c r="J110" s="16">
        <f>ATL*3.6*J98</f>
        <v>2271283.2000000002</v>
      </c>
      <c r="K110" s="16">
        <f>ATL*3.6*K98</f>
        <v>2005938.0181097561</v>
      </c>
      <c r="L110" s="16">
        <f t="shared" si="13"/>
        <v>-265345.18189024413</v>
      </c>
      <c r="N110" s="12"/>
      <c r="O110" s="70"/>
      <c r="P110" s="16"/>
      <c r="Q110" s="16"/>
      <c r="R110" s="16"/>
      <c r="T110" s="48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</row>
    <row r="111" spans="8:37" x14ac:dyDescent="0.25">
      <c r="H111" s="12" t="s">
        <v>33</v>
      </c>
      <c r="I111" s="12" t="s">
        <v>130</v>
      </c>
      <c r="J111" s="16">
        <f>CO2afgift*$C$29 /1000 *3.6*J98</f>
        <v>471719.80799999996</v>
      </c>
      <c r="K111" s="16">
        <f>CO2afgift*$C$29 /1000 *3.6*K98</f>
        <v>416610.61762911582</v>
      </c>
      <c r="L111" s="16">
        <f t="shared" si="13"/>
        <v>-55109.190370884142</v>
      </c>
      <c r="N111" s="12"/>
      <c r="O111" s="70"/>
      <c r="P111" s="15"/>
      <c r="Q111" s="15"/>
      <c r="R111" s="16"/>
      <c r="T111" s="48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</row>
    <row r="112" spans="8:37" x14ac:dyDescent="0.25">
      <c r="H112" s="12" t="s">
        <v>108</v>
      </c>
      <c r="I112" s="12" t="s">
        <v>130</v>
      </c>
      <c r="J112" s="16">
        <f>Kvotepris*$C$30/1000*C31*J79</f>
        <v>2139841.6074425387</v>
      </c>
      <c r="K112" s="16">
        <f>Kvotepris*$C$30/1000*10.6*K79</f>
        <v>1806885.9779199767</v>
      </c>
      <c r="L112" s="16">
        <f t="shared" si="13"/>
        <v>-332955.62952256203</v>
      </c>
      <c r="N112" s="12"/>
      <c r="O112" s="70"/>
      <c r="P112" s="15"/>
      <c r="Q112" s="15"/>
      <c r="R112" s="16"/>
      <c r="T112" s="48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</row>
    <row r="113" spans="8:37" x14ac:dyDescent="0.25">
      <c r="I113" s="12"/>
      <c r="J113" s="16"/>
      <c r="K113" s="16"/>
      <c r="L113" s="16"/>
      <c r="N113" s="12"/>
      <c r="O113" s="70"/>
      <c r="P113" s="16"/>
      <c r="Q113" s="16"/>
      <c r="R113" s="16"/>
      <c r="T113" s="48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</row>
    <row r="114" spans="8:37" x14ac:dyDescent="0.25">
      <c r="H114" s="12" t="s">
        <v>111</v>
      </c>
      <c r="I114" s="12" t="s">
        <v>130</v>
      </c>
      <c r="J114" s="16">
        <f>SUM(J102:J105)</f>
        <v>16027328.736072451</v>
      </c>
      <c r="K114" s="16">
        <f>SUM(K102:K105)</f>
        <v>15560102.467270171</v>
      </c>
      <c r="L114" s="16">
        <f t="shared" si="13"/>
        <v>-467226.26880227961</v>
      </c>
      <c r="N114" s="12"/>
      <c r="O114" s="70"/>
      <c r="P114" s="16"/>
      <c r="Q114" s="16"/>
      <c r="R114" s="16"/>
      <c r="T114" s="48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</row>
    <row r="115" spans="8:37" x14ac:dyDescent="0.25">
      <c r="H115" s="12" t="s">
        <v>112</v>
      </c>
      <c r="I115" s="12" t="s">
        <v>130</v>
      </c>
      <c r="J115" s="16">
        <f>SUM(J107:J112)</f>
        <v>8143171.6554425396</v>
      </c>
      <c r="K115" s="16">
        <f>SUM(K107:K112)</f>
        <v>7557908.8353493344</v>
      </c>
      <c r="L115" s="16">
        <f t="shared" si="13"/>
        <v>-585262.8200932052</v>
      </c>
      <c r="N115" s="12"/>
      <c r="O115" s="70"/>
      <c r="P115" s="16"/>
      <c r="Q115" s="16"/>
      <c r="R115" s="16"/>
      <c r="T115" s="48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</row>
    <row r="116" spans="8:37" x14ac:dyDescent="0.25">
      <c r="H116" s="12" t="s">
        <v>113</v>
      </c>
      <c r="I116" s="12" t="s">
        <v>130</v>
      </c>
      <c r="J116" s="16">
        <f>J114-J115</f>
        <v>7884157.0806299113</v>
      </c>
      <c r="K116" s="16">
        <f>K114-K115</f>
        <v>8002193.6319208369</v>
      </c>
      <c r="L116" s="16">
        <f t="shared" si="13"/>
        <v>118036.55129092559</v>
      </c>
      <c r="O116" s="70"/>
      <c r="P116" s="16"/>
      <c r="Q116" s="16"/>
      <c r="R116" s="16"/>
      <c r="T116" s="48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</row>
    <row r="117" spans="8:37" x14ac:dyDescent="0.25">
      <c r="N117" s="12"/>
      <c r="O117" s="70"/>
      <c r="P117" s="16"/>
      <c r="Q117" s="16"/>
      <c r="R117" s="16"/>
      <c r="T117" s="48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</row>
    <row r="118" spans="8:37" x14ac:dyDescent="0.25">
      <c r="N118" s="12"/>
      <c r="O118" s="70"/>
      <c r="P118" s="16"/>
      <c r="Q118" s="16"/>
      <c r="R118" s="16"/>
      <c r="T118" s="48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</row>
    <row r="119" spans="8:37" x14ac:dyDescent="0.25">
      <c r="N119" s="12"/>
      <c r="O119" s="70"/>
      <c r="P119" s="16"/>
      <c r="Q119" s="16"/>
      <c r="R119" s="16"/>
      <c r="T119" s="48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</row>
    <row r="120" spans="8:37" x14ac:dyDescent="0.25">
      <c r="T120" s="48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</row>
  </sheetData>
  <scenarios current="9" show="9" sqref="Q5:Q36">
    <scenario name="RGK 10 %" locked="1" count="1" user="Mogens Bech Laursen" comment="Created by Mogens Bech Laursen on 16-03-2022">
      <inputCells r="C8" val="0,1" numFmtId="9"/>
    </scenario>
    <scenario name="RGK 20 %" locked="1" count="1" user="Mogens Bech Laursen" comment="Created by Mogens Bech Laursen on 16-03-2022">
      <inputCells r="C8" val="0,2" numFmtId="9"/>
    </scenario>
    <scenario name="RGK 30 %" locked="1" count="1" user="Mogens Bech Laursen" comment="Created by Mogens Bech Laursen on 16-03-2022">
      <inputCells r="C8" val="0,3" numFmtId="9"/>
    </scenario>
    <scenario name="RGK 40 %" locked="1" count="1" user="Mogens Bech Laursen" comment="Created by Mogens Bech Laursen on 16-03-2022">
      <inputCells r="C8" val="0,4" numFmtId="9"/>
    </scenario>
    <scenario name="RGK 50 %" locked="1" count="1" user="Mogens Bech Laursen" comment="Created by Mogens Bech Laursen on 16-03-2022">
      <inputCells r="C8" val="0,5" numFmtId="9"/>
    </scenario>
    <scenario name="RGK 60 %" locked="1" count="1" user="Mogens Bech Laursen" comment="Created by Mogens Bech Laursen on 16-03-2022">
      <inputCells r="C8" val="0,6" numFmtId="9"/>
    </scenario>
    <scenario name="RGK 70 %" locked="1" count="1" user="Mogens Bech Laursen" comment="Created by Mogens Bech Laursen on 16-03-2022">
      <inputCells r="C8" val="0,7" numFmtId="9"/>
    </scenario>
    <scenario name="RGK 80 %" locked="1" count="1" user="Mogens Bech Laursen" comment="Created by Mogens Bech Laursen on 16-03-2022">
      <inputCells r="C8" val="0,8" numFmtId="9"/>
    </scenario>
    <scenario name="RGK 90 %" locked="1" count="1" user="Mogens Bech Laursen" comment="Created by Mogens Bech Laursen on 16-03-2022">
      <inputCells r="C8" val="0,9" numFmtId="9"/>
    </scenario>
    <scenario name="RGK 100 %" locked="1" count="1" user="Mogens Bech Laursen" comment="Created by Mogens Bech Laursen on 16-03-2022">
      <inputCells r="C8" val="1" numFmtId="9"/>
    </scenario>
  </scenarios>
  <customSheetViews>
    <customSheetView guid="{D61959C2-356A-4414-A70C-587540F5DA06}" scale="70">
      <selection sqref="A1:F1"/>
      <pageMargins left="0.7" right="0.7" top="0.75" bottom="0.75" header="0.3" footer="0.3"/>
      <pageSetup paperSize="9" orientation="portrait" r:id="rId1"/>
    </customSheetView>
    <customSheetView guid="{01B8EE19-BF49-4F3C-9D6B-CD607AE52779}" scale="70">
      <selection sqref="A1:F1"/>
      <pageMargins left="0.7" right="0.7" top="0.75" bottom="0.75" header="0.3" footer="0.3"/>
      <pageSetup paperSize="9" orientation="portrait" r:id="rId2"/>
    </customSheetView>
    <customSheetView guid="{2B82E035-636B-4F9F-846A-FEE8C149952C}" scale="70">
      <selection sqref="A1:F1"/>
      <pageMargins left="0.7" right="0.7" top="0.75" bottom="0.75" header="0.3" footer="0.3"/>
      <pageSetup paperSize="9" orientation="portrait" r:id="rId3"/>
    </customSheetView>
    <customSheetView guid="{B8935784-587B-4D0A-AED7-A4A9B4EF97F4}" showRowCol="0" hiddenColumns="1" topLeftCell="G1">
      <selection activeCell="AJ8" sqref="AJ8"/>
      <pageMargins left="0.7" right="0.7" top="0.75" bottom="0.75" header="0.3" footer="0.3"/>
      <pageSetup paperSize="9" orientation="portrait" r:id="rId4"/>
    </customSheetView>
    <customSheetView guid="{EEB625C4-AF57-4951-B4C5-8C71271FF126}" scale="85">
      <selection sqref="A1:F1"/>
      <pageMargins left="0.7" right="0.7" top="0.75" bottom="0.75" header="0.3" footer="0.3"/>
      <pageSetup paperSize="9" orientation="portrait" r:id="rId5"/>
    </customSheetView>
  </customSheetViews>
  <mergeCells count="4">
    <mergeCell ref="H46:L46"/>
    <mergeCell ref="N46:R46"/>
    <mergeCell ref="A1:F1"/>
    <mergeCell ref="H1:X1"/>
  </mergeCells>
  <conditionalFormatting sqref="J58:K116">
    <cfRule type="cellIs" dxfId="13" priority="1" operator="lessThan">
      <formula>0</formula>
    </cfRule>
  </conditionalFormatting>
  <pageMargins left="0.7" right="0.7" top="0.75" bottom="0.75" header="0.3" footer="0.3"/>
  <pageSetup paperSize="9"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/>
  <dimension ref="A1:AE148"/>
  <sheetViews>
    <sheetView topLeftCell="A92" zoomScale="85" zoomScaleNormal="85" workbookViewId="0">
      <selection activeCell="G103" sqref="G103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35">
      <c r="A5" s="47"/>
      <c r="B5" s="47"/>
      <c r="C5" s="98" t="s">
        <v>231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</row>
    <row r="6" spans="1:31" x14ac:dyDescent="0.25">
      <c r="A6" s="47"/>
      <c r="B6" s="47"/>
      <c r="C6" s="74" t="s">
        <v>124</v>
      </c>
      <c r="D6" s="75" t="s">
        <v>47</v>
      </c>
      <c r="E6" s="76" t="s">
        <v>199</v>
      </c>
      <c r="F6" s="76" t="s">
        <v>200</v>
      </c>
      <c r="G6" s="76" t="s">
        <v>201</v>
      </c>
      <c r="H6" s="76" t="s">
        <v>202</v>
      </c>
      <c r="I6" s="76" t="s">
        <v>203</v>
      </c>
      <c r="J6" s="76" t="s">
        <v>204</v>
      </c>
      <c r="K6" s="76" t="s">
        <v>205</v>
      </c>
      <c r="L6" s="76" t="s">
        <v>206</v>
      </c>
      <c r="M6" s="76" t="s">
        <v>207</v>
      </c>
      <c r="N6" s="76" t="s">
        <v>208</v>
      </c>
      <c r="O6" s="76" t="s">
        <v>209</v>
      </c>
      <c r="P6" s="76" t="s">
        <v>210</v>
      </c>
      <c r="Q6" s="76" t="s">
        <v>211</v>
      </c>
      <c r="R6" s="76" t="s">
        <v>212</v>
      </c>
      <c r="S6" s="76" t="s">
        <v>213</v>
      </c>
      <c r="T6" s="76" t="s">
        <v>214</v>
      </c>
      <c r="U6" s="76" t="s">
        <v>215</v>
      </c>
      <c r="V6" s="76" t="s">
        <v>216</v>
      </c>
      <c r="W6" s="76" t="s">
        <v>217</v>
      </c>
      <c r="X6" s="76" t="s">
        <v>218</v>
      </c>
      <c r="Y6" s="77" t="s">
        <v>219</v>
      </c>
      <c r="Z6" s="47"/>
      <c r="AA6" s="47"/>
      <c r="AB6" s="47"/>
      <c r="AC6" s="47"/>
      <c r="AD6" s="47"/>
      <c r="AE6" s="47"/>
    </row>
    <row r="7" spans="1:31" x14ac:dyDescent="0.25">
      <c r="A7" s="47"/>
      <c r="B7" s="47"/>
      <c r="C7" s="78" t="s">
        <v>220</v>
      </c>
      <c r="D7" s="79"/>
      <c r="E7" s="80">
        <v>1</v>
      </c>
      <c r="F7" s="80">
        <v>1</v>
      </c>
      <c r="G7" s="80">
        <v>1</v>
      </c>
      <c r="H7" s="80">
        <v>1</v>
      </c>
      <c r="I7" s="80">
        <v>1</v>
      </c>
      <c r="J7" s="80">
        <v>1</v>
      </c>
      <c r="K7" s="80">
        <v>1</v>
      </c>
      <c r="L7" s="80">
        <v>1</v>
      </c>
      <c r="M7" s="80">
        <v>1</v>
      </c>
      <c r="N7" s="80">
        <v>1</v>
      </c>
      <c r="O7" s="80">
        <v>1</v>
      </c>
      <c r="P7" s="80">
        <v>1</v>
      </c>
      <c r="Q7" s="80">
        <v>1</v>
      </c>
      <c r="R7" s="80">
        <v>1</v>
      </c>
      <c r="S7" s="80">
        <v>1</v>
      </c>
      <c r="T7" s="80">
        <v>1</v>
      </c>
      <c r="U7" s="80">
        <v>1</v>
      </c>
      <c r="V7" s="80">
        <v>1</v>
      </c>
      <c r="W7" s="80">
        <v>1</v>
      </c>
      <c r="X7" s="80">
        <v>1</v>
      </c>
      <c r="Y7" s="81">
        <v>1</v>
      </c>
      <c r="Z7" s="47"/>
      <c r="AA7" s="47"/>
      <c r="AB7" s="47"/>
      <c r="AC7" s="47"/>
      <c r="AD7" s="47"/>
      <c r="AE7" s="47"/>
    </row>
    <row r="8" spans="1:31" x14ac:dyDescent="0.25">
      <c r="A8" s="99"/>
      <c r="B8" s="47"/>
      <c r="C8" s="78" t="str">
        <f>'Model-1'!A4</f>
        <v>FJV-behov</v>
      </c>
      <c r="D8" s="82" t="str">
        <f>'Model-1'!B4</f>
        <v>MWhq</v>
      </c>
      <c r="E8" s="83">
        <f>28000</f>
        <v>28000</v>
      </c>
      <c r="F8" s="83">
        <f>28000</f>
        <v>28000</v>
      </c>
      <c r="G8" s="83">
        <f>28000</f>
        <v>28000</v>
      </c>
      <c r="H8" s="83">
        <f>28000</f>
        <v>28000</v>
      </c>
      <c r="I8" s="83">
        <f>28000</f>
        <v>28000</v>
      </c>
      <c r="J8" s="83">
        <f>28000</f>
        <v>28000</v>
      </c>
      <c r="K8" s="83">
        <f>28000</f>
        <v>28000</v>
      </c>
      <c r="L8" s="83">
        <f>28000</f>
        <v>28000</v>
      </c>
      <c r="M8" s="83">
        <f>28000</f>
        <v>28000</v>
      </c>
      <c r="N8" s="83">
        <f>28000</f>
        <v>28000</v>
      </c>
      <c r="O8" s="83">
        <f>28000</f>
        <v>28000</v>
      </c>
      <c r="P8" s="83">
        <f>28000</f>
        <v>28000</v>
      </c>
      <c r="Q8" s="83">
        <f>28000</f>
        <v>28000</v>
      </c>
      <c r="R8" s="83">
        <f>28000</f>
        <v>28000</v>
      </c>
      <c r="S8" s="83">
        <f>28000</f>
        <v>28000</v>
      </c>
      <c r="T8" s="83">
        <f>28000</f>
        <v>28000</v>
      </c>
      <c r="U8" s="83">
        <f>28000</f>
        <v>28000</v>
      </c>
      <c r="V8" s="83">
        <f>28000</f>
        <v>28000</v>
      </c>
      <c r="W8" s="83">
        <f>28000</f>
        <v>28000</v>
      </c>
      <c r="X8" s="83">
        <f>28000</f>
        <v>28000</v>
      </c>
      <c r="Y8" s="84">
        <f>28000</f>
        <v>28000</v>
      </c>
      <c r="Z8" s="47"/>
      <c r="AA8" s="47"/>
      <c r="AB8" s="47"/>
      <c r="AC8" s="47"/>
      <c r="AD8" s="47"/>
      <c r="AE8" s="47"/>
    </row>
    <row r="9" spans="1:31" x14ac:dyDescent="0.25">
      <c r="A9" s="99"/>
      <c r="B9" s="47"/>
      <c r="C9" s="78" t="str">
        <f>'Model-1'!A5</f>
        <v>Affaldstonnage Fast Fossil</v>
      </c>
      <c r="D9" s="82" t="str">
        <f>'Model-1'!B5</f>
        <v>ton</v>
      </c>
      <c r="E9" s="83">
        <f>'Model-1'!C5</f>
        <v>9000</v>
      </c>
      <c r="F9" s="83">
        <v>12000</v>
      </c>
      <c r="G9" s="83">
        <v>12000</v>
      </c>
      <c r="H9" s="83">
        <v>12000</v>
      </c>
      <c r="I9" s="83">
        <v>12000</v>
      </c>
      <c r="J9" s="83">
        <v>12000</v>
      </c>
      <c r="K9" s="83">
        <v>12000</v>
      </c>
      <c r="L9" s="83">
        <v>12000</v>
      </c>
      <c r="M9" s="83">
        <v>12000</v>
      </c>
      <c r="N9" s="83">
        <v>12000</v>
      </c>
      <c r="O9" s="83">
        <v>12000</v>
      </c>
      <c r="P9" s="83">
        <v>12000</v>
      </c>
      <c r="Q9" s="83">
        <v>12000</v>
      </c>
      <c r="R9" s="83">
        <v>12000</v>
      </c>
      <c r="S9" s="83">
        <v>12000</v>
      </c>
      <c r="T9" s="83">
        <v>12000</v>
      </c>
      <c r="U9" s="83">
        <v>12000</v>
      </c>
      <c r="V9" s="83">
        <v>12000</v>
      </c>
      <c r="W9" s="83">
        <v>12000</v>
      </c>
      <c r="X9" s="83">
        <v>12000</v>
      </c>
      <c r="Y9" s="84">
        <v>12000</v>
      </c>
      <c r="Z9" s="47"/>
      <c r="AA9" s="47"/>
      <c r="AB9" s="47"/>
      <c r="AC9" s="47"/>
      <c r="AD9" s="47"/>
      <c r="AE9" s="47"/>
    </row>
    <row r="10" spans="1:31" x14ac:dyDescent="0.25">
      <c r="A10" s="99"/>
      <c r="B10" s="47"/>
      <c r="C10" s="78" t="str">
        <f>'Model-1'!A7</f>
        <v>Affaldstonnage Biogen</v>
      </c>
      <c r="D10" s="82" t="str">
        <f>'Model-1'!B7</f>
        <v>ton</v>
      </c>
      <c r="E10" s="83">
        <f>'Model-1'!C7</f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4">
        <v>0</v>
      </c>
      <c r="Z10" s="47"/>
      <c r="AA10" s="47"/>
      <c r="AB10" s="47"/>
      <c r="AC10" s="47"/>
      <c r="AD10" s="47"/>
      <c r="AE10" s="47"/>
    </row>
    <row r="11" spans="1:31" x14ac:dyDescent="0.25">
      <c r="A11" s="99"/>
      <c r="B11" s="47"/>
      <c r="C11" s="78" t="str">
        <f>'Model-1'!A8</f>
        <v>RGK-udnyttelse</v>
      </c>
      <c r="D11" s="82" t="str">
        <f>'Model-1'!B8</f>
        <v>procent</v>
      </c>
      <c r="E11" s="85">
        <v>1</v>
      </c>
      <c r="F11" s="85">
        <v>0.05</v>
      </c>
      <c r="G11" s="85">
        <v>0.1</v>
      </c>
      <c r="H11" s="85">
        <v>0.15</v>
      </c>
      <c r="I11" s="85">
        <v>0.2</v>
      </c>
      <c r="J11" s="85">
        <v>0.25</v>
      </c>
      <c r="K11" s="85">
        <v>0.3</v>
      </c>
      <c r="L11" s="85">
        <v>0.35</v>
      </c>
      <c r="M11" s="85">
        <v>0.4</v>
      </c>
      <c r="N11" s="85">
        <v>0.45</v>
      </c>
      <c r="O11" s="85">
        <v>0.5</v>
      </c>
      <c r="P11" s="85">
        <v>0.55000000000000004</v>
      </c>
      <c r="Q11" s="85">
        <v>0.6</v>
      </c>
      <c r="R11" s="85">
        <v>0.65</v>
      </c>
      <c r="S11" s="85">
        <v>0.7</v>
      </c>
      <c r="T11" s="85">
        <v>0.75</v>
      </c>
      <c r="U11" s="85">
        <v>0.8</v>
      </c>
      <c r="V11" s="85">
        <v>0.85</v>
      </c>
      <c r="W11" s="85">
        <v>0.9</v>
      </c>
      <c r="X11" s="85">
        <v>0.95</v>
      </c>
      <c r="Y11" s="86">
        <v>1</v>
      </c>
      <c r="Z11" s="47"/>
      <c r="AA11" s="47"/>
      <c r="AB11" s="47"/>
      <c r="AC11" s="47"/>
      <c r="AD11" s="47"/>
      <c r="AE11" s="47"/>
    </row>
    <row r="12" spans="1:31" x14ac:dyDescent="0.25">
      <c r="A12" s="99"/>
      <c r="B12" s="47"/>
      <c r="C12" s="87" t="str">
        <f>'Model-1'!A9</f>
        <v>NordicSugar varme</v>
      </c>
      <c r="D12" s="88" t="str">
        <f>'Model-1'!B9</f>
        <v>MWhq</v>
      </c>
      <c r="E12" s="89">
        <f>'Model-1'!C9</f>
        <v>4000</v>
      </c>
      <c r="F12" s="89">
        <v>4000</v>
      </c>
      <c r="G12" s="89">
        <v>4000</v>
      </c>
      <c r="H12" s="89">
        <v>4000</v>
      </c>
      <c r="I12" s="89">
        <v>4000</v>
      </c>
      <c r="J12" s="89">
        <v>4000</v>
      </c>
      <c r="K12" s="89">
        <v>4000</v>
      </c>
      <c r="L12" s="89">
        <v>4000</v>
      </c>
      <c r="M12" s="89">
        <v>4000</v>
      </c>
      <c r="N12" s="89">
        <v>4000</v>
      </c>
      <c r="O12" s="89">
        <v>4000</v>
      </c>
      <c r="P12" s="89">
        <v>4000</v>
      </c>
      <c r="Q12" s="89">
        <v>4000</v>
      </c>
      <c r="R12" s="89">
        <v>4000</v>
      </c>
      <c r="S12" s="89">
        <v>4000</v>
      </c>
      <c r="T12" s="89">
        <v>4000</v>
      </c>
      <c r="U12" s="89">
        <v>4000</v>
      </c>
      <c r="V12" s="89">
        <v>4000</v>
      </c>
      <c r="W12" s="89">
        <v>4000</v>
      </c>
      <c r="X12" s="89">
        <v>4000</v>
      </c>
      <c r="Y12" s="90">
        <v>4000</v>
      </c>
      <c r="Z12" s="47"/>
      <c r="AA12" s="47"/>
      <c r="AB12" s="47"/>
      <c r="AC12" s="47"/>
      <c r="AD12" s="47"/>
      <c r="AE12" s="47"/>
    </row>
    <row r="13" spans="1:31" x14ac:dyDescent="0.25">
      <c r="A13" s="47"/>
      <c r="B13" s="47"/>
      <c r="C13" s="48"/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7"/>
      <c r="AA13" s="47"/>
      <c r="AB13" s="47"/>
      <c r="AC13" s="47"/>
      <c r="AD13" s="47"/>
      <c r="AE13" s="47"/>
    </row>
    <row r="14" spans="1:31" x14ac:dyDescent="0.25">
      <c r="A14" s="47"/>
      <c r="B14" s="47"/>
      <c r="C14" s="93" t="s">
        <v>228</v>
      </c>
      <c r="D14" s="94" t="s">
        <v>229</v>
      </c>
      <c r="E14" s="95"/>
      <c r="F14" s="95"/>
      <c r="G14" s="95"/>
      <c r="H14" s="95"/>
      <c r="I14" s="94"/>
      <c r="J14" s="93" t="s">
        <v>228</v>
      </c>
      <c r="K14" s="94" t="s">
        <v>233</v>
      </c>
      <c r="L14" s="95"/>
      <c r="M14" s="95"/>
      <c r="N14" s="95"/>
      <c r="O14" s="95"/>
      <c r="P14" s="95"/>
      <c r="Q14" s="95"/>
      <c r="R14" s="95"/>
      <c r="S14" s="95" t="s">
        <v>228</v>
      </c>
      <c r="T14" s="95" t="s">
        <v>132</v>
      </c>
      <c r="U14" s="95"/>
      <c r="V14" s="95"/>
      <c r="W14" s="95"/>
      <c r="X14" s="95"/>
      <c r="Y14" s="95"/>
      <c r="Z14" s="95"/>
      <c r="AA14" s="95"/>
      <c r="AB14" s="95"/>
      <c r="AC14" s="47"/>
      <c r="AD14" s="47"/>
      <c r="AE14" s="47"/>
    </row>
    <row r="15" spans="1:31" x14ac:dyDescent="0.25">
      <c r="A15" s="39" t="s">
        <v>232</v>
      </c>
      <c r="B15" s="42" t="s">
        <v>230</v>
      </c>
      <c r="C15" s="48"/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7"/>
      <c r="AA15" s="47"/>
      <c r="AB15" s="47"/>
      <c r="AC15" s="47"/>
      <c r="AD15" s="47"/>
      <c r="AE15" s="47"/>
    </row>
    <row r="16" spans="1:31" x14ac:dyDescent="0.25">
      <c r="A16" t="s">
        <v>113</v>
      </c>
      <c r="B16" s="37">
        <v>1000</v>
      </c>
      <c r="C16" s="48"/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7"/>
      <c r="AA16" s="47"/>
      <c r="AB16" s="47"/>
      <c r="AC16" s="47"/>
      <c r="AD16" s="47"/>
      <c r="AE16" s="47"/>
    </row>
    <row r="17" spans="1:31" x14ac:dyDescent="0.25">
      <c r="A17" t="s">
        <v>111</v>
      </c>
      <c r="B17" s="37">
        <v>1000</v>
      </c>
      <c r="C17" s="48"/>
      <c r="D17" s="48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7"/>
      <c r="AA17" s="47"/>
      <c r="AB17" s="47"/>
      <c r="AC17" s="47"/>
      <c r="AD17" s="47"/>
      <c r="AE17" s="47"/>
    </row>
    <row r="18" spans="1:31" x14ac:dyDescent="0.25">
      <c r="A18" t="s">
        <v>112</v>
      </c>
      <c r="B18" s="37">
        <v>-1000</v>
      </c>
      <c r="C18" s="48"/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7"/>
      <c r="AA18" s="47"/>
      <c r="AB18" s="47"/>
      <c r="AC18" s="47"/>
      <c r="AD18" s="47"/>
      <c r="AE18" s="47"/>
    </row>
    <row r="19" spans="1:31" x14ac:dyDescent="0.25">
      <c r="A19" t="s">
        <v>98</v>
      </c>
      <c r="B19" s="37">
        <v>1000</v>
      </c>
      <c r="C19" s="48"/>
      <c r="D19" s="48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7"/>
      <c r="AA19" s="47"/>
      <c r="AB19" s="47"/>
      <c r="AC19" s="47"/>
      <c r="AD19" s="47"/>
      <c r="AE19" s="47"/>
    </row>
    <row r="20" spans="1:31" x14ac:dyDescent="0.25">
      <c r="A20" t="s">
        <v>96</v>
      </c>
      <c r="B20" s="37">
        <v>1000</v>
      </c>
      <c r="C20" s="48"/>
      <c r="D20" s="48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7"/>
      <c r="AA20" s="47"/>
      <c r="AB20" s="47"/>
      <c r="AC20" s="47"/>
      <c r="AD20" s="47"/>
      <c r="AE20" s="47"/>
    </row>
    <row r="21" spans="1:31" x14ac:dyDescent="0.25">
      <c r="A21" t="s">
        <v>22</v>
      </c>
      <c r="B21" s="37">
        <v>1000</v>
      </c>
      <c r="C21" s="48"/>
      <c r="D21" s="48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7"/>
      <c r="AA21" s="47"/>
      <c r="AB21" s="47"/>
      <c r="AC21" s="47"/>
      <c r="AD21" s="47"/>
      <c r="AE21" s="47"/>
    </row>
    <row r="22" spans="1:31" x14ac:dyDescent="0.25">
      <c r="A22" t="s">
        <v>105</v>
      </c>
      <c r="B22" s="37">
        <v>1</v>
      </c>
      <c r="C22" s="48"/>
      <c r="D22" s="48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7"/>
      <c r="AA22" s="47"/>
      <c r="AB22" s="47"/>
      <c r="AC22" s="47"/>
      <c r="AD22" s="47"/>
      <c r="AE22" s="47"/>
    </row>
    <row r="23" spans="1:31" x14ac:dyDescent="0.25">
      <c r="A23" t="s">
        <v>106</v>
      </c>
      <c r="B23" s="37">
        <v>1</v>
      </c>
      <c r="C23" s="48"/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7"/>
      <c r="AA23" s="47"/>
      <c r="AB23" s="47"/>
      <c r="AC23" s="47"/>
      <c r="AD23" s="47"/>
      <c r="AE23" s="47"/>
    </row>
    <row r="24" spans="1:31" x14ac:dyDescent="0.25">
      <c r="A24" t="s">
        <v>44</v>
      </c>
      <c r="B24" s="37">
        <v>-1</v>
      </c>
      <c r="C24" s="48"/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7"/>
      <c r="AA24" s="47"/>
      <c r="AB24" s="47"/>
      <c r="AC24" s="47"/>
      <c r="AD24" s="47"/>
      <c r="AE24" s="47"/>
    </row>
    <row r="25" spans="1:31" x14ac:dyDescent="0.25">
      <c r="A25" t="s">
        <v>102</v>
      </c>
      <c r="B25" s="37">
        <v>1</v>
      </c>
      <c r="C25" s="48"/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7"/>
      <c r="AA25" s="47"/>
      <c r="AB25" s="47"/>
      <c r="AC25" s="47"/>
      <c r="AD25" s="47"/>
      <c r="AE25" s="47"/>
    </row>
    <row r="26" spans="1:31" x14ac:dyDescent="0.25">
      <c r="A26" t="s">
        <v>126</v>
      </c>
      <c r="B26" s="37">
        <v>1</v>
      </c>
      <c r="C26" s="48"/>
      <c r="D26" s="48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7"/>
      <c r="AA26" s="47"/>
      <c r="AB26" s="47"/>
      <c r="AC26" s="47"/>
      <c r="AD26" s="47"/>
      <c r="AE26" s="47"/>
    </row>
    <row r="27" spans="1:31" x14ac:dyDescent="0.25">
      <c r="A27" t="s">
        <v>137</v>
      </c>
      <c r="B27" s="37">
        <v>1</v>
      </c>
      <c r="C27" s="48"/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7"/>
      <c r="AA27" s="47"/>
      <c r="AB27" s="47"/>
      <c r="AC27" s="47"/>
      <c r="AD27" s="47"/>
      <c r="AE27" s="47"/>
    </row>
    <row r="28" spans="1:31" x14ac:dyDescent="0.25">
      <c r="A28" t="s">
        <v>135</v>
      </c>
      <c r="B28" s="37">
        <v>1</v>
      </c>
      <c r="C28" s="48"/>
      <c r="D28" s="48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7"/>
      <c r="AA28" s="47"/>
      <c r="AB28" s="47"/>
      <c r="AC28" s="47"/>
      <c r="AD28" s="47"/>
      <c r="AE28" s="47"/>
    </row>
    <row r="29" spans="1:31" x14ac:dyDescent="0.25">
      <c r="A29" t="s">
        <v>94</v>
      </c>
      <c r="B29" s="37">
        <v>1</v>
      </c>
      <c r="C29" s="48"/>
      <c r="D29" s="48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7"/>
      <c r="AA29" s="47"/>
      <c r="AB29" s="47"/>
      <c r="AC29" s="47"/>
      <c r="AD29" s="47"/>
      <c r="AE29" s="47"/>
    </row>
    <row r="30" spans="1:31" x14ac:dyDescent="0.25">
      <c r="A30" t="s">
        <v>93</v>
      </c>
      <c r="B30" s="37">
        <v>1</v>
      </c>
      <c r="C30" s="48"/>
      <c r="D30" s="4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7"/>
      <c r="AA30" s="47"/>
      <c r="AB30" s="47"/>
      <c r="AC30" s="47"/>
      <c r="AD30" s="47"/>
      <c r="AE30" s="47"/>
    </row>
    <row r="31" spans="1:31" x14ac:dyDescent="0.25">
      <c r="A31" t="s">
        <v>139</v>
      </c>
      <c r="B31" s="37">
        <v>1</v>
      </c>
      <c r="C31" s="48"/>
      <c r="D31" s="48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7"/>
      <c r="AA31" s="47"/>
      <c r="AB31" s="47"/>
      <c r="AC31" s="47"/>
      <c r="AD31" s="47"/>
      <c r="AE31" s="47"/>
    </row>
    <row r="32" spans="1:31" x14ac:dyDescent="0.25">
      <c r="A32" t="s">
        <v>138</v>
      </c>
      <c r="B32" s="37">
        <v>1</v>
      </c>
      <c r="C32" s="48"/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7"/>
      <c r="AA32" s="47"/>
      <c r="AB32" s="47"/>
      <c r="AC32" s="47"/>
      <c r="AD32" s="47"/>
      <c r="AE32" s="47"/>
    </row>
    <row r="33" spans="1:31" x14ac:dyDescent="0.25">
      <c r="A33" t="s">
        <v>258</v>
      </c>
      <c r="B33" s="37">
        <v>1</v>
      </c>
      <c r="C33" s="93"/>
      <c r="D33" s="96" t="s">
        <v>228</v>
      </c>
      <c r="E33" s="95" t="s">
        <v>261</v>
      </c>
      <c r="F33" s="95"/>
      <c r="G33" s="95"/>
      <c r="H33" s="95"/>
      <c r="I33" s="95"/>
      <c r="J33" s="95" t="s">
        <v>228</v>
      </c>
      <c r="K33" s="95" t="s">
        <v>140</v>
      </c>
      <c r="L33" s="95"/>
      <c r="M33" s="95"/>
      <c r="N33" s="95"/>
      <c r="O33" s="95"/>
      <c r="P33" s="95"/>
      <c r="Q33" s="95"/>
      <c r="R33" s="95"/>
      <c r="S33" s="95" t="s">
        <v>228</v>
      </c>
      <c r="T33" s="95" t="s">
        <v>141</v>
      </c>
      <c r="U33" s="95"/>
      <c r="V33" s="95"/>
      <c r="W33" s="95"/>
      <c r="X33" s="95"/>
      <c r="Y33" s="95"/>
      <c r="Z33" s="95"/>
      <c r="AA33" s="95"/>
      <c r="AB33" s="95"/>
      <c r="AC33" s="47"/>
      <c r="AD33" s="47"/>
      <c r="AE33" s="47"/>
    </row>
    <row r="34" spans="1:31" x14ac:dyDescent="0.25">
      <c r="A34" t="s">
        <v>257</v>
      </c>
      <c r="B34" s="37">
        <v>1</v>
      </c>
      <c r="C34" s="48"/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7"/>
      <c r="AA34" s="47"/>
      <c r="AB34" s="47"/>
      <c r="AC34" s="47"/>
      <c r="AD34" s="47"/>
      <c r="AE34" s="47"/>
    </row>
    <row r="35" spans="1:31" x14ac:dyDescent="0.25">
      <c r="A35" t="s">
        <v>259</v>
      </c>
      <c r="B35" s="37">
        <v>1</v>
      </c>
      <c r="C35" s="48"/>
      <c r="D35" s="48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7"/>
      <c r="AA35" s="47"/>
      <c r="AB35" s="47"/>
      <c r="AC35" s="47"/>
      <c r="AD35" s="47"/>
      <c r="AE35" s="47"/>
    </row>
    <row r="36" spans="1:31" x14ac:dyDescent="0.25">
      <c r="A36" t="s">
        <v>260</v>
      </c>
      <c r="B36" s="92">
        <v>1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</row>
    <row r="37" spans="1:31" x14ac:dyDescent="0.25">
      <c r="A37" t="s">
        <v>235</v>
      </c>
      <c r="B37" s="92">
        <v>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</row>
    <row r="38" spans="1:31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</row>
    <row r="39" spans="1:31" x14ac:dyDescent="0.25">
      <c r="A39" s="39" t="s">
        <v>227</v>
      </c>
      <c r="B39" s="40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</row>
    <row r="40" spans="1:31" x14ac:dyDescent="0.25">
      <c r="A40" s="35" t="s">
        <v>123</v>
      </c>
      <c r="B40" s="3" t="s">
        <v>230</v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</row>
    <row r="41" spans="1:31" x14ac:dyDescent="0.25">
      <c r="A41" s="38" t="s">
        <v>98</v>
      </c>
      <c r="B41" s="37">
        <v>1000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</row>
    <row r="42" spans="1:31" x14ac:dyDescent="0.25">
      <c r="A42" s="38" t="s">
        <v>96</v>
      </c>
      <c r="B42" s="37">
        <v>1000</v>
      </c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</row>
    <row r="43" spans="1:31" x14ac:dyDescent="0.25">
      <c r="A43" s="38"/>
      <c r="B43" s="37">
        <v>0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1" x14ac:dyDescent="0.25">
      <c r="A44" s="38"/>
      <c r="B44" s="37">
        <v>0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</row>
    <row r="45" spans="1:31" x14ac:dyDescent="0.25">
      <c r="A45" s="38"/>
      <c r="B45" s="37">
        <v>0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</row>
    <row r="46" spans="1:31" x14ac:dyDescent="0.25">
      <c r="A46" s="38"/>
      <c r="B46" s="37">
        <v>0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</row>
    <row r="47" spans="1:31" x14ac:dyDescent="0.25">
      <c r="A47" s="38"/>
      <c r="B47" s="37">
        <v>0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</row>
    <row r="48" spans="1:31" x14ac:dyDescent="0.25">
      <c r="A48" s="38"/>
      <c r="B48" s="37">
        <v>0</v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</row>
    <row r="49" spans="1:31" x14ac:dyDescent="0.25">
      <c r="A49" s="38"/>
      <c r="B49" s="37">
        <v>0</v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</row>
    <row r="50" spans="1:31" x14ac:dyDescent="0.25">
      <c r="A50" s="38"/>
      <c r="B50" s="37">
        <v>0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</row>
    <row r="51" spans="1:31" x14ac:dyDescent="0.25"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47"/>
      <c r="AD51" s="47"/>
      <c r="AE51" s="47"/>
    </row>
    <row r="52" spans="1:31" x14ac:dyDescent="0.25">
      <c r="A52" s="45" t="s">
        <v>226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</row>
    <row r="53" spans="1:31" x14ac:dyDescent="0.25">
      <c r="A53" s="46" t="str" cm="1">
        <f t="array" ref="A53:A83">_xlfn.LET(_xlpm.ran,C94:C133,_xlfn._xlws.FILTER(_xlpm.ran,(LEN(_xlpm.ran)&gt;0)*(IFERROR(FIND(":",_xlpm.ran)=0,TRUE))))</f>
        <v>Indtægter total</v>
      </c>
      <c r="C53" s="39" t="s">
        <v>232</v>
      </c>
      <c r="D53" s="39" t="s">
        <v>230</v>
      </c>
      <c r="E53" s="42" t="str">
        <f>'Scenarier-1B'!$E$6</f>
        <v>Nominelt</v>
      </c>
      <c r="F53" s="42" t="str">
        <f>'Scenarier-1B'!$F$6</f>
        <v>sc1</v>
      </c>
      <c r="G53" s="42" t="str">
        <f>'Scenarier-1B'!$G$6</f>
        <v>sc2</v>
      </c>
      <c r="H53" s="42" t="str">
        <f>'Scenarier-1B'!$H$6</f>
        <v>sc3</v>
      </c>
      <c r="I53" s="42" t="str">
        <f>'Scenarier-1B'!$I$6</f>
        <v>sc4</v>
      </c>
      <c r="J53" s="42" t="str">
        <f>'Scenarier-1B'!$J$6</f>
        <v>sc5</v>
      </c>
      <c r="K53" s="42" t="str">
        <f>'Scenarier-1B'!$K$6</f>
        <v>sc6</v>
      </c>
      <c r="L53" s="42" t="str">
        <f>'Scenarier-1B'!$L$6</f>
        <v>sc7</v>
      </c>
      <c r="M53" s="42" t="str">
        <f>'Scenarier-1B'!$M$6</f>
        <v>sc8</v>
      </c>
      <c r="N53" s="42" t="str">
        <f>'Scenarier-1B'!$N$6</f>
        <v>sc9</v>
      </c>
      <c r="O53" s="42" t="str">
        <f>'Scenarier-1B'!$O$6</f>
        <v>sc10</v>
      </c>
      <c r="P53" s="42" t="str">
        <f>'Scenarier-1B'!$P$6</f>
        <v>sc11</v>
      </c>
      <c r="Q53" s="42" t="str">
        <f>'Scenarier-1B'!$Q$6</f>
        <v>sc12</v>
      </c>
      <c r="R53" s="42" t="str">
        <f>'Scenarier-1B'!$R$6</f>
        <v>sc13</v>
      </c>
      <c r="S53" s="42" t="str">
        <f>'Scenarier-1B'!$S$6</f>
        <v>sc14</v>
      </c>
      <c r="T53" s="42" t="str">
        <f>'Scenarier-1B'!$T$6</f>
        <v>sc15</v>
      </c>
      <c r="U53" s="42" t="str">
        <f>'Scenarier-1B'!$U$6</f>
        <v>sc16</v>
      </c>
      <c r="V53" s="42" t="str">
        <f>'Scenarier-1B'!$V$6</f>
        <v>sc17</v>
      </c>
      <c r="W53" s="42" t="str">
        <f>'Scenarier-1B'!$W$6</f>
        <v>sc18</v>
      </c>
      <c r="X53" s="42" t="str">
        <f>'Scenarier-1B'!$X$6</f>
        <v>sc19</v>
      </c>
      <c r="Y53" s="42" t="str">
        <f>'Scenarier-1B'!$Y$6</f>
        <v>sc20</v>
      </c>
    </row>
    <row r="54" spans="1:31" x14ac:dyDescent="0.25">
      <c r="A54" t="str">
        <v>Omkostninger total</v>
      </c>
      <c r="B54" s="44"/>
      <c r="C54" t="str">
        <f t="shared" ref="C54:C74" si="0">IF(ISBLANK(A16),"",A16)</f>
        <v>Dækningsbidrag</v>
      </c>
      <c r="D54" s="37">
        <f t="shared" ref="D54:D74" si="1">B16</f>
        <v>1000</v>
      </c>
      <c r="E54" s="11" cm="1">
        <f t="array" ref="E54">IFERROR(IF($D54 &lt;&gt;0,ResultValue($C54,COLUMN(F54)-COLUMN($C54))/$D54,""),"")</f>
        <v>8081.0686816686157</v>
      </c>
      <c r="F54" s="11" cm="1">
        <f t="array" ref="F54">IFERROR(IF($D54 &lt;&gt;0,ResultValue($C54,COLUMN(G54)-COLUMN($C54))/$D54,""),"")</f>
        <v>8329.056190743413</v>
      </c>
      <c r="G54" s="11" cm="1">
        <f t="array" ref="G54">IFERROR(IF($D54 &lt;&gt;0,ResultValue($C54,COLUMN(H54)-COLUMN($C54))/$D54,""),"")</f>
        <v>8301.1435517990449</v>
      </c>
      <c r="H54" s="11" cm="1">
        <f t="array" ref="H54">IFERROR(IF($D54 &lt;&gt;0,ResultValue($C54,COLUMN(I54)-COLUMN($C54))/$D54,""),"")</f>
        <v>8273.7919741592195</v>
      </c>
      <c r="I54" s="11" cm="1">
        <f t="array" ref="I54">IFERROR(IF($D54 &lt;&gt;0,ResultValue($C54,COLUMN(J54)-COLUMN($C54))/$D54,""),"")</f>
        <v>8246.984455966227</v>
      </c>
      <c r="J54" s="11" cm="1">
        <f t="array" ref="J54">IFERROR(IF($D54 &lt;&gt;0,ResultValue($C54,COLUMN(K54)-COLUMN($C54))/$D54,""),"")</f>
        <v>8220.7046754366638</v>
      </c>
      <c r="K54" s="11" cm="1">
        <f t="array" ref="K54">IFERROR(IF($D54 &lt;&gt;0,ResultValue($C54,COLUMN(L54)-COLUMN($C54))/$D54,""),"")</f>
        <v>8194.9369571943898</v>
      </c>
      <c r="L54" s="11" cm="1">
        <f t="array" ref="L54">IFERROR(IF($D54 &lt;&gt;0,ResultValue($C54,COLUMN(M54)-COLUMN($C54))/$D54,""),"")</f>
        <v>8169.6662405838888</v>
      </c>
      <c r="M54" s="11" cm="1">
        <f t="array" ref="M54">IFERROR(IF($D54 &lt;&gt;0,ResultValue($C54,COLUMN(N54)-COLUMN($C54))/$D54,""),"")</f>
        <v>8345.471851640461</v>
      </c>
      <c r="N54" s="11" cm="1">
        <f t="array" ref="N54">IFERROR(IF($D54 &lt;&gt;0,ResultValue($C54,COLUMN(O54)-COLUMN($C54))/$D54,""),"")</f>
        <v>8321.1522677270732</v>
      </c>
      <c r="O54" s="11" cm="1">
        <f t="array" ref="O54">IFERROR(IF($D54 &lt;&gt;0,ResultValue($C54,COLUMN(P54)-COLUMN($C54))/$D54,""),"")</f>
        <v>8297.2879018878102</v>
      </c>
      <c r="P54" s="11" cm="1">
        <f t="array" ref="P54">IFERROR(IF($D54 &lt;&gt;0,ResultValue($C54,COLUMN(Q54)-COLUMN($C54))/$D54,""),"")</f>
        <v>8273.8658705922808</v>
      </c>
      <c r="Q54" s="11" cm="1">
        <f t="array" ref="Q54">IFERROR(IF($D54 &lt;&gt;0,ResultValue($C54,COLUMN(R54)-COLUMN($C54))/$D54,""),"")</f>
        <v>8250.8737719373821</v>
      </c>
      <c r="R54" s="11" cm="1">
        <f t="array" ref="R54">IFERROR(IF($D54 &lt;&gt;0,ResultValue($C54,COLUMN(S54)-COLUMN($C54))/$D54,""),"")</f>
        <v>8228.2996633497696</v>
      </c>
      <c r="S54" s="11" cm="1">
        <f t="array" ref="S54">IFERROR(IF($D54 &lt;&gt;0,ResultValue($C54,COLUMN(T54)-COLUMN($C54))/$D54,""),"")</f>
        <v>8206.1320405156621</v>
      </c>
      <c r="T54" s="11" cm="1">
        <f t="array" ref="T54">IFERROR(IF($D54 &lt;&gt;0,ResultValue($C54,COLUMN(U54)-COLUMN($C54))/$D54,""),"")</f>
        <v>8184.3598174599611</v>
      </c>
      <c r="U54" s="11" cm="1">
        <f t="array" ref="U54">IFERROR(IF($D54 &lt;&gt;0,ResultValue($C54,COLUMN(V54)-COLUMN($C54))/$D54,""),"")</f>
        <v>8162.9723077021736</v>
      </c>
      <c r="V54" s="11" cm="1">
        <f t="array" ref="V54">IFERROR(IF($D54 &lt;&gt;0,ResultValue($C54,COLUMN(W54)-COLUMN($C54))/$D54,""),"")</f>
        <v>8141.9592064218168</v>
      </c>
      <c r="W54" s="11" cm="1">
        <f t="array" ref="W54">IFERROR(IF($D54 &lt;&gt;0,ResultValue($C54,COLUMN(X54)-COLUMN($C54))/$D54,""),"")</f>
        <v>8121.3105735708205</v>
      </c>
      <c r="X54" s="11" cm="1">
        <f t="array" ref="X54">IFERROR(IF($D54 &lt;&gt;0,ResultValue($C54,COLUMN(Y54)-COLUMN($C54))/$D54,""),"")</f>
        <v>8101.0168178747244</v>
      </c>
      <c r="Y54" s="11" cm="1">
        <f t="array" ref="Y54">IFERROR(IF($D54 &lt;&gt;0,ResultValue($C54,COLUMN(Z54)-COLUMN($C54))/$D54,""),"")</f>
        <v>8081.0686816686157</v>
      </c>
    </row>
    <row r="55" spans="1:31" x14ac:dyDescent="0.25">
      <c r="A55" t="str">
        <v>Dækningsbidrag</v>
      </c>
      <c r="B55" s="44"/>
      <c r="C55" t="str">
        <f t="shared" si="0"/>
        <v>Indtægter total</v>
      </c>
      <c r="D55" s="37">
        <f t="shared" si="1"/>
        <v>1000</v>
      </c>
      <c r="E55" s="11" cm="1">
        <f t="array" ref="E55">IFERROR(IF($D55 &lt;&gt;0,ResultValue($C55,COLUMN(F55)-COLUMN($C55))/$D55,""),"")</f>
        <v>15652.263443326186</v>
      </c>
      <c r="F55" s="11" cm="1">
        <f t="array" ref="F55">IFERROR(IF($D55 &lt;&gt;0,ResultValue($C55,COLUMN(G55)-COLUMN($C55))/$D55,""),"")</f>
        <v>16181.783291652784</v>
      </c>
      <c r="G55" s="11" cm="1">
        <f t="array" ref="G55">IFERROR(IF($D55 &lt;&gt;0,ResultValue($C55,COLUMN(H55)-COLUMN($C55))/$D55,""),"")</f>
        <v>16136.225467580172</v>
      </c>
      <c r="H55" s="11" cm="1">
        <f t="array" ref="H55">IFERROR(IF($D55 &lt;&gt;0,ResultValue($C55,COLUMN(I55)-COLUMN($C55))/$D55,""),"")</f>
        <v>16091.597395019249</v>
      </c>
      <c r="I55" s="11" cm="1">
        <f t="array" ref="I55">IFERROR(IF($D55 &lt;&gt;0,ResultValue($C55,COLUMN(J55)-COLUMN($C55))/$D55,""),"")</f>
        <v>16047.870899681777</v>
      </c>
      <c r="J55" s="11" cm="1">
        <f t="array" ref="J55">IFERROR(IF($D55 &lt;&gt;0,ResultValue($C55,COLUMN(K55)-COLUMN($C55))/$D55,""),"")</f>
        <v>16005.018934251055</v>
      </c>
      <c r="K55" s="11" cm="1">
        <f t="array" ref="K55">IFERROR(IF($D55 &lt;&gt;0,ResultValue($C55,COLUMN(L55)-COLUMN($C55))/$D55,""),"")</f>
        <v>15963.01552259124</v>
      </c>
      <c r="L55" s="11" cm="1">
        <f t="array" ref="L55">IFERROR(IF($D55 &lt;&gt;0,ResultValue($C55,COLUMN(M55)-COLUMN($C55))/$D55,""),"")</f>
        <v>15921.835707238479</v>
      </c>
      <c r="M55" s="11" cm="1">
        <f t="array" ref="M55">IFERROR(IF($D55 &lt;&gt;0,ResultValue($C55,COLUMN(N55)-COLUMN($C55))/$D55,""),"")</f>
        <v>16082.049301761796</v>
      </c>
      <c r="N55" s="11" cm="1">
        <f t="array" ref="N55">IFERROR(IF($D55 &lt;&gt;0,ResultValue($C55,COLUMN(O55)-COLUMN($C55))/$D55,""),"")</f>
        <v>16042.445636921975</v>
      </c>
      <c r="O55" s="11" cm="1">
        <f t="array" ref="O55">IFERROR(IF($D55 &lt;&gt;0,ResultValue($C55,COLUMN(P55)-COLUMN($C55))/$D55,""),"")</f>
        <v>16003.596327602914</v>
      </c>
      <c r="P55" s="11" cm="1">
        <f t="array" ref="P55">IFERROR(IF($D55 &lt;&gt;0,ResultValue($C55,COLUMN(Q55)-COLUMN($C55))/$D55,""),"")</f>
        <v>15965.480024120061</v>
      </c>
      <c r="Q55" s="11" cm="1">
        <f t="array" ref="Q55">IFERROR(IF($D55 &lt;&gt;0,ResultValue($C55,COLUMN(R55)-COLUMN($C55))/$D55,""),"")</f>
        <v>15928.076174907916</v>
      </c>
      <c r="R55" s="11" cm="1">
        <f t="array" ref="R55">IFERROR(IF($D55 &lt;&gt;0,ResultValue($C55,COLUMN(S55)-COLUMN($C55))/$D55,""),"")</f>
        <v>15891.364989570069</v>
      </c>
      <c r="S55" s="11" cm="1">
        <f t="array" ref="S55">IFERROR(IF($D55 &lt;&gt;0,ResultValue($C55,COLUMN(T55)-COLUMN($C55))/$D55,""),"")</f>
        <v>15855.327403963192</v>
      </c>
      <c r="T55" s="11" cm="1">
        <f t="array" ref="T55">IFERROR(IF($D55 &lt;&gt;0,ResultValue($C55,COLUMN(U55)-COLUMN($C55))/$D55,""),"")</f>
        <v>15819.945047185534</v>
      </c>
      <c r="U55" s="11" cm="1">
        <f t="array" ref="U55">IFERROR(IF($D55 &lt;&gt;0,ResultValue($C55,COLUMN(V55)-COLUMN($C55))/$D55,""),"")</f>
        <v>15785.200210349813</v>
      </c>
      <c r="V55" s="11" cm="1">
        <f t="array" ref="V55">IFERROR(IF($D55 &lt;&gt;0,ResultValue($C55,COLUMN(W55)-COLUMN($C55))/$D55,""),"")</f>
        <v>15751.075817029016</v>
      </c>
      <c r="W55" s="11" cm="1">
        <f t="array" ref="W55">IFERROR(IF($D55 &lt;&gt;0,ResultValue($C55,COLUMN(X55)-COLUMN($C55))/$D55,""),"")</f>
        <v>15717.55539527142</v>
      </c>
      <c r="X55" s="11" cm="1">
        <f t="array" ref="X55">IFERROR(IF($D55 &lt;&gt;0,ResultValue($C55,COLUMN(Y55)-COLUMN($C55))/$D55,""),"")</f>
        <v>15684.623051088518</v>
      </c>
      <c r="Y55" s="11" cm="1">
        <f t="array" ref="Y55">IFERROR(IF($D55 &lt;&gt;0,ResultValue($C55,COLUMN(Z55)-COLUMN($C55))/$D55,""),"")</f>
        <v>15652.263443326186</v>
      </c>
    </row>
    <row r="56" spans="1:31" x14ac:dyDescent="0.25">
      <c r="A56" t="str">
        <v>Varmesalg</v>
      </c>
      <c r="B56" s="44"/>
      <c r="C56" t="str">
        <f t="shared" si="0"/>
        <v>Omkostninger total</v>
      </c>
      <c r="D56" s="37">
        <f t="shared" si="1"/>
        <v>-1000</v>
      </c>
      <c r="E56" s="11" cm="1">
        <f t="array" ref="E56">IFERROR(IF($D56 &lt;&gt;0,ResultValue($C56,COLUMN(F56)-COLUMN($C56))/$D56,""),"")</f>
        <v>-7571.1947616575708</v>
      </c>
      <c r="F56" s="11" cm="1">
        <f t="array" ref="F56">IFERROR(IF($D56 &lt;&gt;0,ResultValue($C56,COLUMN(G56)-COLUMN($C56))/$D56,""),"")</f>
        <v>-7852.7271009093702</v>
      </c>
      <c r="G56" s="11" cm="1">
        <f t="array" ref="G56">IFERROR(IF($D56 &lt;&gt;0,ResultValue($C56,COLUMN(H56)-COLUMN($C56))/$D56,""),"")</f>
        <v>-7835.0819157811293</v>
      </c>
      <c r="H56" s="11" cm="1">
        <f t="array" ref="H56">IFERROR(IF($D56 &lt;&gt;0,ResultValue($C56,COLUMN(I56)-COLUMN($C56))/$D56,""),"")</f>
        <v>-7817.8054208600297</v>
      </c>
      <c r="I56" s="11" cm="1">
        <f t="array" ref="I56">IFERROR(IF($D56 &lt;&gt;0,ResultValue($C56,COLUMN(J56)-COLUMN($C56))/$D56,""),"")</f>
        <v>-7800.8864437155489</v>
      </c>
      <c r="J56" s="11" cm="1">
        <f t="array" ref="J56">IFERROR(IF($D56 &lt;&gt;0,ResultValue($C56,COLUMN(K56)-COLUMN($C56))/$D56,""),"")</f>
        <v>-7784.314258814391</v>
      </c>
      <c r="K56" s="11" cm="1">
        <f t="array" ref="K56">IFERROR(IF($D56 &lt;&gt;0,ResultValue($C56,COLUMN(L56)-COLUMN($C56))/$D56,""),"")</f>
        <v>-7768.0785653968505</v>
      </c>
      <c r="L56" s="11" cm="1">
        <f t="array" ref="L56">IFERROR(IF($D56 &lt;&gt;0,ResultValue($C56,COLUMN(M56)-COLUMN($C56))/$D56,""),"")</f>
        <v>-7752.1694666545891</v>
      </c>
      <c r="M56" s="11" cm="1">
        <f t="array" ref="M56">IFERROR(IF($D56 &lt;&gt;0,ResultValue($C56,COLUMN(N56)-COLUMN($C56))/$D56,""),"")</f>
        <v>-7736.5774501213346</v>
      </c>
      <c r="N56" s="11" cm="1">
        <f t="array" ref="N56">IFERROR(IF($D56 &lt;&gt;0,ResultValue($C56,COLUMN(O56)-COLUMN($C56))/$D56,""),"")</f>
        <v>-7721.2933691949038</v>
      </c>
      <c r="O56" s="11" cm="1">
        <f t="array" ref="O56">IFERROR(IF($D56 &lt;&gt;0,ResultValue($C56,COLUMN(P56)-COLUMN($C56))/$D56,""),"")</f>
        <v>-7706.3084257151031</v>
      </c>
      <c r="P56" s="11" cm="1">
        <f t="array" ref="P56">IFERROR(IF($D56 &lt;&gt;0,ResultValue($C56,COLUMN(Q56)-COLUMN($C56))/$D56,""),"")</f>
        <v>-7691.6141535277802</v>
      </c>
      <c r="Q56" s="11" cm="1">
        <f t="array" ref="Q56">IFERROR(IF($D56 &lt;&gt;0,ResultValue($C56,COLUMN(R56)-COLUMN($C56))/$D56,""),"")</f>
        <v>-7677.2024029705326</v>
      </c>
      <c r="R56" s="11" cm="1">
        <f t="array" ref="R56">IFERROR(IF($D56 &lt;&gt;0,ResultValue($C56,COLUMN(S56)-COLUMN($C56))/$D56,""),"")</f>
        <v>-7663.0653262203014</v>
      </c>
      <c r="S56" s="11" cm="1">
        <f t="array" ref="S56">IFERROR(IF($D56 &lt;&gt;0,ResultValue($C56,COLUMN(T56)-COLUMN($C56))/$D56,""),"")</f>
        <v>-7649.1953634475321</v>
      </c>
      <c r="T56" s="11" cm="1">
        <f t="array" ref="T56">IFERROR(IF($D56 &lt;&gt;0,ResultValue($C56,COLUMN(U56)-COLUMN($C56))/$D56,""),"")</f>
        <v>-7635.5852297255733</v>
      </c>
      <c r="U56" s="11" cm="1">
        <f t="array" ref="U56">IFERROR(IF($D56 &lt;&gt;0,ResultValue($C56,COLUMN(V56)-COLUMN($C56))/$D56,""),"")</f>
        <v>-7622.2279026476399</v>
      </c>
      <c r="V56" s="11" cm="1">
        <f t="array" ref="V56">IFERROR(IF($D56 &lt;&gt;0,ResultValue($C56,COLUMN(W56)-COLUMN($C56))/$D56,""),"")</f>
        <v>-7609.1166106071996</v>
      </c>
      <c r="W56" s="11" cm="1">
        <f t="array" ref="W56">IFERROR(IF($D56 &lt;&gt;0,ResultValue($C56,COLUMN(X56)-COLUMN($C56))/$D56,""),"")</f>
        <v>-7596.2448217006004</v>
      </c>
      <c r="X56" s="11" cm="1">
        <f t="array" ref="X56">IFERROR(IF($D56 &lt;&gt;0,ResultValue($C56,COLUMN(Y56)-COLUMN($C56))/$D56,""),"")</f>
        <v>-7583.6062332137935</v>
      </c>
      <c r="Y56" s="11" cm="1">
        <f t="array" ref="Y56">IFERROR(IF($D56 &lt;&gt;0,ResultValue($C56,COLUMN(Z56)-COLUMN($C56))/$D56,""),"")</f>
        <v>-7571.1947616575708</v>
      </c>
    </row>
    <row r="57" spans="1:31" x14ac:dyDescent="0.25">
      <c r="A57" t="str">
        <v>Elsalg</v>
      </c>
      <c r="B57" s="44"/>
      <c r="C57" t="str">
        <f t="shared" si="0"/>
        <v>RGK-rabat</v>
      </c>
      <c r="D57" s="37">
        <f t="shared" si="1"/>
        <v>1000</v>
      </c>
      <c r="E57" s="11" cm="1">
        <f t="array" ref="E57">IFERROR(IF($D57 &lt;&gt;0,ResultValue($C57,COLUMN(F57)-COLUMN($C57))/$D57,""),"")</f>
        <v>200.59380181097563</v>
      </c>
      <c r="F57" s="11" cm="1">
        <f t="array" ref="F57">IFERROR(IF($D57 &lt;&gt;0,ResultValue($C57,COLUMN(G57)-COLUMN($C57))/$D57,""),"")</f>
        <v>0</v>
      </c>
      <c r="G57" s="11" cm="1">
        <f t="array" ref="G57">IFERROR(IF($D57 &lt;&gt;0,ResultValue($C57,COLUMN(H57)-COLUMN($C57))/$D57,""),"")</f>
        <v>0</v>
      </c>
      <c r="H57" s="11" cm="1">
        <f t="array" ref="H57">IFERROR(IF($D57 &lt;&gt;0,ResultValue($C57,COLUMN(I57)-COLUMN($C57))/$D57,""),"")</f>
        <v>0</v>
      </c>
      <c r="I57" s="11" cm="1">
        <f t="array" ref="I57">IFERROR(IF($D57 &lt;&gt;0,ResultValue($C57,COLUMN(J57)-COLUMN($C57))/$D57,""),"")</f>
        <v>0</v>
      </c>
      <c r="J57" s="11" cm="1">
        <f t="array" ref="J57">IFERROR(IF($D57 &lt;&gt;0,ResultValue($C57,COLUMN(K57)-COLUMN($C57))/$D57,""),"")</f>
        <v>0</v>
      </c>
      <c r="K57" s="11" cm="1">
        <f t="array" ref="K57">IFERROR(IF($D57 &lt;&gt;0,ResultValue($C57,COLUMN(L57)-COLUMN($C57))/$D57,""),"")</f>
        <v>0</v>
      </c>
      <c r="L57" s="11" cm="1">
        <f t="array" ref="L57">IFERROR(IF($D57 &lt;&gt;0,ResultValue($C57,COLUMN(M57)-COLUMN($C57))/$D57,""),"")</f>
        <v>0</v>
      </c>
      <c r="M57" s="11" cm="1">
        <f t="array" ref="M57">IFERROR(IF($D57 &lt;&gt;0,ResultValue($C57,COLUMN(N57)-COLUMN($C57))/$D57,""),"")</f>
        <v>200.59380181097563</v>
      </c>
      <c r="N57" s="11" cm="1">
        <f t="array" ref="N57">IFERROR(IF($D57 &lt;&gt;0,ResultValue($C57,COLUMN(O57)-COLUMN($C57))/$D57,""),"")</f>
        <v>200.59380181097563</v>
      </c>
      <c r="O57" s="11" cm="1">
        <f t="array" ref="O57">IFERROR(IF($D57 &lt;&gt;0,ResultValue($C57,COLUMN(P57)-COLUMN($C57))/$D57,""),"")</f>
        <v>200.59380181097563</v>
      </c>
      <c r="P57" s="11" cm="1">
        <f t="array" ref="P57">IFERROR(IF($D57 &lt;&gt;0,ResultValue($C57,COLUMN(Q57)-COLUMN($C57))/$D57,""),"")</f>
        <v>200.59380181097563</v>
      </c>
      <c r="Q57" s="11" cm="1">
        <f t="array" ref="Q57">IFERROR(IF($D57 &lt;&gt;0,ResultValue($C57,COLUMN(R57)-COLUMN($C57))/$D57,""),"")</f>
        <v>200.59380181097563</v>
      </c>
      <c r="R57" s="11" cm="1">
        <f t="array" ref="R57">IFERROR(IF($D57 &lt;&gt;0,ResultValue($C57,COLUMN(S57)-COLUMN($C57))/$D57,""),"")</f>
        <v>200.59380181097563</v>
      </c>
      <c r="S57" s="11" cm="1">
        <f t="array" ref="S57">IFERROR(IF($D57 &lt;&gt;0,ResultValue($C57,COLUMN(T57)-COLUMN($C57))/$D57,""),"")</f>
        <v>200.59380181097563</v>
      </c>
      <c r="T57" s="11" cm="1">
        <f t="array" ref="T57">IFERROR(IF($D57 &lt;&gt;0,ResultValue($C57,COLUMN(U57)-COLUMN($C57))/$D57,""),"")</f>
        <v>200.59380181097563</v>
      </c>
      <c r="U57" s="11" cm="1">
        <f t="array" ref="U57">IFERROR(IF($D57 &lt;&gt;0,ResultValue($C57,COLUMN(V57)-COLUMN($C57))/$D57,""),"")</f>
        <v>200.59380181097563</v>
      </c>
      <c r="V57" s="11" cm="1">
        <f t="array" ref="V57">IFERROR(IF($D57 &lt;&gt;0,ResultValue($C57,COLUMN(W57)-COLUMN($C57))/$D57,""),"")</f>
        <v>200.59380181097563</v>
      </c>
      <c r="W57" s="11" cm="1">
        <f t="array" ref="W57">IFERROR(IF($D57 &lt;&gt;0,ResultValue($C57,COLUMN(X57)-COLUMN($C57))/$D57,""),"")</f>
        <v>200.59380181097563</v>
      </c>
      <c r="X57" s="11" cm="1">
        <f t="array" ref="X57">IFERROR(IF($D57 &lt;&gt;0,ResultValue($C57,COLUMN(Y57)-COLUMN($C57))/$D57,""),"")</f>
        <v>200.59380181097563</v>
      </c>
      <c r="Y57" s="11" cm="1">
        <f t="array" ref="Y57">IFERROR(IF($D57 &lt;&gt;0,ResultValue($C57,COLUMN(Z57)-COLUMN($C57))/$D57,""),"")</f>
        <v>200.59380181097563</v>
      </c>
    </row>
    <row r="58" spans="1:31" x14ac:dyDescent="0.25">
      <c r="A58" t="str">
        <v>RGK-rabat</v>
      </c>
      <c r="B58" s="44"/>
      <c r="C58" t="str">
        <f t="shared" si="0"/>
        <v>Modtagebetaling affald</v>
      </c>
      <c r="D58" s="37">
        <f t="shared" si="1"/>
        <v>1000</v>
      </c>
      <c r="E58" s="11" cm="1">
        <f t="array" ref="E58">IFERROR(IF($D58 &lt;&gt;0,ResultValue($C58,COLUMN(F58)-COLUMN($C58))/$D58,""),"")</f>
        <v>4040.3371902956987</v>
      </c>
      <c r="F58" s="11" cm="1">
        <f t="array" ref="F58">IFERROR(IF($D58 &lt;&gt;0,ResultValue($C58,COLUMN(G58)-COLUMN($C58))/$D58,""),"")</f>
        <v>4770.4508404332728</v>
      </c>
      <c r="G58" s="11" cm="1">
        <f t="array" ref="G58">IFERROR(IF($D58 &lt;&gt;0,ResultValue($C58,COLUMN(H58)-COLUMN($C58))/$D58,""),"")</f>
        <v>4724.8930163606619</v>
      </c>
      <c r="H58" s="11" cm="1">
        <f t="array" ref="H58">IFERROR(IF($D58 &lt;&gt;0,ResultValue($C58,COLUMN(I58)-COLUMN($C58))/$D58,""),"")</f>
        <v>4680.2649437997379</v>
      </c>
      <c r="I58" s="11" cm="1">
        <f t="array" ref="I58">IFERROR(IF($D58 &lt;&gt;0,ResultValue($C58,COLUMN(J58)-COLUMN($C58))/$D58,""),"")</f>
        <v>4636.5384484622655</v>
      </c>
      <c r="J58" s="11" cm="1">
        <f t="array" ref="J58">IFERROR(IF($D58 &lt;&gt;0,ResultValue($C58,COLUMN(K58)-COLUMN($C58))/$D58,""),"")</f>
        <v>4593.6864830315435</v>
      </c>
      <c r="K58" s="11" cm="1">
        <f t="array" ref="K58">IFERROR(IF($D58 &lt;&gt;0,ResultValue($C58,COLUMN(L58)-COLUMN($C58))/$D58,""),"")</f>
        <v>4551.6830713717272</v>
      </c>
      <c r="L58" s="11" cm="1">
        <f t="array" ref="L58">IFERROR(IF($D58 &lt;&gt;0,ResultValue($C58,COLUMN(M58)-COLUMN($C58))/$D58,""),"")</f>
        <v>4510.5032560189666</v>
      </c>
      <c r="M58" s="11" cm="1">
        <f t="array" ref="M58">IFERROR(IF($D58 &lt;&gt;0,ResultValue($C58,COLUMN(N58)-COLUMN($C58))/$D58,""),"")</f>
        <v>4470.1230487313078</v>
      </c>
      <c r="N58" s="11" cm="1">
        <f t="array" ref="N58">IFERROR(IF($D58 &lt;&gt;0,ResultValue($C58,COLUMN(O58)-COLUMN($C58))/$D58,""),"")</f>
        <v>4430.5193838914875</v>
      </c>
      <c r="O58" s="11" cm="1">
        <f t="array" ref="O58">IFERROR(IF($D58 &lt;&gt;0,ResultValue($C58,COLUMN(P58)-COLUMN($C58))/$D58,""),"")</f>
        <v>4391.6700745724256</v>
      </c>
      <c r="P58" s="11" cm="1">
        <f t="array" ref="P58">IFERROR(IF($D58 &lt;&gt;0,ResultValue($C58,COLUMN(Q58)-COLUMN($C58))/$D58,""),"")</f>
        <v>4353.5537710895724</v>
      </c>
      <c r="Q58" s="11" cm="1">
        <f t="array" ref="Q58">IFERROR(IF($D58 &lt;&gt;0,ResultValue($C58,COLUMN(R58)-COLUMN($C58))/$D58,""),"")</f>
        <v>4316.1499218774279</v>
      </c>
      <c r="R58" s="11" cm="1">
        <f t="array" ref="R58">IFERROR(IF($D58 &lt;&gt;0,ResultValue($C58,COLUMN(S58)-COLUMN($C58))/$D58,""),"")</f>
        <v>4279.4387365395824</v>
      </c>
      <c r="S58" s="11" cm="1">
        <f t="array" ref="S58">IFERROR(IF($D58 &lt;&gt;0,ResultValue($C58,COLUMN(T58)-COLUMN($C58))/$D58,""),"")</f>
        <v>4243.4011509327056</v>
      </c>
      <c r="T58" s="11" cm="1">
        <f t="array" ref="T58">IFERROR(IF($D58 &lt;&gt;0,ResultValue($C58,COLUMN(U58)-COLUMN($C58))/$D58,""),"")</f>
        <v>4208.0187941550466</v>
      </c>
      <c r="U58" s="11" cm="1">
        <f t="array" ref="U58">IFERROR(IF($D58 &lt;&gt;0,ResultValue($C58,COLUMN(V58)-COLUMN($C58))/$D58,""),"")</f>
        <v>4173.2739573193248</v>
      </c>
      <c r="V58" s="11" cm="1">
        <f t="array" ref="V58">IFERROR(IF($D58 &lt;&gt;0,ResultValue($C58,COLUMN(W58)-COLUMN($C58))/$D58,""),"")</f>
        <v>4139.1495639985287</v>
      </c>
      <c r="W58" s="11" cm="1">
        <f t="array" ref="W58">IFERROR(IF($D58 &lt;&gt;0,ResultValue($C58,COLUMN(X58)-COLUMN($C58))/$D58,""),"")</f>
        <v>4105.6291422409313</v>
      </c>
      <c r="X58" s="11" cm="1">
        <f t="array" ref="X58">IFERROR(IF($D58 &lt;&gt;0,ResultValue($C58,COLUMN(Y58)-COLUMN($C58))/$D58,""),"")</f>
        <v>4072.6967980580289</v>
      </c>
      <c r="Y58" s="11" cm="1">
        <f t="array" ref="Y58">IFERROR(IF($D58 &lt;&gt;0,ResultValue($C58,COLUMN(Z58)-COLUMN($C58))/$D58,""),"")</f>
        <v>4040.3371902956987</v>
      </c>
    </row>
    <row r="59" spans="1:31" x14ac:dyDescent="0.25">
      <c r="A59" t="str">
        <v>Modtagebetaling affald</v>
      </c>
      <c r="B59" s="44"/>
      <c r="C59" t="str">
        <f t="shared" si="0"/>
        <v>Varmesalg</v>
      </c>
      <c r="D59" s="37">
        <f t="shared" si="1"/>
        <v>1000</v>
      </c>
      <c r="E59" s="11" cm="1">
        <f t="array" ref="E59">IFERROR(IF($D59 &lt;&gt;0,ResultValue($C59,COLUMN(F59)-COLUMN($C59))/$D59,""),"")</f>
        <v>7464</v>
      </c>
      <c r="F59" s="11" cm="1">
        <f t="array" ref="F59">IFERROR(IF($D59 &lt;&gt;0,ResultValue($C59,COLUMN(G59)-COLUMN($C59))/$D59,""),"")</f>
        <v>7464</v>
      </c>
      <c r="G59" s="11" cm="1">
        <f t="array" ref="G59">IFERROR(IF($D59 &lt;&gt;0,ResultValue($C59,COLUMN(H59)-COLUMN($C59))/$D59,""),"")</f>
        <v>7464</v>
      </c>
      <c r="H59" s="11" cm="1">
        <f t="array" ref="H59">IFERROR(IF($D59 &lt;&gt;0,ResultValue($C59,COLUMN(I59)-COLUMN($C59))/$D59,""),"")</f>
        <v>7464</v>
      </c>
      <c r="I59" s="11" cm="1">
        <f t="array" ref="I59">IFERROR(IF($D59 &lt;&gt;0,ResultValue($C59,COLUMN(J59)-COLUMN($C59))/$D59,""),"")</f>
        <v>7464</v>
      </c>
      <c r="J59" s="11" cm="1">
        <f t="array" ref="J59">IFERROR(IF($D59 &lt;&gt;0,ResultValue($C59,COLUMN(K59)-COLUMN($C59))/$D59,""),"")</f>
        <v>7464</v>
      </c>
      <c r="K59" s="11" cm="1">
        <f t="array" ref="K59">IFERROR(IF($D59 &lt;&gt;0,ResultValue($C59,COLUMN(L59)-COLUMN($C59))/$D59,""),"")</f>
        <v>7464</v>
      </c>
      <c r="L59" s="11" cm="1">
        <f t="array" ref="L59">IFERROR(IF($D59 &lt;&gt;0,ResultValue($C59,COLUMN(M59)-COLUMN($C59))/$D59,""),"")</f>
        <v>7464</v>
      </c>
      <c r="M59" s="11" cm="1">
        <f t="array" ref="M59">IFERROR(IF($D59 &lt;&gt;0,ResultValue($C59,COLUMN(N59)-COLUMN($C59))/$D59,""),"")</f>
        <v>7464</v>
      </c>
      <c r="N59" s="11" cm="1">
        <f t="array" ref="N59">IFERROR(IF($D59 &lt;&gt;0,ResultValue($C59,COLUMN(O59)-COLUMN($C59))/$D59,""),"")</f>
        <v>7464</v>
      </c>
      <c r="O59" s="11" cm="1">
        <f t="array" ref="O59">IFERROR(IF($D59 &lt;&gt;0,ResultValue($C59,COLUMN(P59)-COLUMN($C59))/$D59,""),"")</f>
        <v>7464</v>
      </c>
      <c r="P59" s="11" cm="1">
        <f t="array" ref="P59">IFERROR(IF($D59 &lt;&gt;0,ResultValue($C59,COLUMN(Q59)-COLUMN($C59))/$D59,""),"")</f>
        <v>7464</v>
      </c>
      <c r="Q59" s="11" cm="1">
        <f t="array" ref="Q59">IFERROR(IF($D59 &lt;&gt;0,ResultValue($C59,COLUMN(R59)-COLUMN($C59))/$D59,""),"")</f>
        <v>7464</v>
      </c>
      <c r="R59" s="11" cm="1">
        <f t="array" ref="R59">IFERROR(IF($D59 &lt;&gt;0,ResultValue($C59,COLUMN(S59)-COLUMN($C59))/$D59,""),"")</f>
        <v>7464</v>
      </c>
      <c r="S59" s="11" cm="1">
        <f t="array" ref="S59">IFERROR(IF($D59 &lt;&gt;0,ResultValue($C59,COLUMN(T59)-COLUMN($C59))/$D59,""),"")</f>
        <v>7464</v>
      </c>
      <c r="T59" s="11" cm="1">
        <f t="array" ref="T59">IFERROR(IF($D59 &lt;&gt;0,ResultValue($C59,COLUMN(U59)-COLUMN($C59))/$D59,""),"")</f>
        <v>7464</v>
      </c>
      <c r="U59" s="11" cm="1">
        <f t="array" ref="U59">IFERROR(IF($D59 &lt;&gt;0,ResultValue($C59,COLUMN(V59)-COLUMN($C59))/$D59,""),"")</f>
        <v>7464</v>
      </c>
      <c r="V59" s="11" cm="1">
        <f t="array" ref="V59">IFERROR(IF($D59 &lt;&gt;0,ResultValue($C59,COLUMN(W59)-COLUMN($C59))/$D59,""),"")</f>
        <v>7464</v>
      </c>
      <c r="W59" s="11" cm="1">
        <f t="array" ref="W59">IFERROR(IF($D59 &lt;&gt;0,ResultValue($C59,COLUMN(X59)-COLUMN($C59))/$D59,""),"")</f>
        <v>7464</v>
      </c>
      <c r="X59" s="11" cm="1">
        <f t="array" ref="X59">IFERROR(IF($D59 &lt;&gt;0,ResultValue($C59,COLUMN(Y59)-COLUMN($C59))/$D59,""),"")</f>
        <v>7464</v>
      </c>
      <c r="Y59" s="11" cm="1">
        <f t="array" ref="Y59">IFERROR(IF($D59 &lt;&gt;0,ResultValue($C59,COLUMN(Z59)-COLUMN($C59))/$D59,""),"")</f>
        <v>7464</v>
      </c>
    </row>
    <row r="60" spans="1:31" x14ac:dyDescent="0.25">
      <c r="A60" t="str">
        <v>Betaling bioaffald</v>
      </c>
      <c r="B60" s="44"/>
      <c r="C60" t="str">
        <f t="shared" si="0"/>
        <v>Varmeproduktion Ovn2</v>
      </c>
      <c r="D60" s="37">
        <f t="shared" si="1"/>
        <v>1</v>
      </c>
      <c r="E60" s="11" cm="1">
        <f t="array" ref="E60">IFERROR(IF($D60 &lt;&gt;0,ResultValue($C60,COLUMN(F60)-COLUMN($C60))/$D60,""),"")</f>
        <v>3168</v>
      </c>
      <c r="F60" s="11" cm="1">
        <f t="array" ref="F60">IFERROR(IF($D60 &lt;&gt;0,ResultValue($C60,COLUMN(G60)-COLUMN($C60))/$D60,""),"")</f>
        <v>7055.4000000000015</v>
      </c>
      <c r="G60" s="11" cm="1">
        <f t="array" ref="G60">IFERROR(IF($D60 &lt;&gt;0,ResultValue($C60,COLUMN(H60)-COLUMN($C60))/$D60,""),"")</f>
        <v>6850.7999999999993</v>
      </c>
      <c r="H60" s="11" cm="1">
        <f t="array" ref="H60">IFERROR(IF($D60 &lt;&gt;0,ResultValue($C60,COLUMN(I60)-COLUMN($C60))/$D60,""),"")</f>
        <v>6646.2000000000007</v>
      </c>
      <c r="I60" s="11" cm="1">
        <f t="array" ref="I60">IFERROR(IF($D60 &lt;&gt;0,ResultValue($C60,COLUMN(J60)-COLUMN($C60))/$D60,""),"")</f>
        <v>6441.5999999999985</v>
      </c>
      <c r="J60" s="11" cm="1">
        <f t="array" ref="J60">IFERROR(IF($D60 &lt;&gt;0,ResultValue($C60,COLUMN(K60)-COLUMN($C60))/$D60,""),"")</f>
        <v>6237</v>
      </c>
      <c r="K60" s="11" cm="1">
        <f t="array" ref="K60">IFERROR(IF($D60 &lt;&gt;0,ResultValue($C60,COLUMN(L60)-COLUMN($C60))/$D60,""),"")</f>
        <v>6032.4000000000015</v>
      </c>
      <c r="L60" s="11" cm="1">
        <f t="array" ref="L60">IFERROR(IF($D60 &lt;&gt;0,ResultValue($C60,COLUMN(M60)-COLUMN($C60))/$D60,""),"")</f>
        <v>5827.7999999999993</v>
      </c>
      <c r="M60" s="11" cm="1">
        <f t="array" ref="M60">IFERROR(IF($D60 &lt;&gt;0,ResultValue($C60,COLUMN(N60)-COLUMN($C60))/$D60,""),"")</f>
        <v>5623.2000000000007</v>
      </c>
      <c r="N60" s="11" cm="1">
        <f t="array" ref="N60">IFERROR(IF($D60 &lt;&gt;0,ResultValue($C60,COLUMN(O60)-COLUMN($C60))/$D60,""),"")</f>
        <v>5418.5999999999985</v>
      </c>
      <c r="O60" s="11" cm="1">
        <f t="array" ref="O60">IFERROR(IF($D60 &lt;&gt;0,ResultValue($C60,COLUMN(P60)-COLUMN($C60))/$D60,""),"")</f>
        <v>5214</v>
      </c>
      <c r="P60" s="11" cm="1">
        <f t="array" ref="P60">IFERROR(IF($D60 &lt;&gt;0,ResultValue($C60,COLUMN(Q60)-COLUMN($C60))/$D60,""),"")</f>
        <v>5009.4000000000015</v>
      </c>
      <c r="Q60" s="11" cm="1">
        <f t="array" ref="Q60">IFERROR(IF($D60 &lt;&gt;0,ResultValue($C60,COLUMN(R60)-COLUMN($C60))/$D60,""),"")</f>
        <v>4804.7999999999993</v>
      </c>
      <c r="R60" s="11" cm="1">
        <f t="array" ref="R60">IFERROR(IF($D60 &lt;&gt;0,ResultValue($C60,COLUMN(S60)-COLUMN($C60))/$D60,""),"")</f>
        <v>4600.2000000000007</v>
      </c>
      <c r="S60" s="11" cm="1">
        <f t="array" ref="S60">IFERROR(IF($D60 &lt;&gt;0,ResultValue($C60,COLUMN(T60)-COLUMN($C60))/$D60,""),"")</f>
        <v>4395.5999999999985</v>
      </c>
      <c r="T60" s="11" cm="1">
        <f t="array" ref="T60">IFERROR(IF($D60 &lt;&gt;0,ResultValue($C60,COLUMN(U60)-COLUMN($C60))/$D60,""),"")</f>
        <v>4191</v>
      </c>
      <c r="U60" s="11" cm="1">
        <f t="array" ref="U60">IFERROR(IF($D60 &lt;&gt;0,ResultValue($C60,COLUMN(V60)-COLUMN($C60))/$D60,""),"")</f>
        <v>3986.4000000000015</v>
      </c>
      <c r="V60" s="11" cm="1">
        <f t="array" ref="V60">IFERROR(IF($D60 &lt;&gt;0,ResultValue($C60,COLUMN(W60)-COLUMN($C60))/$D60,""),"")</f>
        <v>3781.7999999999993</v>
      </c>
      <c r="W60" s="11" cm="1">
        <f t="array" ref="W60">IFERROR(IF($D60 &lt;&gt;0,ResultValue($C60,COLUMN(X60)-COLUMN($C60))/$D60,""),"")</f>
        <v>3577.2000000000007</v>
      </c>
      <c r="X60" s="11" cm="1">
        <f t="array" ref="X60">IFERROR(IF($D60 &lt;&gt;0,ResultValue($C60,COLUMN(Y60)-COLUMN($C60))/$D60,""),"")</f>
        <v>3372.5999999999985</v>
      </c>
      <c r="Y60" s="11" cm="1">
        <f t="array" ref="Y60">IFERROR(IF($D60 &lt;&gt;0,ResultValue($C60,COLUMN(Z60)-COLUMN($C60))/$D60,""),"")</f>
        <v>3168</v>
      </c>
    </row>
    <row r="61" spans="1:31" x14ac:dyDescent="0.25">
      <c r="A61" t="str">
        <v>DV-omkostninger</v>
      </c>
      <c r="B61" s="44"/>
      <c r="C61" t="str">
        <f t="shared" si="0"/>
        <v>Varmeproduktion Ovn3</v>
      </c>
      <c r="D61" s="37">
        <f t="shared" si="1"/>
        <v>1</v>
      </c>
      <c r="E61" s="11" cm="1">
        <f t="array" ref="E61">IFERROR(IF($D61 &lt;&gt;0,ResultValue($C61,COLUMN(F61)-COLUMN($C61))/$D61,""),"")</f>
        <v>20832</v>
      </c>
      <c r="F61" s="11" cm="1">
        <f t="array" ref="F61">IFERROR(IF($D61 &lt;&gt;0,ResultValue($C61,COLUMN(G61)-COLUMN($C61))/$D61,""),"")</f>
        <v>16944.599999999999</v>
      </c>
      <c r="G61" s="11" cm="1">
        <f t="array" ref="G61">IFERROR(IF($D61 &lt;&gt;0,ResultValue($C61,COLUMN(H61)-COLUMN($C61))/$D61,""),"")</f>
        <v>17149.2</v>
      </c>
      <c r="H61" s="11" cm="1">
        <f t="array" ref="H61">IFERROR(IF($D61 &lt;&gt;0,ResultValue($C61,COLUMN(I61)-COLUMN($C61))/$D61,""),"")</f>
        <v>17353.8</v>
      </c>
      <c r="I61" s="11" cm="1">
        <f t="array" ref="I61">IFERROR(IF($D61 &lt;&gt;0,ResultValue($C61,COLUMN(J61)-COLUMN($C61))/$D61,""),"")</f>
        <v>17558.400000000001</v>
      </c>
      <c r="J61" s="11" cm="1">
        <f t="array" ref="J61">IFERROR(IF($D61 &lt;&gt;0,ResultValue($C61,COLUMN(K61)-COLUMN($C61))/$D61,""),"")</f>
        <v>17763</v>
      </c>
      <c r="K61" s="11" cm="1">
        <f t="array" ref="K61">IFERROR(IF($D61 &lt;&gt;0,ResultValue($C61,COLUMN(L61)-COLUMN($C61))/$D61,""),"")</f>
        <v>17967.599999999999</v>
      </c>
      <c r="L61" s="11" cm="1">
        <f t="array" ref="L61">IFERROR(IF($D61 &lt;&gt;0,ResultValue($C61,COLUMN(M61)-COLUMN($C61))/$D61,""),"")</f>
        <v>18172.2</v>
      </c>
      <c r="M61" s="11" cm="1">
        <f t="array" ref="M61">IFERROR(IF($D61 &lt;&gt;0,ResultValue($C61,COLUMN(N61)-COLUMN($C61))/$D61,""),"")</f>
        <v>18376.8</v>
      </c>
      <c r="N61" s="11" cm="1">
        <f t="array" ref="N61">IFERROR(IF($D61 &lt;&gt;0,ResultValue($C61,COLUMN(O61)-COLUMN($C61))/$D61,""),"")</f>
        <v>18581.400000000001</v>
      </c>
      <c r="O61" s="11" cm="1">
        <f t="array" ref="O61">IFERROR(IF($D61 &lt;&gt;0,ResultValue($C61,COLUMN(P61)-COLUMN($C61))/$D61,""),"")</f>
        <v>18786</v>
      </c>
      <c r="P61" s="11" cm="1">
        <f t="array" ref="P61">IFERROR(IF($D61 &lt;&gt;0,ResultValue($C61,COLUMN(Q61)-COLUMN($C61))/$D61,""),"")</f>
        <v>18990.599999999999</v>
      </c>
      <c r="Q61" s="11" cm="1">
        <f t="array" ref="Q61">IFERROR(IF($D61 &lt;&gt;0,ResultValue($C61,COLUMN(R61)-COLUMN($C61))/$D61,""),"")</f>
        <v>19195.2</v>
      </c>
      <c r="R61" s="11" cm="1">
        <f t="array" ref="R61">IFERROR(IF($D61 &lt;&gt;0,ResultValue($C61,COLUMN(S61)-COLUMN($C61))/$D61,""),"")</f>
        <v>19399.8</v>
      </c>
      <c r="S61" s="11" cm="1">
        <f t="array" ref="S61">IFERROR(IF($D61 &lt;&gt;0,ResultValue($C61,COLUMN(T61)-COLUMN($C61))/$D61,""),"")</f>
        <v>19604.400000000001</v>
      </c>
      <c r="T61" s="11" cm="1">
        <f t="array" ref="T61">IFERROR(IF($D61 &lt;&gt;0,ResultValue($C61,COLUMN(U61)-COLUMN($C61))/$D61,""),"")</f>
        <v>19809</v>
      </c>
      <c r="U61" s="11" cm="1">
        <f t="array" ref="U61">IFERROR(IF($D61 &lt;&gt;0,ResultValue($C61,COLUMN(V61)-COLUMN($C61))/$D61,""),"")</f>
        <v>20013.599999999999</v>
      </c>
      <c r="V61" s="11" cm="1">
        <f t="array" ref="V61">IFERROR(IF($D61 &lt;&gt;0,ResultValue($C61,COLUMN(W61)-COLUMN($C61))/$D61,""),"")</f>
        <v>20218.2</v>
      </c>
      <c r="W61" s="11" cm="1">
        <f t="array" ref="W61">IFERROR(IF($D61 &lt;&gt;0,ResultValue($C61,COLUMN(X61)-COLUMN($C61))/$D61,""),"")</f>
        <v>20422.8</v>
      </c>
      <c r="X61" s="11" cm="1">
        <f t="array" ref="X61">IFERROR(IF($D61 &lt;&gt;0,ResultValue($C61,COLUMN(Y61)-COLUMN($C61))/$D61,""),"")</f>
        <v>20627.400000000001</v>
      </c>
      <c r="Y61" s="11" cm="1">
        <f t="array" ref="Y61">IFERROR(IF($D61 &lt;&gt;0,ResultValue($C61,COLUMN(Z61)-COLUMN($C61))/$D61,""),"")</f>
        <v>20832</v>
      </c>
    </row>
    <row r="62" spans="1:31" x14ac:dyDescent="0.25">
      <c r="A62" t="str">
        <v>Affaldvarme-afgift</v>
      </c>
      <c r="B62" s="44"/>
      <c r="C62" t="str">
        <f t="shared" si="0"/>
        <v>Bortkølet varme</v>
      </c>
      <c r="D62" s="37">
        <f t="shared" si="1"/>
        <v>-1</v>
      </c>
      <c r="E62" s="11" cm="1">
        <f t="array" ref="E62">IFERROR(IF($D62 &lt;&gt;0,ResultValue($C62,COLUMN(F62)-COLUMN($C62))/$D62,""),"")</f>
        <v>0</v>
      </c>
      <c r="F62" s="11" cm="1">
        <f t="array" ref="F62">IFERROR(IF($D62 &lt;&gt;0,ResultValue($C62,COLUMN(G62)-COLUMN($C62))/$D62,""),"")</f>
        <v>0</v>
      </c>
      <c r="G62" s="11" cm="1">
        <f t="array" ref="G62">IFERROR(IF($D62 &lt;&gt;0,ResultValue($C62,COLUMN(H62)-COLUMN($C62))/$D62,""),"")</f>
        <v>0</v>
      </c>
      <c r="H62" s="11" cm="1">
        <f t="array" ref="H62">IFERROR(IF($D62 &lt;&gt;0,ResultValue($C62,COLUMN(I62)-COLUMN($C62))/$D62,""),"")</f>
        <v>0</v>
      </c>
      <c r="I62" s="11" cm="1">
        <f t="array" ref="I62">IFERROR(IF($D62 &lt;&gt;0,ResultValue($C62,COLUMN(J62)-COLUMN($C62))/$D62,""),"")</f>
        <v>0</v>
      </c>
      <c r="J62" s="11" cm="1">
        <f t="array" ref="J62">IFERROR(IF($D62 &lt;&gt;0,ResultValue($C62,COLUMN(K62)-COLUMN($C62))/$D62,""),"")</f>
        <v>0</v>
      </c>
      <c r="K62" s="11" cm="1">
        <f t="array" ref="K62">IFERROR(IF($D62 &lt;&gt;0,ResultValue($C62,COLUMN(L62)-COLUMN($C62))/$D62,""),"")</f>
        <v>0</v>
      </c>
      <c r="L62" s="11" cm="1">
        <f t="array" ref="L62">IFERROR(IF($D62 &lt;&gt;0,ResultValue($C62,COLUMN(M62)-COLUMN($C62))/$D62,""),"")</f>
        <v>0</v>
      </c>
      <c r="M62" s="11" cm="1">
        <f t="array" ref="M62">IFERROR(IF($D62 &lt;&gt;0,ResultValue($C62,COLUMN(N62)-COLUMN($C62))/$D62,""),"")</f>
        <v>0</v>
      </c>
      <c r="N62" s="11" cm="1">
        <f t="array" ref="N62">IFERROR(IF($D62 &lt;&gt;0,ResultValue($C62,COLUMN(O62)-COLUMN($C62))/$D62,""),"")</f>
        <v>0</v>
      </c>
      <c r="O62" s="11" cm="1">
        <f t="array" ref="O62">IFERROR(IF($D62 &lt;&gt;0,ResultValue($C62,COLUMN(P62)-COLUMN($C62))/$D62,""),"")</f>
        <v>0</v>
      </c>
      <c r="P62" s="11" cm="1">
        <f t="array" ref="P62">IFERROR(IF($D62 &lt;&gt;0,ResultValue($C62,COLUMN(Q62)-COLUMN($C62))/$D62,""),"")</f>
        <v>0</v>
      </c>
      <c r="Q62" s="11" cm="1">
        <f t="array" ref="Q62">IFERROR(IF($D62 &lt;&gt;0,ResultValue($C62,COLUMN(R62)-COLUMN($C62))/$D62,""),"")</f>
        <v>0</v>
      </c>
      <c r="R62" s="11" cm="1">
        <f t="array" ref="R62">IFERROR(IF($D62 &lt;&gt;0,ResultValue($C62,COLUMN(S62)-COLUMN($C62))/$D62,""),"")</f>
        <v>0</v>
      </c>
      <c r="S62" s="11" cm="1">
        <f t="array" ref="S62">IFERROR(IF($D62 &lt;&gt;0,ResultValue($C62,COLUMN(T62)-COLUMN($C62))/$D62,""),"")</f>
        <v>0</v>
      </c>
      <c r="T62" s="11" cm="1">
        <f t="array" ref="T62">IFERROR(IF($D62 &lt;&gt;0,ResultValue($C62,COLUMN(U62)-COLUMN($C62))/$D62,""),"")</f>
        <v>0</v>
      </c>
      <c r="U62" s="11" cm="1">
        <f t="array" ref="U62">IFERROR(IF($D62 &lt;&gt;0,ResultValue($C62,COLUMN(V62)-COLUMN($C62))/$D62,""),"")</f>
        <v>0</v>
      </c>
      <c r="V62" s="11" cm="1">
        <f t="array" ref="V62">IFERROR(IF($D62 &lt;&gt;0,ResultValue($C62,COLUMN(W62)-COLUMN($C62))/$D62,""),"")</f>
        <v>0</v>
      </c>
      <c r="W62" s="11" cm="1">
        <f t="array" ref="W62">IFERROR(IF($D62 &lt;&gt;0,ResultValue($C62,COLUMN(X62)-COLUMN($C62))/$D62,""),"")</f>
        <v>0</v>
      </c>
      <c r="X62" s="11" cm="1">
        <f t="array" ref="X62">IFERROR(IF($D62 &lt;&gt;0,ResultValue($C62,COLUMN(Y62)-COLUMN($C62))/$D62,""),"")</f>
        <v>0</v>
      </c>
      <c r="Y62" s="11" cm="1">
        <f t="array" ref="Y62">IFERROR(IF($D62 &lt;&gt;0,ResultValue($C62,COLUMN(Z62)-COLUMN($C62))/$D62,""),"")</f>
        <v>0</v>
      </c>
    </row>
    <row r="63" spans="1:31" x14ac:dyDescent="0.25">
      <c r="A63" t="str">
        <v>Tillægsafgift</v>
      </c>
      <c r="B63" s="44"/>
      <c r="C63" t="str">
        <f t="shared" si="0"/>
        <v>Leveret varme</v>
      </c>
      <c r="D63" s="37">
        <f t="shared" si="1"/>
        <v>1</v>
      </c>
      <c r="E63" s="11" t="str" cm="1">
        <f t="array" ref="E63">IFERROR(IF($D63 &lt;&gt;0,ResultValue($C63,COLUMN(F63)-COLUMN($C63))/$D63,""),"")</f>
        <v/>
      </c>
      <c r="F63" s="11" t="str" cm="1">
        <f t="array" ref="F63">IFERROR(IF($D63 &lt;&gt;0,ResultValue($C63,COLUMN(G63)-COLUMN($C63))/$D63,""),"")</f>
        <v/>
      </c>
      <c r="G63" s="11" t="str" cm="1">
        <f t="array" ref="G63">IFERROR(IF($D63 &lt;&gt;0,ResultValue($C63,COLUMN(H63)-COLUMN($C63))/$D63,""),"")</f>
        <v/>
      </c>
      <c r="H63" s="11" t="str" cm="1">
        <f t="array" ref="H63">IFERROR(IF($D63 &lt;&gt;0,ResultValue($C63,COLUMN(I63)-COLUMN($C63))/$D63,""),"")</f>
        <v/>
      </c>
      <c r="I63" s="11" t="str" cm="1">
        <f t="array" ref="I63">IFERROR(IF($D63 &lt;&gt;0,ResultValue($C63,COLUMN(J63)-COLUMN($C63))/$D63,""),"")</f>
        <v/>
      </c>
      <c r="J63" s="11" t="str" cm="1">
        <f t="array" ref="J63">IFERROR(IF($D63 &lt;&gt;0,ResultValue($C63,COLUMN(K63)-COLUMN($C63))/$D63,""),"")</f>
        <v/>
      </c>
      <c r="K63" s="11" t="str" cm="1">
        <f t="array" ref="K63">IFERROR(IF($D63 &lt;&gt;0,ResultValue($C63,COLUMN(L63)-COLUMN($C63))/$D63,""),"")</f>
        <v/>
      </c>
      <c r="L63" s="11" t="str" cm="1">
        <f t="array" ref="L63">IFERROR(IF($D63 &lt;&gt;0,ResultValue($C63,COLUMN(M63)-COLUMN($C63))/$D63,""),"")</f>
        <v/>
      </c>
      <c r="M63" s="11" t="str" cm="1">
        <f t="array" ref="M63">IFERROR(IF($D63 &lt;&gt;0,ResultValue($C63,COLUMN(N63)-COLUMN($C63))/$D63,""),"")</f>
        <v/>
      </c>
      <c r="N63" s="11" t="str" cm="1">
        <f t="array" ref="N63">IFERROR(IF($D63 &lt;&gt;0,ResultValue($C63,COLUMN(O63)-COLUMN($C63))/$D63,""),"")</f>
        <v/>
      </c>
      <c r="O63" s="11" t="str" cm="1">
        <f t="array" ref="O63">IFERROR(IF($D63 &lt;&gt;0,ResultValue($C63,COLUMN(P63)-COLUMN($C63))/$D63,""),"")</f>
        <v/>
      </c>
      <c r="P63" s="11" t="str" cm="1">
        <f t="array" ref="P63">IFERROR(IF($D63 &lt;&gt;0,ResultValue($C63,COLUMN(Q63)-COLUMN($C63))/$D63,""),"")</f>
        <v/>
      </c>
      <c r="Q63" s="11" t="str" cm="1">
        <f t="array" ref="Q63">IFERROR(IF($D63 &lt;&gt;0,ResultValue($C63,COLUMN(R63)-COLUMN($C63))/$D63,""),"")</f>
        <v/>
      </c>
      <c r="R63" s="11" t="str" cm="1">
        <f t="array" ref="R63">IFERROR(IF($D63 &lt;&gt;0,ResultValue($C63,COLUMN(S63)-COLUMN($C63))/$D63,""),"")</f>
        <v/>
      </c>
      <c r="S63" s="11" t="str" cm="1">
        <f t="array" ref="S63">IFERROR(IF($D63 &lt;&gt;0,ResultValue($C63,COLUMN(T63)-COLUMN($C63))/$D63,""),"")</f>
        <v/>
      </c>
      <c r="T63" s="11" t="str" cm="1">
        <f t="array" ref="T63">IFERROR(IF($D63 &lt;&gt;0,ResultValue($C63,COLUMN(U63)-COLUMN($C63))/$D63,""),"")</f>
        <v/>
      </c>
      <c r="U63" s="11" t="str" cm="1">
        <f t="array" ref="U63">IFERROR(IF($D63 &lt;&gt;0,ResultValue($C63,COLUMN(V63)-COLUMN($C63))/$D63,""),"")</f>
        <v/>
      </c>
      <c r="V63" s="11" t="str" cm="1">
        <f t="array" ref="V63">IFERROR(IF($D63 &lt;&gt;0,ResultValue($C63,COLUMN(W63)-COLUMN($C63))/$D63,""),"")</f>
        <v/>
      </c>
      <c r="W63" s="11" t="str" cm="1">
        <f t="array" ref="W63">IFERROR(IF($D63 &lt;&gt;0,ResultValue($C63,COLUMN(X63)-COLUMN($C63))/$D63,""),"")</f>
        <v/>
      </c>
      <c r="X63" s="11" t="str" cm="1">
        <f t="array" ref="X63">IFERROR(IF($D63 &lt;&gt;0,ResultValue($C63,COLUMN(Y63)-COLUMN($C63))/$D63,""),"")</f>
        <v/>
      </c>
      <c r="Y63" s="11" t="str" cm="1">
        <f t="array" ref="Y63">IFERROR(IF($D63 &lt;&gt;0,ResultValue($C63,COLUMN(Z63)-COLUMN($C63))/$D63,""),"")</f>
        <v/>
      </c>
    </row>
    <row r="64" spans="1:31" x14ac:dyDescent="0.25">
      <c r="A64" t="str">
        <v>CO2-afgift</v>
      </c>
      <c r="B64" s="44"/>
      <c r="C64" t="str">
        <f t="shared" si="0"/>
        <v>Spidslastvarme</v>
      </c>
      <c r="D64" s="37">
        <f t="shared" si="1"/>
        <v>1</v>
      </c>
      <c r="E64" s="11" cm="1">
        <f t="array" ref="E64">IFERROR(IF($D64 &lt;&gt;0,ResultValue($C64,COLUMN(F64)-COLUMN($C64))/$D64,""),"")</f>
        <v>4000</v>
      </c>
      <c r="F64" s="11" cm="1">
        <f t="array" ref="F64">IFERROR(IF($D64 &lt;&gt;0,ResultValue($C64,COLUMN(G64)-COLUMN($C64))/$D64,""),"")</f>
        <v>4000</v>
      </c>
      <c r="G64" s="11" cm="1">
        <f t="array" ref="G64">IFERROR(IF($D64 &lt;&gt;0,ResultValue($C64,COLUMN(H64)-COLUMN($C64))/$D64,""),"")</f>
        <v>4000</v>
      </c>
      <c r="H64" s="11" cm="1">
        <f t="array" ref="H64">IFERROR(IF($D64 &lt;&gt;0,ResultValue($C64,COLUMN(I64)-COLUMN($C64))/$D64,""),"")</f>
        <v>4000</v>
      </c>
      <c r="I64" s="11" cm="1">
        <f t="array" ref="I64">IFERROR(IF($D64 &lt;&gt;0,ResultValue($C64,COLUMN(J64)-COLUMN($C64))/$D64,""),"")</f>
        <v>4000</v>
      </c>
      <c r="J64" s="11" cm="1">
        <f t="array" ref="J64">IFERROR(IF($D64 &lt;&gt;0,ResultValue($C64,COLUMN(K64)-COLUMN($C64))/$D64,""),"")</f>
        <v>4000</v>
      </c>
      <c r="K64" s="11" cm="1">
        <f t="array" ref="K64">IFERROR(IF($D64 &lt;&gt;0,ResultValue($C64,COLUMN(L64)-COLUMN($C64))/$D64,""),"")</f>
        <v>4000</v>
      </c>
      <c r="L64" s="11" cm="1">
        <f t="array" ref="L64">IFERROR(IF($D64 &lt;&gt;0,ResultValue($C64,COLUMN(M64)-COLUMN($C64))/$D64,""),"")</f>
        <v>4000</v>
      </c>
      <c r="M64" s="11" cm="1">
        <f t="array" ref="M64">IFERROR(IF($D64 &lt;&gt;0,ResultValue($C64,COLUMN(N64)-COLUMN($C64))/$D64,""),"")</f>
        <v>4000</v>
      </c>
      <c r="N64" s="11" cm="1">
        <f t="array" ref="N64">IFERROR(IF($D64 &lt;&gt;0,ResultValue($C64,COLUMN(O64)-COLUMN($C64))/$D64,""),"")</f>
        <v>4000</v>
      </c>
      <c r="O64" s="11" cm="1">
        <f t="array" ref="O64">IFERROR(IF($D64 &lt;&gt;0,ResultValue($C64,COLUMN(P64)-COLUMN($C64))/$D64,""),"")</f>
        <v>4000</v>
      </c>
      <c r="P64" s="11" cm="1">
        <f t="array" ref="P64">IFERROR(IF($D64 &lt;&gt;0,ResultValue($C64,COLUMN(Q64)-COLUMN($C64))/$D64,""),"")</f>
        <v>4000</v>
      </c>
      <c r="Q64" s="11" cm="1">
        <f t="array" ref="Q64">IFERROR(IF($D64 &lt;&gt;0,ResultValue($C64,COLUMN(R64)-COLUMN($C64))/$D64,""),"")</f>
        <v>4000</v>
      </c>
      <c r="R64" s="11" cm="1">
        <f t="array" ref="R64">IFERROR(IF($D64 &lt;&gt;0,ResultValue($C64,COLUMN(S64)-COLUMN($C64))/$D64,""),"")</f>
        <v>4000</v>
      </c>
      <c r="S64" s="11" cm="1">
        <f t="array" ref="S64">IFERROR(IF($D64 &lt;&gt;0,ResultValue($C64,COLUMN(T64)-COLUMN($C64))/$D64,""),"")</f>
        <v>4000</v>
      </c>
      <c r="T64" s="11" cm="1">
        <f t="array" ref="T64">IFERROR(IF($D64 &lt;&gt;0,ResultValue($C64,COLUMN(U64)-COLUMN($C64))/$D64,""),"")</f>
        <v>4000</v>
      </c>
      <c r="U64" s="11" cm="1">
        <f t="array" ref="U64">IFERROR(IF($D64 &lt;&gt;0,ResultValue($C64,COLUMN(V64)-COLUMN($C64))/$D64,""),"")</f>
        <v>4000</v>
      </c>
      <c r="V64" s="11" cm="1">
        <f t="array" ref="V64">IFERROR(IF($D64 &lt;&gt;0,ResultValue($C64,COLUMN(W64)-COLUMN($C64))/$D64,""),"")</f>
        <v>4000</v>
      </c>
      <c r="W64" s="11" cm="1">
        <f t="array" ref="W64">IFERROR(IF($D64 &lt;&gt;0,ResultValue($C64,COLUMN(X64)-COLUMN($C64))/$D64,""),"")</f>
        <v>4000</v>
      </c>
      <c r="X64" s="11" cm="1">
        <f t="array" ref="X64">IFERROR(IF($D64 &lt;&gt;0,ResultValue($C64,COLUMN(Y64)-COLUMN($C64))/$D64,""),"")</f>
        <v>4000</v>
      </c>
      <c r="Y64" s="11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4"/>
      <c r="C65" t="str">
        <f t="shared" si="0"/>
        <v>Affaldsforbrug Ovn2</v>
      </c>
      <c r="D65" s="37">
        <f t="shared" si="1"/>
        <v>1</v>
      </c>
      <c r="E65" s="11" cm="1">
        <f t="array" ref="E65">IFERROR(IF($D65 &lt;&gt;0,ResultValue($C65,COLUMN(F65)-COLUMN($C65))/$D65,""),"")</f>
        <v>1094.3867347062462</v>
      </c>
      <c r="F65" s="11" cm="1">
        <f t="array" ref="F65">IFERROR(IF($D65 &lt;&gt;0,ResultValue($C65,COLUMN(G65)-COLUMN($C65))/$D65,""),"")</f>
        <v>2919.670860050182</v>
      </c>
      <c r="G65" s="11" cm="1">
        <f t="array" ref="G65">IFERROR(IF($D65 &lt;&gt;0,ResultValue($C65,COLUMN(H65)-COLUMN($C65))/$D65,""),"")</f>
        <v>2805.7762998686553</v>
      </c>
      <c r="H65" s="11" cm="1">
        <f t="array" ref="H65">IFERROR(IF($D65 &lt;&gt;0,ResultValue($C65,COLUMN(I65)-COLUMN($C65))/$D65,""),"")</f>
        <v>2694.2061184663444</v>
      </c>
      <c r="I65" s="11" cm="1">
        <f t="array" ref="I65">IFERROR(IF($D65 &lt;&gt;0,ResultValue($C65,COLUMN(J65)-COLUMN($C65))/$D65,""),"")</f>
        <v>2584.8898801226651</v>
      </c>
      <c r="J65" s="11" cm="1">
        <f t="array" ref="J65">IFERROR(IF($D65 &lt;&gt;0,ResultValue($C65,COLUMN(K65)-COLUMN($C65))/$D65,""),"")</f>
        <v>2477.7599665458606</v>
      </c>
      <c r="K65" s="11" cm="1">
        <f t="array" ref="K65">IFERROR(IF($D65 &lt;&gt;0,ResultValue($C65,COLUMN(L65)-COLUMN($C65))/$D65,""),"")</f>
        <v>2372.751437396319</v>
      </c>
      <c r="L65" s="11" cm="1">
        <f t="array" ref="L65">IFERROR(IF($D65 &lt;&gt;0,ResultValue($C65,COLUMN(M65)-COLUMN($C65))/$D65,""),"")</f>
        <v>2269.8018990144151</v>
      </c>
      <c r="M65" s="11" cm="1">
        <f t="array" ref="M65">IFERROR(IF($D65 &lt;&gt;0,ResultValue($C65,COLUMN(N65)-COLUMN($C65))/$D65,""),"")</f>
        <v>2168.8513807952672</v>
      </c>
      <c r="N65" s="11" cm="1">
        <f t="array" ref="N65">IFERROR(IF($D65 &lt;&gt;0,ResultValue($C65,COLUMN(O65)-COLUMN($C65))/$D65,""),"")</f>
        <v>2069.8422186957168</v>
      </c>
      <c r="O65" s="11" cm="1">
        <f t="array" ref="O65">IFERROR(IF($D65 &lt;&gt;0,ResultValue($C65,COLUMN(P65)-COLUMN($C65))/$D65,""),"")</f>
        <v>1972.7189453980645</v>
      </c>
      <c r="P65" s="11" cm="1">
        <f t="array" ref="P65">IFERROR(IF($D65 &lt;&gt;0,ResultValue($C65,COLUMN(Q65)-COLUMN($C65))/$D65,""),"")</f>
        <v>1877.4281866909339</v>
      </c>
      <c r="Q65" s="11" cm="1">
        <f t="array" ref="Q65">IFERROR(IF($D65 &lt;&gt;0,ResultValue($C65,COLUMN(R65)-COLUMN($C65))/$D65,""),"")</f>
        <v>1783.9185636605707</v>
      </c>
      <c r="R65" s="11" cm="1">
        <f t="array" ref="R65">IFERROR(IF($D65 &lt;&gt;0,ResultValue($C65,COLUMN(S65)-COLUMN($C65))/$D65,""),"")</f>
        <v>1692.1406003159564</v>
      </c>
      <c r="S65" s="11" cm="1">
        <f t="array" ref="S65">IFERROR(IF($D65 &lt;&gt;0,ResultValue($C65,COLUMN(T65)-COLUMN($C65))/$D65,""),"")</f>
        <v>1602.0466362987647</v>
      </c>
      <c r="T65" s="11" cm="1">
        <f t="array" ref="T65">IFERROR(IF($D65 &lt;&gt;0,ResultValue($C65,COLUMN(U65)-COLUMN($C65))/$D65,""),"")</f>
        <v>1513.5907443546141</v>
      </c>
      <c r="U65" s="11" cm="1">
        <f t="array" ref="U65">IFERROR(IF($D65 &lt;&gt;0,ResultValue($C65,COLUMN(V65)-COLUMN($C65))/$D65,""),"")</f>
        <v>1426.728652265313</v>
      </c>
      <c r="V65" s="11" cm="1">
        <f t="array" ref="V65">IFERROR(IF($D65 &lt;&gt;0,ResultValue($C65,COLUMN(W65)-COLUMN($C65))/$D65,""),"")</f>
        <v>1341.41766896332</v>
      </c>
      <c r="W65" s="11" cm="1">
        <f t="array" ref="W65">IFERROR(IF($D65 &lt;&gt;0,ResultValue($C65,COLUMN(X65)-COLUMN($C65))/$D65,""),"")</f>
        <v>1257.6166145693278</v>
      </c>
      <c r="X65" s="11" cm="1">
        <f t="array" ref="X65">IFERROR(IF($D65 &lt;&gt;0,ResultValue($C65,COLUMN(Y65)-COLUMN($C65))/$D65,""),"")</f>
        <v>1175.2857541120711</v>
      </c>
      <c r="Y65" s="11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4"/>
      <c r="C66" t="str">
        <f t="shared" si="0"/>
        <v>Affaldsforbrug Ovn3</v>
      </c>
      <c r="D66" s="37">
        <f t="shared" si="1"/>
        <v>1</v>
      </c>
      <c r="E66" s="11" cm="1">
        <f t="array" ref="E66">IFERROR(IF($D66 &lt;&gt;0,ResultValue($C66,COLUMN(F66)-COLUMN($C66))/$D66,""),"")</f>
        <v>9006.456241033</v>
      </c>
      <c r="F66" s="11" cm="1">
        <f t="array" ref="F66">IFERROR(IF($D66 &lt;&gt;0,ResultValue($C66,COLUMN(G66)-COLUMN($C66))/$D66,""),"")</f>
        <v>9006.4562410329982</v>
      </c>
      <c r="G66" s="11" cm="1">
        <f t="array" ref="G66">IFERROR(IF($D66 &lt;&gt;0,ResultValue($C66,COLUMN(H66)-COLUMN($C66))/$D66,""),"")</f>
        <v>9006.456241033</v>
      </c>
      <c r="H66" s="11" cm="1">
        <f t="array" ref="H66">IFERROR(IF($D66 &lt;&gt;0,ResultValue($C66,COLUMN(I66)-COLUMN($C66))/$D66,""),"")</f>
        <v>9006.4562410329982</v>
      </c>
      <c r="I66" s="11" cm="1">
        <f t="array" ref="I66">IFERROR(IF($D66 &lt;&gt;0,ResultValue($C66,COLUMN(J66)-COLUMN($C66))/$D66,""),"")</f>
        <v>9006.456241033</v>
      </c>
      <c r="J66" s="11" cm="1">
        <f t="array" ref="J66">IFERROR(IF($D66 &lt;&gt;0,ResultValue($C66,COLUMN(K66)-COLUMN($C66))/$D66,""),"")</f>
        <v>9006.456241033</v>
      </c>
      <c r="K66" s="11" cm="1">
        <f t="array" ref="K66">IFERROR(IF($D66 &lt;&gt;0,ResultValue($C66,COLUMN(L66)-COLUMN($C66))/$D66,""),"")</f>
        <v>9006.456241033</v>
      </c>
      <c r="L66" s="11" cm="1">
        <f t="array" ref="L66">IFERROR(IF($D66 &lt;&gt;0,ResultValue($C66,COLUMN(M66)-COLUMN($C66))/$D66,""),"")</f>
        <v>9006.456241033</v>
      </c>
      <c r="M66" s="11" cm="1">
        <f t="array" ref="M66">IFERROR(IF($D66 &lt;&gt;0,ResultValue($C66,COLUMN(N66)-COLUMN($C66))/$D66,""),"")</f>
        <v>9006.456241033</v>
      </c>
      <c r="N66" s="11" cm="1">
        <f t="array" ref="N66">IFERROR(IF($D66 &lt;&gt;0,ResultValue($C66,COLUMN(O66)-COLUMN($C66))/$D66,""),"")</f>
        <v>9006.456241033</v>
      </c>
      <c r="O66" s="11" cm="1">
        <f t="array" ref="O66">IFERROR(IF($D66 &lt;&gt;0,ResultValue($C66,COLUMN(P66)-COLUMN($C66))/$D66,""),"")</f>
        <v>9006.456241033</v>
      </c>
      <c r="P66" s="11" cm="1">
        <f t="array" ref="P66">IFERROR(IF($D66 &lt;&gt;0,ResultValue($C66,COLUMN(Q66)-COLUMN($C66))/$D66,""),"")</f>
        <v>9006.4562410329982</v>
      </c>
      <c r="Q66" s="11" cm="1">
        <f t="array" ref="Q66">IFERROR(IF($D66 &lt;&gt;0,ResultValue($C66,COLUMN(R66)-COLUMN($C66))/$D66,""),"")</f>
        <v>9006.456241033</v>
      </c>
      <c r="R66" s="11" cm="1">
        <f t="array" ref="R66">IFERROR(IF($D66 &lt;&gt;0,ResultValue($C66,COLUMN(S66)-COLUMN($C66))/$D66,""),"")</f>
        <v>9006.456241033</v>
      </c>
      <c r="S66" s="11" cm="1">
        <f t="array" ref="S66">IFERROR(IF($D66 &lt;&gt;0,ResultValue($C66,COLUMN(T66)-COLUMN($C66))/$D66,""),"")</f>
        <v>9006.456241033</v>
      </c>
      <c r="T66" s="11" cm="1">
        <f t="array" ref="T66">IFERROR(IF($D66 &lt;&gt;0,ResultValue($C66,COLUMN(U66)-COLUMN($C66))/$D66,""),"")</f>
        <v>9006.456241033</v>
      </c>
      <c r="U66" s="11" cm="1">
        <f t="array" ref="U66">IFERROR(IF($D66 &lt;&gt;0,ResultValue($C66,COLUMN(V66)-COLUMN($C66))/$D66,""),"")</f>
        <v>9006.456241033</v>
      </c>
      <c r="V66" s="11" cm="1">
        <f t="array" ref="V66">IFERROR(IF($D66 &lt;&gt;0,ResultValue($C66,COLUMN(W66)-COLUMN($C66))/$D66,""),"")</f>
        <v>9006.456241033</v>
      </c>
      <c r="W66" s="11" cm="1">
        <f t="array" ref="W66">IFERROR(IF($D66 &lt;&gt;0,ResultValue($C66,COLUMN(X66)-COLUMN($C66))/$D66,""),"")</f>
        <v>9006.456241033</v>
      </c>
      <c r="X66" s="11" cm="1">
        <f t="array" ref="X66">IFERROR(IF($D66 &lt;&gt;0,ResultValue($C66,COLUMN(Y66)-COLUMN($C66))/$D66,""),"")</f>
        <v>9006.456241033</v>
      </c>
      <c r="Y66" s="11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4"/>
      <c r="C67" t="str">
        <f t="shared" si="0"/>
        <v>Affaldsforbrug kølevarme Ovn2</v>
      </c>
      <c r="D67" s="37">
        <f t="shared" si="1"/>
        <v>1</v>
      </c>
      <c r="E67" s="11" cm="1">
        <f t="array" ref="E67">IFERROR(IF($D67 &lt;&gt;0,ResultValue($C67,COLUMN(F67)-COLUMN($C67))/$D67,""),"")</f>
        <v>0</v>
      </c>
      <c r="F67" s="11" cm="1">
        <f t="array" ref="F67">IFERROR(IF($D67 &lt;&gt;0,ResultValue($C67,COLUMN(G67)-COLUMN($C67))/$D67,""),"")</f>
        <v>0</v>
      </c>
      <c r="G67" s="11" cm="1">
        <f t="array" ref="G67">IFERROR(IF($D67 &lt;&gt;0,ResultValue($C67,COLUMN(H67)-COLUMN($C67))/$D67,""),"")</f>
        <v>0</v>
      </c>
      <c r="H67" s="11" cm="1">
        <f t="array" ref="H67">IFERROR(IF($D67 &lt;&gt;0,ResultValue($C67,COLUMN(I67)-COLUMN($C67))/$D67,""),"")</f>
        <v>0</v>
      </c>
      <c r="I67" s="11" cm="1">
        <f t="array" ref="I67">IFERROR(IF($D67 &lt;&gt;0,ResultValue($C67,COLUMN(J67)-COLUMN($C67))/$D67,""),"")</f>
        <v>0</v>
      </c>
      <c r="J67" s="11" cm="1">
        <f t="array" ref="J67">IFERROR(IF($D67 &lt;&gt;0,ResultValue($C67,COLUMN(K67)-COLUMN($C67))/$D67,""),"")</f>
        <v>0</v>
      </c>
      <c r="K67" s="11" cm="1">
        <f t="array" ref="K67">IFERROR(IF($D67 &lt;&gt;0,ResultValue($C67,COLUMN(L67)-COLUMN($C67))/$D67,""),"")</f>
        <v>0</v>
      </c>
      <c r="L67" s="11" cm="1">
        <f t="array" ref="L67">IFERROR(IF($D67 &lt;&gt;0,ResultValue($C67,COLUMN(M67)-COLUMN($C67))/$D67,""),"")</f>
        <v>0</v>
      </c>
      <c r="M67" s="11" cm="1">
        <f t="array" ref="M67">IFERROR(IF($D67 &lt;&gt;0,ResultValue($C67,COLUMN(N67)-COLUMN($C67))/$D67,""),"")</f>
        <v>0</v>
      </c>
      <c r="N67" s="11" cm="1">
        <f t="array" ref="N67">IFERROR(IF($D67 &lt;&gt;0,ResultValue($C67,COLUMN(O67)-COLUMN($C67))/$D67,""),"")</f>
        <v>0</v>
      </c>
      <c r="O67" s="11" cm="1">
        <f t="array" ref="O67">IFERROR(IF($D67 &lt;&gt;0,ResultValue($C67,COLUMN(P67)-COLUMN($C67))/$D67,""),"")</f>
        <v>0</v>
      </c>
      <c r="P67" s="11" cm="1">
        <f t="array" ref="P67">IFERROR(IF($D67 &lt;&gt;0,ResultValue($C67,COLUMN(Q67)-COLUMN($C67))/$D67,""),"")</f>
        <v>0</v>
      </c>
      <c r="Q67" s="11" cm="1">
        <f t="array" ref="Q67">IFERROR(IF($D67 &lt;&gt;0,ResultValue($C67,COLUMN(R67)-COLUMN($C67))/$D67,""),"")</f>
        <v>0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4"/>
      <c r="C68" t="str">
        <f t="shared" si="0"/>
        <v>Affaldsforbrug kølevarme Ovn3</v>
      </c>
      <c r="D68" s="37">
        <f t="shared" si="1"/>
        <v>1</v>
      </c>
      <c r="E68" s="11" cm="1">
        <f t="array" ref="E68">IFERROR(IF($D68 &lt;&gt;0,ResultValue($C68,COLUMN(F68)-COLUMN($C68))/$D68,""),"")</f>
        <v>0</v>
      </c>
      <c r="F68" s="11" cm="1">
        <f t="array" ref="F68">IFERROR(IF($D68 &lt;&gt;0,ResultValue($C68,COLUMN(G68)-COLUMN($C68))/$D68,""),"")</f>
        <v>0</v>
      </c>
      <c r="G68" s="11" cm="1">
        <f t="array" ref="G68">IFERROR(IF($D68 &lt;&gt;0,ResultValue($C68,COLUMN(H68)-COLUMN($C68))/$D68,""),"")</f>
        <v>0</v>
      </c>
      <c r="H68" s="11" cm="1">
        <f t="array" ref="H68">IFERROR(IF($D68 &lt;&gt;0,ResultValue($C68,COLUMN(I68)-COLUMN($C68))/$D68,""),"")</f>
        <v>0</v>
      </c>
      <c r="I68" s="11" cm="1">
        <f t="array" ref="I68">IFERROR(IF($D68 &lt;&gt;0,ResultValue($C68,COLUMN(J68)-COLUMN($C68))/$D68,""),"")</f>
        <v>0</v>
      </c>
      <c r="J68" s="11" cm="1">
        <f t="array" ref="J68">IFERROR(IF($D68 &lt;&gt;0,ResultValue($C68,COLUMN(K68)-COLUMN($C68))/$D68,""),"")</f>
        <v>0</v>
      </c>
      <c r="K68" s="11" cm="1">
        <f t="array" ref="K68">IFERROR(IF($D68 &lt;&gt;0,ResultValue($C68,COLUMN(L68)-COLUMN($C68))/$D68,""),"")</f>
        <v>0</v>
      </c>
      <c r="L68" s="11" cm="1">
        <f t="array" ref="L68">IFERROR(IF($D68 &lt;&gt;0,ResultValue($C68,COLUMN(M68)-COLUMN($C68))/$D68,""),"")</f>
        <v>0</v>
      </c>
      <c r="M68" s="11" cm="1">
        <f t="array" ref="M68">IFERROR(IF($D68 &lt;&gt;0,ResultValue($C68,COLUMN(N68)-COLUMN($C68))/$D68,""),"")</f>
        <v>0</v>
      </c>
      <c r="N68" s="11" cm="1">
        <f t="array" ref="N68">IFERROR(IF($D68 &lt;&gt;0,ResultValue($C68,COLUMN(O68)-COLUMN($C68))/$D68,""),"")</f>
        <v>0</v>
      </c>
      <c r="O68" s="11" cm="1">
        <f t="array" ref="O68">IFERROR(IF($D68 &lt;&gt;0,ResultValue($C68,COLUMN(P68)-COLUMN($C68))/$D68,""),"")</f>
        <v>0</v>
      </c>
      <c r="P68" s="11" cm="1">
        <f t="array" ref="P68">IFERROR(IF($D68 &lt;&gt;0,ResultValue($C68,COLUMN(Q68)-COLUMN($C68))/$D68,""),"")</f>
        <v>0</v>
      </c>
      <c r="Q68" s="11" cm="1">
        <f t="array" ref="Q68">IFERROR(IF($D68 &lt;&gt;0,ResultValue($C68,COLUMN(R68)-COLUMN($C68))/$D68,""),"")</f>
        <v>0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4"/>
      <c r="C69" t="str">
        <f t="shared" si="0"/>
        <v>Udnyttet affald</v>
      </c>
      <c r="D69" s="37">
        <f t="shared" si="1"/>
        <v>1</v>
      </c>
      <c r="E69" s="11" cm="1">
        <f t="array" ref="E69">IFERROR(IF($D69 &lt;&gt;0,ResultValue($C69,COLUMN(F69)-COLUMN($C69))/$D69,""),"")</f>
        <v>10100.842975739246</v>
      </c>
      <c r="F69" s="11" cm="1">
        <f t="array" ref="F69">IFERROR(IF($D69 &lt;&gt;0,ResultValue($C69,COLUMN(G69)-COLUMN($C69))/$D69,""),"")</f>
        <v>11926.127101083181</v>
      </c>
      <c r="G69" s="11" cm="1">
        <f t="array" ref="G69">IFERROR(IF($D69 &lt;&gt;0,ResultValue($C69,COLUMN(H69)-COLUMN($C69))/$D69,""),"")</f>
        <v>11812.232540901656</v>
      </c>
      <c r="H69" s="11" cm="1">
        <f t="array" ref="H69">IFERROR(IF($D69 &lt;&gt;0,ResultValue($C69,COLUMN(I69)-COLUMN($C69))/$D69,""),"")</f>
        <v>11700.662359499343</v>
      </c>
      <c r="I69" s="11" cm="1">
        <f t="array" ref="I69">IFERROR(IF($D69 &lt;&gt;0,ResultValue($C69,COLUMN(J69)-COLUMN($C69))/$D69,""),"")</f>
        <v>11591.346121155664</v>
      </c>
      <c r="J69" s="11" cm="1">
        <f t="array" ref="J69">IFERROR(IF($D69 &lt;&gt;0,ResultValue($C69,COLUMN(K69)-COLUMN($C69))/$D69,""),"")</f>
        <v>11484.21620757886</v>
      </c>
      <c r="K69" s="11" cm="1">
        <f t="array" ref="K69">IFERROR(IF($D69 &lt;&gt;0,ResultValue($C69,COLUMN(L69)-COLUMN($C69))/$D69,""),"")</f>
        <v>11379.207678429319</v>
      </c>
      <c r="L69" s="11" cm="1">
        <f t="array" ref="L69">IFERROR(IF($D69 &lt;&gt;0,ResultValue($C69,COLUMN(M69)-COLUMN($C69))/$D69,""),"")</f>
        <v>11276.258140047416</v>
      </c>
      <c r="M69" s="11" cm="1">
        <f t="array" ref="M69">IFERROR(IF($D69 &lt;&gt;0,ResultValue($C69,COLUMN(N69)-COLUMN($C69))/$D69,""),"")</f>
        <v>11175.307621828268</v>
      </c>
      <c r="N69" s="11" cm="1">
        <f t="array" ref="N69">IFERROR(IF($D69 &lt;&gt;0,ResultValue($C69,COLUMN(O69)-COLUMN($C69))/$D69,""),"")</f>
        <v>11076.298459728718</v>
      </c>
      <c r="O69" s="11" cm="1">
        <f t="array" ref="O69">IFERROR(IF($D69 &lt;&gt;0,ResultValue($C69,COLUMN(P69)-COLUMN($C69))/$D69,""),"")</f>
        <v>10979.175186431065</v>
      </c>
      <c r="P69" s="11" cm="1">
        <f t="array" ref="P69">IFERROR(IF($D69 &lt;&gt;0,ResultValue($C69,COLUMN(Q69)-COLUMN($C69))/$D69,""),"")</f>
        <v>10883.884427723931</v>
      </c>
      <c r="Q69" s="11" cm="1">
        <f t="array" ref="Q69">IFERROR(IF($D69 &lt;&gt;0,ResultValue($C69,COLUMN(R69)-COLUMN($C69))/$D69,""),"")</f>
        <v>10790.374804693571</v>
      </c>
      <c r="R69" s="11" cm="1">
        <f t="array" ref="R69">IFERROR(IF($D69 &lt;&gt;0,ResultValue($C69,COLUMN(S69)-COLUMN($C69))/$D69,""),"")</f>
        <v>10698.596841348957</v>
      </c>
      <c r="S69" s="11" cm="1">
        <f t="array" ref="S69">IFERROR(IF($D69 &lt;&gt;0,ResultValue($C69,COLUMN(T69)-COLUMN($C69))/$D69,""),"")</f>
        <v>10608.502877331764</v>
      </c>
      <c r="T69" s="11" cm="1">
        <f t="array" ref="T69">IFERROR(IF($D69 &lt;&gt;0,ResultValue($C69,COLUMN(U69)-COLUMN($C69))/$D69,""),"")</f>
        <v>10520.046985387615</v>
      </c>
      <c r="U69" s="11" cm="1">
        <f t="array" ref="U69">IFERROR(IF($D69 &lt;&gt;0,ResultValue($C69,COLUMN(V69)-COLUMN($C69))/$D69,""),"")</f>
        <v>10433.184893298312</v>
      </c>
      <c r="V69" s="11" cm="1">
        <f t="array" ref="V69">IFERROR(IF($D69 &lt;&gt;0,ResultValue($C69,COLUMN(W69)-COLUMN($C69))/$D69,""),"")</f>
        <v>10347.87390999632</v>
      </c>
      <c r="W69" s="11" cm="1">
        <f t="array" ref="W69">IFERROR(IF($D69 &lt;&gt;0,ResultValue($C69,COLUMN(X69)-COLUMN($C69))/$D69,""),"")</f>
        <v>10264.072855602328</v>
      </c>
      <c r="X69" s="11" cm="1">
        <f t="array" ref="X69">IFERROR(IF($D69 &lt;&gt;0,ResultValue($C69,COLUMN(Y69)-COLUMN($C69))/$D69,""),"")</f>
        <v>10181.741995145072</v>
      </c>
      <c r="Y69" s="11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affaldsvarme</v>
      </c>
      <c r="B70" s="44"/>
      <c r="C70" t="str">
        <f t="shared" si="0"/>
        <v>Ikke-udnyttet affald</v>
      </c>
      <c r="D70" s="37">
        <f t="shared" si="1"/>
        <v>1</v>
      </c>
      <c r="E70" s="11" cm="1">
        <f t="array" ref="E70">IFERROR(IF($D70 &lt;&gt;0,ResultValue($C70,COLUMN(F70)-COLUMN($C70))/$D70,""),"")</f>
        <v>1899.1570242607538</v>
      </c>
      <c r="F70" s="11" cm="1">
        <f t="array" ref="F70">IFERROR(IF($D70 &lt;&gt;0,ResultValue($C70,COLUMN(G70)-COLUMN($C70))/$D70,""),"")</f>
        <v>73.87289891681985</v>
      </c>
      <c r="G70" s="11" cm="1">
        <f t="array" ref="G70">IFERROR(IF($D70 &lt;&gt;0,ResultValue($C70,COLUMN(H70)-COLUMN($C70))/$D70,""),"")</f>
        <v>187.76745909834472</v>
      </c>
      <c r="H70" s="11" cm="1">
        <f t="array" ref="H70">IFERROR(IF($D70 &lt;&gt;0,ResultValue($C70,COLUMN(I70)-COLUMN($C70))/$D70,""),"")</f>
        <v>299.33764050065747</v>
      </c>
      <c r="I70" s="11" cm="1">
        <f t="array" ref="I70">IFERROR(IF($D70 &lt;&gt;0,ResultValue($C70,COLUMN(J70)-COLUMN($C70))/$D70,""),"")</f>
        <v>408.65387884433494</v>
      </c>
      <c r="J70" s="11" cm="1">
        <f t="array" ref="J70">IFERROR(IF($D70 &lt;&gt;0,ResultValue($C70,COLUMN(K70)-COLUMN($C70))/$D70,""),"")</f>
        <v>515.78379242113942</v>
      </c>
      <c r="K70" s="11" cm="1">
        <f t="array" ref="K70">IFERROR(IF($D70 &lt;&gt;0,ResultValue($C70,COLUMN(L70)-COLUMN($C70))/$D70,""),"")</f>
        <v>620.792321570681</v>
      </c>
      <c r="L70" s="11" cm="1">
        <f t="array" ref="L70">IFERROR(IF($D70 &lt;&gt;0,ResultValue($C70,COLUMN(M70)-COLUMN($C70))/$D70,""),"")</f>
        <v>723.74185995258495</v>
      </c>
      <c r="M70" s="11" cm="1">
        <f t="array" ref="M70">IFERROR(IF($D70 &lt;&gt;0,ResultValue($C70,COLUMN(N70)-COLUMN($C70))/$D70,""),"")</f>
        <v>824.6923781717328</v>
      </c>
      <c r="N70" s="11" cm="1">
        <f t="array" ref="N70">IFERROR(IF($D70 &lt;&gt;0,ResultValue($C70,COLUMN(O70)-COLUMN($C70))/$D70,""),"")</f>
        <v>923.70154027128319</v>
      </c>
      <c r="O70" s="11" cm="1">
        <f t="array" ref="O70">IFERROR(IF($D70 &lt;&gt;0,ResultValue($C70,COLUMN(P70)-COLUMN($C70))/$D70,""),"")</f>
        <v>1020.8248135689355</v>
      </c>
      <c r="P70" s="11" cm="1">
        <f t="array" ref="P70">IFERROR(IF($D70 &lt;&gt;0,ResultValue($C70,COLUMN(Q70)-COLUMN($C70))/$D70,""),"")</f>
        <v>1116.115572276068</v>
      </c>
      <c r="Q70" s="11" cm="1">
        <f t="array" ref="Q70">IFERROR(IF($D70 &lt;&gt;0,ResultValue($C70,COLUMN(R70)-COLUMN($C70))/$D70,""),"")</f>
        <v>1209.6251953064293</v>
      </c>
      <c r="R70" s="11" cm="1">
        <f t="array" ref="R70">IFERROR(IF($D70 &lt;&gt;0,ResultValue($C70,COLUMN(S70)-COLUMN($C70))/$D70,""),"")</f>
        <v>1301.4031586510437</v>
      </c>
      <c r="S70" s="11" cm="1">
        <f t="array" ref="S70">IFERROR(IF($D70 &lt;&gt;0,ResultValue($C70,COLUMN(T70)-COLUMN($C70))/$D70,""),"")</f>
        <v>1391.4971226682353</v>
      </c>
      <c r="T70" s="11" cm="1">
        <f t="array" ref="T70">IFERROR(IF($D70 &lt;&gt;0,ResultValue($C70,COLUMN(U70)-COLUMN($C70))/$D70,""),"")</f>
        <v>1479.9530146123859</v>
      </c>
      <c r="U70" s="11" cm="1">
        <f t="array" ref="U70">IFERROR(IF($D70 &lt;&gt;0,ResultValue($C70,COLUMN(V70)-COLUMN($C70))/$D70,""),"")</f>
        <v>1566.815106701687</v>
      </c>
      <c r="V70" s="11" cm="1">
        <f t="array" ref="V70">IFERROR(IF($D70 &lt;&gt;0,ResultValue($C70,COLUMN(W70)-COLUMN($C70))/$D70,""),"")</f>
        <v>1652.12609000368</v>
      </c>
      <c r="W70" s="11" cm="1">
        <f t="array" ref="W70">IFERROR(IF($D70 &lt;&gt;0,ResultValue($C70,COLUMN(X70)-COLUMN($C70))/$D70,""),"")</f>
        <v>1735.9271443976722</v>
      </c>
      <c r="X70" s="11" cm="1">
        <f t="array" ref="X70">IFERROR(IF($D70 &lt;&gt;0,ResultValue($C70,COLUMN(Y70)-COLUMN($C70))/$D70,""),"")</f>
        <v>1818.2580048549289</v>
      </c>
      <c r="Y70" s="11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4"/>
      <c r="C71" t="str">
        <f t="shared" si="0"/>
        <v>Ovn2 tonnageudnyttelse</v>
      </c>
      <c r="D71" s="37">
        <f t="shared" si="1"/>
        <v>1</v>
      </c>
      <c r="E71" s="11" cm="1">
        <f t="array" ref="E71">IFERROR(IF($D71 &lt;&gt;0,ResultValue($C71,COLUMN(F71)-COLUMN($C71))/$D71,""),"")</f>
        <v>0.3702664796633941</v>
      </c>
      <c r="F71" s="11" cm="1">
        <f t="array" ref="F71">IFERROR(IF($D71 &lt;&gt;0,ResultValue($C71,COLUMN(G71)-COLUMN($C71))/$D71,""),"")</f>
        <v>0.98781922043010761</v>
      </c>
      <c r="G71" s="11" cm="1">
        <f t="array" ref="G71">IFERROR(IF($D71 &lt;&gt;0,ResultValue($C71,COLUMN(H71)-COLUMN($C71))/$D71,""),"")</f>
        <v>0.94928500166278673</v>
      </c>
      <c r="H71" s="11" cm="1">
        <f t="array" ref="H71">IFERROR(IF($D71 &lt;&gt;0,ResultValue($C71,COLUMN(I71)-COLUMN($C71))/$D71,""),"")</f>
        <v>0.91153719552337065</v>
      </c>
      <c r="I71" s="11" cm="1">
        <f t="array" ref="I71">IFERROR(IF($D71 &lt;&gt;0,ResultValue($C71,COLUMN(J71)-COLUMN($C71))/$D71,""),"")</f>
        <v>0.87455197132616469</v>
      </c>
      <c r="J71" s="11" cm="1">
        <f t="array" ref="J71">IFERROR(IF($D71 &lt;&gt;0,ResultValue($C71,COLUMN(K71)-COLUMN($C71))/$D71,""),"")</f>
        <v>0.83830645161290329</v>
      </c>
      <c r="K71" s="11" cm="1">
        <f t="array" ref="K71">IFERROR(IF($D71 &lt;&gt;0,ResultValue($C71,COLUMN(L71)-COLUMN($C71))/$D71,""),"")</f>
        <v>0.80277866496327055</v>
      </c>
      <c r="L71" s="11" cm="1">
        <f t="array" ref="L71">IFERROR(IF($D71 &lt;&gt;0,ResultValue($C71,COLUMN(M71)-COLUMN($C71))/$D71,""),"")</f>
        <v>0.76794750158127767</v>
      </c>
      <c r="M71" s="11" cm="1">
        <f t="array" ref="M71">IFERROR(IF($D71 &lt;&gt;0,ResultValue($C71,COLUMN(N71)-COLUMN($C71))/$D71,""),"")</f>
        <v>0.7337926714688382</v>
      </c>
      <c r="N71" s="11" cm="1">
        <f t="array" ref="N71">IFERROR(IF($D71 &lt;&gt;0,ResultValue($C71,COLUMN(O71)-COLUMN($C71))/$D71,""),"")</f>
        <v>0.70029466501240667</v>
      </c>
      <c r="O71" s="11" cm="1">
        <f t="array" ref="O71">IFERROR(IF($D71 &lt;&gt;0,ResultValue($C71,COLUMN(P71)-COLUMN($C71))/$D71,""),"")</f>
        <v>0.66743471582181246</v>
      </c>
      <c r="P71" s="11" cm="1">
        <f t="array" ref="P71">IFERROR(IF($D71 &lt;&gt;0,ResultValue($C71,COLUMN(Q71)-COLUMN($C71))/$D71,""),"")</f>
        <v>0.63519476567255029</v>
      </c>
      <c r="Q71" s="11" cm="1">
        <f t="array" ref="Q71">IFERROR(IF($D71 &lt;&gt;0,ResultValue($C71,COLUMN(R71)-COLUMN($C71))/$D71,""),"")</f>
        <v>0.60355743141392815</v>
      </c>
      <c r="R71" s="11" cm="1">
        <f t="array" ref="R71">IFERROR(IF($D71 &lt;&gt;0,ResultValue($C71,COLUMN(S71)-COLUMN($C71))/$D71,""),"")</f>
        <v>0.57250597371565126</v>
      </c>
      <c r="S71" s="11" cm="1">
        <f t="array" ref="S71">IFERROR(IF($D71 &lt;&gt;0,ResultValue($C71,COLUMN(T71)-COLUMN($C71))/$D71,""),"")</f>
        <v>0.5420242675347734</v>
      </c>
      <c r="T71" s="11" cm="1">
        <f t="array" ref="T71">IFERROR(IF($D71 &lt;&gt;0,ResultValue($C71,COLUMN(U71)-COLUMN($C71))/$D71,""),"")</f>
        <v>0.51209677419354838</v>
      </c>
      <c r="U71" s="11" cm="1">
        <f t="array" ref="U71">IFERROR(IF($D71 &lt;&gt;0,ResultValue($C71,COLUMN(V71)-COLUMN($C71))/$D71,""),"")</f>
        <v>0.48270851496657963</v>
      </c>
      <c r="V71" s="11" cm="1">
        <f t="array" ref="V71">IFERROR(IF($D71 &lt;&gt;0,ResultValue($C71,COLUMN(W71)-COLUMN($C71))/$D71,""),"")</f>
        <v>0.45384504608294923</v>
      </c>
      <c r="W71" s="11" cm="1">
        <f t="array" ref="W71">IFERROR(IF($D71 &lt;&gt;0,ResultValue($C71,COLUMN(X71)-COLUMN($C71))/$D71,""),"")</f>
        <v>0.4254924350556667</v>
      </c>
      <c r="X71" s="11" cm="1">
        <f t="array" ref="X71">IFERROR(IF($D71 &lt;&gt;0,ResultValue($C71,COLUMN(Y71)-COLUMN($C71))/$D71,""),"")</f>
        <v>0.39763723825693248</v>
      </c>
      <c r="Y71" s="11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4"/>
      <c r="C72" t="str">
        <f t="shared" si="0"/>
        <v>Ovn3 tonnageudnyttelse</v>
      </c>
      <c r="D72" s="37">
        <f t="shared" si="1"/>
        <v>1</v>
      </c>
      <c r="E72" s="11" cm="1">
        <f t="array" ref="E72">IFERROR(IF($D72 &lt;&gt;0,ResultValue($C72,COLUMN(F72)-COLUMN($C72))/$D72,""),"")</f>
        <v>1</v>
      </c>
      <c r="F72" s="11" cm="1">
        <f t="array" ref="F72">IFERROR(IF($D72 &lt;&gt;0,ResultValue($C72,COLUMN(G72)-COLUMN($C72))/$D72,""),"")</f>
        <v>0.99999999999999978</v>
      </c>
      <c r="G72" s="11" cm="1">
        <f t="array" ref="G72">IFERROR(IF($D72 &lt;&gt;0,ResultValue($C72,COLUMN(H72)-COLUMN($C72))/$D72,""),"")</f>
        <v>1</v>
      </c>
      <c r="H72" s="11" cm="1">
        <f t="array" ref="H72">IFERROR(IF($D72 &lt;&gt;0,ResultValue($C72,COLUMN(I72)-COLUMN($C72))/$D72,""),"")</f>
        <v>0.99999999999999978</v>
      </c>
      <c r="I72" s="11" cm="1">
        <f t="array" ref="I72">IFERROR(IF($D72 &lt;&gt;0,ResultValue($C72,COLUMN(J72)-COLUMN($C72))/$D72,""),"")</f>
        <v>1</v>
      </c>
      <c r="J72" s="11" cm="1">
        <f t="array" ref="J72">IFERROR(IF($D72 &lt;&gt;0,ResultValue($C72,COLUMN(K72)-COLUMN($C72))/$D72,""),"")</f>
        <v>1</v>
      </c>
      <c r="K72" s="11" cm="1">
        <f t="array" ref="K72">IFERROR(IF($D72 &lt;&gt;0,ResultValue($C72,COLUMN(L72)-COLUMN($C72))/$D72,""),"")</f>
        <v>1</v>
      </c>
      <c r="L72" s="11" cm="1">
        <f t="array" ref="L72">IFERROR(IF($D72 &lt;&gt;0,ResultValue($C72,COLUMN(M72)-COLUMN($C72))/$D72,""),"")</f>
        <v>1</v>
      </c>
      <c r="M72" s="11" cm="1">
        <f t="array" ref="M72">IFERROR(IF($D72 &lt;&gt;0,ResultValue($C72,COLUMN(N72)-COLUMN($C72))/$D72,""),"")</f>
        <v>1</v>
      </c>
      <c r="N72" s="11" cm="1">
        <f t="array" ref="N72">IFERROR(IF($D72 &lt;&gt;0,ResultValue($C72,COLUMN(O72)-COLUMN($C72))/$D72,""),"")</f>
        <v>1</v>
      </c>
      <c r="O72" s="11" cm="1">
        <f t="array" ref="O72">IFERROR(IF($D72 &lt;&gt;0,ResultValue($C72,COLUMN(P72)-COLUMN($C72))/$D72,""),"")</f>
        <v>1</v>
      </c>
      <c r="P72" s="11" cm="1">
        <f t="array" ref="P72">IFERROR(IF($D72 &lt;&gt;0,ResultValue($C72,COLUMN(Q72)-COLUMN($C72))/$D72,""),"")</f>
        <v>0.99999999999999978</v>
      </c>
      <c r="Q72" s="11" cm="1">
        <f t="array" ref="Q72">IFERROR(IF($D72 &lt;&gt;0,ResultValue($C72,COLUMN(R72)-COLUMN($C72))/$D72,""),"")</f>
        <v>1</v>
      </c>
      <c r="R72" s="11" cm="1">
        <f t="array" ref="R72">IFERROR(IF($D72 &lt;&gt;0,ResultValue($C72,COLUMN(S72)-COLUMN($C72))/$D72,""),"")</f>
        <v>1</v>
      </c>
      <c r="S72" s="11" cm="1">
        <f t="array" ref="S72">IFERROR(IF($D72 &lt;&gt;0,ResultValue($C72,COLUMN(T72)-COLUMN($C72))/$D72,""),"")</f>
        <v>1</v>
      </c>
      <c r="T72" s="11" cm="1">
        <f t="array" ref="T72">IFERROR(IF($D72 &lt;&gt;0,ResultValue($C72,COLUMN(U72)-COLUMN($C72))/$D72,""),"")</f>
        <v>1</v>
      </c>
      <c r="U72" s="11" cm="1">
        <f t="array" ref="U72">IFERROR(IF($D72 &lt;&gt;0,ResultValue($C72,COLUMN(V72)-COLUMN($C72))/$D72,""),"")</f>
        <v>1</v>
      </c>
      <c r="V72" s="11" cm="1">
        <f t="array" ref="V72">IFERROR(IF($D72 &lt;&gt;0,ResultValue($C72,COLUMN(W72)-COLUMN($C72))/$D72,""),"")</f>
        <v>1</v>
      </c>
      <c r="W72" s="11" cm="1">
        <f t="array" ref="W72">IFERROR(IF($D72 &lt;&gt;0,ResultValue($C72,COLUMN(X72)-COLUMN($C72))/$D72,""),"")</f>
        <v>1</v>
      </c>
      <c r="X72" s="11" cm="1">
        <f t="array" ref="X72">IFERROR(IF($D72 &lt;&gt;0,ResultValue($C72,COLUMN(Y72)-COLUMN($C72))/$D72,""),"")</f>
        <v>1</v>
      </c>
      <c r="Y72" s="11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4"/>
      <c r="C73" t="str">
        <f t="shared" si="0"/>
        <v>Bortkøleanlæg udnyttelse</v>
      </c>
      <c r="D73" s="37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4"/>
      <c r="C74" t="str">
        <f t="shared" si="0"/>
        <v>NS-varme udnyttelse</v>
      </c>
      <c r="D74" s="37">
        <f t="shared" si="1"/>
        <v>1</v>
      </c>
      <c r="E74" s="11" cm="1">
        <f t="array" ref="E74">IFERROR(IF($D74 &lt;&gt;0,ResultValue($C74,COLUMN(F74)-COLUMN($C74))/$D74,""),"")</f>
        <v>1</v>
      </c>
      <c r="F74" s="11" cm="1">
        <f t="array" ref="F74">IFERROR(IF($D74 &lt;&gt;0,ResultValue($C74,COLUMN(G74)-COLUMN($C74))/$D74,""),"")</f>
        <v>1</v>
      </c>
      <c r="G74" s="11" cm="1">
        <f t="array" ref="G74">IFERROR(IF($D74 &lt;&gt;0,ResultValue($C74,COLUMN(H74)-COLUMN($C74))/$D74,""),"")</f>
        <v>1</v>
      </c>
      <c r="H74" s="11" cm="1">
        <f t="array" ref="H74">IFERROR(IF($D74 &lt;&gt;0,ResultValue($C74,COLUMN(I74)-COLUMN($C74))/$D74,""),"")</f>
        <v>1</v>
      </c>
      <c r="I74" s="11" cm="1">
        <f t="array" ref="I74">IFERROR(IF($D74 &lt;&gt;0,ResultValue($C74,COLUMN(J74)-COLUMN($C74))/$D74,""),"")</f>
        <v>1</v>
      </c>
      <c r="J74" s="11" cm="1">
        <f t="array" ref="J74">IFERROR(IF($D74 &lt;&gt;0,ResultValue($C74,COLUMN(K74)-COLUMN($C74))/$D74,""),"")</f>
        <v>1</v>
      </c>
      <c r="K74" s="11" cm="1">
        <f t="array" ref="K74">IFERROR(IF($D74 &lt;&gt;0,ResultValue($C74,COLUMN(L74)-COLUMN($C74))/$D74,""),"")</f>
        <v>1</v>
      </c>
      <c r="L74" s="11" cm="1">
        <f t="array" ref="L74">IFERROR(IF($D74 &lt;&gt;0,ResultValue($C74,COLUMN(M74)-COLUMN($C74))/$D74,""),"")</f>
        <v>1</v>
      </c>
      <c r="M74" s="11" cm="1">
        <f t="array" ref="M74">IFERROR(IF($D74 &lt;&gt;0,ResultValue($C74,COLUMN(N74)-COLUMN($C74))/$D74,""),"")</f>
        <v>1</v>
      </c>
      <c r="N74" s="11" cm="1">
        <f t="array" ref="N74">IFERROR(IF($D74 &lt;&gt;0,ResultValue($C74,COLUMN(O74)-COLUMN($C74))/$D74,""),"")</f>
        <v>1</v>
      </c>
      <c r="O74" s="11" cm="1">
        <f t="array" ref="O74">IFERROR(IF($D74 &lt;&gt;0,ResultValue($C74,COLUMN(P74)-COLUMN($C74))/$D74,""),"")</f>
        <v>1</v>
      </c>
      <c r="P74" s="11" cm="1">
        <f t="array" ref="P74">IFERROR(IF($D74 &lt;&gt;0,ResultValue($C74,COLUMN(Q74)-COLUMN($C74))/$D74,""),"")</f>
        <v>1</v>
      </c>
      <c r="Q74" s="11" cm="1">
        <f t="array" ref="Q74">IFERROR(IF($D74 &lt;&gt;0,ResultValue($C74,COLUMN(R74)-COLUMN($C74))/$D74,""),"")</f>
        <v>1</v>
      </c>
      <c r="R74" s="11" cm="1">
        <f t="array" ref="R74">IFERROR(IF($D74 &lt;&gt;0,ResultValue($C74,COLUMN(S74)-COLUMN($C74))/$D74,""),"")</f>
        <v>1</v>
      </c>
      <c r="S74" s="11" cm="1">
        <f t="array" ref="S74">IFERROR(IF($D74 &lt;&gt;0,ResultValue($C74,COLUMN(T74)-COLUMN($C74))/$D74,""),"")</f>
        <v>1</v>
      </c>
      <c r="T74" s="11" cm="1">
        <f t="array" ref="T74">IFERROR(IF($D74 &lt;&gt;0,ResultValue($C74,COLUMN(U74)-COLUMN($C74))/$D74,""),"")</f>
        <v>1</v>
      </c>
      <c r="U74" s="11" cm="1">
        <f t="array" ref="U74">IFERROR(IF($D74 &lt;&gt;0,ResultValue($C74,COLUMN(V74)-COLUMN($C74))/$D74,""),"")</f>
        <v>1</v>
      </c>
      <c r="V74" s="11" cm="1">
        <f t="array" ref="V74">IFERROR(IF($D74 &lt;&gt;0,ResultValue($C74,COLUMN(W74)-COLUMN($C74))/$D74,""),"")</f>
        <v>1</v>
      </c>
      <c r="W74" s="11" cm="1">
        <f t="array" ref="W74">IFERROR(IF($D74 &lt;&gt;0,ResultValue($C74,COLUMN(X74)-COLUMN($C74))/$D74,""),"")</f>
        <v>1</v>
      </c>
      <c r="X74" s="11" cm="1">
        <f t="array" ref="X74">IFERROR(IF($D74 &lt;&gt;0,ResultValue($C74,COLUMN(Y74)-COLUMN($C74))/$D74,""),"")</f>
        <v>1</v>
      </c>
      <c r="Y74" s="11" cm="1">
        <f t="array" ref="Y74">IFERROR(IF($D74 &lt;&gt;0,ResultValue($C74,COLUMN(Z74)-COLUMN($C74))/$D74,""),"")</f>
        <v>1</v>
      </c>
    </row>
    <row r="75" spans="1:25" x14ac:dyDescent="0.25">
      <c r="A75" t="str">
        <v>Affaldsforbrug kølevarme Ovn3</v>
      </c>
      <c r="B75" s="44"/>
      <c r="C75" t="s">
        <v>235</v>
      </c>
      <c r="D75" s="37">
        <f>B36</f>
        <v>1</v>
      </c>
      <c r="E75" s="11" cm="1">
        <f t="array" ref="E75">IFERROR(IF($D75 &lt;&gt;0,ResultValue($C75,COLUMN(F75)-COLUMN($C75))/$D75,""),"")</f>
        <v>-25.711195069525662</v>
      </c>
      <c r="F75" s="11" cm="1">
        <f t="array" ref="F75">IFERROR(IF($D75 &lt;&gt;0,ResultValue($C75,COLUMN(G75)-COLUMN($C75))/$D75,""),"")</f>
        <v>-36.044007947642243</v>
      </c>
      <c r="G75" s="11" cm="1">
        <f t="array" ref="G75">IFERROR(IF($D75 &lt;&gt;0,ResultValue($C75,COLUMN(H75)-COLUMN($C75))/$D75,""),"")</f>
        <v>-34.880981324960246</v>
      </c>
      <c r="H75" s="11" cm="1">
        <f t="array" ref="H75">IFERROR(IF($D75 &lt;&gt;0,ResultValue($C75,COLUMN(I75)-COLUMN($C75))/$D75,""),"")</f>
        <v>-33.741332256634173</v>
      </c>
      <c r="I75" s="11" cm="1">
        <f t="array" ref="I75">IFERROR(IF($D75 &lt;&gt;0,ResultValue($C75,COLUMN(J75)-COLUMN($C75))/$D75,""),"")</f>
        <v>-32.624352331926232</v>
      </c>
      <c r="J75" s="11" cm="1">
        <f t="array" ref="J75">IFERROR(IF($D75 &lt;&gt;0,ResultValue($C75,COLUMN(K75)-COLUMN($C75))/$D75,""),"")</f>
        <v>-31.529361476527761</v>
      </c>
      <c r="K75" s="11" cm="1">
        <f t="array" ref="K75">IFERROR(IF($D75 &lt;&gt;0,ResultValue($C75,COLUMN(L75)-COLUMN($C75))/$D75,""),"")</f>
        <v>-30.455706549766241</v>
      </c>
      <c r="L75" s="11" cm="1">
        <f t="array" ref="L75">IFERROR(IF($D75 &lt;&gt;0,ResultValue($C75,COLUMN(M75)-COLUMN($C75))/$D75,""),"")</f>
        <v>-29.402760024328717</v>
      </c>
      <c r="M75" s="11" cm="1">
        <f t="array" ref="M75">IFERROR(IF($D75 &lt;&gt;0,ResultValue($C75,COLUMN(N75)-COLUMN($C75))/$D75,""),"")</f>
        <v>-36.727993818352502</v>
      </c>
      <c r="N75" s="11" cm="1">
        <f t="array" ref="N75">IFERROR(IF($D75 &lt;&gt;0,ResultValue($C75,COLUMN(O75)-COLUMN($C75))/$D75,""),"")</f>
        <v>-35.714677821961345</v>
      </c>
      <c r="O75" s="11" cm="1">
        <f t="array" ref="O75">IFERROR(IF($D75 &lt;&gt;0,ResultValue($C75,COLUMN(P75)-COLUMN($C75))/$D75,""),"")</f>
        <v>-34.720329245325452</v>
      </c>
      <c r="P75" s="11" cm="1">
        <f t="array" ref="P75">IFERROR(IF($D75 &lt;&gt;0,ResultValue($C75,COLUMN(Q75)-COLUMN($C75))/$D75,""),"")</f>
        <v>-33.744411274678271</v>
      </c>
      <c r="Q75" s="11" cm="1">
        <f t="array" ref="Q75">IFERROR(IF($D75 &lt;&gt;0,ResultValue($C75,COLUMN(R75)-COLUMN($C75))/$D75,""),"")</f>
        <v>-32.7864071640576</v>
      </c>
      <c r="R75" s="11" cm="1">
        <f t="array" ref="R75">IFERROR(IF($D75 &lt;&gt;0,ResultValue($C75,COLUMN(S75)-COLUMN($C75))/$D75,""),"")</f>
        <v>-31.845819306240379</v>
      </c>
      <c r="S75" s="11" cm="1">
        <f t="array" ref="S75">IFERROR(IF($D75 &lt;&gt;0,ResultValue($C75,COLUMN(T75)-COLUMN($C75))/$D75,""),"")</f>
        <v>-30.922168354819217</v>
      </c>
      <c r="T75" s="11" cm="1">
        <f t="array" ref="T75">IFERROR(IF($D75 &lt;&gt;0,ResultValue($C75,COLUMN(U75)-COLUMN($C75))/$D75,""),"")</f>
        <v>-30.014992394165059</v>
      </c>
      <c r="U75" s="11" cm="1">
        <f t="array" ref="U75">IFERROR(IF($D75 &lt;&gt;0,ResultValue($C75,COLUMN(V75)-COLUMN($C75))/$D75,""),"")</f>
        <v>-29.12384615425723</v>
      </c>
      <c r="V75" s="11" cm="1">
        <f t="array" ref="V75">IFERROR(IF($D75 &lt;&gt;0,ResultValue($C75,COLUMN(W75)-COLUMN($C75))/$D75,""),"")</f>
        <v>-28.248300267575697</v>
      </c>
      <c r="W75" s="11" cm="1">
        <f t="array" ref="W75">IFERROR(IF($D75 &lt;&gt;0,ResultValue($C75,COLUMN(X75)-COLUMN($C75))/$D75,""),"")</f>
        <v>-27.387940565450815</v>
      </c>
      <c r="X75" s="11" cm="1">
        <f t="array" ref="X75">IFERROR(IF($D75 &lt;&gt;0,ResultValue($C75,COLUMN(Y75)-COLUMN($C75))/$D75,""),"")</f>
        <v>-26.542367411446836</v>
      </c>
      <c r="Y75" s="11" cm="1">
        <f t="array" ref="Y75">IFERROR(IF($D75 &lt;&gt;0,ResultValue($C75,COLUMN(Z75)-COLUMN($C75))/$D75,""),"")</f>
        <v>-25.711195069525662</v>
      </c>
    </row>
    <row r="76" spans="1:25" x14ac:dyDescent="0.25">
      <c r="A76" t="str">
        <v>Affaldsforbrug kølevarme Ovn2</v>
      </c>
      <c r="B76" s="44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</row>
    <row r="77" spans="1:25" x14ac:dyDescent="0.25">
      <c r="A77" t="str">
        <v>Udnyttet affald</v>
      </c>
      <c r="B77" s="44"/>
      <c r="C77" s="39" t="s">
        <v>227</v>
      </c>
      <c r="D77" s="40"/>
      <c r="E77" s="39" t="s">
        <v>199</v>
      </c>
      <c r="F77" s="41" t="str">
        <f>F53</f>
        <v>sc1</v>
      </c>
      <c r="G77" s="41" t="str">
        <f t="shared" ref="G77:Y77" si="2">G53</f>
        <v>sc2</v>
      </c>
      <c r="H77" s="41" t="str">
        <f t="shared" si="2"/>
        <v>sc3</v>
      </c>
      <c r="I77" s="41" t="str">
        <f t="shared" si="2"/>
        <v>sc4</v>
      </c>
      <c r="J77" s="41" t="str">
        <f t="shared" si="2"/>
        <v>sc5</v>
      </c>
      <c r="K77" s="41" t="str">
        <f t="shared" si="2"/>
        <v>sc6</v>
      </c>
      <c r="L77" s="41" t="str">
        <f t="shared" si="2"/>
        <v>sc7</v>
      </c>
      <c r="M77" s="41" t="str">
        <f t="shared" si="2"/>
        <v>sc8</v>
      </c>
      <c r="N77" s="41" t="str">
        <f t="shared" si="2"/>
        <v>sc9</v>
      </c>
      <c r="O77" s="41" t="str">
        <f t="shared" si="2"/>
        <v>sc10</v>
      </c>
      <c r="P77" s="41" t="str">
        <f t="shared" si="2"/>
        <v>sc11</v>
      </c>
      <c r="Q77" s="41" t="str">
        <f t="shared" si="2"/>
        <v>sc12</v>
      </c>
      <c r="R77" s="41" t="str">
        <f t="shared" si="2"/>
        <v>sc13</v>
      </c>
      <c r="S77" s="41" t="str">
        <f t="shared" si="2"/>
        <v>sc14</v>
      </c>
      <c r="T77" s="41" t="str">
        <f t="shared" si="2"/>
        <v>sc15</v>
      </c>
      <c r="U77" s="41" t="str">
        <f t="shared" si="2"/>
        <v>sc16</v>
      </c>
      <c r="V77" s="41" t="str">
        <f t="shared" si="2"/>
        <v>sc17</v>
      </c>
      <c r="W77" s="41" t="str">
        <f t="shared" si="2"/>
        <v>sc18</v>
      </c>
      <c r="X77" s="41" t="str">
        <f t="shared" si="2"/>
        <v>sc19</v>
      </c>
      <c r="Y77" s="41" t="str">
        <f t="shared" si="2"/>
        <v>sc20</v>
      </c>
    </row>
    <row r="78" spans="1:25" x14ac:dyDescent="0.25">
      <c r="A78" t="str">
        <v>Ikke-udnyttet affald</v>
      </c>
      <c r="B78" s="44"/>
      <c r="C78" s="35" t="str">
        <f>IF(ISBLANK(A40),"X-værdi mangler",A40)</f>
        <v>RGK-udnyttelse</v>
      </c>
      <c r="D78" s="2" t="s">
        <v>230</v>
      </c>
      <c r="E78" s="18" cm="1">
        <f t="array" ref="E78">_xlfn.LET(_xlpm.inputName,$C78,_xlpm.icol,COLUMN(E54)-1,_xlpm.irow,MATCH(_xlpm.inputName,ranInputNames,0),INDEX('Scenarier-1B'!$C$7:$Y$12,_xlpm.irow+1,_xlpm.icol))</f>
        <v>0.05</v>
      </c>
      <c r="F78" s="18" cm="1">
        <f t="array" ref="F78">_xlfn.LET(_xlpm.inputName,$C78,_xlpm.icol,COLUMN(F54)-1,_xlpm.irow,MATCH(_xlpm.inputName,ranInputNames,0),INDEX('Scenarier-1B'!$C$7:$Y$12,_xlpm.irow+1,_xlpm.icol))</f>
        <v>0.1</v>
      </c>
      <c r="G78" s="18" cm="1">
        <f t="array" ref="G78">_xlfn.LET(_xlpm.inputName,$C78,_xlpm.icol,COLUMN(G54)-1,_xlpm.irow,MATCH(_xlpm.inputName,ranInputNames,0),INDEX('Scenarier-1B'!$C$7:$Y$12,_xlpm.irow+1,_xlpm.icol))</f>
        <v>0.15</v>
      </c>
      <c r="H78" s="18" cm="1">
        <f t="array" ref="H78">_xlfn.LET(_xlpm.inputName,$C78,_xlpm.icol,COLUMN(H54)-1,_xlpm.irow,MATCH(_xlpm.inputName,ranInputNames,0),INDEX('Scenarier-1B'!$C$7:$Y$12,_xlpm.irow+1,_xlpm.icol))</f>
        <v>0.2</v>
      </c>
      <c r="I78" s="18" cm="1">
        <f t="array" ref="I78">_xlfn.LET(_xlpm.inputName,$C78,_xlpm.icol,COLUMN(I54)-1,_xlpm.irow,MATCH(_xlpm.inputName,ranInputNames,0),INDEX('Scenarier-1B'!$C$7:$Y$12,_xlpm.irow+1,_xlpm.icol))</f>
        <v>0.25</v>
      </c>
      <c r="J78" s="18" cm="1">
        <f t="array" ref="J78">_xlfn.LET(_xlpm.inputName,$C78,_xlpm.icol,COLUMN(J54)-1,_xlpm.irow,MATCH(_xlpm.inputName,ranInputNames,0),INDEX('Scenarier-1B'!$C$7:$Y$12,_xlpm.irow+1,_xlpm.icol))</f>
        <v>0.3</v>
      </c>
      <c r="K78" s="18" cm="1">
        <f t="array" ref="K78">_xlfn.LET(_xlpm.inputName,$C78,_xlpm.icol,COLUMN(K54)-1,_xlpm.irow,MATCH(_xlpm.inputName,ranInputNames,0),INDEX('Scenarier-1B'!$C$7:$Y$12,_xlpm.irow+1,_xlpm.icol))</f>
        <v>0.35</v>
      </c>
      <c r="L78" s="18" cm="1">
        <f t="array" ref="L78">_xlfn.LET(_xlpm.inputName,$C78,_xlpm.icol,COLUMN(L54)-1,_xlpm.irow,MATCH(_xlpm.inputName,ranInputNames,0),INDEX('Scenarier-1B'!$C$7:$Y$12,_xlpm.irow+1,_xlpm.icol))</f>
        <v>0.4</v>
      </c>
      <c r="M78" s="18" cm="1">
        <f t="array" ref="M78">_xlfn.LET(_xlpm.inputName,$C78,_xlpm.icol,COLUMN(M54)-1,_xlpm.irow,MATCH(_xlpm.inputName,ranInputNames,0),INDEX('Scenarier-1B'!$C$7:$Y$12,_xlpm.irow+1,_xlpm.icol))</f>
        <v>0.45</v>
      </c>
      <c r="N78" s="18" cm="1">
        <f t="array" ref="N78">_xlfn.LET(_xlpm.inputName,$C78,_xlpm.icol,COLUMN(N54)-1,_xlpm.irow,MATCH(_xlpm.inputName,ranInputNames,0),INDEX('Scenarier-1B'!$C$7:$Y$12,_xlpm.irow+1,_xlpm.icol))</f>
        <v>0.5</v>
      </c>
      <c r="O78" s="18" cm="1">
        <f t="array" ref="O78">_xlfn.LET(_xlpm.inputName,$C78,_xlpm.icol,COLUMN(O54)-1,_xlpm.irow,MATCH(_xlpm.inputName,ranInputNames,0),INDEX('Scenarier-1B'!$C$7:$Y$12,_xlpm.irow+1,_xlpm.icol))</f>
        <v>0.55000000000000004</v>
      </c>
      <c r="P78" s="18" cm="1">
        <f t="array" ref="P78">_xlfn.LET(_xlpm.inputName,$C78,_xlpm.icol,COLUMN(P54)-1,_xlpm.irow,MATCH(_xlpm.inputName,ranInputNames,0),INDEX('Scenarier-1B'!$C$7:$Y$12,_xlpm.irow+1,_xlpm.icol))</f>
        <v>0.6</v>
      </c>
      <c r="Q78" s="18" cm="1">
        <f t="array" ref="Q78">_xlfn.LET(_xlpm.inputName,$C78,_xlpm.icol,COLUMN(Q54)-1,_xlpm.irow,MATCH(_xlpm.inputName,ranInputNames,0),INDEX('Scenarier-1B'!$C$7:$Y$12,_xlpm.irow+1,_xlpm.icol))</f>
        <v>0.65</v>
      </c>
      <c r="R78" s="18" cm="1">
        <f t="array" ref="R78">_xlfn.LET(_xlpm.inputName,$C78,_xlpm.icol,COLUMN(R54)-1,_xlpm.irow,MATCH(_xlpm.inputName,ranInputNames,0),INDEX('Scenarier-1B'!$C$7:$Y$12,_xlpm.irow+1,_xlpm.icol))</f>
        <v>0.7</v>
      </c>
      <c r="S78" s="18" cm="1">
        <f t="array" ref="S78">_xlfn.LET(_xlpm.inputName,$C78,_xlpm.icol,COLUMN(S54)-1,_xlpm.irow,MATCH(_xlpm.inputName,ranInputNames,0),INDEX('Scenarier-1B'!$C$7:$Y$12,_xlpm.irow+1,_xlpm.icol))</f>
        <v>0.75</v>
      </c>
      <c r="T78" s="18" cm="1">
        <f t="array" ref="T78">_xlfn.LET(_xlpm.inputName,$C78,_xlpm.icol,COLUMN(T54)-1,_xlpm.irow,MATCH(_xlpm.inputName,ranInputNames,0),INDEX('Scenarier-1B'!$C$7:$Y$12,_xlpm.irow+1,_xlpm.icol))</f>
        <v>0.8</v>
      </c>
      <c r="U78" s="18" cm="1">
        <f t="array" ref="U78">_xlfn.LET(_xlpm.inputName,$C78,_xlpm.icol,COLUMN(U54)-1,_xlpm.irow,MATCH(_xlpm.inputName,ranInputNames,0),INDEX('Scenarier-1B'!$C$7:$Y$12,_xlpm.irow+1,_xlpm.icol))</f>
        <v>0.85</v>
      </c>
      <c r="V78" s="18" cm="1">
        <f t="array" ref="V78">_xlfn.LET(_xlpm.inputName,$C78,_xlpm.icol,COLUMN(V54)-1,_xlpm.irow,MATCH(_xlpm.inputName,ranInputNames,0),INDEX('Scenarier-1B'!$C$7:$Y$12,_xlpm.irow+1,_xlpm.icol))</f>
        <v>0.9</v>
      </c>
      <c r="W78" s="18" cm="1">
        <f t="array" ref="W78">_xlfn.LET(_xlpm.inputName,$C78,_xlpm.icol,COLUMN(W54)-1,_xlpm.irow,MATCH(_xlpm.inputName,ranInputNames,0),INDEX('Scenarier-1B'!$C$7:$Y$12,_xlpm.irow+1,_xlpm.icol))</f>
        <v>0.95</v>
      </c>
      <c r="X78" s="18" cm="1">
        <f t="array" ref="X78">_xlfn.LET(_xlpm.inputName,$C78,_xlpm.icol,COLUMN(X54)-1,_xlpm.irow,MATCH(_xlpm.inputName,ranInputNames,0),INDEX('Scenarier-1B'!$C$7:$Y$12,_xlpm.irow+1,_xlpm.icol))</f>
        <v>1</v>
      </c>
      <c r="Y78" s="18" t="e" cm="1">
        <f t="array" ref="Y78">_xlfn.LET(_xlpm.inputName,$C78,_xlpm.icol,COLUMN(Y54)-1,_xlpm.irow,MATCH(_xlpm.inputName,ranInputNames,0),INDEX('Scenarier-1B'!$C$7:$Y$12,_xlpm.irow+1,_xlpm.icol))</f>
        <v>#REF!</v>
      </c>
    </row>
    <row r="79" spans="1:25" x14ac:dyDescent="0.25">
      <c r="A79" t="str">
        <v>Ovn3 tonnageudnyttelse</v>
      </c>
      <c r="B79" s="44"/>
      <c r="C79" s="38" t="str">
        <f t="shared" ref="C79:C88" si="3">IF(ISBLANK(A41),"",A41)</f>
        <v>RGK-rabat</v>
      </c>
      <c r="D79" s="37">
        <f t="shared" ref="D79:D88" si="4">B41</f>
        <v>1000</v>
      </c>
      <c r="E79" s="11" cm="1">
        <f t="array" ref="E79">IF($D79 &lt;&gt;0,ResultValue($C79,COLUMN(F79)-COLUMN($C79))/$D79,"")</f>
        <v>200.59380181097563</v>
      </c>
      <c r="F79" s="11" cm="1">
        <f t="array" ref="F79">IF($D79 &lt;&gt;0,ResultValue($C79,COLUMN(G79)-COLUMN($C79))/$D79,"")</f>
        <v>0</v>
      </c>
      <c r="G79" s="11" cm="1">
        <f t="array" ref="G79">IF($D79 &lt;&gt;0,ResultValue($C79,COLUMN(H79)-COLUMN($C79))/$D79,"")</f>
        <v>0</v>
      </c>
      <c r="H79" s="11" cm="1">
        <f t="array" ref="H79">IF($D79 &lt;&gt;0,ResultValue($C79,COLUMN(I79)-COLUMN($C79))/$D79,"")</f>
        <v>0</v>
      </c>
      <c r="I79" s="11" cm="1">
        <f t="array" ref="I79">IF($D79 &lt;&gt;0,ResultValue($C79,COLUMN(J79)-COLUMN($C79))/$D79,"")</f>
        <v>0</v>
      </c>
      <c r="J79" s="11" cm="1">
        <f t="array" ref="J79">IF($D79 &lt;&gt;0,ResultValue($C79,COLUMN(K79)-COLUMN($C79))/$D79,"")</f>
        <v>0</v>
      </c>
      <c r="K79" s="11" cm="1">
        <f t="array" ref="K79">IF($D79 &lt;&gt;0,ResultValue($C79,COLUMN(L79)-COLUMN($C79))/$D79,"")</f>
        <v>0</v>
      </c>
      <c r="L79" s="11" cm="1">
        <f t="array" ref="L79">IF($D79 &lt;&gt;0,ResultValue($C79,COLUMN(M79)-COLUMN($C79))/$D79,"")</f>
        <v>0</v>
      </c>
      <c r="M79" s="11" cm="1">
        <f t="array" ref="M79">IF($D79 &lt;&gt;0,ResultValue($C79,COLUMN(N79)-COLUMN($C79))/$D79,"")</f>
        <v>200.59380181097563</v>
      </c>
      <c r="N79" s="11" cm="1">
        <f t="array" ref="N79">IF($D79 &lt;&gt;0,ResultValue($C79,COLUMN(O79)-COLUMN($C79))/$D79,"")</f>
        <v>200.59380181097563</v>
      </c>
      <c r="O79" s="11" cm="1">
        <f t="array" ref="O79">IF($D79 &lt;&gt;0,ResultValue($C79,COLUMN(P79)-COLUMN($C79))/$D79,"")</f>
        <v>200.59380181097563</v>
      </c>
      <c r="P79" s="11" cm="1">
        <f t="array" ref="P79">IF($D79 &lt;&gt;0,ResultValue($C79,COLUMN(Q79)-COLUMN($C79))/$D79,"")</f>
        <v>200.59380181097563</v>
      </c>
      <c r="Q79" s="11" cm="1">
        <f t="array" ref="Q79">IF($D79 &lt;&gt;0,ResultValue($C79,COLUMN(R79)-COLUMN($C79))/$D79,"")</f>
        <v>200.59380181097563</v>
      </c>
      <c r="R79" s="11" cm="1">
        <f t="array" ref="R79">IF($D79 &lt;&gt;0,ResultValue($C79,COLUMN(S79)-COLUMN($C79))/$D79,"")</f>
        <v>200.59380181097563</v>
      </c>
      <c r="S79" s="11" cm="1">
        <f t="array" ref="S79">IF($D79 &lt;&gt;0,ResultValue($C79,COLUMN(T79)-COLUMN($C79))/$D79,"")</f>
        <v>200.59380181097563</v>
      </c>
      <c r="T79" s="11" cm="1">
        <f t="array" ref="T79">IF($D79 &lt;&gt;0,ResultValue($C79,COLUMN(U79)-COLUMN($C79))/$D79,"")</f>
        <v>200.59380181097563</v>
      </c>
      <c r="U79" s="11" cm="1">
        <f t="array" ref="U79">IF($D79 &lt;&gt;0,ResultValue($C79,COLUMN(V79)-COLUMN($C79))/$D79,"")</f>
        <v>200.59380181097563</v>
      </c>
      <c r="V79" s="11" cm="1">
        <f t="array" ref="V79">IF($D79 &lt;&gt;0,ResultValue($C79,COLUMN(W79)-COLUMN($C79))/$D79,"")</f>
        <v>200.59380181097563</v>
      </c>
      <c r="W79" s="11" cm="1">
        <f t="array" ref="W79">IF($D79 &lt;&gt;0,ResultValue($C79,COLUMN(X79)-COLUMN($C79))/$D79,"")</f>
        <v>200.59380181097563</v>
      </c>
      <c r="X79" s="11" cm="1">
        <f t="array" ref="X79">IF($D79 &lt;&gt;0,ResultValue($C79,COLUMN(Y79)-COLUMN($C79))/$D79,"")</f>
        <v>200.59380181097563</v>
      </c>
      <c r="Y79" s="11" cm="1">
        <f t="array" ref="Y79">IF($D79 &lt;&gt;0,ResultValue($C79,COLUMN(Z80)-COLUMN($C79))/$D79,"")</f>
        <v>200.59380181097563</v>
      </c>
    </row>
    <row r="80" spans="1:25" x14ac:dyDescent="0.25">
      <c r="A80" t="str">
        <v>Ovn2 tonnageudnyttelse</v>
      </c>
      <c r="B80" s="44"/>
      <c r="C80" s="38" t="str">
        <f t="shared" si="3"/>
        <v>Modtagebetaling affald</v>
      </c>
      <c r="D80" s="37">
        <f t="shared" si="4"/>
        <v>1000</v>
      </c>
      <c r="E80" s="11" cm="1">
        <f t="array" ref="E80">IF($D80 &lt;&gt;0,ResultValue($C80,COLUMN(F80)-COLUMN($C80))/$D80,"")</f>
        <v>4040.3371902956987</v>
      </c>
      <c r="F80" s="11" cm="1">
        <f t="array" ref="F80">IF($D80 &lt;&gt;0,ResultValue($C80,COLUMN(G80)-COLUMN($C80))/$D80,"")</f>
        <v>4770.4508404332728</v>
      </c>
      <c r="G80" s="11" cm="1">
        <f t="array" ref="G80">IF($D80 &lt;&gt;0,ResultValue($C80,COLUMN(H80)-COLUMN($C80))/$D80,"")</f>
        <v>4724.8930163606619</v>
      </c>
      <c r="H80" s="11" cm="1">
        <f t="array" ref="H80">IF($D80 &lt;&gt;0,ResultValue($C80,COLUMN(I80)-COLUMN($C80))/$D80,"")</f>
        <v>4680.2649437997379</v>
      </c>
      <c r="I80" s="11" cm="1">
        <f t="array" ref="I80">IF($D80 &lt;&gt;0,ResultValue($C80,COLUMN(J80)-COLUMN($C80))/$D80,"")</f>
        <v>4636.5384484622655</v>
      </c>
      <c r="J80" s="11" cm="1">
        <f t="array" ref="J80">IF($D80 &lt;&gt;0,ResultValue($C80,COLUMN(K80)-COLUMN($C80))/$D80,"")</f>
        <v>4593.6864830315435</v>
      </c>
      <c r="K80" s="11" cm="1">
        <f t="array" ref="K80">IF($D80 &lt;&gt;0,ResultValue($C80,COLUMN(L80)-COLUMN($C80))/$D80,"")</f>
        <v>4551.6830713717272</v>
      </c>
      <c r="L80" s="11" cm="1">
        <f t="array" ref="L80">IF($D80 &lt;&gt;0,ResultValue($C80,COLUMN(M80)-COLUMN($C80))/$D80,"")</f>
        <v>4510.5032560189666</v>
      </c>
      <c r="M80" s="11" cm="1">
        <f t="array" ref="M80">IF($D80 &lt;&gt;0,ResultValue($C80,COLUMN(N80)-COLUMN($C80))/$D80,"")</f>
        <v>4470.1230487313078</v>
      </c>
      <c r="N80" s="11" cm="1">
        <f t="array" ref="N80">IF($D80 &lt;&gt;0,ResultValue($C80,COLUMN(O80)-COLUMN($C80))/$D80,"")</f>
        <v>4430.5193838914875</v>
      </c>
      <c r="O80" s="11" cm="1">
        <f t="array" ref="O80">IF($D80 &lt;&gt;0,ResultValue($C80,COLUMN(P80)-COLUMN($C80))/$D80,"")</f>
        <v>4391.6700745724256</v>
      </c>
      <c r="P80" s="11" cm="1">
        <f t="array" ref="P80">IF($D80 &lt;&gt;0,ResultValue($C80,COLUMN(Q80)-COLUMN($C80))/$D80,"")</f>
        <v>4353.5537710895724</v>
      </c>
      <c r="Q80" s="11" cm="1">
        <f t="array" ref="Q80">IF($D80 &lt;&gt;0,ResultValue($C80,COLUMN(R80)-COLUMN($C80))/$D80,"")</f>
        <v>4316.1499218774279</v>
      </c>
      <c r="R80" s="11" cm="1">
        <f t="array" ref="R80">IF($D80 &lt;&gt;0,ResultValue($C80,COLUMN(S80)-COLUMN($C80))/$D80,"")</f>
        <v>4279.4387365395824</v>
      </c>
      <c r="S80" s="11" cm="1">
        <f t="array" ref="S80">IF($D80 &lt;&gt;0,ResultValue($C80,COLUMN(T80)-COLUMN($C80))/$D80,"")</f>
        <v>4243.4011509327056</v>
      </c>
      <c r="T80" s="11" cm="1">
        <f t="array" ref="T80">IF($D80 &lt;&gt;0,ResultValue($C80,COLUMN(U80)-COLUMN($C80))/$D80,"")</f>
        <v>4208.0187941550466</v>
      </c>
      <c r="U80" s="11" cm="1">
        <f t="array" ref="U80">IF($D80 &lt;&gt;0,ResultValue($C80,COLUMN(V80)-COLUMN($C80))/$D80,"")</f>
        <v>4173.2739573193248</v>
      </c>
      <c r="V80" s="11" cm="1">
        <f t="array" ref="V80">IF($D80 &lt;&gt;0,ResultValue($C80,COLUMN(W80)-COLUMN($C80))/$D80,"")</f>
        <v>4139.1495639985287</v>
      </c>
      <c r="W80" s="11" cm="1">
        <f t="array" ref="W80">IF($D80 &lt;&gt;0,ResultValue($C80,COLUMN(X80)-COLUMN($C80))/$D80,"")</f>
        <v>4105.6291422409313</v>
      </c>
      <c r="X80" s="11" cm="1">
        <f t="array" ref="X80">IF($D80 &lt;&gt;0,ResultValue($C80,COLUMN(Y80)-COLUMN($C80))/$D80,"")</f>
        <v>4072.6967980580289</v>
      </c>
      <c r="Y80" s="11" cm="1">
        <f t="array" ref="Y80">IF($D80 &lt;&gt;0,ResultValue($C80,COLUMN(Z81)-COLUMN($C80))/$D80,"")</f>
        <v>4040.3371902956987</v>
      </c>
    </row>
    <row r="81" spans="1:25" x14ac:dyDescent="0.25">
      <c r="A81" t="str">
        <v>Bortkøleanlæg udnyttelse</v>
      </c>
      <c r="B81" s="44"/>
      <c r="C81" s="38" t="str">
        <f t="shared" si="3"/>
        <v/>
      </c>
      <c r="D81" s="37">
        <f t="shared" si="4"/>
        <v>0</v>
      </c>
      <c r="E81" s="11" t="str" cm="1">
        <f t="array" ref="E81">IF($D81 &lt;&gt;0,ResultValue($C81,COLUMN(F81)-COLUMN($C81))/$D81,"")</f>
        <v/>
      </c>
      <c r="F81" s="11" t="str" cm="1">
        <f t="array" ref="F81">IF($D81 &lt;&gt;0,ResultValue($C81,COLUMN(G81)-COLUMN($C81))/$D81,"")</f>
        <v/>
      </c>
      <c r="G81" s="11" t="str" cm="1">
        <f t="array" ref="G81">IF($D81 &lt;&gt;0,ResultValue($C81,COLUMN(H81)-COLUMN($C81))/$D81,"")</f>
        <v/>
      </c>
      <c r="H81" s="11" t="str" cm="1">
        <f t="array" ref="H81">IF($D81 &lt;&gt;0,ResultValue($C81,COLUMN(I81)-COLUMN($C81))/$D81,"")</f>
        <v/>
      </c>
      <c r="I81" s="11" t="str" cm="1">
        <f t="array" ref="I81">IF($D81 &lt;&gt;0,ResultValue($C81,COLUMN(J81)-COLUMN($C81))/$D81,"")</f>
        <v/>
      </c>
      <c r="J81" s="11" t="str" cm="1">
        <f t="array" ref="J81">IF($D81 &lt;&gt;0,ResultValue($C81,COLUMN(K81)-COLUMN($C81))/$D81,"")</f>
        <v/>
      </c>
      <c r="K81" s="11" t="str" cm="1">
        <f t="array" ref="K81">IF($D81 &lt;&gt;0,ResultValue($C81,COLUMN(L81)-COLUMN($C81))/$D81,"")</f>
        <v/>
      </c>
      <c r="L81" s="11" t="str" cm="1">
        <f t="array" ref="L81">IF($D81 &lt;&gt;0,ResultValue($C81,COLUMN(M81)-COLUMN($C81))/$D81,"")</f>
        <v/>
      </c>
      <c r="M81" s="11" t="str" cm="1">
        <f t="array" ref="M81">IF($D81 &lt;&gt;0,ResultValue($C81,COLUMN(N81)-COLUMN($C81))/$D81,"")</f>
        <v/>
      </c>
      <c r="N81" s="11" t="str" cm="1">
        <f t="array" ref="N81">IF($D81 &lt;&gt;0,ResultValue($C81,COLUMN(O81)-COLUMN($C81))/$D81,"")</f>
        <v/>
      </c>
      <c r="O81" s="11" t="str" cm="1">
        <f t="array" ref="O81">IF($D81 &lt;&gt;0,ResultValue($C81,COLUMN(P81)-COLUMN($C81))/$D81,"")</f>
        <v/>
      </c>
      <c r="P81" s="11" t="str" cm="1">
        <f t="array" ref="P81">IF($D81 &lt;&gt;0,ResultValue($C81,COLUMN(Q81)-COLUMN($C81))/$D81,"")</f>
        <v/>
      </c>
      <c r="Q81" s="11" t="str" cm="1">
        <f t="array" ref="Q81">IF($D81 &lt;&gt;0,ResultValue($C81,COLUMN(R81)-COLUMN($C81))/$D81,"")</f>
        <v/>
      </c>
      <c r="R81" s="11" t="str" cm="1">
        <f t="array" ref="R81">IF($D81 &lt;&gt;0,ResultValue($C81,COLUMN(S81)-COLUMN($C81))/$D81,"")</f>
        <v/>
      </c>
      <c r="S81" s="11" t="str" cm="1">
        <f t="array" ref="S81">IF($D81 &lt;&gt;0,ResultValue($C81,COLUMN(T81)-COLUMN($C81))/$D81,"")</f>
        <v/>
      </c>
      <c r="T81" s="11" t="str" cm="1">
        <f t="array" ref="T81">IF($D81 &lt;&gt;0,ResultValue($C81,COLUMN(U81)-COLUMN($C81))/$D81,"")</f>
        <v/>
      </c>
      <c r="U81" s="11" t="str" cm="1">
        <f t="array" ref="U81">IF($D81 &lt;&gt;0,ResultValue($C81,COLUMN(V81)-COLUMN($C81))/$D81,"")</f>
        <v/>
      </c>
      <c r="V81" s="11" t="str" cm="1">
        <f t="array" ref="V81">IF($D81 &lt;&gt;0,ResultValue($C81,COLUMN(W81)-COLUMN($C81))/$D81,"")</f>
        <v/>
      </c>
      <c r="W81" s="11" t="str" cm="1">
        <f t="array" ref="W81">IF($D81 &lt;&gt;0,ResultValue($C81,COLUMN(X81)-COLUMN($C81))/$D81,"")</f>
        <v/>
      </c>
      <c r="X81" s="11" t="str" cm="1">
        <f t="array" ref="X81">IF($D81 &lt;&gt;0,ResultValue($C81,COLUMN(Y81)-COLUMN($C81))/$D81,"")</f>
        <v/>
      </c>
      <c r="Y81" s="11" t="str" cm="1">
        <f t="array" ref="Y81">IF($D81 &lt;&gt;0,ResultValue($C81,COLUMN(Z82)-COLUMN($C81))/$D81,"")</f>
        <v/>
      </c>
    </row>
    <row r="82" spans="1:25" x14ac:dyDescent="0.25">
      <c r="A82" s="46" t="str">
        <v>NS-varme udnyttelse</v>
      </c>
      <c r="B82" s="44"/>
      <c r="C82" s="38" t="str">
        <f t="shared" si="3"/>
        <v/>
      </c>
      <c r="D82" s="37">
        <f t="shared" si="4"/>
        <v>0</v>
      </c>
      <c r="E82" s="11" t="str" cm="1">
        <f t="array" ref="E82">IF($D82 &lt;&gt;0,ResultValue($C82,COLUMN(F82)-COLUMN($C82))/$D82,"")</f>
        <v/>
      </c>
      <c r="F82" s="11" t="str" cm="1">
        <f t="array" ref="F82">IF($D82 &lt;&gt;0,ResultValue($C82,COLUMN(G82)-COLUMN($C82))/$D82,"")</f>
        <v/>
      </c>
      <c r="G82" s="11" t="str" cm="1">
        <f t="array" ref="G82">IF($D82 &lt;&gt;0,ResultValue($C82,COLUMN(H82)-COLUMN($C82))/$D82,"")</f>
        <v/>
      </c>
      <c r="H82" s="11" t="str" cm="1">
        <f t="array" ref="H82">IF($D82 &lt;&gt;0,ResultValue($C82,COLUMN(I82)-COLUMN($C82))/$D82,"")</f>
        <v/>
      </c>
      <c r="I82" s="11" t="str" cm="1">
        <f t="array" ref="I82">IF($D82 &lt;&gt;0,ResultValue($C82,COLUMN(J82)-COLUMN($C82))/$D82,"")</f>
        <v/>
      </c>
      <c r="J82" s="11" t="str" cm="1">
        <f t="array" ref="J82">IF($D82 &lt;&gt;0,ResultValue($C82,COLUMN(K82)-COLUMN($C82))/$D82,"")</f>
        <v/>
      </c>
      <c r="K82" s="11" t="str" cm="1">
        <f t="array" ref="K82">IF($D82 &lt;&gt;0,ResultValue($C82,COLUMN(L82)-COLUMN($C82))/$D82,"")</f>
        <v/>
      </c>
      <c r="L82" s="11" t="str" cm="1">
        <f t="array" ref="L82">IF($D82 &lt;&gt;0,ResultValue($C82,COLUMN(M82)-COLUMN($C82))/$D82,"")</f>
        <v/>
      </c>
      <c r="M82" s="11" t="str" cm="1">
        <f t="array" ref="M82">IF($D82 &lt;&gt;0,ResultValue($C82,COLUMN(N82)-COLUMN($C82))/$D82,"")</f>
        <v/>
      </c>
      <c r="N82" s="11" t="str" cm="1">
        <f t="array" ref="N82">IF($D82 &lt;&gt;0,ResultValue($C82,COLUMN(O82)-COLUMN($C82))/$D82,"")</f>
        <v/>
      </c>
      <c r="O82" s="11" t="str" cm="1">
        <f t="array" ref="O82">IF($D82 &lt;&gt;0,ResultValue($C82,COLUMN(P82)-COLUMN($C82))/$D82,"")</f>
        <v/>
      </c>
      <c r="P82" s="11" t="str" cm="1">
        <f t="array" ref="P82">IF($D82 &lt;&gt;0,ResultValue($C82,COLUMN(Q82)-COLUMN($C82))/$D82,"")</f>
        <v/>
      </c>
      <c r="Q82" s="11" t="str" cm="1">
        <f t="array" ref="Q82">IF($D82 &lt;&gt;0,ResultValue($C82,COLUMN(R82)-COLUMN($C82))/$D82,"")</f>
        <v/>
      </c>
      <c r="R82" s="11" t="str" cm="1">
        <f t="array" ref="R82">IF($D82 &lt;&gt;0,ResultValue($C82,COLUMN(S82)-COLUMN($C82))/$D82,"")</f>
        <v/>
      </c>
      <c r="S82" s="11" t="str" cm="1">
        <f t="array" ref="S82">IF($D82 &lt;&gt;0,ResultValue($C82,COLUMN(T82)-COLUMN($C82))/$D82,"")</f>
        <v/>
      </c>
      <c r="T82" s="11" t="str" cm="1">
        <f t="array" ref="T82">IF($D82 &lt;&gt;0,ResultValue($C82,COLUMN(U82)-COLUMN($C82))/$D82,"")</f>
        <v/>
      </c>
      <c r="U82" s="11" t="str" cm="1">
        <f t="array" ref="U82">IF($D82 &lt;&gt;0,ResultValue($C82,COLUMN(V82)-COLUMN($C82))/$D82,"")</f>
        <v/>
      </c>
      <c r="V82" s="11" t="str" cm="1">
        <f t="array" ref="V82">IF($D82 &lt;&gt;0,ResultValue($C82,COLUMN(W82)-COLUMN($C82))/$D82,"")</f>
        <v/>
      </c>
      <c r="W82" s="11" t="str" cm="1">
        <f t="array" ref="W82">IF($D82 &lt;&gt;0,ResultValue($C82,COLUMN(X82)-COLUMN($C82))/$D82,"")</f>
        <v/>
      </c>
      <c r="X82" s="11" t="str" cm="1">
        <f t="array" ref="X82">IF($D82 &lt;&gt;0,ResultValue($C82,COLUMN(Y82)-COLUMN($C82))/$D82,"")</f>
        <v/>
      </c>
      <c r="Y82" s="11" t="str" cm="1">
        <f t="array" ref="Y82">IF($D82 &lt;&gt;0,ResultValue($C82,COLUMN(Z83)-COLUMN($C82))/$D82,"")</f>
        <v/>
      </c>
    </row>
    <row r="83" spans="1:25" x14ac:dyDescent="0.25">
      <c r="A83" s="46" t="str">
        <v>VPO affald</v>
      </c>
      <c r="B83" s="44"/>
      <c r="C83" s="38" t="str">
        <f t="shared" si="3"/>
        <v/>
      </c>
      <c r="D83" s="37">
        <f t="shared" si="4"/>
        <v>0</v>
      </c>
      <c r="E83" s="11" t="str" cm="1">
        <f t="array" ref="E83">IF($D83 &lt;&gt;0,ResultValue($C83,COLUMN(F83)-COLUMN($C83))/$D83,"")</f>
        <v/>
      </c>
      <c r="F83" s="11" t="str" cm="1">
        <f t="array" ref="F83">IF($D83 &lt;&gt;0,ResultValue($C83,COLUMN(G83)-COLUMN($C83))/$D83,"")</f>
        <v/>
      </c>
      <c r="G83" s="11" t="str" cm="1">
        <f t="array" ref="G83">IF($D83 &lt;&gt;0,ResultValue($C83,COLUMN(H83)-COLUMN($C83))/$D83,"")</f>
        <v/>
      </c>
      <c r="H83" s="11" t="str" cm="1">
        <f t="array" ref="H83">IF($D83 &lt;&gt;0,ResultValue($C83,COLUMN(I83)-COLUMN($C83))/$D83,"")</f>
        <v/>
      </c>
      <c r="I83" s="11" t="str" cm="1">
        <f t="array" ref="I83">IF($D83 &lt;&gt;0,ResultValue($C83,COLUMN(J83)-COLUMN($C83))/$D83,"")</f>
        <v/>
      </c>
      <c r="J83" s="11" t="str" cm="1">
        <f t="array" ref="J83">IF($D83 &lt;&gt;0,ResultValue($C83,COLUMN(K83)-COLUMN($C83))/$D83,"")</f>
        <v/>
      </c>
      <c r="K83" s="11" t="str" cm="1">
        <f t="array" ref="K83">IF($D83 &lt;&gt;0,ResultValue($C83,COLUMN(L83)-COLUMN($C83))/$D83,"")</f>
        <v/>
      </c>
      <c r="L83" s="11" t="str" cm="1">
        <f t="array" ref="L83">IF($D83 &lt;&gt;0,ResultValue($C83,COLUMN(M83)-COLUMN($C83))/$D83,"")</f>
        <v/>
      </c>
      <c r="M83" s="11" t="str" cm="1">
        <f t="array" ref="M83">IF($D83 &lt;&gt;0,ResultValue($C83,COLUMN(N83)-COLUMN($C83))/$D83,"")</f>
        <v/>
      </c>
      <c r="N83" s="11" t="str" cm="1">
        <f t="array" ref="N83">IF($D83 &lt;&gt;0,ResultValue($C83,COLUMN(O83)-COLUMN($C83))/$D83,"")</f>
        <v/>
      </c>
      <c r="O83" s="11" t="str" cm="1">
        <f t="array" ref="O83">IF($D83 &lt;&gt;0,ResultValue($C83,COLUMN(P83)-COLUMN($C83))/$D83,"")</f>
        <v/>
      </c>
      <c r="P83" s="11" t="str" cm="1">
        <f t="array" ref="P83">IF($D83 &lt;&gt;0,ResultValue($C83,COLUMN(Q83)-COLUMN($C83))/$D83,"")</f>
        <v/>
      </c>
      <c r="Q83" s="11" t="str" cm="1">
        <f t="array" ref="Q83">IF($D83 &lt;&gt;0,ResultValue($C83,COLUMN(R83)-COLUMN($C83))/$D83,"")</f>
        <v/>
      </c>
      <c r="R83" s="11" t="str" cm="1">
        <f t="array" ref="R83">IF($D83 &lt;&gt;0,ResultValue($C83,COLUMN(S83)-COLUMN($C83))/$D83,"")</f>
        <v/>
      </c>
      <c r="S83" s="11" t="str" cm="1">
        <f t="array" ref="S83">IF($D83 &lt;&gt;0,ResultValue($C83,COLUMN(T83)-COLUMN($C83))/$D83,"")</f>
        <v/>
      </c>
      <c r="T83" s="11" t="str" cm="1">
        <f t="array" ref="T83">IF($D83 &lt;&gt;0,ResultValue($C83,COLUMN(U83)-COLUMN($C83))/$D83,"")</f>
        <v/>
      </c>
      <c r="U83" s="11" t="str" cm="1">
        <f t="array" ref="U83">IF($D83 &lt;&gt;0,ResultValue($C83,COLUMN(V83)-COLUMN($C83))/$D83,"")</f>
        <v/>
      </c>
      <c r="V83" s="11" t="str" cm="1">
        <f t="array" ref="V83">IF($D83 &lt;&gt;0,ResultValue($C83,COLUMN(W83)-COLUMN($C83))/$D83,"")</f>
        <v/>
      </c>
      <c r="W83" s="11" t="str" cm="1">
        <f t="array" ref="W83">IF($D83 &lt;&gt;0,ResultValue($C83,COLUMN(X83)-COLUMN($C83))/$D83,"")</f>
        <v/>
      </c>
      <c r="X83" s="11" t="str" cm="1">
        <f t="array" ref="X83">IF($D83 &lt;&gt;0,ResultValue($C83,COLUMN(Y83)-COLUMN($C83))/$D83,"")</f>
        <v/>
      </c>
      <c r="Y83" s="11" t="str" cm="1">
        <f t="array" ref="Y83">IF($D83 &lt;&gt;0,ResultValue($C83,COLUMN(Z84)-COLUMN($C83))/$D83,"")</f>
        <v/>
      </c>
    </row>
    <row r="84" spans="1:25" x14ac:dyDescent="0.25">
      <c r="A84" s="44"/>
      <c r="B84" s="44"/>
      <c r="C84" s="38" t="str">
        <f t="shared" si="3"/>
        <v/>
      </c>
      <c r="D84" s="37">
        <f t="shared" si="4"/>
        <v>0</v>
      </c>
      <c r="E84" s="11" t="str" cm="1">
        <f t="array" ref="E84">IF($D84 &lt;&gt;0,ResultValue($C84,COLUMN(F84)-COLUMN($C84))/$D84,"")</f>
        <v/>
      </c>
      <c r="F84" s="11" t="str" cm="1">
        <f t="array" ref="F84">IF($D84 &lt;&gt;0,ResultValue($C84,COLUMN(G84)-COLUMN($C84))/$D84,"")</f>
        <v/>
      </c>
      <c r="G84" s="11" t="str" cm="1">
        <f t="array" ref="G84">IF($D84 &lt;&gt;0,ResultValue($C84,COLUMN(H84)-COLUMN($C84))/$D84,"")</f>
        <v/>
      </c>
      <c r="H84" s="11" t="str" cm="1">
        <f t="array" ref="H84">IF($D84 &lt;&gt;0,ResultValue($C84,COLUMN(I84)-COLUMN($C84))/$D84,"")</f>
        <v/>
      </c>
      <c r="I84" s="11" t="str" cm="1">
        <f t="array" ref="I84">IF($D84 &lt;&gt;0,ResultValue($C84,COLUMN(J84)-COLUMN($C84))/$D84,"")</f>
        <v/>
      </c>
      <c r="J84" s="11" t="str" cm="1">
        <f t="array" ref="J84">IF($D84 &lt;&gt;0,ResultValue($C84,COLUMN(K84)-COLUMN($C84))/$D84,"")</f>
        <v/>
      </c>
      <c r="K84" s="11" t="str" cm="1">
        <f t="array" ref="K84">IF($D84 &lt;&gt;0,ResultValue($C84,COLUMN(L84)-COLUMN($C84))/$D84,"")</f>
        <v/>
      </c>
      <c r="L84" s="11" t="str" cm="1">
        <f t="array" ref="L84">IF($D84 &lt;&gt;0,ResultValue($C84,COLUMN(M84)-COLUMN($C84))/$D84,"")</f>
        <v/>
      </c>
      <c r="M84" s="11" t="str" cm="1">
        <f t="array" ref="M84">IF($D84 &lt;&gt;0,ResultValue($C84,COLUMN(N84)-COLUMN($C84))/$D84,"")</f>
        <v/>
      </c>
      <c r="N84" s="11" t="str" cm="1">
        <f t="array" ref="N84">IF($D84 &lt;&gt;0,ResultValue($C84,COLUMN(O84)-COLUMN($C84))/$D84,"")</f>
        <v/>
      </c>
      <c r="O84" s="11" t="str" cm="1">
        <f t="array" ref="O84">IF($D84 &lt;&gt;0,ResultValue($C84,COLUMN(P84)-COLUMN($C84))/$D84,"")</f>
        <v/>
      </c>
      <c r="P84" s="11" t="str" cm="1">
        <f t="array" ref="P84">IF($D84 &lt;&gt;0,ResultValue($C84,COLUMN(Q84)-COLUMN($C84))/$D84,"")</f>
        <v/>
      </c>
      <c r="Q84" s="11" t="str" cm="1">
        <f t="array" ref="Q84">IF($D84 &lt;&gt;0,ResultValue($C84,COLUMN(R84)-COLUMN($C84))/$D84,"")</f>
        <v/>
      </c>
      <c r="R84" s="11" t="str" cm="1">
        <f t="array" ref="R84">IF($D84 &lt;&gt;0,ResultValue($C84,COLUMN(S84)-COLUMN($C84))/$D84,"")</f>
        <v/>
      </c>
      <c r="S84" s="11" t="str" cm="1">
        <f t="array" ref="S84">IF($D84 &lt;&gt;0,ResultValue($C84,COLUMN(T84)-COLUMN($C84))/$D84,"")</f>
        <v/>
      </c>
      <c r="T84" s="11" t="str" cm="1">
        <f t="array" ref="T84">IF($D84 &lt;&gt;0,ResultValue($C84,COLUMN(U84)-COLUMN($C84))/$D84,"")</f>
        <v/>
      </c>
      <c r="U84" s="11" t="str" cm="1">
        <f t="array" ref="U84">IF($D84 &lt;&gt;0,ResultValue($C84,COLUMN(V84)-COLUMN($C84))/$D84,"")</f>
        <v/>
      </c>
      <c r="V84" s="11" t="str" cm="1">
        <f t="array" ref="V84">IF($D84 &lt;&gt;0,ResultValue($C84,COLUMN(W84)-COLUMN($C84))/$D84,"")</f>
        <v/>
      </c>
      <c r="W84" s="11" t="str" cm="1">
        <f t="array" ref="W84">IF($D84 &lt;&gt;0,ResultValue($C84,COLUMN(X84)-COLUMN($C84))/$D84,"")</f>
        <v/>
      </c>
      <c r="X84" s="11" t="str" cm="1">
        <f t="array" ref="X84">IF($D84 &lt;&gt;0,ResultValue($C84,COLUMN(Y84)-COLUMN($C84))/$D84,"")</f>
        <v/>
      </c>
      <c r="Y84" s="11" t="str" cm="1">
        <f t="array" ref="Y84">IF($D84 &lt;&gt;0,ResultValue($C84,COLUMN(Z85)-COLUMN($C84))/$D84,"")</f>
        <v/>
      </c>
    </row>
    <row r="85" spans="1:25" x14ac:dyDescent="0.25">
      <c r="A85" s="44"/>
      <c r="B85" s="44"/>
      <c r="C85" s="38" t="str">
        <f t="shared" si="3"/>
        <v/>
      </c>
      <c r="D85" s="37">
        <f t="shared" si="4"/>
        <v>0</v>
      </c>
      <c r="E85" s="11" t="str" cm="1">
        <f t="array" ref="E85">IF($D85 &lt;&gt;0,ResultValue($C85,COLUMN(F85)-COLUMN($C85))/$D85,"")</f>
        <v/>
      </c>
      <c r="F85" s="11" t="str" cm="1">
        <f t="array" ref="F85">IF($D85 &lt;&gt;0,ResultValue($C85,COLUMN(G85)-COLUMN($C85))/$D85,"")</f>
        <v/>
      </c>
      <c r="G85" s="11" t="str" cm="1">
        <f t="array" ref="G85">IF($D85 &lt;&gt;0,ResultValue($C85,COLUMN(H85)-COLUMN($C85))/$D85,"")</f>
        <v/>
      </c>
      <c r="H85" s="11" t="str" cm="1">
        <f t="array" ref="H85">IF($D85 &lt;&gt;0,ResultValue($C85,COLUMN(I85)-COLUMN($C85))/$D85,"")</f>
        <v/>
      </c>
      <c r="I85" s="11" t="str" cm="1">
        <f t="array" ref="I85">IF($D85 &lt;&gt;0,ResultValue($C85,COLUMN(J85)-COLUMN($C85))/$D85,"")</f>
        <v/>
      </c>
      <c r="J85" s="11" t="str" cm="1">
        <f t="array" ref="J85">IF($D85 &lt;&gt;0,ResultValue($C85,COLUMN(K85)-COLUMN($C85))/$D85,"")</f>
        <v/>
      </c>
      <c r="K85" s="11" t="str" cm="1">
        <f t="array" ref="K85">IF($D85 &lt;&gt;0,ResultValue($C85,COLUMN(L85)-COLUMN($C85))/$D85,"")</f>
        <v/>
      </c>
      <c r="L85" s="11" t="str" cm="1">
        <f t="array" ref="L85">IF($D85 &lt;&gt;0,ResultValue($C85,COLUMN(M85)-COLUMN($C85))/$D85,"")</f>
        <v/>
      </c>
      <c r="M85" s="11" t="str" cm="1">
        <f t="array" ref="M85">IF($D85 &lt;&gt;0,ResultValue($C85,COLUMN(N85)-COLUMN($C85))/$D85,"")</f>
        <v/>
      </c>
      <c r="N85" s="11" t="str" cm="1">
        <f t="array" ref="N85">IF($D85 &lt;&gt;0,ResultValue($C85,COLUMN(O85)-COLUMN($C85))/$D85,"")</f>
        <v/>
      </c>
      <c r="O85" s="11" t="str" cm="1">
        <f t="array" ref="O85">IF($D85 &lt;&gt;0,ResultValue($C85,COLUMN(P85)-COLUMN($C85))/$D85,"")</f>
        <v/>
      </c>
      <c r="P85" s="11" t="str" cm="1">
        <f t="array" ref="P85">IF($D85 &lt;&gt;0,ResultValue($C85,COLUMN(Q85)-COLUMN($C85))/$D85,"")</f>
        <v/>
      </c>
      <c r="Q85" s="11" t="str" cm="1">
        <f t="array" ref="Q85">IF($D85 &lt;&gt;0,ResultValue($C85,COLUMN(R85)-COLUMN($C85))/$D85,"")</f>
        <v/>
      </c>
      <c r="R85" s="11" t="str" cm="1">
        <f t="array" ref="R85">IF($D85 &lt;&gt;0,ResultValue($C85,COLUMN(S85)-COLUMN($C85))/$D85,"")</f>
        <v/>
      </c>
      <c r="S85" s="11" t="str" cm="1">
        <f t="array" ref="S85">IF($D85 &lt;&gt;0,ResultValue($C85,COLUMN(T85)-COLUMN($C85))/$D85,"")</f>
        <v/>
      </c>
      <c r="T85" s="11" t="str" cm="1">
        <f t="array" ref="T85">IF($D85 &lt;&gt;0,ResultValue($C85,COLUMN(U85)-COLUMN($C85))/$D85,"")</f>
        <v/>
      </c>
      <c r="U85" s="11" t="str" cm="1">
        <f t="array" ref="U85">IF($D85 &lt;&gt;0,ResultValue($C85,COLUMN(V85)-COLUMN($C85))/$D85,"")</f>
        <v/>
      </c>
      <c r="V85" s="11" t="str" cm="1">
        <f t="array" ref="V85">IF($D85 &lt;&gt;0,ResultValue($C85,COLUMN(W85)-COLUMN($C85))/$D85,"")</f>
        <v/>
      </c>
      <c r="W85" s="11" t="str" cm="1">
        <f t="array" ref="W85">IF($D85 &lt;&gt;0,ResultValue($C85,COLUMN(X85)-COLUMN($C85))/$D85,"")</f>
        <v/>
      </c>
      <c r="X85" s="11" t="str" cm="1">
        <f t="array" ref="X85">IF($D85 &lt;&gt;0,ResultValue($C85,COLUMN(Y85)-COLUMN($C85))/$D85,"")</f>
        <v/>
      </c>
      <c r="Y85" s="11" t="str" cm="1">
        <f t="array" ref="Y85">IF($D85 &lt;&gt;0,ResultValue($C85,COLUMN(Z86)-COLUMN($C85))/$D85,"")</f>
        <v/>
      </c>
    </row>
    <row r="86" spans="1:25" x14ac:dyDescent="0.25">
      <c r="A86" s="44"/>
      <c r="B86" s="44"/>
      <c r="C86" s="38" t="str">
        <f t="shared" si="3"/>
        <v/>
      </c>
      <c r="D86" s="37">
        <f t="shared" si="4"/>
        <v>0</v>
      </c>
      <c r="E86" s="11" t="str" cm="1">
        <f t="array" ref="E86">IF($D86 &lt;&gt;0,ResultValue($C86,COLUMN(F86)-COLUMN($C86))/$D86,"")</f>
        <v/>
      </c>
      <c r="F86" s="11" t="str" cm="1">
        <f t="array" ref="F86">IF($D86 &lt;&gt;0,ResultValue($C86,COLUMN(G86)-COLUMN($C86))/$D86,"")</f>
        <v/>
      </c>
      <c r="G86" s="11" t="str" cm="1">
        <f t="array" ref="G86">IF($D86 &lt;&gt;0,ResultValue($C86,COLUMN(H86)-COLUMN($C86))/$D86,"")</f>
        <v/>
      </c>
      <c r="H86" s="11" t="str" cm="1">
        <f t="array" ref="H86">IF($D86 &lt;&gt;0,ResultValue($C86,COLUMN(I86)-COLUMN($C86))/$D86,"")</f>
        <v/>
      </c>
      <c r="I86" s="11" t="str" cm="1">
        <f t="array" ref="I86">IF($D86 &lt;&gt;0,ResultValue($C86,COLUMN(J86)-COLUMN($C86))/$D86,"")</f>
        <v/>
      </c>
      <c r="J86" s="11" t="str" cm="1">
        <f t="array" ref="J86">IF($D86 &lt;&gt;0,ResultValue($C86,COLUMN(K86)-COLUMN($C86))/$D86,"")</f>
        <v/>
      </c>
      <c r="K86" s="11" t="str" cm="1">
        <f t="array" ref="K86">IF($D86 &lt;&gt;0,ResultValue($C86,COLUMN(L86)-COLUMN($C86))/$D86,"")</f>
        <v/>
      </c>
      <c r="L86" s="11" t="str" cm="1">
        <f t="array" ref="L86">IF($D86 &lt;&gt;0,ResultValue($C86,COLUMN(M86)-COLUMN($C86))/$D86,"")</f>
        <v/>
      </c>
      <c r="M86" s="11" t="str" cm="1">
        <f t="array" ref="M86">IF($D86 &lt;&gt;0,ResultValue($C86,COLUMN(N86)-COLUMN($C86))/$D86,"")</f>
        <v/>
      </c>
      <c r="N86" s="11" t="str" cm="1">
        <f t="array" ref="N86">IF($D86 &lt;&gt;0,ResultValue($C86,COLUMN(O86)-COLUMN($C86))/$D86,"")</f>
        <v/>
      </c>
      <c r="O86" s="11" t="str" cm="1">
        <f t="array" ref="O86">IF($D86 &lt;&gt;0,ResultValue($C86,COLUMN(P86)-COLUMN($C86))/$D86,"")</f>
        <v/>
      </c>
      <c r="P86" s="11" t="str" cm="1">
        <f t="array" ref="P86">IF($D86 &lt;&gt;0,ResultValue($C86,COLUMN(Q86)-COLUMN($C86))/$D86,"")</f>
        <v/>
      </c>
      <c r="Q86" s="11" t="str" cm="1">
        <f t="array" ref="Q86">IF($D86 &lt;&gt;0,ResultValue($C86,COLUMN(R86)-COLUMN($C86))/$D86,"")</f>
        <v/>
      </c>
      <c r="R86" s="11" t="str" cm="1">
        <f t="array" ref="R86">IF($D86 &lt;&gt;0,ResultValue($C86,COLUMN(S86)-COLUMN($C86))/$D86,"")</f>
        <v/>
      </c>
      <c r="S86" s="11" t="str" cm="1">
        <f t="array" ref="S86">IF($D86 &lt;&gt;0,ResultValue($C86,COLUMN(T86)-COLUMN($C86))/$D86,"")</f>
        <v/>
      </c>
      <c r="T86" s="11" t="str" cm="1">
        <f t="array" ref="T86">IF($D86 &lt;&gt;0,ResultValue($C86,COLUMN(U86)-COLUMN($C86))/$D86,"")</f>
        <v/>
      </c>
      <c r="U86" s="11" t="str" cm="1">
        <f t="array" ref="U86">IF($D86 &lt;&gt;0,ResultValue($C86,COLUMN(V86)-COLUMN($C86))/$D86,"")</f>
        <v/>
      </c>
      <c r="V86" s="11" t="str" cm="1">
        <f t="array" ref="V86">IF($D86 &lt;&gt;0,ResultValue($C86,COLUMN(W86)-COLUMN($C86))/$D86,"")</f>
        <v/>
      </c>
      <c r="W86" s="11" t="str" cm="1">
        <f t="array" ref="W86">IF($D86 &lt;&gt;0,ResultValue($C86,COLUMN(X86)-COLUMN($C86))/$D86,"")</f>
        <v/>
      </c>
      <c r="X86" s="11" t="str" cm="1">
        <f t="array" ref="X86">IF($D86 &lt;&gt;0,ResultValue($C86,COLUMN(Y86)-COLUMN($C86))/$D86,"")</f>
        <v/>
      </c>
      <c r="Y86" s="11" t="str" cm="1">
        <f t="array" ref="Y86">IF($D86 &lt;&gt;0,ResultValue($C86,COLUMN(Z87)-COLUMN($C86))/$D86,"")</f>
        <v/>
      </c>
    </row>
    <row r="87" spans="1:25" x14ac:dyDescent="0.25">
      <c r="A87" s="44"/>
      <c r="B87" s="44"/>
      <c r="C87" s="38" t="str">
        <f t="shared" si="3"/>
        <v/>
      </c>
      <c r="D87" s="37">
        <f t="shared" si="4"/>
        <v>0</v>
      </c>
      <c r="E87" s="11" t="str" cm="1">
        <f t="array" ref="E87">IF($D87 &lt;&gt;0,ResultValue($C87,COLUMN(F87)-COLUMN($C87))/$D87,"")</f>
        <v/>
      </c>
      <c r="F87" s="11" t="str" cm="1">
        <f t="array" ref="F87">IF($D87 &lt;&gt;0,ResultValue($C87,COLUMN(G87)-COLUMN($C87))/$D87,"")</f>
        <v/>
      </c>
      <c r="G87" s="11" t="str" cm="1">
        <f t="array" ref="G87">IF($D87 &lt;&gt;0,ResultValue($C87,COLUMN(H87)-COLUMN($C87))/$D87,"")</f>
        <v/>
      </c>
      <c r="H87" s="11" t="str" cm="1">
        <f t="array" ref="H87">IF($D87 &lt;&gt;0,ResultValue($C87,COLUMN(I87)-COLUMN($C87))/$D87,"")</f>
        <v/>
      </c>
      <c r="I87" s="11" t="str" cm="1">
        <f t="array" ref="I87">IF($D87 &lt;&gt;0,ResultValue($C87,COLUMN(J87)-COLUMN($C87))/$D87,"")</f>
        <v/>
      </c>
      <c r="J87" s="11" t="str" cm="1">
        <f t="array" ref="J87">IF($D87 &lt;&gt;0,ResultValue($C87,COLUMN(K87)-COLUMN($C87))/$D87,"")</f>
        <v/>
      </c>
      <c r="K87" s="11" t="str" cm="1">
        <f t="array" ref="K87">IF($D87 &lt;&gt;0,ResultValue($C87,COLUMN(L87)-COLUMN($C87))/$D87,"")</f>
        <v/>
      </c>
      <c r="L87" s="11" t="str" cm="1">
        <f t="array" ref="L87">IF($D87 &lt;&gt;0,ResultValue($C87,COLUMN(M87)-COLUMN($C87))/$D87,"")</f>
        <v/>
      </c>
      <c r="M87" s="11" t="str" cm="1">
        <f t="array" ref="M87">IF($D87 &lt;&gt;0,ResultValue($C87,COLUMN(N87)-COLUMN($C87))/$D87,"")</f>
        <v/>
      </c>
      <c r="N87" s="11" t="str" cm="1">
        <f t="array" ref="N87">IF($D87 &lt;&gt;0,ResultValue($C87,COLUMN(O87)-COLUMN($C87))/$D87,"")</f>
        <v/>
      </c>
      <c r="O87" s="11" t="str" cm="1">
        <f t="array" ref="O87">IF($D87 &lt;&gt;0,ResultValue($C87,COLUMN(P87)-COLUMN($C87))/$D87,"")</f>
        <v/>
      </c>
      <c r="P87" s="11" t="str" cm="1">
        <f t="array" ref="P87">IF($D87 &lt;&gt;0,ResultValue($C87,COLUMN(Q87)-COLUMN($C87))/$D87,"")</f>
        <v/>
      </c>
      <c r="Q87" s="11" t="str" cm="1">
        <f t="array" ref="Q87">IF($D87 &lt;&gt;0,ResultValue($C87,COLUMN(R87)-COLUMN($C87))/$D87,"")</f>
        <v/>
      </c>
      <c r="R87" s="11" t="str" cm="1">
        <f t="array" ref="R87">IF($D87 &lt;&gt;0,ResultValue($C87,COLUMN(S87)-COLUMN($C87))/$D87,"")</f>
        <v/>
      </c>
      <c r="S87" s="11" t="str" cm="1">
        <f t="array" ref="S87">IF($D87 &lt;&gt;0,ResultValue($C87,COLUMN(T87)-COLUMN($C87))/$D87,"")</f>
        <v/>
      </c>
      <c r="T87" s="11" t="str" cm="1">
        <f t="array" ref="T87">IF($D87 &lt;&gt;0,ResultValue($C87,COLUMN(U87)-COLUMN($C87))/$D87,"")</f>
        <v/>
      </c>
      <c r="U87" s="11" t="str" cm="1">
        <f t="array" ref="U87">IF($D87 &lt;&gt;0,ResultValue($C87,COLUMN(V87)-COLUMN($C87))/$D87,"")</f>
        <v/>
      </c>
      <c r="V87" s="11" t="str" cm="1">
        <f t="array" ref="V87">IF($D87 &lt;&gt;0,ResultValue($C87,COLUMN(W87)-COLUMN($C87))/$D87,"")</f>
        <v/>
      </c>
      <c r="W87" s="11" t="str" cm="1">
        <f t="array" ref="W87">IF($D87 &lt;&gt;0,ResultValue($C87,COLUMN(X87)-COLUMN($C87))/$D87,"")</f>
        <v/>
      </c>
      <c r="X87" s="11" t="str" cm="1">
        <f t="array" ref="X87">IF($D87 &lt;&gt;0,ResultValue($C87,COLUMN(Y87)-COLUMN($C87))/$D87,"")</f>
        <v/>
      </c>
      <c r="Y87" s="11" t="str" cm="1">
        <f t="array" ref="Y87">IF($D87 &lt;&gt;0,ResultValue($C87,COLUMN(Z88)-COLUMN($C87))/$D87,"")</f>
        <v/>
      </c>
    </row>
    <row r="88" spans="1:25" x14ac:dyDescent="0.25">
      <c r="A88" s="44"/>
      <c r="B88" s="44"/>
      <c r="C88" s="38" t="str">
        <f t="shared" si="3"/>
        <v/>
      </c>
      <c r="D88" s="37">
        <f t="shared" si="4"/>
        <v>0</v>
      </c>
      <c r="E88" s="11" t="str" cm="1">
        <f t="array" ref="E88">IF($D88 &lt;&gt;0,ResultValue($C88,COLUMN(F88)-COLUMN($C88))/$D88,"")</f>
        <v/>
      </c>
      <c r="F88" s="11" t="str" cm="1">
        <f t="array" ref="F88">IF($D88 &lt;&gt;0,ResultValue($C88,COLUMN(G88)-COLUMN($C88))/$D88,"")</f>
        <v/>
      </c>
      <c r="G88" s="11" t="str" cm="1">
        <f t="array" ref="G88">IF($D88 &lt;&gt;0,ResultValue($C88,COLUMN(H88)-COLUMN($C88))/$D88,"")</f>
        <v/>
      </c>
      <c r="H88" s="11" t="str" cm="1">
        <f t="array" ref="H88">IF($D88 &lt;&gt;0,ResultValue($C88,COLUMN(I88)-COLUMN($C88))/$D88,"")</f>
        <v/>
      </c>
      <c r="I88" s="11" t="str" cm="1">
        <f t="array" ref="I88">IF($D88 &lt;&gt;0,ResultValue($C88,COLUMN(J88)-COLUMN($C88))/$D88,"")</f>
        <v/>
      </c>
      <c r="J88" s="11" t="str" cm="1">
        <f t="array" ref="J88">IF($D88 &lt;&gt;0,ResultValue($C88,COLUMN(K88)-COLUMN($C88))/$D88,"")</f>
        <v/>
      </c>
      <c r="K88" s="11" t="str" cm="1">
        <f t="array" ref="K88">IF($D88 &lt;&gt;0,ResultValue($C88,COLUMN(L88)-COLUMN($C88))/$D88,"")</f>
        <v/>
      </c>
      <c r="L88" s="11" t="str" cm="1">
        <f t="array" ref="L88">IF($D88 &lt;&gt;0,ResultValue($C88,COLUMN(M88)-COLUMN($C88))/$D88,"")</f>
        <v/>
      </c>
      <c r="M88" s="11" t="str" cm="1">
        <f t="array" ref="M88">IF($D88 &lt;&gt;0,ResultValue($C88,COLUMN(N88)-COLUMN($C88))/$D88,"")</f>
        <v/>
      </c>
      <c r="N88" s="11" t="str" cm="1">
        <f t="array" ref="N88">IF($D88 &lt;&gt;0,ResultValue($C88,COLUMN(O88)-COLUMN($C88))/$D88,"")</f>
        <v/>
      </c>
      <c r="O88" s="11" t="str" cm="1">
        <f t="array" ref="O88">IF($D88 &lt;&gt;0,ResultValue($C88,COLUMN(P88)-COLUMN($C88))/$D88,"")</f>
        <v/>
      </c>
      <c r="P88" s="11" t="str" cm="1">
        <f t="array" ref="P88">IF($D88 &lt;&gt;0,ResultValue($C88,COLUMN(Q88)-COLUMN($C88))/$D88,"")</f>
        <v/>
      </c>
      <c r="Q88" s="11" t="str" cm="1">
        <f t="array" ref="Q88">IF($D88 &lt;&gt;0,ResultValue($C88,COLUMN(R88)-COLUMN($C88))/$D88,"")</f>
        <v/>
      </c>
      <c r="R88" s="11" t="str" cm="1">
        <f t="array" ref="R88">IF($D88 &lt;&gt;0,ResultValue($C88,COLUMN(S88)-COLUMN($C88))/$D88,"")</f>
        <v/>
      </c>
      <c r="S88" s="11" t="str" cm="1">
        <f t="array" ref="S88">IF($D88 &lt;&gt;0,ResultValue($C88,COLUMN(T88)-COLUMN($C88))/$D88,"")</f>
        <v/>
      </c>
      <c r="T88" s="11" t="str" cm="1">
        <f t="array" ref="T88">IF($D88 &lt;&gt;0,ResultValue($C88,COLUMN(U88)-COLUMN($C88))/$D88,"")</f>
        <v/>
      </c>
      <c r="U88" s="11" t="str" cm="1">
        <f t="array" ref="U88">IF($D88 &lt;&gt;0,ResultValue($C88,COLUMN(V88)-COLUMN($C88))/$D88,"")</f>
        <v/>
      </c>
      <c r="V88" s="11" t="str" cm="1">
        <f t="array" ref="V88">IF($D88 &lt;&gt;0,ResultValue($C88,COLUMN(W88)-COLUMN($C88))/$D88,"")</f>
        <v/>
      </c>
      <c r="W88" s="11" t="str" cm="1">
        <f t="array" ref="W88">IF($D88 &lt;&gt;0,ResultValue($C88,COLUMN(X88)-COLUMN($C88))/$D88,"")</f>
        <v/>
      </c>
      <c r="X88" s="11" t="str" cm="1">
        <f t="array" ref="X88">IF($D88 &lt;&gt;0,ResultValue($C88,COLUMN(Y88)-COLUMN($C88))/$D88,"")</f>
        <v/>
      </c>
      <c r="Y88" s="11" t="str" cm="1">
        <f t="array" ref="Y88">IF($D88 &lt;&gt;0,ResultValue($C88,COLUMN(Z89)-COLUMN($C88))/$D88,"")</f>
        <v/>
      </c>
    </row>
    <row r="89" spans="1:25" x14ac:dyDescent="0.25">
      <c r="A89" s="44"/>
      <c r="B89" s="44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</row>
    <row r="90" spans="1:25" x14ac:dyDescent="0.25">
      <c r="A90" s="44"/>
      <c r="B90" s="44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</row>
    <row r="91" spans="1:25" x14ac:dyDescent="0.25">
      <c r="A91" s="44"/>
      <c r="B91" s="44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44"/>
      <c r="B92" s="44"/>
    </row>
    <row r="93" spans="1:25" x14ac:dyDescent="0.25">
      <c r="C93" s="9" t="s">
        <v>221</v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</row>
    <row r="94" spans="1:25" x14ac:dyDescent="0.25">
      <c r="C94" s="2" t="str">
        <f>'Model-1'!N48</f>
        <v>Økonomi:</v>
      </c>
      <c r="D94" s="7" t="str">
        <f>'Model-1'!O48</f>
        <v>Enhed</v>
      </c>
      <c r="E94" s="13" t="str">
        <f t="shared" ref="E94:Y94" si="5">E6</f>
        <v>Nominelt</v>
      </c>
      <c r="F94" s="13" t="str">
        <f t="shared" si="5"/>
        <v>sc1</v>
      </c>
      <c r="G94" s="13" t="str">
        <f t="shared" si="5"/>
        <v>sc2</v>
      </c>
      <c r="H94" s="13" t="str">
        <f t="shared" si="5"/>
        <v>sc3</v>
      </c>
      <c r="I94" s="13" t="str">
        <f t="shared" si="5"/>
        <v>sc4</v>
      </c>
      <c r="J94" s="13" t="str">
        <f t="shared" si="5"/>
        <v>sc5</v>
      </c>
      <c r="K94" s="13" t="str">
        <f t="shared" si="5"/>
        <v>sc6</v>
      </c>
      <c r="L94" s="13" t="str">
        <f t="shared" si="5"/>
        <v>sc7</v>
      </c>
      <c r="M94" s="13" t="str">
        <f t="shared" si="5"/>
        <v>sc8</v>
      </c>
      <c r="N94" s="13" t="str">
        <f t="shared" si="5"/>
        <v>sc9</v>
      </c>
      <c r="O94" s="13" t="str">
        <f t="shared" si="5"/>
        <v>sc10</v>
      </c>
      <c r="P94" s="13" t="str">
        <f t="shared" si="5"/>
        <v>sc11</v>
      </c>
      <c r="Q94" s="13" t="str">
        <f t="shared" si="5"/>
        <v>sc12</v>
      </c>
      <c r="R94" s="13" t="str">
        <f t="shared" si="5"/>
        <v>sc13</v>
      </c>
      <c r="S94" s="13" t="str">
        <f t="shared" si="5"/>
        <v>sc14</v>
      </c>
      <c r="T94" s="13" t="str">
        <f t="shared" si="5"/>
        <v>sc15</v>
      </c>
      <c r="U94" s="13" t="str">
        <f t="shared" si="5"/>
        <v>sc16</v>
      </c>
      <c r="V94" s="13" t="str">
        <f t="shared" si="5"/>
        <v>sc17</v>
      </c>
      <c r="W94" s="13" t="str">
        <f t="shared" si="5"/>
        <v>sc18</v>
      </c>
      <c r="X94" s="13" t="str">
        <f t="shared" si="5"/>
        <v>sc19</v>
      </c>
      <c r="Y94" s="13" t="str">
        <f t="shared" si="5"/>
        <v>sc20</v>
      </c>
    </row>
    <row r="95" spans="1:25" x14ac:dyDescent="0.25">
      <c r="C95" s="12" t="str">
        <f>'Model-1'!N49</f>
        <v>Indtægter total</v>
      </c>
      <c r="D95" s="12" t="str">
        <f>_xlfn.LET(_xlpm.label,'Model-1'!O49,IF(ISBLANK(_xlpm.label),"",_xlpm.label))</f>
        <v>tkr</v>
      </c>
      <c r="E95" s="16">
        <v>15652263.443326186</v>
      </c>
      <c r="F95" s="16">
        <v>16181783.291652784</v>
      </c>
      <c r="G95" s="16">
        <v>16136225.467580173</v>
      </c>
      <c r="H95" s="16">
        <v>16091597.39501925</v>
      </c>
      <c r="I95" s="16">
        <v>16047870.899681777</v>
      </c>
      <c r="J95" s="16">
        <v>16005018.934251055</v>
      </c>
      <c r="K95" s="16">
        <v>15963015.522591241</v>
      </c>
      <c r="L95" s="16">
        <v>15921835.707238479</v>
      </c>
      <c r="M95" s="16">
        <v>16082049.301761795</v>
      </c>
      <c r="N95" s="16">
        <v>16042445.636921976</v>
      </c>
      <c r="O95" s="16">
        <v>16003596.327602914</v>
      </c>
      <c r="P95" s="16">
        <v>15965480.024120061</v>
      </c>
      <c r="Q95" s="16">
        <v>15928076.174907915</v>
      </c>
      <c r="R95" s="16">
        <v>15891364.98957007</v>
      </c>
      <c r="S95" s="16">
        <v>15855327.403963193</v>
      </c>
      <c r="T95" s="16">
        <v>15819945.047185535</v>
      </c>
      <c r="U95" s="16">
        <v>15785200.210349813</v>
      </c>
      <c r="V95" s="16">
        <v>15751075.817029016</v>
      </c>
      <c r="W95" s="16">
        <v>15717555.39527142</v>
      </c>
      <c r="X95" s="16">
        <v>15684623.051088518</v>
      </c>
      <c r="Y95" s="16">
        <v>15652263.443326186</v>
      </c>
    </row>
    <row r="96" spans="1:25" x14ac:dyDescent="0.25">
      <c r="C96" s="12" t="str">
        <f>'Model-1'!N50</f>
        <v>Omkostninger total</v>
      </c>
      <c r="D96" s="12" t="str">
        <f>_xlfn.LET(_xlpm.label,'Model-1'!O50,IF(ISBLANK(_xlpm.label),"",_xlpm.label))</f>
        <v>tkr</v>
      </c>
      <c r="E96" s="16">
        <v>7571194.7616575705</v>
      </c>
      <c r="F96" s="16">
        <v>7852727.10090937</v>
      </c>
      <c r="G96" s="16">
        <v>7835081.9157811292</v>
      </c>
      <c r="H96" s="16">
        <v>7817805.4208600298</v>
      </c>
      <c r="I96" s="16">
        <v>7800886.4437155491</v>
      </c>
      <c r="J96" s="16">
        <v>7784314.2588143907</v>
      </c>
      <c r="K96" s="16">
        <v>7768078.5653968509</v>
      </c>
      <c r="L96" s="16">
        <v>7752169.4666545894</v>
      </c>
      <c r="M96" s="16">
        <v>7736577.4501213348</v>
      </c>
      <c r="N96" s="16">
        <v>7721293.3691949034</v>
      </c>
      <c r="O96" s="16">
        <v>7706308.4257151028</v>
      </c>
      <c r="P96" s="16">
        <v>7691614.1535277804</v>
      </c>
      <c r="Q96" s="16">
        <v>7677202.4029705329</v>
      </c>
      <c r="R96" s="16">
        <v>7663065.326220301</v>
      </c>
      <c r="S96" s="16">
        <v>7649195.3634475321</v>
      </c>
      <c r="T96" s="16">
        <v>7635585.2297255732</v>
      </c>
      <c r="U96" s="16">
        <v>7622227.9026476396</v>
      </c>
      <c r="V96" s="16">
        <v>7609116.6106071994</v>
      </c>
      <c r="W96" s="16">
        <v>7596244.8217006</v>
      </c>
      <c r="X96" s="16">
        <v>7583606.2332137935</v>
      </c>
      <c r="Y96" s="16">
        <v>7571194.7616575705</v>
      </c>
    </row>
    <row r="97" spans="3:26" x14ac:dyDescent="0.25">
      <c r="C97" s="12" t="str">
        <f>'Model-1'!N51</f>
        <v>Dækningsbidrag</v>
      </c>
      <c r="D97" s="12" t="str">
        <f>_xlfn.LET(_xlpm.label,'Model-1'!O51,IF(ISBLANK(_xlpm.label),"",_xlpm.label))</f>
        <v>tkr</v>
      </c>
      <c r="E97" s="16">
        <v>8081068.6816686159</v>
      </c>
      <c r="F97" s="16">
        <v>8329056.1907434138</v>
      </c>
      <c r="G97" s="16">
        <v>8301143.551799044</v>
      </c>
      <c r="H97" s="16">
        <v>8273791.9741592202</v>
      </c>
      <c r="I97" s="16">
        <v>8246984.4559662277</v>
      </c>
      <c r="J97" s="16">
        <v>8220704.6754366644</v>
      </c>
      <c r="K97" s="16">
        <v>8194936.9571943898</v>
      </c>
      <c r="L97" s="16">
        <v>8169666.2405838892</v>
      </c>
      <c r="M97" s="16">
        <v>8345471.8516404601</v>
      </c>
      <c r="N97" s="16">
        <v>8321152.2677270724</v>
      </c>
      <c r="O97" s="16">
        <v>8297287.9018878108</v>
      </c>
      <c r="P97" s="16">
        <v>8273865.8705922803</v>
      </c>
      <c r="Q97" s="16">
        <v>8250873.7719373824</v>
      </c>
      <c r="R97" s="16">
        <v>8228299.6633497691</v>
      </c>
      <c r="S97" s="16">
        <v>8206132.0405156612</v>
      </c>
      <c r="T97" s="16">
        <v>8184359.8174599614</v>
      </c>
      <c r="U97" s="16">
        <v>8162972.3077021735</v>
      </c>
      <c r="V97" s="16">
        <v>8141959.2064218167</v>
      </c>
      <c r="W97" s="16">
        <v>8121310.5735708205</v>
      </c>
      <c r="X97" s="16">
        <v>8101016.817874724</v>
      </c>
      <c r="Y97" s="16">
        <v>8081068.6816686159</v>
      </c>
    </row>
    <row r="98" spans="3:26" x14ac:dyDescent="0.25">
      <c r="C98" s="2"/>
      <c r="D98" s="12" t="str">
        <f>_xlfn.LET(_xlpm.label,'Model-1'!O52,IF(ISBLANK(_xlpm.label),"",_xlpm.label))</f>
        <v/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</row>
    <row r="99" spans="3:26" x14ac:dyDescent="0.25">
      <c r="C99" s="12" t="str">
        <f>'Model-1'!N53</f>
        <v>Varmesalg</v>
      </c>
      <c r="D99" s="12" t="str">
        <f>_xlfn.LET(_xlpm.label,'Model-1'!O53,IF(ISBLANK(_xlpm.label),"",_xlpm.label))</f>
        <v>tkr</v>
      </c>
      <c r="E99" s="15">
        <v>7464000</v>
      </c>
      <c r="F99" s="15">
        <v>7464000</v>
      </c>
      <c r="G99" s="15">
        <v>7464000</v>
      </c>
      <c r="H99" s="15">
        <v>7464000</v>
      </c>
      <c r="I99" s="15">
        <v>7464000</v>
      </c>
      <c r="J99" s="15">
        <v>7464000</v>
      </c>
      <c r="K99" s="15">
        <v>7464000</v>
      </c>
      <c r="L99" s="15">
        <v>7464000</v>
      </c>
      <c r="M99" s="15">
        <v>7464000</v>
      </c>
      <c r="N99" s="15">
        <v>7464000</v>
      </c>
      <c r="O99" s="15">
        <v>7464000</v>
      </c>
      <c r="P99" s="15">
        <v>7464000</v>
      </c>
      <c r="Q99" s="15">
        <v>7464000</v>
      </c>
      <c r="R99" s="15">
        <v>7464000</v>
      </c>
      <c r="S99" s="15">
        <v>7464000</v>
      </c>
      <c r="T99" s="15">
        <v>7464000</v>
      </c>
      <c r="U99" s="15">
        <v>7464000</v>
      </c>
      <c r="V99" s="15">
        <v>7464000</v>
      </c>
      <c r="W99" s="15">
        <v>7464000</v>
      </c>
      <c r="X99" s="15">
        <v>7464000</v>
      </c>
      <c r="Y99" s="15">
        <v>7464000</v>
      </c>
    </row>
    <row r="100" spans="3:26" x14ac:dyDescent="0.25">
      <c r="C100" s="12" t="str">
        <f>'Model-1'!N54</f>
        <v>Elsalg</v>
      </c>
      <c r="D100" s="12" t="str">
        <f>_xlfn.LET(_xlpm.label,'Model-1'!O54,IF(ISBLANK(_xlpm.label),"",_xlpm.label))</f>
        <v>tkr</v>
      </c>
      <c r="E100" s="15">
        <v>3947332.4512195126</v>
      </c>
      <c r="F100" s="15">
        <v>3947332.4512195117</v>
      </c>
      <c r="G100" s="15">
        <v>3947332.4512195126</v>
      </c>
      <c r="H100" s="15">
        <v>3947332.4512195117</v>
      </c>
      <c r="I100" s="15">
        <v>3947332.4512195126</v>
      </c>
      <c r="J100" s="15">
        <v>3947332.4512195126</v>
      </c>
      <c r="K100" s="15">
        <v>3947332.4512195126</v>
      </c>
      <c r="L100" s="15">
        <v>3947332.4512195126</v>
      </c>
      <c r="M100" s="15">
        <v>3947332.4512195126</v>
      </c>
      <c r="N100" s="15">
        <v>3947332.4512195126</v>
      </c>
      <c r="O100" s="15">
        <v>3947332.4512195126</v>
      </c>
      <c r="P100" s="15">
        <v>3947332.4512195117</v>
      </c>
      <c r="Q100" s="15">
        <v>3947332.4512195126</v>
      </c>
      <c r="R100" s="15">
        <v>3947332.4512195126</v>
      </c>
      <c r="S100" s="15">
        <v>3947332.4512195126</v>
      </c>
      <c r="T100" s="15">
        <v>3947332.4512195126</v>
      </c>
      <c r="U100" s="15">
        <v>3947332.4512195126</v>
      </c>
      <c r="V100" s="15">
        <v>3947332.4512195126</v>
      </c>
      <c r="W100" s="15">
        <v>3947332.4512195126</v>
      </c>
      <c r="X100" s="15">
        <v>3947332.4512195126</v>
      </c>
      <c r="Y100" s="15">
        <v>3947332.4512195126</v>
      </c>
    </row>
    <row r="101" spans="3:26" x14ac:dyDescent="0.25">
      <c r="C101" s="12" t="str">
        <f>'Model-1'!N55</f>
        <v>RGK-rabat</v>
      </c>
      <c r="D101" s="12" t="str">
        <f>_xlfn.LET(_xlpm.label,'Model-1'!O55,IF(ISBLANK(_xlpm.label),"",_xlpm.label))</f>
        <v>tkr</v>
      </c>
      <c r="E101" s="15">
        <v>200593.80181097562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200593.80181097562</v>
      </c>
      <c r="N101" s="15">
        <v>200593.80181097562</v>
      </c>
      <c r="O101" s="15">
        <v>200593.80181097562</v>
      </c>
      <c r="P101" s="15">
        <v>200593.80181097562</v>
      </c>
      <c r="Q101" s="15">
        <v>200593.80181097562</v>
      </c>
      <c r="R101" s="15">
        <v>200593.80181097562</v>
      </c>
      <c r="S101" s="15">
        <v>200593.80181097562</v>
      </c>
      <c r="T101" s="15">
        <v>200593.80181097562</v>
      </c>
      <c r="U101" s="15">
        <v>200593.80181097562</v>
      </c>
      <c r="V101" s="15">
        <v>200593.80181097562</v>
      </c>
      <c r="W101" s="15">
        <v>200593.80181097562</v>
      </c>
      <c r="X101" s="15">
        <v>200593.80181097562</v>
      </c>
      <c r="Y101" s="15">
        <v>200593.80181097562</v>
      </c>
    </row>
    <row r="102" spans="3:26" x14ac:dyDescent="0.25">
      <c r="C102" s="12" t="str">
        <f>'Model-1'!N56</f>
        <v>Modtagebetaling affald</v>
      </c>
      <c r="D102" s="12" t="str">
        <f>_xlfn.LET(_xlpm.label,'Model-1'!O56,IF(ISBLANK(_xlpm.label),"",_xlpm.label))</f>
        <v>tkr</v>
      </c>
      <c r="E102" s="15">
        <v>4040337.1902956986</v>
      </c>
      <c r="F102" s="15">
        <v>4770450.8404332725</v>
      </c>
      <c r="G102" s="15">
        <v>4724893.0163606619</v>
      </c>
      <c r="H102" s="15">
        <v>4680264.9437997378</v>
      </c>
      <c r="I102" s="15">
        <v>4636538.4484622655</v>
      </c>
      <c r="J102" s="15">
        <v>4593686.4830315439</v>
      </c>
      <c r="K102" s="15">
        <v>4551683.0713717276</v>
      </c>
      <c r="L102" s="15">
        <v>4510503.2560189664</v>
      </c>
      <c r="M102" s="15">
        <v>4470123.0487313075</v>
      </c>
      <c r="N102" s="15">
        <v>4430519.3838914875</v>
      </c>
      <c r="O102" s="15">
        <v>4391670.0745724253</v>
      </c>
      <c r="P102" s="15">
        <v>4353553.7710895725</v>
      </c>
      <c r="Q102" s="15">
        <v>4316149.921877428</v>
      </c>
      <c r="R102" s="15">
        <v>4279438.7365395827</v>
      </c>
      <c r="S102" s="15">
        <v>4243401.150932706</v>
      </c>
      <c r="T102" s="15">
        <v>4208018.7941550463</v>
      </c>
      <c r="U102" s="15">
        <v>4173273.9573193248</v>
      </c>
      <c r="V102" s="15">
        <v>4139149.5639985283</v>
      </c>
      <c r="W102" s="15">
        <v>4105629.1422409313</v>
      </c>
      <c r="X102" s="15">
        <v>4072696.7980580288</v>
      </c>
      <c r="Y102" s="15">
        <v>4040337.1902956986</v>
      </c>
    </row>
    <row r="103" spans="3:26" x14ac:dyDescent="0.25">
      <c r="C103" s="12"/>
      <c r="D103" s="12" t="str">
        <f>_xlfn.LET(_xlpm.label,'Model-1'!O57,IF(ISBLANK(_xlpm.label),"",_xlpm.label))</f>
        <v/>
      </c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3:26" x14ac:dyDescent="0.25">
      <c r="C104" s="12" t="str">
        <f>'Model-1'!N58</f>
        <v>Betaling bioaffald</v>
      </c>
      <c r="D104" s="12" t="str">
        <f>_xlfn.LET(_xlpm.label,'Model-1'!O58,IF(ISBLANK(_xlpm.label),"",_xlpm.label))</f>
        <v>tkr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</row>
    <row r="105" spans="3:26" x14ac:dyDescent="0.25">
      <c r="C105" s="12" t="str">
        <f>'Model-1'!N59</f>
        <v>DV-omkostninger</v>
      </c>
      <c r="D105" s="12" t="str">
        <f>_xlfn.LET(_xlpm.label,'Model-1'!O59,IF(ISBLANK(_xlpm.label),"",_xlpm.label))</f>
        <v>tkr</v>
      </c>
      <c r="E105" s="15">
        <v>1099354.221690486</v>
      </c>
      <c r="F105" s="15">
        <v>1051970.3615553097</v>
      </c>
      <c r="G105" s="15">
        <v>1054848.9761717804</v>
      </c>
      <c r="H105" s="15">
        <v>1057677.4279393763</v>
      </c>
      <c r="I105" s="15">
        <v>1060457.236944427</v>
      </c>
      <c r="J105" s="15">
        <v>1063189.8624698089</v>
      </c>
      <c r="K105" s="15">
        <v>1065876.7060050168</v>
      </c>
      <c r="L105" s="15">
        <v>1068519.1140791739</v>
      </c>
      <c r="M105" s="15">
        <v>1071118.3809290098</v>
      </c>
      <c r="N105" s="15">
        <v>1073675.7510129178</v>
      </c>
      <c r="O105" s="15">
        <v>1076192.4213813539</v>
      </c>
      <c r="P105" s="15">
        <v>1078669.5439130571</v>
      </c>
      <c r="Q105" s="15">
        <v>1081108.22742588</v>
      </c>
      <c r="R105" s="15">
        <v>1083509.5396703472</v>
      </c>
      <c r="S105" s="15">
        <v>1085874.5092134776</v>
      </c>
      <c r="T105" s="15">
        <v>1088204.127219853</v>
      </c>
      <c r="U105" s="15">
        <v>1090499.3491364126</v>
      </c>
      <c r="V105" s="15">
        <v>1092761.0962869911</v>
      </c>
      <c r="W105" s="15">
        <v>1094990.2573821894</v>
      </c>
      <c r="X105" s="15">
        <v>1097187.6899497809</v>
      </c>
      <c r="Y105" s="15">
        <v>1099354.221690486</v>
      </c>
    </row>
    <row r="106" spans="3:26" x14ac:dyDescent="0.25">
      <c r="C106" s="12" t="str">
        <f>'Model-1'!N60</f>
        <v>Affaldvarme-afgift</v>
      </c>
      <c r="D106" s="12" t="str">
        <f>_xlfn.LET(_xlpm.label,'Model-1'!O60,IF(ISBLANK(_xlpm.label),"",_xlpm.label))</f>
        <v>tkr</v>
      </c>
      <c r="E106" s="15">
        <v>2229120</v>
      </c>
      <c r="F106" s="15">
        <v>2229120</v>
      </c>
      <c r="G106" s="15">
        <v>2229120</v>
      </c>
      <c r="H106" s="15">
        <v>2229120</v>
      </c>
      <c r="I106" s="15">
        <v>2229120</v>
      </c>
      <c r="J106" s="15">
        <v>2229120</v>
      </c>
      <c r="K106" s="15">
        <v>2229120</v>
      </c>
      <c r="L106" s="15">
        <v>2229120</v>
      </c>
      <c r="M106" s="15">
        <v>2229120</v>
      </c>
      <c r="N106" s="15">
        <v>2229120</v>
      </c>
      <c r="O106" s="15">
        <v>2229120</v>
      </c>
      <c r="P106" s="15">
        <v>2229120</v>
      </c>
      <c r="Q106" s="15">
        <v>2229120</v>
      </c>
      <c r="R106" s="15">
        <v>2229120</v>
      </c>
      <c r="S106" s="15">
        <v>2229120</v>
      </c>
      <c r="T106" s="15">
        <v>2229120</v>
      </c>
      <c r="U106" s="15">
        <v>2229120</v>
      </c>
      <c r="V106" s="15">
        <v>2229120</v>
      </c>
      <c r="W106" s="15">
        <v>2229120</v>
      </c>
      <c r="X106" s="15">
        <v>2229120</v>
      </c>
      <c r="Y106" s="15">
        <v>2229120</v>
      </c>
    </row>
    <row r="107" spans="3:26" x14ac:dyDescent="0.25">
      <c r="C107" s="12" t="str">
        <f>'Model-1'!N61</f>
        <v>Tillægsafgift</v>
      </c>
      <c r="D107" s="12" t="str">
        <f>_xlfn.LET(_xlpm.label,'Model-1'!O61,IF(ISBLANK(_xlpm.label),"",_xlpm.label))</f>
        <v>tkr</v>
      </c>
      <c r="E107" s="16">
        <v>2005938.0181097561</v>
      </c>
      <c r="F107" s="16">
        <v>2005938.0181097561</v>
      </c>
      <c r="G107" s="16">
        <v>2005938.0181097561</v>
      </c>
      <c r="H107" s="16">
        <v>2005938.0181097561</v>
      </c>
      <c r="I107" s="16">
        <v>2005938.0181097561</v>
      </c>
      <c r="J107" s="16">
        <v>2005938.0181097561</v>
      </c>
      <c r="K107" s="16">
        <v>2005938.0181097561</v>
      </c>
      <c r="L107" s="16">
        <v>2005938.0181097561</v>
      </c>
      <c r="M107" s="16">
        <v>2005938.0181097561</v>
      </c>
      <c r="N107" s="16">
        <v>2005938.0181097561</v>
      </c>
      <c r="O107" s="16">
        <v>2005938.0181097561</v>
      </c>
      <c r="P107" s="16">
        <v>2005938.0181097561</v>
      </c>
      <c r="Q107" s="16">
        <v>2005938.0181097561</v>
      </c>
      <c r="R107" s="16">
        <v>2005938.0181097561</v>
      </c>
      <c r="S107" s="16">
        <v>2005938.0181097561</v>
      </c>
      <c r="T107" s="16">
        <v>2005938.0181097561</v>
      </c>
      <c r="U107" s="16">
        <v>2005938.0181097561</v>
      </c>
      <c r="V107" s="16">
        <v>2005938.0181097561</v>
      </c>
      <c r="W107" s="16">
        <v>2005938.0181097561</v>
      </c>
      <c r="X107" s="16">
        <v>2005938.0181097561</v>
      </c>
      <c r="Y107" s="16">
        <v>2005938.0181097561</v>
      </c>
    </row>
    <row r="108" spans="3:26" x14ac:dyDescent="0.25">
      <c r="C108" s="12" t="str">
        <f>'Model-1'!N62</f>
        <v>CO2-afgift</v>
      </c>
      <c r="D108" s="12" t="str">
        <f>_xlfn.LET(_xlpm.label,'Model-1'!O62,IF(ISBLANK(_xlpm.label),"",_xlpm.label))</f>
        <v>tkr</v>
      </c>
      <c r="E108" s="16">
        <v>416610.61762911582</v>
      </c>
      <c r="F108" s="16">
        <v>416610.61762911582</v>
      </c>
      <c r="G108" s="16">
        <v>416610.61762911582</v>
      </c>
      <c r="H108" s="16">
        <v>416610.61762911582</v>
      </c>
      <c r="I108" s="16">
        <v>416610.61762911582</v>
      </c>
      <c r="J108" s="16">
        <v>416610.61762911582</v>
      </c>
      <c r="K108" s="16">
        <v>416610.61762911582</v>
      </c>
      <c r="L108" s="16">
        <v>416610.61762911582</v>
      </c>
      <c r="M108" s="16">
        <v>416610.61762911582</v>
      </c>
      <c r="N108" s="16">
        <v>416610.61762911582</v>
      </c>
      <c r="O108" s="16">
        <v>416610.61762911582</v>
      </c>
      <c r="P108" s="16">
        <v>416610.61762911582</v>
      </c>
      <c r="Q108" s="16">
        <v>416610.61762911582</v>
      </c>
      <c r="R108" s="16">
        <v>416610.61762911582</v>
      </c>
      <c r="S108" s="16">
        <v>416610.61762911582</v>
      </c>
      <c r="T108" s="16">
        <v>416610.61762911582</v>
      </c>
      <c r="U108" s="16">
        <v>416610.61762911582</v>
      </c>
      <c r="V108" s="16">
        <v>416610.61762911582</v>
      </c>
      <c r="W108" s="16">
        <v>416610.61762911582</v>
      </c>
      <c r="X108" s="16">
        <v>416610.61762911582</v>
      </c>
      <c r="Y108" s="16">
        <v>416610.61762911582</v>
      </c>
    </row>
    <row r="109" spans="3:26" x14ac:dyDescent="0.25">
      <c r="C109" s="12" t="str">
        <f>'Model-1'!N63</f>
        <v>Kvote-omkostning</v>
      </c>
      <c r="D109" s="12" t="str">
        <f>_xlfn.LET(_xlpm.label,'Model-1'!O63,IF(ISBLANK(_xlpm.label),"",_xlpm.label))</f>
        <v>tkr</v>
      </c>
      <c r="E109" s="16">
        <v>1820171.9042282121</v>
      </c>
      <c r="F109" s="16">
        <v>2149088.103615189</v>
      </c>
      <c r="G109" s="16">
        <v>2128564.3038704782</v>
      </c>
      <c r="H109" s="16">
        <v>2108459.3571817814</v>
      </c>
      <c r="I109" s="16">
        <v>2088760.5710322505</v>
      </c>
      <c r="J109" s="16">
        <v>2069455.7606057106</v>
      </c>
      <c r="K109" s="16">
        <v>2050533.2236529631</v>
      </c>
      <c r="L109" s="16">
        <v>2031981.7168365442</v>
      </c>
      <c r="M109" s="16">
        <v>2013790.4334534537</v>
      </c>
      <c r="N109" s="16">
        <v>1995948.9824431147</v>
      </c>
      <c r="O109" s="16">
        <v>1978447.3685948777</v>
      </c>
      <c r="P109" s="16">
        <v>1961275.9738758523</v>
      </c>
      <c r="Q109" s="16">
        <v>1944425.5398057813</v>
      </c>
      <c r="R109" s="16">
        <v>1927887.150811082</v>
      </c>
      <c r="S109" s="16">
        <v>1911652.2184951839</v>
      </c>
      <c r="T109" s="16">
        <v>1895712.466766848</v>
      </c>
      <c r="U109" s="16">
        <v>1880059.9177723557</v>
      </c>
      <c r="V109" s="16">
        <v>1864686.8785813369</v>
      </c>
      <c r="W109" s="16">
        <v>1849585.9285795393</v>
      </c>
      <c r="X109" s="16">
        <v>1834749.907525142</v>
      </c>
      <c r="Y109" s="16">
        <v>1820171.9042282121</v>
      </c>
    </row>
    <row r="110" spans="3:26" x14ac:dyDescent="0.25">
      <c r="C110" s="12"/>
      <c r="D110" s="12" t="str">
        <f>_xlfn.LET(_xlpm.label,'Model-1'!O64,IF(ISBLANK(_xlpm.label),"",_xlpm.label))</f>
        <v/>
      </c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</row>
    <row r="111" spans="3:26" x14ac:dyDescent="0.25">
      <c r="C111" s="6" t="str">
        <f>'Model-1'!N65</f>
        <v>Varmemængder:</v>
      </c>
      <c r="D111" s="12" t="str">
        <f>_xlfn.LET(_xlpm.label,'Model-1'!O65,IF(ISBLANK(_xlpm.label),"",_xlpm.label))</f>
        <v/>
      </c>
      <c r="E111" s="91" t="s">
        <v>237</v>
      </c>
      <c r="F111" s="91" t="s">
        <v>238</v>
      </c>
      <c r="G111" s="91" t="s">
        <v>239</v>
      </c>
      <c r="H111" s="91" t="s">
        <v>240</v>
      </c>
      <c r="I111" s="91" t="s">
        <v>241</v>
      </c>
      <c r="J111" s="91" t="s">
        <v>242</v>
      </c>
      <c r="K111" s="91" t="s">
        <v>243</v>
      </c>
      <c r="L111" s="91" t="s">
        <v>244</v>
      </c>
      <c r="M111" s="91" t="s">
        <v>245</v>
      </c>
      <c r="N111" s="91" t="s">
        <v>246</v>
      </c>
      <c r="O111" s="91" t="s">
        <v>247</v>
      </c>
      <c r="P111" s="91" t="s">
        <v>248</v>
      </c>
      <c r="Q111" s="91" t="s">
        <v>249</v>
      </c>
      <c r="R111" s="91" t="s">
        <v>250</v>
      </c>
      <c r="S111" s="91" t="s">
        <v>251</v>
      </c>
      <c r="T111" s="91" t="s">
        <v>252</v>
      </c>
      <c r="U111" s="91" t="s">
        <v>253</v>
      </c>
      <c r="V111" s="91" t="s">
        <v>254</v>
      </c>
      <c r="W111" s="91" t="s">
        <v>255</v>
      </c>
      <c r="X111" s="91" t="s">
        <v>256</v>
      </c>
      <c r="Y111" s="91" t="s">
        <v>237</v>
      </c>
    </row>
    <row r="112" spans="3:26" x14ac:dyDescent="0.25">
      <c r="C112" s="4" t="str">
        <f>'Model-1'!N66</f>
        <v>Varmeproduktion Ovn2</v>
      </c>
      <c r="D112" s="12" t="str">
        <f>_xlfn.LET(_xlpm.label,'Model-1'!O66,IF(ISBLANK(_xlpm.label),"",_xlpm.label))</f>
        <v>MWhq</v>
      </c>
      <c r="E112" s="11">
        <v>3168</v>
      </c>
      <c r="F112" s="11">
        <v>7055.4000000000015</v>
      </c>
      <c r="G112" s="11">
        <v>6850.7999999999993</v>
      </c>
      <c r="H112" s="11">
        <v>6646.2000000000007</v>
      </c>
      <c r="I112" s="11">
        <v>6441.5999999999985</v>
      </c>
      <c r="J112" s="11">
        <v>6237</v>
      </c>
      <c r="K112" s="11">
        <v>6032.4000000000015</v>
      </c>
      <c r="L112" s="11">
        <v>5827.7999999999993</v>
      </c>
      <c r="M112" s="11">
        <v>5623.2000000000007</v>
      </c>
      <c r="N112" s="11">
        <v>5418.5999999999985</v>
      </c>
      <c r="O112" s="11">
        <v>5214</v>
      </c>
      <c r="P112" s="11">
        <v>5009.4000000000015</v>
      </c>
      <c r="Q112" s="11">
        <v>4804.7999999999993</v>
      </c>
      <c r="R112" s="11">
        <v>4600.2000000000007</v>
      </c>
      <c r="S112" s="11">
        <v>4395.5999999999985</v>
      </c>
      <c r="T112" s="11">
        <v>4191</v>
      </c>
      <c r="U112" s="11">
        <v>3986.4000000000015</v>
      </c>
      <c r="V112" s="11">
        <v>3781.7999999999993</v>
      </c>
      <c r="W112" s="11">
        <v>3577.2000000000007</v>
      </c>
      <c r="X112" s="11">
        <v>3372.5999999999985</v>
      </c>
      <c r="Y112" s="11">
        <v>3168</v>
      </c>
      <c r="Z112" s="16"/>
    </row>
    <row r="113" spans="3:26" x14ac:dyDescent="0.25">
      <c r="C113" s="4" t="str">
        <f>'Model-1'!N67</f>
        <v>Varmeproduktion Ovn3</v>
      </c>
      <c r="D113" s="12" t="str">
        <f>_xlfn.LET(_xlpm.label,'Model-1'!O67,IF(ISBLANK(_xlpm.label),"",_xlpm.label))</f>
        <v>MWhq</v>
      </c>
      <c r="E113" s="11">
        <v>20832</v>
      </c>
      <c r="F113" s="11">
        <v>16944.599999999999</v>
      </c>
      <c r="G113" s="11">
        <v>17149.2</v>
      </c>
      <c r="H113" s="11">
        <v>17353.8</v>
      </c>
      <c r="I113" s="11">
        <v>17558.400000000001</v>
      </c>
      <c r="J113" s="11">
        <v>17763</v>
      </c>
      <c r="K113" s="11">
        <v>17967.599999999999</v>
      </c>
      <c r="L113" s="11">
        <v>18172.2</v>
      </c>
      <c r="M113" s="11">
        <v>18376.8</v>
      </c>
      <c r="N113" s="11">
        <v>18581.400000000001</v>
      </c>
      <c r="O113" s="11">
        <v>18786</v>
      </c>
      <c r="P113" s="11">
        <v>18990.599999999999</v>
      </c>
      <c r="Q113" s="11">
        <v>19195.2</v>
      </c>
      <c r="R113" s="11">
        <v>19399.8</v>
      </c>
      <c r="S113" s="11">
        <v>19604.400000000001</v>
      </c>
      <c r="T113" s="11">
        <v>19809</v>
      </c>
      <c r="U113" s="11">
        <v>20013.599999999999</v>
      </c>
      <c r="V113" s="11">
        <v>20218.2</v>
      </c>
      <c r="W113" s="11">
        <v>20422.8</v>
      </c>
      <c r="X113" s="11">
        <v>20627.400000000001</v>
      </c>
      <c r="Y113" s="11">
        <v>20832</v>
      </c>
      <c r="Z113" s="16"/>
    </row>
    <row r="114" spans="3:26" x14ac:dyDescent="0.25">
      <c r="C114" s="4" t="str">
        <f>'Model-1'!N68</f>
        <v>Heraf RGK-varme</v>
      </c>
      <c r="D114" s="12" t="str">
        <f>_xlfn.LET(_xlpm.label,'Model-1'!O68,IF(ISBLANK(_xlpm.label),"",_xlpm.label))</f>
        <v>MWhq</v>
      </c>
      <c r="E114" s="11">
        <v>5031.4221690485911</v>
      </c>
      <c r="F114" s="11">
        <v>293.03615553098348</v>
      </c>
      <c r="G114" s="11">
        <v>580.89761717804538</v>
      </c>
      <c r="H114" s="11">
        <v>863.74279393763243</v>
      </c>
      <c r="I114" s="11">
        <v>1141.7236944426982</v>
      </c>
      <c r="J114" s="11">
        <v>1414.9862469808784</v>
      </c>
      <c r="K114" s="11">
        <v>1683.6706005016847</v>
      </c>
      <c r="L114" s="11">
        <v>1947.9114079173924</v>
      </c>
      <c r="M114" s="11">
        <v>2207.8380929009663</v>
      </c>
      <c r="N114" s="11">
        <v>2463.5751012917935</v>
      </c>
      <c r="O114" s="11">
        <v>2715.242138135382</v>
      </c>
      <c r="P114" s="11">
        <v>2962.95439130571</v>
      </c>
      <c r="Q114" s="11">
        <v>3206.8227425880104</v>
      </c>
      <c r="R114" s="11">
        <v>3446.9539670347258</v>
      </c>
      <c r="S114" s="11">
        <v>3683.4509213477545</v>
      </c>
      <c r="T114" s="11">
        <v>3916.4127219852894</v>
      </c>
      <c r="U114" s="11">
        <v>4145.9349136412611</v>
      </c>
      <c r="V114" s="11">
        <v>4372.1096286991033</v>
      </c>
      <c r="W114" s="11">
        <v>4595.0257382189448</v>
      </c>
      <c r="X114" s="11">
        <v>4814.7689949781015</v>
      </c>
      <c r="Y114" s="11">
        <v>5031.4221690485911</v>
      </c>
      <c r="Z114" s="16"/>
    </row>
    <row r="115" spans="3:26" x14ac:dyDescent="0.25">
      <c r="C115" s="4" t="str">
        <f>'Model-1'!N69</f>
        <v>Bortkølet varme</v>
      </c>
      <c r="D115" s="12" t="str">
        <f>_xlfn.LET(_xlpm.label,'Model-1'!O69,IF(ISBLANK(_xlpm.label),"",_xlpm.label))</f>
        <v>MWhq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3"/>
    </row>
    <row r="116" spans="3:26" x14ac:dyDescent="0.25">
      <c r="C116" s="4" t="str">
        <f>'Model-1'!N70</f>
        <v>Leveret affaldsvarme</v>
      </c>
      <c r="D116" s="12" t="str">
        <f>_xlfn.LET(_xlpm.label,'Model-1'!O70,IF(ISBLANK(_xlpm.label),"",_xlpm.label))</f>
        <v>MWhq</v>
      </c>
      <c r="E116" s="11">
        <v>24000</v>
      </c>
      <c r="F116" s="11">
        <v>24000</v>
      </c>
      <c r="G116" s="11">
        <v>24000</v>
      </c>
      <c r="H116" s="11">
        <v>24000</v>
      </c>
      <c r="I116" s="11">
        <v>24000</v>
      </c>
      <c r="J116" s="11">
        <v>24000</v>
      </c>
      <c r="K116" s="11">
        <v>24000</v>
      </c>
      <c r="L116" s="11">
        <v>24000</v>
      </c>
      <c r="M116" s="11">
        <v>24000</v>
      </c>
      <c r="N116" s="11">
        <v>24000</v>
      </c>
      <c r="O116" s="11">
        <v>24000</v>
      </c>
      <c r="P116" s="11">
        <v>24000</v>
      </c>
      <c r="Q116" s="11">
        <v>24000</v>
      </c>
      <c r="R116" s="11">
        <v>24000</v>
      </c>
      <c r="S116" s="11">
        <v>24000</v>
      </c>
      <c r="T116" s="11">
        <v>24000</v>
      </c>
      <c r="U116" s="11">
        <v>24000</v>
      </c>
      <c r="V116" s="11">
        <v>24000</v>
      </c>
      <c r="W116" s="11">
        <v>24000</v>
      </c>
      <c r="X116" s="11">
        <v>24000</v>
      </c>
      <c r="Y116" s="11">
        <v>24000</v>
      </c>
      <c r="Z116" s="15"/>
    </row>
    <row r="117" spans="3:26" x14ac:dyDescent="0.25">
      <c r="C117" s="4" t="str">
        <f>'Model-1'!N71</f>
        <v>Spidslastvarme</v>
      </c>
      <c r="D117" s="12" t="str">
        <f>_xlfn.LET(_xlpm.label,'Model-1'!O71,IF(ISBLANK(_xlpm.label),"",_xlpm.label))</f>
        <v>MWhq</v>
      </c>
      <c r="E117" s="11">
        <v>4000</v>
      </c>
      <c r="F117" s="11">
        <v>4000</v>
      </c>
      <c r="G117" s="11">
        <v>4000</v>
      </c>
      <c r="H117" s="11">
        <v>4000</v>
      </c>
      <c r="I117" s="11">
        <v>4000</v>
      </c>
      <c r="J117" s="11">
        <v>4000</v>
      </c>
      <c r="K117" s="11">
        <v>4000</v>
      </c>
      <c r="L117" s="11">
        <v>4000</v>
      </c>
      <c r="M117" s="11">
        <v>4000</v>
      </c>
      <c r="N117" s="11">
        <v>4000</v>
      </c>
      <c r="O117" s="11">
        <v>4000</v>
      </c>
      <c r="P117" s="11">
        <v>4000</v>
      </c>
      <c r="Q117" s="11">
        <v>4000</v>
      </c>
      <c r="R117" s="11">
        <v>4000</v>
      </c>
      <c r="S117" s="11">
        <v>4000</v>
      </c>
      <c r="T117" s="11">
        <v>4000</v>
      </c>
      <c r="U117" s="11">
        <v>4000</v>
      </c>
      <c r="V117" s="11">
        <v>4000</v>
      </c>
      <c r="W117" s="11">
        <v>4000</v>
      </c>
      <c r="X117" s="11">
        <v>4000</v>
      </c>
      <c r="Y117" s="11">
        <v>4000</v>
      </c>
      <c r="Z117" s="15"/>
    </row>
    <row r="118" spans="3:26" x14ac:dyDescent="0.25">
      <c r="C118" s="4"/>
      <c r="D118" s="12" t="str">
        <f>_xlfn.LET(_xlpm.label,'Model-1'!O72,IF(ISBLANK(_xlpm.label),"",_xlpm.label))</f>
        <v/>
      </c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5"/>
    </row>
    <row r="119" spans="3:26" x14ac:dyDescent="0.25">
      <c r="C119" s="6" t="str">
        <f>'Model-1'!N73</f>
        <v>Brændselsmængder:</v>
      </c>
      <c r="D119" s="12" t="str">
        <f>_xlfn.LET(_xlpm.label,'Model-1'!O73,IF(ISBLANK(_xlpm.label),"",_xlpm.label))</f>
        <v/>
      </c>
      <c r="E119" s="11" t="s">
        <v>237</v>
      </c>
      <c r="F119" s="11" t="s">
        <v>238</v>
      </c>
      <c r="G119" s="11" t="s">
        <v>239</v>
      </c>
      <c r="H119" s="11" t="s">
        <v>240</v>
      </c>
      <c r="I119" s="11" t="s">
        <v>241</v>
      </c>
      <c r="J119" s="11" t="s">
        <v>242</v>
      </c>
      <c r="K119" s="11" t="s">
        <v>243</v>
      </c>
      <c r="L119" s="11" t="s">
        <v>244</v>
      </c>
      <c r="M119" s="11" t="s">
        <v>245</v>
      </c>
      <c r="N119" s="11" t="s">
        <v>246</v>
      </c>
      <c r="O119" s="11" t="s">
        <v>247</v>
      </c>
      <c r="P119" s="11" t="s">
        <v>248</v>
      </c>
      <c r="Q119" s="11" t="s">
        <v>249</v>
      </c>
      <c r="R119" s="11" t="s">
        <v>250</v>
      </c>
      <c r="S119" s="11" t="s">
        <v>251</v>
      </c>
      <c r="T119" s="11" t="s">
        <v>252</v>
      </c>
      <c r="U119" s="11" t="s">
        <v>253</v>
      </c>
      <c r="V119" s="11" t="s">
        <v>254</v>
      </c>
      <c r="W119" s="11" t="s">
        <v>255</v>
      </c>
      <c r="X119" s="11" t="s">
        <v>256</v>
      </c>
      <c r="Y119" s="11" t="s">
        <v>237</v>
      </c>
      <c r="Z119" s="15"/>
    </row>
    <row r="120" spans="3:26" x14ac:dyDescent="0.25">
      <c r="C120" s="4" t="str">
        <f>'Model-1'!N74</f>
        <v>Affaldsforbrug Ovn3</v>
      </c>
      <c r="D120" s="12" t="str">
        <f>_xlfn.LET(_xlpm.label,'Model-1'!O74,IF(ISBLANK(_xlpm.label),"",_xlpm.label))</f>
        <v>ton</v>
      </c>
      <c r="E120" s="11">
        <v>9006.456241033</v>
      </c>
      <c r="F120" s="11">
        <v>9006.4562410329982</v>
      </c>
      <c r="G120" s="11">
        <v>9006.456241033</v>
      </c>
      <c r="H120" s="11">
        <v>9006.4562410329982</v>
      </c>
      <c r="I120" s="11">
        <v>9006.456241033</v>
      </c>
      <c r="J120" s="11">
        <v>9006.456241033</v>
      </c>
      <c r="K120" s="11">
        <v>9006.456241033</v>
      </c>
      <c r="L120" s="11">
        <v>9006.456241033</v>
      </c>
      <c r="M120" s="11">
        <v>9006.456241033</v>
      </c>
      <c r="N120" s="11">
        <v>9006.456241033</v>
      </c>
      <c r="O120" s="11">
        <v>9006.456241033</v>
      </c>
      <c r="P120" s="11">
        <v>9006.4562410329982</v>
      </c>
      <c r="Q120" s="11">
        <v>9006.456241033</v>
      </c>
      <c r="R120" s="11">
        <v>9006.456241033</v>
      </c>
      <c r="S120" s="11">
        <v>9006.456241033</v>
      </c>
      <c r="T120" s="11">
        <v>9006.456241033</v>
      </c>
      <c r="U120" s="11">
        <v>9006.456241033</v>
      </c>
      <c r="V120" s="11">
        <v>9006.456241033</v>
      </c>
      <c r="W120" s="11">
        <v>9006.456241033</v>
      </c>
      <c r="X120" s="11">
        <v>9006.456241033</v>
      </c>
      <c r="Y120" s="11">
        <v>9006.456241033</v>
      </c>
      <c r="Z120" s="16"/>
    </row>
    <row r="121" spans="3:26" x14ac:dyDescent="0.25">
      <c r="C121" s="4" t="str">
        <f>'Model-1'!N75</f>
        <v>Nordic Sugar varme</v>
      </c>
      <c r="D121" s="12" t="str">
        <f>_xlfn.LET(_xlpm.label,'Model-1'!O75,IF(ISBLANK(_xlpm.label),"",_xlpm.label))</f>
        <v>MWhq</v>
      </c>
      <c r="E121" s="11">
        <v>4000</v>
      </c>
      <c r="F121" s="11">
        <v>4000</v>
      </c>
      <c r="G121" s="11">
        <v>4000</v>
      </c>
      <c r="H121" s="11">
        <v>4000</v>
      </c>
      <c r="I121" s="11">
        <v>4000</v>
      </c>
      <c r="J121" s="11">
        <v>4000</v>
      </c>
      <c r="K121" s="11">
        <v>4000</v>
      </c>
      <c r="L121" s="11">
        <v>4000</v>
      </c>
      <c r="M121" s="11">
        <v>4000</v>
      </c>
      <c r="N121" s="11">
        <v>4000</v>
      </c>
      <c r="O121" s="11">
        <v>4000</v>
      </c>
      <c r="P121" s="11">
        <v>4000</v>
      </c>
      <c r="Q121" s="11">
        <v>4000</v>
      </c>
      <c r="R121" s="11">
        <v>4000</v>
      </c>
      <c r="S121" s="11">
        <v>4000</v>
      </c>
      <c r="T121" s="11">
        <v>4000</v>
      </c>
      <c r="U121" s="11">
        <v>4000</v>
      </c>
      <c r="V121" s="11">
        <v>4000</v>
      </c>
      <c r="W121" s="11">
        <v>4000</v>
      </c>
      <c r="X121" s="11">
        <v>4000</v>
      </c>
      <c r="Y121" s="11">
        <v>4000</v>
      </c>
      <c r="Z121" s="16"/>
    </row>
    <row r="122" spans="3:26" x14ac:dyDescent="0.25">
      <c r="C122" s="4" t="str">
        <f>'Model-1'!N76</f>
        <v>Affaldsforbrug Ovn2</v>
      </c>
      <c r="D122" s="12" t="str">
        <f>_xlfn.LET(_xlpm.label,'Model-1'!O76,IF(ISBLANK(_xlpm.label),"",_xlpm.label))</f>
        <v>ton</v>
      </c>
      <c r="E122" s="11">
        <v>1094.3867347062462</v>
      </c>
      <c r="F122" s="11">
        <v>2919.670860050182</v>
      </c>
      <c r="G122" s="11">
        <v>2805.7762998686553</v>
      </c>
      <c r="H122" s="11">
        <v>2694.2061184663444</v>
      </c>
      <c r="I122" s="11">
        <v>2584.8898801226651</v>
      </c>
      <c r="J122" s="11">
        <v>2477.7599665458606</v>
      </c>
      <c r="K122" s="11">
        <v>2372.751437396319</v>
      </c>
      <c r="L122" s="11">
        <v>2269.8018990144151</v>
      </c>
      <c r="M122" s="11">
        <v>2168.8513807952672</v>
      </c>
      <c r="N122" s="11">
        <v>2069.8422186957168</v>
      </c>
      <c r="O122" s="11">
        <v>1972.7189453980645</v>
      </c>
      <c r="P122" s="11">
        <v>1877.4281866909339</v>
      </c>
      <c r="Q122" s="11">
        <v>1783.9185636605707</v>
      </c>
      <c r="R122" s="11">
        <v>1692.1406003159564</v>
      </c>
      <c r="S122" s="11">
        <v>1602.0466362987647</v>
      </c>
      <c r="T122" s="11">
        <v>1513.5907443546141</v>
      </c>
      <c r="U122" s="11">
        <v>1426.728652265313</v>
      </c>
      <c r="V122" s="11">
        <v>1341.41766896332</v>
      </c>
      <c r="W122" s="11">
        <v>1257.6166145693278</v>
      </c>
      <c r="X122" s="11">
        <v>1175.2857541120711</v>
      </c>
      <c r="Y122" s="11">
        <v>1094.3867347062462</v>
      </c>
      <c r="Z122" s="15"/>
    </row>
    <row r="123" spans="3:26" x14ac:dyDescent="0.25">
      <c r="C123" s="4" t="str">
        <f>'Model-1'!N77</f>
        <v>Affaldsforbrug kølevarme Ovn3</v>
      </c>
      <c r="D123" s="12" t="str">
        <f>_xlfn.LET(_xlpm.label,'Model-1'!O77,IF(ISBLANK(_xlpm.label),"",_xlpm.label))</f>
        <v>ton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5"/>
    </row>
    <row r="124" spans="3:26" x14ac:dyDescent="0.25">
      <c r="C124" s="4" t="str">
        <f>'Model-1'!N78</f>
        <v>Affaldsforbrug kølevarme Ovn2</v>
      </c>
      <c r="D124" s="12" t="str">
        <f>_xlfn.LET(_xlpm.label,'Model-1'!O78,IF(ISBLANK(_xlpm.label),"",_xlpm.label))</f>
        <v>ton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6"/>
    </row>
    <row r="125" spans="3:26" x14ac:dyDescent="0.25">
      <c r="C125" s="4" t="str">
        <f>'Model-1'!N79</f>
        <v>Udnyttet affald</v>
      </c>
      <c r="D125" s="12" t="str">
        <f>_xlfn.LET(_xlpm.label,'Model-1'!O79,IF(ISBLANK(_xlpm.label),"",_xlpm.label))</f>
        <v>ton</v>
      </c>
      <c r="E125" s="11">
        <v>10100.842975739246</v>
      </c>
      <c r="F125" s="11">
        <v>11926.127101083181</v>
      </c>
      <c r="G125" s="11">
        <v>11812.232540901656</v>
      </c>
      <c r="H125" s="11">
        <v>11700.662359499343</v>
      </c>
      <c r="I125" s="11">
        <v>11591.346121155664</v>
      </c>
      <c r="J125" s="11">
        <v>11484.21620757886</v>
      </c>
      <c r="K125" s="11">
        <v>11379.207678429319</v>
      </c>
      <c r="L125" s="11">
        <v>11276.258140047416</v>
      </c>
      <c r="M125" s="11">
        <v>11175.307621828268</v>
      </c>
      <c r="N125" s="11">
        <v>11076.298459728718</v>
      </c>
      <c r="O125" s="11">
        <v>10979.175186431065</v>
      </c>
      <c r="P125" s="11">
        <v>10883.884427723931</v>
      </c>
      <c r="Q125" s="11">
        <v>10790.374804693571</v>
      </c>
      <c r="R125" s="11">
        <v>10698.596841348957</v>
      </c>
      <c r="S125" s="11">
        <v>10608.502877331764</v>
      </c>
      <c r="T125" s="11">
        <v>10520.046985387615</v>
      </c>
      <c r="U125" s="11">
        <v>10433.184893298312</v>
      </c>
      <c r="V125" s="11">
        <v>10347.87390999632</v>
      </c>
      <c r="W125" s="11">
        <v>10264.072855602328</v>
      </c>
      <c r="X125" s="11">
        <v>10181.741995145072</v>
      </c>
      <c r="Y125" s="11">
        <v>10100.842975739246</v>
      </c>
      <c r="Z125" s="16"/>
    </row>
    <row r="126" spans="3:26" x14ac:dyDescent="0.25">
      <c r="C126" s="4" t="str">
        <f>'Model-1'!N80</f>
        <v>Ikke-udnyttet affald</v>
      </c>
      <c r="D126" s="12" t="str">
        <f>_xlfn.LET(_xlpm.label,'Model-1'!O80,IF(ISBLANK(_xlpm.label),"",_xlpm.label))</f>
        <v>ton</v>
      </c>
      <c r="E126" s="14">
        <v>1899.1570242607538</v>
      </c>
      <c r="F126" s="14">
        <v>73.87289891681985</v>
      </c>
      <c r="G126" s="14">
        <v>187.76745909834472</v>
      </c>
      <c r="H126" s="14">
        <v>299.33764050065747</v>
      </c>
      <c r="I126" s="14">
        <v>408.65387884433494</v>
      </c>
      <c r="J126" s="14">
        <v>515.78379242113942</v>
      </c>
      <c r="K126" s="14">
        <v>620.792321570681</v>
      </c>
      <c r="L126" s="14">
        <v>723.74185995258495</v>
      </c>
      <c r="M126" s="14">
        <v>824.6923781717328</v>
      </c>
      <c r="N126" s="14">
        <v>923.70154027128319</v>
      </c>
      <c r="O126" s="14">
        <v>1020.8248135689355</v>
      </c>
      <c r="P126" s="14">
        <v>1116.115572276068</v>
      </c>
      <c r="Q126" s="14">
        <v>1209.6251953064293</v>
      </c>
      <c r="R126" s="14">
        <v>1301.4031586510437</v>
      </c>
      <c r="S126" s="14">
        <v>1391.4971226682353</v>
      </c>
      <c r="T126" s="14">
        <v>1479.9530146123859</v>
      </c>
      <c r="U126" s="14">
        <v>1566.815106701687</v>
      </c>
      <c r="V126" s="14">
        <v>1652.12609000368</v>
      </c>
      <c r="W126" s="14">
        <v>1735.9271443976722</v>
      </c>
      <c r="X126" s="14">
        <v>1818.2580048549289</v>
      </c>
      <c r="Y126" s="14">
        <v>1899.1570242607538</v>
      </c>
      <c r="Z126" s="16"/>
    </row>
    <row r="127" spans="3:26" x14ac:dyDescent="0.25">
      <c r="D127" s="12" t="str">
        <f>_xlfn.LET(_xlpm.label,'Model-1'!O84,IF(ISBLANK(_xlpm.label),"",_xlpm.label))</f>
        <v/>
      </c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6"/>
    </row>
    <row r="128" spans="3:26" x14ac:dyDescent="0.25">
      <c r="C128" s="6" t="str">
        <f>'Model-1'!N85</f>
        <v>Kapacitetsudnyttelse:</v>
      </c>
      <c r="D128" s="12" t="str">
        <f>_xlfn.LET(_xlpm.label,'Model-1'!O85,IF(ISBLANK(_xlpm.label),"",_xlpm.label))</f>
        <v/>
      </c>
      <c r="E128" s="11" t="s">
        <v>237</v>
      </c>
      <c r="F128" s="11" t="s">
        <v>238</v>
      </c>
      <c r="G128" s="11" t="s">
        <v>239</v>
      </c>
      <c r="H128" s="11" t="s">
        <v>240</v>
      </c>
      <c r="I128" s="11" t="s">
        <v>241</v>
      </c>
      <c r="J128" s="11" t="s">
        <v>242</v>
      </c>
      <c r="K128" s="11" t="s">
        <v>243</v>
      </c>
      <c r="L128" s="11" t="s">
        <v>244</v>
      </c>
      <c r="M128" s="11" t="s">
        <v>245</v>
      </c>
      <c r="N128" s="11" t="s">
        <v>246</v>
      </c>
      <c r="O128" s="11" t="s">
        <v>247</v>
      </c>
      <c r="P128" s="11" t="s">
        <v>248</v>
      </c>
      <c r="Q128" s="11" t="s">
        <v>249</v>
      </c>
      <c r="R128" s="11" t="s">
        <v>250</v>
      </c>
      <c r="S128" s="11" t="s">
        <v>251</v>
      </c>
      <c r="T128" s="11" t="s">
        <v>252</v>
      </c>
      <c r="U128" s="11" t="s">
        <v>253</v>
      </c>
      <c r="V128" s="11" t="s">
        <v>254</v>
      </c>
      <c r="W128" s="11" t="s">
        <v>255</v>
      </c>
      <c r="X128" s="11" t="s">
        <v>256</v>
      </c>
      <c r="Y128" s="11" t="s">
        <v>237</v>
      </c>
      <c r="Z128" s="13"/>
    </row>
    <row r="129" spans="1:26" x14ac:dyDescent="0.25">
      <c r="C129" s="4" t="str">
        <f>'Model-1'!N86</f>
        <v>Ovn3 tonnageudnyttelse</v>
      </c>
      <c r="D129" s="12" t="str">
        <f>_xlfn.LET(_xlpm.label,'Model-1'!O86,IF(ISBLANK(_xlpm.label),"",_xlpm.label))</f>
        <v/>
      </c>
      <c r="E129" s="1">
        <v>1</v>
      </c>
      <c r="F129" s="1">
        <v>0.99999999999999978</v>
      </c>
      <c r="G129" s="1">
        <v>1</v>
      </c>
      <c r="H129" s="1">
        <v>0.99999999999999978</v>
      </c>
      <c r="I129" s="1">
        <v>1</v>
      </c>
      <c r="J129" s="1">
        <v>1</v>
      </c>
      <c r="K129" s="1">
        <v>1</v>
      </c>
      <c r="L129" s="1">
        <v>1</v>
      </c>
      <c r="M129" s="1">
        <v>1</v>
      </c>
      <c r="N129" s="1">
        <v>1</v>
      </c>
      <c r="O129" s="1">
        <v>1</v>
      </c>
      <c r="P129" s="1">
        <v>0.99999999999999978</v>
      </c>
      <c r="Q129" s="1">
        <v>1</v>
      </c>
      <c r="R129" s="1">
        <v>1</v>
      </c>
      <c r="S129" s="1">
        <v>1</v>
      </c>
      <c r="T129" s="1">
        <v>1</v>
      </c>
      <c r="U129" s="1">
        <v>1</v>
      </c>
      <c r="V129" s="1">
        <v>1</v>
      </c>
      <c r="W129" s="1">
        <v>1</v>
      </c>
      <c r="X129" s="1">
        <v>1</v>
      </c>
      <c r="Y129" s="1">
        <v>1</v>
      </c>
      <c r="Z129" s="11"/>
    </row>
    <row r="130" spans="1:26" x14ac:dyDescent="0.25">
      <c r="C130" s="4" t="str">
        <f>'Model-1'!N87</f>
        <v>Ovn2 tonnageudnyttelse</v>
      </c>
      <c r="D130" s="12" t="str">
        <f>_xlfn.LET(_xlpm.label,'Model-1'!O87,IF(ISBLANK(_xlpm.label),"",_xlpm.label))</f>
        <v/>
      </c>
      <c r="E130" s="1">
        <v>0.3702664796633941</v>
      </c>
      <c r="F130" s="1">
        <v>0.98781922043010761</v>
      </c>
      <c r="G130" s="1">
        <v>0.94928500166278673</v>
      </c>
      <c r="H130" s="1">
        <v>0.91153719552337065</v>
      </c>
      <c r="I130" s="1">
        <v>0.87455197132616469</v>
      </c>
      <c r="J130" s="1">
        <v>0.83830645161290329</v>
      </c>
      <c r="K130" s="1">
        <v>0.80277866496327055</v>
      </c>
      <c r="L130" s="1">
        <v>0.76794750158127767</v>
      </c>
      <c r="M130" s="1">
        <v>0.7337926714688382</v>
      </c>
      <c r="N130" s="1">
        <v>0.70029466501240667</v>
      </c>
      <c r="O130" s="1">
        <v>0.66743471582181246</v>
      </c>
      <c r="P130" s="1">
        <v>0.63519476567255029</v>
      </c>
      <c r="Q130" s="1">
        <v>0.60355743141392815</v>
      </c>
      <c r="R130" s="1">
        <v>0.57250597371565126</v>
      </c>
      <c r="S130" s="1">
        <v>0.5420242675347734</v>
      </c>
      <c r="T130" s="1">
        <v>0.51209677419354838</v>
      </c>
      <c r="U130" s="1">
        <v>0.48270851496657963</v>
      </c>
      <c r="V130" s="1">
        <v>0.45384504608294923</v>
      </c>
      <c r="W130" s="1">
        <v>0.4254924350556667</v>
      </c>
      <c r="X130" s="1">
        <v>0.39763723825693248</v>
      </c>
      <c r="Y130" s="1">
        <v>0.3702664796633941</v>
      </c>
      <c r="Z130" s="11"/>
    </row>
    <row r="131" spans="1:26" x14ac:dyDescent="0.25">
      <c r="C131" s="4" t="str">
        <f>'Model-1'!N88</f>
        <v>Bortkøleanlæg udnyttelse</v>
      </c>
      <c r="D131" s="12" t="str">
        <f>_xlfn.LET(_xlpm.label,'Model-1'!O88,IF(ISBLANK(_xlpm.label),"",_xlpm.label))</f>
        <v/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1"/>
    </row>
    <row r="132" spans="1:26" x14ac:dyDescent="0.25">
      <c r="A132" s="36"/>
      <c r="C132" s="4" t="str">
        <f>'Model-1'!N89</f>
        <v>NS-varme udnyttelse</v>
      </c>
      <c r="D132" s="12" t="str">
        <f>_xlfn.LET(_xlpm.label,'Model-1'!O89,IF(ISBLANK(_xlpm.label),"",_xlpm.label))</f>
        <v/>
      </c>
      <c r="E132" s="1">
        <v>1</v>
      </c>
      <c r="F132" s="1">
        <v>1</v>
      </c>
      <c r="G132" s="1">
        <v>1</v>
      </c>
      <c r="H132" s="1">
        <v>1</v>
      </c>
      <c r="I132" s="1">
        <v>1</v>
      </c>
      <c r="J132" s="1">
        <v>1</v>
      </c>
      <c r="K132" s="1">
        <v>1</v>
      </c>
      <c r="L132" s="1">
        <v>1</v>
      </c>
      <c r="M132" s="1">
        <v>1</v>
      </c>
      <c r="N132" s="1">
        <v>1</v>
      </c>
      <c r="O132" s="1">
        <v>1</v>
      </c>
      <c r="P132" s="1">
        <v>1</v>
      </c>
      <c r="Q132" s="1">
        <v>1</v>
      </c>
      <c r="R132" s="1">
        <v>1</v>
      </c>
      <c r="S132" s="1">
        <v>1</v>
      </c>
      <c r="T132" s="1">
        <v>1</v>
      </c>
      <c r="U132" s="1">
        <v>1</v>
      </c>
      <c r="V132" s="1">
        <v>1</v>
      </c>
      <c r="W132" s="1">
        <v>1</v>
      </c>
      <c r="X132" s="1">
        <v>1</v>
      </c>
      <c r="Y132" s="1">
        <v>1</v>
      </c>
      <c r="Z132" s="11"/>
    </row>
    <row r="133" spans="1:26" x14ac:dyDescent="0.25">
      <c r="A133" s="36"/>
      <c r="C133" s="4" t="str">
        <f>'Model-1'!N90</f>
        <v>VPO affald</v>
      </c>
      <c r="D133" s="12" t="str">
        <f>_xlfn.LET(_xlpm.label,'Model-1'!O90,IF(ISBLANK(_xlpm.label),"",_xlpm.label))</f>
        <v>kr/MWhq</v>
      </c>
      <c r="E133" s="10">
        <v>-25.711195069525662</v>
      </c>
      <c r="F133" s="10">
        <v>-36.044007947642243</v>
      </c>
      <c r="G133" s="10">
        <v>-34.880981324960246</v>
      </c>
      <c r="H133" s="10">
        <v>-33.741332256634173</v>
      </c>
      <c r="I133" s="10">
        <v>-32.624352331926232</v>
      </c>
      <c r="J133" s="10">
        <v>-31.529361476527761</v>
      </c>
      <c r="K133" s="10">
        <v>-30.455706549766241</v>
      </c>
      <c r="L133" s="10">
        <v>-29.402760024328717</v>
      </c>
      <c r="M133" s="10">
        <v>-36.727993818352502</v>
      </c>
      <c r="N133" s="10">
        <v>-35.714677821961345</v>
      </c>
      <c r="O133" s="10">
        <v>-34.720329245325452</v>
      </c>
      <c r="P133" s="10">
        <v>-33.744411274678271</v>
      </c>
      <c r="Q133" s="10">
        <v>-32.7864071640576</v>
      </c>
      <c r="R133" s="10">
        <v>-31.845819306240379</v>
      </c>
      <c r="S133" s="10">
        <v>-30.922168354819217</v>
      </c>
      <c r="T133" s="10">
        <v>-30.014992394165059</v>
      </c>
      <c r="U133" s="10">
        <v>-29.12384615425723</v>
      </c>
      <c r="V133" s="10">
        <v>-28.248300267575697</v>
      </c>
      <c r="W133" s="10">
        <v>-27.387940565450815</v>
      </c>
      <c r="X133" s="10">
        <v>-26.542367411446836</v>
      </c>
      <c r="Y133" s="10">
        <v>-25.711195069525662</v>
      </c>
      <c r="Z133" s="11"/>
    </row>
    <row r="134" spans="1:26" x14ac:dyDescent="0.25">
      <c r="Z134" s="11"/>
    </row>
    <row r="135" spans="1:26" x14ac:dyDescent="0.25">
      <c r="Z135" s="16"/>
    </row>
    <row r="136" spans="1:26" x14ac:dyDescent="0.25">
      <c r="Z136" s="11"/>
    </row>
    <row r="137" spans="1:26" x14ac:dyDescent="0.25">
      <c r="Z137" s="11"/>
    </row>
    <row r="138" spans="1:26" x14ac:dyDescent="0.25">
      <c r="Z138" s="11"/>
    </row>
    <row r="139" spans="1:26" x14ac:dyDescent="0.25">
      <c r="Z139" s="11"/>
    </row>
    <row r="140" spans="1:26" x14ac:dyDescent="0.25">
      <c r="Z140" s="11"/>
    </row>
    <row r="141" spans="1:26" x14ac:dyDescent="0.25">
      <c r="A141" s="36"/>
      <c r="Z141" s="11"/>
    </row>
    <row r="142" spans="1:26" x14ac:dyDescent="0.25">
      <c r="A142" s="36"/>
      <c r="B142" s="36"/>
      <c r="Z142" s="11"/>
    </row>
    <row r="143" spans="1:26" x14ac:dyDescent="0.25">
      <c r="Z143" s="14"/>
    </row>
    <row r="144" spans="1:26" x14ac:dyDescent="0.25">
      <c r="Z144" s="11"/>
    </row>
    <row r="145" spans="26:26" x14ac:dyDescent="0.25">
      <c r="Z145" s="11"/>
    </row>
    <row r="146" spans="26:26" x14ac:dyDescent="0.25">
      <c r="Z146" s="1"/>
    </row>
    <row r="147" spans="26:26" x14ac:dyDescent="0.25">
      <c r="Z147" s="1"/>
    </row>
    <row r="148" spans="26:26" x14ac:dyDescent="0.25">
      <c r="Z148" s="1"/>
    </row>
  </sheetData>
  <conditionalFormatting sqref="E7:Y7">
    <cfRule type="cellIs" dxfId="12" priority="4" operator="greaterThan">
      <formula>0</formula>
    </cfRule>
  </conditionalFormatting>
  <conditionalFormatting sqref="D79:D88 D54:D75">
    <cfRule type="cellIs" dxfId="11" priority="3" operator="notEqual">
      <formula>0</formula>
    </cfRule>
  </conditionalFormatting>
  <conditionalFormatting sqref="B16:B37">
    <cfRule type="cellIs" dxfId="10" priority="2" operator="notEqual">
      <formula>0</formula>
    </cfRule>
  </conditionalFormatting>
  <conditionalFormatting sqref="B41:B50">
    <cfRule type="cellIs" dxfId="9" priority="1" operator="notEqual">
      <formula>0</formula>
    </cfRule>
  </conditionalFormatting>
  <dataValidations count="2">
    <dataValidation type="list" allowBlank="1" showInputMessage="1" showErrorMessage="1" sqref="C78 A40" xr:uid="{2757F413-D3A6-4108-A645-CBE93939AB30}">
      <formula1>ranInputNames</formula1>
    </dataValidation>
    <dataValidation type="list" allowBlank="1" showInputMessage="1" showErrorMessage="1" sqref="A41:A50 C79:C89 A16:A36 C54:C75" xr:uid="{5CB5508B-FC87-434F-A304-20043B3CBFFD}">
      <formula1>ranResultNames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127A505-0C49-4BCB-886A-84A5D6F2119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'Scenarier-1B'!E8:Y8</xm:f>
              <xm:sqref>A8</xm:sqref>
            </x14:sparkline>
            <x14:sparkline>
              <xm:f>'Scenarier-1B'!E9:Y9</xm:f>
              <xm:sqref>A9</xm:sqref>
            </x14:sparkline>
            <x14:sparkline>
              <xm:f>'Scenarier-1B'!E10:Y10</xm:f>
              <xm:sqref>A10</xm:sqref>
            </x14:sparkline>
            <x14:sparkline>
              <xm:f>'Scenarier-1B'!E11:Y11</xm:f>
              <xm:sqref>A11</xm:sqref>
            </x14:sparkline>
            <x14:sparkline>
              <xm:f>'Scenarier-1B'!E12:Y12</xm:f>
              <xm:sqref>A12</xm:sqref>
            </x14:sparkline>
          </x14:sparklines>
        </x14:sparklineGroup>
        <x14:sparklineGroup displayEmptyCellsAs="gap" xr2:uid="{1B796B8A-1840-4946-BF22-0E4CE3DF083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'Scenarier-1B'!E79:Y79</xm:f>
              <xm:sqref>A93</xm:sqref>
            </x14:sparkline>
            <x14:sparkline>
              <xm:f>'Scenarier-1B'!E80:Y80</xm:f>
              <xm:sqref>A94</xm:sqref>
            </x14:sparkline>
            <x14:sparkline>
              <xm:f>'Scenarier-1B'!E81:Y81</xm:f>
              <xm:sqref>A95</xm:sqref>
            </x14:sparkline>
            <x14:sparkline>
              <xm:f>'Scenarier-1B'!E82:Y82</xm:f>
              <xm:sqref>A96</xm:sqref>
            </x14:sparkline>
            <x14:sparkline>
              <xm:f>'Scenarier-1B'!E83:Y83</xm:f>
              <xm:sqref>A97</xm:sqref>
            </x14:sparkline>
            <x14:sparkline>
              <xm:f>'Scenarier-1B'!E84:Y84</xm:f>
              <xm:sqref>A98</xm:sqref>
            </x14:sparkline>
            <x14:sparkline>
              <xm:f>'Scenarier-1B'!E85:Y85</xm:f>
              <xm:sqref>A99</xm:sqref>
            </x14:sparkline>
            <x14:sparkline>
              <xm:f>'Scenarier-1B'!E86:Y86</xm:f>
              <xm:sqref>A100</xm:sqref>
            </x14:sparkline>
            <x14:sparkline>
              <xm:f>'Scenarier-1B'!E87:Y87</xm:f>
              <xm:sqref>A101</xm:sqref>
            </x14:sparkline>
            <x14:sparkline>
              <xm:f>'Scenarier-1B'!E88:Y88</xm:f>
              <xm:sqref>A102</xm:sqref>
            </x14:sparkline>
            <x14:sparkline>
              <xm:f>'Scenarier-1B'!E89:Y89</xm:f>
              <xm:sqref>A103</xm:sqref>
            </x14:sparkline>
            <x14:sparkline>
              <xm:f>'Scenarier-1B'!E90:Y90</xm:f>
              <xm:sqref>A104</xm:sqref>
            </x14:sparkline>
            <x14:sparkline>
              <xm:f>'Scenarier-1B'!E91:Y91</xm:f>
              <xm:sqref>A105</xm:sqref>
            </x14:sparkline>
            <x14:sparkline>
              <xm:f>'Scenarier-1B'!E92:Y92</xm:f>
              <xm:sqref>A106</xm:sqref>
            </x14:sparkline>
            <x14:sparkline>
              <xm:f>'Scenarier-1B'!E93:Y93</xm:f>
              <xm:sqref>A107</xm:sqref>
            </x14:sparkline>
            <x14:sparkline>
              <xm:f>'Scenarier-1B'!E94:Y94</xm:f>
              <xm:sqref>A108</xm:sqref>
            </x14:sparkline>
            <x14:sparkline>
              <xm:f>'Scenarier-1B'!E95:Y95</xm:f>
              <xm:sqref>A109</xm:sqref>
            </x14:sparkline>
            <x14:sparkline>
              <xm:f>'Scenarier-1B'!E96:Y96</xm:f>
              <xm:sqref>A110</xm:sqref>
            </x14:sparkline>
            <x14:sparkline>
              <xm:f>'Scenarier-1B'!E97:Y97</xm:f>
              <xm:sqref>A111</xm:sqref>
            </x14:sparkline>
            <x14:sparkline>
              <xm:f>'Scenarier-1B'!E98:Y98</xm:f>
              <xm:sqref>A112</xm:sqref>
            </x14:sparkline>
            <x14:sparkline>
              <xm:f>'Scenarier-1B'!E99:Y99</xm:f>
              <xm:sqref>A113</xm:sqref>
            </x14:sparkline>
            <x14:sparkline>
              <xm:f>'Scenarier-1B'!E100:Y100</xm:f>
              <xm:sqref>A114</xm:sqref>
            </x14:sparkline>
            <x14:sparkline>
              <xm:f>'Scenarier-1B'!E101:Y101</xm:f>
              <xm:sqref>A115</xm:sqref>
            </x14:sparkline>
            <x14:sparkline>
              <xm:f>'Scenarier-1B'!E102:Y102</xm:f>
              <xm:sqref>A116</xm:sqref>
            </x14:sparkline>
            <x14:sparkline>
              <xm:f>'Scenarier-1B'!E103:Y103</xm:f>
              <xm:sqref>A117</xm:sqref>
            </x14:sparkline>
            <x14:sparkline>
              <xm:f>'Scenarier-1B'!E104:Y104</xm:f>
              <xm:sqref>A118</xm:sqref>
            </x14:sparkline>
            <x14:sparkline>
              <xm:f>'Scenarier-1B'!E105:Y105</xm:f>
              <xm:sqref>A119</xm:sqref>
            </x14:sparkline>
            <x14:sparkline>
              <xm:f>'Scenarier-1B'!E106:Y106</xm:f>
              <xm:sqref>A120</xm:sqref>
            </x14:sparkline>
            <x14:sparkline>
              <xm:f>'Scenarier-1B'!E107:Y107</xm:f>
              <xm:sqref>A121</xm:sqref>
            </x14:sparkline>
            <x14:sparkline>
              <xm:f>'Scenarier-1B'!E108:Y108</xm:f>
              <xm:sqref>A122</xm:sqref>
            </x14:sparkline>
            <x14:sparkline>
              <xm:f>'Scenarier-1B'!E109:Y109</xm:f>
              <xm:sqref>A123</xm:sqref>
            </x14:sparkline>
            <x14:sparkline>
              <xm:f>'Scenarier-1B'!E110:Y110</xm:f>
              <xm:sqref>A124</xm:sqref>
            </x14:sparkline>
            <x14:sparkline>
              <xm:f>'Scenarier-1B'!E111:Y111</xm:f>
              <xm:sqref>A125</xm:sqref>
            </x14:sparkline>
            <x14:sparkline>
              <xm:f>'Scenarier-1B'!E112:Y112</xm:f>
              <xm:sqref>A126</xm:sqref>
            </x14:sparkline>
            <x14:sparkline>
              <xm:f>'Scenarier-1B'!E113:Y113</xm:f>
              <xm:sqref>A127</xm:sqref>
            </x14:sparkline>
            <x14:sparkline>
              <xm:f>'Scenarier-1B'!E114:Y114</xm:f>
              <xm:sqref>A128</xm:sqref>
            </x14:sparkline>
            <x14:sparkline>
              <xm:f>'Scenarier-1B'!E115:Y115</xm:f>
              <xm:sqref>A129</xm:sqref>
            </x14:sparkline>
            <x14:sparkline>
              <xm:f>'Scenarier-1B'!E116:Y116</xm:f>
              <xm:sqref>A130</xm:sqref>
            </x14:sparkline>
            <x14:sparkline>
              <xm:f>'Scenarier-1B'!E117:Y117</xm:f>
              <xm:sqref>A131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/>
  <dimension ref="A1:AL157"/>
  <sheetViews>
    <sheetView tabSelected="1" zoomScale="85" zoomScaleNormal="100" workbookViewId="0">
      <selection activeCell="C15" sqref="C15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43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43" customWidth="1"/>
    <col min="14" max="14" width="30.7109375" bestFit="1" customWidth="1"/>
    <col min="15" max="15" width="8.42578125" style="68" bestFit="1" customWidth="1"/>
    <col min="16" max="16" width="10" style="11" bestFit="1" customWidth="1"/>
    <col min="17" max="17" width="14.42578125" style="11" bestFit="1" customWidth="1"/>
    <col min="18" max="18" width="15.7109375" bestFit="1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45" t="s">
        <v>234</v>
      </c>
      <c r="B1" s="146"/>
      <c r="C1" s="146"/>
      <c r="D1" s="146"/>
      <c r="E1" s="146"/>
      <c r="F1" s="147"/>
      <c r="G1" s="47"/>
      <c r="H1" s="148" t="str">
        <f>"Resultat for "&amp;C5&amp;" ton fast fossilt affald, "&amp;C6&amp;" ton frit fossilt affald, " &amp;FBiogenFri&amp;" ton biogent affald, Varmebehov "&amp;TEXT(Qdemand,"#.##0")&amp;" MWh, NS-varme "&amp;TEXT(NSvarme,"#.##0")&amp;" MWh, RGK-grad "&amp;TEXT(RGKudnyttelse,"0 %")</f>
        <v>Resultat for 8500 ton fast fossilt affald, 3200 ton frit fossilt affald, 1000 ton biogent affald, Varmebehov 28.000 MWh, NS-varme 4.000 MWh, RGK-grad 100 %</v>
      </c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</row>
    <row r="2" spans="1:38" ht="15.75" thickBot="1" x14ac:dyDescent="0.3">
      <c r="A2" s="52"/>
      <c r="B2" s="53"/>
      <c r="C2" s="54"/>
      <c r="D2" s="54"/>
      <c r="E2" s="54"/>
      <c r="F2" s="55"/>
      <c r="G2" s="47"/>
      <c r="H2" s="47"/>
      <c r="I2" s="48"/>
      <c r="J2" s="49"/>
      <c r="K2" s="49"/>
      <c r="L2" s="47"/>
      <c r="M2" s="47"/>
      <c r="N2" s="47"/>
      <c r="O2" s="67"/>
      <c r="P2" s="49"/>
      <c r="Q2" s="49"/>
      <c r="R2" s="47"/>
      <c r="S2" s="47"/>
      <c r="T2" s="51"/>
      <c r="U2" s="47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47"/>
      <c r="AK2" s="47"/>
      <c r="AL2" s="64" t="str">
        <f>"Økonomiske nøgletal "</f>
        <v xml:space="preserve">Økonomiske nøgletal </v>
      </c>
    </row>
    <row r="3" spans="1:38" x14ac:dyDescent="0.25">
      <c r="A3" s="100" t="s">
        <v>124</v>
      </c>
      <c r="B3" s="101" t="s">
        <v>47</v>
      </c>
      <c r="C3" s="102" t="s">
        <v>198</v>
      </c>
      <c r="D3" s="102"/>
      <c r="E3" s="102"/>
      <c r="F3" s="103"/>
      <c r="G3" s="47"/>
      <c r="H3" s="47"/>
      <c r="I3" s="48"/>
      <c r="J3" s="49"/>
      <c r="K3" s="49"/>
      <c r="L3" s="47"/>
      <c r="M3" s="47"/>
      <c r="N3" s="47"/>
      <c r="O3" s="67"/>
      <c r="P3" s="49"/>
      <c r="Q3" s="49"/>
      <c r="R3" s="47"/>
      <c r="S3" s="47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65" t="str">
        <f>"Økonomi: Med RGK ift. Uden RGK"</f>
        <v>Økonomi: Med RGK ift. Uden RGK</v>
      </c>
    </row>
    <row r="4" spans="1:38" x14ac:dyDescent="0.25">
      <c r="A4" s="104" t="s">
        <v>194</v>
      </c>
      <c r="B4" s="53" t="s">
        <v>41</v>
      </c>
      <c r="C4" s="57">
        <v>28000</v>
      </c>
      <c r="D4" s="54"/>
      <c r="E4" s="54"/>
      <c r="F4" s="105"/>
      <c r="G4" s="47"/>
      <c r="H4" s="47"/>
      <c r="I4" s="48"/>
      <c r="J4" s="49"/>
      <c r="K4" s="49"/>
      <c r="L4" s="47"/>
      <c r="M4" s="47"/>
      <c r="N4" s="47"/>
      <c r="O4" s="67"/>
      <c r="P4" s="49"/>
      <c r="Q4" s="49"/>
      <c r="R4" s="47"/>
      <c r="S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65" t="str">
        <f>"Varmemængder"</f>
        <v>Varmemængder</v>
      </c>
    </row>
    <row r="5" spans="1:38" x14ac:dyDescent="0.25">
      <c r="A5" s="104" t="s">
        <v>400</v>
      </c>
      <c r="B5" s="53" t="s">
        <v>16</v>
      </c>
      <c r="C5" s="57">
        <v>8500</v>
      </c>
      <c r="D5" s="54"/>
      <c r="E5" s="54"/>
      <c r="F5" s="105"/>
      <c r="G5" s="47"/>
      <c r="H5" s="47"/>
      <c r="I5" s="48"/>
      <c r="J5" s="49"/>
      <c r="K5" s="49"/>
      <c r="L5" s="47"/>
      <c r="M5" s="47"/>
      <c r="N5" s="47"/>
      <c r="O5" s="67"/>
      <c r="P5" s="49"/>
      <c r="Q5" s="49"/>
      <c r="R5" s="47"/>
      <c r="S5" s="47"/>
      <c r="T5" s="48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65" t="s">
        <v>140</v>
      </c>
    </row>
    <row r="6" spans="1:38" x14ac:dyDescent="0.25">
      <c r="A6" s="104" t="s">
        <v>403</v>
      </c>
      <c r="B6" s="53" t="s">
        <v>16</v>
      </c>
      <c r="C6" s="57">
        <v>3200</v>
      </c>
      <c r="D6" s="54"/>
      <c r="E6" s="54"/>
      <c r="F6" s="105"/>
      <c r="G6" s="47"/>
      <c r="H6" s="47"/>
      <c r="I6" s="48"/>
      <c r="J6" s="49"/>
      <c r="K6" s="49"/>
      <c r="L6" s="47"/>
      <c r="M6" s="47"/>
      <c r="N6" s="47"/>
      <c r="O6" s="67"/>
      <c r="P6" s="49"/>
      <c r="Q6" s="49"/>
      <c r="R6" s="47"/>
      <c r="S6" s="47"/>
      <c r="T6" s="48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t="s">
        <v>236</v>
      </c>
    </row>
    <row r="7" spans="1:38" x14ac:dyDescent="0.25">
      <c r="A7" s="104" t="s">
        <v>196</v>
      </c>
      <c r="B7" s="53" t="s">
        <v>16</v>
      </c>
      <c r="C7" s="57">
        <v>1000</v>
      </c>
      <c r="D7" s="54"/>
      <c r="E7" s="54"/>
      <c r="F7" s="105"/>
      <c r="G7" s="47"/>
      <c r="H7" s="47"/>
      <c r="I7" s="48"/>
      <c r="J7" s="49"/>
      <c r="K7" s="49"/>
      <c r="L7" s="47"/>
      <c r="M7" s="47"/>
      <c r="N7" s="47"/>
      <c r="O7" s="67"/>
      <c r="P7" s="49"/>
      <c r="Q7" s="49"/>
      <c r="R7" s="47"/>
      <c r="S7" s="47"/>
      <c r="T7" s="48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 t="s">
        <v>141</v>
      </c>
    </row>
    <row r="8" spans="1:38" x14ac:dyDescent="0.25">
      <c r="A8" s="104" t="s">
        <v>338</v>
      </c>
      <c r="B8" s="167" t="s">
        <v>321</v>
      </c>
      <c r="C8" s="168">
        <v>1</v>
      </c>
      <c r="D8" s="54"/>
      <c r="E8" s="54"/>
      <c r="F8" s="105"/>
      <c r="G8" s="47"/>
      <c r="H8" s="47"/>
      <c r="I8" s="48"/>
      <c r="J8" s="49"/>
      <c r="K8" s="49"/>
      <c r="L8" s="47"/>
      <c r="M8" s="47"/>
      <c r="N8" s="47"/>
      <c r="O8" s="67"/>
      <c r="P8" s="49"/>
      <c r="Q8" s="49"/>
      <c r="R8" s="47"/>
      <c r="S8" s="47"/>
      <c r="T8" s="48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</row>
    <row r="9" spans="1:38" x14ac:dyDescent="0.25">
      <c r="A9" s="104" t="s">
        <v>123</v>
      </c>
      <c r="B9" s="53" t="s">
        <v>125</v>
      </c>
      <c r="C9" s="58">
        <v>1</v>
      </c>
      <c r="D9" s="54"/>
      <c r="E9" s="54"/>
      <c r="F9" s="105"/>
      <c r="G9" s="47"/>
      <c r="H9" s="47"/>
      <c r="I9" s="48"/>
      <c r="J9" s="49"/>
      <c r="K9" s="49"/>
      <c r="L9" s="47"/>
      <c r="M9" s="47"/>
      <c r="N9" s="47"/>
      <c r="O9" s="67"/>
      <c r="P9" s="49"/>
      <c r="Q9" s="49"/>
      <c r="R9" s="47"/>
      <c r="S9" s="47"/>
      <c r="T9" s="48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</row>
    <row r="10" spans="1:38" ht="15.75" thickBot="1" x14ac:dyDescent="0.3">
      <c r="A10" s="106" t="s">
        <v>335</v>
      </c>
      <c r="B10" s="107" t="s">
        <v>41</v>
      </c>
      <c r="C10" s="108">
        <v>4000</v>
      </c>
      <c r="D10" s="109"/>
      <c r="E10" s="109"/>
      <c r="F10" s="110"/>
      <c r="G10" s="47"/>
      <c r="H10" s="47"/>
      <c r="I10" s="48"/>
      <c r="J10" s="49"/>
      <c r="K10" s="49"/>
      <c r="L10" s="47"/>
      <c r="M10" s="47"/>
      <c r="N10" s="47"/>
      <c r="O10" s="67"/>
      <c r="P10" s="49"/>
      <c r="Q10" s="49"/>
      <c r="R10" s="47"/>
      <c r="S10" s="47"/>
      <c r="T10" s="48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38" ht="15.75" thickBot="1" x14ac:dyDescent="0.3">
      <c r="A11" s="56"/>
      <c r="B11" s="53"/>
      <c r="C11" s="54"/>
      <c r="D11" s="54"/>
      <c r="E11" s="54"/>
      <c r="F11" s="55"/>
      <c r="G11" s="47"/>
      <c r="H11" s="47"/>
      <c r="I11" s="48"/>
      <c r="J11" s="49"/>
      <c r="K11" s="49"/>
      <c r="L11" s="47"/>
      <c r="M11" s="47"/>
      <c r="N11" s="47"/>
      <c r="O11" s="67"/>
      <c r="P11" s="49"/>
      <c r="Q11" s="49"/>
      <c r="R11" s="47"/>
      <c r="S11" s="47"/>
      <c r="T11" s="48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</row>
    <row r="12" spans="1:38" x14ac:dyDescent="0.25">
      <c r="A12" s="100" t="s">
        <v>14</v>
      </c>
      <c r="B12" s="101"/>
      <c r="C12" s="102" t="s">
        <v>0</v>
      </c>
      <c r="D12" s="102" t="s">
        <v>1</v>
      </c>
      <c r="E12" s="102" t="s">
        <v>7</v>
      </c>
      <c r="F12" s="111" t="s">
        <v>133</v>
      </c>
      <c r="G12" s="47"/>
      <c r="H12" s="47"/>
      <c r="I12" s="48"/>
      <c r="J12" s="49"/>
      <c r="K12" s="49"/>
      <c r="L12" s="47"/>
      <c r="M12" s="47"/>
      <c r="N12" s="47"/>
      <c r="O12" s="67"/>
      <c r="P12" s="49"/>
      <c r="Q12" s="49"/>
      <c r="R12" s="47"/>
      <c r="S12" s="47"/>
      <c r="T12" s="48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</row>
    <row r="13" spans="1:38" x14ac:dyDescent="0.25">
      <c r="A13" s="104" t="s">
        <v>12</v>
      </c>
      <c r="B13" s="53"/>
      <c r="C13" s="54">
        <v>31</v>
      </c>
      <c r="D13" s="54">
        <v>31</v>
      </c>
      <c r="E13" s="54">
        <v>31</v>
      </c>
      <c r="F13" s="105"/>
      <c r="G13" s="47"/>
      <c r="H13" s="47"/>
      <c r="I13" s="48"/>
      <c r="J13" s="49"/>
      <c r="K13" s="49"/>
      <c r="L13" s="47"/>
      <c r="M13" s="47"/>
      <c r="N13" s="47"/>
      <c r="O13" s="67"/>
      <c r="P13" s="49"/>
      <c r="Q13" s="49"/>
      <c r="R13" s="47"/>
      <c r="S13" s="47"/>
      <c r="T13" s="48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</row>
    <row r="14" spans="1:38" x14ac:dyDescent="0.25">
      <c r="A14" s="104" t="s">
        <v>2</v>
      </c>
      <c r="B14" s="53" t="s">
        <v>3</v>
      </c>
      <c r="C14" s="54">
        <v>9.5</v>
      </c>
      <c r="D14" s="54">
        <v>22.5</v>
      </c>
      <c r="E14" s="54">
        <v>15</v>
      </c>
      <c r="F14" s="105"/>
      <c r="G14" s="47"/>
      <c r="H14" s="47"/>
      <c r="I14" s="48"/>
      <c r="J14" s="49"/>
      <c r="K14" s="49"/>
      <c r="L14" s="47"/>
      <c r="M14" s="47"/>
      <c r="N14" s="47"/>
      <c r="O14" s="67"/>
      <c r="P14" s="49"/>
      <c r="Q14" s="49"/>
      <c r="R14" s="47"/>
      <c r="S14" s="47"/>
      <c r="T14" s="48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</row>
    <row r="15" spans="1:38" x14ac:dyDescent="0.25">
      <c r="A15" s="104" t="s">
        <v>8</v>
      </c>
      <c r="B15" s="53" t="s">
        <v>3</v>
      </c>
      <c r="C15" s="54">
        <v>2</v>
      </c>
      <c r="D15" s="54">
        <v>5.5</v>
      </c>
      <c r="E15" s="54"/>
      <c r="F15" s="105"/>
      <c r="G15" s="47"/>
      <c r="H15" s="47"/>
      <c r="I15" s="48"/>
      <c r="J15" s="49"/>
      <c r="K15" s="49"/>
      <c r="L15" s="47"/>
      <c r="M15" s="47"/>
      <c r="N15" s="47"/>
      <c r="O15" s="67"/>
      <c r="P15" s="49"/>
      <c r="Q15" s="49"/>
      <c r="R15" s="47"/>
      <c r="S15" s="47"/>
      <c r="T15" s="48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1:38" x14ac:dyDescent="0.25">
      <c r="A16" s="104" t="s">
        <v>4</v>
      </c>
      <c r="B16" s="53" t="s">
        <v>5</v>
      </c>
      <c r="C16" s="54"/>
      <c r="D16" s="54">
        <v>8</v>
      </c>
      <c r="E16" s="54"/>
      <c r="F16" s="105"/>
      <c r="G16" s="47"/>
      <c r="H16" s="47"/>
      <c r="I16" s="48"/>
      <c r="J16" s="49"/>
      <c r="K16" s="49"/>
      <c r="L16" s="47"/>
      <c r="M16" s="47"/>
      <c r="N16" s="47"/>
      <c r="O16" s="67"/>
      <c r="P16" s="49"/>
      <c r="Q16" s="49"/>
      <c r="R16" s="47"/>
      <c r="S16" s="47"/>
      <c r="T16" s="48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</row>
    <row r="17" spans="1:37" x14ac:dyDescent="0.25">
      <c r="A17" s="104" t="s">
        <v>6</v>
      </c>
      <c r="B17" s="53" t="s">
        <v>13</v>
      </c>
      <c r="C17" s="54"/>
      <c r="D17" s="54">
        <v>25</v>
      </c>
      <c r="E17" s="54"/>
      <c r="F17" s="105"/>
      <c r="G17" s="47"/>
      <c r="H17" s="47"/>
      <c r="I17" s="48"/>
      <c r="J17" s="49"/>
      <c r="K17" s="49"/>
      <c r="L17" s="47"/>
      <c r="M17" s="47"/>
      <c r="N17" s="47"/>
      <c r="O17" s="67"/>
      <c r="P17" s="49"/>
      <c r="Q17" s="49"/>
      <c r="R17" s="47"/>
      <c r="S17" s="47"/>
      <c r="T17" s="48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</row>
    <row r="18" spans="1:37" x14ac:dyDescent="0.25">
      <c r="A18" s="104" t="s">
        <v>9</v>
      </c>
      <c r="B18" s="53"/>
      <c r="C18" s="59">
        <v>0.84399999999999997</v>
      </c>
      <c r="D18" s="59">
        <v>0.65600000000000003</v>
      </c>
      <c r="E18" s="54"/>
      <c r="F18" s="105"/>
      <c r="G18" s="47"/>
      <c r="H18" s="47"/>
      <c r="I18" s="48"/>
      <c r="J18" s="49"/>
      <c r="K18" s="49"/>
      <c r="L18" s="47"/>
      <c r="M18" s="47"/>
      <c r="N18" s="47"/>
      <c r="O18" s="67"/>
      <c r="P18" s="49"/>
      <c r="Q18" s="49"/>
      <c r="R18" s="47"/>
      <c r="S18" s="47"/>
      <c r="T18" s="48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</row>
    <row r="19" spans="1:37" x14ac:dyDescent="0.25">
      <c r="A19" s="104" t="s">
        <v>10</v>
      </c>
      <c r="B19" s="53"/>
      <c r="C19" s="139">
        <f>$C$9*C15/C14*C18</f>
        <v>0.17768421052631578</v>
      </c>
      <c r="D19" s="139">
        <f>$C$9*D15/D14*D18</f>
        <v>0.16035555555555556</v>
      </c>
      <c r="E19" s="54"/>
      <c r="F19" s="105"/>
      <c r="G19" s="47"/>
      <c r="H19" s="47"/>
      <c r="I19" s="48"/>
      <c r="J19" s="49"/>
      <c r="K19" s="49"/>
      <c r="L19" s="47"/>
      <c r="M19" s="47"/>
      <c r="N19" s="47"/>
      <c r="O19" s="67"/>
      <c r="P19" s="49"/>
      <c r="Q19" s="49"/>
      <c r="R19" s="47"/>
      <c r="S19" s="47"/>
      <c r="T19" s="48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</row>
    <row r="20" spans="1:37" x14ac:dyDescent="0.25">
      <c r="A20" s="104" t="s">
        <v>67</v>
      </c>
      <c r="B20" s="53"/>
      <c r="C20" s="139">
        <f>SUM(C18:C19)</f>
        <v>1.0216842105263158</v>
      </c>
      <c r="D20" s="139">
        <f>SUM(D18:D19)</f>
        <v>0.81635555555555561</v>
      </c>
      <c r="E20" s="54"/>
      <c r="F20" s="105"/>
      <c r="G20" s="47"/>
      <c r="H20" s="47"/>
      <c r="I20" s="48"/>
      <c r="J20" s="49"/>
      <c r="K20" s="49"/>
      <c r="L20" s="47"/>
      <c r="M20" s="47"/>
      <c r="N20" s="47"/>
      <c r="O20" s="67"/>
      <c r="P20" s="49"/>
      <c r="Q20" s="49"/>
      <c r="R20" s="47"/>
      <c r="S20" s="47"/>
      <c r="T20" s="48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1:37" x14ac:dyDescent="0.25">
      <c r="A21" s="104" t="s">
        <v>11</v>
      </c>
      <c r="B21" s="53"/>
      <c r="C21" s="54"/>
      <c r="D21" s="60">
        <v>0.22470000000000001</v>
      </c>
      <c r="E21" s="54"/>
      <c r="F21" s="105"/>
      <c r="G21" s="47"/>
      <c r="H21" s="47"/>
      <c r="I21" s="48"/>
      <c r="J21" s="49"/>
      <c r="K21" s="49"/>
      <c r="L21" s="47"/>
      <c r="M21" s="47"/>
      <c r="N21" s="47"/>
      <c r="O21" s="67"/>
      <c r="P21" s="49"/>
      <c r="Q21" s="49"/>
      <c r="R21" s="47"/>
      <c r="S21" s="47"/>
      <c r="T21" s="48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</row>
    <row r="22" spans="1:37" ht="15.75" thickBot="1" x14ac:dyDescent="0.3">
      <c r="A22" s="106" t="s">
        <v>18</v>
      </c>
      <c r="B22" s="107" t="s">
        <v>19</v>
      </c>
      <c r="C22" s="109">
        <v>30</v>
      </c>
      <c r="D22" s="109">
        <v>50</v>
      </c>
      <c r="E22" s="109">
        <v>10</v>
      </c>
      <c r="F22" s="110">
        <v>10</v>
      </c>
      <c r="G22" s="47"/>
      <c r="H22" s="47"/>
      <c r="I22" s="48"/>
      <c r="J22" s="49"/>
      <c r="K22" s="49"/>
      <c r="L22" s="47"/>
      <c r="M22" s="47"/>
      <c r="N22" s="47"/>
      <c r="O22" s="67"/>
      <c r="P22" s="49"/>
      <c r="Q22" s="49"/>
      <c r="R22" s="47"/>
      <c r="S22" s="47"/>
      <c r="T22" s="48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</row>
    <row r="23" spans="1:37" ht="15.75" thickBot="1" x14ac:dyDescent="0.3">
      <c r="A23" s="56"/>
      <c r="B23" s="53"/>
      <c r="C23" s="54"/>
      <c r="D23" s="54"/>
      <c r="E23" s="54"/>
      <c r="F23" s="55"/>
      <c r="G23" s="47"/>
      <c r="H23" s="47"/>
      <c r="I23" s="48"/>
      <c r="J23" s="49"/>
      <c r="K23" s="49"/>
      <c r="L23" s="47"/>
      <c r="M23" s="47"/>
      <c r="N23" s="47"/>
      <c r="O23" s="67"/>
      <c r="P23" s="49"/>
      <c r="Q23" s="49"/>
      <c r="R23" s="47"/>
      <c r="S23" s="47"/>
      <c r="T23" s="48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</row>
    <row r="24" spans="1:37" x14ac:dyDescent="0.25">
      <c r="A24" s="113" t="s">
        <v>15</v>
      </c>
      <c r="B24" s="114"/>
      <c r="C24" s="102" t="s">
        <v>303</v>
      </c>
      <c r="D24" s="102" t="s">
        <v>302</v>
      </c>
      <c r="E24" s="102" t="s">
        <v>280</v>
      </c>
      <c r="F24" s="111" t="s">
        <v>20</v>
      </c>
      <c r="G24" s="47"/>
      <c r="H24" s="47"/>
      <c r="I24" s="48"/>
      <c r="J24" s="49"/>
      <c r="K24" s="49"/>
      <c r="L24" s="47"/>
      <c r="M24" s="47"/>
      <c r="N24" s="47"/>
      <c r="O24" s="67"/>
      <c r="P24" s="49"/>
      <c r="Q24" s="49"/>
      <c r="R24" s="47"/>
      <c r="S24" s="47"/>
      <c r="T24" s="48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</row>
    <row r="25" spans="1:37" x14ac:dyDescent="0.25">
      <c r="A25" s="104" t="s">
        <v>54</v>
      </c>
      <c r="B25" s="53"/>
      <c r="C25" s="139">
        <f>C5/SUM($C$5:$C$7)</f>
        <v>0.6692913385826772</v>
      </c>
      <c r="D25" s="139">
        <f>C6/SUM($C$5:$C$7)</f>
        <v>0.25196850393700787</v>
      </c>
      <c r="E25" s="139">
        <f>1-SUM(C25:D25)</f>
        <v>7.8740157480314932E-2</v>
      </c>
      <c r="F25" s="105"/>
      <c r="G25" s="47"/>
      <c r="H25" s="47"/>
      <c r="I25" s="48"/>
      <c r="J25" s="49"/>
      <c r="K25" s="49"/>
      <c r="L25" s="47"/>
      <c r="M25" s="47"/>
      <c r="N25" s="47"/>
      <c r="O25" s="67"/>
      <c r="P25" s="49"/>
      <c r="Q25" s="49"/>
      <c r="R25" s="47"/>
      <c r="S25" s="47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47"/>
      <c r="AK25" s="47"/>
    </row>
    <row r="26" spans="1:37" x14ac:dyDescent="0.25">
      <c r="A26" s="104" t="s">
        <v>60</v>
      </c>
      <c r="B26" s="53" t="s">
        <v>16</v>
      </c>
      <c r="C26" s="133">
        <f>SUM(C5:C7)</f>
        <v>12700</v>
      </c>
      <c r="E26" s="54"/>
      <c r="F26" s="105"/>
      <c r="G26" s="47"/>
      <c r="H26" s="47"/>
      <c r="I26" s="48"/>
      <c r="J26" s="49"/>
      <c r="K26" s="49"/>
      <c r="L26" s="47"/>
      <c r="M26" s="47"/>
      <c r="N26" s="47"/>
      <c r="O26" s="67"/>
      <c r="P26" s="49"/>
      <c r="Q26" s="49"/>
      <c r="R26" s="47"/>
      <c r="S26" s="47"/>
      <c r="T26" s="48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</row>
    <row r="27" spans="1:37" x14ac:dyDescent="0.25">
      <c r="A27" s="104" t="s">
        <v>59</v>
      </c>
      <c r="B27" s="53" t="s">
        <v>30</v>
      </c>
      <c r="C27" s="140">
        <f>(C5*HfossilFast+C6*HfossilFri+C7*HBiogenFri)/Ftotal</f>
        <v>10.5748031496063</v>
      </c>
      <c r="E27" s="61"/>
      <c r="F27" s="105"/>
      <c r="G27" s="47"/>
      <c r="H27" s="47"/>
      <c r="I27" s="48"/>
      <c r="J27" s="49"/>
      <c r="K27" s="49"/>
      <c r="L27" s="47"/>
      <c r="M27" s="47"/>
      <c r="N27" s="47"/>
      <c r="O27" s="67"/>
      <c r="P27" s="49"/>
      <c r="Q27" s="49"/>
      <c r="R27" s="47"/>
      <c r="S27" s="47"/>
      <c r="T27" s="48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</row>
    <row r="28" spans="1:37" x14ac:dyDescent="0.25">
      <c r="A28" s="104" t="s">
        <v>39</v>
      </c>
      <c r="B28" s="53" t="s">
        <v>24</v>
      </c>
      <c r="C28" s="54">
        <v>525</v>
      </c>
      <c r="D28">
        <v>400</v>
      </c>
      <c r="E28" s="54">
        <f>-6.5*3.6</f>
        <v>-23.400000000000002</v>
      </c>
      <c r="F28" s="105">
        <v>0</v>
      </c>
      <c r="G28" s="47"/>
      <c r="H28" s="47"/>
      <c r="I28" s="48"/>
      <c r="J28" s="49"/>
      <c r="K28" s="49"/>
      <c r="L28" s="47"/>
      <c r="M28" s="47"/>
      <c r="N28" s="47"/>
      <c r="O28" s="67"/>
      <c r="P28" s="49"/>
      <c r="Q28" s="49"/>
      <c r="R28" s="47"/>
      <c r="S28" s="47"/>
      <c r="T28" s="48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</row>
    <row r="29" spans="1:37" x14ac:dyDescent="0.25">
      <c r="A29" s="104" t="s">
        <v>29</v>
      </c>
      <c r="B29" s="53" t="s">
        <v>30</v>
      </c>
      <c r="C29" s="54">
        <v>10.199999999999999</v>
      </c>
      <c r="D29">
        <v>10.5</v>
      </c>
      <c r="E29" s="54">
        <v>14</v>
      </c>
      <c r="F29" s="105">
        <v>3.6</v>
      </c>
      <c r="G29" s="47"/>
      <c r="H29" s="47"/>
      <c r="I29" s="48"/>
      <c r="J29" s="49"/>
      <c r="K29" s="49"/>
      <c r="L29" s="47"/>
      <c r="M29" s="47"/>
      <c r="N29" s="47"/>
      <c r="O29" s="67"/>
      <c r="P29" s="49"/>
      <c r="Q29" s="49"/>
      <c r="R29" s="47"/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</row>
    <row r="30" spans="1:37" x14ac:dyDescent="0.25">
      <c r="A30" s="104" t="s">
        <v>36</v>
      </c>
      <c r="B30" s="53" t="s">
        <v>34</v>
      </c>
      <c r="C30" s="54">
        <v>37</v>
      </c>
      <c r="D30" s="54">
        <v>37</v>
      </c>
      <c r="E30" s="54">
        <v>0</v>
      </c>
      <c r="F30" s="105">
        <v>0</v>
      </c>
      <c r="G30" s="47"/>
      <c r="H30" s="47"/>
      <c r="I30" s="48"/>
      <c r="J30" s="49"/>
      <c r="K30" s="49"/>
      <c r="L30" s="47"/>
      <c r="M30" s="47"/>
      <c r="N30" s="47"/>
      <c r="O30" s="67"/>
      <c r="P30" s="49"/>
      <c r="Q30" s="49"/>
      <c r="R30" s="47"/>
      <c r="S30" s="47"/>
      <c r="T30" s="48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</row>
    <row r="31" spans="1:37" x14ac:dyDescent="0.25">
      <c r="A31" s="104" t="s">
        <v>37</v>
      </c>
      <c r="B31" s="53" t="s">
        <v>34</v>
      </c>
      <c r="C31" s="54">
        <v>42.5</v>
      </c>
      <c r="D31" s="54">
        <v>42.5</v>
      </c>
      <c r="E31" s="54">
        <v>0</v>
      </c>
      <c r="F31" s="105">
        <v>0</v>
      </c>
      <c r="G31" s="47"/>
      <c r="H31" s="47"/>
      <c r="I31" s="48"/>
      <c r="J31" s="49"/>
      <c r="K31" s="49"/>
      <c r="L31" s="47"/>
      <c r="M31" s="47"/>
      <c r="N31" s="47"/>
      <c r="O31" s="67"/>
      <c r="P31" s="49"/>
      <c r="Q31" s="49"/>
      <c r="R31" s="47"/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</row>
    <row r="32" spans="1:37" ht="15.75" thickBot="1" x14ac:dyDescent="0.3">
      <c r="A32" s="106" t="s">
        <v>129</v>
      </c>
      <c r="B32" s="107" t="s">
        <v>30</v>
      </c>
      <c r="C32" s="109">
        <v>10.6</v>
      </c>
      <c r="D32" s="109">
        <v>10.6</v>
      </c>
      <c r="E32" s="109">
        <v>0</v>
      </c>
      <c r="F32" s="110">
        <v>0</v>
      </c>
      <c r="G32" s="47"/>
      <c r="H32" s="47"/>
      <c r="I32" s="48"/>
      <c r="J32" s="49"/>
      <c r="K32" s="49"/>
      <c r="L32" s="47"/>
      <c r="M32" s="47"/>
      <c r="N32" s="47"/>
      <c r="O32" s="67"/>
      <c r="P32" s="49"/>
      <c r="Q32" s="49"/>
      <c r="R32" s="47"/>
      <c r="S32" s="47"/>
      <c r="T32" s="48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</row>
    <row r="33" spans="1:37" ht="15.75" thickBot="1" x14ac:dyDescent="0.3">
      <c r="G33" s="47"/>
      <c r="H33" s="47"/>
      <c r="I33" s="48"/>
      <c r="J33" s="49"/>
      <c r="K33" s="49"/>
      <c r="L33" s="47"/>
      <c r="M33" s="47"/>
      <c r="N33" s="47"/>
      <c r="O33" s="67"/>
      <c r="P33" s="49"/>
      <c r="Q33" s="49"/>
      <c r="R33" s="47"/>
      <c r="S33" s="47"/>
      <c r="T33" s="48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</row>
    <row r="34" spans="1:37" x14ac:dyDescent="0.25">
      <c r="A34" s="113" t="s">
        <v>21</v>
      </c>
      <c r="B34" s="114"/>
      <c r="C34" s="116"/>
      <c r="D34" s="116"/>
      <c r="E34" s="116"/>
      <c r="F34" s="115"/>
      <c r="G34" s="47"/>
      <c r="H34" s="47"/>
      <c r="I34" s="48"/>
      <c r="J34" s="49"/>
      <c r="K34" s="49"/>
      <c r="L34" s="47"/>
      <c r="M34" s="47"/>
      <c r="N34" s="47"/>
      <c r="O34" s="67"/>
      <c r="P34" s="49"/>
      <c r="Q34" s="49"/>
      <c r="R34" s="47"/>
      <c r="S34" s="47"/>
      <c r="T34" s="48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</row>
    <row r="35" spans="1:37" x14ac:dyDescent="0.25">
      <c r="A35" s="104" t="s">
        <v>28</v>
      </c>
      <c r="B35" s="53" t="s">
        <v>23</v>
      </c>
      <c r="C35" s="54">
        <v>311</v>
      </c>
      <c r="D35" s="54"/>
      <c r="E35" s="54"/>
      <c r="F35" s="105"/>
      <c r="G35" s="47"/>
      <c r="H35" s="47"/>
      <c r="I35" s="48"/>
      <c r="J35" s="49"/>
      <c r="K35" s="49"/>
      <c r="L35" s="47"/>
      <c r="M35" s="47"/>
      <c r="N35" s="47"/>
      <c r="O35" s="67"/>
      <c r="P35" s="49"/>
      <c r="Q35" s="49"/>
      <c r="R35" s="47"/>
      <c r="S35" s="47"/>
      <c r="T35" s="48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</row>
    <row r="36" spans="1:37" x14ac:dyDescent="0.25">
      <c r="A36" s="104" t="s">
        <v>25</v>
      </c>
      <c r="B36" s="53" t="s">
        <v>26</v>
      </c>
      <c r="C36" s="54">
        <v>800</v>
      </c>
      <c r="D36" s="54"/>
      <c r="E36" s="54"/>
      <c r="F36" s="105"/>
      <c r="G36" s="47"/>
      <c r="H36" s="47"/>
      <c r="I36" s="48"/>
      <c r="J36" s="49"/>
      <c r="K36" s="49"/>
      <c r="L36" s="47"/>
      <c r="M36" s="47"/>
      <c r="N36" s="47"/>
      <c r="O36" s="67"/>
      <c r="P36" s="49"/>
      <c r="Q36" s="49"/>
      <c r="R36" s="47"/>
      <c r="S36" s="47"/>
      <c r="T36" s="48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</row>
    <row r="37" spans="1:37" x14ac:dyDescent="0.25">
      <c r="A37" s="104" t="s">
        <v>40</v>
      </c>
      <c r="B37" s="53" t="s">
        <v>26</v>
      </c>
      <c r="C37" s="54">
        <v>4</v>
      </c>
      <c r="D37" s="54"/>
      <c r="E37" s="54"/>
      <c r="F37" s="105"/>
      <c r="G37" s="47"/>
      <c r="H37" s="47"/>
      <c r="I37" s="48"/>
      <c r="J37" s="49"/>
      <c r="K37" s="49"/>
      <c r="L37" s="47"/>
      <c r="M37" s="47"/>
      <c r="N37" s="47"/>
      <c r="O37" s="67"/>
      <c r="P37" s="49"/>
      <c r="Q37" s="49"/>
      <c r="R37" s="47"/>
      <c r="S37" s="47"/>
      <c r="T37" s="48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</row>
    <row r="38" spans="1:37" x14ac:dyDescent="0.25">
      <c r="A38" s="104" t="s">
        <v>27</v>
      </c>
      <c r="B38" s="53" t="s">
        <v>38</v>
      </c>
      <c r="C38" s="54">
        <v>400</v>
      </c>
      <c r="D38" s="54"/>
      <c r="E38" s="54"/>
      <c r="F38" s="105"/>
      <c r="G38" s="47"/>
      <c r="H38" s="47"/>
      <c r="I38" s="48"/>
      <c r="J38" s="49"/>
      <c r="K38" s="49"/>
      <c r="L38" s="47"/>
      <c r="M38" s="47"/>
      <c r="N38" s="47"/>
      <c r="O38" s="67"/>
      <c r="P38" s="49"/>
      <c r="Q38" s="49"/>
      <c r="R38" s="47"/>
      <c r="S38" s="47"/>
      <c r="T38" s="48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</row>
    <row r="39" spans="1:37" x14ac:dyDescent="0.25">
      <c r="A39" s="104" t="s">
        <v>31</v>
      </c>
      <c r="B39" s="53" t="s">
        <v>35</v>
      </c>
      <c r="C39" s="54">
        <v>25.8</v>
      </c>
      <c r="D39" s="54"/>
      <c r="E39" s="54"/>
      <c r="F39" s="105"/>
      <c r="G39" s="47"/>
      <c r="H39" s="47"/>
      <c r="I39" s="48"/>
      <c r="J39" s="49"/>
      <c r="K39" s="49"/>
      <c r="L39" s="47"/>
      <c r="M39" s="47"/>
      <c r="N39" s="47"/>
      <c r="O39" s="67"/>
      <c r="P39" s="49"/>
      <c r="Q39" s="49"/>
      <c r="R39" s="47"/>
      <c r="S39" s="47"/>
      <c r="T39" s="48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</row>
    <row r="40" spans="1:37" x14ac:dyDescent="0.25">
      <c r="A40" s="104" t="s">
        <v>32</v>
      </c>
      <c r="B40" s="53" t="s">
        <v>35</v>
      </c>
      <c r="C40" s="54">
        <v>31.8</v>
      </c>
      <c r="D40" s="54"/>
      <c r="E40" s="54"/>
      <c r="F40" s="105"/>
      <c r="G40" s="47"/>
      <c r="H40" s="47"/>
      <c r="I40" s="48"/>
      <c r="J40" s="49"/>
      <c r="K40" s="49"/>
      <c r="L40" s="47"/>
      <c r="M40" s="47"/>
      <c r="N40" s="47"/>
      <c r="O40" s="67"/>
      <c r="P40" s="49"/>
      <c r="Q40" s="49"/>
      <c r="R40" s="47"/>
      <c r="S40" s="47"/>
      <c r="T40" s="48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</row>
    <row r="41" spans="1:37" ht="15.75" thickBot="1" x14ac:dyDescent="0.3">
      <c r="A41" s="106" t="s">
        <v>33</v>
      </c>
      <c r="B41" s="107" t="s">
        <v>38</v>
      </c>
      <c r="C41" s="109">
        <v>178.5</v>
      </c>
      <c r="D41" s="109"/>
      <c r="E41" s="109"/>
      <c r="F41" s="110"/>
      <c r="G41" s="47"/>
      <c r="H41" s="47"/>
      <c r="I41" s="48"/>
      <c r="J41" s="49"/>
      <c r="K41" s="49"/>
      <c r="L41" s="47"/>
      <c r="M41" s="47"/>
      <c r="N41" s="47"/>
      <c r="O41" s="67"/>
      <c r="P41" s="49"/>
      <c r="Q41" s="49"/>
      <c r="R41" s="47"/>
      <c r="S41" s="47"/>
      <c r="T41" s="48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</row>
    <row r="42" spans="1:37" x14ac:dyDescent="0.25">
      <c r="A42" s="62"/>
      <c r="B42" s="48"/>
      <c r="C42" s="47"/>
      <c r="D42" s="47"/>
      <c r="E42" s="47"/>
      <c r="F42" s="47"/>
      <c r="G42" s="47"/>
      <c r="H42" s="47"/>
      <c r="I42" s="48"/>
      <c r="J42" s="49"/>
      <c r="K42" s="49"/>
      <c r="L42" s="47"/>
      <c r="M42" s="47"/>
      <c r="N42" s="47"/>
      <c r="O42" s="67"/>
      <c r="P42" s="49"/>
      <c r="Q42" s="49"/>
      <c r="R42" s="47"/>
      <c r="S42" s="47"/>
      <c r="T42" s="48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</row>
    <row r="43" spans="1:37" x14ac:dyDescent="0.25">
      <c r="A43" s="48"/>
      <c r="B43" s="48"/>
      <c r="C43" s="47"/>
      <c r="D43" s="47"/>
      <c r="E43" s="47"/>
      <c r="F43" s="47"/>
      <c r="G43" s="47"/>
      <c r="H43" s="47"/>
      <c r="I43" s="48"/>
      <c r="J43" s="49"/>
      <c r="K43" s="49"/>
      <c r="L43" s="47"/>
      <c r="M43" s="47"/>
      <c r="N43" s="47"/>
      <c r="O43" s="67"/>
      <c r="P43" s="49"/>
      <c r="Q43" s="49"/>
      <c r="R43" s="47"/>
      <c r="S43" s="47"/>
      <c r="T43" s="48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</row>
    <row r="44" spans="1:37" x14ac:dyDescent="0.25">
      <c r="A44" s="48"/>
      <c r="B44" s="48"/>
      <c r="C44" s="47"/>
      <c r="D44" s="47"/>
      <c r="E44" s="47"/>
      <c r="F44" s="47"/>
      <c r="G44" s="47"/>
      <c r="H44" s="47"/>
      <c r="I44" s="48"/>
      <c r="J44" s="49"/>
      <c r="K44" s="49"/>
      <c r="L44" s="47"/>
      <c r="M44" s="47"/>
      <c r="N44" s="47"/>
      <c r="O44" s="67"/>
      <c r="P44" s="49"/>
      <c r="Q44" s="49"/>
      <c r="R44" s="47"/>
      <c r="S44" s="47"/>
      <c r="T44" s="48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</row>
    <row r="45" spans="1:37" x14ac:dyDescent="0.25">
      <c r="A45" s="47"/>
      <c r="B45" s="48"/>
      <c r="C45" s="47"/>
      <c r="D45" s="47"/>
      <c r="E45" s="47"/>
      <c r="F45" s="47"/>
      <c r="G45" s="47"/>
      <c r="H45" s="47"/>
      <c r="I45" s="48"/>
      <c r="J45" s="49"/>
      <c r="K45" s="49"/>
      <c r="L45" s="47"/>
      <c r="M45" s="47"/>
      <c r="N45" s="47"/>
      <c r="O45" s="67"/>
      <c r="P45" s="49"/>
      <c r="Q45" s="49"/>
      <c r="R45" s="47"/>
      <c r="S45" s="47"/>
      <c r="T45" s="48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</row>
    <row r="46" spans="1:37" x14ac:dyDescent="0.25">
      <c r="H46" s="143" t="s">
        <v>134</v>
      </c>
      <c r="I46" s="143"/>
      <c r="J46" s="143"/>
      <c r="K46" s="143"/>
      <c r="L46" s="143"/>
      <c r="N46" s="144" t="s">
        <v>42</v>
      </c>
      <c r="O46" s="144"/>
      <c r="P46" s="144"/>
      <c r="Q46" s="144"/>
      <c r="R46" s="144"/>
      <c r="T46" s="48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</row>
    <row r="47" spans="1:37" x14ac:dyDescent="0.25">
      <c r="T47" s="48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</row>
    <row r="48" spans="1:37" x14ac:dyDescent="0.25">
      <c r="I48" s="7" t="s">
        <v>47</v>
      </c>
      <c r="J48" s="13"/>
      <c r="K48" s="13"/>
      <c r="L48" s="2"/>
      <c r="N48" s="2" t="s">
        <v>222</v>
      </c>
      <c r="O48" s="6" t="s">
        <v>47</v>
      </c>
      <c r="P48" s="13" t="str">
        <f>J141</f>
        <v>Uden RGK</v>
      </c>
      <c r="Q48" s="13" t="str">
        <f>K141</f>
        <v>Med 100% RGK</v>
      </c>
      <c r="R48" s="141" t="s">
        <v>305</v>
      </c>
      <c r="T48" s="48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</row>
    <row r="49" spans="1:37" x14ac:dyDescent="0.25">
      <c r="H49" s="2" t="s">
        <v>127</v>
      </c>
      <c r="I49" s="7"/>
      <c r="J49" s="13" t="s">
        <v>0</v>
      </c>
      <c r="K49" s="13" t="s">
        <v>1</v>
      </c>
      <c r="L49" s="3" t="s">
        <v>142</v>
      </c>
      <c r="N49" s="12" t="str">
        <f>H154</f>
        <v>Indtægter total</v>
      </c>
      <c r="O49" s="71" t="str">
        <f>I154</f>
        <v>tkr</v>
      </c>
      <c r="P49" s="16">
        <f>J154</f>
        <v>16010914.876306619</v>
      </c>
      <c r="Q49" s="16">
        <f>K154</f>
        <v>16271220.678117596</v>
      </c>
      <c r="R49" s="16">
        <f>L154</f>
        <v>260305.80181097612</v>
      </c>
      <c r="T49" s="48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</row>
    <row r="50" spans="1:37" x14ac:dyDescent="0.25">
      <c r="H50" s="5" t="s">
        <v>49</v>
      </c>
      <c r="I50" s="7"/>
      <c r="J50" s="11">
        <f>24*C$13</f>
        <v>744</v>
      </c>
      <c r="K50" s="11">
        <f>24*D$13</f>
        <v>744</v>
      </c>
      <c r="N50" s="12" t="str">
        <f>H155</f>
        <v>Omkostninger total</v>
      </c>
      <c r="O50" s="71" t="str">
        <f>I155</f>
        <v>tkr</v>
      </c>
      <c r="P50" s="16">
        <f>J155</f>
        <v>7537028.2537997076</v>
      </c>
      <c r="Q50" s="16">
        <f>K155</f>
        <v>7361984.524240613</v>
      </c>
      <c r="R50" s="16">
        <f>L155</f>
        <v>-175043.72955909465</v>
      </c>
      <c r="T50" s="48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</row>
    <row r="51" spans="1:37" x14ac:dyDescent="0.25">
      <c r="H51" s="5" t="s">
        <v>50</v>
      </c>
      <c r="I51" s="4" t="s">
        <v>41</v>
      </c>
      <c r="J51" s="14">
        <f>J50*C14</f>
        <v>7068</v>
      </c>
      <c r="K51" s="14">
        <f>K50*D14</f>
        <v>16740</v>
      </c>
      <c r="L51" s="14">
        <f>SUM(J51:K51)</f>
        <v>23808</v>
      </c>
      <c r="N51" s="12" t="str">
        <f>H156</f>
        <v>Dækningsbidrag</v>
      </c>
      <c r="O51" s="71" t="str">
        <f>I156</f>
        <v>tkr</v>
      </c>
      <c r="P51" s="16">
        <f>J156</f>
        <v>8473886.6225069128</v>
      </c>
      <c r="Q51" s="16">
        <f>K156</f>
        <v>8909236.1538769826</v>
      </c>
      <c r="R51" s="16">
        <f>L156</f>
        <v>435349.53137006983</v>
      </c>
      <c r="T51" s="48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</row>
    <row r="52" spans="1:37" x14ac:dyDescent="0.25">
      <c r="H52" s="5" t="s">
        <v>63</v>
      </c>
      <c r="I52" s="12" t="s">
        <v>41</v>
      </c>
      <c r="J52" s="14">
        <f>EtaRgkOvn2*(J51/EtaQNomOvn2)</f>
        <v>1488</v>
      </c>
      <c r="K52" s="14">
        <f>EtaRgkOvn3*(K51/EtaQNomOvn3)</f>
        <v>4092</v>
      </c>
      <c r="L52" s="14">
        <f t="shared" ref="L52:L55" si="0">SUM(J52:K52)</f>
        <v>5580</v>
      </c>
      <c r="N52" s="2"/>
      <c r="O52" s="6"/>
      <c r="P52" s="13"/>
      <c r="Q52" s="13"/>
      <c r="R52" s="13"/>
      <c r="T52" s="48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</row>
    <row r="53" spans="1:37" x14ac:dyDescent="0.25">
      <c r="H53" s="5" t="s">
        <v>64</v>
      </c>
      <c r="I53" s="12" t="s">
        <v>41</v>
      </c>
      <c r="J53" s="14">
        <f>SUM(J51:J52)</f>
        <v>8556</v>
      </c>
      <c r="K53" s="14">
        <f>SUM(K51:K52)</f>
        <v>20832</v>
      </c>
      <c r="L53" s="14">
        <f t="shared" si="0"/>
        <v>29388</v>
      </c>
      <c r="N53" s="12" t="str">
        <f>H142</f>
        <v>Varmesalg</v>
      </c>
      <c r="O53" s="71" t="str">
        <f>I142</f>
        <v>tkr</v>
      </c>
      <c r="P53" s="15">
        <f>J142</f>
        <v>7404288</v>
      </c>
      <c r="Q53" s="15">
        <f>K142</f>
        <v>7464000</v>
      </c>
      <c r="R53" s="16">
        <f>L142</f>
        <v>59712</v>
      </c>
      <c r="T53" s="48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</row>
    <row r="54" spans="1:37" x14ac:dyDescent="0.25">
      <c r="H54" s="5" t="s">
        <v>51</v>
      </c>
      <c r="I54" s="4" t="s">
        <v>52</v>
      </c>
      <c r="J54" s="11">
        <f>J51/EtaQNomOvn2</f>
        <v>8374.4075829383892</v>
      </c>
      <c r="K54" s="11">
        <f>K51/EtaQNomOvn3</f>
        <v>25518.292682926829</v>
      </c>
      <c r="L54" s="14">
        <f t="shared" si="0"/>
        <v>33892.70026586522</v>
      </c>
      <c r="N54" s="12" t="str">
        <f>H143</f>
        <v>Elsalg</v>
      </c>
      <c r="O54" s="71" t="str">
        <f>I143</f>
        <v>tkr</v>
      </c>
      <c r="P54" s="15">
        <f>J143</f>
        <v>3947332.4512195126</v>
      </c>
      <c r="Q54" s="15">
        <f>K143</f>
        <v>3947332.4512195126</v>
      </c>
      <c r="R54" s="16">
        <f>L143</f>
        <v>0</v>
      </c>
      <c r="T54" s="48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</row>
    <row r="55" spans="1:37" x14ac:dyDescent="0.25">
      <c r="H55" s="5" t="s">
        <v>53</v>
      </c>
      <c r="I55" s="12" t="s">
        <v>16</v>
      </c>
      <c r="J55" s="14">
        <f>J54*3.6/Htotal</f>
        <v>2850.9152248097034</v>
      </c>
      <c r="K55" s="14">
        <f>K54/(Htotal/3.6)</f>
        <v>8687.2400704647407</v>
      </c>
      <c r="L55" s="14">
        <f t="shared" si="0"/>
        <v>11538.155295274444</v>
      </c>
      <c r="N55" s="12" t="str">
        <f>H144</f>
        <v>RGK-rabat</v>
      </c>
      <c r="O55" s="71" t="str">
        <f>I144</f>
        <v>tkr</v>
      </c>
      <c r="P55" s="15">
        <f>J144</f>
        <v>0</v>
      </c>
      <c r="Q55" s="15">
        <f>K144</f>
        <v>200593.80181097562</v>
      </c>
      <c r="R55" s="16">
        <f>L144</f>
        <v>200593.80181097562</v>
      </c>
      <c r="T55" s="48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</row>
    <row r="56" spans="1:37" x14ac:dyDescent="0.25">
      <c r="H56" s="6" t="s">
        <v>339</v>
      </c>
      <c r="I56" s="12"/>
      <c r="J56" s="91" t="s">
        <v>343</v>
      </c>
      <c r="K56" s="91" t="s">
        <v>88</v>
      </c>
      <c r="L56" s="91" t="s">
        <v>380</v>
      </c>
      <c r="N56" s="12" t="str">
        <f>H145</f>
        <v>Modtagebetaling affald</v>
      </c>
      <c r="O56" s="71" t="str">
        <f>I145</f>
        <v>tkr</v>
      </c>
      <c r="P56" s="15">
        <f>J145</f>
        <v>4659294.4250871083</v>
      </c>
      <c r="Q56" s="15">
        <f>K145</f>
        <v>4659294.4250871073</v>
      </c>
      <c r="R56" s="16">
        <f>L145</f>
        <v>0</v>
      </c>
      <c r="T56" s="48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</row>
    <row r="57" spans="1:37" x14ac:dyDescent="0.25">
      <c r="H57" s="4" t="s">
        <v>340</v>
      </c>
      <c r="I57" s="12"/>
      <c r="J57" s="14">
        <f>FFossilFast</f>
        <v>8500</v>
      </c>
      <c r="K57" s="14">
        <f>HfossilFast</f>
        <v>10.199999999999999</v>
      </c>
      <c r="L57" s="14">
        <f>Ffrak1*Hfrak1</f>
        <v>86700</v>
      </c>
      <c r="N57" s="12"/>
      <c r="O57" s="71"/>
      <c r="P57" s="16"/>
      <c r="Q57" s="16"/>
      <c r="R57" s="16"/>
      <c r="T57" s="48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</row>
    <row r="58" spans="1:37" x14ac:dyDescent="0.25">
      <c r="A58" s="2" t="s">
        <v>336</v>
      </c>
      <c r="H58" s="4" t="s">
        <v>341</v>
      </c>
      <c r="I58" s="12"/>
      <c r="J58" s="14">
        <f>IF(bFossilFriOverBiogen,FFossilFri,FBiogenFri)</f>
        <v>3200</v>
      </c>
      <c r="K58" s="14">
        <f>IF(bFossilFriOverBiogen,HfossilFri,HBiogenFri)</f>
        <v>10.5</v>
      </c>
      <c r="L58" s="14">
        <f>Ffrak1*Hfrak1</f>
        <v>86700</v>
      </c>
      <c r="N58" s="12" t="str">
        <f>H147</f>
        <v>Betaling bioaffald</v>
      </c>
      <c r="O58" s="71" t="str">
        <f>I147</f>
        <v>tkr</v>
      </c>
      <c r="P58" s="16">
        <f>J147</f>
        <v>3819.149561570111</v>
      </c>
      <c r="Q58" s="16">
        <f>K147</f>
        <v>0</v>
      </c>
      <c r="R58" s="16">
        <f>L147</f>
        <v>-3819.149561570111</v>
      </c>
      <c r="T58" s="48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</row>
    <row r="59" spans="1:37" x14ac:dyDescent="0.25">
      <c r="A59" t="s">
        <v>337</v>
      </c>
      <c r="H59" s="4" t="s">
        <v>342</v>
      </c>
      <c r="I59" s="12"/>
      <c r="J59" s="14">
        <f>IF(bFossilFriOverBiogen,FBiogenFri,FFossilFri)</f>
        <v>1000</v>
      </c>
      <c r="K59" s="14">
        <f>IF(bFossilFriOverBiogen,HBiogenFri,HfossilFri)</f>
        <v>14</v>
      </c>
      <c r="L59" s="14">
        <f>Ffrak1*Hfrak1</f>
        <v>86700</v>
      </c>
      <c r="N59" s="12" t="str">
        <f>H148</f>
        <v>DV-omkostninger</v>
      </c>
      <c r="O59" s="71" t="str">
        <f>I148</f>
        <v>tkr</v>
      </c>
      <c r="P59" s="15">
        <f>J148</f>
        <v>1049040</v>
      </c>
      <c r="Q59" s="15">
        <f>K148</f>
        <v>1089960</v>
      </c>
      <c r="R59" s="16">
        <f>L148</f>
        <v>40920</v>
      </c>
      <c r="T59" s="48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</row>
    <row r="60" spans="1:37" x14ac:dyDescent="0.25">
      <c r="H60" s="5"/>
      <c r="I60" s="12"/>
      <c r="J60" s="14"/>
      <c r="K60" s="14"/>
      <c r="L60" s="14"/>
      <c r="N60" s="12" t="str">
        <f>H149</f>
        <v>Affaldvarme-afgift</v>
      </c>
      <c r="O60" s="71" t="str">
        <f>I149</f>
        <v>tkr</v>
      </c>
      <c r="P60" s="15">
        <f>J149</f>
        <v>2170903.8075557207</v>
      </c>
      <c r="Q60" s="15">
        <f>K149</f>
        <v>2229120</v>
      </c>
      <c r="R60" s="16">
        <f>L149</f>
        <v>58216.192444279324</v>
      </c>
      <c r="T60" s="48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</row>
    <row r="61" spans="1:37" x14ac:dyDescent="0.25">
      <c r="H61" s="4"/>
      <c r="J61" s="14"/>
      <c r="K61" s="14"/>
      <c r="N61" s="12" t="str">
        <f>H150</f>
        <v>Tillægsafgift</v>
      </c>
      <c r="O61" s="71" t="str">
        <f>I150</f>
        <v>tkr</v>
      </c>
      <c r="P61" s="16">
        <f>J150</f>
        <v>2229804.2984583955</v>
      </c>
      <c r="Q61" s="16">
        <f>K150</f>
        <v>2005938.0181097561</v>
      </c>
      <c r="R61" s="16">
        <f>L150</f>
        <v>-223866.28034863947</v>
      </c>
      <c r="T61" s="48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</row>
    <row r="62" spans="1:37" x14ac:dyDescent="0.25">
      <c r="H62" s="6" t="s">
        <v>128</v>
      </c>
      <c r="J62" s="13" t="s">
        <v>43</v>
      </c>
      <c r="K62" s="13" t="str">
        <f>"Med "&amp;TEXT(RGKudnyttelse,"0%")&amp;" RGK"</f>
        <v>Med 100% RGK</v>
      </c>
      <c r="L62" s="2" t="s">
        <v>131</v>
      </c>
      <c r="N62" s="12" t="str">
        <f>H151</f>
        <v>CO2-afgift</v>
      </c>
      <c r="O62" s="71" t="str">
        <f>I151</f>
        <v>tkr</v>
      </c>
      <c r="P62" s="16">
        <f>J151</f>
        <v>463105.10972227901</v>
      </c>
      <c r="Q62" s="16">
        <f>K151</f>
        <v>416610.61762911582</v>
      </c>
      <c r="R62" s="16">
        <f>L151</f>
        <v>-46494.492093163193</v>
      </c>
      <c r="T62" s="48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</row>
    <row r="63" spans="1:37" x14ac:dyDescent="0.25">
      <c r="H63" s="6" t="s">
        <v>344</v>
      </c>
      <c r="I63" s="4" t="s">
        <v>41</v>
      </c>
      <c r="J63" s="14">
        <f>MIN(Qdemand,K51,EtaQNomOvn3*Ffrak1*Hfrak1/3.6)</f>
        <v>15798.666666666666</v>
      </c>
      <c r="K63" s="14">
        <f>MIN(Qdemand,K53,EtaQmaxOvn3*Ffrak1*Hfrak1/3.6)</f>
        <v>19660.562962962966</v>
      </c>
      <c r="L63" s="11">
        <f>K63-J63</f>
        <v>3861.8962962962996</v>
      </c>
      <c r="N63" s="12" t="str">
        <f>H152</f>
        <v>Kvote-omkostning</v>
      </c>
      <c r="O63" s="71" t="str">
        <f>I152</f>
        <v>tkr</v>
      </c>
      <c r="P63" s="16">
        <f>J152</f>
        <v>1620355.8885017419</v>
      </c>
      <c r="Q63" s="16">
        <f>K152</f>
        <v>1620355.8885017419</v>
      </c>
      <c r="R63" s="16">
        <f>L152</f>
        <v>0</v>
      </c>
      <c r="T63" s="48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</row>
    <row r="64" spans="1:37" x14ac:dyDescent="0.25">
      <c r="H64" s="4" t="s">
        <v>346</v>
      </c>
      <c r="I64" s="4" t="s">
        <v>16</v>
      </c>
      <c r="J64" s="11">
        <f>$J$63/EtaQNomOvn3/(Hfrak1/3.6)</f>
        <v>8500</v>
      </c>
      <c r="K64" s="11">
        <f>$K$63/EtaQmaxOvn3/(Hfrak1/3.6)</f>
        <v>8500.0000000000018</v>
      </c>
      <c r="L64" s="11">
        <f t="shared" ref="L64:L139" si="1">K64-J64</f>
        <v>0</v>
      </c>
      <c r="N64" s="12"/>
      <c r="O64" s="71"/>
      <c r="P64" s="16"/>
      <c r="Q64" s="16"/>
      <c r="R64" s="16"/>
      <c r="T64" s="48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</row>
    <row r="65" spans="8:37" x14ac:dyDescent="0.25">
      <c r="H65" s="4" t="s">
        <v>345</v>
      </c>
      <c r="I65" s="4" t="s">
        <v>41</v>
      </c>
      <c r="J65" s="14">
        <f>Qdemand-J63</f>
        <v>12201.333333333334</v>
      </c>
      <c r="K65" s="14">
        <f>Qdemand-K63</f>
        <v>8339.4370370370343</v>
      </c>
      <c r="L65" s="11">
        <f t="shared" si="1"/>
        <v>-3861.8962962962996</v>
      </c>
      <c r="N65" s="6" t="s">
        <v>223</v>
      </c>
      <c r="O65" s="5"/>
      <c r="P65" s="13" t="str">
        <f>P48</f>
        <v>Uden RGK</v>
      </c>
      <c r="Q65" s="13" t="str">
        <f>Q48</f>
        <v>Med 100% RGK</v>
      </c>
      <c r="R65" s="11"/>
      <c r="T65" s="48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</row>
    <row r="66" spans="8:37" x14ac:dyDescent="0.25">
      <c r="H66" s="4" t="s">
        <v>347</v>
      </c>
      <c r="I66" s="4" t="s">
        <v>16</v>
      </c>
      <c r="J66" s="14">
        <f>Ffrak1-J64</f>
        <v>0</v>
      </c>
      <c r="K66" s="14">
        <f>Ffrak1-K64</f>
        <v>0</v>
      </c>
      <c r="L66" s="11">
        <f t="shared" si="1"/>
        <v>0</v>
      </c>
      <c r="N66" s="4" t="str">
        <f>H121</f>
        <v>Varmeproduktion Ovn2</v>
      </c>
      <c r="O66" s="5" t="s">
        <v>41</v>
      </c>
      <c r="P66" s="11">
        <f>J121</f>
        <v>7068</v>
      </c>
      <c r="Q66" s="11">
        <f>K121</f>
        <v>3168</v>
      </c>
      <c r="R66" s="11">
        <f>Q66-P66</f>
        <v>-3900</v>
      </c>
      <c r="T66" s="48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</row>
    <row r="67" spans="8:37" x14ac:dyDescent="0.25">
      <c r="H67" s="4" t="s">
        <v>352</v>
      </c>
      <c r="I67" s="4" t="s">
        <v>16</v>
      </c>
      <c r="J67" s="14">
        <f>$K$51-J63</f>
        <v>941.33333333333394</v>
      </c>
      <c r="K67" s="14">
        <f>K53-K63</f>
        <v>1171.4370370370343</v>
      </c>
      <c r="L67" s="11">
        <f t="shared" ref="L67" si="2">K67-J67</f>
        <v>230.10370370370038</v>
      </c>
      <c r="N67" s="4" t="str">
        <f>H122</f>
        <v>Varmeproduktion Ovn3</v>
      </c>
      <c r="O67" s="5" t="s">
        <v>41</v>
      </c>
      <c r="P67" s="11">
        <f>J122</f>
        <v>16740</v>
      </c>
      <c r="Q67" s="11">
        <f>K122</f>
        <v>20832</v>
      </c>
      <c r="R67" s="11">
        <f t="shared" ref="R67:R71" si="3">Q67-P67</f>
        <v>4092</v>
      </c>
      <c r="T67" s="48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</row>
    <row r="68" spans="8:37" x14ac:dyDescent="0.25">
      <c r="H68" s="6" t="s">
        <v>348</v>
      </c>
      <c r="I68" s="4" t="s">
        <v>41</v>
      </c>
      <c r="J68" s="14">
        <f>MIN(J65,J67,EtaQNomOvn3*Ffrak2*Hfrak2/3.6)</f>
        <v>941.33333333333394</v>
      </c>
      <c r="K68" s="14">
        <f>MIN(K65,K67,EtaQmaxOvn3*Ffrak2*Hfrak2/3.6)</f>
        <v>1171.4370370370343</v>
      </c>
      <c r="L68" s="11">
        <f>K68-J68</f>
        <v>230.10370370370038</v>
      </c>
      <c r="N68" s="4" t="str">
        <f>H124</f>
        <v>Heraf RGK-varme</v>
      </c>
      <c r="O68" s="5" t="s">
        <v>41</v>
      </c>
      <c r="P68" s="11">
        <f>J124</f>
        <v>0</v>
      </c>
      <c r="Q68" s="11">
        <f>K124</f>
        <v>4092</v>
      </c>
      <c r="R68" s="11">
        <f t="shared" si="3"/>
        <v>4092</v>
      </c>
      <c r="T68" s="48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</row>
    <row r="69" spans="8:37" x14ac:dyDescent="0.25">
      <c r="H69" s="4" t="s">
        <v>349</v>
      </c>
      <c r="I69" s="4" t="s">
        <v>16</v>
      </c>
      <c r="J69" s="11">
        <f>J68/EtaQNomOvn3/(Hfrak2/3.6)</f>
        <v>491.98606271777038</v>
      </c>
      <c r="K69" s="11">
        <f>K68/EtaQmaxOvn3/(Hfrak2/3.6)</f>
        <v>491.9860627177689</v>
      </c>
      <c r="L69" s="11">
        <f t="shared" ref="L69:L72" si="4">K69-J69</f>
        <v>-1.4779288903810084E-12</v>
      </c>
      <c r="N69" s="4" t="str">
        <f>H105</f>
        <v>Bortkølet varme</v>
      </c>
      <c r="O69" s="5" t="s">
        <v>41</v>
      </c>
      <c r="P69" s="11">
        <f>J105</f>
        <v>0</v>
      </c>
      <c r="Q69" s="11">
        <f>K105</f>
        <v>0</v>
      </c>
      <c r="R69" s="11">
        <f t="shared" si="3"/>
        <v>0</v>
      </c>
      <c r="T69" s="48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</row>
    <row r="70" spans="8:37" x14ac:dyDescent="0.25">
      <c r="H70" s="4" t="s">
        <v>350</v>
      </c>
      <c r="I70" s="4" t="s">
        <v>41</v>
      </c>
      <c r="J70" s="14">
        <f>J65-J68</f>
        <v>11260</v>
      </c>
      <c r="K70" s="14">
        <f>K65-K68</f>
        <v>7168</v>
      </c>
      <c r="L70" s="11">
        <f t="shared" si="4"/>
        <v>-4092</v>
      </c>
      <c r="N70" s="4" t="str">
        <f>H128</f>
        <v>Leveret affaldsvarme</v>
      </c>
      <c r="O70" s="5" t="s">
        <v>41</v>
      </c>
      <c r="P70" s="11">
        <f>J128</f>
        <v>23808</v>
      </c>
      <c r="Q70" s="11">
        <f>K128</f>
        <v>24000</v>
      </c>
      <c r="R70" s="11">
        <f t="shared" si="3"/>
        <v>192</v>
      </c>
      <c r="T70" s="48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</row>
    <row r="71" spans="8:37" x14ac:dyDescent="0.25">
      <c r="H71" s="4" t="s">
        <v>351</v>
      </c>
      <c r="I71" s="4" t="s">
        <v>16</v>
      </c>
      <c r="J71" s="14">
        <f>Ffrak2-J69</f>
        <v>2708.0139372822296</v>
      </c>
      <c r="K71" s="14">
        <f>Ffrak2-K69</f>
        <v>2708.0139372822309</v>
      </c>
      <c r="L71" s="11">
        <f t="shared" si="4"/>
        <v>0</v>
      </c>
      <c r="N71" s="4" t="str">
        <f>H129</f>
        <v>Spidslastvarme</v>
      </c>
      <c r="O71" s="5" t="s">
        <v>41</v>
      </c>
      <c r="P71" s="11">
        <f>J129</f>
        <v>192</v>
      </c>
      <c r="Q71" s="11">
        <f>K129</f>
        <v>0</v>
      </c>
      <c r="R71" s="11">
        <f t="shared" si="3"/>
        <v>-192</v>
      </c>
      <c r="T71" s="48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</row>
    <row r="72" spans="8:37" x14ac:dyDescent="0.25">
      <c r="H72" s="4" t="s">
        <v>353</v>
      </c>
      <c r="I72" s="4" t="s">
        <v>16</v>
      </c>
      <c r="J72" s="14">
        <f>J67-J68</f>
        <v>0</v>
      </c>
      <c r="K72" s="14">
        <f>K67-K68</f>
        <v>0</v>
      </c>
      <c r="L72" s="11">
        <f t="shared" si="4"/>
        <v>0</v>
      </c>
      <c r="N72" s="4"/>
      <c r="O72" s="5"/>
      <c r="P72" s="16"/>
      <c r="Q72" s="16"/>
      <c r="R72" s="11"/>
      <c r="T72" s="48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</row>
    <row r="73" spans="8:37" x14ac:dyDescent="0.25">
      <c r="H73" s="6" t="s">
        <v>355</v>
      </c>
      <c r="I73" s="4" t="s">
        <v>41</v>
      </c>
      <c r="J73" s="14">
        <f>MIN(J70,J72,EtaQNomOvn3*Ffrak3*Hfrak3/3.6)</f>
        <v>0</v>
      </c>
      <c r="K73" s="14">
        <f>MIN(K70,K72,EtaQmaxOvn3*Ffrak3*Hfrak3/3.6)</f>
        <v>0</v>
      </c>
      <c r="L73" s="11">
        <f>K73-J73</f>
        <v>0</v>
      </c>
      <c r="N73" s="6" t="s">
        <v>224</v>
      </c>
      <c r="O73" s="5"/>
      <c r="P73" s="63" t="str">
        <f>P48</f>
        <v>Uden RGK</v>
      </c>
      <c r="Q73" s="63" t="str">
        <f>Q48</f>
        <v>Med 100% RGK</v>
      </c>
      <c r="R73" s="11"/>
      <c r="T73" s="48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</row>
    <row r="74" spans="8:37" x14ac:dyDescent="0.25">
      <c r="H74" s="4" t="s">
        <v>356</v>
      </c>
      <c r="I74" s="4" t="s">
        <v>16</v>
      </c>
      <c r="J74" s="11">
        <f>J73/EtaQNomOvn3/(Hfrak3/3.6)</f>
        <v>0</v>
      </c>
      <c r="K74" s="11">
        <f>K73/EtaQmaxOvn3/(Hfrak3/3.6)</f>
        <v>0</v>
      </c>
      <c r="L74" s="11">
        <f t="shared" ref="L74:L77" si="5">K74-J74</f>
        <v>0</v>
      </c>
      <c r="N74" s="4" t="s">
        <v>135</v>
      </c>
      <c r="O74" s="5" t="s">
        <v>16</v>
      </c>
      <c r="P74" s="11">
        <f>J64+J69+J74</f>
        <v>8991.9860627177695</v>
      </c>
      <c r="Q74" s="11">
        <f>K64+K69+K74</f>
        <v>8991.9860627177713</v>
      </c>
      <c r="R74" s="11">
        <f>Q74-P74</f>
        <v>0</v>
      </c>
      <c r="T74" s="48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</row>
    <row r="75" spans="8:37" x14ac:dyDescent="0.25">
      <c r="H75" s="4" t="s">
        <v>357</v>
      </c>
      <c r="I75" s="4" t="s">
        <v>41</v>
      </c>
      <c r="J75" s="14">
        <f>J70-J73</f>
        <v>11260</v>
      </c>
      <c r="K75" s="14">
        <f>K70-K73</f>
        <v>7168</v>
      </c>
      <c r="L75" s="11">
        <f t="shared" si="5"/>
        <v>-4092</v>
      </c>
      <c r="N75" s="4" t="s">
        <v>136</v>
      </c>
      <c r="O75" s="5" t="s">
        <v>41</v>
      </c>
      <c r="P75" s="11">
        <f>J78</f>
        <v>4000</v>
      </c>
      <c r="Q75" s="11">
        <f>K78</f>
        <v>4000</v>
      </c>
      <c r="R75" s="11">
        <f t="shared" ref="R75:R83" si="6">Q75-P75</f>
        <v>0</v>
      </c>
      <c r="T75" s="48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</row>
    <row r="76" spans="8:37" x14ac:dyDescent="0.25">
      <c r="H76" s="4" t="s">
        <v>358</v>
      </c>
      <c r="I76" s="4" t="s">
        <v>16</v>
      </c>
      <c r="J76" s="14">
        <f>Ffrak3-J74</f>
        <v>1000</v>
      </c>
      <c r="K76" s="14">
        <f>Ffrak3-K74</f>
        <v>1000</v>
      </c>
      <c r="L76" s="11">
        <f t="shared" si="5"/>
        <v>0</v>
      </c>
      <c r="N76" s="4" t="s">
        <v>137</v>
      </c>
      <c r="O76" s="5" t="s">
        <v>16</v>
      </c>
      <c r="P76" s="11">
        <f>J81+J86+J91</f>
        <v>163.21151972521841</v>
      </c>
      <c r="Q76" s="11">
        <f>K81+K86+K91</f>
        <v>0</v>
      </c>
      <c r="R76" s="11">
        <f t="shared" si="6"/>
        <v>-163.21151972521841</v>
      </c>
      <c r="T76" s="48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</row>
    <row r="77" spans="8:37" x14ac:dyDescent="0.25">
      <c r="H77" s="4" t="s">
        <v>359</v>
      </c>
      <c r="I77" s="4" t="s">
        <v>16</v>
      </c>
      <c r="J77" s="14">
        <f>J72-J73</f>
        <v>0</v>
      </c>
      <c r="K77" s="14">
        <f>K72-K73</f>
        <v>0</v>
      </c>
      <c r="L77" s="11">
        <f t="shared" si="5"/>
        <v>0</v>
      </c>
      <c r="N77" s="4" t="s">
        <v>93</v>
      </c>
      <c r="O77" s="5" t="s">
        <v>16</v>
      </c>
      <c r="P77" s="11">
        <f>J100</f>
        <v>0</v>
      </c>
      <c r="Q77" s="11">
        <f>K100</f>
        <v>0</v>
      </c>
      <c r="R77" s="11">
        <f t="shared" si="6"/>
        <v>0</v>
      </c>
      <c r="T77" s="48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</row>
    <row r="78" spans="8:37" x14ac:dyDescent="0.25">
      <c r="H78" s="6" t="s">
        <v>362</v>
      </c>
      <c r="I78" s="4" t="s">
        <v>41</v>
      </c>
      <c r="J78" s="14">
        <f>MIN(J75,NSvarme)</f>
        <v>4000</v>
      </c>
      <c r="K78" s="14">
        <f>MIN(K65,NSvarme)</f>
        <v>4000</v>
      </c>
      <c r="L78" s="11">
        <f t="shared" si="1"/>
        <v>0</v>
      </c>
      <c r="N78" s="4" t="s">
        <v>94</v>
      </c>
      <c r="O78" s="5" t="s">
        <v>16</v>
      </c>
      <c r="P78" s="11">
        <f>J103</f>
        <v>0</v>
      </c>
      <c r="Q78" s="11">
        <f>K103</f>
        <v>0</v>
      </c>
      <c r="R78" s="11">
        <f t="shared" si="6"/>
        <v>0</v>
      </c>
      <c r="T78" s="48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</row>
    <row r="79" spans="8:37" x14ac:dyDescent="0.25">
      <c r="H79" s="4" t="s">
        <v>56</v>
      </c>
      <c r="I79" s="4" t="s">
        <v>41</v>
      </c>
      <c r="J79" s="14">
        <f>J75-J78</f>
        <v>7260</v>
      </c>
      <c r="K79" s="14">
        <f>K75-K78</f>
        <v>3168</v>
      </c>
      <c r="L79" s="11">
        <f t="shared" si="1"/>
        <v>-4092</v>
      </c>
      <c r="N79" s="4" t="s">
        <v>139</v>
      </c>
      <c r="O79" s="5" t="s">
        <v>16</v>
      </c>
      <c r="P79" s="11">
        <f>SUM(P81:P83)</f>
        <v>9155.1975824429883</v>
      </c>
      <c r="Q79" s="11">
        <f>SUM(Q81:Q83)</f>
        <v>8991.9860627177695</v>
      </c>
      <c r="R79" s="11">
        <f t="shared" si="6"/>
        <v>-163.21151972521875</v>
      </c>
      <c r="T79" s="48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</row>
    <row r="80" spans="8:37" x14ac:dyDescent="0.25">
      <c r="H80" s="6" t="s">
        <v>361</v>
      </c>
      <c r="I80" s="4" t="s">
        <v>41</v>
      </c>
      <c r="J80" s="14">
        <f>MIN(J79,$J$51,EtaQNomOvn2*(J66*Hfrak1)/3.6)</f>
        <v>0</v>
      </c>
      <c r="K80" s="14">
        <f>MIN(K79,$J$53,EtaQmaxOvn2*(K66*Hfrak1)/3.6)</f>
        <v>0</v>
      </c>
      <c r="L80" s="11">
        <f t="shared" si="1"/>
        <v>0</v>
      </c>
      <c r="N80" s="4" t="s">
        <v>138</v>
      </c>
      <c r="O80" s="5" t="s">
        <v>16</v>
      </c>
      <c r="P80" s="14">
        <f>SUM(P84:P86)</f>
        <v>3544.8024175570113</v>
      </c>
      <c r="Q80" s="14">
        <f>SUM(Q84:Q86)</f>
        <v>3708.0139372822309</v>
      </c>
      <c r="R80" s="11">
        <f t="shared" si="6"/>
        <v>163.21151972521966</v>
      </c>
      <c r="T80" s="48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</row>
    <row r="81" spans="8:37" x14ac:dyDescent="0.25">
      <c r="H81" s="4" t="s">
        <v>360</v>
      </c>
      <c r="I81" s="4" t="s">
        <v>16</v>
      </c>
      <c r="J81" s="14">
        <f>J80/EtaQNomOvn2/(Hfrak1/3.6)</f>
        <v>0</v>
      </c>
      <c r="K81" s="14">
        <f>K80/EtaQmaxOvn2/(Hfrak1/3.6)</f>
        <v>0</v>
      </c>
      <c r="L81" s="11">
        <f t="shared" si="1"/>
        <v>0</v>
      </c>
      <c r="N81" s="4" t="s">
        <v>383</v>
      </c>
      <c r="O81" s="5" t="s">
        <v>16</v>
      </c>
      <c r="P81" s="14">
        <f>J112</f>
        <v>8500</v>
      </c>
      <c r="Q81" s="14">
        <f>K112</f>
        <v>8500</v>
      </c>
      <c r="R81" s="11">
        <f t="shared" si="6"/>
        <v>0</v>
      </c>
      <c r="T81" s="48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</row>
    <row r="82" spans="8:37" x14ac:dyDescent="0.25">
      <c r="H82" s="4" t="s">
        <v>345</v>
      </c>
      <c r="I82" s="4" t="s">
        <v>41</v>
      </c>
      <c r="J82" s="14">
        <f>J79-J80</f>
        <v>7260</v>
      </c>
      <c r="K82" s="14">
        <f>K79-K80</f>
        <v>3168</v>
      </c>
      <c r="L82" s="11">
        <f t="shared" si="1"/>
        <v>-4092</v>
      </c>
      <c r="N82" s="4" t="s">
        <v>382</v>
      </c>
      <c r="O82" s="5" t="s">
        <v>16</v>
      </c>
      <c r="P82" s="14">
        <f t="shared" ref="P82:Q82" si="7">J113</f>
        <v>491.98606271777044</v>
      </c>
      <c r="Q82" s="14">
        <f t="shared" si="7"/>
        <v>491.98606271776907</v>
      </c>
      <c r="R82" s="11">
        <f t="shared" si="6"/>
        <v>-1.3642420526593924E-12</v>
      </c>
      <c r="T82" s="48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</row>
    <row r="83" spans="8:37" x14ac:dyDescent="0.25">
      <c r="H83" s="4" t="s">
        <v>347</v>
      </c>
      <c r="I83" s="4" t="s">
        <v>16</v>
      </c>
      <c r="J83" s="14">
        <f>J66-J81</f>
        <v>0</v>
      </c>
      <c r="K83" s="14">
        <f>K66-K81</f>
        <v>0</v>
      </c>
      <c r="L83" s="11">
        <f t="shared" si="1"/>
        <v>0</v>
      </c>
      <c r="N83" s="4" t="s">
        <v>381</v>
      </c>
      <c r="O83" s="5" t="s">
        <v>16</v>
      </c>
      <c r="P83" s="14">
        <f t="shared" ref="P83:Q83" si="8">J114</f>
        <v>163.21151972521841</v>
      </c>
      <c r="Q83" s="14">
        <f t="shared" si="8"/>
        <v>0</v>
      </c>
      <c r="R83" s="11">
        <f t="shared" si="6"/>
        <v>-163.21151972521841</v>
      </c>
      <c r="T83" s="48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</row>
    <row r="84" spans="8:37" x14ac:dyDescent="0.25">
      <c r="H84" s="4" t="s">
        <v>352</v>
      </c>
      <c r="I84" s="4" t="s">
        <v>16</v>
      </c>
      <c r="J84" s="14">
        <f>J51-J80</f>
        <v>7068</v>
      </c>
      <c r="K84" s="14">
        <f>J53-K80</f>
        <v>8556</v>
      </c>
      <c r="L84" s="11">
        <f t="shared" si="1"/>
        <v>1488</v>
      </c>
      <c r="N84" s="4" t="s">
        <v>384</v>
      </c>
      <c r="O84" s="5" t="s">
        <v>16</v>
      </c>
      <c r="P84" s="14">
        <f>J115</f>
        <v>0</v>
      </c>
      <c r="Q84" s="14">
        <f>K115</f>
        <v>0</v>
      </c>
      <c r="R84" s="11">
        <f t="shared" ref="R84:R86" si="9">Q84-P84</f>
        <v>0</v>
      </c>
      <c r="T84" s="48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</row>
    <row r="85" spans="8:37" x14ac:dyDescent="0.25">
      <c r="H85" s="6" t="s">
        <v>363</v>
      </c>
      <c r="I85" s="4" t="s">
        <v>41</v>
      </c>
      <c r="J85" s="14">
        <f>MIN(J82,J84,EtaQNomOvn2*(J71*Hfrak2)/3.6)</f>
        <v>6666.2276422764207</v>
      </c>
      <c r="K85" s="14">
        <f>MIN(K82,K84,EtaQmaxOvn2*(K71*Hfrak2)/3.6)</f>
        <v>3168</v>
      </c>
      <c r="L85" s="11">
        <f t="shared" ref="L85:L89" si="10">K85-J85</f>
        <v>-3498.2276422764207</v>
      </c>
      <c r="N85" s="4" t="s">
        <v>385</v>
      </c>
      <c r="O85" s="5" t="s">
        <v>16</v>
      </c>
      <c r="P85" s="14">
        <f t="shared" ref="P85:Q86" si="11">J116</f>
        <v>2708.0139372822296</v>
      </c>
      <c r="Q85" s="14">
        <f t="shared" si="11"/>
        <v>2708.0139372822309</v>
      </c>
      <c r="R85" s="11">
        <f t="shared" si="9"/>
        <v>0</v>
      </c>
      <c r="T85" s="48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</row>
    <row r="86" spans="8:37" x14ac:dyDescent="0.25">
      <c r="H86" s="4" t="s">
        <v>364</v>
      </c>
      <c r="I86" s="4" t="s">
        <v>16</v>
      </c>
      <c r="J86" s="14">
        <f>J80/EtaQNomOvn2/(Hfrak2/3.6)</f>
        <v>0</v>
      </c>
      <c r="K86" s="14">
        <f>K80/EtaQmaxOvn2/(Hfrak2/3.6)</f>
        <v>0</v>
      </c>
      <c r="L86" s="11">
        <f t="shared" si="10"/>
        <v>0</v>
      </c>
      <c r="N86" s="4" t="s">
        <v>386</v>
      </c>
      <c r="O86" s="5" t="s">
        <v>16</v>
      </c>
      <c r="P86" s="14">
        <f t="shared" si="11"/>
        <v>836.78848027478159</v>
      </c>
      <c r="Q86" s="14">
        <f t="shared" si="11"/>
        <v>1000</v>
      </c>
      <c r="R86" s="11">
        <f t="shared" si="9"/>
        <v>163.21151972521841</v>
      </c>
      <c r="T86" s="48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</row>
    <row r="87" spans="8:37" x14ac:dyDescent="0.25">
      <c r="H87" s="4" t="s">
        <v>350</v>
      </c>
      <c r="I87" s="4" t="s">
        <v>41</v>
      </c>
      <c r="J87" s="14">
        <f>J82-J85</f>
        <v>593.77235772357926</v>
      </c>
      <c r="K87" s="14">
        <f>K82-K85</f>
        <v>0</v>
      </c>
      <c r="L87" s="11">
        <f t="shared" si="10"/>
        <v>-593.77235772357926</v>
      </c>
      <c r="O87" s="5"/>
      <c r="R87" s="11"/>
      <c r="T87" s="48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</row>
    <row r="88" spans="8:37" x14ac:dyDescent="0.25">
      <c r="H88" s="4" t="s">
        <v>351</v>
      </c>
      <c r="I88" s="4" t="s">
        <v>16</v>
      </c>
      <c r="J88" s="14">
        <f>J71-J86</f>
        <v>2708.0139372822296</v>
      </c>
      <c r="K88" s="14">
        <f>K71-K86</f>
        <v>2708.0139372822309</v>
      </c>
      <c r="L88" s="11">
        <f t="shared" si="10"/>
        <v>0</v>
      </c>
      <c r="N88" s="6" t="s">
        <v>225</v>
      </c>
      <c r="O88" s="5"/>
      <c r="P88" s="63" t="str">
        <f>P48</f>
        <v>Uden RGK</v>
      </c>
      <c r="Q88" s="63" t="str">
        <f>Q48</f>
        <v>Med 100% RGK</v>
      </c>
      <c r="R88" s="11"/>
      <c r="T88" s="48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</row>
    <row r="89" spans="8:37" x14ac:dyDescent="0.25">
      <c r="H89" s="4" t="s">
        <v>353</v>
      </c>
      <c r="I89" s="4" t="s">
        <v>16</v>
      </c>
      <c r="J89" s="14">
        <f>J84-J85</f>
        <v>401.77235772357926</v>
      </c>
      <c r="K89" s="14">
        <f>K84-K85</f>
        <v>5388</v>
      </c>
      <c r="L89" s="11">
        <f t="shared" si="10"/>
        <v>4986.2276422764207</v>
      </c>
      <c r="N89" s="4" t="s">
        <v>407</v>
      </c>
      <c r="O89" s="5"/>
      <c r="P89" s="1">
        <f>(1-J97/$J$51)</f>
        <v>1</v>
      </c>
      <c r="Q89" s="1">
        <f>(1-K97/$J$53)</f>
        <v>0.3702664796633941</v>
      </c>
      <c r="R89" s="1">
        <f>Q89-P89</f>
        <v>-0.6297335203366059</v>
      </c>
      <c r="T89" s="48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</row>
    <row r="90" spans="8:37" x14ac:dyDescent="0.25">
      <c r="H90" s="6" t="s">
        <v>366</v>
      </c>
      <c r="I90" s="4" t="s">
        <v>41</v>
      </c>
      <c r="J90" s="14">
        <f>MIN(J87,J89,EtaQNomOvn2*(J76*Hfrak3)/3.6)</f>
        <v>401.77235772357926</v>
      </c>
      <c r="K90" s="14">
        <f>MIN(K87,K89,EtaQmaxOvn2*(K76*Hfrak3)/3.6)</f>
        <v>0</v>
      </c>
      <c r="L90" s="11">
        <f t="shared" ref="L90:L94" si="12">K90-J90</f>
        <v>-401.77235772357926</v>
      </c>
      <c r="N90" s="4" t="s">
        <v>406</v>
      </c>
      <c r="O90" s="5"/>
      <c r="P90" s="1">
        <f>(1-J98/$K$51)</f>
        <v>1</v>
      </c>
      <c r="Q90" s="1">
        <f>1-K98/$K$53</f>
        <v>1</v>
      </c>
      <c r="R90" s="1">
        <f>Q90-P90</f>
        <v>0</v>
      </c>
      <c r="T90" s="48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</row>
    <row r="91" spans="8:37" x14ac:dyDescent="0.25">
      <c r="H91" s="4" t="s">
        <v>365</v>
      </c>
      <c r="I91" s="4" t="s">
        <v>16</v>
      </c>
      <c r="J91" s="14">
        <f>J90/EtaQNomOvn2/(Hfrak2/3.6)</f>
        <v>163.21151972521841</v>
      </c>
      <c r="K91" s="14">
        <f>K90/EtaQmaxOvn2/(Hfrak2/3.6)</f>
        <v>0</v>
      </c>
      <c r="L91" s="11">
        <f t="shared" si="12"/>
        <v>-163.21151972521841</v>
      </c>
      <c r="N91" s="4" t="s">
        <v>408</v>
      </c>
      <c r="O91" s="5"/>
      <c r="P91" s="1">
        <f>(1-(J97-J102)/$J$51)</f>
        <v>1</v>
      </c>
      <c r="Q91" s="1">
        <f>(1-(K97-K102)/$J$53)</f>
        <v>0.3702664796633941</v>
      </c>
      <c r="R91" s="1">
        <f>Q91-P91</f>
        <v>-0.6297335203366059</v>
      </c>
      <c r="T91" s="48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</row>
    <row r="92" spans="8:37" x14ac:dyDescent="0.25">
      <c r="H92" s="4" t="s">
        <v>357</v>
      </c>
      <c r="I92" s="4" t="s">
        <v>41</v>
      </c>
      <c r="J92" s="14">
        <f>J87-J90</f>
        <v>192</v>
      </c>
      <c r="K92" s="14">
        <f>K87-K90</f>
        <v>0</v>
      </c>
      <c r="L92" s="11">
        <f t="shared" si="12"/>
        <v>-192</v>
      </c>
      <c r="N92" s="4" t="s">
        <v>409</v>
      </c>
      <c r="O92" s="5"/>
      <c r="P92" s="1">
        <f>(1-(J98-J99)/$K$51)</f>
        <v>1</v>
      </c>
      <c r="Q92" s="1">
        <f>(1-(K98-K99)/$K$51)</f>
        <v>1</v>
      </c>
      <c r="R92" s="1">
        <f>Q92-P92</f>
        <v>0</v>
      </c>
      <c r="T92" s="48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</row>
    <row r="93" spans="8:37" x14ac:dyDescent="0.25">
      <c r="H93" s="4" t="s">
        <v>358</v>
      </c>
      <c r="I93" s="4" t="s">
        <v>16</v>
      </c>
      <c r="J93" s="14">
        <f>J76-J91</f>
        <v>836.78848027478159</v>
      </c>
      <c r="K93" s="14">
        <f>K76-K91</f>
        <v>1000</v>
      </c>
      <c r="L93" s="11">
        <f t="shared" si="12"/>
        <v>163.21151972521841</v>
      </c>
      <c r="N93" s="4" t="s">
        <v>259</v>
      </c>
      <c r="O93" s="5"/>
      <c r="P93" s="1">
        <f>P69/(24*$E$13*KapQcool)</f>
        <v>0</v>
      </c>
      <c r="Q93" s="1">
        <f>Q69/(24*$E$13*KapQcool)</f>
        <v>0</v>
      </c>
      <c r="R93" s="1">
        <f t="shared" ref="R93:R95" si="13">Q93-P93</f>
        <v>0</v>
      </c>
      <c r="T93" s="48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</row>
    <row r="94" spans="8:37" x14ac:dyDescent="0.25">
      <c r="H94" s="4" t="s">
        <v>359</v>
      </c>
      <c r="I94" s="4" t="s">
        <v>16</v>
      </c>
      <c r="J94" s="14">
        <f>J89-J90</f>
        <v>0</v>
      </c>
      <c r="K94" s="14">
        <f>K89-K90</f>
        <v>5388</v>
      </c>
      <c r="L94" s="11">
        <f t="shared" si="12"/>
        <v>5388</v>
      </c>
      <c r="N94" s="4" t="s">
        <v>260</v>
      </c>
      <c r="O94" s="5"/>
      <c r="P94" s="1">
        <f>P75/NSvarme</f>
        <v>1</v>
      </c>
      <c r="Q94" s="1">
        <f>Q75/NSvarme</f>
        <v>1</v>
      </c>
      <c r="R94" s="1">
        <f t="shared" si="13"/>
        <v>0</v>
      </c>
      <c r="T94" s="48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</row>
    <row r="95" spans="8:37" x14ac:dyDescent="0.25">
      <c r="H95" s="5" t="s">
        <v>65</v>
      </c>
      <c r="I95" s="4" t="s">
        <v>41</v>
      </c>
      <c r="J95" s="14">
        <f>J63+J68+J73+J80+J85+J90</f>
        <v>23808</v>
      </c>
      <c r="K95" s="14">
        <f>K63+K68+K73+K80+K85+K90</f>
        <v>24000</v>
      </c>
      <c r="L95" s="11">
        <f t="shared" si="1"/>
        <v>192</v>
      </c>
      <c r="N95" s="4" t="s">
        <v>235</v>
      </c>
      <c r="O95" s="5" t="s">
        <v>23</v>
      </c>
      <c r="P95" s="10">
        <f>(SUM(P58:P63)-SUM(P54:P56))/P70</f>
        <v>-44.92601741040464</v>
      </c>
      <c r="Q95" s="10">
        <f>(SUM(Q58:Q63)-SUM(Q54:Q56))/Q70</f>
        <v>-60.218173078207613</v>
      </c>
      <c r="R95" s="66">
        <f t="shared" si="13"/>
        <v>-15.292155667802973</v>
      </c>
      <c r="T95" s="48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</row>
    <row r="96" spans="8:37" x14ac:dyDescent="0.25">
      <c r="H96" s="5" t="s">
        <v>66</v>
      </c>
      <c r="I96" s="4" t="s">
        <v>41</v>
      </c>
      <c r="J96" s="14">
        <f>J92</f>
        <v>192</v>
      </c>
      <c r="K96" s="14">
        <f>K92</f>
        <v>0</v>
      </c>
      <c r="L96" s="11">
        <f t="shared" si="1"/>
        <v>-192</v>
      </c>
      <c r="N96" s="5"/>
      <c r="Q96" s="1"/>
      <c r="R96" s="11"/>
      <c r="T96" s="48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</row>
    <row r="97" spans="1:37" x14ac:dyDescent="0.25">
      <c r="H97" s="4" t="s">
        <v>89</v>
      </c>
      <c r="I97" s="4" t="s">
        <v>41</v>
      </c>
      <c r="J97" s="11">
        <f>J94</f>
        <v>0</v>
      </c>
      <c r="K97" s="11">
        <f>K94</f>
        <v>5388</v>
      </c>
      <c r="L97" s="11">
        <f t="shared" si="1"/>
        <v>5388</v>
      </c>
      <c r="R97" s="11"/>
      <c r="T97" s="48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</row>
    <row r="98" spans="1:37" x14ac:dyDescent="0.25">
      <c r="H98" s="4" t="s">
        <v>90</v>
      </c>
      <c r="I98" s="4" t="s">
        <v>41</v>
      </c>
      <c r="J98" s="11">
        <f>J77</f>
        <v>0</v>
      </c>
      <c r="K98" s="11">
        <f>K77</f>
        <v>0</v>
      </c>
      <c r="L98" s="11">
        <f t="shared" si="1"/>
        <v>0</v>
      </c>
      <c r="R98" s="11"/>
      <c r="T98" s="48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</row>
    <row r="99" spans="1:37" x14ac:dyDescent="0.25">
      <c r="A99" t="s">
        <v>367</v>
      </c>
      <c r="H99" s="4" t="s">
        <v>92</v>
      </c>
      <c r="I99" s="4" t="s">
        <v>41</v>
      </c>
      <c r="J99" s="11">
        <f>MIN(J98,EtaQNomOvn3*J83*Hfrak1/3.6,24*$E$13*KapQcool)</f>
        <v>0</v>
      </c>
      <c r="K99" s="11">
        <f>MIN(K98,EtaQNomOvn3*K83*Hfrak1/3.6,24*$E$13*KapQcool)</f>
        <v>0</v>
      </c>
      <c r="L99" s="11">
        <f t="shared" si="1"/>
        <v>0</v>
      </c>
      <c r="R99" s="11"/>
      <c r="T99" s="48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</row>
    <row r="100" spans="1:37" x14ac:dyDescent="0.25">
      <c r="H100" s="4" t="s">
        <v>93</v>
      </c>
      <c r="I100" s="4" t="s">
        <v>16</v>
      </c>
      <c r="J100" s="11">
        <f>J99/EtaQNomOvn3/(Hfrak1/3.6)</f>
        <v>0</v>
      </c>
      <c r="K100" s="11">
        <f>K99/EtaQNomOvn3/(Hfrak1/3.6)</f>
        <v>0</v>
      </c>
      <c r="L100" s="11">
        <f t="shared" si="1"/>
        <v>0</v>
      </c>
      <c r="N100" s="2"/>
      <c r="R100" s="11"/>
      <c r="T100" s="48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</row>
    <row r="101" spans="1:37" x14ac:dyDescent="0.25">
      <c r="H101" s="4" t="s">
        <v>347</v>
      </c>
      <c r="I101" s="4" t="s">
        <v>16</v>
      </c>
      <c r="J101" s="11">
        <f>J83-J100</f>
        <v>0</v>
      </c>
      <c r="K101" s="11">
        <f>K83-K100</f>
        <v>0</v>
      </c>
      <c r="L101" s="11">
        <f t="shared" si="1"/>
        <v>0</v>
      </c>
      <c r="R101" s="11"/>
      <c r="T101" s="48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</row>
    <row r="102" spans="1:37" x14ac:dyDescent="0.25">
      <c r="H102" s="4" t="s">
        <v>91</v>
      </c>
      <c r="I102" s="4" t="s">
        <v>41</v>
      </c>
      <c r="J102" s="11">
        <f>MIN(J97,EtaQNomOvn2*J101*Hfrak1/3.6,24*$E$13*KapQcool-J99)</f>
        <v>0</v>
      </c>
      <c r="K102" s="11">
        <f>MIN(K97,EtaQNomOvn2*K101*Hfrak1/3.6,24*$E$13*KapQcool-K99)</f>
        <v>0</v>
      </c>
      <c r="L102" s="11">
        <f t="shared" si="1"/>
        <v>0</v>
      </c>
      <c r="R102" s="11"/>
      <c r="T102" s="48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</row>
    <row r="103" spans="1:37" x14ac:dyDescent="0.25">
      <c r="H103" s="4" t="s">
        <v>94</v>
      </c>
      <c r="I103" s="4" t="s">
        <v>16</v>
      </c>
      <c r="J103" s="11">
        <f>J102/EtaQNomOvn2/(Hfrak1/3.6)</f>
        <v>0</v>
      </c>
      <c r="K103" s="11">
        <f>K102/EtaQNomOvn2/(Hfrak1/3.6)</f>
        <v>0</v>
      </c>
      <c r="L103" s="11">
        <f t="shared" si="1"/>
        <v>0</v>
      </c>
      <c r="R103" s="11"/>
      <c r="T103" s="48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</row>
    <row r="104" spans="1:37" x14ac:dyDescent="0.25">
      <c r="H104" s="4" t="s">
        <v>347</v>
      </c>
      <c r="I104" s="4" t="s">
        <v>16</v>
      </c>
      <c r="J104" s="11">
        <f>J101-J103</f>
        <v>0</v>
      </c>
      <c r="K104" s="11">
        <f>K101-K103</f>
        <v>0</v>
      </c>
      <c r="L104" s="11">
        <f t="shared" si="1"/>
        <v>0</v>
      </c>
      <c r="R104" s="11"/>
      <c r="T104" s="48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</row>
    <row r="105" spans="1:37" x14ac:dyDescent="0.25">
      <c r="H105" s="4" t="s">
        <v>44</v>
      </c>
      <c r="I105" s="4" t="s">
        <v>41</v>
      </c>
      <c r="J105" s="11">
        <f>J99+J102</f>
        <v>0</v>
      </c>
      <c r="K105" s="11">
        <f>K99+K102</f>
        <v>0</v>
      </c>
      <c r="L105" s="11">
        <f t="shared" si="1"/>
        <v>0</v>
      </c>
      <c r="R105" s="11"/>
      <c r="T105" s="48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</row>
    <row r="106" spans="1:37" x14ac:dyDescent="0.25">
      <c r="H106" s="4" t="s">
        <v>368</v>
      </c>
      <c r="I106" s="4" t="s">
        <v>16</v>
      </c>
      <c r="J106" s="11">
        <f>Ffrak1-J109</f>
        <v>8500</v>
      </c>
      <c r="K106" s="11">
        <f>Ffrak1-K109</f>
        <v>8500</v>
      </c>
      <c r="L106" s="11">
        <f t="shared" si="1"/>
        <v>0</v>
      </c>
      <c r="R106" s="11"/>
      <c r="T106" s="48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</row>
    <row r="107" spans="1:37" x14ac:dyDescent="0.25">
      <c r="H107" s="4" t="s">
        <v>369</v>
      </c>
      <c r="I107" s="4" t="s">
        <v>16</v>
      </c>
      <c r="J107" s="11">
        <f>Ffrak2-J110</f>
        <v>491.98606271777044</v>
      </c>
      <c r="K107" s="11">
        <f>Ffrak2-K110</f>
        <v>491.98606271776907</v>
      </c>
      <c r="L107" s="11">
        <f t="shared" si="1"/>
        <v>-1.3642420526593924E-12</v>
      </c>
      <c r="R107" s="11"/>
      <c r="T107" s="48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</row>
    <row r="108" spans="1:37" x14ac:dyDescent="0.25">
      <c r="H108" s="4" t="s">
        <v>370</v>
      </c>
      <c r="I108" s="4" t="s">
        <v>16</v>
      </c>
      <c r="J108" s="11">
        <f>Ffrak3-J111</f>
        <v>163.21151972521841</v>
      </c>
      <c r="K108" s="11">
        <f>Ffrak3-K111</f>
        <v>0</v>
      </c>
      <c r="L108" s="11">
        <f t="shared" si="1"/>
        <v>-163.21151972521841</v>
      </c>
      <c r="T108" s="48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</row>
    <row r="109" spans="1:37" x14ac:dyDescent="0.25">
      <c r="H109" s="4" t="s">
        <v>371</v>
      </c>
      <c r="I109" s="4" t="s">
        <v>16</v>
      </c>
      <c r="J109" s="11">
        <f>J104</f>
        <v>0</v>
      </c>
      <c r="K109" s="11">
        <f>K104</f>
        <v>0</v>
      </c>
      <c r="L109" s="11">
        <f t="shared" si="1"/>
        <v>0</v>
      </c>
      <c r="N109" s="2"/>
      <c r="O109" s="69"/>
      <c r="P109" s="13"/>
      <c r="Q109" s="13"/>
      <c r="R109" s="2"/>
      <c r="T109" s="48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</row>
    <row r="110" spans="1:37" x14ac:dyDescent="0.25">
      <c r="H110" s="4" t="s">
        <v>372</v>
      </c>
      <c r="I110" s="4" t="s">
        <v>16</v>
      </c>
      <c r="J110" s="11">
        <f>J88</f>
        <v>2708.0139372822296</v>
      </c>
      <c r="K110" s="11">
        <f>K88</f>
        <v>2708.0139372822309</v>
      </c>
      <c r="L110" s="11">
        <f t="shared" si="1"/>
        <v>0</v>
      </c>
      <c r="N110" s="12"/>
      <c r="O110" s="70"/>
      <c r="P110" s="15"/>
      <c r="Q110" s="15"/>
      <c r="R110" s="16"/>
      <c r="T110" s="48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</row>
    <row r="111" spans="1:37" x14ac:dyDescent="0.25">
      <c r="H111" s="4" t="s">
        <v>373</v>
      </c>
      <c r="I111" s="4" t="s">
        <v>16</v>
      </c>
      <c r="J111" s="11">
        <f>J93</f>
        <v>836.78848027478159</v>
      </c>
      <c r="K111" s="11">
        <f>K93</f>
        <v>1000</v>
      </c>
      <c r="L111" s="11">
        <f t="shared" si="1"/>
        <v>163.21151972521841</v>
      </c>
      <c r="N111" s="12"/>
      <c r="O111" s="70"/>
      <c r="P111" s="15"/>
      <c r="Q111" s="15"/>
      <c r="R111" s="16"/>
      <c r="T111" s="48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</row>
    <row r="112" spans="1:37" x14ac:dyDescent="0.25">
      <c r="H112" s="4" t="s">
        <v>374</v>
      </c>
      <c r="I112" s="4" t="s">
        <v>16</v>
      </c>
      <c r="J112" s="11">
        <f>J106</f>
        <v>8500</v>
      </c>
      <c r="K112" s="11">
        <f>K106</f>
        <v>8500</v>
      </c>
      <c r="L112" s="11">
        <f t="shared" si="1"/>
        <v>0</v>
      </c>
      <c r="N112" s="12"/>
      <c r="O112" s="70"/>
      <c r="P112" s="15"/>
      <c r="Q112" s="15"/>
      <c r="R112" s="16"/>
      <c r="T112" s="48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</row>
    <row r="113" spans="8:37" x14ac:dyDescent="0.25">
      <c r="H113" s="4" t="s">
        <v>375</v>
      </c>
      <c r="I113" s="4" t="s">
        <v>16</v>
      </c>
      <c r="J113" s="11">
        <f>IF(bFossilFriOverBiogen,J107,J108)</f>
        <v>491.98606271777044</v>
      </c>
      <c r="K113" s="11">
        <f>IF(bFossilFriOverBiogen,K107,K108)</f>
        <v>491.98606271776907</v>
      </c>
      <c r="L113" s="11">
        <f t="shared" si="1"/>
        <v>-1.3642420526593924E-12</v>
      </c>
      <c r="N113" s="12"/>
      <c r="O113" s="70"/>
      <c r="P113" s="15"/>
      <c r="Q113" s="15"/>
      <c r="R113" s="16"/>
      <c r="T113" s="48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</row>
    <row r="114" spans="8:37" x14ac:dyDescent="0.25">
      <c r="H114" s="4" t="s">
        <v>376</v>
      </c>
      <c r="I114" s="4" t="s">
        <v>16</v>
      </c>
      <c r="J114" s="11">
        <f>IF(bFossilFriOverBiogen,J108,J107)</f>
        <v>163.21151972521841</v>
      </c>
      <c r="K114" s="11">
        <f>IF(bFossilFriOverBiogen,K108,K107)</f>
        <v>0</v>
      </c>
      <c r="L114" s="11">
        <f t="shared" si="1"/>
        <v>-163.21151972521841</v>
      </c>
      <c r="O114" s="70"/>
      <c r="P114" s="16"/>
      <c r="Q114" s="16"/>
      <c r="R114" s="16"/>
      <c r="T114" s="48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</row>
    <row r="115" spans="8:37" x14ac:dyDescent="0.25">
      <c r="H115" s="4" t="s">
        <v>377</v>
      </c>
      <c r="I115" s="4" t="s">
        <v>16</v>
      </c>
      <c r="J115" s="11">
        <f>J109</f>
        <v>0</v>
      </c>
      <c r="K115" s="11">
        <f>K109</f>
        <v>0</v>
      </c>
      <c r="L115" s="11">
        <f t="shared" si="1"/>
        <v>0</v>
      </c>
      <c r="N115" s="12"/>
      <c r="O115" s="70"/>
      <c r="P115" s="16"/>
      <c r="Q115" s="16"/>
      <c r="R115" s="16"/>
      <c r="T115" s="48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</row>
    <row r="116" spans="8:37" x14ac:dyDescent="0.25">
      <c r="H116" s="4" t="s">
        <v>378</v>
      </c>
      <c r="I116" s="4" t="s">
        <v>16</v>
      </c>
      <c r="J116" s="11">
        <f>IF(bFossilFriOverBiogen,J110,J111)</f>
        <v>2708.0139372822296</v>
      </c>
      <c r="K116" s="11">
        <f>IF(bFossilFriOverBiogen,K110,K111)</f>
        <v>2708.0139372822309</v>
      </c>
      <c r="L116" s="11">
        <f t="shared" si="1"/>
        <v>0</v>
      </c>
      <c r="N116" s="12"/>
      <c r="O116" s="70"/>
      <c r="P116" s="15"/>
      <c r="Q116" s="15"/>
      <c r="R116" s="16"/>
      <c r="T116" s="48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</row>
    <row r="117" spans="8:37" x14ac:dyDescent="0.25">
      <c r="H117" s="4" t="s">
        <v>379</v>
      </c>
      <c r="I117" s="4" t="s">
        <v>16</v>
      </c>
      <c r="J117" s="11">
        <f>IF(bFossilFriOverBiogen,J111,J110)</f>
        <v>836.78848027478159</v>
      </c>
      <c r="K117" s="11">
        <f>IF(bFossilFriOverBiogen,K111,K110)</f>
        <v>1000</v>
      </c>
      <c r="L117" s="11">
        <f t="shared" si="1"/>
        <v>163.21151972521841</v>
      </c>
      <c r="N117" s="12"/>
      <c r="O117" s="70"/>
      <c r="P117" s="15"/>
      <c r="Q117" s="15"/>
      <c r="R117" s="16"/>
      <c r="T117" s="48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</row>
    <row r="118" spans="8:37" x14ac:dyDescent="0.25">
      <c r="H118" t="s">
        <v>45</v>
      </c>
      <c r="I118" s="4" t="s">
        <v>48</v>
      </c>
      <c r="J118" s="11">
        <f>EtaE*((J64+J100)*Hfrak1+J69*Hfrak2+J74*Hfrak3)/3.6</f>
        <v>5733.9603658536589</v>
      </c>
      <c r="K118" s="11">
        <f>EtaE*((K64+K100)*Hfrak1+K69*Hfrak2+K74*Hfrak3)/3.6</f>
        <v>5733.9603658536589</v>
      </c>
      <c r="L118" s="11">
        <f t="shared" si="1"/>
        <v>0</v>
      </c>
      <c r="N118" s="12"/>
      <c r="O118" s="70"/>
      <c r="P118" s="16"/>
      <c r="Q118" s="16"/>
      <c r="R118" s="16"/>
      <c r="T118" s="48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</row>
    <row r="119" spans="8:37" x14ac:dyDescent="0.25">
      <c r="H119" t="s">
        <v>6</v>
      </c>
      <c r="I119" s="4" t="s">
        <v>48</v>
      </c>
      <c r="J119" s="11">
        <f>$D$13*$D$17</f>
        <v>775</v>
      </c>
      <c r="K119" s="11">
        <f>$D$13*$D$17</f>
        <v>775</v>
      </c>
      <c r="L119" s="11">
        <f t="shared" si="1"/>
        <v>0</v>
      </c>
      <c r="N119" s="12"/>
      <c r="O119" s="70"/>
      <c r="P119" s="16"/>
      <c r="Q119" s="16"/>
      <c r="R119" s="16"/>
      <c r="T119" s="48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</row>
    <row r="120" spans="8:37" x14ac:dyDescent="0.25">
      <c r="H120" t="s">
        <v>46</v>
      </c>
      <c r="I120" s="4" t="s">
        <v>48</v>
      </c>
      <c r="J120" s="11">
        <f>J118-J119</f>
        <v>4958.9603658536589</v>
      </c>
      <c r="K120" s="11">
        <f>K118-K119</f>
        <v>4958.9603658536589</v>
      </c>
      <c r="L120" s="11">
        <f t="shared" si="1"/>
        <v>0</v>
      </c>
      <c r="N120" s="12"/>
      <c r="O120" s="70"/>
      <c r="P120" s="16"/>
      <c r="Q120" s="16"/>
      <c r="R120" s="16"/>
      <c r="T120" s="48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</row>
    <row r="121" spans="8:37" x14ac:dyDescent="0.25">
      <c r="H121" t="s">
        <v>105</v>
      </c>
      <c r="I121" s="4" t="s">
        <v>41</v>
      </c>
      <c r="J121" s="11">
        <f>J80+J85+J90+J102</f>
        <v>7068</v>
      </c>
      <c r="K121" s="11">
        <f>K80+K85+K90+K102</f>
        <v>3168</v>
      </c>
      <c r="L121" s="11">
        <f t="shared" si="1"/>
        <v>-3900</v>
      </c>
      <c r="O121" s="70"/>
      <c r="P121" s="16"/>
      <c r="Q121" s="16"/>
      <c r="R121" s="16"/>
    </row>
    <row r="122" spans="8:37" x14ac:dyDescent="0.25">
      <c r="H122" t="s">
        <v>106</v>
      </c>
      <c r="I122" s="4" t="s">
        <v>41</v>
      </c>
      <c r="J122" s="11">
        <f>J63+J68+J73+J99</f>
        <v>16740</v>
      </c>
      <c r="K122" s="11">
        <f>K63+K68+K73+K99</f>
        <v>20832</v>
      </c>
      <c r="L122" s="11">
        <f t="shared" si="1"/>
        <v>4092</v>
      </c>
      <c r="N122" s="12"/>
      <c r="O122" s="70"/>
      <c r="P122" s="16"/>
      <c r="Q122" s="16"/>
      <c r="R122" s="16"/>
    </row>
    <row r="123" spans="8:37" x14ac:dyDescent="0.25">
      <c r="H123" t="s">
        <v>101</v>
      </c>
      <c r="I123" s="4" t="s">
        <v>41</v>
      </c>
      <c r="J123" s="11">
        <f>SUM(J121:J122)</f>
        <v>23808</v>
      </c>
      <c r="K123" s="11">
        <f>SUM(K121:K122)</f>
        <v>24000</v>
      </c>
      <c r="L123" s="11">
        <f t="shared" si="1"/>
        <v>192</v>
      </c>
      <c r="N123" s="12"/>
      <c r="O123" s="70"/>
      <c r="P123" s="16"/>
      <c r="Q123" s="16"/>
      <c r="R123" s="16"/>
    </row>
    <row r="124" spans="8:37" x14ac:dyDescent="0.25">
      <c r="H124" s="4" t="s">
        <v>107</v>
      </c>
      <c r="I124" s="4" t="s">
        <v>41</v>
      </c>
      <c r="J124" s="11">
        <v>0</v>
      </c>
      <c r="K124" s="11">
        <f>(EtaRgkOvn2*(K81*Hfrak1+K86*Hfrak2+K91*Hfrak3)+EtaRgkOvn3*((K64*Hfrak1+K69*Hfrak2+K74*Hfrak3)))/3.6</f>
        <v>4092</v>
      </c>
      <c r="L124" s="11">
        <f t="shared" si="1"/>
        <v>4092</v>
      </c>
      <c r="N124" s="12"/>
      <c r="O124" s="70"/>
      <c r="P124" s="16"/>
      <c r="Q124" s="16"/>
      <c r="R124" s="16"/>
    </row>
    <row r="125" spans="8:37" x14ac:dyDescent="0.25">
      <c r="H125" s="4" t="s">
        <v>120</v>
      </c>
      <c r="J125" s="11">
        <v>0</v>
      </c>
      <c r="K125" s="1">
        <f>K124/K126</f>
        <v>0.13762041617231838</v>
      </c>
      <c r="L125" s="11">
        <f t="shared" si="1"/>
        <v>0.13762041617231838</v>
      </c>
    </row>
    <row r="126" spans="8:37" x14ac:dyDescent="0.25">
      <c r="H126" t="s">
        <v>99</v>
      </c>
      <c r="I126" s="4" t="s">
        <v>100</v>
      </c>
      <c r="J126" s="11">
        <f>J123+J118</f>
        <v>29541.960365853658</v>
      </c>
      <c r="K126" s="11">
        <f>K123+K118</f>
        <v>29733.960365853658</v>
      </c>
      <c r="L126" s="11">
        <f t="shared" si="1"/>
        <v>192</v>
      </c>
    </row>
    <row r="127" spans="8:37" x14ac:dyDescent="0.25">
      <c r="H127" t="s">
        <v>390</v>
      </c>
      <c r="I127" s="4" t="s">
        <v>125</v>
      </c>
      <c r="J127" s="1">
        <f>J123/(J123+J118)</f>
        <v>0.80590454069929263</v>
      </c>
      <c r="K127" s="1">
        <f>K123/(K123+K118)</f>
        <v>0.8071578661133042</v>
      </c>
      <c r="L127" s="1">
        <f t="shared" si="1"/>
        <v>1.2533254140115746E-3</v>
      </c>
    </row>
    <row r="128" spans="8:37" x14ac:dyDescent="0.25">
      <c r="H128" t="s">
        <v>304</v>
      </c>
      <c r="I128" s="4" t="s">
        <v>41</v>
      </c>
      <c r="J128" s="11">
        <f>J123-J105</f>
        <v>23808</v>
      </c>
      <c r="K128" s="11">
        <f>K123-K105</f>
        <v>24000</v>
      </c>
      <c r="L128" s="11">
        <f t="shared" si="1"/>
        <v>192</v>
      </c>
    </row>
    <row r="129" spans="7:12" x14ac:dyDescent="0.25">
      <c r="H129" t="s">
        <v>126</v>
      </c>
      <c r="I129" s="4" t="s">
        <v>41</v>
      </c>
      <c r="J129" s="11">
        <f>Qdemand-J128-J78</f>
        <v>192</v>
      </c>
      <c r="K129" s="11">
        <f>Qdemand-K128-K78</f>
        <v>0</v>
      </c>
      <c r="L129" s="11">
        <f t="shared" si="1"/>
        <v>-192</v>
      </c>
    </row>
    <row r="130" spans="7:12" x14ac:dyDescent="0.25">
      <c r="H130" s="2" t="s">
        <v>114</v>
      </c>
      <c r="L130" s="11"/>
    </row>
    <row r="131" spans="7:12" x14ac:dyDescent="0.25">
      <c r="H131" t="s">
        <v>388</v>
      </c>
      <c r="I131" s="4" t="s">
        <v>52</v>
      </c>
      <c r="J131" s="11">
        <f>(J112*HfossilFast+J113*HfossilFri)/3.6</f>
        <v>25518.292682926833</v>
      </c>
      <c r="K131" s="11">
        <f>(K112*HfossilFast+K113*HfossilFri)/3.6</f>
        <v>25518.292682926825</v>
      </c>
      <c r="L131" s="11">
        <f t="shared" si="1"/>
        <v>0</v>
      </c>
    </row>
    <row r="132" spans="7:12" x14ac:dyDescent="0.25">
      <c r="H132" t="s">
        <v>387</v>
      </c>
      <c r="I132" s="4" t="s">
        <v>52</v>
      </c>
      <c r="J132" s="11">
        <f>J$114*HBiogenFri/3.6</f>
        <v>634.71146559807164</v>
      </c>
      <c r="K132" s="11">
        <f>K$114*HBiogenFri/3.6</f>
        <v>0</v>
      </c>
      <c r="L132" s="11">
        <f t="shared" si="1"/>
        <v>-634.71146559807164</v>
      </c>
    </row>
    <row r="133" spans="7:12" x14ac:dyDescent="0.25">
      <c r="G133" s="43" t="str">
        <f>IF(OR(J126/0.85 - J132&lt;0,K126/0.95 - K132&lt;0),-1,"")</f>
        <v/>
      </c>
      <c r="H133" t="s">
        <v>115</v>
      </c>
      <c r="I133" s="4" t="s">
        <v>100</v>
      </c>
      <c r="J133" s="11">
        <f>MAX(0,J126/0.85 - J132)</f>
        <v>34120.536023641529</v>
      </c>
      <c r="K133" s="11">
        <f>IF(RGKudnyttelse&gt;0,MAX(0,K126/0.95 - K132),J133)</f>
        <v>31298.905648267009</v>
      </c>
      <c r="L133" s="11">
        <f t="shared" si="1"/>
        <v>-2821.6303753745196</v>
      </c>
    </row>
    <row r="134" spans="7:12" x14ac:dyDescent="0.25">
      <c r="H134" t="s">
        <v>121</v>
      </c>
      <c r="I134" s="4" t="s">
        <v>41</v>
      </c>
      <c r="J134" s="11">
        <f>J123*J133/(J133+J132)</f>
        <v>23373.210675664523</v>
      </c>
      <c r="K134" s="11">
        <f>K123*K133/(K133+K132)</f>
        <v>24000</v>
      </c>
      <c r="L134" s="11">
        <f t="shared" si="1"/>
        <v>626.78932433547743</v>
      </c>
    </row>
    <row r="135" spans="7:12" x14ac:dyDescent="0.25">
      <c r="H135" t="s">
        <v>118</v>
      </c>
      <c r="I135" s="4" t="s">
        <v>48</v>
      </c>
      <c r="J135" s="11">
        <f>J118*J133/(J133+J132)</f>
        <v>5629.2449444307786</v>
      </c>
      <c r="K135" s="11">
        <f>K118*K133/(K133+K132)</f>
        <v>5733.9603658536589</v>
      </c>
      <c r="L135" s="11">
        <f t="shared" si="1"/>
        <v>104.71542142288035</v>
      </c>
    </row>
    <row r="136" spans="7:12" x14ac:dyDescent="0.25">
      <c r="H136" t="s">
        <v>391</v>
      </c>
      <c r="I136" s="4" t="s">
        <v>41</v>
      </c>
      <c r="J136" s="11">
        <f>J114*HBiogenFri/3.6</f>
        <v>634.71146559807164</v>
      </c>
      <c r="K136" s="11">
        <f>K114*HBiogenFri/3.6</f>
        <v>0</v>
      </c>
      <c r="L136" s="11">
        <f>K136-J136</f>
        <v>-634.71146559807164</v>
      </c>
    </row>
    <row r="137" spans="7:12" x14ac:dyDescent="0.25">
      <c r="G137" s="43" t="str">
        <f>IF(J128-0.85*J127*J136&lt;0,-1,"")</f>
        <v/>
      </c>
      <c r="H137" t="s">
        <v>389</v>
      </c>
      <c r="I137" s="4" t="s">
        <v>41</v>
      </c>
      <c r="J137" s="11">
        <f>MAX(0,J128-0.85*J127*J136)</f>
        <v>23373.210675664519</v>
      </c>
      <c r="K137" s="11">
        <f>MAX(0,K128-0.85*K127*K136)</f>
        <v>24000</v>
      </c>
      <c r="L137" s="11">
        <f t="shared" si="1"/>
        <v>626.78932433548107</v>
      </c>
    </row>
    <row r="138" spans="7:12" x14ac:dyDescent="0.25">
      <c r="H138" t="s">
        <v>119</v>
      </c>
      <c r="I138" s="4" t="s">
        <v>41</v>
      </c>
      <c r="J138" s="11">
        <f>J134/1.2</f>
        <v>19477.67556305377</v>
      </c>
      <c r="K138" s="11">
        <f>IF(RGKudnyttelse&gt;0,(K134-0.1*(K134+K135))/1.2,J138)</f>
        <v>17522.169969512193</v>
      </c>
      <c r="L138" s="11">
        <f t="shared" si="1"/>
        <v>-1955.5055935415767</v>
      </c>
    </row>
    <row r="139" spans="7:12" x14ac:dyDescent="0.25">
      <c r="H139" t="s">
        <v>122</v>
      </c>
      <c r="I139" s="4" t="s">
        <v>41</v>
      </c>
      <c r="J139" s="11">
        <f>J138</f>
        <v>19477.67556305377</v>
      </c>
      <c r="K139" s="11">
        <f>K138</f>
        <v>17522.169969512193</v>
      </c>
      <c r="L139" s="11">
        <f t="shared" si="1"/>
        <v>-1955.5055935415767</v>
      </c>
    </row>
    <row r="141" spans="7:12" x14ac:dyDescent="0.25">
      <c r="H141" s="2" t="s">
        <v>95</v>
      </c>
      <c r="I141" s="7"/>
      <c r="J141" s="13" t="str">
        <f>J62</f>
        <v>Uden RGK</v>
      </c>
      <c r="K141" s="13" t="str">
        <f>K62</f>
        <v>Med 100% RGK</v>
      </c>
      <c r="L141" s="2" t="s">
        <v>131</v>
      </c>
    </row>
    <row r="142" spans="7:12" x14ac:dyDescent="0.25">
      <c r="H142" s="12" t="s">
        <v>22</v>
      </c>
      <c r="I142" s="12" t="s">
        <v>130</v>
      </c>
      <c r="J142" s="15">
        <f>Varmesalgspris*J128</f>
        <v>7404288</v>
      </c>
      <c r="K142" s="15">
        <f>Varmesalgspris*K128</f>
        <v>7464000</v>
      </c>
      <c r="L142" s="16">
        <f>K142-J142</f>
        <v>59712</v>
      </c>
    </row>
    <row r="143" spans="7:12" x14ac:dyDescent="0.25">
      <c r="H143" s="12" t="s">
        <v>97</v>
      </c>
      <c r="I143" s="12" t="s">
        <v>130</v>
      </c>
      <c r="J143" s="15">
        <f>(Elpris-ElprodTarif)*J120</f>
        <v>3947332.4512195126</v>
      </c>
      <c r="K143" s="15">
        <f>(Elpris-ElprodTarif)*K120</f>
        <v>3947332.4512195126</v>
      </c>
      <c r="L143" s="16">
        <f t="shared" ref="L143:L156" si="14">K143-J143</f>
        <v>0</v>
      </c>
    </row>
    <row r="144" spans="7:12" x14ac:dyDescent="0.25">
      <c r="H144" s="12" t="s">
        <v>98</v>
      </c>
      <c r="I144" s="12" t="s">
        <v>130</v>
      </c>
      <c r="J144" s="15">
        <v>0</v>
      </c>
      <c r="K144" s="15">
        <f>IF(K124&lt;7%*K126,0,10%)*K150</f>
        <v>200593.80181097562</v>
      </c>
      <c r="L144" s="16">
        <f t="shared" si="14"/>
        <v>200593.80181097562</v>
      </c>
    </row>
    <row r="145" spans="5:12" x14ac:dyDescent="0.25">
      <c r="H145" s="12" t="s">
        <v>96</v>
      </c>
      <c r="I145" s="12" t="s">
        <v>130</v>
      </c>
      <c r="J145" s="15">
        <f>PrisFossilFast*J112+PrisFossilFri*J113</f>
        <v>4659294.4250871083</v>
      </c>
      <c r="K145" s="15">
        <f>PrisFossilFast*K112+PrisFossilFri*K113</f>
        <v>4659294.4250871073</v>
      </c>
      <c r="L145" s="16">
        <f t="shared" si="14"/>
        <v>0</v>
      </c>
    </row>
    <row r="146" spans="5:12" x14ac:dyDescent="0.25">
      <c r="I146" s="12"/>
      <c r="J146" s="16"/>
      <c r="K146" s="16"/>
      <c r="L146" s="16"/>
    </row>
    <row r="147" spans="5:12" x14ac:dyDescent="0.25">
      <c r="H147" s="12" t="s">
        <v>103</v>
      </c>
      <c r="I147" s="12" t="s">
        <v>130</v>
      </c>
      <c r="J147" s="16">
        <f>-PrisBiogent*J114</f>
        <v>3819.149561570111</v>
      </c>
      <c r="K147" s="16">
        <f>-PrisBiogent*K114</f>
        <v>0</v>
      </c>
      <c r="L147" s="16">
        <f t="shared" si="14"/>
        <v>-3819.149561570111</v>
      </c>
    </row>
    <row r="148" spans="5:12" x14ac:dyDescent="0.25">
      <c r="H148" s="12" t="s">
        <v>104</v>
      </c>
      <c r="I148" s="12" t="s">
        <v>130</v>
      </c>
      <c r="J148" s="15">
        <f>$C$22*J121+$D$22*J122+$E$22*J105</f>
        <v>1049040</v>
      </c>
      <c r="K148" s="15">
        <f>J148+$F$22*$K$124</f>
        <v>1089960</v>
      </c>
      <c r="L148" s="16">
        <f t="shared" si="14"/>
        <v>40920</v>
      </c>
    </row>
    <row r="149" spans="5:12" x14ac:dyDescent="0.25">
      <c r="H149" s="12" t="s">
        <v>31</v>
      </c>
      <c r="I149" s="12" t="s">
        <v>130</v>
      </c>
      <c r="J149" s="15">
        <f>AFV*3.6*J137</f>
        <v>2170903.8075557207</v>
      </c>
      <c r="K149" s="15">
        <f>AFV*3.6*K128</f>
        <v>2229120</v>
      </c>
      <c r="L149" s="16">
        <f t="shared" si="14"/>
        <v>58216.192444279324</v>
      </c>
    </row>
    <row r="150" spans="5:12" x14ac:dyDescent="0.25">
      <c r="H150" s="12" t="s">
        <v>32</v>
      </c>
      <c r="I150" s="12" t="s">
        <v>130</v>
      </c>
      <c r="J150" s="16">
        <f>ATL*3.6*J138</f>
        <v>2229804.2984583955</v>
      </c>
      <c r="K150" s="16">
        <f>ATL*3.6*K138</f>
        <v>2005938.0181097561</v>
      </c>
      <c r="L150" s="16">
        <f t="shared" si="14"/>
        <v>-223866.28034863947</v>
      </c>
    </row>
    <row r="151" spans="5:12" x14ac:dyDescent="0.25">
      <c r="H151" s="12" t="s">
        <v>33</v>
      </c>
      <c r="I151" s="12" t="s">
        <v>130</v>
      </c>
      <c r="J151" s="16">
        <f>CO2afgift*CO2indholdAfgift /1000 *3.6*J138</f>
        <v>463105.10972227901</v>
      </c>
      <c r="K151" s="16">
        <f>CO2afgift*CO2indholdAfgift /1000 *3.6*K138</f>
        <v>416610.61762911582</v>
      </c>
      <c r="L151" s="16">
        <f t="shared" si="14"/>
        <v>-46494.492093163193</v>
      </c>
    </row>
    <row r="152" spans="5:12" x14ac:dyDescent="0.25">
      <c r="H152" s="12" t="s">
        <v>108</v>
      </c>
      <c r="I152" s="12" t="s">
        <v>130</v>
      </c>
      <c r="J152" s="16">
        <f>Kvotepris*CO2indholdKvote/1000*ENSkvoteLHV*SUM(J112:J113)</f>
        <v>1620355.8885017419</v>
      </c>
      <c r="K152" s="16">
        <f>Kvotepris*CO2indholdKvote/1000*ENSkvoteLHV*SUM(K112:K113)</f>
        <v>1620355.8885017419</v>
      </c>
      <c r="L152" s="16">
        <f t="shared" si="14"/>
        <v>0</v>
      </c>
    </row>
    <row r="153" spans="5:12" x14ac:dyDescent="0.25">
      <c r="I153" s="12"/>
      <c r="J153" s="16"/>
      <c r="K153" s="16"/>
      <c r="L153" s="16"/>
    </row>
    <row r="154" spans="5:12" x14ac:dyDescent="0.25">
      <c r="H154" s="12" t="s">
        <v>111</v>
      </c>
      <c r="I154" s="12" t="s">
        <v>130</v>
      </c>
      <c r="J154" s="16">
        <f>SUM(J142:J145)</f>
        <v>16010914.876306619</v>
      </c>
      <c r="K154" s="16">
        <f>SUM(K142:K145)</f>
        <v>16271220.678117596</v>
      </c>
      <c r="L154" s="16">
        <f t="shared" si="14"/>
        <v>260305.80181097612</v>
      </c>
    </row>
    <row r="155" spans="5:12" x14ac:dyDescent="0.25">
      <c r="H155" s="12" t="s">
        <v>112</v>
      </c>
      <c r="I155" s="12" t="s">
        <v>130</v>
      </c>
      <c r="J155" s="16">
        <f>SUM(J147:J152)</f>
        <v>7537028.2537997076</v>
      </c>
      <c r="K155" s="16">
        <f>SUM(K147:K152)</f>
        <v>7361984.524240613</v>
      </c>
      <c r="L155" s="16">
        <f t="shared" si="14"/>
        <v>-175043.72955909465</v>
      </c>
    </row>
    <row r="156" spans="5:12" x14ac:dyDescent="0.25">
      <c r="H156" s="12" t="s">
        <v>113</v>
      </c>
      <c r="I156" s="12" t="s">
        <v>130</v>
      </c>
      <c r="J156" s="16">
        <f>J154-J155</f>
        <v>8473886.6225069128</v>
      </c>
      <c r="K156" s="16">
        <f>K154-K155</f>
        <v>8909236.1538769826</v>
      </c>
      <c r="L156" s="16">
        <f t="shared" si="14"/>
        <v>435349.53137006983</v>
      </c>
    </row>
    <row r="157" spans="5:12" x14ac:dyDescent="0.25">
      <c r="E157" s="166" t="s">
        <v>323</v>
      </c>
      <c r="F157" s="166" t="s">
        <v>354</v>
      </c>
    </row>
  </sheetData>
  <scenarios current="9" show="9" sqref="Q5:Q36">
    <scenario name="RGK 10 %" locked="1" count="1" user="Mogens Bech Laursen" comment="Created by Mogens Bech Laursen on 16-03-2022">
      <inputCells r="C9" val="0,1" numFmtId="9"/>
    </scenario>
    <scenario name="RGK 20 %" locked="1" count="1" user="Mogens Bech Laursen" comment="Created by Mogens Bech Laursen on 16-03-2022">
      <inputCells r="C9" val="0,2" numFmtId="9"/>
    </scenario>
    <scenario name="RGK 30 %" locked="1" count="1" user="Mogens Bech Laursen" comment="Created by Mogens Bech Laursen on 16-03-2022">
      <inputCells r="C9" val="0,3" numFmtId="9"/>
    </scenario>
    <scenario name="RGK 40 %" locked="1" count="1" user="Mogens Bech Laursen" comment="Created by Mogens Bech Laursen on 16-03-2022">
      <inputCells r="C9" val="0,4" numFmtId="9"/>
    </scenario>
    <scenario name="RGK 50 %" locked="1" count="1" user="Mogens Bech Laursen" comment="Created by Mogens Bech Laursen on 16-03-2022">
      <inputCells r="C9" val="0,5" numFmtId="9"/>
    </scenario>
    <scenario name="RGK 60 %" locked="1" count="1" user="Mogens Bech Laursen" comment="Created by Mogens Bech Laursen on 16-03-2022">
      <inputCells r="C9" val="0,6" numFmtId="9"/>
    </scenario>
    <scenario name="RGK 70 %" locked="1" count="1" user="Mogens Bech Laursen" comment="Created by Mogens Bech Laursen on 16-03-2022">
      <inputCells r="C9" val="0,7" numFmtId="9"/>
    </scenario>
    <scenario name="RGK 80 %" locked="1" count="1" user="Mogens Bech Laursen" comment="Created by Mogens Bech Laursen on 16-03-2022">
      <inputCells r="C9" val="0,8" numFmtId="9"/>
    </scenario>
    <scenario name="RGK 90 %" locked="1" count="1" user="Mogens Bech Laursen" comment="Created by Mogens Bech Laursen on 16-03-2022">
      <inputCells r="C9" val="0,9" numFmtId="9"/>
    </scenario>
    <scenario name="RGK 100 %" locked="1" count="1" user="Mogens Bech Laursen" comment="Created by Mogens Bech Laursen on 16-03-2022">
      <inputCells r="C9" val="1" numFmtId="9"/>
    </scenario>
  </scenarios>
  <customSheetViews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46:L46"/>
    <mergeCell ref="N46:R46"/>
    <mergeCell ref="H1:Z1"/>
  </mergeCells>
  <phoneticPr fontId="14" type="noConversion"/>
  <conditionalFormatting sqref="J63:K156">
    <cfRule type="cellIs" dxfId="8" priority="4" operator="lessThan">
      <formula>0</formula>
    </cfRule>
    <cfRule type="cellIs" dxfId="7" priority="5" operator="lessThan">
      <formula>0</formula>
    </cfRule>
  </conditionalFormatting>
  <conditionalFormatting sqref="L127">
    <cfRule type="cellIs" dxfId="6" priority="2" operator="lessThan">
      <formula>0</formula>
    </cfRule>
    <cfRule type="cellIs" dxfId="5" priority="3" operator="lessThan">
      <formula>0</formula>
    </cfRule>
  </conditionalFormatting>
  <conditionalFormatting sqref="G131:G139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3"/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AD59-D9D8-46C0-9366-A4E65CDB34CC}">
  <sheetPr codeName="Sheet8"/>
  <dimension ref="A1:BA135"/>
  <sheetViews>
    <sheetView zoomScale="85" zoomScaleNormal="85" workbookViewId="0">
      <selection activeCell="J67" sqref="J67"/>
    </sheetView>
  </sheetViews>
  <sheetFormatPr defaultRowHeight="15" x14ac:dyDescent="0.25"/>
  <cols>
    <col min="1" max="1" width="30.7109375" customWidth="1"/>
    <col min="2" max="2" width="12.85546875" bestFit="1" customWidth="1"/>
    <col min="3" max="3" width="10" bestFit="1" customWidth="1"/>
    <col min="4" max="4" width="10.5703125" bestFit="1" customWidth="1"/>
    <col min="7" max="7" width="3.42578125" customWidth="1"/>
    <col min="8" max="8" width="32" customWidth="1"/>
    <col min="9" max="9" width="12.28515625" style="4" customWidth="1"/>
    <col min="10" max="10" width="10.5703125" customWidth="1"/>
    <col min="11" max="12" width="9.140625" customWidth="1"/>
    <col min="13" max="21" width="9.42578125" customWidth="1"/>
    <col min="22" max="22" width="11" style="43" customWidth="1"/>
    <col min="23" max="23" width="34.28515625" customWidth="1"/>
    <col min="24" max="24" width="11" style="4" customWidth="1"/>
    <col min="25" max="25" width="13.28515625" style="11" customWidth="1"/>
    <col min="26" max="26" width="14.42578125" style="11" customWidth="1"/>
    <col min="27" max="27" width="14.42578125" customWidth="1"/>
    <col min="28" max="28" width="2.85546875" style="43" customWidth="1"/>
    <col min="29" max="29" width="30.7109375" bestFit="1" customWidth="1"/>
    <col min="30" max="30" width="8.42578125" style="68" bestFit="1" customWidth="1"/>
    <col min="31" max="31" width="10" style="11" bestFit="1" customWidth="1"/>
    <col min="32" max="32" width="14.42578125" style="11" bestFit="1" customWidth="1"/>
    <col min="33" max="33" width="15.7109375" bestFit="1" customWidth="1"/>
    <col min="34" max="34" width="4.140625" customWidth="1"/>
    <col min="35" max="35" width="29.7109375" style="4" customWidth="1"/>
    <col min="36" max="37" width="13" customWidth="1"/>
    <col min="39" max="39" width="8.5703125" customWidth="1"/>
  </cols>
  <sheetData>
    <row r="1" spans="1:53" ht="33.75" customHeight="1" x14ac:dyDescent="0.25">
      <c r="A1" s="72"/>
      <c r="B1" s="72"/>
      <c r="C1" s="72"/>
      <c r="D1" s="72"/>
      <c r="E1" s="72"/>
      <c r="F1" s="72"/>
      <c r="H1" s="145" t="s">
        <v>234</v>
      </c>
      <c r="I1" s="146"/>
      <c r="J1" s="146"/>
      <c r="K1" s="146"/>
      <c r="L1" s="146"/>
      <c r="M1" s="146"/>
      <c r="N1" s="72"/>
      <c r="O1" s="72"/>
      <c r="P1" s="72"/>
      <c r="Q1" s="72"/>
      <c r="R1" s="72"/>
      <c r="S1" s="72"/>
      <c r="T1" s="72"/>
      <c r="U1" s="72"/>
      <c r="V1" s="47"/>
      <c r="W1" s="148" t="str">
        <f>"Resultat for "&amp;J6&amp;" ton affald, "&amp;J8&amp;" ton bioaffald, Varmebehov "&amp;TEXT(Qdemand,"#.##0")&amp;" MWh, NS-varme "&amp;TEXT(NSvarme,"#.##0")&amp;" MWh, RGK-grad "&amp;TEXT(RGKudnyttelse,"0 %")</f>
        <v>Resultat for 6000 ton affald, 0 ton bioaffald, Varmebehov 28.000 MWh, NS-varme 4.000 MWh, RGK-grad 100 %</v>
      </c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</row>
    <row r="2" spans="1:53" ht="15.75" thickBot="1" x14ac:dyDescent="0.3">
      <c r="A2" s="54"/>
      <c r="B2" s="54"/>
      <c r="C2" s="54"/>
      <c r="D2" s="54"/>
      <c r="E2" s="54"/>
      <c r="F2" s="54"/>
      <c r="H2" s="117"/>
      <c r="I2" s="107"/>
      <c r="J2" s="109"/>
      <c r="K2" s="109"/>
      <c r="L2" s="109"/>
      <c r="M2" s="109"/>
      <c r="N2" s="54"/>
      <c r="O2" s="54"/>
      <c r="P2" s="54"/>
      <c r="Q2" s="54"/>
      <c r="R2" s="54"/>
      <c r="S2" s="54"/>
      <c r="T2" s="54"/>
      <c r="U2" s="54"/>
      <c r="V2" s="47"/>
      <c r="W2" s="47"/>
      <c r="X2" s="48"/>
      <c r="Y2" s="49"/>
      <c r="Z2" s="49"/>
      <c r="AA2" s="47"/>
      <c r="AB2" s="47"/>
      <c r="AC2" s="47"/>
      <c r="AD2" s="67"/>
      <c r="AE2" s="49"/>
      <c r="AF2" s="49"/>
      <c r="AG2" s="47"/>
      <c r="AH2" s="47"/>
      <c r="AI2" s="51"/>
      <c r="AJ2" s="47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47"/>
      <c r="AZ2" s="47"/>
      <c r="BA2" s="64" t="str">
        <f>"Økonomiske nøgletal "</f>
        <v xml:space="preserve">Økonomiske nøgletal </v>
      </c>
    </row>
    <row r="3" spans="1:53" x14ac:dyDescent="0.25">
      <c r="A3" s="100" t="s">
        <v>312</v>
      </c>
      <c r="B3" s="116"/>
      <c r="C3" s="116"/>
      <c r="D3" s="116"/>
      <c r="E3" s="116"/>
      <c r="F3" s="115"/>
      <c r="H3" s="100" t="s">
        <v>311</v>
      </c>
      <c r="I3" s="101" t="s">
        <v>47</v>
      </c>
      <c r="J3" s="102" t="s">
        <v>267</v>
      </c>
      <c r="K3" s="102" t="s">
        <v>268</v>
      </c>
      <c r="L3" s="102" t="s">
        <v>269</v>
      </c>
      <c r="M3" s="102" t="s">
        <v>270</v>
      </c>
      <c r="N3" s="102" t="s">
        <v>271</v>
      </c>
      <c r="O3" s="102" t="s">
        <v>272</v>
      </c>
      <c r="P3" s="102" t="s">
        <v>273</v>
      </c>
      <c r="Q3" s="102" t="s">
        <v>274</v>
      </c>
      <c r="R3" s="102" t="s">
        <v>275</v>
      </c>
      <c r="S3" s="102" t="s">
        <v>276</v>
      </c>
      <c r="T3" s="102" t="s">
        <v>277</v>
      </c>
      <c r="U3" s="111" t="s">
        <v>278</v>
      </c>
      <c r="V3" s="47"/>
      <c r="W3" s="47"/>
      <c r="X3" s="48"/>
      <c r="Y3" s="49"/>
      <c r="Z3" s="49"/>
      <c r="AA3" s="47"/>
      <c r="AB3" s="47"/>
      <c r="AC3" s="47"/>
      <c r="AD3" s="67"/>
      <c r="AE3" s="49"/>
      <c r="AF3" s="49"/>
      <c r="AG3" s="47"/>
      <c r="AH3" s="47"/>
      <c r="AI3" s="48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65" t="str">
        <f>"Økonomi: RGK ift. Nominel"</f>
        <v>Økonomi: RGK ift. Nominel</v>
      </c>
    </row>
    <row r="4" spans="1:53" x14ac:dyDescent="0.25">
      <c r="A4" s="151" t="s">
        <v>313</v>
      </c>
      <c r="B4" s="54" t="b">
        <v>0</v>
      </c>
      <c r="C4" s="54"/>
      <c r="D4" s="54"/>
      <c r="E4" s="54"/>
      <c r="F4" s="105"/>
      <c r="H4" s="161" t="s">
        <v>328</v>
      </c>
      <c r="I4" s="162" t="s">
        <v>321</v>
      </c>
      <c r="J4" s="37">
        <v>1</v>
      </c>
      <c r="K4" s="37">
        <v>0</v>
      </c>
      <c r="L4" s="37">
        <v>0</v>
      </c>
      <c r="M4" s="37">
        <v>0</v>
      </c>
      <c r="N4" s="37">
        <v>0</v>
      </c>
      <c r="O4" s="37">
        <v>0</v>
      </c>
      <c r="P4" s="37">
        <v>0</v>
      </c>
      <c r="Q4" s="37">
        <v>0</v>
      </c>
      <c r="R4" s="37">
        <v>0</v>
      </c>
      <c r="S4" s="37">
        <v>0</v>
      </c>
      <c r="T4" s="37">
        <v>0</v>
      </c>
      <c r="U4" s="163">
        <v>0</v>
      </c>
      <c r="V4" s="47"/>
      <c r="W4" s="47"/>
      <c r="X4" s="48"/>
      <c r="Y4" s="49"/>
      <c r="Z4" s="49"/>
      <c r="AA4" s="47"/>
      <c r="AB4" s="47"/>
      <c r="AC4" s="47"/>
      <c r="AD4" s="67"/>
      <c r="AE4" s="49"/>
      <c r="AF4" s="49"/>
      <c r="AG4" s="47"/>
      <c r="AH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65" t="str">
        <f>"Varmemængder"</f>
        <v>Varmemængder</v>
      </c>
    </row>
    <row r="5" spans="1:53" x14ac:dyDescent="0.25">
      <c r="A5" s="151"/>
      <c r="B5" s="54"/>
      <c r="C5" s="54"/>
      <c r="D5" s="54"/>
      <c r="E5" s="54"/>
      <c r="F5" s="105"/>
      <c r="H5" s="104" t="s">
        <v>194</v>
      </c>
      <c r="I5" s="53" t="s">
        <v>41</v>
      </c>
      <c r="J5" s="57">
        <v>28115</v>
      </c>
      <c r="K5" s="54">
        <v>23902</v>
      </c>
      <c r="L5" s="54">
        <v>27355</v>
      </c>
      <c r="M5" s="54">
        <v>22497</v>
      </c>
      <c r="N5" s="54">
        <v>12760</v>
      </c>
      <c r="O5" s="54">
        <v>6100</v>
      </c>
      <c r="P5" s="54">
        <v>6411</v>
      </c>
      <c r="Q5" s="54">
        <v>7774</v>
      </c>
      <c r="R5" s="54">
        <v>8886</v>
      </c>
      <c r="S5" s="54">
        <v>15610</v>
      </c>
      <c r="T5" s="54">
        <v>20410</v>
      </c>
      <c r="U5" s="105">
        <v>25475</v>
      </c>
      <c r="V5" s="47"/>
      <c r="W5" s="47"/>
      <c r="X5" s="48"/>
      <c r="Y5" s="49"/>
      <c r="Z5" s="49"/>
      <c r="AA5" s="47"/>
      <c r="AB5" s="47"/>
      <c r="AC5" s="47"/>
      <c r="AD5" s="67"/>
      <c r="AE5" s="49"/>
      <c r="AF5" s="49"/>
      <c r="AG5" s="47"/>
      <c r="AH5" s="47"/>
      <c r="AI5" s="48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65" t="s">
        <v>140</v>
      </c>
    </row>
    <row r="6" spans="1:53" x14ac:dyDescent="0.25">
      <c r="A6" s="151"/>
      <c r="B6" s="54"/>
      <c r="C6" s="54"/>
      <c r="D6" s="54"/>
      <c r="E6" s="54"/>
      <c r="F6" s="105"/>
      <c r="H6" s="104" t="s">
        <v>400</v>
      </c>
      <c r="I6" s="53" t="s">
        <v>16</v>
      </c>
      <c r="J6" s="57">
        <v>6000</v>
      </c>
      <c r="K6" s="54">
        <v>6000</v>
      </c>
      <c r="L6" s="54">
        <v>6000</v>
      </c>
      <c r="M6" s="54">
        <v>6000</v>
      </c>
      <c r="N6" s="54">
        <v>6000</v>
      </c>
      <c r="O6" s="54">
        <v>6000</v>
      </c>
      <c r="P6" s="54">
        <v>6000</v>
      </c>
      <c r="Q6" s="54">
        <v>6000</v>
      </c>
      <c r="R6" s="54">
        <v>6000</v>
      </c>
      <c r="S6" s="54">
        <v>6000</v>
      </c>
      <c r="T6" s="54">
        <v>6000</v>
      </c>
      <c r="U6" s="105">
        <v>6000</v>
      </c>
      <c r="V6" s="49">
        <f>SUM(J6:U6)-FfriMaxÅr</f>
        <v>27000</v>
      </c>
      <c r="W6" s="47"/>
      <c r="X6" s="48"/>
      <c r="Y6" s="49"/>
      <c r="Z6" s="49"/>
      <c r="AA6" s="47"/>
      <c r="AB6" s="47"/>
      <c r="AC6" s="47"/>
      <c r="AD6" s="67"/>
      <c r="AE6" s="49"/>
      <c r="AF6" s="49"/>
      <c r="AG6" s="47"/>
      <c r="AH6" s="47"/>
      <c r="AI6" s="48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t="s">
        <v>236</v>
      </c>
    </row>
    <row r="7" spans="1:53" x14ac:dyDescent="0.25">
      <c r="A7" s="151"/>
      <c r="B7" s="54"/>
      <c r="C7" s="54"/>
      <c r="D7" s="54"/>
      <c r="E7" s="54"/>
      <c r="F7" s="105"/>
      <c r="G7" s="142"/>
      <c r="H7" s="104" t="s">
        <v>403</v>
      </c>
      <c r="I7" s="53" t="s">
        <v>16</v>
      </c>
      <c r="J7" s="57">
        <v>6000</v>
      </c>
      <c r="K7" s="54">
        <v>3500</v>
      </c>
      <c r="L7" s="54">
        <v>3500</v>
      </c>
      <c r="M7" s="54">
        <v>3500</v>
      </c>
      <c r="N7" s="54">
        <v>3500</v>
      </c>
      <c r="O7" s="54">
        <v>0</v>
      </c>
      <c r="P7" s="54">
        <v>0</v>
      </c>
      <c r="Q7" s="54">
        <v>3500</v>
      </c>
      <c r="R7" s="54">
        <v>3500</v>
      </c>
      <c r="S7" s="54">
        <v>3500</v>
      </c>
      <c r="T7" s="54">
        <v>6000</v>
      </c>
      <c r="U7" s="105">
        <v>6000</v>
      </c>
      <c r="V7" s="49">
        <f>SUM(J7:U7)-FbioMaxÅr</f>
        <v>32500</v>
      </c>
      <c r="W7" s="47"/>
      <c r="X7" s="48"/>
      <c r="Y7" s="49"/>
      <c r="Z7" s="49"/>
      <c r="AA7" s="47"/>
      <c r="AB7" s="47"/>
      <c r="AC7" s="47"/>
      <c r="AD7" s="67"/>
      <c r="AE7" s="49"/>
      <c r="AF7" s="49"/>
      <c r="AG7" s="47"/>
      <c r="AH7" s="47"/>
      <c r="AI7" s="48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</row>
    <row r="8" spans="1:53" ht="15.75" thickBot="1" x14ac:dyDescent="0.3">
      <c r="A8" s="152"/>
      <c r="B8" s="109"/>
      <c r="C8" s="109"/>
      <c r="D8" s="109"/>
      <c r="E8" s="109"/>
      <c r="F8" s="110"/>
      <c r="G8" s="142"/>
      <c r="H8" s="104" t="s">
        <v>196</v>
      </c>
      <c r="I8" s="53" t="s">
        <v>16</v>
      </c>
      <c r="J8" s="57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105">
        <v>0</v>
      </c>
      <c r="V8" s="49">
        <f>SUM(J8:U8)-FfriMaxÅr</f>
        <v>-45000</v>
      </c>
      <c r="W8" s="47"/>
      <c r="X8" s="48"/>
      <c r="Y8" s="49"/>
      <c r="Z8" s="49"/>
      <c r="AA8" s="47"/>
      <c r="AB8" s="47"/>
      <c r="AC8" s="47"/>
      <c r="AD8" s="67"/>
      <c r="AE8" s="49"/>
      <c r="AF8" s="49"/>
      <c r="AG8" s="47"/>
      <c r="AH8" s="47"/>
      <c r="AI8" s="48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</row>
    <row r="9" spans="1:53" ht="15.75" thickBot="1" x14ac:dyDescent="0.3">
      <c r="H9" s="104" t="s">
        <v>286</v>
      </c>
      <c r="I9" s="53" t="s">
        <v>30</v>
      </c>
      <c r="J9" s="126">
        <v>10.5</v>
      </c>
      <c r="K9" s="127">
        <v>10.5</v>
      </c>
      <c r="L9" s="127">
        <v>10.5</v>
      </c>
      <c r="M9" s="127">
        <v>10.5</v>
      </c>
      <c r="N9" s="127">
        <v>10.5</v>
      </c>
      <c r="O9" s="127">
        <v>10.5</v>
      </c>
      <c r="P9" s="127">
        <v>10.5</v>
      </c>
      <c r="Q9" s="127">
        <v>10.5</v>
      </c>
      <c r="R9" s="127">
        <v>10.5</v>
      </c>
      <c r="S9" s="127">
        <v>10.5</v>
      </c>
      <c r="T9" s="127">
        <v>10.5</v>
      </c>
      <c r="U9" s="128">
        <v>10.5</v>
      </c>
      <c r="V9" s="47"/>
      <c r="W9" s="47"/>
      <c r="X9" s="48"/>
      <c r="Y9" s="49"/>
      <c r="Z9" s="49"/>
      <c r="AA9" s="47"/>
      <c r="AB9" s="47"/>
      <c r="AC9" s="47"/>
      <c r="AD9" s="67"/>
      <c r="AE9" s="49"/>
      <c r="AF9" s="49"/>
      <c r="AG9" s="47"/>
      <c r="AH9" s="47"/>
      <c r="AI9" s="48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 t="s">
        <v>141</v>
      </c>
    </row>
    <row r="10" spans="1:53" x14ac:dyDescent="0.25">
      <c r="A10" s="100" t="s">
        <v>14</v>
      </c>
      <c r="B10" s="129"/>
      <c r="C10" s="102" t="s">
        <v>0</v>
      </c>
      <c r="D10" s="102" t="s">
        <v>1</v>
      </c>
      <c r="E10" s="102" t="s">
        <v>7</v>
      </c>
      <c r="F10" s="111" t="s">
        <v>133</v>
      </c>
      <c r="H10" s="104" t="s">
        <v>287</v>
      </c>
      <c r="I10" s="53" t="s">
        <v>24</v>
      </c>
      <c r="J10" s="57">
        <v>400</v>
      </c>
      <c r="K10" s="54">
        <v>400</v>
      </c>
      <c r="L10" s="54">
        <v>400</v>
      </c>
      <c r="M10" s="54">
        <v>400</v>
      </c>
      <c r="N10" s="54">
        <v>400</v>
      </c>
      <c r="O10" s="54">
        <v>400</v>
      </c>
      <c r="P10" s="54">
        <v>400</v>
      </c>
      <c r="Q10" s="54">
        <v>400</v>
      </c>
      <c r="R10" s="54">
        <v>400</v>
      </c>
      <c r="S10" s="54">
        <v>400</v>
      </c>
      <c r="T10" s="54">
        <v>400</v>
      </c>
      <c r="U10" s="105">
        <v>400</v>
      </c>
      <c r="V10" s="47"/>
      <c r="W10" s="47"/>
      <c r="X10" s="48"/>
      <c r="Y10" s="49"/>
      <c r="Z10" s="49"/>
      <c r="AA10" s="47"/>
      <c r="AB10" s="47"/>
      <c r="AC10" s="47"/>
      <c r="AD10" s="67"/>
      <c r="AE10" s="49"/>
      <c r="AF10" s="49"/>
      <c r="AG10" s="47"/>
      <c r="AH10" s="47"/>
      <c r="AI10" s="48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</row>
    <row r="11" spans="1:53" x14ac:dyDescent="0.25">
      <c r="A11" s="104" t="s">
        <v>12</v>
      </c>
      <c r="B11" s="130"/>
      <c r="C11" s="54">
        <v>31</v>
      </c>
      <c r="D11" s="54">
        <v>31</v>
      </c>
      <c r="E11" s="54">
        <v>31</v>
      </c>
      <c r="F11" s="105"/>
      <c r="H11" s="104" t="s">
        <v>264</v>
      </c>
      <c r="I11" s="53" t="s">
        <v>266</v>
      </c>
      <c r="J11" s="57">
        <v>31</v>
      </c>
      <c r="K11" s="57">
        <v>28</v>
      </c>
      <c r="L11" s="57">
        <v>31</v>
      </c>
      <c r="M11" s="57">
        <v>30</v>
      </c>
      <c r="N11" s="57">
        <v>31</v>
      </c>
      <c r="O11" s="57">
        <v>30</v>
      </c>
      <c r="P11" s="57">
        <v>31</v>
      </c>
      <c r="Q11" s="57">
        <v>31</v>
      </c>
      <c r="R11" s="57">
        <v>30</v>
      </c>
      <c r="S11" s="57">
        <v>31</v>
      </c>
      <c r="T11" s="57">
        <v>30</v>
      </c>
      <c r="U11" s="150">
        <v>31</v>
      </c>
      <c r="V11" s="47"/>
      <c r="W11" s="47"/>
      <c r="X11" s="48"/>
      <c r="Y11" s="49"/>
      <c r="Z11" s="49"/>
      <c r="AA11" s="47"/>
      <c r="AB11" s="47"/>
      <c r="AC11" s="47"/>
      <c r="AD11" s="67"/>
      <c r="AE11" s="49"/>
      <c r="AF11" s="49"/>
      <c r="AG11" s="47"/>
      <c r="AH11" s="47"/>
      <c r="AI11" s="48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</row>
    <row r="12" spans="1:53" x14ac:dyDescent="0.25">
      <c r="A12" s="104" t="s">
        <v>2</v>
      </c>
      <c r="B12" s="130" t="s">
        <v>3</v>
      </c>
      <c r="C12" s="54">
        <v>9.5</v>
      </c>
      <c r="D12" s="54">
        <v>22.5</v>
      </c>
      <c r="E12" s="54">
        <v>15</v>
      </c>
      <c r="F12" s="105"/>
      <c r="H12" s="104" t="s">
        <v>265</v>
      </c>
      <c r="I12" s="53" t="s">
        <v>266</v>
      </c>
      <c r="J12" s="57">
        <f>31</f>
        <v>31</v>
      </c>
      <c r="K12" s="57">
        <v>28</v>
      </c>
      <c r="L12" s="57">
        <v>31</v>
      </c>
      <c r="M12" s="57">
        <v>30</v>
      </c>
      <c r="N12" s="57">
        <v>31</v>
      </c>
      <c r="O12" s="57">
        <v>2</v>
      </c>
      <c r="P12" s="57">
        <v>31</v>
      </c>
      <c r="Q12" s="57">
        <v>31</v>
      </c>
      <c r="R12" s="57">
        <v>30</v>
      </c>
      <c r="S12" s="57">
        <v>31</v>
      </c>
      <c r="T12" s="57">
        <v>30</v>
      </c>
      <c r="U12" s="150">
        <v>31</v>
      </c>
      <c r="V12" s="47"/>
      <c r="W12" s="47"/>
      <c r="X12" s="48"/>
      <c r="Y12" s="49"/>
      <c r="Z12" s="49"/>
      <c r="AA12" s="47"/>
      <c r="AB12" s="47"/>
      <c r="AC12" s="47"/>
      <c r="AD12" s="67"/>
      <c r="AE12" s="49"/>
      <c r="AF12" s="49"/>
      <c r="AG12" s="47"/>
      <c r="AH12" s="47"/>
      <c r="AI12" s="48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</row>
    <row r="13" spans="1:53" x14ac:dyDescent="0.25">
      <c r="A13" s="104" t="s">
        <v>8</v>
      </c>
      <c r="B13" s="130" t="s">
        <v>3</v>
      </c>
      <c r="C13" s="54">
        <v>2</v>
      </c>
      <c r="D13" s="54">
        <v>5.5</v>
      </c>
      <c r="E13" s="54"/>
      <c r="F13" s="105"/>
      <c r="H13" s="104" t="s">
        <v>123</v>
      </c>
      <c r="I13" s="53" t="s">
        <v>125</v>
      </c>
      <c r="J13" s="124">
        <v>1</v>
      </c>
      <c r="K13" s="124">
        <v>1</v>
      </c>
      <c r="L13" s="124">
        <v>1</v>
      </c>
      <c r="M13" s="124">
        <v>1</v>
      </c>
      <c r="N13" s="124">
        <v>1</v>
      </c>
      <c r="O13" s="124">
        <v>1</v>
      </c>
      <c r="P13" s="124">
        <v>1</v>
      </c>
      <c r="Q13" s="124">
        <v>1</v>
      </c>
      <c r="R13" s="124">
        <v>1</v>
      </c>
      <c r="S13" s="124">
        <v>1</v>
      </c>
      <c r="T13" s="124">
        <v>1</v>
      </c>
      <c r="U13" s="125">
        <v>1</v>
      </c>
      <c r="V13" s="47"/>
      <c r="W13" s="47"/>
      <c r="X13" s="48"/>
      <c r="Y13" s="49"/>
      <c r="Z13" s="49"/>
      <c r="AA13" s="47"/>
      <c r="AB13" s="47"/>
      <c r="AC13" s="47"/>
      <c r="AD13" s="67"/>
      <c r="AE13" s="49"/>
      <c r="AF13" s="49"/>
      <c r="AG13" s="47"/>
      <c r="AH13" s="47"/>
      <c r="AI13" s="48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</row>
    <row r="14" spans="1:53" x14ac:dyDescent="0.25">
      <c r="A14" s="104" t="s">
        <v>4</v>
      </c>
      <c r="B14" s="130" t="s">
        <v>5</v>
      </c>
      <c r="C14" s="54"/>
      <c r="D14" s="54">
        <v>8</v>
      </c>
      <c r="E14" s="54"/>
      <c r="F14" s="105"/>
      <c r="G14" s="155"/>
      <c r="H14" s="104" t="s">
        <v>314</v>
      </c>
      <c r="I14" s="53" t="s">
        <v>41</v>
      </c>
      <c r="J14" s="57">
        <v>4000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54">
        <v>0</v>
      </c>
      <c r="T14" s="54">
        <v>0</v>
      </c>
      <c r="U14" s="105">
        <v>5600</v>
      </c>
      <c r="V14" s="47"/>
      <c r="W14" s="47"/>
      <c r="X14" s="48"/>
      <c r="Y14" s="49"/>
      <c r="Z14" s="49"/>
      <c r="AA14" s="47"/>
      <c r="AB14" s="47"/>
      <c r="AC14" s="47"/>
      <c r="AD14" s="67"/>
      <c r="AE14" s="49"/>
      <c r="AF14" s="49"/>
      <c r="AG14" s="47"/>
      <c r="AH14" s="47"/>
      <c r="AI14" s="48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</row>
    <row r="15" spans="1:53" x14ac:dyDescent="0.25">
      <c r="A15" s="104" t="s">
        <v>6</v>
      </c>
      <c r="B15" s="130" t="s">
        <v>13</v>
      </c>
      <c r="C15" s="54"/>
      <c r="D15" s="54">
        <v>25</v>
      </c>
      <c r="E15" s="54"/>
      <c r="F15" s="105"/>
      <c r="H15" s="104" t="s">
        <v>25</v>
      </c>
      <c r="I15" s="53" t="s">
        <v>26</v>
      </c>
      <c r="J15" s="54">
        <v>800</v>
      </c>
      <c r="K15" s="54">
        <v>800</v>
      </c>
      <c r="L15" s="54">
        <v>800</v>
      </c>
      <c r="M15" s="54">
        <v>800</v>
      </c>
      <c r="N15" s="54">
        <v>800</v>
      </c>
      <c r="O15" s="54">
        <v>800</v>
      </c>
      <c r="P15" s="54">
        <v>800</v>
      </c>
      <c r="Q15" s="54">
        <v>800</v>
      </c>
      <c r="R15" s="54">
        <v>800</v>
      </c>
      <c r="S15" s="54">
        <v>800</v>
      </c>
      <c r="T15" s="54">
        <v>800</v>
      </c>
      <c r="U15" s="105">
        <v>800</v>
      </c>
      <c r="V15" s="47"/>
      <c r="W15" s="47"/>
      <c r="X15" s="48"/>
      <c r="Y15" s="49"/>
      <c r="Z15" s="49"/>
      <c r="AA15" s="47"/>
      <c r="AB15" s="47"/>
      <c r="AC15" s="47"/>
      <c r="AD15" s="67"/>
      <c r="AE15" s="49"/>
      <c r="AF15" s="49"/>
      <c r="AG15" s="47"/>
      <c r="AH15" s="47"/>
      <c r="AI15" s="48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</row>
    <row r="16" spans="1:53" ht="15.75" thickBot="1" x14ac:dyDescent="0.3">
      <c r="A16" s="104" t="s">
        <v>9</v>
      </c>
      <c r="B16" s="130"/>
      <c r="C16" s="59">
        <v>0.84399999999999997</v>
      </c>
      <c r="D16" s="59">
        <v>0.65600000000000003</v>
      </c>
      <c r="E16" s="54"/>
      <c r="F16" s="105"/>
      <c r="H16" s="106" t="s">
        <v>27</v>
      </c>
      <c r="I16" s="107" t="s">
        <v>38</v>
      </c>
      <c r="J16" s="108">
        <v>400</v>
      </c>
      <c r="K16" s="109">
        <v>400</v>
      </c>
      <c r="L16" s="109">
        <v>400</v>
      </c>
      <c r="M16" s="109">
        <v>400</v>
      </c>
      <c r="N16" s="109">
        <v>400</v>
      </c>
      <c r="O16" s="109">
        <v>400</v>
      </c>
      <c r="P16" s="109">
        <v>400</v>
      </c>
      <c r="Q16" s="109">
        <v>400</v>
      </c>
      <c r="R16" s="109">
        <v>400</v>
      </c>
      <c r="S16" s="109">
        <v>400</v>
      </c>
      <c r="T16" s="109">
        <v>400</v>
      </c>
      <c r="U16" s="110">
        <v>400</v>
      </c>
      <c r="V16" s="47"/>
      <c r="W16" s="47"/>
      <c r="X16" s="48"/>
      <c r="Y16" s="49"/>
      <c r="Z16" s="49"/>
      <c r="AA16" s="47"/>
      <c r="AB16" s="47"/>
      <c r="AC16" s="47"/>
      <c r="AD16" s="67"/>
      <c r="AE16" s="49"/>
      <c r="AF16" s="49"/>
      <c r="AG16" s="47"/>
      <c r="AH16" s="47"/>
      <c r="AI16" s="48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</row>
    <row r="17" spans="1:52" x14ac:dyDescent="0.25">
      <c r="A17" s="104" t="s">
        <v>10</v>
      </c>
      <c r="B17" s="130"/>
      <c r="C17" s="112">
        <f>$J$13*C13/C12*C16</f>
        <v>0.17768421052631578</v>
      </c>
      <c r="D17" s="112">
        <f>$J$13*D13/D12*D16</f>
        <v>0.16035555555555556</v>
      </c>
      <c r="E17" s="54"/>
      <c r="F17" s="105"/>
      <c r="I17"/>
      <c r="V17" s="47"/>
      <c r="W17" s="47"/>
      <c r="X17" s="48"/>
      <c r="Y17" s="49"/>
      <c r="Z17" s="49"/>
      <c r="AA17" s="47"/>
      <c r="AB17" s="47"/>
      <c r="AC17" s="47"/>
      <c r="AD17" s="67"/>
      <c r="AE17" s="49"/>
      <c r="AF17" s="49"/>
      <c r="AG17" s="47"/>
      <c r="AH17" s="47"/>
      <c r="AI17" s="48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</row>
    <row r="18" spans="1:52" x14ac:dyDescent="0.25">
      <c r="A18" s="104" t="s">
        <v>67</v>
      </c>
      <c r="B18" s="130"/>
      <c r="C18" s="112">
        <f>SUM(C16:C17)</f>
        <v>1.0216842105263158</v>
      </c>
      <c r="D18" s="112">
        <f>SUM(D16:D17)</f>
        <v>0.81635555555555561</v>
      </c>
      <c r="E18" s="54"/>
      <c r="F18" s="105"/>
      <c r="H18" s="119" t="s">
        <v>318</v>
      </c>
      <c r="I18" s="164" t="s">
        <v>47</v>
      </c>
      <c r="J18" s="73" t="str">
        <f>J3</f>
        <v>JAN</v>
      </c>
      <c r="K18" s="73" t="str">
        <f t="shared" ref="K18:U18" si="0">K3</f>
        <v>FEB</v>
      </c>
      <c r="L18" s="73" t="str">
        <f t="shared" si="0"/>
        <v>MAR</v>
      </c>
      <c r="M18" s="73" t="str">
        <f t="shared" si="0"/>
        <v>APR</v>
      </c>
      <c r="N18" s="73" t="str">
        <f t="shared" si="0"/>
        <v>MAJ</v>
      </c>
      <c r="O18" s="73" t="str">
        <f t="shared" si="0"/>
        <v>JUN</v>
      </c>
      <c r="P18" s="73" t="str">
        <f t="shared" si="0"/>
        <v>JUL</v>
      </c>
      <c r="Q18" s="73" t="str">
        <f t="shared" si="0"/>
        <v>AUG</v>
      </c>
      <c r="R18" s="73" t="str">
        <f t="shared" si="0"/>
        <v>SEP</v>
      </c>
      <c r="S18" s="73" t="str">
        <f>S3</f>
        <v>OKT</v>
      </c>
      <c r="T18" s="73" t="str">
        <f t="shared" si="0"/>
        <v>NOV</v>
      </c>
      <c r="U18" s="73" t="str">
        <f t="shared" si="0"/>
        <v>DEC</v>
      </c>
      <c r="V18" s="47"/>
      <c r="W18" s="47"/>
      <c r="X18" s="48"/>
      <c r="Y18" s="49"/>
      <c r="Z18" s="49"/>
      <c r="AA18" s="47"/>
      <c r="AB18" s="47"/>
      <c r="AC18" s="47"/>
      <c r="AD18" s="67"/>
      <c r="AE18" s="49"/>
      <c r="AF18" s="49"/>
      <c r="AG18" s="47"/>
      <c r="AH18" s="47"/>
      <c r="AI18" s="48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</row>
    <row r="19" spans="1:52" x14ac:dyDescent="0.25">
      <c r="A19" s="104" t="s">
        <v>11</v>
      </c>
      <c r="B19" s="130"/>
      <c r="C19" s="54"/>
      <c r="D19" s="60">
        <v>0.22470000000000001</v>
      </c>
      <c r="E19" s="54"/>
      <c r="F19" s="105"/>
      <c r="H19" s="137" t="s">
        <v>319</v>
      </c>
      <c r="I19" s="137" t="s">
        <v>41</v>
      </c>
      <c r="J19">
        <v>3000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5000</v>
      </c>
      <c r="V19" s="47"/>
      <c r="W19" s="47"/>
      <c r="X19" s="48"/>
      <c r="Y19" s="49"/>
      <c r="Z19" s="49"/>
      <c r="AA19" s="47"/>
      <c r="AB19" s="47"/>
      <c r="AC19" s="47"/>
      <c r="AD19" s="67"/>
      <c r="AE19" s="49"/>
      <c r="AF19" s="49"/>
      <c r="AG19" s="47"/>
      <c r="AH19" s="47"/>
      <c r="AI19" s="48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</row>
    <row r="20" spans="1:52" ht="15.75" thickBot="1" x14ac:dyDescent="0.3">
      <c r="A20" s="106" t="s">
        <v>281</v>
      </c>
      <c r="B20" s="131" t="s">
        <v>19</v>
      </c>
      <c r="C20" s="109">
        <v>30</v>
      </c>
      <c r="D20" s="109">
        <v>50</v>
      </c>
      <c r="E20" s="109">
        <v>10</v>
      </c>
      <c r="F20" s="110">
        <v>10</v>
      </c>
      <c r="H20" s="137" t="s">
        <v>401</v>
      </c>
      <c r="I20" s="4" t="s">
        <v>16</v>
      </c>
      <c r="J20" s="165">
        <f>J6-J21</f>
        <v>3000</v>
      </c>
      <c r="K20" s="133">
        <f t="shared" ref="K20:U20" si="1">K6-K21</f>
        <v>3000</v>
      </c>
      <c r="L20" s="133">
        <f t="shared" si="1"/>
        <v>3000</v>
      </c>
      <c r="M20" s="133">
        <f t="shared" si="1"/>
        <v>3000</v>
      </c>
      <c r="N20" s="133">
        <f t="shared" si="1"/>
        <v>3000</v>
      </c>
      <c r="O20" s="133">
        <f t="shared" si="1"/>
        <v>3000</v>
      </c>
      <c r="P20" s="133">
        <f t="shared" si="1"/>
        <v>3000</v>
      </c>
      <c r="Q20" s="133">
        <f t="shared" si="1"/>
        <v>3000</v>
      </c>
      <c r="R20" s="133">
        <f t="shared" si="1"/>
        <v>3000</v>
      </c>
      <c r="S20" s="133">
        <f t="shared" si="1"/>
        <v>3000</v>
      </c>
      <c r="T20" s="133">
        <f t="shared" si="1"/>
        <v>3000</v>
      </c>
      <c r="U20" s="133">
        <f t="shared" si="1"/>
        <v>3000</v>
      </c>
      <c r="V20" s="47"/>
      <c r="W20" s="47"/>
      <c r="X20" s="48"/>
      <c r="Y20" s="49"/>
      <c r="Z20" s="49"/>
      <c r="AA20" s="47"/>
      <c r="AB20" s="47"/>
      <c r="AC20" s="47"/>
      <c r="AD20" s="67"/>
      <c r="AE20" s="49"/>
      <c r="AF20" s="49"/>
      <c r="AG20" s="47"/>
      <c r="AH20" s="47"/>
      <c r="AI20" s="48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</row>
    <row r="21" spans="1:52" ht="15.75" thickBot="1" x14ac:dyDescent="0.3">
      <c r="A21" s="56"/>
      <c r="B21" s="130"/>
      <c r="C21" s="54"/>
      <c r="D21" s="54"/>
      <c r="E21" s="54"/>
      <c r="F21" s="55"/>
      <c r="H21" s="137" t="s">
        <v>402</v>
      </c>
      <c r="I21" s="4" t="s">
        <v>16</v>
      </c>
      <c r="J21">
        <v>3000</v>
      </c>
      <c r="K21">
        <v>3000</v>
      </c>
      <c r="L21">
        <v>3000</v>
      </c>
      <c r="M21">
        <v>3000</v>
      </c>
      <c r="N21">
        <v>3000</v>
      </c>
      <c r="O21">
        <v>3000</v>
      </c>
      <c r="P21">
        <v>3000</v>
      </c>
      <c r="Q21">
        <v>3000</v>
      </c>
      <c r="R21">
        <v>3000</v>
      </c>
      <c r="S21">
        <v>3000</v>
      </c>
      <c r="T21">
        <v>3000</v>
      </c>
      <c r="U21">
        <v>3000</v>
      </c>
      <c r="V21" s="47"/>
      <c r="W21" s="47"/>
      <c r="X21" s="48"/>
      <c r="Y21" s="49"/>
      <c r="Z21" s="49"/>
      <c r="AA21" s="47"/>
      <c r="AB21" s="47"/>
      <c r="AC21" s="47"/>
      <c r="AD21" s="67"/>
      <c r="AE21" s="49"/>
      <c r="AF21" s="49"/>
      <c r="AG21" s="47"/>
      <c r="AH21" s="47"/>
      <c r="AI21" s="48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</row>
    <row r="22" spans="1:52" x14ac:dyDescent="0.25">
      <c r="A22" s="113" t="s">
        <v>15</v>
      </c>
      <c r="B22" s="132"/>
      <c r="C22" s="102" t="s">
        <v>291</v>
      </c>
      <c r="D22" s="102" t="s">
        <v>290</v>
      </c>
      <c r="E22" s="102" t="s">
        <v>280</v>
      </c>
      <c r="F22" s="111" t="s">
        <v>20</v>
      </c>
      <c r="H22" s="137" t="s">
        <v>404</v>
      </c>
      <c r="I22" s="4" t="s">
        <v>16</v>
      </c>
      <c r="J22">
        <v>3000</v>
      </c>
      <c r="K22">
        <v>3000</v>
      </c>
      <c r="L22">
        <v>2000</v>
      </c>
      <c r="M22">
        <v>2000</v>
      </c>
      <c r="N22">
        <v>2000</v>
      </c>
      <c r="O22">
        <v>2000</v>
      </c>
      <c r="P22">
        <v>2000</v>
      </c>
      <c r="Q22">
        <v>2000</v>
      </c>
      <c r="R22">
        <v>2000</v>
      </c>
      <c r="S22">
        <v>2000</v>
      </c>
      <c r="T22">
        <v>2000</v>
      </c>
      <c r="U22">
        <v>2000</v>
      </c>
      <c r="V22" s="47"/>
      <c r="W22" s="47"/>
      <c r="X22" s="48"/>
      <c r="Y22" s="49"/>
      <c r="Z22" s="49"/>
      <c r="AA22" s="47"/>
      <c r="AB22" s="47"/>
      <c r="AC22" s="47"/>
      <c r="AD22" s="67"/>
      <c r="AE22" s="49"/>
      <c r="AF22" s="49"/>
      <c r="AG22" s="47"/>
      <c r="AH22" s="47"/>
      <c r="AI22" s="48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</row>
    <row r="23" spans="1:52" x14ac:dyDescent="0.25">
      <c r="A23" s="104" t="s">
        <v>292</v>
      </c>
      <c r="B23" s="130" t="s">
        <v>288</v>
      </c>
      <c r="C23" s="54">
        <v>50000</v>
      </c>
      <c r="D23" s="54">
        <v>40000</v>
      </c>
      <c r="E23" s="54"/>
      <c r="F23" s="105"/>
      <c r="H23" s="137" t="s">
        <v>405</v>
      </c>
      <c r="I23" s="4" t="s">
        <v>16</v>
      </c>
      <c r="J23">
        <v>3000</v>
      </c>
      <c r="K23">
        <v>3000</v>
      </c>
      <c r="L23">
        <v>3000</v>
      </c>
      <c r="M23">
        <v>3000</v>
      </c>
      <c r="N23">
        <v>3000</v>
      </c>
      <c r="O23">
        <v>3000</v>
      </c>
      <c r="P23">
        <v>3000</v>
      </c>
      <c r="Q23">
        <v>3000</v>
      </c>
      <c r="R23">
        <v>3000</v>
      </c>
      <c r="S23">
        <v>3000</v>
      </c>
      <c r="T23">
        <v>3000</v>
      </c>
      <c r="U23">
        <v>3000</v>
      </c>
      <c r="V23" s="47"/>
      <c r="W23" s="47"/>
      <c r="X23" s="48"/>
      <c r="Y23" s="49"/>
      <c r="Z23" s="49"/>
      <c r="AA23" s="47"/>
      <c r="AB23" s="47"/>
      <c r="AC23" s="47"/>
      <c r="AD23" s="67"/>
      <c r="AE23" s="49"/>
      <c r="AF23" s="49"/>
      <c r="AG23" s="47"/>
      <c r="AH23" s="47"/>
      <c r="AI23" s="48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</row>
    <row r="24" spans="1:52" x14ac:dyDescent="0.25">
      <c r="A24" s="104" t="s">
        <v>293</v>
      </c>
      <c r="B24" s="130" t="s">
        <v>288</v>
      </c>
      <c r="C24" s="133">
        <f>FfastMinÅr</f>
        <v>50000</v>
      </c>
      <c r="D24" s="54">
        <v>45000</v>
      </c>
      <c r="E24" s="54">
        <v>10000</v>
      </c>
      <c r="F24" s="105"/>
      <c r="H24" s="137" t="s">
        <v>330</v>
      </c>
      <c r="I24" s="4" t="s">
        <v>16</v>
      </c>
      <c r="J24">
        <v>1000</v>
      </c>
      <c r="K24">
        <v>1000</v>
      </c>
      <c r="L24">
        <v>2000</v>
      </c>
      <c r="M24">
        <v>2000</v>
      </c>
      <c r="N24">
        <v>2000</v>
      </c>
      <c r="O24">
        <v>2000</v>
      </c>
      <c r="P24">
        <v>2000</v>
      </c>
      <c r="Q24">
        <v>2000</v>
      </c>
      <c r="R24">
        <v>2000</v>
      </c>
      <c r="S24">
        <v>2000</v>
      </c>
      <c r="T24">
        <v>2000</v>
      </c>
      <c r="U24">
        <v>2000</v>
      </c>
      <c r="V24" s="47"/>
      <c r="W24" s="47"/>
      <c r="X24" s="48"/>
      <c r="Y24" s="49"/>
      <c r="Z24" s="49"/>
      <c r="AA24" s="47"/>
      <c r="AB24" s="47"/>
      <c r="AC24" s="47"/>
      <c r="AD24" s="67"/>
      <c r="AE24" s="49"/>
      <c r="AF24" s="49"/>
      <c r="AG24" s="47"/>
      <c r="AH24" s="47"/>
      <c r="AI24" s="48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</row>
    <row r="25" spans="1:52" x14ac:dyDescent="0.25">
      <c r="A25" s="104" t="s">
        <v>39</v>
      </c>
      <c r="B25" s="130" t="s">
        <v>24</v>
      </c>
      <c r="C25" s="54">
        <v>400</v>
      </c>
      <c r="D25" s="54"/>
      <c r="E25" s="54">
        <f>-6.5*3.6</f>
        <v>-23.400000000000002</v>
      </c>
      <c r="F25" s="105">
        <v>0</v>
      </c>
      <c r="H25" s="137" t="s">
        <v>329</v>
      </c>
      <c r="I25" s="4" t="s">
        <v>16</v>
      </c>
      <c r="J25">
        <v>1000</v>
      </c>
      <c r="K25">
        <v>1000</v>
      </c>
      <c r="L25">
        <v>3000</v>
      </c>
      <c r="M25">
        <v>3000</v>
      </c>
      <c r="N25">
        <v>3000</v>
      </c>
      <c r="O25">
        <v>3000</v>
      </c>
      <c r="P25">
        <v>3000</v>
      </c>
      <c r="Q25">
        <v>3000</v>
      </c>
      <c r="R25">
        <v>3000</v>
      </c>
      <c r="S25">
        <v>3000</v>
      </c>
      <c r="T25">
        <v>3000</v>
      </c>
      <c r="U25">
        <v>3000</v>
      </c>
      <c r="V25" s="47"/>
      <c r="W25" s="47"/>
      <c r="X25" s="48"/>
      <c r="Y25" s="49"/>
      <c r="Z25" s="49"/>
      <c r="AA25" s="47"/>
      <c r="AB25" s="47"/>
      <c r="AC25" s="47"/>
      <c r="AD25" s="67"/>
      <c r="AE25" s="49"/>
      <c r="AF25" s="49"/>
      <c r="AG25" s="47"/>
      <c r="AH25" s="47"/>
      <c r="AI25" s="48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</row>
    <row r="26" spans="1:52" x14ac:dyDescent="0.25">
      <c r="A26" s="104" t="s">
        <v>29</v>
      </c>
      <c r="B26" s="130" t="s">
        <v>30</v>
      </c>
      <c r="C26" s="54">
        <v>10.199999999999999</v>
      </c>
      <c r="D26" s="134">
        <v>10.5</v>
      </c>
      <c r="E26" s="54">
        <v>14</v>
      </c>
      <c r="F26" s="105">
        <v>3.6</v>
      </c>
      <c r="H26" s="156" t="s">
        <v>320</v>
      </c>
      <c r="I26" s="156" t="s">
        <v>321</v>
      </c>
      <c r="J26" s="157">
        <v>1</v>
      </c>
      <c r="K26" s="157">
        <v>1</v>
      </c>
      <c r="L26" s="157">
        <v>1</v>
      </c>
      <c r="M26" s="157">
        <v>1</v>
      </c>
      <c r="N26" s="157">
        <v>1</v>
      </c>
      <c r="O26" s="157">
        <v>1</v>
      </c>
      <c r="P26" s="157">
        <v>1</v>
      </c>
      <c r="Q26" s="157">
        <v>1</v>
      </c>
      <c r="R26" s="157">
        <v>1</v>
      </c>
      <c r="S26" s="157">
        <v>1</v>
      </c>
      <c r="T26" s="157">
        <v>1</v>
      </c>
      <c r="U26" s="157">
        <v>1</v>
      </c>
      <c r="V26" s="47"/>
      <c r="W26" s="47"/>
      <c r="X26" s="48"/>
      <c r="Y26" s="49"/>
      <c r="Z26" s="49"/>
      <c r="AA26" s="47"/>
      <c r="AB26" s="47"/>
      <c r="AC26" s="47"/>
      <c r="AD26" s="67"/>
      <c r="AE26" s="49"/>
      <c r="AF26" s="49"/>
      <c r="AG26" s="47"/>
      <c r="AH26" s="47"/>
      <c r="AI26" s="48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</row>
    <row r="27" spans="1:52" x14ac:dyDescent="0.25">
      <c r="A27" s="104" t="s">
        <v>36</v>
      </c>
      <c r="B27" s="130" t="s">
        <v>34</v>
      </c>
      <c r="C27" s="54">
        <v>37</v>
      </c>
      <c r="D27" s="54"/>
      <c r="E27" s="54"/>
      <c r="F27" s="105"/>
      <c r="H27" s="156" t="s">
        <v>324</v>
      </c>
      <c r="I27" s="160" t="s">
        <v>41</v>
      </c>
      <c r="J27" s="157">
        <v>100</v>
      </c>
      <c r="K27" s="157">
        <v>100</v>
      </c>
      <c r="L27" s="157">
        <v>100</v>
      </c>
      <c r="M27" s="157">
        <v>100</v>
      </c>
      <c r="N27" s="157">
        <v>100</v>
      </c>
      <c r="O27" s="157">
        <v>100</v>
      </c>
      <c r="P27" s="157">
        <v>100</v>
      </c>
      <c r="Q27" s="157">
        <v>100</v>
      </c>
      <c r="R27" s="157">
        <v>100</v>
      </c>
      <c r="S27" s="157">
        <v>100</v>
      </c>
      <c r="T27" s="157">
        <v>100</v>
      </c>
      <c r="U27" s="157">
        <v>100</v>
      </c>
      <c r="V27" s="14"/>
      <c r="W27" s="47"/>
      <c r="X27" s="48"/>
      <c r="Y27" s="49"/>
      <c r="Z27" s="49"/>
      <c r="AA27" s="47"/>
      <c r="AB27" s="47"/>
      <c r="AC27" s="47"/>
      <c r="AD27" s="67"/>
      <c r="AE27" s="49"/>
      <c r="AF27" s="49"/>
      <c r="AG27" s="47"/>
      <c r="AH27" s="47"/>
      <c r="AI27" s="48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</row>
    <row r="28" spans="1:52" x14ac:dyDescent="0.25">
      <c r="A28" s="104" t="s">
        <v>37</v>
      </c>
      <c r="B28" s="130" t="s">
        <v>34</v>
      </c>
      <c r="C28" s="54">
        <v>42.5</v>
      </c>
      <c r="D28" s="54"/>
      <c r="E28" s="54"/>
      <c r="F28" s="105"/>
      <c r="H28" s="119" t="s">
        <v>134</v>
      </c>
      <c r="I28" s="164" t="s">
        <v>47</v>
      </c>
      <c r="J28" s="17" t="str">
        <f>J3</f>
        <v>JAN</v>
      </c>
      <c r="K28" s="17" t="str">
        <f>K3</f>
        <v>FEB</v>
      </c>
      <c r="L28" s="17" t="str">
        <f>L3</f>
        <v>MAR</v>
      </c>
      <c r="M28" s="17" t="str">
        <f>M3</f>
        <v>APR</v>
      </c>
      <c r="N28" s="17" t="str">
        <f>N3</f>
        <v>MAJ</v>
      </c>
      <c r="O28" s="17" t="str">
        <f>O3</f>
        <v>JUN</v>
      </c>
      <c r="P28" s="17" t="str">
        <f>P3</f>
        <v>JUL</v>
      </c>
      <c r="Q28" s="17" t="str">
        <f>Q3</f>
        <v>AUG</v>
      </c>
      <c r="R28" s="17" t="str">
        <f>R3</f>
        <v>SEP</v>
      </c>
      <c r="S28" s="17" t="str">
        <f>S3</f>
        <v>OKT</v>
      </c>
      <c r="T28" s="17" t="str">
        <f>T3</f>
        <v>NOV</v>
      </c>
      <c r="U28" s="17" t="str">
        <f>U3</f>
        <v>DEC</v>
      </c>
      <c r="V28" s="47"/>
      <c r="W28" s="47"/>
      <c r="X28" s="48"/>
      <c r="Y28" s="49"/>
      <c r="Z28" s="49"/>
      <c r="AA28" s="47"/>
      <c r="AB28" s="47"/>
      <c r="AC28" s="47"/>
      <c r="AD28" s="67"/>
      <c r="AE28" s="49"/>
      <c r="AF28" s="49"/>
      <c r="AG28" s="47"/>
      <c r="AH28" s="47"/>
      <c r="AI28" s="48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</row>
    <row r="29" spans="1:52" ht="15.75" thickBot="1" x14ac:dyDescent="0.3">
      <c r="A29" s="106" t="s">
        <v>129</v>
      </c>
      <c r="B29" s="131" t="s">
        <v>30</v>
      </c>
      <c r="C29" s="109">
        <v>10.6</v>
      </c>
      <c r="D29" s="109"/>
      <c r="E29" s="109"/>
      <c r="F29" s="110"/>
      <c r="H29" t="s">
        <v>284</v>
      </c>
      <c r="I29" s="7"/>
      <c r="J29" s="57">
        <v>31</v>
      </c>
      <c r="K29" s="118">
        <v>28</v>
      </c>
      <c r="L29" s="118">
        <v>31</v>
      </c>
      <c r="M29" s="118">
        <v>30</v>
      </c>
      <c r="N29" s="118">
        <v>31</v>
      </c>
      <c r="O29" s="118">
        <v>30</v>
      </c>
      <c r="P29" s="118">
        <v>31</v>
      </c>
      <c r="Q29" s="118">
        <v>31</v>
      </c>
      <c r="R29" s="118">
        <v>30</v>
      </c>
      <c r="S29" s="118">
        <v>31</v>
      </c>
      <c r="T29" s="118">
        <v>30</v>
      </c>
      <c r="U29" s="54">
        <v>31</v>
      </c>
      <c r="V29" s="47"/>
      <c r="W29" s="47"/>
      <c r="X29" s="48"/>
      <c r="Y29" s="49"/>
      <c r="Z29" s="49"/>
      <c r="AA29" s="47"/>
      <c r="AB29" s="47"/>
      <c r="AC29" s="47"/>
      <c r="AD29" s="67"/>
      <c r="AE29" s="49"/>
      <c r="AF29" s="49"/>
      <c r="AG29" s="47"/>
      <c r="AH29" s="47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47"/>
      <c r="AZ29" s="47"/>
    </row>
    <row r="30" spans="1:52" ht="15.75" thickBot="1" x14ac:dyDescent="0.3">
      <c r="H30" t="s">
        <v>279</v>
      </c>
      <c r="I30" s="12" t="s">
        <v>30</v>
      </c>
      <c r="J30" s="120">
        <f>(SUM(J20:J21)*LHVFossilFast+SUM(J22:J23)*J9+SUM(J24:J25)*LHVbiogent)/SUM(J20:J25)</f>
        <v>10.871428571428572</v>
      </c>
      <c r="K30" s="120">
        <f>(SUM(K20:K21)*LHVFossilFast+SUM(K22:K23)*K9+SUM(K24:K25)*LHVbiogent)/SUM(K20:K25)</f>
        <v>10.871428571428572</v>
      </c>
      <c r="L30" s="120">
        <f>(SUM(L20:L21)*LHVFossilFast+SUM(L22:L23)*L9+SUM(L24:L25)*LHVbiogent)/SUM(L20:L25)</f>
        <v>11.481249999999999</v>
      </c>
      <c r="M30" s="120">
        <f>(SUM(M20:M21)*LHVFossilFast+SUM(M22:M23)*M9+SUM(M24:M25)*LHVbiogent)/SUM(M20:M25)</f>
        <v>11.481249999999999</v>
      </c>
      <c r="N30" s="120">
        <f>(SUM(N20:N21)*LHVFossilFast+SUM(N22:N23)*N9+SUM(N24:N25)*LHVbiogent)/SUM(N20:N25)</f>
        <v>11.481249999999999</v>
      </c>
      <c r="O30" s="120">
        <f>(SUM(O20:O21)*LHVFossilFast+SUM(O22:O23)*O9+SUM(O24:O25)*LHVbiogent)/SUM(O20:O25)</f>
        <v>11.481249999999999</v>
      </c>
      <c r="P30" s="120">
        <f>(SUM(P20:P21)*LHVFossilFast+SUM(P22:P23)*P9+SUM(P24:P25)*LHVbiogent)/SUM(P20:P25)</f>
        <v>11.481249999999999</v>
      </c>
      <c r="Q30" s="120">
        <f>(SUM(Q20:Q21)*LHVFossilFast+SUM(Q22:Q23)*Q9+SUM(Q24:Q25)*LHVbiogent)/SUM(Q20:Q25)</f>
        <v>11.481249999999999</v>
      </c>
      <c r="R30" s="120">
        <f>(SUM(R20:R21)*LHVFossilFast+SUM(R22:R23)*R9+SUM(R24:R25)*LHVbiogent)/SUM(R20:R25)</f>
        <v>11.481249999999999</v>
      </c>
      <c r="S30" s="120">
        <f>(SUM(S20:S21)*LHVFossilFast+SUM(S22:S23)*S9+SUM(S24:S25)*LHVbiogent)/SUM(S20:S25)</f>
        <v>11.481249999999999</v>
      </c>
      <c r="T30" s="120">
        <f>(SUM(T20:T21)*LHVFossilFast+SUM(T22:T23)*T9+SUM(T24:T25)*LHVbiogent)/SUM(T20:T25)</f>
        <v>11.481249999999999</v>
      </c>
      <c r="U30" s="120">
        <f>(SUM(U20:U21)*LHVFossilFast+SUM(U22:U23)*U9+SUM(U24:U25)*LHVbiogent)/SUM(U20:U25)</f>
        <v>11.481249999999999</v>
      </c>
      <c r="V30" s="47"/>
      <c r="W30" s="47"/>
      <c r="X30" s="48"/>
      <c r="Y30" s="49"/>
      <c r="Z30" s="49"/>
      <c r="AA30" s="47"/>
      <c r="AB30" s="47"/>
      <c r="AC30" s="47"/>
      <c r="AD30" s="67"/>
      <c r="AE30" s="49"/>
      <c r="AF30" s="49"/>
      <c r="AG30" s="47"/>
      <c r="AH30" s="47"/>
      <c r="AI30" s="48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</row>
    <row r="31" spans="1:52" x14ac:dyDescent="0.25">
      <c r="A31" s="113" t="s">
        <v>289</v>
      </c>
      <c r="B31" s="132"/>
      <c r="C31" s="116"/>
      <c r="D31" s="116"/>
      <c r="E31" s="116"/>
      <c r="F31" s="115"/>
      <c r="H31" t="s">
        <v>282</v>
      </c>
      <c r="I31" s="12" t="s">
        <v>16</v>
      </c>
      <c r="J31" s="121">
        <f>SUM(J20:J25)</f>
        <v>14000</v>
      </c>
      <c r="K31" s="121">
        <f t="shared" ref="K31:U31" si="2">SUM(K20:K25)</f>
        <v>14000</v>
      </c>
      <c r="L31" s="121">
        <f t="shared" si="2"/>
        <v>16000</v>
      </c>
      <c r="M31" s="121">
        <f t="shared" si="2"/>
        <v>16000</v>
      </c>
      <c r="N31" s="121">
        <f t="shared" si="2"/>
        <v>16000</v>
      </c>
      <c r="O31" s="121">
        <f t="shared" si="2"/>
        <v>16000</v>
      </c>
      <c r="P31" s="121">
        <f t="shared" si="2"/>
        <v>16000</v>
      </c>
      <c r="Q31" s="121">
        <f t="shared" si="2"/>
        <v>16000</v>
      </c>
      <c r="R31" s="121">
        <f t="shared" si="2"/>
        <v>16000</v>
      </c>
      <c r="S31" s="121">
        <f t="shared" si="2"/>
        <v>16000</v>
      </c>
      <c r="T31" s="121">
        <f t="shared" si="2"/>
        <v>16000</v>
      </c>
      <c r="U31" s="121">
        <f t="shared" si="2"/>
        <v>16000</v>
      </c>
      <c r="V31" s="47"/>
      <c r="W31" s="47"/>
      <c r="X31" s="48"/>
      <c r="Y31"/>
      <c r="Z31"/>
      <c r="AA31" s="47"/>
      <c r="AB31" s="47"/>
      <c r="AC31" s="47"/>
      <c r="AD31" s="67"/>
      <c r="AE31" s="49"/>
      <c r="AF31" s="49"/>
      <c r="AG31" s="47"/>
      <c r="AH31" s="47"/>
      <c r="AI31" s="48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</row>
    <row r="32" spans="1:52" x14ac:dyDescent="0.25">
      <c r="A32" s="104" t="s">
        <v>28</v>
      </c>
      <c r="B32" s="130" t="s">
        <v>23</v>
      </c>
      <c r="C32" s="54">
        <v>311</v>
      </c>
      <c r="D32" s="54"/>
      <c r="E32" s="54"/>
      <c r="F32" s="105"/>
      <c r="H32" t="s">
        <v>283</v>
      </c>
      <c r="I32" s="12" t="s">
        <v>52</v>
      </c>
      <c r="J32" s="121">
        <f>J31*J30/3.6</f>
        <v>42277.777777777774</v>
      </c>
      <c r="K32" s="121">
        <f t="shared" ref="K32:U32" si="3">K31*K30/3.6</f>
        <v>42277.777777777774</v>
      </c>
      <c r="L32" s="121">
        <f t="shared" si="3"/>
        <v>51027.777777777774</v>
      </c>
      <c r="M32" s="121">
        <f t="shared" si="3"/>
        <v>51027.777777777774</v>
      </c>
      <c r="N32" s="121">
        <f t="shared" si="3"/>
        <v>51027.777777777774</v>
      </c>
      <c r="O32" s="121">
        <f t="shared" si="3"/>
        <v>51027.777777777774</v>
      </c>
      <c r="P32" s="121">
        <f t="shared" si="3"/>
        <v>51027.777777777774</v>
      </c>
      <c r="Q32" s="121">
        <f t="shared" si="3"/>
        <v>51027.777777777774</v>
      </c>
      <c r="R32" s="121">
        <f t="shared" si="3"/>
        <v>51027.777777777774</v>
      </c>
      <c r="S32" s="121">
        <f t="shared" si="3"/>
        <v>51027.777777777774</v>
      </c>
      <c r="T32" s="121">
        <f t="shared" si="3"/>
        <v>51027.777777777774</v>
      </c>
      <c r="U32" s="121">
        <f t="shared" si="3"/>
        <v>51027.777777777774</v>
      </c>
      <c r="V32" s="47"/>
      <c r="W32" s="47"/>
      <c r="X32" s="48"/>
      <c r="Y32" s="49"/>
      <c r="Z32" s="49"/>
      <c r="AA32" s="47"/>
      <c r="AB32" s="47"/>
      <c r="AC32" s="47"/>
      <c r="AD32" s="67"/>
      <c r="AE32" s="49"/>
      <c r="AF32" s="49"/>
      <c r="AG32" s="47"/>
      <c r="AH32" s="47"/>
      <c r="AI32" s="48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</row>
    <row r="33" spans="1:52" x14ac:dyDescent="0.25">
      <c r="A33" s="104" t="s">
        <v>295</v>
      </c>
      <c r="B33" s="130" t="s">
        <v>23</v>
      </c>
      <c r="C33" s="118">
        <v>5000</v>
      </c>
      <c r="D33" s="54"/>
      <c r="E33" s="54"/>
      <c r="F33" s="105"/>
      <c r="H33" t="s">
        <v>296</v>
      </c>
      <c r="I33" s="12"/>
      <c r="J33" s="123">
        <f>SUM(J20:J21)/SUM(J31)</f>
        <v>0.42857142857142855</v>
      </c>
      <c r="K33" s="123">
        <f t="shared" ref="K33:U33" si="4">SUM(K20:K21)/SUM(K31)</f>
        <v>0.42857142857142855</v>
      </c>
      <c r="L33" s="123">
        <f t="shared" si="4"/>
        <v>0.375</v>
      </c>
      <c r="M33" s="123">
        <f t="shared" si="4"/>
        <v>0.375</v>
      </c>
      <c r="N33" s="123">
        <f t="shared" si="4"/>
        <v>0.375</v>
      </c>
      <c r="O33" s="123">
        <f t="shared" si="4"/>
        <v>0.375</v>
      </c>
      <c r="P33" s="123">
        <f t="shared" si="4"/>
        <v>0.375</v>
      </c>
      <c r="Q33" s="123">
        <f t="shared" si="4"/>
        <v>0.375</v>
      </c>
      <c r="R33" s="123">
        <f t="shared" si="4"/>
        <v>0.375</v>
      </c>
      <c r="S33" s="123">
        <f t="shared" si="4"/>
        <v>0.375</v>
      </c>
      <c r="T33" s="123">
        <f t="shared" si="4"/>
        <v>0.375</v>
      </c>
      <c r="U33" s="123">
        <f t="shared" si="4"/>
        <v>0.375</v>
      </c>
      <c r="V33" s="47"/>
      <c r="W33" s="47"/>
      <c r="X33" s="48"/>
      <c r="Y33" s="49"/>
      <c r="Z33" s="49"/>
      <c r="AA33" s="47"/>
      <c r="AB33" s="47"/>
      <c r="AC33" s="47"/>
      <c r="AD33" s="67"/>
      <c r="AE33" s="49"/>
      <c r="AF33" s="49"/>
      <c r="AG33" s="47"/>
      <c r="AH33" s="47"/>
      <c r="AI33" s="48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</row>
    <row r="34" spans="1:52" x14ac:dyDescent="0.25">
      <c r="A34" s="104" t="s">
        <v>40</v>
      </c>
      <c r="B34" s="130" t="s">
        <v>26</v>
      </c>
      <c r="C34" s="54">
        <v>4</v>
      </c>
      <c r="D34" s="54"/>
      <c r="E34" s="54"/>
      <c r="F34" s="105"/>
      <c r="H34" t="s">
        <v>297</v>
      </c>
      <c r="I34" s="12"/>
      <c r="J34" s="123">
        <f>SUM(J22:J23)/J31</f>
        <v>0.42857142857142855</v>
      </c>
      <c r="K34" s="123">
        <f t="shared" ref="K34:U34" si="5">SUM(K22:K23)/K31</f>
        <v>0.42857142857142855</v>
      </c>
      <c r="L34" s="123">
        <f t="shared" si="5"/>
        <v>0.3125</v>
      </c>
      <c r="M34" s="123">
        <f t="shared" si="5"/>
        <v>0.3125</v>
      </c>
      <c r="N34" s="123">
        <f t="shared" si="5"/>
        <v>0.3125</v>
      </c>
      <c r="O34" s="123">
        <f t="shared" si="5"/>
        <v>0.3125</v>
      </c>
      <c r="P34" s="123">
        <f t="shared" si="5"/>
        <v>0.3125</v>
      </c>
      <c r="Q34" s="123">
        <f t="shared" si="5"/>
        <v>0.3125</v>
      </c>
      <c r="R34" s="123">
        <f t="shared" si="5"/>
        <v>0.3125</v>
      </c>
      <c r="S34" s="123">
        <f t="shared" si="5"/>
        <v>0.3125</v>
      </c>
      <c r="T34" s="123">
        <f t="shared" si="5"/>
        <v>0.3125</v>
      </c>
      <c r="U34" s="123">
        <f t="shared" si="5"/>
        <v>0.3125</v>
      </c>
      <c r="V34" s="47"/>
      <c r="W34" s="47"/>
      <c r="X34" s="48"/>
      <c r="Y34" s="49"/>
      <c r="Z34" s="49"/>
      <c r="AA34" s="47"/>
      <c r="AB34" s="47"/>
      <c r="AC34" s="47"/>
      <c r="AD34" s="67"/>
      <c r="AE34" s="49"/>
      <c r="AF34" s="49"/>
      <c r="AG34" s="47"/>
      <c r="AH34" s="47"/>
      <c r="AI34" s="48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</row>
    <row r="35" spans="1:52" x14ac:dyDescent="0.25">
      <c r="A35" s="104" t="s">
        <v>31</v>
      </c>
      <c r="B35" s="130" t="s">
        <v>35</v>
      </c>
      <c r="C35" s="54">
        <v>25.8</v>
      </c>
      <c r="D35" s="54"/>
      <c r="E35" s="54"/>
      <c r="F35" s="105"/>
      <c r="H35" t="s">
        <v>285</v>
      </c>
      <c r="I35" s="12"/>
      <c r="J35" s="123">
        <f>SUM(J24:J25)/J31</f>
        <v>0.14285714285714285</v>
      </c>
      <c r="K35" s="123">
        <f t="shared" ref="K35:U35" si="6">SUM(K24:K25)/K31</f>
        <v>0.14285714285714285</v>
      </c>
      <c r="L35" s="123">
        <f t="shared" si="6"/>
        <v>0.3125</v>
      </c>
      <c r="M35" s="123">
        <f t="shared" si="6"/>
        <v>0.3125</v>
      </c>
      <c r="N35" s="123">
        <f t="shared" si="6"/>
        <v>0.3125</v>
      </c>
      <c r="O35" s="123">
        <f t="shared" si="6"/>
        <v>0.3125</v>
      </c>
      <c r="P35" s="123">
        <f t="shared" si="6"/>
        <v>0.3125</v>
      </c>
      <c r="Q35" s="123">
        <f t="shared" si="6"/>
        <v>0.3125</v>
      </c>
      <c r="R35" s="123">
        <f t="shared" si="6"/>
        <v>0.3125</v>
      </c>
      <c r="S35" s="123">
        <f t="shared" si="6"/>
        <v>0.3125</v>
      </c>
      <c r="T35" s="123">
        <f t="shared" si="6"/>
        <v>0.3125</v>
      </c>
      <c r="U35" s="123">
        <f t="shared" si="6"/>
        <v>0.3125</v>
      </c>
      <c r="V35" s="47"/>
      <c r="W35" s="47"/>
      <c r="X35" s="48"/>
      <c r="Y35"/>
      <c r="Z35"/>
      <c r="AA35" s="47"/>
      <c r="AB35" s="47"/>
      <c r="AC35" s="47"/>
      <c r="AD35" s="67"/>
      <c r="AE35" s="49"/>
      <c r="AF35" s="49"/>
      <c r="AG35" s="47"/>
      <c r="AH35" s="47"/>
      <c r="AI35" s="48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</row>
    <row r="36" spans="1:52" x14ac:dyDescent="0.25">
      <c r="A36" s="104" t="s">
        <v>32</v>
      </c>
      <c r="B36" s="130" t="s">
        <v>35</v>
      </c>
      <c r="C36" s="54">
        <v>31.8</v>
      </c>
      <c r="D36" s="54"/>
      <c r="E36" s="54"/>
      <c r="F36" s="105"/>
      <c r="H36" t="s">
        <v>331</v>
      </c>
      <c r="I36" s="12" t="s">
        <v>16</v>
      </c>
      <c r="J36" s="121">
        <f>J20+J22+J24</f>
        <v>7000</v>
      </c>
      <c r="K36" s="121">
        <f t="shared" ref="K36:U36" si="7">K20+K22+K24</f>
        <v>7000</v>
      </c>
      <c r="L36" s="121">
        <f t="shared" si="7"/>
        <v>7000</v>
      </c>
      <c r="M36" s="121">
        <f t="shared" si="7"/>
        <v>7000</v>
      </c>
      <c r="N36" s="121">
        <f t="shared" si="7"/>
        <v>7000</v>
      </c>
      <c r="O36" s="121">
        <f t="shared" si="7"/>
        <v>7000</v>
      </c>
      <c r="P36" s="121">
        <f t="shared" si="7"/>
        <v>7000</v>
      </c>
      <c r="Q36" s="121">
        <f t="shared" si="7"/>
        <v>7000</v>
      </c>
      <c r="R36" s="121">
        <f t="shared" si="7"/>
        <v>7000</v>
      </c>
      <c r="S36" s="121">
        <f t="shared" si="7"/>
        <v>7000</v>
      </c>
      <c r="T36" s="121">
        <f t="shared" si="7"/>
        <v>7000</v>
      </c>
      <c r="U36" s="121">
        <f t="shared" si="7"/>
        <v>7000</v>
      </c>
      <c r="V36" s="47"/>
      <c r="W36" s="47"/>
      <c r="X36" s="48"/>
      <c r="Y36" s="49"/>
      <c r="Z36" s="49"/>
      <c r="AA36" s="47"/>
      <c r="AB36" s="47"/>
      <c r="AC36" s="47"/>
      <c r="AD36" s="67"/>
      <c r="AE36" s="49"/>
      <c r="AF36" s="49"/>
      <c r="AG36" s="47"/>
      <c r="AH36" s="47"/>
      <c r="AI36" s="48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</row>
    <row r="37" spans="1:52" ht="15.75" thickBot="1" x14ac:dyDescent="0.3">
      <c r="A37" s="106" t="s">
        <v>33</v>
      </c>
      <c r="B37" s="131" t="s">
        <v>38</v>
      </c>
      <c r="C37" s="109">
        <v>178.5</v>
      </c>
      <c r="D37" s="109"/>
      <c r="E37" s="109"/>
      <c r="F37" s="110"/>
      <c r="H37" t="s">
        <v>332</v>
      </c>
      <c r="I37" s="12" t="s">
        <v>16</v>
      </c>
      <c r="J37" s="121">
        <f>J21+J23+J25</f>
        <v>7000</v>
      </c>
      <c r="K37" s="121">
        <f t="shared" ref="K37:U37" si="8">K21+K23+K25</f>
        <v>7000</v>
      </c>
      <c r="L37" s="121">
        <f t="shared" si="8"/>
        <v>9000</v>
      </c>
      <c r="M37" s="121">
        <f t="shared" si="8"/>
        <v>9000</v>
      </c>
      <c r="N37" s="121">
        <f t="shared" si="8"/>
        <v>9000</v>
      </c>
      <c r="O37" s="121">
        <f t="shared" si="8"/>
        <v>9000</v>
      </c>
      <c r="P37" s="121">
        <f t="shared" si="8"/>
        <v>9000</v>
      </c>
      <c r="Q37" s="121">
        <f t="shared" si="8"/>
        <v>9000</v>
      </c>
      <c r="R37" s="121">
        <f t="shared" si="8"/>
        <v>9000</v>
      </c>
      <c r="S37" s="121">
        <f t="shared" si="8"/>
        <v>9000</v>
      </c>
      <c r="T37" s="121">
        <f t="shared" si="8"/>
        <v>9000</v>
      </c>
      <c r="U37" s="121">
        <f t="shared" si="8"/>
        <v>9000</v>
      </c>
      <c r="V37" s="47"/>
      <c r="W37" s="47"/>
      <c r="X37" s="48"/>
      <c r="Y37" s="49"/>
      <c r="Z37" s="49"/>
      <c r="AA37" s="47"/>
      <c r="AB37" s="47"/>
      <c r="AC37" s="47"/>
      <c r="AD37" s="67"/>
      <c r="AE37" s="49"/>
      <c r="AF37" s="49"/>
      <c r="AG37" s="47"/>
      <c r="AH37" s="47"/>
      <c r="AI37" s="48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</row>
    <row r="38" spans="1:52" x14ac:dyDescent="0.25">
      <c r="H38" t="s">
        <v>334</v>
      </c>
      <c r="I38" s="12"/>
      <c r="J38" s="123">
        <f>EtaQNomOvn2+J13*EtaRgkOvn2</f>
        <v>1.0216842105263158</v>
      </c>
      <c r="K38" s="123">
        <f>EtaQNomOvn2+K13*EtaRgkOvn2</f>
        <v>1.0216842105263158</v>
      </c>
      <c r="L38" s="123">
        <f>EtaQNomOvn2+L13*EtaRgkOvn2</f>
        <v>1.0216842105263158</v>
      </c>
      <c r="M38" s="123">
        <f>EtaQNomOvn2+M13*EtaRgkOvn2</f>
        <v>1.0216842105263158</v>
      </c>
      <c r="N38" s="123">
        <f>EtaQNomOvn2+N13*EtaRgkOvn2</f>
        <v>1.0216842105263158</v>
      </c>
      <c r="O38" s="123">
        <f>EtaQNomOvn2+O13*EtaRgkOvn2</f>
        <v>1.0216842105263158</v>
      </c>
      <c r="P38" s="123">
        <f>EtaQNomOvn2+P13*EtaRgkOvn2</f>
        <v>1.0216842105263158</v>
      </c>
      <c r="Q38" s="123">
        <f>EtaQNomOvn2+Q13*EtaRgkOvn2</f>
        <v>1.0216842105263158</v>
      </c>
      <c r="R38" s="123">
        <f>EtaQNomOvn2+R13*EtaRgkOvn2</f>
        <v>1.0216842105263158</v>
      </c>
      <c r="S38" s="123">
        <f>EtaQNomOvn2+S13*EtaRgkOvn2</f>
        <v>1.0216842105263158</v>
      </c>
      <c r="T38" s="123">
        <f>EtaQNomOvn2+T13*EtaRgkOvn2</f>
        <v>1.0216842105263158</v>
      </c>
      <c r="U38" s="123">
        <f>EtaQNomOvn2+U13*EtaRgkOvn2</f>
        <v>1.0216842105263158</v>
      </c>
      <c r="V38" s="47"/>
      <c r="W38" s="49"/>
      <c r="X38" s="48"/>
      <c r="Y38" s="49"/>
      <c r="Z38" s="49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</row>
    <row r="39" spans="1:52" x14ac:dyDescent="0.25">
      <c r="H39" t="s">
        <v>333</v>
      </c>
      <c r="I39" s="12"/>
      <c r="J39" s="123">
        <f>EtaQNomOvn3+J13*EtaRgkOvn3</f>
        <v>0.81635555555555561</v>
      </c>
      <c r="K39" s="123">
        <f>EtaQNomOvn3+K13*EtaRgkOvn3</f>
        <v>0.81635555555555561</v>
      </c>
      <c r="L39" s="123">
        <f>EtaQNomOvn3+L13*EtaRgkOvn3</f>
        <v>0.81635555555555561</v>
      </c>
      <c r="M39" s="123">
        <f>EtaQNomOvn3+M13*EtaRgkOvn3</f>
        <v>0.81635555555555561</v>
      </c>
      <c r="N39" s="123">
        <f>EtaQNomOvn3+N13*EtaRgkOvn3</f>
        <v>0.81635555555555561</v>
      </c>
      <c r="O39" s="123">
        <f>EtaQNomOvn3+O13*EtaRgkOvn3</f>
        <v>0.81635555555555561</v>
      </c>
      <c r="P39" s="123">
        <f>EtaQNomOvn3+P13*EtaRgkOvn3</f>
        <v>0.81635555555555561</v>
      </c>
      <c r="Q39" s="123">
        <f>EtaQNomOvn3+Q13*EtaRgkOvn3</f>
        <v>0.81635555555555561</v>
      </c>
      <c r="R39" s="123">
        <f>EtaQNomOvn3+R13*EtaRgkOvn3</f>
        <v>0.81635555555555561</v>
      </c>
      <c r="S39" s="123">
        <f>EtaQNomOvn3+S13*EtaRgkOvn3</f>
        <v>0.81635555555555561</v>
      </c>
      <c r="T39" s="123">
        <f>EtaQNomOvn3+T13*EtaRgkOvn3</f>
        <v>0.81635555555555561</v>
      </c>
      <c r="U39" s="123">
        <f>EtaQNomOvn3+U13*EtaRgkOvn3</f>
        <v>0.81635555555555561</v>
      </c>
      <c r="V39" s="47"/>
      <c r="W39" s="47"/>
      <c r="X39" s="48"/>
      <c r="Y39"/>
      <c r="Z39"/>
      <c r="AA39" s="47"/>
      <c r="AB39" s="47"/>
      <c r="AC39" s="47"/>
      <c r="AD39" s="67"/>
      <c r="AE39" s="49"/>
      <c r="AF39" s="49"/>
      <c r="AG39" s="47"/>
      <c r="AH39" s="47"/>
      <c r="AI39" s="48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</row>
    <row r="40" spans="1:52" x14ac:dyDescent="0.25">
      <c r="I40" s="12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47"/>
      <c r="W40" s="47"/>
      <c r="X40" s="48"/>
      <c r="Y40" s="49"/>
      <c r="Z40" s="49"/>
      <c r="AA40" s="47"/>
      <c r="AB40" s="47"/>
      <c r="AC40" s="47"/>
      <c r="AD40" s="67"/>
      <c r="AE40" s="49"/>
      <c r="AF40" s="49"/>
      <c r="AG40" s="47"/>
      <c r="AH40" s="47"/>
      <c r="AI40" s="48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</row>
    <row r="41" spans="1:52" x14ac:dyDescent="0.25">
      <c r="H41" s="136" t="s">
        <v>127</v>
      </c>
      <c r="I41" s="154"/>
      <c r="J41" s="154" t="str">
        <f>J55</f>
        <v>JAN</v>
      </c>
      <c r="K41" s="154" t="str">
        <f>K55</f>
        <v>FEB</v>
      </c>
      <c r="L41" s="154" t="str">
        <f>L55</f>
        <v>MAR</v>
      </c>
      <c r="M41" s="154" t="str">
        <f>M55</f>
        <v>APR</v>
      </c>
      <c r="N41" s="154" t="str">
        <f>N55</f>
        <v>MAJ</v>
      </c>
      <c r="O41" s="154" t="str">
        <f>O55</f>
        <v>JUN</v>
      </c>
      <c r="P41" s="154" t="str">
        <f>P55</f>
        <v>JUL</v>
      </c>
      <c r="Q41" s="154" t="str">
        <f>Q55</f>
        <v>AUG</v>
      </c>
      <c r="R41" s="154" t="str">
        <f>R55</f>
        <v>SEP</v>
      </c>
      <c r="S41" s="154" t="str">
        <f>S55</f>
        <v>OKT</v>
      </c>
      <c r="T41" s="154" t="str">
        <f>T55</f>
        <v>NOV</v>
      </c>
      <c r="U41" s="154" t="str">
        <f>U55</f>
        <v>DEC</v>
      </c>
      <c r="V41" s="47"/>
      <c r="W41" s="47"/>
      <c r="X41" s="48"/>
      <c r="Y41" s="49"/>
      <c r="Z41" s="49"/>
      <c r="AA41" s="47"/>
      <c r="AB41" s="47"/>
      <c r="AC41" s="47"/>
      <c r="AD41" s="67"/>
      <c r="AE41" s="49"/>
      <c r="AF41" s="49"/>
      <c r="AG41" s="47"/>
      <c r="AH41" s="47"/>
      <c r="AI41" s="48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</row>
    <row r="42" spans="1:52" x14ac:dyDescent="0.25">
      <c r="H42" s="5" t="s">
        <v>49</v>
      </c>
      <c r="I42" s="3" t="s">
        <v>0</v>
      </c>
      <c r="J42" s="11">
        <f>24*J11</f>
        <v>744</v>
      </c>
      <c r="K42" s="11">
        <f>24*K11</f>
        <v>672</v>
      </c>
      <c r="L42" s="11">
        <f>24*L11</f>
        <v>744</v>
      </c>
      <c r="M42" s="11">
        <f>24*M11</f>
        <v>720</v>
      </c>
      <c r="N42" s="11">
        <f>24*N11</f>
        <v>744</v>
      </c>
      <c r="O42" s="11">
        <f>24*O11</f>
        <v>720</v>
      </c>
      <c r="P42" s="11">
        <f>24*P11</f>
        <v>744</v>
      </c>
      <c r="Q42" s="11">
        <f>24*Q11</f>
        <v>744</v>
      </c>
      <c r="R42" s="11">
        <f>24*R11</f>
        <v>720</v>
      </c>
      <c r="S42" s="11">
        <f>24*S11</f>
        <v>744</v>
      </c>
      <c r="T42" s="11">
        <f>24*T11</f>
        <v>720</v>
      </c>
      <c r="U42" s="11">
        <f>24*U11</f>
        <v>744</v>
      </c>
      <c r="V42" s="47"/>
      <c r="W42" s="47"/>
      <c r="X42" s="48"/>
      <c r="Y42" s="49"/>
      <c r="Z42" s="49"/>
      <c r="AA42" s="47"/>
      <c r="AB42" s="47"/>
      <c r="AC42" s="47"/>
      <c r="AD42" s="67"/>
      <c r="AE42" s="49"/>
      <c r="AF42" s="49"/>
      <c r="AG42" s="47"/>
      <c r="AH42" s="47"/>
      <c r="AI42" s="48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</row>
    <row r="43" spans="1:52" x14ac:dyDescent="0.25">
      <c r="H43" s="5" t="s">
        <v>50</v>
      </c>
      <c r="I43" s="4" t="s">
        <v>41</v>
      </c>
      <c r="J43" s="14">
        <f>J42*$C$12</f>
        <v>7068</v>
      </c>
      <c r="K43" s="14">
        <f>K42*$C$12</f>
        <v>6384</v>
      </c>
      <c r="L43" s="14">
        <f>L42*$C$12</f>
        <v>7068</v>
      </c>
      <c r="M43" s="14">
        <f>M42*$C$12</f>
        <v>6840</v>
      </c>
      <c r="N43" s="14">
        <f>N42*$C$12</f>
        <v>7068</v>
      </c>
      <c r="O43" s="14">
        <f>O42*$C$12</f>
        <v>6840</v>
      </c>
      <c r="P43" s="14">
        <f>P42*$C$12</f>
        <v>7068</v>
      </c>
      <c r="Q43" s="14">
        <f>Q42*$C$12</f>
        <v>7068</v>
      </c>
      <c r="R43" s="14">
        <f>R42*$C$12</f>
        <v>6840</v>
      </c>
      <c r="S43" s="14">
        <f>S42*$C$12</f>
        <v>7068</v>
      </c>
      <c r="T43" s="14">
        <f>T42*$C$12</f>
        <v>6840</v>
      </c>
      <c r="U43" s="14">
        <f>U42*$C$12</f>
        <v>7068</v>
      </c>
      <c r="V43" s="47"/>
      <c r="W43" s="47"/>
      <c r="X43" s="48"/>
      <c r="Y43"/>
      <c r="Z43"/>
      <c r="AA43" s="47"/>
      <c r="AB43" s="47"/>
      <c r="AC43" s="47"/>
      <c r="AD43" s="67"/>
      <c r="AE43" s="49"/>
      <c r="AF43" s="49"/>
      <c r="AG43" s="47"/>
      <c r="AH43" s="47"/>
      <c r="AI43" s="48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</row>
    <row r="44" spans="1:52" x14ac:dyDescent="0.25">
      <c r="H44" s="5" t="s">
        <v>63</v>
      </c>
      <c r="I44" s="12" t="s">
        <v>41</v>
      </c>
      <c r="J44" s="14">
        <f>J13*EtaRgkOvn2/EtaQNomOvn2*J43</f>
        <v>1488</v>
      </c>
      <c r="K44" s="14">
        <f t="shared" ref="K44:U44" si="9">EtaRgkOvn2/EtaQNomOvn2*K43</f>
        <v>1344</v>
      </c>
      <c r="L44" s="14">
        <f t="shared" si="9"/>
        <v>1488</v>
      </c>
      <c r="M44" s="14">
        <f t="shared" si="9"/>
        <v>1440</v>
      </c>
      <c r="N44" s="14">
        <f t="shared" si="9"/>
        <v>1488</v>
      </c>
      <c r="O44" s="14">
        <f t="shared" si="9"/>
        <v>1440</v>
      </c>
      <c r="P44" s="14">
        <f t="shared" si="9"/>
        <v>1488</v>
      </c>
      <c r="Q44" s="14">
        <f t="shared" si="9"/>
        <v>1488</v>
      </c>
      <c r="R44" s="14">
        <f t="shared" si="9"/>
        <v>1440</v>
      </c>
      <c r="S44" s="14">
        <f t="shared" si="9"/>
        <v>1488</v>
      </c>
      <c r="T44" s="14">
        <f t="shared" si="9"/>
        <v>1440</v>
      </c>
      <c r="U44" s="14">
        <f t="shared" si="9"/>
        <v>1488</v>
      </c>
      <c r="V44" s="47"/>
      <c r="W44" s="47"/>
      <c r="X44" s="48"/>
      <c r="Y44" s="49"/>
      <c r="Z44" s="49"/>
      <c r="AA44" s="47"/>
      <c r="AB44" s="47"/>
      <c r="AC44" s="47"/>
      <c r="AD44" s="67"/>
      <c r="AE44" s="49"/>
      <c r="AF44" s="49"/>
      <c r="AG44" s="47"/>
      <c r="AH44" s="47"/>
      <c r="AI44" s="48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</row>
    <row r="45" spans="1:52" x14ac:dyDescent="0.25">
      <c r="H45" s="5" t="s">
        <v>64</v>
      </c>
      <c r="I45" s="12" t="s">
        <v>41</v>
      </c>
      <c r="J45" s="14">
        <f>SUM(J43:J44)</f>
        <v>8556</v>
      </c>
      <c r="K45" s="14">
        <f t="shared" ref="K45:U45" si="10">SUM(K43:K44)</f>
        <v>7728</v>
      </c>
      <c r="L45" s="14">
        <f t="shared" si="10"/>
        <v>8556</v>
      </c>
      <c r="M45" s="14">
        <f t="shared" si="10"/>
        <v>8280</v>
      </c>
      <c r="N45" s="14">
        <f t="shared" si="10"/>
        <v>8556</v>
      </c>
      <c r="O45" s="14">
        <f t="shared" si="10"/>
        <v>8280</v>
      </c>
      <c r="P45" s="14">
        <f t="shared" si="10"/>
        <v>8556</v>
      </c>
      <c r="Q45" s="14">
        <f t="shared" si="10"/>
        <v>8556</v>
      </c>
      <c r="R45" s="14">
        <f t="shared" si="10"/>
        <v>8280</v>
      </c>
      <c r="S45" s="14">
        <f t="shared" si="10"/>
        <v>8556</v>
      </c>
      <c r="T45" s="14">
        <f t="shared" si="10"/>
        <v>8280</v>
      </c>
      <c r="U45" s="14">
        <f t="shared" si="10"/>
        <v>8556</v>
      </c>
      <c r="V45" s="47"/>
      <c r="W45" s="47"/>
      <c r="X45" s="48"/>
      <c r="Y45" s="49"/>
      <c r="Z45" s="49"/>
      <c r="AA45" s="47"/>
      <c r="AB45" s="47"/>
      <c r="AC45" s="47"/>
      <c r="AD45" s="67"/>
      <c r="AE45" s="49"/>
      <c r="AF45" s="49"/>
      <c r="AG45" s="47"/>
      <c r="AH45" s="47"/>
      <c r="AI45" s="48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</row>
    <row r="46" spans="1:52" x14ac:dyDescent="0.25">
      <c r="H46" s="5" t="s">
        <v>51</v>
      </c>
      <c r="I46" s="4" t="s">
        <v>52</v>
      </c>
      <c r="J46" s="11">
        <f t="shared" ref="J46:U46" si="11">J43/EtaQNomOvn2</f>
        <v>8374.4075829383892</v>
      </c>
      <c r="K46" s="11">
        <f t="shared" si="11"/>
        <v>7563.9810426540289</v>
      </c>
      <c r="L46" s="11">
        <f t="shared" si="11"/>
        <v>8374.4075829383892</v>
      </c>
      <c r="M46" s="11">
        <f t="shared" si="11"/>
        <v>8104.2654028436018</v>
      </c>
      <c r="N46" s="11">
        <f t="shared" si="11"/>
        <v>8374.4075829383892</v>
      </c>
      <c r="O46" s="11">
        <f t="shared" si="11"/>
        <v>8104.2654028436018</v>
      </c>
      <c r="P46" s="11">
        <f t="shared" si="11"/>
        <v>8374.4075829383892</v>
      </c>
      <c r="Q46" s="11">
        <f t="shared" si="11"/>
        <v>8374.4075829383892</v>
      </c>
      <c r="R46" s="11">
        <f t="shared" si="11"/>
        <v>8104.2654028436018</v>
      </c>
      <c r="S46" s="11">
        <f t="shared" si="11"/>
        <v>8374.4075829383892</v>
      </c>
      <c r="T46" s="11">
        <f t="shared" si="11"/>
        <v>8104.2654028436018</v>
      </c>
      <c r="U46" s="11">
        <f t="shared" si="11"/>
        <v>8374.4075829383892</v>
      </c>
      <c r="V46" s="67"/>
      <c r="W46" s="47"/>
      <c r="X46" s="48"/>
      <c r="Y46" s="49"/>
      <c r="Z46" s="49"/>
      <c r="AA46" s="47"/>
      <c r="AB46" s="47"/>
      <c r="AC46" s="47"/>
      <c r="AD46" s="67"/>
      <c r="AE46" s="49"/>
      <c r="AF46" s="49"/>
      <c r="AG46" s="47"/>
      <c r="AH46" s="47"/>
      <c r="AI46" s="48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</row>
    <row r="47" spans="1:52" x14ac:dyDescent="0.25">
      <c r="H47" s="5" t="s">
        <v>53</v>
      </c>
      <c r="I47" s="12" t="s">
        <v>16</v>
      </c>
      <c r="J47" s="14">
        <f>J46/(J30/3.6)</f>
        <v>2773.1283980295325</v>
      </c>
      <c r="K47" s="14">
        <f>K46*3.6/K30</f>
        <v>2504.7611337040935</v>
      </c>
      <c r="L47" s="14">
        <f>L46*3.6/L30</f>
        <v>2625.8349307417052</v>
      </c>
      <c r="M47" s="14">
        <f>M46*3.6/M30</f>
        <v>2541.1305781371339</v>
      </c>
      <c r="N47" s="14">
        <f>N46*3.6/N30</f>
        <v>2625.8349307417052</v>
      </c>
      <c r="O47" s="14">
        <f>O46*3.6/O30</f>
        <v>2541.1305781371339</v>
      </c>
      <c r="P47" s="14">
        <f>P46*3.6/P30</f>
        <v>2625.8349307417052</v>
      </c>
      <c r="Q47" s="14">
        <f>Q46*3.6/Q30</f>
        <v>2625.8349307417052</v>
      </c>
      <c r="R47" s="14">
        <f>R46*3.6/R30</f>
        <v>2541.1305781371339</v>
      </c>
      <c r="S47" s="14">
        <f>S46*3.6/S30</f>
        <v>2625.8349307417052</v>
      </c>
      <c r="T47" s="14">
        <f>T46*3.6/T30</f>
        <v>2541.1305781371339</v>
      </c>
      <c r="U47" s="14">
        <f>U46*3.6/U30</f>
        <v>2625.8349307417052</v>
      </c>
      <c r="V47" s="47"/>
      <c r="W47" s="47"/>
      <c r="X47" s="48"/>
      <c r="Y47"/>
      <c r="Z47"/>
      <c r="AA47" s="47"/>
      <c r="AB47" s="47"/>
      <c r="AC47" s="47"/>
      <c r="AD47" s="67"/>
      <c r="AE47" s="49"/>
      <c r="AF47" s="49"/>
      <c r="AG47" s="47"/>
      <c r="AH47" s="47"/>
      <c r="AI47" s="48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</row>
    <row r="48" spans="1:52" x14ac:dyDescent="0.25">
      <c r="I48" s="13"/>
      <c r="N48" s="54"/>
      <c r="O48" s="54"/>
      <c r="P48" s="54"/>
      <c r="Q48" s="54"/>
      <c r="R48" s="54"/>
      <c r="S48" s="54"/>
      <c r="T48" s="54"/>
      <c r="U48" s="54"/>
      <c r="V48" s="47"/>
      <c r="Y48"/>
      <c r="Z48"/>
      <c r="AC48" s="144" t="s">
        <v>42</v>
      </c>
      <c r="AD48" s="144"/>
      <c r="AE48" s="144"/>
      <c r="AF48" s="144"/>
      <c r="AG48" s="144"/>
      <c r="AI48" s="48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</row>
    <row r="49" spans="8:52" x14ac:dyDescent="0.25">
      <c r="H49" s="5" t="s">
        <v>49</v>
      </c>
      <c r="I49" s="13" t="s">
        <v>1</v>
      </c>
      <c r="J49" s="11">
        <f>24*J12</f>
        <v>744</v>
      </c>
      <c r="K49" s="11">
        <f>24*K12</f>
        <v>672</v>
      </c>
      <c r="L49" s="11">
        <f>24*L12</f>
        <v>744</v>
      </c>
      <c r="M49" s="11">
        <f>24*M12</f>
        <v>720</v>
      </c>
      <c r="N49" s="11">
        <f>24*N12</f>
        <v>744</v>
      </c>
      <c r="O49" s="11">
        <f>24*O12</f>
        <v>48</v>
      </c>
      <c r="P49" s="11">
        <f>24*P12</f>
        <v>744</v>
      </c>
      <c r="Q49" s="11">
        <f>24*Q12</f>
        <v>744</v>
      </c>
      <c r="R49" s="11">
        <f>24*R12</f>
        <v>720</v>
      </c>
      <c r="S49" s="11">
        <f>24*S12</f>
        <v>744</v>
      </c>
      <c r="T49" s="11">
        <f>24*T12</f>
        <v>720</v>
      </c>
      <c r="U49" s="11">
        <f>24*U12</f>
        <v>744</v>
      </c>
      <c r="V49" s="47"/>
      <c r="Y49"/>
      <c r="Z49"/>
      <c r="AI49" s="48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</row>
    <row r="50" spans="8:52" x14ac:dyDescent="0.25">
      <c r="H50" s="5" t="s">
        <v>50</v>
      </c>
      <c r="I50" s="4" t="s">
        <v>41</v>
      </c>
      <c r="J50" s="14">
        <f>J49*$D$12</f>
        <v>16740</v>
      </c>
      <c r="K50" s="14">
        <f>K49*$D$12</f>
        <v>15120</v>
      </c>
      <c r="L50" s="14">
        <f>L49*$D$12</f>
        <v>16740</v>
      </c>
      <c r="M50" s="14">
        <f>M49*$D$12</f>
        <v>16200</v>
      </c>
      <c r="N50" s="14">
        <f>N49*$D$12</f>
        <v>16740</v>
      </c>
      <c r="O50" s="14">
        <f>O49*$D$12</f>
        <v>1080</v>
      </c>
      <c r="P50" s="14">
        <f>P49*$D$12</f>
        <v>16740</v>
      </c>
      <c r="Q50" s="14">
        <f>Q49*$D$12</f>
        <v>16740</v>
      </c>
      <c r="R50" s="14">
        <f>R49*$D$12</f>
        <v>16200</v>
      </c>
      <c r="S50" s="14">
        <f>S49*$D$12</f>
        <v>16740</v>
      </c>
      <c r="T50" s="14">
        <f>T49*$D$12</f>
        <v>16200</v>
      </c>
      <c r="U50" s="14">
        <f>U49*$D$12</f>
        <v>16740</v>
      </c>
      <c r="V50" s="47"/>
      <c r="Y50"/>
      <c r="Z50"/>
      <c r="AC50" s="2" t="s">
        <v>222</v>
      </c>
      <c r="AD50" s="6" t="s">
        <v>47</v>
      </c>
      <c r="AE50" s="13" t="str">
        <f>L102</f>
        <v>MAR</v>
      </c>
      <c r="AF50" s="13" t="str">
        <f>J102</f>
        <v>JAN</v>
      </c>
      <c r="AG50" s="13">
        <f>Y83</f>
        <v>0</v>
      </c>
      <c r="AI50" s="48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</row>
    <row r="51" spans="8:52" x14ac:dyDescent="0.25">
      <c r="H51" s="5" t="s">
        <v>63</v>
      </c>
      <c r="I51" s="12" t="s">
        <v>41</v>
      </c>
      <c r="J51" s="14">
        <f>J13*EtaRgkOvn3/EtaQNomOvn3*J50</f>
        <v>4092</v>
      </c>
      <c r="K51" s="14">
        <f t="shared" ref="K51:U51" si="12">EtaRgkOvn3/EtaQNomOvn3*K50</f>
        <v>3696</v>
      </c>
      <c r="L51" s="14">
        <f t="shared" si="12"/>
        <v>4092</v>
      </c>
      <c r="M51" s="14">
        <f t="shared" si="12"/>
        <v>3960</v>
      </c>
      <c r="N51" s="14">
        <f t="shared" si="12"/>
        <v>4092</v>
      </c>
      <c r="O51" s="14">
        <f t="shared" si="12"/>
        <v>264</v>
      </c>
      <c r="P51" s="14">
        <f t="shared" si="12"/>
        <v>4092</v>
      </c>
      <c r="Q51" s="14">
        <f t="shared" si="12"/>
        <v>4092</v>
      </c>
      <c r="R51" s="14">
        <f t="shared" si="12"/>
        <v>3960</v>
      </c>
      <c r="S51" s="14">
        <f t="shared" si="12"/>
        <v>4092</v>
      </c>
      <c r="T51" s="14">
        <f t="shared" si="12"/>
        <v>3960</v>
      </c>
      <c r="U51" s="14">
        <f t="shared" si="12"/>
        <v>4092</v>
      </c>
      <c r="V51" s="47"/>
      <c r="Y51"/>
      <c r="Z51"/>
      <c r="AC51" s="12" t="str">
        <f>H115</f>
        <v>Indtægter total</v>
      </c>
      <c r="AD51" s="71" t="str">
        <f>I115</f>
        <v>tkr</v>
      </c>
      <c r="AE51" s="16">
        <f>L115</f>
        <v>17633572.47287292</v>
      </c>
      <c r="AF51" s="16">
        <f>J115</f>
        <v>16292695.043325918</v>
      </c>
      <c r="AG51" s="16">
        <f>Y96</f>
        <v>0</v>
      </c>
      <c r="AI51" s="48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</row>
    <row r="52" spans="8:52" x14ac:dyDescent="0.25">
      <c r="H52" s="5" t="s">
        <v>64</v>
      </c>
      <c r="I52" s="12" t="s">
        <v>41</v>
      </c>
      <c r="J52" s="14">
        <f>SUM(J50:J51)</f>
        <v>20832</v>
      </c>
      <c r="K52" s="14">
        <f t="shared" ref="K52:U52" si="13">SUM(K50:K51)</f>
        <v>18816</v>
      </c>
      <c r="L52" s="14">
        <f t="shared" si="13"/>
        <v>20832</v>
      </c>
      <c r="M52" s="14">
        <f t="shared" si="13"/>
        <v>20160</v>
      </c>
      <c r="N52" s="14">
        <f t="shared" si="13"/>
        <v>20832</v>
      </c>
      <c r="O52" s="14">
        <f t="shared" si="13"/>
        <v>1344</v>
      </c>
      <c r="P52" s="14">
        <f t="shared" si="13"/>
        <v>20832</v>
      </c>
      <c r="Q52" s="14">
        <f t="shared" si="13"/>
        <v>20832</v>
      </c>
      <c r="R52" s="14">
        <f t="shared" si="13"/>
        <v>20160</v>
      </c>
      <c r="S52" s="14">
        <f t="shared" si="13"/>
        <v>20832</v>
      </c>
      <c r="T52" s="14">
        <f t="shared" si="13"/>
        <v>20160</v>
      </c>
      <c r="U52" s="14">
        <f t="shared" si="13"/>
        <v>20832</v>
      </c>
      <c r="V52" s="47"/>
      <c r="Y52"/>
      <c r="Z52"/>
      <c r="AC52" s="12" t="str">
        <f>H116</f>
        <v>Omkostninger total</v>
      </c>
      <c r="AD52" s="71" t="str">
        <f>I116</f>
        <v>tkr</v>
      </c>
      <c r="AE52" s="16">
        <f>L116</f>
        <v>7585715.596531732</v>
      </c>
      <c r="AF52" s="16">
        <f>J116</f>
        <v>8022694.7999229478</v>
      </c>
      <c r="AG52" s="16">
        <f>Y97</f>
        <v>0</v>
      </c>
      <c r="AI52" s="48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</row>
    <row r="53" spans="8:52" x14ac:dyDescent="0.25">
      <c r="H53" s="5" t="s">
        <v>51</v>
      </c>
      <c r="I53" s="4" t="s">
        <v>52</v>
      </c>
      <c r="J53" s="11">
        <f t="shared" ref="J53:U53" si="14">J50/EtaQNomOvn3</f>
        <v>25518.292682926829</v>
      </c>
      <c r="K53" s="11">
        <f t="shared" si="14"/>
        <v>23048.780487804877</v>
      </c>
      <c r="L53" s="11">
        <f t="shared" si="14"/>
        <v>25518.292682926829</v>
      </c>
      <c r="M53" s="11">
        <f t="shared" si="14"/>
        <v>24695.121951219509</v>
      </c>
      <c r="N53" s="11">
        <f t="shared" si="14"/>
        <v>25518.292682926829</v>
      </c>
      <c r="O53" s="11">
        <f t="shared" si="14"/>
        <v>1646.3414634146341</v>
      </c>
      <c r="P53" s="11">
        <f t="shared" si="14"/>
        <v>25518.292682926829</v>
      </c>
      <c r="Q53" s="11">
        <f t="shared" si="14"/>
        <v>25518.292682926829</v>
      </c>
      <c r="R53" s="11">
        <f t="shared" si="14"/>
        <v>24695.121951219509</v>
      </c>
      <c r="S53" s="11">
        <f t="shared" si="14"/>
        <v>25518.292682926829</v>
      </c>
      <c r="T53" s="11">
        <f t="shared" si="14"/>
        <v>24695.121951219509</v>
      </c>
      <c r="U53" s="11">
        <f t="shared" si="14"/>
        <v>25518.292682926829</v>
      </c>
      <c r="V53" s="47"/>
      <c r="Y53"/>
      <c r="Z53"/>
      <c r="AC53" s="12" t="str">
        <f>H117</f>
        <v>Dækningsbidrag</v>
      </c>
      <c r="AD53" s="71" t="str">
        <f>I117</f>
        <v>tkr</v>
      </c>
      <c r="AE53" s="16">
        <f>L117</f>
        <v>10047856.876341188</v>
      </c>
      <c r="AF53" s="16">
        <f>J117</f>
        <v>8270000.24340297</v>
      </c>
      <c r="AG53" s="16">
        <f>Y98</f>
        <v>0</v>
      </c>
      <c r="AI53" s="48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</row>
    <row r="54" spans="8:52" x14ac:dyDescent="0.25">
      <c r="H54" s="5" t="s">
        <v>53</v>
      </c>
      <c r="I54" s="12" t="s">
        <v>16</v>
      </c>
      <c r="J54" s="14">
        <f>J53/(J30/3.6)</f>
        <v>8450.2099291689374</v>
      </c>
      <c r="K54" s="14">
        <f>K53/(K30/3.6)</f>
        <v>7632.4476779590395</v>
      </c>
      <c r="L54" s="14">
        <f>L53/(L30/3.6)</f>
        <v>8001.3808303570249</v>
      </c>
      <c r="M54" s="14">
        <f>M53/(M30/3.6)</f>
        <v>7743.2717713132497</v>
      </c>
      <c r="N54" s="14">
        <f>N53/(N30/3.6)</f>
        <v>8001.3808303570249</v>
      </c>
      <c r="O54" s="14">
        <f>O53/(O30/3.6)</f>
        <v>516.21811808755001</v>
      </c>
      <c r="P54" s="14">
        <f>P53/(P30/3.6)</f>
        <v>8001.3808303570249</v>
      </c>
      <c r="Q54" s="14">
        <f>Q53/(Q30/3.6)</f>
        <v>8001.3808303570249</v>
      </c>
      <c r="R54" s="14">
        <f>R53/(R30/3.6)</f>
        <v>7743.2717713132497</v>
      </c>
      <c r="S54" s="14">
        <f>S53/(S30/3.6)</f>
        <v>8001.3808303570249</v>
      </c>
      <c r="T54" s="14">
        <f>T53/(T30/3.6)</f>
        <v>7743.2717713132497</v>
      </c>
      <c r="U54" s="14">
        <f>U53/(U30/3.6)</f>
        <v>8001.3808303570249</v>
      </c>
      <c r="V54" s="47"/>
      <c r="Y54"/>
      <c r="Z54"/>
      <c r="AC54" s="2"/>
      <c r="AD54" s="6"/>
      <c r="AE54" s="13"/>
      <c r="AF54" s="13"/>
      <c r="AG54" s="13"/>
      <c r="AI54" s="48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</row>
    <row r="55" spans="8:52" x14ac:dyDescent="0.25">
      <c r="H55" s="153" t="s">
        <v>128</v>
      </c>
      <c r="I55" s="135"/>
      <c r="J55" s="154" t="str">
        <f>J3</f>
        <v>JAN</v>
      </c>
      <c r="K55" s="154" t="str">
        <f>K3</f>
        <v>FEB</v>
      </c>
      <c r="L55" s="154" t="str">
        <f>L3</f>
        <v>MAR</v>
      </c>
      <c r="M55" s="154" t="str">
        <f>M3</f>
        <v>APR</v>
      </c>
      <c r="N55" s="154" t="str">
        <f>N3</f>
        <v>MAJ</v>
      </c>
      <c r="O55" s="154" t="str">
        <f>O3</f>
        <v>JUN</v>
      </c>
      <c r="P55" s="154" t="str">
        <f>P3</f>
        <v>JUL</v>
      </c>
      <c r="Q55" s="154" t="str">
        <f>Q3</f>
        <v>AUG</v>
      </c>
      <c r="R55" s="154" t="str">
        <f>R3</f>
        <v>SEP</v>
      </c>
      <c r="S55" s="154" t="str">
        <f>S3</f>
        <v>OKT</v>
      </c>
      <c r="T55" s="154" t="str">
        <f>T3</f>
        <v>NOV</v>
      </c>
      <c r="U55" s="154" t="str">
        <f>U3</f>
        <v>DEC</v>
      </c>
      <c r="Y55"/>
      <c r="Z55"/>
      <c r="AC55" s="12" t="str">
        <f>H103</f>
        <v>Varmesalg</v>
      </c>
      <c r="AD55" s="71" t="str">
        <f>I103</f>
        <v>tkr</v>
      </c>
      <c r="AE55" s="15">
        <f>L103</f>
        <v>7997392.6730004624</v>
      </c>
      <c r="AF55" s="15">
        <f>J103</f>
        <v>7499765</v>
      </c>
      <c r="AG55" s="16">
        <f>Y84</f>
        <v>0</v>
      </c>
      <c r="AI55" s="48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</row>
    <row r="56" spans="8:52" x14ac:dyDescent="0.25">
      <c r="H56" s="6" t="s">
        <v>55</v>
      </c>
      <c r="I56" s="4" t="s">
        <v>41</v>
      </c>
      <c r="J56" s="14">
        <f>IF(DoOptim,J39*J37,MIN(J5,J52,J39*J32))</f>
        <v>20832</v>
      </c>
      <c r="K56" s="14">
        <f>IF(DoOptim,K39*K37,MIN(K5,K52,K39*K32))</f>
        <v>18816</v>
      </c>
      <c r="L56" s="14">
        <f>IF(DoOptim,L39*L37,MIN(L5,L52,L39*L32))</f>
        <v>20832</v>
      </c>
      <c r="M56" s="14">
        <f>IF(DoOptim,M39*M37,MIN(M5,M52,M39*M32))</f>
        <v>20160</v>
      </c>
      <c r="N56" s="14">
        <f>IF(DoOptim,N39*N37,MIN(N5,N52,N39*N32))</f>
        <v>12760</v>
      </c>
      <c r="O56" s="14">
        <f>IF(DoOptim,O39*O37,MIN(O5,O52,O39*O32))</f>
        <v>1344</v>
      </c>
      <c r="P56" s="14">
        <f>IF(DoOptim,P39*P37,MIN(P5,P52,P39*P32))</f>
        <v>6411</v>
      </c>
      <c r="Q56" s="14">
        <f>IF(DoOptim,Q39*Q37,MIN(Q5,Q52,Q39*Q32))</f>
        <v>7774</v>
      </c>
      <c r="R56" s="14">
        <f>IF(DoOptim,R39*R37,MIN(R5,R52,R39*R32))</f>
        <v>8886</v>
      </c>
      <c r="S56" s="14">
        <f>IF(DoOptim,S39*S37,MIN(S5,S52,S39*S32))</f>
        <v>15610</v>
      </c>
      <c r="T56" s="14">
        <f>IF(DoOptim,T39*T37,MIN(T5,T52,T39*T32))</f>
        <v>20160</v>
      </c>
      <c r="U56" s="14">
        <f>IF(DoOptim,U39*U37,MIN(U5,U52,U39*U32))</f>
        <v>20832</v>
      </c>
      <c r="Y56"/>
      <c r="Z56"/>
      <c r="AC56" s="12" t="str">
        <f>H104</f>
        <v>Elsalg</v>
      </c>
      <c r="AD56" s="71" t="str">
        <f>I104</f>
        <v>tkr</v>
      </c>
      <c r="AE56" s="15">
        <f>L104</f>
        <v>3947332.4512195117</v>
      </c>
      <c r="AF56" s="15">
        <f>J104</f>
        <v>3947332.4512195126</v>
      </c>
      <c r="AG56" s="16">
        <f>Y85</f>
        <v>0</v>
      </c>
      <c r="AI56" s="48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</row>
    <row r="57" spans="8:52" x14ac:dyDescent="0.25">
      <c r="H57" s="4" t="s">
        <v>306</v>
      </c>
      <c r="I57" s="4" t="s">
        <v>41</v>
      </c>
      <c r="J57" s="14">
        <f>J56*EtaQNomOvn3/J39</f>
        <v>16740</v>
      </c>
      <c r="K57" s="14">
        <f>K56*EtaQNomOvn3/K39</f>
        <v>15120</v>
      </c>
      <c r="L57" s="14">
        <f>L56*EtaQNomOvn3/L39</f>
        <v>16740</v>
      </c>
      <c r="M57" s="14">
        <f>M56*EtaQNomOvn3/M39</f>
        <v>16200</v>
      </c>
      <c r="N57" s="14">
        <f>N56*EtaQNomOvn3/N39</f>
        <v>10253.571428571428</v>
      </c>
      <c r="O57" s="14">
        <f>O56*EtaQNomOvn3/O39</f>
        <v>1080</v>
      </c>
      <c r="P57" s="14">
        <f>P56*EtaQNomOvn3/P39</f>
        <v>5151.6964285714284</v>
      </c>
      <c r="Q57" s="14">
        <f>Q56*EtaQNomOvn3/Q39</f>
        <v>6246.9642857142862</v>
      </c>
      <c r="R57" s="14">
        <f>R56*EtaQNomOvn3/R39</f>
        <v>7140.5357142857138</v>
      </c>
      <c r="S57" s="14">
        <f>S56*EtaQNomOvn3/S39</f>
        <v>12543.749999999998</v>
      </c>
      <c r="T57" s="14">
        <f>T56*EtaQNomOvn3/T39</f>
        <v>16200</v>
      </c>
      <c r="U57" s="14">
        <f>U56*EtaQNomOvn3/U39</f>
        <v>16740</v>
      </c>
      <c r="Y57"/>
      <c r="Z57"/>
      <c r="AC57" s="12" t="str">
        <f>H105</f>
        <v>RGK-rabat</v>
      </c>
      <c r="AD57" s="71" t="str">
        <f>I105</f>
        <v>tkr</v>
      </c>
      <c r="AE57" s="15">
        <f>L105</f>
        <v>88847.348652948102</v>
      </c>
      <c r="AF57" s="15">
        <f>J105</f>
        <v>197595.87992407382</v>
      </c>
      <c r="AG57" s="16">
        <f>Y86</f>
        <v>0</v>
      </c>
      <c r="AI57" s="48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</row>
    <row r="58" spans="8:52" x14ac:dyDescent="0.25">
      <c r="H58" s="4" t="s">
        <v>58</v>
      </c>
      <c r="I58" s="4" t="s">
        <v>16</v>
      </c>
      <c r="J58" s="14">
        <f>J56/J39/(J30/3.6)</f>
        <v>8450.2099291689374</v>
      </c>
      <c r="K58" s="14">
        <f t="shared" ref="K58:U58" si="15">K56/K39/(K30/3.6)</f>
        <v>7632.4476779590395</v>
      </c>
      <c r="L58" s="14">
        <f t="shared" si="15"/>
        <v>8001.3808303570249</v>
      </c>
      <c r="M58" s="14">
        <f t="shared" si="15"/>
        <v>7743.2717713132497</v>
      </c>
      <c r="N58" s="14">
        <f t="shared" si="15"/>
        <v>4900.999394938347</v>
      </c>
      <c r="O58" s="14">
        <f t="shared" si="15"/>
        <v>516.21811808755001</v>
      </c>
      <c r="P58" s="14">
        <f t="shared" si="15"/>
        <v>2462.4065141810142</v>
      </c>
      <c r="Q58" s="14">
        <f t="shared" si="15"/>
        <v>2985.9223586403377</v>
      </c>
      <c r="R58" s="14">
        <f t="shared" si="15"/>
        <v>3413.0313968199175</v>
      </c>
      <c r="S58" s="14">
        <f t="shared" si="15"/>
        <v>5995.658350704357</v>
      </c>
      <c r="T58" s="14">
        <f t="shared" si="15"/>
        <v>7743.2717713132497</v>
      </c>
      <c r="U58" s="14">
        <f t="shared" si="15"/>
        <v>8001.3808303570249</v>
      </c>
      <c r="Y58"/>
      <c r="Z58"/>
      <c r="AC58" s="12" t="str">
        <f>H106</f>
        <v>Modtagebetaling affald</v>
      </c>
      <c r="AD58" s="71" t="str">
        <f>I106</f>
        <v>tkr</v>
      </c>
      <c r="AE58" s="15">
        <f>L106</f>
        <v>5600000</v>
      </c>
      <c r="AF58" s="15">
        <f>J106</f>
        <v>4648001.7121823318</v>
      </c>
      <c r="AG58" s="16">
        <f>Y87</f>
        <v>0</v>
      </c>
      <c r="AI58" s="48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</row>
    <row r="59" spans="8:52" x14ac:dyDescent="0.25">
      <c r="H59" s="4" t="s">
        <v>56</v>
      </c>
      <c r="I59" s="4" t="s">
        <v>41</v>
      </c>
      <c r="J59" s="14">
        <f>J5-J56</f>
        <v>7283</v>
      </c>
      <c r="K59" s="14">
        <f t="shared" ref="K59:U59" si="16">K5-K56</f>
        <v>5086</v>
      </c>
      <c r="L59" s="14">
        <f t="shared" si="16"/>
        <v>6523</v>
      </c>
      <c r="M59" s="14">
        <f t="shared" si="16"/>
        <v>2337</v>
      </c>
      <c r="N59" s="14">
        <f t="shared" si="16"/>
        <v>0</v>
      </c>
      <c r="O59" s="14">
        <f t="shared" si="16"/>
        <v>4756</v>
      </c>
      <c r="P59" s="14">
        <f t="shared" si="16"/>
        <v>0</v>
      </c>
      <c r="Q59" s="14">
        <f t="shared" si="16"/>
        <v>0</v>
      </c>
      <c r="R59" s="14">
        <f t="shared" si="16"/>
        <v>0</v>
      </c>
      <c r="S59" s="14">
        <f t="shared" si="16"/>
        <v>0</v>
      </c>
      <c r="T59" s="14">
        <f t="shared" si="16"/>
        <v>250</v>
      </c>
      <c r="U59" s="14">
        <f t="shared" si="16"/>
        <v>4643</v>
      </c>
      <c r="Y59"/>
      <c r="Z59"/>
      <c r="AC59" s="12"/>
      <c r="AD59" s="71"/>
      <c r="AE59" s="16"/>
      <c r="AF59" s="16"/>
      <c r="AG59" s="16"/>
      <c r="AI59" s="48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</row>
    <row r="60" spans="8:52" x14ac:dyDescent="0.25">
      <c r="H60" s="4" t="s">
        <v>57</v>
      </c>
      <c r="I60" s="4" t="s">
        <v>16</v>
      </c>
      <c r="J60" s="14">
        <f>SUM(J6:J8)-J58</f>
        <v>3549.7900708310626</v>
      </c>
      <c r="K60" s="14">
        <f t="shared" ref="K60:U60" si="17">SUM(K6:K8)-K58</f>
        <v>1867.5523220409605</v>
      </c>
      <c r="L60" s="14">
        <f t="shared" si="17"/>
        <v>1498.6191696429751</v>
      </c>
      <c r="M60" s="14">
        <f t="shared" si="17"/>
        <v>1756.7282286867503</v>
      </c>
      <c r="N60" s="14">
        <f t="shared" si="17"/>
        <v>4599.000605061653</v>
      </c>
      <c r="O60" s="14">
        <f t="shared" si="17"/>
        <v>5483.7818819124495</v>
      </c>
      <c r="P60" s="14">
        <f t="shared" si="17"/>
        <v>3537.5934858189858</v>
      </c>
      <c r="Q60" s="14">
        <f t="shared" si="17"/>
        <v>6514.0776413596623</v>
      </c>
      <c r="R60" s="14">
        <f t="shared" si="17"/>
        <v>6086.9686031800829</v>
      </c>
      <c r="S60" s="14">
        <f t="shared" si="17"/>
        <v>3504.341649295643</v>
      </c>
      <c r="T60" s="14">
        <f t="shared" si="17"/>
        <v>4256.7282286867503</v>
      </c>
      <c r="U60" s="14">
        <f t="shared" si="17"/>
        <v>3998.6191696429751</v>
      </c>
      <c r="Y60"/>
      <c r="Z60"/>
      <c r="AC60" s="12" t="str">
        <f>H108</f>
        <v>Betaling bioaffald</v>
      </c>
      <c r="AD60" s="71" t="str">
        <f>I108</f>
        <v>tkr</v>
      </c>
      <c r="AE60" s="16">
        <f>L108</f>
        <v>0</v>
      </c>
      <c r="AF60" s="16">
        <f>J108</f>
        <v>9281.9833062222588</v>
      </c>
      <c r="AG60" s="16">
        <f t="shared" ref="AG60:AG65" si="18">Y89</f>
        <v>0</v>
      </c>
      <c r="AI60" s="48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</row>
    <row r="61" spans="8:52" x14ac:dyDescent="0.25">
      <c r="H61" s="6" t="s">
        <v>61</v>
      </c>
      <c r="I61" s="4" t="s">
        <v>41</v>
      </c>
      <c r="J61" s="14">
        <f>IF(DoOptim,J19,MIN(J59,J14))</f>
        <v>4000</v>
      </c>
      <c r="K61" s="14">
        <f>IF(DoOptim,K19,MIN(K59,K14))</f>
        <v>0</v>
      </c>
      <c r="L61" s="14">
        <f>IF(DoOptim,L19,MIN(L59,L14))</f>
        <v>0</v>
      </c>
      <c r="M61" s="14">
        <f>IF(DoOptim,M19,MIN(M59,M14))</f>
        <v>0</v>
      </c>
      <c r="N61" s="14">
        <f>IF(DoOptim,N19,MIN(N59,N14))</f>
        <v>0</v>
      </c>
      <c r="O61" s="14">
        <f>IF(DoOptim,O19,MIN(O59,O14))</f>
        <v>0</v>
      </c>
      <c r="P61" s="14">
        <f>IF(DoOptim,P19,MIN(P59,P14))</f>
        <v>0</v>
      </c>
      <c r="Q61" s="14">
        <f>IF(DoOptim,Q19,MIN(Q59,Q14))</f>
        <v>0</v>
      </c>
      <c r="R61" s="14">
        <f>IF(DoOptim,R19,MIN(R59,R14))</f>
        <v>0</v>
      </c>
      <c r="S61" s="14">
        <f>IF(DoOptim,S19,MIN(S59,S14))</f>
        <v>0</v>
      </c>
      <c r="T61" s="14">
        <f>IF(DoOptim,T19,MIN(T59,T14))</f>
        <v>0</v>
      </c>
      <c r="U61" s="14">
        <f>IF(DoOptim,U19,MIN(U59,U14))</f>
        <v>4643</v>
      </c>
      <c r="Y61"/>
      <c r="Z61"/>
      <c r="AC61" s="12" t="str">
        <f>H109</f>
        <v>DV-omkostninger</v>
      </c>
      <c r="AD61" s="71" t="str">
        <f>I109</f>
        <v>tkr</v>
      </c>
      <c r="AE61" s="15">
        <f>L109</f>
        <v>1241098.7605122505</v>
      </c>
      <c r="AF61" s="15">
        <f>J109</f>
        <v>1364822.9775574182</v>
      </c>
      <c r="AG61" s="16">
        <f t="shared" si="18"/>
        <v>0</v>
      </c>
      <c r="AI61" s="48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</row>
    <row r="62" spans="8:52" x14ac:dyDescent="0.25">
      <c r="H62" s="4" t="s">
        <v>56</v>
      </c>
      <c r="I62" s="4" t="s">
        <v>41</v>
      </c>
      <c r="J62" s="14">
        <f>J59-J61</f>
        <v>3283</v>
      </c>
      <c r="K62" s="14">
        <f t="shared" ref="K62:U62" si="19">K59-K61</f>
        <v>5086</v>
      </c>
      <c r="L62" s="14">
        <f t="shared" si="19"/>
        <v>6523</v>
      </c>
      <c r="M62" s="14">
        <f t="shared" si="19"/>
        <v>2337</v>
      </c>
      <c r="N62" s="14">
        <f t="shared" si="19"/>
        <v>0</v>
      </c>
      <c r="O62" s="14">
        <f t="shared" si="19"/>
        <v>4756</v>
      </c>
      <c r="P62" s="14">
        <f t="shared" si="19"/>
        <v>0</v>
      </c>
      <c r="Q62" s="14">
        <f t="shared" si="19"/>
        <v>0</v>
      </c>
      <c r="R62" s="14">
        <f t="shared" si="19"/>
        <v>0</v>
      </c>
      <c r="S62" s="14">
        <f t="shared" si="19"/>
        <v>0</v>
      </c>
      <c r="T62" s="14">
        <f t="shared" si="19"/>
        <v>250</v>
      </c>
      <c r="U62" s="14">
        <f t="shared" si="19"/>
        <v>0</v>
      </c>
      <c r="Y62"/>
      <c r="Z62"/>
      <c r="AC62" s="12" t="str">
        <f>H110</f>
        <v>Affaldvarme-afgift</v>
      </c>
      <c r="AD62" s="71" t="str">
        <f>I110</f>
        <v>tkr</v>
      </c>
      <c r="AE62" s="15">
        <f>L110</f>
        <v>2388417.4645282412</v>
      </c>
      <c r="AF62" s="15">
        <f>J110</f>
        <v>2239801.2000000002</v>
      </c>
      <c r="AG62" s="16">
        <f t="shared" si="18"/>
        <v>0</v>
      </c>
      <c r="AI62" s="48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</row>
    <row r="63" spans="8:52" x14ac:dyDescent="0.25">
      <c r="H63" s="6" t="s">
        <v>62</v>
      </c>
      <c r="I63" s="4" t="s">
        <v>41</v>
      </c>
      <c r="J63" s="14">
        <f>IF(DoOptim,J38*J36*J30/3.6,MIN(J62,J45,J38*J60*J30/3.6))</f>
        <v>3283</v>
      </c>
      <c r="K63" s="14">
        <f>IF(DoOptim,K38*K36*K30/3.6,MIN(K62,K45,K38*K60*K30/3.6))</f>
        <v>5086</v>
      </c>
      <c r="L63" s="14">
        <f>IF(DoOptim,L38*L36*L30/3.6,MIN(L62,L45,L38*L60*L30/3.6))</f>
        <v>4883.0889807088834</v>
      </c>
      <c r="M63" s="14">
        <f>IF(DoOptim,M38*M36*M30/3.6,MIN(M62,M45,M38*M60*M30/3.6))</f>
        <v>2337</v>
      </c>
      <c r="N63" s="14">
        <f>IF(DoOptim,N38*N36*N30/3.6,MIN(N62,N45,N38*N60*N30/3.6))</f>
        <v>0</v>
      </c>
      <c r="O63" s="14">
        <f>IF(DoOptim,O38*O36*O30/3.6,MIN(O62,O45,O38*O60*O30/3.6))</f>
        <v>4756</v>
      </c>
      <c r="P63" s="14">
        <f>IF(DoOptim,P38*P36*P30/3.6,MIN(P62,P45,P38*P60*P30/3.6))</f>
        <v>0</v>
      </c>
      <c r="Q63" s="14">
        <f>IF(DoOptim,Q38*Q36*Q30/3.6,MIN(Q62,Q45,Q38*Q60*Q30/3.6))</f>
        <v>0</v>
      </c>
      <c r="R63" s="14">
        <f>IF(DoOptim,R38*R36*R30/3.6,MIN(R62,R45,R38*R60*R30/3.6))</f>
        <v>0</v>
      </c>
      <c r="S63" s="14">
        <f>IF(DoOptim,S38*S36*S30/3.6,MIN(S62,S45,S38*S60*S30/3.6))</f>
        <v>0</v>
      </c>
      <c r="T63" s="14">
        <f>IF(DoOptim,T38*T36*T30/3.6,MIN(T62,T45,T38*T60*T30/3.6))</f>
        <v>250</v>
      </c>
      <c r="U63" s="14">
        <f>IF(DoOptim,U38*U36*U30/3.6,MIN(U62,U45,U38*U60*U30/3.6))</f>
        <v>0</v>
      </c>
      <c r="Y63"/>
      <c r="Z63"/>
      <c r="AC63" s="12" t="str">
        <f>H111</f>
        <v>Tillægsafgift</v>
      </c>
      <c r="AD63" s="71" t="str">
        <f>I111</f>
        <v>tkr</v>
      </c>
      <c r="AE63" s="16">
        <f>L111</f>
        <v>888473.4865294809</v>
      </c>
      <c r="AF63" s="16">
        <f>J111</f>
        <v>1975958.7992407379</v>
      </c>
      <c r="AG63" s="16">
        <f t="shared" si="18"/>
        <v>0</v>
      </c>
      <c r="AI63" s="48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</row>
    <row r="64" spans="8:52" x14ac:dyDescent="0.25">
      <c r="H64" s="4" t="s">
        <v>306</v>
      </c>
      <c r="I64" s="4" t="s">
        <v>41</v>
      </c>
      <c r="J64" s="14">
        <f>J63*EtaQNomOvn2/J38</f>
        <v>2712.0434782608695</v>
      </c>
      <c r="K64" s="14">
        <f t="shared" ref="K64:U64" si="20">K63*EtaQNomOvn2/EtaQmaxOvn2</f>
        <v>4201.478260869565</v>
      </c>
      <c r="L64" s="14">
        <f t="shared" si="20"/>
        <v>4033.8561144986425</v>
      </c>
      <c r="M64" s="14">
        <f t="shared" si="20"/>
        <v>1930.5652173913043</v>
      </c>
      <c r="N64" s="14">
        <f t="shared" si="20"/>
        <v>0</v>
      </c>
      <c r="O64" s="14">
        <f t="shared" si="20"/>
        <v>3928.8695652173915</v>
      </c>
      <c r="P64" s="14">
        <f t="shared" si="20"/>
        <v>0</v>
      </c>
      <c r="Q64" s="14">
        <f t="shared" si="20"/>
        <v>0</v>
      </c>
      <c r="R64" s="14">
        <f t="shared" si="20"/>
        <v>0</v>
      </c>
      <c r="S64" s="14">
        <f t="shared" si="20"/>
        <v>0</v>
      </c>
      <c r="T64" s="14">
        <f t="shared" si="20"/>
        <v>206.52173913043478</v>
      </c>
      <c r="U64" s="14">
        <f t="shared" si="20"/>
        <v>0</v>
      </c>
      <c r="Y64"/>
      <c r="Z64"/>
      <c r="AC64" s="12" t="str">
        <f>H112</f>
        <v>CO2-afgift</v>
      </c>
      <c r="AD64" s="71" t="str">
        <f>I112</f>
        <v>tkr</v>
      </c>
      <c r="AE64" s="16">
        <f>L112</f>
        <v>184525.88496175961</v>
      </c>
      <c r="AF64" s="16">
        <f>J112</f>
        <v>410384.27325740416</v>
      </c>
      <c r="AG64" s="16">
        <f t="shared" si="18"/>
        <v>0</v>
      </c>
      <c r="AI64" s="48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</row>
    <row r="65" spans="1:52" x14ac:dyDescent="0.25">
      <c r="A65" s="159" t="s">
        <v>325</v>
      </c>
      <c r="H65" s="4" t="s">
        <v>58</v>
      </c>
      <c r="I65" s="4" t="s">
        <v>16</v>
      </c>
      <c r="J65" s="14">
        <f>J63/J38/(J30/3.6)</f>
        <v>1064.0697207492935</v>
      </c>
      <c r="K65" s="14">
        <f>K63/EtaQmaxOvn2/(K30/3.6)</f>
        <v>1648.4491622695421</v>
      </c>
      <c r="L65" s="14">
        <f>L63/EtaQmaxOvn2/(L30/3.6)</f>
        <v>1498.6191696429751</v>
      </c>
      <c r="M65" s="14">
        <f>M63/EtaQmaxOvn2/(M30/3.6)</f>
        <v>717.22489868435787</v>
      </c>
      <c r="N65" s="14">
        <f>N63/EtaQmaxOvn2/(N30/3.6)</f>
        <v>0</v>
      </c>
      <c r="O65" s="14">
        <f>O63/EtaQmaxOvn2/(O30/3.6)</f>
        <v>1459.6155832874649</v>
      </c>
      <c r="P65" s="14">
        <f>P63/EtaQmaxOvn2/(P30/3.6)</f>
        <v>0</v>
      </c>
      <c r="Q65" s="14">
        <f>Q63/EtaQmaxOvn2/(Q30/3.6)</f>
        <v>0</v>
      </c>
      <c r="R65" s="14">
        <f>R63/EtaQmaxOvn2/(R30/3.6)</f>
        <v>0</v>
      </c>
      <c r="S65" s="14">
        <f>S63/EtaQmaxOvn2/(S30/3.6)</f>
        <v>0</v>
      </c>
      <c r="T65" s="14">
        <f>T63/EtaQmaxOvn2/(T30/3.6)</f>
        <v>76.724957069357913</v>
      </c>
      <c r="U65" s="14">
        <f>U63/EtaQmaxOvn2/(U30/3.6)</f>
        <v>0</v>
      </c>
      <c r="Y65"/>
      <c r="Z65"/>
      <c r="AC65" s="12" t="str">
        <f>H113</f>
        <v>Kvote-omkostning</v>
      </c>
      <c r="AD65" s="71" t="str">
        <f>I113</f>
        <v>tkr</v>
      </c>
      <c r="AE65" s="16">
        <f>L113</f>
        <v>2883200</v>
      </c>
      <c r="AF65" s="16">
        <f>J113</f>
        <v>2022445.5665611641</v>
      </c>
      <c r="AG65" s="16">
        <f t="shared" si="18"/>
        <v>0</v>
      </c>
      <c r="AI65" s="48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</row>
    <row r="66" spans="1:52" x14ac:dyDescent="0.25">
      <c r="H66" s="4" t="s">
        <v>56</v>
      </c>
      <c r="I66" s="4" t="s">
        <v>41</v>
      </c>
      <c r="J66" s="14">
        <f t="shared" ref="J66:U66" si="21">J62-J63</f>
        <v>0</v>
      </c>
      <c r="K66" s="14">
        <f t="shared" si="21"/>
        <v>0</v>
      </c>
      <c r="L66" s="14">
        <f t="shared" si="21"/>
        <v>1639.9110192911166</v>
      </c>
      <c r="M66" s="14">
        <f t="shared" si="21"/>
        <v>0</v>
      </c>
      <c r="N66" s="14">
        <f t="shared" si="21"/>
        <v>0</v>
      </c>
      <c r="O66" s="14">
        <f t="shared" si="21"/>
        <v>0</v>
      </c>
      <c r="P66" s="14">
        <f t="shared" si="21"/>
        <v>0</v>
      </c>
      <c r="Q66" s="14">
        <f t="shared" si="21"/>
        <v>0</v>
      </c>
      <c r="R66" s="14">
        <f t="shared" si="21"/>
        <v>0</v>
      </c>
      <c r="S66" s="14">
        <f t="shared" si="21"/>
        <v>0</v>
      </c>
      <c r="T66" s="14">
        <f t="shared" si="21"/>
        <v>0</v>
      </c>
      <c r="U66" s="14">
        <f t="shared" si="21"/>
        <v>0</v>
      </c>
      <c r="Y66"/>
      <c r="Z66"/>
      <c r="AC66" s="12"/>
      <c r="AD66" s="71"/>
      <c r="AE66" s="16"/>
      <c r="AF66" s="16"/>
      <c r="AG66" s="16"/>
      <c r="AI66" s="48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</row>
    <row r="67" spans="1:52" x14ac:dyDescent="0.25">
      <c r="H67" s="4" t="s">
        <v>57</v>
      </c>
      <c r="I67" s="4" t="s">
        <v>16</v>
      </c>
      <c r="J67" s="14">
        <f t="shared" ref="J67:U67" si="22">J60-J65</f>
        <v>2485.7203500817691</v>
      </c>
      <c r="K67" s="14">
        <f t="shared" si="22"/>
        <v>219.1031597714184</v>
      </c>
      <c r="L67" s="14">
        <f t="shared" si="22"/>
        <v>0</v>
      </c>
      <c r="M67" s="14">
        <f t="shared" si="22"/>
        <v>1039.5033300023924</v>
      </c>
      <c r="N67" s="14">
        <f t="shared" si="22"/>
        <v>4599.000605061653</v>
      </c>
      <c r="O67" s="14">
        <f t="shared" si="22"/>
        <v>4024.1662986249848</v>
      </c>
      <c r="P67" s="14">
        <f t="shared" si="22"/>
        <v>3537.5934858189858</v>
      </c>
      <c r="Q67" s="14">
        <f t="shared" si="22"/>
        <v>6514.0776413596623</v>
      </c>
      <c r="R67" s="14">
        <f t="shared" si="22"/>
        <v>6086.9686031800829</v>
      </c>
      <c r="S67" s="14">
        <f t="shared" si="22"/>
        <v>3504.341649295643</v>
      </c>
      <c r="T67" s="14">
        <f t="shared" si="22"/>
        <v>4180.0032716173928</v>
      </c>
      <c r="U67" s="14">
        <f t="shared" si="22"/>
        <v>3998.6191696429751</v>
      </c>
      <c r="Y67"/>
      <c r="Z67"/>
      <c r="AC67" s="6" t="s">
        <v>223</v>
      </c>
      <c r="AD67" s="5"/>
      <c r="AE67" s="13" t="str">
        <f>AE50</f>
        <v>MAR</v>
      </c>
      <c r="AF67" s="13" t="str">
        <f>AF50</f>
        <v>JAN</v>
      </c>
      <c r="AG67" s="11"/>
      <c r="AI67" s="48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</row>
    <row r="68" spans="1:52" x14ac:dyDescent="0.25">
      <c r="A68" s="159" t="s">
        <v>326</v>
      </c>
      <c r="H68" s="5" t="s">
        <v>65</v>
      </c>
      <c r="I68" s="4" t="s">
        <v>41</v>
      </c>
      <c r="J68" s="14">
        <f t="shared" ref="J68:U68" si="23">J56+J63</f>
        <v>24115</v>
      </c>
      <c r="K68" s="14">
        <f t="shared" si="23"/>
        <v>23902</v>
      </c>
      <c r="L68" s="14">
        <f t="shared" si="23"/>
        <v>25715.088980708882</v>
      </c>
      <c r="M68" s="14">
        <f t="shared" si="23"/>
        <v>22497</v>
      </c>
      <c r="N68" s="14">
        <f t="shared" si="23"/>
        <v>12760</v>
      </c>
      <c r="O68" s="14">
        <f t="shared" si="23"/>
        <v>6100</v>
      </c>
      <c r="P68" s="14">
        <f t="shared" si="23"/>
        <v>6411</v>
      </c>
      <c r="Q68" s="14">
        <f t="shared" si="23"/>
        <v>7774</v>
      </c>
      <c r="R68" s="14">
        <f t="shared" si="23"/>
        <v>8886</v>
      </c>
      <c r="S68" s="14">
        <f t="shared" si="23"/>
        <v>15610</v>
      </c>
      <c r="T68" s="14">
        <f t="shared" si="23"/>
        <v>20410</v>
      </c>
      <c r="U68" s="14">
        <f t="shared" si="23"/>
        <v>20832</v>
      </c>
      <c r="Y68"/>
      <c r="Z68"/>
      <c r="AC68" s="4" t="str">
        <f>H84</f>
        <v>Varmeproduktion Ovn2</v>
      </c>
      <c r="AD68" s="5" t="s">
        <v>41</v>
      </c>
      <c r="AE68" s="11">
        <f>L84</f>
        <v>4883.0889807088834</v>
      </c>
      <c r="AF68" s="11">
        <f>J84</f>
        <v>7638.95652173913</v>
      </c>
      <c r="AG68" s="11">
        <f>AF68-AE68</f>
        <v>2755.8675410302467</v>
      </c>
      <c r="AI68" s="48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</row>
    <row r="69" spans="1:52" x14ac:dyDescent="0.25">
      <c r="H69" s="5" t="s">
        <v>66</v>
      </c>
      <c r="I69" s="4" t="s">
        <v>41</v>
      </c>
      <c r="J69" s="14">
        <f>J66</f>
        <v>0</v>
      </c>
      <c r="K69" s="14">
        <f t="shared" ref="K69:U69" si="24">K66</f>
        <v>0</v>
      </c>
      <c r="L69" s="14">
        <f t="shared" si="24"/>
        <v>1639.9110192911166</v>
      </c>
      <c r="M69" s="14">
        <f t="shared" si="24"/>
        <v>0</v>
      </c>
      <c r="N69" s="14">
        <f t="shared" si="24"/>
        <v>0</v>
      </c>
      <c r="O69" s="14">
        <f t="shared" si="24"/>
        <v>0</v>
      </c>
      <c r="P69" s="14">
        <f t="shared" si="24"/>
        <v>0</v>
      </c>
      <c r="Q69" s="14">
        <f t="shared" si="24"/>
        <v>0</v>
      </c>
      <c r="R69" s="14">
        <f t="shared" si="24"/>
        <v>0</v>
      </c>
      <c r="S69" s="14">
        <f t="shared" si="24"/>
        <v>0</v>
      </c>
      <c r="T69" s="14">
        <f t="shared" si="24"/>
        <v>0</v>
      </c>
      <c r="U69" s="14">
        <f t="shared" si="24"/>
        <v>0</v>
      </c>
      <c r="Y69"/>
      <c r="Z69"/>
      <c r="AC69" s="4" t="str">
        <f>H85</f>
        <v>Varmeproduktion Ovn3</v>
      </c>
      <c r="AD69" s="5" t="s">
        <v>41</v>
      </c>
      <c r="AE69" s="11">
        <f>L85</f>
        <v>20832</v>
      </c>
      <c r="AF69" s="11">
        <f>J85</f>
        <v>20832</v>
      </c>
      <c r="AG69" s="11">
        <f t="shared" ref="AG69:AG73" si="25">AF69-AE69</f>
        <v>0</v>
      </c>
      <c r="AI69" s="48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</row>
    <row r="70" spans="1:52" x14ac:dyDescent="0.25">
      <c r="H70" s="4" t="s">
        <v>89</v>
      </c>
      <c r="I70" s="4" t="s">
        <v>41</v>
      </c>
      <c r="J70" s="14">
        <f>J43-EtaQNomOvn2*J65*J30/3.6</f>
        <v>4355.95652173913</v>
      </c>
      <c r="K70" s="14">
        <f>K43-EtaQNomOvn3*K65*K30/3.6</f>
        <v>3118.3960436843181</v>
      </c>
      <c r="L70" s="14">
        <f>L43-EtaQNomOvn3*L65*L30/3.6</f>
        <v>3932.6805555555566</v>
      </c>
      <c r="M70" s="14">
        <f>M43-EtaQNomOvn3*M65*M30/3.6</f>
        <v>5339.4658973830619</v>
      </c>
      <c r="N70" s="14">
        <f>N43-EtaQNomOvn3*N65*N30/3.6</f>
        <v>7068</v>
      </c>
      <c r="O70" s="14">
        <f>O43-EtaQNomOvn3*O65*O30/3.6</f>
        <v>3786.2814753760563</v>
      </c>
      <c r="P70" s="14">
        <f>P43-EtaQNomOvn3*P65*P30/3.6</f>
        <v>7068</v>
      </c>
      <c r="Q70" s="14">
        <f>Q43-EtaQNomOvn3*Q65*Q30/3.6</f>
        <v>7068</v>
      </c>
      <c r="R70" s="14">
        <f>R43-EtaQNomOvn3*R65*R30/3.6</f>
        <v>6840</v>
      </c>
      <c r="S70" s="14">
        <f>S43-EtaQNomOvn3*S65*S30/3.6</f>
        <v>7068</v>
      </c>
      <c r="T70" s="14">
        <f>T43-EtaQNomOvn3*T65*T30/3.6</f>
        <v>6679.4807335668656</v>
      </c>
      <c r="U70" s="14">
        <f>U43-EtaQNomOvn3*U65*U30/3.6</f>
        <v>7068</v>
      </c>
      <c r="Y70"/>
      <c r="Z70"/>
      <c r="AC70" s="4" t="str">
        <f>H87</f>
        <v>Heraf RGK-varme</v>
      </c>
      <c r="AD70" s="5" t="s">
        <v>41</v>
      </c>
      <c r="AE70" s="11">
        <f>L87</f>
        <v>5300.6091090984</v>
      </c>
      <c r="AF70" s="11">
        <f>J87</f>
        <v>5049.4716687852942</v>
      </c>
      <c r="AG70" s="11">
        <f t="shared" si="25"/>
        <v>-251.1374403131058</v>
      </c>
      <c r="AI70" s="48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</row>
    <row r="71" spans="1:52" x14ac:dyDescent="0.25">
      <c r="H71" s="4" t="s">
        <v>90</v>
      </c>
      <c r="I71" s="4" t="s">
        <v>41</v>
      </c>
      <c r="J71" s="14">
        <f>J50-EtaQNomOvn3*J58*J30/3.6</f>
        <v>0</v>
      </c>
      <c r="K71" s="14">
        <f>K50-EtaQNomOvn3*K58*K30/3.6</f>
        <v>0</v>
      </c>
      <c r="L71" s="14">
        <f>L50-EtaQNomOvn3*L58*L30/3.6</f>
        <v>0</v>
      </c>
      <c r="M71" s="14">
        <f>M50-EtaQNomOvn3*M58*M30/3.6</f>
        <v>0</v>
      </c>
      <c r="N71" s="14">
        <f>N50-EtaQNomOvn3*N58*N30/3.6</f>
        <v>6486.4285714285706</v>
      </c>
      <c r="O71" s="14">
        <f>O50-EtaQNomOvn3*O58*O30/3.6</f>
        <v>0</v>
      </c>
      <c r="P71" s="14">
        <f>P50-EtaQNomOvn3*P58*P30/3.6</f>
        <v>11588.303571428571</v>
      </c>
      <c r="Q71" s="14">
        <f>Q50-EtaQNomOvn3*Q58*Q30/3.6</f>
        <v>10493.035714285714</v>
      </c>
      <c r="R71" s="14">
        <f>R50-EtaQNomOvn3*R58*R30/3.6</f>
        <v>9059.4642857142862</v>
      </c>
      <c r="S71" s="14">
        <f>S50-EtaQNomOvn3*S58*S30/3.6</f>
        <v>4196.25</v>
      </c>
      <c r="T71" s="14">
        <f>T50-EtaQNomOvn3*T58*T30/3.6</f>
        <v>0</v>
      </c>
      <c r="U71" s="14">
        <f>U50-EtaQNomOvn3*U58*U30/3.6</f>
        <v>0</v>
      </c>
      <c r="Y71"/>
      <c r="Z71"/>
      <c r="AC71" s="4" t="str">
        <f>H78</f>
        <v>Bortkølet varme</v>
      </c>
      <c r="AD71" s="5" t="s">
        <v>41</v>
      </c>
      <c r="AE71" s="11">
        <f>L78</f>
        <v>0</v>
      </c>
      <c r="AF71" s="11">
        <f>J78</f>
        <v>4355.95652173913</v>
      </c>
      <c r="AG71" s="11">
        <f t="shared" si="25"/>
        <v>4355.95652173913</v>
      </c>
      <c r="AI71" s="48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</row>
    <row r="72" spans="1:52" x14ac:dyDescent="0.25">
      <c r="H72" s="4" t="s">
        <v>92</v>
      </c>
      <c r="I72" s="4" t="s">
        <v>41</v>
      </c>
      <c r="J72" s="14">
        <f>IF(DoOptim,MIN(J71,EtaQNomOvn3*J67*J30/3.6),MIN(J71,EtaQNomOvn3*J67*J30/3.6,24*J29*KapQcool))</f>
        <v>0</v>
      </c>
      <c r="K72" s="14">
        <f>MIN(K71,EtaQNomOvn3*K67*K30/3.6,24*EtaQNomOvn3*KapQcool)</f>
        <v>0</v>
      </c>
      <c r="L72" s="14">
        <f>MIN(L71,EtaQNomOvn3*L67*L30/3.6,24*EtaQNomOvn3*KapQcool)</f>
        <v>0</v>
      </c>
      <c r="M72" s="14">
        <f>MIN(M71,EtaQNomOvn3*M67*M30/3.6,24*EtaQNomOvn3*KapQcool)</f>
        <v>0</v>
      </c>
      <c r="N72" s="14">
        <f>MIN(N71,EtaQNomOvn3*N67*N30/3.6,24*EtaQNomOvn3*KapQcool)</f>
        <v>236.16</v>
      </c>
      <c r="O72" s="14">
        <f>MIN(O71,EtaQNomOvn3*O67*O30/3.6,24*EtaQNomOvn3*KapQcool)</f>
        <v>0</v>
      </c>
      <c r="P72" s="14">
        <f>MIN(P71,EtaQNomOvn3*P67*P30/3.6,24*EtaQNomOvn3*KapQcool)</f>
        <v>236.16</v>
      </c>
      <c r="Q72" s="14">
        <f>MIN(Q71,EtaQNomOvn3*Q67*Q30/3.6,24*EtaQNomOvn3*KapQcool)</f>
        <v>236.16</v>
      </c>
      <c r="R72" s="14">
        <f>MIN(R71,EtaQNomOvn3*R67*R30/3.6,24*EtaQNomOvn3*KapQcool)</f>
        <v>236.16</v>
      </c>
      <c r="S72" s="14">
        <f>MIN(S71,EtaQNomOvn3*S67*S30/3.6,24*EtaQNomOvn3*KapQcool)</f>
        <v>236.16</v>
      </c>
      <c r="T72" s="14">
        <f>MIN(T71,EtaQNomOvn3*T67*T30/3.6,24*EtaQNomOvn3*KapQcool)</f>
        <v>0</v>
      </c>
      <c r="U72" s="14">
        <f>MIN(U71,EtaQNomOvn3*U67*U30/3.6,24*EtaQNomOvn3*KapQcool)</f>
        <v>0</v>
      </c>
      <c r="Y72"/>
      <c r="Z72"/>
      <c r="AC72" s="4" t="str">
        <f>H90</f>
        <v>Leveret varme</v>
      </c>
      <c r="AD72" s="5" t="s">
        <v>41</v>
      </c>
      <c r="AE72" s="11">
        <f>L90</f>
        <v>25715.088980708882</v>
      </c>
      <c r="AF72" s="11">
        <f>J90</f>
        <v>24115</v>
      </c>
      <c r="AG72" s="11">
        <f t="shared" si="25"/>
        <v>-1600.0889807088824</v>
      </c>
      <c r="AI72" s="48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</row>
    <row r="73" spans="1:52" x14ac:dyDescent="0.25">
      <c r="H73" s="4" t="s">
        <v>93</v>
      </c>
      <c r="I73" s="4" t="s">
        <v>16</v>
      </c>
      <c r="J73" s="14">
        <f>J72/EtaQNomOvn3/(J30/3.6)</f>
        <v>0</v>
      </c>
      <c r="K73" s="14">
        <f>K72/EtaQNomOvn3/(K30/3.6)</f>
        <v>0</v>
      </c>
      <c r="L73" s="14">
        <f>L72/EtaQNomOvn3/(L30/3.6)</f>
        <v>0</v>
      </c>
      <c r="M73" s="14">
        <f>M72/EtaQNomOvn3/(M30/3.6)</f>
        <v>0</v>
      </c>
      <c r="N73" s="14">
        <f>N72/EtaQNomOvn3/(N30/3.6)</f>
        <v>112.87969515514428</v>
      </c>
      <c r="O73" s="14">
        <f>O72/EtaQNomOvn3/(O30/3.6)</f>
        <v>0</v>
      </c>
      <c r="P73" s="14">
        <f>P72/EtaQNomOvn3/(P30/3.6)</f>
        <v>112.87969515514428</v>
      </c>
      <c r="Q73" s="14">
        <f>Q72/EtaQNomOvn3/(Q30/3.6)</f>
        <v>112.87969515514428</v>
      </c>
      <c r="R73" s="14">
        <f>R72/EtaQNomOvn3/(R30/3.6)</f>
        <v>112.87969515514428</v>
      </c>
      <c r="S73" s="14">
        <f>S72/EtaQNomOvn3/(S30/3.6)</f>
        <v>112.87969515514428</v>
      </c>
      <c r="T73" s="14">
        <f>T72/EtaQNomOvn3/(T30/3.6)</f>
        <v>0</v>
      </c>
      <c r="U73" s="14">
        <f>U72/EtaQNomOvn3/(U30/3.6)</f>
        <v>0</v>
      </c>
      <c r="Y73"/>
      <c r="Z73"/>
      <c r="AC73" s="4" t="str">
        <f>H91</f>
        <v>Spidslastvarme</v>
      </c>
      <c r="AD73" s="5" t="s">
        <v>41</v>
      </c>
      <c r="AE73" s="11">
        <f>L91</f>
        <v>1639.9110192911176</v>
      </c>
      <c r="AF73" s="11">
        <f>J91</f>
        <v>0</v>
      </c>
      <c r="AG73" s="11">
        <f t="shared" si="25"/>
        <v>-1639.9110192911176</v>
      </c>
      <c r="AI73" s="48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</row>
    <row r="74" spans="1:52" x14ac:dyDescent="0.25">
      <c r="D74" s="158"/>
      <c r="E74" s="158"/>
      <c r="F74" s="158" t="s">
        <v>323</v>
      </c>
      <c r="H74" s="4" t="s">
        <v>57</v>
      </c>
      <c r="I74" s="4" t="s">
        <v>16</v>
      </c>
      <c r="J74" s="14">
        <f>J67-J73</f>
        <v>2485.7203500817691</v>
      </c>
      <c r="K74" s="14">
        <f t="shared" ref="K74:U74" si="26">K67-K73</f>
        <v>219.1031597714184</v>
      </c>
      <c r="L74" s="14">
        <f t="shared" si="26"/>
        <v>0</v>
      </c>
      <c r="M74" s="14">
        <f t="shared" si="26"/>
        <v>1039.5033300023924</v>
      </c>
      <c r="N74" s="14">
        <f t="shared" si="26"/>
        <v>4486.120909906509</v>
      </c>
      <c r="O74" s="14">
        <f t="shared" si="26"/>
        <v>4024.1662986249848</v>
      </c>
      <c r="P74" s="14">
        <f t="shared" si="26"/>
        <v>3424.7137906638413</v>
      </c>
      <c r="Q74" s="14">
        <f t="shared" si="26"/>
        <v>6401.1979462045183</v>
      </c>
      <c r="R74" s="14">
        <f t="shared" si="26"/>
        <v>5974.088908024939</v>
      </c>
      <c r="S74" s="14">
        <f t="shared" si="26"/>
        <v>3391.4619541404986</v>
      </c>
      <c r="T74" s="14">
        <f t="shared" si="26"/>
        <v>4180.0032716173928</v>
      </c>
      <c r="U74" s="14">
        <f t="shared" si="26"/>
        <v>3998.6191696429751</v>
      </c>
      <c r="Y74"/>
      <c r="Z74"/>
      <c r="AC74" s="4"/>
      <c r="AD74" s="5"/>
      <c r="AE74" s="16"/>
      <c r="AF74" s="16"/>
      <c r="AG74" s="11"/>
      <c r="AI74" s="48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</row>
    <row r="75" spans="1:52" x14ac:dyDescent="0.25">
      <c r="H75" s="4" t="s">
        <v>91</v>
      </c>
      <c r="I75" s="4" t="s">
        <v>41</v>
      </c>
      <c r="J75" s="14">
        <f>IF(DoOptim,MIN(J70,EtaQNomOvn2*J74*J30/3.6),MIN(J70,EtaQNomOvn2*J74*J30/3.6,24*J29*KapQcool-J72))</f>
        <v>4355.95652173913</v>
      </c>
      <c r="K75" s="14">
        <f>MIN(K70,EtaQNomOvn3*K74*K30/3.6,24*$E$11*KapQcool-K72)</f>
        <v>434.04683733511274</v>
      </c>
      <c r="L75" s="14">
        <f>MIN(L70,EtaQNomOvn3*L74*L30/3.6,24*$E$11*KapQcool-L72)</f>
        <v>0</v>
      </c>
      <c r="M75" s="14">
        <f>MIN(M70,EtaQNomOvn3*M74*M30/3.6,24*$E$11*KapQcool-M72)</f>
        <v>2174.7853418275054</v>
      </c>
      <c r="N75" s="14">
        <f>MIN(N70,EtaQNomOvn3*N74*N30/3.6,24*$E$11*KapQcool-N72)</f>
        <v>7068</v>
      </c>
      <c r="O75" s="14">
        <f>MIN(O70,EtaQNomOvn3*O74*O30/3.6,24*$E$11*KapQcool-O72)</f>
        <v>3786.2814753760563</v>
      </c>
      <c r="P75" s="14">
        <f>MIN(P70,EtaQNomOvn3*P74*P30/3.6,24*$E$11*KapQcool-P72)</f>
        <v>7068</v>
      </c>
      <c r="Q75" s="14">
        <f>MIN(Q70,EtaQNomOvn3*Q74*Q30/3.6,24*$E$11*KapQcool-Q72)</f>
        <v>7068</v>
      </c>
      <c r="R75" s="14">
        <f>MIN(R70,EtaQNomOvn3*R74*R30/3.6,24*$E$11*KapQcool-R72)</f>
        <v>6840</v>
      </c>
      <c r="S75" s="14">
        <f>MIN(S70,EtaQNomOvn3*S74*S30/3.6,24*$E$11*KapQcool-S72)</f>
        <v>7068</v>
      </c>
      <c r="T75" s="14">
        <f>MIN(T70,EtaQNomOvn3*T74*T30/3.6,24*$E$11*KapQcool-T72)</f>
        <v>6679.4807335668656</v>
      </c>
      <c r="U75" s="14">
        <f>MIN(U70,EtaQNomOvn3*U74*U30/3.6,24*$E$11*KapQcool-U72)</f>
        <v>7068</v>
      </c>
      <c r="Y75"/>
      <c r="Z75"/>
      <c r="AC75" s="6" t="s">
        <v>224</v>
      </c>
      <c r="AD75" s="5"/>
      <c r="AE75" s="63" t="str">
        <f>AE50</f>
        <v>MAR</v>
      </c>
      <c r="AF75" s="63" t="str">
        <f>AF50</f>
        <v>JAN</v>
      </c>
      <c r="AG75" s="11"/>
      <c r="AI75" s="48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</row>
    <row r="76" spans="1:52" x14ac:dyDescent="0.25">
      <c r="H76" s="4" t="s">
        <v>94</v>
      </c>
      <c r="I76" s="4" t="s">
        <v>16</v>
      </c>
      <c r="J76" s="14">
        <f>J75/EtaQNomOvn2/(J30/3.6)</f>
        <v>1709.0586772802387</v>
      </c>
      <c r="K76" s="14">
        <f>K75/EtaQNomOvn2/(K30/3.6)</f>
        <v>170.29819053323519</v>
      </c>
      <c r="L76" s="14">
        <f>L75/EtaQNomOvn2/(L30/3.6)</f>
        <v>0</v>
      </c>
      <c r="M76" s="14">
        <f>M75/EtaQNomOvn2/(M30/3.6)</f>
        <v>807.95519488337618</v>
      </c>
      <c r="N76" s="14">
        <f>N75/EtaQNomOvn2/(N30/3.6)</f>
        <v>2625.8349307417052</v>
      </c>
      <c r="O76" s="14">
        <f>O75/EtaQNomOvn2/(O30/3.6)</f>
        <v>1406.6426366246021</v>
      </c>
      <c r="P76" s="14">
        <f>P75/EtaQNomOvn2/(P30/3.6)</f>
        <v>2625.8349307417052</v>
      </c>
      <c r="Q76" s="14">
        <f>Q75/EtaQNomOvn2/(Q30/3.6)</f>
        <v>2625.8349307417052</v>
      </c>
      <c r="R76" s="14">
        <f>R75/EtaQNomOvn2/(R30/3.6)</f>
        <v>2541.1305781371339</v>
      </c>
      <c r="S76" s="14">
        <f>S75/EtaQNomOvn2/(S30/3.6)</f>
        <v>2625.8349307417052</v>
      </c>
      <c r="T76" s="14">
        <f>T75/EtaQNomOvn2/(T30/3.6)</f>
        <v>2481.4960143486287</v>
      </c>
      <c r="U76" s="14">
        <f>U75/EtaQNomOvn2/(U30/3.6)</f>
        <v>2625.8349307417052</v>
      </c>
      <c r="Y76"/>
      <c r="Z76"/>
      <c r="AC76" s="4" t="s">
        <v>135</v>
      </c>
      <c r="AD76" s="5" t="s">
        <v>16</v>
      </c>
      <c r="AE76" s="11">
        <f>L58</f>
        <v>8001.3808303570249</v>
      </c>
      <c r="AF76" s="11">
        <f>J58</f>
        <v>8450.2099291689374</v>
      </c>
      <c r="AG76" s="11">
        <f>AF76-AE76</f>
        <v>448.82909881191244</v>
      </c>
      <c r="AI76" s="48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</row>
    <row r="77" spans="1:52" x14ac:dyDescent="0.25">
      <c r="H77" s="4" t="s">
        <v>57</v>
      </c>
      <c r="I77" s="4" t="s">
        <v>16</v>
      </c>
      <c r="J77" s="14">
        <f>J74-J76</f>
        <v>776.66167280153036</v>
      </c>
      <c r="K77" s="14">
        <f t="shared" ref="K77:U77" si="27">K74-K76</f>
        <v>48.804969238183219</v>
      </c>
      <c r="L77" s="14">
        <f t="shared" si="27"/>
        <v>0</v>
      </c>
      <c r="M77" s="14">
        <f t="shared" si="27"/>
        <v>231.54813511901625</v>
      </c>
      <c r="N77" s="14">
        <f t="shared" si="27"/>
        <v>1860.2859791648038</v>
      </c>
      <c r="O77" s="14">
        <f t="shared" si="27"/>
        <v>2617.5236620003825</v>
      </c>
      <c r="P77" s="14">
        <f t="shared" si="27"/>
        <v>798.87885992213614</v>
      </c>
      <c r="Q77" s="14">
        <f t="shared" si="27"/>
        <v>3775.3630154628131</v>
      </c>
      <c r="R77" s="14">
        <f t="shared" si="27"/>
        <v>3432.9583298878051</v>
      </c>
      <c r="S77" s="14">
        <f t="shared" si="27"/>
        <v>765.62702339879343</v>
      </c>
      <c r="T77" s="14">
        <f t="shared" si="27"/>
        <v>1698.5072572687641</v>
      </c>
      <c r="U77" s="14">
        <f t="shared" si="27"/>
        <v>1372.7842389012699</v>
      </c>
      <c r="Y77"/>
      <c r="Z77"/>
      <c r="AC77" s="4" t="s">
        <v>136</v>
      </c>
      <c r="AD77" s="5" t="s">
        <v>41</v>
      </c>
      <c r="AE77" s="11">
        <f>L61</f>
        <v>0</v>
      </c>
      <c r="AF77" s="11">
        <f>J61</f>
        <v>4000</v>
      </c>
      <c r="AG77" s="11">
        <f t="shared" ref="AG77:AG82" si="28">AF77-AE77</f>
        <v>4000</v>
      </c>
      <c r="AI77" s="48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</row>
    <row r="78" spans="1:52" x14ac:dyDescent="0.25">
      <c r="A78" s="159" t="s">
        <v>327</v>
      </c>
      <c r="H78" s="4" t="s">
        <v>44</v>
      </c>
      <c r="I78" s="4" t="s">
        <v>41</v>
      </c>
      <c r="J78" s="14">
        <f>J72+J75</f>
        <v>4355.95652173913</v>
      </c>
      <c r="K78" s="14">
        <f t="shared" ref="K78:U78" si="29">K72+K75</f>
        <v>434.04683733511274</v>
      </c>
      <c r="L78" s="14">
        <f t="shared" si="29"/>
        <v>0</v>
      </c>
      <c r="M78" s="14">
        <f t="shared" si="29"/>
        <v>2174.7853418275054</v>
      </c>
      <c r="N78" s="14">
        <f t="shared" si="29"/>
        <v>7304.16</v>
      </c>
      <c r="O78" s="14">
        <f t="shared" si="29"/>
        <v>3786.2814753760563</v>
      </c>
      <c r="P78" s="14">
        <f t="shared" si="29"/>
        <v>7304.16</v>
      </c>
      <c r="Q78" s="14">
        <f t="shared" si="29"/>
        <v>7304.16</v>
      </c>
      <c r="R78" s="14">
        <f t="shared" si="29"/>
        <v>7076.16</v>
      </c>
      <c r="S78" s="14">
        <f t="shared" si="29"/>
        <v>7304.16</v>
      </c>
      <c r="T78" s="14">
        <f t="shared" si="29"/>
        <v>6679.4807335668656</v>
      </c>
      <c r="U78" s="14">
        <f t="shared" si="29"/>
        <v>7068</v>
      </c>
      <c r="Y78"/>
      <c r="Z78"/>
      <c r="AC78" s="4" t="s">
        <v>137</v>
      </c>
      <c r="AD78" s="5" t="s">
        <v>16</v>
      </c>
      <c r="AE78" s="11">
        <f>L65</f>
        <v>1498.6191696429751</v>
      </c>
      <c r="AF78" s="11">
        <f>J65</f>
        <v>1064.0697207492935</v>
      </c>
      <c r="AG78" s="11">
        <f t="shared" si="28"/>
        <v>-434.54944889368153</v>
      </c>
      <c r="AI78" s="48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</row>
    <row r="79" spans="1:52" x14ac:dyDescent="0.25">
      <c r="H79" s="4" t="s">
        <v>109</v>
      </c>
      <c r="I79" s="4" t="s">
        <v>16</v>
      </c>
      <c r="J79" s="14">
        <f>J58+J65+J73+J76</f>
        <v>11223.338327198469</v>
      </c>
      <c r="K79" s="14">
        <f>K31-K80</f>
        <v>13780.896840228581</v>
      </c>
      <c r="L79" s="14">
        <f>L31-L80</f>
        <v>16000</v>
      </c>
      <c r="M79" s="14">
        <f>M31-M80</f>
        <v>14960.496669997607</v>
      </c>
      <c r="N79" s="14">
        <f>N31-N80</f>
        <v>11400.999394938346</v>
      </c>
      <c r="O79" s="14">
        <f>O31-O80</f>
        <v>11975.833701375015</v>
      </c>
      <c r="P79" s="14">
        <f>P31-P80</f>
        <v>12462.406514181013</v>
      </c>
      <c r="Q79" s="14">
        <f>Q31-Q80</f>
        <v>9485.9223586403386</v>
      </c>
      <c r="R79" s="14">
        <f>R31-R80</f>
        <v>9913.0313968199171</v>
      </c>
      <c r="S79" s="14">
        <f>S31-S80</f>
        <v>12495.658350704358</v>
      </c>
      <c r="T79" s="14">
        <f>T31-T80</f>
        <v>11819.996728382608</v>
      </c>
      <c r="U79" s="14">
        <f>U31-U80</f>
        <v>12001.380830357026</v>
      </c>
      <c r="Y79"/>
      <c r="Z79"/>
      <c r="AC79" s="4" t="s">
        <v>93</v>
      </c>
      <c r="AD79" s="5" t="s">
        <v>16</v>
      </c>
      <c r="AE79" s="11">
        <f>L73</f>
        <v>0</v>
      </c>
      <c r="AF79" s="11">
        <f>J73</f>
        <v>0</v>
      </c>
      <c r="AG79" s="11">
        <f t="shared" si="28"/>
        <v>0</v>
      </c>
      <c r="AI79" s="48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</row>
    <row r="80" spans="1:52" x14ac:dyDescent="0.25">
      <c r="H80" s="4" t="s">
        <v>110</v>
      </c>
      <c r="I80" s="4" t="s">
        <v>16</v>
      </c>
      <c r="J80" s="14">
        <f>J31-J79</f>
        <v>2776.6616728015306</v>
      </c>
      <c r="K80" s="14">
        <f t="shared" ref="K80:U80" si="30">K67</f>
        <v>219.1031597714184</v>
      </c>
      <c r="L80" s="14">
        <f t="shared" si="30"/>
        <v>0</v>
      </c>
      <c r="M80" s="14">
        <f t="shared" si="30"/>
        <v>1039.5033300023924</v>
      </c>
      <c r="N80" s="14">
        <f t="shared" si="30"/>
        <v>4599.000605061653</v>
      </c>
      <c r="O80" s="14">
        <f t="shared" si="30"/>
        <v>4024.1662986249848</v>
      </c>
      <c r="P80" s="14">
        <f t="shared" si="30"/>
        <v>3537.5934858189858</v>
      </c>
      <c r="Q80" s="14">
        <f t="shared" si="30"/>
        <v>6514.0776413596623</v>
      </c>
      <c r="R80" s="14">
        <f t="shared" si="30"/>
        <v>6086.9686031800829</v>
      </c>
      <c r="S80" s="14">
        <f t="shared" si="30"/>
        <v>3504.341649295643</v>
      </c>
      <c r="T80" s="14">
        <f t="shared" si="30"/>
        <v>4180.0032716173928</v>
      </c>
      <c r="U80" s="14">
        <f t="shared" si="30"/>
        <v>3998.6191696429751</v>
      </c>
      <c r="Y80"/>
      <c r="Z80"/>
      <c r="AC80" s="4" t="s">
        <v>94</v>
      </c>
      <c r="AD80" s="5" t="s">
        <v>16</v>
      </c>
      <c r="AE80" s="11">
        <f>L76</f>
        <v>0</v>
      </c>
      <c r="AF80" s="11">
        <f>J76</f>
        <v>1709.0586772802387</v>
      </c>
      <c r="AG80" s="11">
        <f t="shared" si="28"/>
        <v>1709.0586772802387</v>
      </c>
      <c r="AI80" s="48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</row>
    <row r="81" spans="7:52" x14ac:dyDescent="0.25">
      <c r="G81" s="122"/>
      <c r="H81" t="s">
        <v>45</v>
      </c>
      <c r="I81" s="4" t="s">
        <v>48</v>
      </c>
      <c r="J81" s="14">
        <f>EtaE*(J58+J73)*J30/3.6</f>
        <v>5733.9603658536589</v>
      </c>
      <c r="K81" s="14">
        <f>EtaE*(K58+K73)*K30/3.6</f>
        <v>5179.0609756097556</v>
      </c>
      <c r="L81" s="14">
        <f>EtaE*(L58+L73)*L30/3.6</f>
        <v>5733.960365853658</v>
      </c>
      <c r="M81" s="14">
        <f>EtaE*(M58+M73)*M30/3.6</f>
        <v>5548.9939024390242</v>
      </c>
      <c r="N81" s="14">
        <f>EtaE*(N58+N73)*N30/3.6</f>
        <v>3593.0528231707322</v>
      </c>
      <c r="O81" s="14">
        <f>EtaE*(O58+O73)*O30/3.6</f>
        <v>369.9329268292683</v>
      </c>
      <c r="P81" s="14">
        <f>EtaE*(P58+P73)*P30/3.6</f>
        <v>1845.5050907012196</v>
      </c>
      <c r="Q81" s="14">
        <f>EtaE*(Q58+Q73)*Q30/3.6</f>
        <v>2220.6677240853664</v>
      </c>
      <c r="R81" s="14">
        <f>EtaE*(R58+R73)*R30/3.6</f>
        <v>2526.7431814024389</v>
      </c>
      <c r="S81" s="14">
        <f>EtaE*(S58+S73)*S30/3.6</f>
        <v>4377.5088064024385</v>
      </c>
      <c r="T81" s="14">
        <f>EtaE*(T58+T73)*T30/3.6</f>
        <v>5548.9939024390242</v>
      </c>
      <c r="U81" s="14">
        <f>EtaE*(U58+U73)*U30/3.6</f>
        <v>5733.960365853658</v>
      </c>
      <c r="Y81"/>
      <c r="Z81"/>
      <c r="AC81" s="4" t="s">
        <v>139</v>
      </c>
      <c r="AD81" s="5" t="s">
        <v>16</v>
      </c>
      <c r="AE81" s="11">
        <f>AE76+SUM(AE78:AE80)</f>
        <v>9500</v>
      </c>
      <c r="AF81" s="11">
        <f>AF76+SUM(AF78:AF80)</f>
        <v>11223.338327198469</v>
      </c>
      <c r="AG81" s="11">
        <f t="shared" si="28"/>
        <v>1723.3383271984694</v>
      </c>
      <c r="AI81" s="48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</row>
    <row r="82" spans="7:52" x14ac:dyDescent="0.25">
      <c r="G82" s="122"/>
      <c r="H82" t="s">
        <v>6</v>
      </c>
      <c r="I82" s="4" t="s">
        <v>48</v>
      </c>
      <c r="J82" s="14">
        <f>$D$15*J12</f>
        <v>775</v>
      </c>
      <c r="K82" s="14">
        <f>$D$15*K12</f>
        <v>700</v>
      </c>
      <c r="L82" s="14">
        <f>$D$15*L12</f>
        <v>775</v>
      </c>
      <c r="M82" s="14">
        <f>$D$15*M12</f>
        <v>750</v>
      </c>
      <c r="N82" s="14">
        <f>$D$15*N12</f>
        <v>775</v>
      </c>
      <c r="O82" s="14">
        <f>$D$15*O12</f>
        <v>50</v>
      </c>
      <c r="P82" s="14">
        <f>$D$15*P12</f>
        <v>775</v>
      </c>
      <c r="Q82" s="14">
        <f>$D$15*Q12</f>
        <v>775</v>
      </c>
      <c r="R82" s="14">
        <f>$D$15*R12</f>
        <v>750</v>
      </c>
      <c r="S82" s="14">
        <f>$D$15*S12</f>
        <v>775</v>
      </c>
      <c r="T82" s="14">
        <f>$D$15*T12</f>
        <v>750</v>
      </c>
      <c r="U82" s="14">
        <f>$D$15*U12</f>
        <v>775</v>
      </c>
      <c r="Y82"/>
      <c r="Z82"/>
      <c r="AC82" s="4" t="s">
        <v>138</v>
      </c>
      <c r="AD82" s="5" t="s">
        <v>16</v>
      </c>
      <c r="AE82" s="14">
        <f>L80</f>
        <v>0</v>
      </c>
      <c r="AF82" s="14">
        <f>J80</f>
        <v>2776.6616728015306</v>
      </c>
      <c r="AG82" s="11">
        <f t="shared" si="28"/>
        <v>2776.6616728015306</v>
      </c>
      <c r="AI82" s="48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</row>
    <row r="83" spans="7:52" x14ac:dyDescent="0.25">
      <c r="G83" s="122"/>
      <c r="H83" t="s">
        <v>46</v>
      </c>
      <c r="I83" s="4" t="s">
        <v>48</v>
      </c>
      <c r="J83" s="14">
        <f>J81-J82</f>
        <v>4958.9603658536589</v>
      </c>
      <c r="K83" s="14">
        <f t="shared" ref="K83:U83" si="31">K81-K82</f>
        <v>4479.0609756097556</v>
      </c>
      <c r="L83" s="14">
        <f t="shared" si="31"/>
        <v>4958.960365853658</v>
      </c>
      <c r="M83" s="14">
        <f t="shared" si="31"/>
        <v>4798.9939024390242</v>
      </c>
      <c r="N83" s="14">
        <f t="shared" si="31"/>
        <v>2818.0528231707322</v>
      </c>
      <c r="O83" s="14">
        <f t="shared" si="31"/>
        <v>319.9329268292683</v>
      </c>
      <c r="P83" s="14">
        <f t="shared" si="31"/>
        <v>1070.5050907012196</v>
      </c>
      <c r="Q83" s="14">
        <f t="shared" si="31"/>
        <v>1445.6677240853664</v>
      </c>
      <c r="R83" s="14">
        <f t="shared" si="31"/>
        <v>1776.7431814024389</v>
      </c>
      <c r="S83" s="14">
        <f t="shared" si="31"/>
        <v>3602.5088064024385</v>
      </c>
      <c r="T83" s="14">
        <f t="shared" si="31"/>
        <v>4798.9939024390242</v>
      </c>
      <c r="U83" s="14">
        <f t="shared" si="31"/>
        <v>4958.960365853658</v>
      </c>
      <c r="Y83"/>
      <c r="Z83"/>
      <c r="AD83" s="5"/>
      <c r="AG83" s="11"/>
      <c r="AI83" s="48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</row>
    <row r="84" spans="7:52" x14ac:dyDescent="0.25">
      <c r="H84" t="s">
        <v>105</v>
      </c>
      <c r="I84" s="4" t="s">
        <v>41</v>
      </c>
      <c r="J84" s="14">
        <f t="shared" ref="J84:U84" si="32">J63+J75</f>
        <v>7638.95652173913</v>
      </c>
      <c r="K84" s="14">
        <f t="shared" si="32"/>
        <v>5520.0468373351123</v>
      </c>
      <c r="L84" s="14">
        <f t="shared" si="32"/>
        <v>4883.0889807088834</v>
      </c>
      <c r="M84" s="14">
        <f t="shared" si="32"/>
        <v>4511.7853418275054</v>
      </c>
      <c r="N84" s="14">
        <f t="shared" si="32"/>
        <v>7068</v>
      </c>
      <c r="O84" s="14">
        <f t="shared" si="32"/>
        <v>8542.2814753760558</v>
      </c>
      <c r="P84" s="14">
        <f t="shared" si="32"/>
        <v>7068</v>
      </c>
      <c r="Q84" s="14">
        <f t="shared" si="32"/>
        <v>7068</v>
      </c>
      <c r="R84" s="14">
        <f t="shared" si="32"/>
        <v>6840</v>
      </c>
      <c r="S84" s="14">
        <f t="shared" si="32"/>
        <v>7068</v>
      </c>
      <c r="T84" s="14">
        <f t="shared" si="32"/>
        <v>6929.4807335668656</v>
      </c>
      <c r="U84" s="14">
        <f t="shared" si="32"/>
        <v>7068</v>
      </c>
      <c r="Y84"/>
      <c r="Z84"/>
      <c r="AC84" s="6" t="s">
        <v>225</v>
      </c>
      <c r="AD84" s="5"/>
      <c r="AE84" s="63" t="str">
        <f>AE50</f>
        <v>MAR</v>
      </c>
      <c r="AF84" s="63" t="str">
        <f>AF50</f>
        <v>JAN</v>
      </c>
      <c r="AG84" s="11"/>
      <c r="AI84" s="48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</row>
    <row r="85" spans="7:52" x14ac:dyDescent="0.25">
      <c r="H85" t="s">
        <v>106</v>
      </c>
      <c r="I85" s="4" t="s">
        <v>41</v>
      </c>
      <c r="J85" s="14">
        <f t="shared" ref="J85:U85" si="33">J56+J72</f>
        <v>20832</v>
      </c>
      <c r="K85" s="14">
        <f t="shared" si="33"/>
        <v>18816</v>
      </c>
      <c r="L85" s="14">
        <f t="shared" si="33"/>
        <v>20832</v>
      </c>
      <c r="M85" s="14">
        <f t="shared" si="33"/>
        <v>20160</v>
      </c>
      <c r="N85" s="14">
        <f t="shared" si="33"/>
        <v>12996.16</v>
      </c>
      <c r="O85" s="14">
        <f t="shared" si="33"/>
        <v>1344</v>
      </c>
      <c r="P85" s="14">
        <f t="shared" si="33"/>
        <v>6647.16</v>
      </c>
      <c r="Q85" s="14">
        <f t="shared" si="33"/>
        <v>8010.16</v>
      </c>
      <c r="R85" s="14">
        <f t="shared" si="33"/>
        <v>9122.16</v>
      </c>
      <c r="S85" s="14">
        <f t="shared" si="33"/>
        <v>15846.16</v>
      </c>
      <c r="T85" s="14">
        <f t="shared" si="33"/>
        <v>20160</v>
      </c>
      <c r="U85" s="14">
        <f t="shared" si="33"/>
        <v>20832</v>
      </c>
      <c r="Y85"/>
      <c r="Z85"/>
      <c r="AC85" s="4" t="s">
        <v>257</v>
      </c>
      <c r="AD85" s="5"/>
      <c r="AE85" s="1">
        <f>(AE76+AE79)/$J$54</f>
        <v>0.94688544987946188</v>
      </c>
      <c r="AF85" s="1">
        <f>(AF76+AF79)/$J$54</f>
        <v>1</v>
      </c>
      <c r="AG85" s="1">
        <f>AF85-AE85</f>
        <v>5.3114550120538118E-2</v>
      </c>
      <c r="AI85" s="48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</row>
    <row r="86" spans="7:52" x14ac:dyDescent="0.25">
      <c r="H86" t="s">
        <v>101</v>
      </c>
      <c r="I86" s="4" t="s">
        <v>41</v>
      </c>
      <c r="J86" s="14">
        <f>SUM(J84:J85)</f>
        <v>28470.956521739128</v>
      </c>
      <c r="K86" s="14">
        <f t="shared" ref="K86:U86" si="34">SUM(K84:K85)</f>
        <v>24336.04683733511</v>
      </c>
      <c r="L86" s="14">
        <f t="shared" si="34"/>
        <v>25715.088980708882</v>
      </c>
      <c r="M86" s="14">
        <f t="shared" si="34"/>
        <v>24671.785341827504</v>
      </c>
      <c r="N86" s="14">
        <f t="shared" si="34"/>
        <v>20064.16</v>
      </c>
      <c r="O86" s="14">
        <f t="shared" si="34"/>
        <v>9886.2814753760558</v>
      </c>
      <c r="P86" s="14">
        <f t="shared" si="34"/>
        <v>13715.16</v>
      </c>
      <c r="Q86" s="14">
        <f t="shared" si="34"/>
        <v>15078.16</v>
      </c>
      <c r="R86" s="14">
        <f t="shared" si="34"/>
        <v>15962.16</v>
      </c>
      <c r="S86" s="14">
        <f t="shared" si="34"/>
        <v>22914.16</v>
      </c>
      <c r="T86" s="14">
        <f t="shared" si="34"/>
        <v>27089.480733566867</v>
      </c>
      <c r="U86" s="14">
        <f t="shared" si="34"/>
        <v>27900</v>
      </c>
      <c r="Y86"/>
      <c r="Z86"/>
      <c r="AC86" s="4" t="s">
        <v>258</v>
      </c>
      <c r="AD86" s="5"/>
      <c r="AE86" s="1">
        <f>(AE78+AE80)/$J$47</f>
        <v>0.54040742242870199</v>
      </c>
      <c r="AF86" s="1">
        <f>(AF78+AF80)/$J$47</f>
        <v>0.99999999999999989</v>
      </c>
      <c r="AG86" s="1">
        <f t="shared" ref="AG86:AG89" si="35">AF86-AE86</f>
        <v>0.4595925775712979</v>
      </c>
      <c r="AI86" s="48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</row>
    <row r="87" spans="7:52" x14ac:dyDescent="0.25">
      <c r="H87" s="4" t="s">
        <v>107</v>
      </c>
      <c r="I87" s="4" t="s">
        <v>41</v>
      </c>
      <c r="J87" s="14">
        <f>(EtaRgkOvn2*J58+EtaRgkOvn3*J65)*J30/3.6</f>
        <v>5049.4716687852942</v>
      </c>
      <c r="K87" s="14">
        <f>(EtaRgkOvn2*K58+EtaRgkOvn3*K65)*K30/3.6</f>
        <v>4893.6631094471268</v>
      </c>
      <c r="L87" s="14">
        <f>(EtaRgkOvn2*L58+EtaRgkOvn3*L65)*L30/3.6</f>
        <v>5300.6091090984</v>
      </c>
      <c r="M87" s="14">
        <f>(EtaRgkOvn2*M58+EtaRgkOvn3*M65)*M30/3.6</f>
        <v>4754.7304728376712</v>
      </c>
      <c r="N87" s="14">
        <f>(EtaRgkOvn2*N58+EtaRgkOvn3*N65)*N30/3.6</f>
        <v>2777.2831468916193</v>
      </c>
      <c r="O87" s="14">
        <f>(EtaRgkOvn2*O58+EtaRgkOvn3*O65)*O30/3.6</f>
        <v>1038.9934114249772</v>
      </c>
      <c r="P87" s="14">
        <f>(EtaRgkOvn2*P58+EtaRgkOvn3*P65)*P30/3.6</f>
        <v>1395.388891435907</v>
      </c>
      <c r="Q87" s="14">
        <f>(EtaRgkOvn2*Q58+EtaRgkOvn3*Q65)*Q30/3.6</f>
        <v>1692.0532275811479</v>
      </c>
      <c r="R87" s="14">
        <f>(EtaRgkOvn2*R58+EtaRgkOvn3*R65)*R30/3.6</f>
        <v>1934.0860535485049</v>
      </c>
      <c r="S87" s="14">
        <f>(EtaRgkOvn2*S58+EtaRgkOvn3*S65)*S30/3.6</f>
        <v>3397.601091142491</v>
      </c>
      <c r="T87" s="14">
        <f>(EtaRgkOvn2*T58+EtaRgkOvn3*T65)*T30/3.6</f>
        <v>4427.1712906594066</v>
      </c>
      <c r="U87" s="14">
        <f>(EtaRgkOvn2*U58+EtaRgkOvn3*U65)*U30/3.6</f>
        <v>4534.1976893453148</v>
      </c>
      <c r="Y87"/>
      <c r="Z87"/>
      <c r="AC87" s="4" t="s">
        <v>259</v>
      </c>
      <c r="AD87" s="5"/>
      <c r="AE87" s="1">
        <f>AE71/(24*$E$11*KapQcool)</f>
        <v>0</v>
      </c>
      <c r="AF87" s="1">
        <f>AF71/(24*$E$11*KapQcool)</f>
        <v>0.39031868474364967</v>
      </c>
      <c r="AG87" s="1">
        <f t="shared" si="35"/>
        <v>0.39031868474364967</v>
      </c>
      <c r="AI87" s="48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</row>
    <row r="88" spans="7:52" x14ac:dyDescent="0.25">
      <c r="H88" s="4" t="s">
        <v>120</v>
      </c>
      <c r="J88" s="1">
        <f>J87/J89</f>
        <v>0.14762414670906271</v>
      </c>
      <c r="K88" s="1">
        <f t="shared" ref="K88:U88" si="36">K87/K89</f>
        <v>0.16580197302551755</v>
      </c>
      <c r="L88" s="1">
        <f t="shared" si="36"/>
        <v>0.1685459248922502</v>
      </c>
      <c r="M88" s="1">
        <f t="shared" si="36"/>
        <v>0.15733315261021061</v>
      </c>
      <c r="N88" s="1">
        <f t="shared" si="36"/>
        <v>0.11739688726862395</v>
      </c>
      <c r="O88" s="1">
        <f t="shared" si="36"/>
        <v>0.10130379208936678</v>
      </c>
      <c r="P88" s="1">
        <f t="shared" si="36"/>
        <v>8.967411632487142E-2</v>
      </c>
      <c r="Q88" s="1">
        <f t="shared" si="36"/>
        <v>9.7813172925312261E-2</v>
      </c>
      <c r="R88" s="1">
        <f t="shared" si="36"/>
        <v>0.10460793885783108</v>
      </c>
      <c r="S88" s="1">
        <f t="shared" si="36"/>
        <v>0.12449224396074443</v>
      </c>
      <c r="T88" s="1">
        <f t="shared" si="36"/>
        <v>0.13564271431286404</v>
      </c>
      <c r="U88" s="1">
        <f t="shared" si="36"/>
        <v>0.13481010383625791</v>
      </c>
      <c r="Y88"/>
      <c r="Z88"/>
      <c r="AC88" s="4" t="s">
        <v>260</v>
      </c>
      <c r="AD88" s="5"/>
      <c r="AE88" s="1">
        <f>AE77/NSvarme</f>
        <v>0</v>
      </c>
      <c r="AF88" s="1">
        <f>AF77/NSvarme</f>
        <v>1</v>
      </c>
      <c r="AG88" s="1">
        <f t="shared" si="35"/>
        <v>1</v>
      </c>
      <c r="AI88" s="48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</row>
    <row r="89" spans="7:52" x14ac:dyDescent="0.25">
      <c r="H89" t="s">
        <v>99</v>
      </c>
      <c r="I89" s="4" t="s">
        <v>100</v>
      </c>
      <c r="J89" s="14">
        <f>J86+J81</f>
        <v>34204.916887592786</v>
      </c>
      <c r="K89" s="14">
        <f t="shared" ref="K89:U89" si="37">K86+K81</f>
        <v>29515.107812944865</v>
      </c>
      <c r="L89" s="14">
        <f t="shared" si="37"/>
        <v>31449.04934656254</v>
      </c>
      <c r="M89" s="14">
        <f t="shared" si="37"/>
        <v>30220.77924426653</v>
      </c>
      <c r="N89" s="14">
        <f t="shared" si="37"/>
        <v>23657.212823170732</v>
      </c>
      <c r="O89" s="14">
        <f t="shared" si="37"/>
        <v>10256.214402205323</v>
      </c>
      <c r="P89" s="14">
        <f t="shared" si="37"/>
        <v>15560.665090701219</v>
      </c>
      <c r="Q89" s="14">
        <f t="shared" si="37"/>
        <v>17298.827724085368</v>
      </c>
      <c r="R89" s="14">
        <f t="shared" si="37"/>
        <v>18488.903181402438</v>
      </c>
      <c r="S89" s="14">
        <f t="shared" si="37"/>
        <v>27291.668806402438</v>
      </c>
      <c r="T89" s="14">
        <f t="shared" si="37"/>
        <v>32638.474636005893</v>
      </c>
      <c r="U89" s="14">
        <f t="shared" si="37"/>
        <v>33633.960365853658</v>
      </c>
      <c r="Y89"/>
      <c r="Z89"/>
      <c r="AC89" s="4" t="s">
        <v>235</v>
      </c>
      <c r="AD89" s="5" t="s">
        <v>23</v>
      </c>
      <c r="AE89" s="10">
        <f>(SUM(AE60:AE65)-SUM(AE56:AE58))/AE72</f>
        <v>-79.737783714416025</v>
      </c>
      <c r="AF89" s="10">
        <f>(SUM(AF60:AF65)-SUM(AF56:AF58))/AF72</f>
        <v>-31.940088882561476</v>
      </c>
      <c r="AG89" s="66">
        <f t="shared" si="35"/>
        <v>47.79769483185455</v>
      </c>
      <c r="AI89" s="48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</row>
    <row r="90" spans="7:52" x14ac:dyDescent="0.25">
      <c r="H90" t="s">
        <v>102</v>
      </c>
      <c r="I90" s="4" t="s">
        <v>41</v>
      </c>
      <c r="J90" s="14">
        <f>J86-J78</f>
        <v>24115</v>
      </c>
      <c r="K90" s="14">
        <f t="shared" ref="K90:U90" si="38">K86-K78</f>
        <v>23901.999999999996</v>
      </c>
      <c r="L90" s="14">
        <f t="shared" si="38"/>
        <v>25715.088980708882</v>
      </c>
      <c r="M90" s="14">
        <f t="shared" si="38"/>
        <v>22497</v>
      </c>
      <c r="N90" s="14">
        <f t="shared" si="38"/>
        <v>12760</v>
      </c>
      <c r="O90" s="14">
        <f t="shared" si="38"/>
        <v>6100</v>
      </c>
      <c r="P90" s="14">
        <f t="shared" si="38"/>
        <v>6411</v>
      </c>
      <c r="Q90" s="14">
        <f t="shared" si="38"/>
        <v>7774</v>
      </c>
      <c r="R90" s="14">
        <f t="shared" si="38"/>
        <v>8886</v>
      </c>
      <c r="S90" s="14">
        <f t="shared" si="38"/>
        <v>15610</v>
      </c>
      <c r="T90" s="14">
        <f t="shared" si="38"/>
        <v>20410</v>
      </c>
      <c r="U90" s="14">
        <f t="shared" si="38"/>
        <v>20832</v>
      </c>
      <c r="Y90"/>
      <c r="Z90"/>
      <c r="AC90" s="5"/>
      <c r="AF90" s="1"/>
      <c r="AG90" s="11"/>
      <c r="AI90" s="48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</row>
    <row r="91" spans="7:52" x14ac:dyDescent="0.25">
      <c r="H91" t="s">
        <v>126</v>
      </c>
      <c r="I91" s="4" t="s">
        <v>41</v>
      </c>
      <c r="J91" s="14">
        <f>J5-J90-J61</f>
        <v>0</v>
      </c>
      <c r="K91" s="14">
        <f>K5-K90-K61</f>
        <v>3.637978807091713E-12</v>
      </c>
      <c r="L91" s="14">
        <f>L5-L90-L61</f>
        <v>1639.9110192911176</v>
      </c>
      <c r="M91" s="14">
        <f>M5-M90-M61</f>
        <v>0</v>
      </c>
      <c r="N91" s="14">
        <f>N5-N90-N61</f>
        <v>0</v>
      </c>
      <c r="O91" s="14">
        <f>O5-O90-O61</f>
        <v>0</v>
      </c>
      <c r="P91" s="14">
        <f>P5-P90-P61</f>
        <v>0</v>
      </c>
      <c r="Q91" s="14">
        <f>Q5-Q90-Q61</f>
        <v>0</v>
      </c>
      <c r="R91" s="14">
        <f>R5-R90-R61</f>
        <v>0</v>
      </c>
      <c r="S91" s="14">
        <f>S5-S90-S61</f>
        <v>0</v>
      </c>
      <c r="T91" s="14">
        <f>T5-T90-T61</f>
        <v>0</v>
      </c>
      <c r="U91" s="14">
        <f>U5-U90-U61</f>
        <v>0</v>
      </c>
      <c r="Y91"/>
      <c r="Z91"/>
      <c r="AG91" s="11"/>
      <c r="AI91" s="48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</row>
    <row r="92" spans="7:52" x14ac:dyDescent="0.25">
      <c r="H92" s="2" t="s">
        <v>114</v>
      </c>
      <c r="J92" s="13" t="str">
        <f t="shared" ref="J92:U92" si="39">J55</f>
        <v>JAN</v>
      </c>
      <c r="K92" s="13" t="str">
        <f t="shared" si="39"/>
        <v>FEB</v>
      </c>
      <c r="L92" s="13" t="str">
        <f t="shared" si="39"/>
        <v>MAR</v>
      </c>
      <c r="M92" s="13" t="str">
        <f t="shared" si="39"/>
        <v>APR</v>
      </c>
      <c r="N92" s="13" t="str">
        <f t="shared" si="39"/>
        <v>MAJ</v>
      </c>
      <c r="O92" s="13" t="str">
        <f t="shared" si="39"/>
        <v>JUN</v>
      </c>
      <c r="P92" s="13" t="str">
        <f t="shared" si="39"/>
        <v>JUL</v>
      </c>
      <c r="Q92" s="13" t="str">
        <f t="shared" si="39"/>
        <v>AUG</v>
      </c>
      <c r="R92" s="13" t="str">
        <f t="shared" si="39"/>
        <v>SEP</v>
      </c>
      <c r="S92" s="13" t="str">
        <f t="shared" si="39"/>
        <v>OKT</v>
      </c>
      <c r="T92" s="13" t="str">
        <f t="shared" si="39"/>
        <v>NOV</v>
      </c>
      <c r="U92" s="13" t="str">
        <f t="shared" si="39"/>
        <v>DEC</v>
      </c>
      <c r="Y92"/>
      <c r="Z92"/>
      <c r="AG92" s="11"/>
      <c r="AI92" s="48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</row>
    <row r="93" spans="7:52" x14ac:dyDescent="0.25">
      <c r="H93" t="s">
        <v>298</v>
      </c>
      <c r="I93" s="4" t="s">
        <v>52</v>
      </c>
      <c r="J93" s="14">
        <f>J$79*J33*LHVFossilFast/3.6</f>
        <v>13628.339397312426</v>
      </c>
      <c r="K93" s="14">
        <f>K$79*K33*LHVFossilFast/3.6</f>
        <v>16733.946163134704</v>
      </c>
      <c r="L93" s="14">
        <f>L$79*L33*LHVFossilFast/3.6</f>
        <v>16999.999999999996</v>
      </c>
      <c r="M93" s="14">
        <f>M$79*M33*LHVFossilFast/3.6</f>
        <v>15895.527711872455</v>
      </c>
      <c r="N93" s="14">
        <f>N$79*N33*LHVFossilFast/3.6</f>
        <v>12113.561857121989</v>
      </c>
      <c r="O93" s="14">
        <f>O$79*O33*LHVFossilFast/3.6</f>
        <v>12724.323307710953</v>
      </c>
      <c r="P93" s="14">
        <f>P$79*P33*LHVFossilFast/3.6</f>
        <v>13241.306921317326</v>
      </c>
      <c r="Q93" s="14">
        <f>Q$79*Q33*LHVFossilFast/3.6</f>
        <v>10078.792506055359</v>
      </c>
      <c r="R93" s="14">
        <f>R$79*R33*LHVFossilFast/3.6</f>
        <v>10532.59585912116</v>
      </c>
      <c r="S93" s="14">
        <f>S$79*S33*LHVFossilFast/3.6</f>
        <v>13276.63699762338</v>
      </c>
      <c r="T93" s="14">
        <f>T$79*T33*LHVFossilFast/3.6</f>
        <v>12558.746523906519</v>
      </c>
      <c r="U93" s="14">
        <f>U$79*U33*LHVFossilFast/3.6</f>
        <v>12751.467132254338</v>
      </c>
      <c r="Y93"/>
      <c r="Z93"/>
      <c r="AG93" s="11"/>
      <c r="AI93" s="48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</row>
    <row r="94" spans="7:52" x14ac:dyDescent="0.25">
      <c r="H94" t="s">
        <v>299</v>
      </c>
      <c r="I94" s="4" t="s">
        <v>52</v>
      </c>
      <c r="J94" s="14">
        <f>J$79*J34*J9/3.6</f>
        <v>14029.172908998085</v>
      </c>
      <c r="K94" s="14">
        <f>K$79*K34*K9/3.6</f>
        <v>17226.121050285725</v>
      </c>
      <c r="L94" s="14">
        <f>L$79*L34*L9/3.6</f>
        <v>14583.333333333332</v>
      </c>
      <c r="M94" s="14">
        <f>M$79*M34*M9/3.6</f>
        <v>13635.869360674902</v>
      </c>
      <c r="N94" s="14">
        <f>N$79*N34*N9/3.6</f>
        <v>10391.535906844847</v>
      </c>
      <c r="O94" s="14">
        <f>O$79*O34*O9/3.6</f>
        <v>10915.473425732434</v>
      </c>
      <c r="P94" s="14">
        <f>P$79*P34*P9/3.6</f>
        <v>11358.964270737903</v>
      </c>
      <c r="Q94" s="14">
        <f>Q$79*Q34*Q9/3.6</f>
        <v>8646.0229831357246</v>
      </c>
      <c r="R94" s="14">
        <f>R$79*R34*R9/3.6</f>
        <v>9035.3150752264864</v>
      </c>
      <c r="S94" s="14">
        <f>S$79*S34*S9/3.6</f>
        <v>11389.271934235743</v>
      </c>
      <c r="T94" s="14">
        <f>T$79*T34*T9/3.6</f>
        <v>10773.434518057065</v>
      </c>
      <c r="U94" s="14">
        <f>U$79*U34*U9/3.6</f>
        <v>10938.758569335831</v>
      </c>
      <c r="Y94"/>
      <c r="Z94"/>
      <c r="AC94" s="2"/>
      <c r="AG94" s="11"/>
      <c r="AI94" s="48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</row>
    <row r="95" spans="7:52" x14ac:dyDescent="0.25">
      <c r="H95" t="s">
        <v>117</v>
      </c>
      <c r="I95" s="4" t="s">
        <v>52</v>
      </c>
      <c r="J95" s="14">
        <f>J$79*J35*'Model-2'!LHVbiogent/3.6</f>
        <v>6235.1879595547043</v>
      </c>
      <c r="K95" s="14">
        <f>K$79*K35*'Model-2'!LHVbiogent/3.6</f>
        <v>7656.0538001269879</v>
      </c>
      <c r="L95" s="14">
        <f>L$79*L35*'Model-2'!LHVbiogent/3.6</f>
        <v>19444.444444444445</v>
      </c>
      <c r="M95" s="14">
        <f>M$79*M35*'Model-2'!LHVbiogent/3.6</f>
        <v>18181.159147566537</v>
      </c>
      <c r="N95" s="14">
        <f>N$79*N35*'Model-2'!LHVbiogent/3.6</f>
        <v>13855.381209126463</v>
      </c>
      <c r="O95" s="14">
        <f>O$79*O35*'Model-2'!LHVbiogent/3.6</f>
        <v>14553.964567643248</v>
      </c>
      <c r="P95" s="14">
        <f>P$79*P35*'Model-2'!LHVbiogent/3.6</f>
        <v>15145.285694317205</v>
      </c>
      <c r="Q95" s="14">
        <f>Q$79*Q35*'Model-2'!LHVbiogent/3.6</f>
        <v>11528.030644180966</v>
      </c>
      <c r="R95" s="14">
        <f>R$79*R35*'Model-2'!LHVbiogent/3.6</f>
        <v>12047.086766968649</v>
      </c>
      <c r="S95" s="14">
        <f>S$79*S35*'Model-2'!LHVbiogent/3.6</f>
        <v>15185.695912314322</v>
      </c>
      <c r="T95" s="14">
        <f>T$79*T35*'Model-2'!LHVbiogent/3.6</f>
        <v>14364.57935740942</v>
      </c>
      <c r="U95" s="14">
        <f>U$79*U35*'Model-2'!LHVbiogent/3.6</f>
        <v>14585.011425781107</v>
      </c>
      <c r="Y95"/>
      <c r="Z95"/>
      <c r="AG95" s="11"/>
      <c r="AI95" s="48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</row>
    <row r="96" spans="7:52" x14ac:dyDescent="0.25">
      <c r="H96" t="s">
        <v>115</v>
      </c>
      <c r="I96" s="4" t="s">
        <v>100</v>
      </c>
      <c r="J96" s="14">
        <f t="shared" ref="J96:U96" si="40">IF(RGKudnyttelse&gt;0,J89/0.95 - J95,J89/0.85 - J95)</f>
        <v>29769.987711595601</v>
      </c>
      <c r="K96" s="14">
        <f t="shared" si="40"/>
        <v>23412.480739814975</v>
      </c>
      <c r="L96" s="14">
        <f t="shared" si="40"/>
        <v>13659.818025621389</v>
      </c>
      <c r="M96" s="14">
        <f t="shared" si="40"/>
        <v>13630.187425345601</v>
      </c>
      <c r="N96" s="14">
        <f t="shared" si="40"/>
        <v>11046.948078421676</v>
      </c>
      <c r="O96" s="14">
        <f t="shared" si="40"/>
        <v>-3757.949407427117</v>
      </c>
      <c r="P96" s="14">
        <f t="shared" si="40"/>
        <v>1234.3617695788162</v>
      </c>
      <c r="Q96" s="14">
        <f t="shared" si="40"/>
        <v>6681.2616969615265</v>
      </c>
      <c r="R96" s="14">
        <f t="shared" si="40"/>
        <v>7414.916581876023</v>
      </c>
      <c r="S96" s="14">
        <f t="shared" si="40"/>
        <v>13542.376515477719</v>
      </c>
      <c r="T96" s="14">
        <f t="shared" si="40"/>
        <v>19991.709733123098</v>
      </c>
      <c r="U96" s="14">
        <f t="shared" si="40"/>
        <v>20819.157380380639</v>
      </c>
      <c r="Y96"/>
      <c r="Z96"/>
      <c r="AG96" s="11"/>
      <c r="AI96" s="48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</row>
    <row r="97" spans="8:52" x14ac:dyDescent="0.25">
      <c r="H97" t="s">
        <v>121</v>
      </c>
      <c r="I97" s="4" t="s">
        <v>41</v>
      </c>
      <c r="J97" s="14">
        <f t="shared" ref="J97:U97" si="41">J86*J96/(J96+J95)</f>
        <v>23540.505218772836</v>
      </c>
      <c r="K97" s="14">
        <f t="shared" si="41"/>
        <v>18339.044190508761</v>
      </c>
      <c r="L97" s="14">
        <f t="shared" si="41"/>
        <v>10610.821984231525</v>
      </c>
      <c r="M97" s="14">
        <f t="shared" si="41"/>
        <v>10571.104167383841</v>
      </c>
      <c r="N97" s="14">
        <f t="shared" si="41"/>
        <v>8900.6827914678288</v>
      </c>
      <c r="O97" s="14">
        <f t="shared" si="41"/>
        <v>-3441.2832013199363</v>
      </c>
      <c r="P97" s="14">
        <f t="shared" si="41"/>
        <v>1033.567371029962</v>
      </c>
      <c r="Q97" s="14">
        <f t="shared" si="41"/>
        <v>5532.4024119839396</v>
      </c>
      <c r="R97" s="14">
        <f t="shared" si="41"/>
        <v>6081.4954527065329</v>
      </c>
      <c r="S97" s="14">
        <f t="shared" si="41"/>
        <v>10801.705649965485</v>
      </c>
      <c r="T97" s="14">
        <f t="shared" si="41"/>
        <v>15763.199401990631</v>
      </c>
      <c r="U97" s="14">
        <f t="shared" si="41"/>
        <v>16406.386888866258</v>
      </c>
      <c r="Y97"/>
      <c r="Z97"/>
      <c r="AG97" s="11"/>
      <c r="AI97" s="48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</row>
    <row r="98" spans="8:52" x14ac:dyDescent="0.25">
      <c r="H98" t="s">
        <v>118</v>
      </c>
      <c r="I98" s="4" t="s">
        <v>48</v>
      </c>
      <c r="J98" s="14">
        <f t="shared" ref="J98:U98" si="42">J81*J96/(J96+J95)</f>
        <v>4740.9831072429834</v>
      </c>
      <c r="K98" s="14">
        <f t="shared" si="42"/>
        <v>3902.8125123154668</v>
      </c>
      <c r="L98" s="14">
        <f t="shared" si="42"/>
        <v>2366.005140108794</v>
      </c>
      <c r="M98" s="14">
        <f t="shared" si="42"/>
        <v>2377.5738866944789</v>
      </c>
      <c r="N98" s="14">
        <f t="shared" si="42"/>
        <v>1593.9178830327628</v>
      </c>
      <c r="O98" s="14">
        <f t="shared" si="42"/>
        <v>-128.76873573582466</v>
      </c>
      <c r="P98" s="14">
        <f t="shared" si="42"/>
        <v>139.07631006991326</v>
      </c>
      <c r="Q98" s="14">
        <f t="shared" si="42"/>
        <v>814.79620012950966</v>
      </c>
      <c r="R98" s="14">
        <f t="shared" si="42"/>
        <v>962.67530007568973</v>
      </c>
      <c r="S98" s="14">
        <f t="shared" si="42"/>
        <v>2063.5520397383489</v>
      </c>
      <c r="T98" s="14">
        <f t="shared" si="42"/>
        <v>3228.924844476313</v>
      </c>
      <c r="U98" s="14">
        <f t="shared" si="42"/>
        <v>3371.8126224953489</v>
      </c>
      <c r="Y98"/>
      <c r="Z98"/>
      <c r="AG98" s="11"/>
      <c r="AI98" s="48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</row>
    <row r="99" spans="8:52" x14ac:dyDescent="0.25">
      <c r="H99" t="s">
        <v>119</v>
      </c>
      <c r="I99" s="4" t="s">
        <v>41</v>
      </c>
      <c r="J99" s="14">
        <f t="shared" ref="J99:U99" si="43">IF(RGKudnyttelse&gt;0,(J97-0.1*(J97+J98))/1.2,J97/1.2)</f>
        <v>17260.296988476046</v>
      </c>
      <c r="K99" s="14">
        <f t="shared" si="43"/>
        <v>13429.048766855283</v>
      </c>
      <c r="L99" s="14">
        <f t="shared" si="43"/>
        <v>7760.9493931645775</v>
      </c>
      <c r="M99" s="14">
        <f t="shared" si="43"/>
        <v>7730.1969683133411</v>
      </c>
      <c r="N99" s="14">
        <f t="shared" si="43"/>
        <v>6542.6856033481417</v>
      </c>
      <c r="O99" s="14">
        <f t="shared" si="43"/>
        <v>-2570.2316730119669</v>
      </c>
      <c r="P99" s="14">
        <f t="shared" si="43"/>
        <v>763.58583576664546</v>
      </c>
      <c r="Q99" s="14">
        <f t="shared" si="43"/>
        <v>4081.4021256438286</v>
      </c>
      <c r="R99" s="14">
        <f t="shared" si="43"/>
        <v>4480.8986478569259</v>
      </c>
      <c r="S99" s="14">
        <f t="shared" si="43"/>
        <v>7929.3165674959182</v>
      </c>
      <c r="T99" s="14">
        <f t="shared" si="43"/>
        <v>11553.322481119947</v>
      </c>
      <c r="U99" s="14">
        <f t="shared" si="43"/>
        <v>12023.80578144175</v>
      </c>
      <c r="Y99"/>
      <c r="Z99"/>
      <c r="AG99" s="11"/>
      <c r="AI99" s="48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</row>
    <row r="100" spans="8:52" x14ac:dyDescent="0.25">
      <c r="H100" t="s">
        <v>122</v>
      </c>
      <c r="I100" s="4" t="s">
        <v>41</v>
      </c>
      <c r="J100" s="14">
        <f>J99</f>
        <v>17260.296988476046</v>
      </c>
      <c r="K100" s="14">
        <f t="shared" ref="K100:U100" si="44">K99</f>
        <v>13429.048766855283</v>
      </c>
      <c r="L100" s="14">
        <f t="shared" si="44"/>
        <v>7760.9493931645775</v>
      </c>
      <c r="M100" s="14">
        <f t="shared" si="44"/>
        <v>7730.1969683133411</v>
      </c>
      <c r="N100" s="14">
        <f t="shared" si="44"/>
        <v>6542.6856033481417</v>
      </c>
      <c r="O100" s="14">
        <f t="shared" si="44"/>
        <v>-2570.2316730119669</v>
      </c>
      <c r="P100" s="14">
        <f t="shared" si="44"/>
        <v>763.58583576664546</v>
      </c>
      <c r="Q100" s="14">
        <f t="shared" si="44"/>
        <v>4081.4021256438286</v>
      </c>
      <c r="R100" s="14">
        <f t="shared" si="44"/>
        <v>4480.8986478569259</v>
      </c>
      <c r="S100" s="14">
        <f t="shared" si="44"/>
        <v>7929.3165674959182</v>
      </c>
      <c r="T100" s="14">
        <f t="shared" si="44"/>
        <v>11553.322481119947</v>
      </c>
      <c r="U100" s="14">
        <f t="shared" si="44"/>
        <v>12023.80578144175</v>
      </c>
      <c r="AG100" s="11"/>
      <c r="AI100" s="48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</row>
    <row r="101" spans="8:52" x14ac:dyDescent="0.25">
      <c r="J101" s="14"/>
      <c r="L101" s="14"/>
      <c r="N101" s="54"/>
      <c r="O101" s="54"/>
      <c r="P101" s="54"/>
      <c r="Q101" s="54"/>
      <c r="R101" s="54"/>
      <c r="S101" s="54"/>
      <c r="T101" s="54"/>
      <c r="U101" s="54"/>
      <c r="AG101" s="11"/>
      <c r="AI101" s="48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</row>
    <row r="102" spans="8:52" x14ac:dyDescent="0.25">
      <c r="H102" s="2" t="s">
        <v>95</v>
      </c>
      <c r="I102" s="7"/>
      <c r="J102" s="13" t="str">
        <f t="shared" ref="J102:U102" si="45">J55</f>
        <v>JAN</v>
      </c>
      <c r="K102" s="13" t="str">
        <f t="shared" si="45"/>
        <v>FEB</v>
      </c>
      <c r="L102" s="13" t="str">
        <f t="shared" si="45"/>
        <v>MAR</v>
      </c>
      <c r="M102" s="13" t="str">
        <f t="shared" si="45"/>
        <v>APR</v>
      </c>
      <c r="N102" s="13" t="str">
        <f t="shared" si="45"/>
        <v>MAJ</v>
      </c>
      <c r="O102" s="13" t="str">
        <f t="shared" si="45"/>
        <v>JUN</v>
      </c>
      <c r="P102" s="13" t="str">
        <f t="shared" si="45"/>
        <v>JUL</v>
      </c>
      <c r="Q102" s="13" t="str">
        <f t="shared" si="45"/>
        <v>AUG</v>
      </c>
      <c r="R102" s="13" t="str">
        <f t="shared" si="45"/>
        <v>SEP</v>
      </c>
      <c r="S102" s="13" t="str">
        <f t="shared" si="45"/>
        <v>OKT</v>
      </c>
      <c r="T102" s="13" t="str">
        <f t="shared" si="45"/>
        <v>NOV</v>
      </c>
      <c r="U102" s="13" t="str">
        <f t="shared" si="45"/>
        <v>DEC</v>
      </c>
      <c r="AI102" s="48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</row>
    <row r="103" spans="8:52" x14ac:dyDescent="0.25">
      <c r="H103" s="12" t="s">
        <v>22</v>
      </c>
      <c r="I103" s="12" t="s">
        <v>130</v>
      </c>
      <c r="J103" s="15">
        <f t="shared" ref="J103:U103" si="46">Varmesalgspris*J90</f>
        <v>7499765</v>
      </c>
      <c r="K103" s="15">
        <f t="shared" si="46"/>
        <v>7433521.9999999991</v>
      </c>
      <c r="L103" s="15">
        <f t="shared" si="46"/>
        <v>7997392.6730004624</v>
      </c>
      <c r="M103" s="15">
        <f t="shared" si="46"/>
        <v>6996567</v>
      </c>
      <c r="N103" s="15">
        <f t="shared" si="46"/>
        <v>3968360</v>
      </c>
      <c r="O103" s="15">
        <f t="shared" si="46"/>
        <v>1897100</v>
      </c>
      <c r="P103" s="15">
        <f t="shared" si="46"/>
        <v>1993821</v>
      </c>
      <c r="Q103" s="15">
        <f t="shared" si="46"/>
        <v>2417714</v>
      </c>
      <c r="R103" s="15">
        <f t="shared" si="46"/>
        <v>2763546</v>
      </c>
      <c r="S103" s="15">
        <f t="shared" si="46"/>
        <v>4854710</v>
      </c>
      <c r="T103" s="15">
        <f t="shared" si="46"/>
        <v>6347510</v>
      </c>
      <c r="U103" s="15">
        <f t="shared" si="46"/>
        <v>6478752</v>
      </c>
      <c r="AC103" s="2"/>
      <c r="AD103" s="69"/>
      <c r="AE103" s="13"/>
      <c r="AF103" s="13"/>
      <c r="AG103" s="2"/>
      <c r="AI103" s="48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</row>
    <row r="104" spans="8:52" x14ac:dyDescent="0.25">
      <c r="H104" s="12" t="s">
        <v>97</v>
      </c>
      <c r="I104" s="12" t="s">
        <v>130</v>
      </c>
      <c r="J104" s="15">
        <f>(J15-ElProdTarif)*J83</f>
        <v>3947332.4512195126</v>
      </c>
      <c r="K104" s="15">
        <f>(K15-ElProdTarif)*K83</f>
        <v>3565332.5365853654</v>
      </c>
      <c r="L104" s="15">
        <f>(L15-ElProdTarif)*L83</f>
        <v>3947332.4512195117</v>
      </c>
      <c r="M104" s="15">
        <f>(M15-ElProdTarif)*M83</f>
        <v>3819999.1463414631</v>
      </c>
      <c r="N104" s="15">
        <f>(N15-ElProdTarif)*N83</f>
        <v>2243170.0472439029</v>
      </c>
      <c r="O104" s="15">
        <f>(O15-ElProdTarif)*O83</f>
        <v>254666.60975609758</v>
      </c>
      <c r="P104" s="15">
        <f>(P15-ElProdTarif)*P83</f>
        <v>852122.0521981708</v>
      </c>
      <c r="Q104" s="15">
        <f>(Q15-ElProdTarif)*Q83</f>
        <v>1150751.5083719518</v>
      </c>
      <c r="R104" s="15">
        <f>(R15-ElProdTarif)*R83</f>
        <v>1414287.5723963415</v>
      </c>
      <c r="S104" s="15">
        <f>(S15-ElProdTarif)*S83</f>
        <v>2867597.0098963412</v>
      </c>
      <c r="T104" s="15">
        <f>(T15-ElProdTarif)*T83</f>
        <v>3819999.1463414631</v>
      </c>
      <c r="U104" s="15">
        <f>(U15-ElProdTarif)*U83</f>
        <v>3947332.4512195117</v>
      </c>
      <c r="AC104" s="12"/>
      <c r="AD104" s="70"/>
      <c r="AE104" s="15"/>
      <c r="AF104" s="15"/>
      <c r="AG104" s="16"/>
      <c r="AI104" s="48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</row>
    <row r="105" spans="8:52" x14ac:dyDescent="0.25">
      <c r="H105" s="12" t="s">
        <v>98</v>
      </c>
      <c r="I105" s="12" t="s">
        <v>130</v>
      </c>
      <c r="J105" s="15">
        <f t="shared" ref="J105:U105" si="47">IF(J87&lt;7%*J89,0,10%)*J111</f>
        <v>197595.87992407382</v>
      </c>
      <c r="K105" s="15">
        <f t="shared" si="47"/>
        <v>153735.75028295928</v>
      </c>
      <c r="L105" s="15">
        <f t="shared" si="47"/>
        <v>88847.348652948102</v>
      </c>
      <c r="M105" s="15">
        <f t="shared" si="47"/>
        <v>88495.294893251135</v>
      </c>
      <c r="N105" s="15">
        <f t="shared" si="47"/>
        <v>74900.664787129543</v>
      </c>
      <c r="O105" s="15">
        <f t="shared" si="47"/>
        <v>-29424.012192641003</v>
      </c>
      <c r="P105" s="15">
        <f t="shared" si="47"/>
        <v>8741.5306478565581</v>
      </c>
      <c r="Q105" s="15">
        <f t="shared" si="47"/>
        <v>46723.891534370552</v>
      </c>
      <c r="R105" s="15">
        <f t="shared" si="47"/>
        <v>51297.327720666093</v>
      </c>
      <c r="S105" s="15">
        <f t="shared" si="47"/>
        <v>90774.816064693281</v>
      </c>
      <c r="T105" s="15">
        <f t="shared" si="47"/>
        <v>132262.43576386117</v>
      </c>
      <c r="U105" s="15">
        <f t="shared" si="47"/>
        <v>137648.52858594517</v>
      </c>
      <c r="AC105" s="12"/>
      <c r="AD105" s="70"/>
      <c r="AE105" s="15"/>
      <c r="AF105" s="15"/>
      <c r="AG105" s="16"/>
      <c r="AI105" s="48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</row>
    <row r="106" spans="8:52" x14ac:dyDescent="0.25">
      <c r="H106" s="12" t="s">
        <v>96</v>
      </c>
      <c r="I106" s="12" t="s">
        <v>130</v>
      </c>
      <c r="J106" s="15">
        <f>$C$25*($J$31-J80*(1-J35))</f>
        <v>4648001.7121823318</v>
      </c>
      <c r="K106" s="15">
        <f>$C$25*($J$31-K80*(1-K35))</f>
        <v>5524878.9166497989</v>
      </c>
      <c r="L106" s="15">
        <f>$C$25*($J$31-L80*(1-L35))</f>
        <v>5600000</v>
      </c>
      <c r="M106" s="15">
        <f>$C$25*($J$31-M80*(1-M35))</f>
        <v>5314136.5842493419</v>
      </c>
      <c r="N106" s="15">
        <f>$C$25*($J$31-N80*(1-N35))</f>
        <v>4335274.8336080452</v>
      </c>
      <c r="O106" s="15">
        <f>$C$25*($J$31-O80*(1-O35))</f>
        <v>4493354.2678781291</v>
      </c>
      <c r="P106" s="15">
        <f>$C$25*($J$31-P80*(1-P35))</f>
        <v>4627161.7913997788</v>
      </c>
      <c r="Q106" s="15">
        <f>$C$25*($J$31-Q80*(1-Q35))</f>
        <v>3808628.6486260928</v>
      </c>
      <c r="R106" s="15">
        <f>$C$25*($J$31-R80*(1-R35))</f>
        <v>3926083.6341254776</v>
      </c>
      <c r="S106" s="15">
        <f>$C$25*($J$31-S80*(1-S35))</f>
        <v>4636306.046443698</v>
      </c>
      <c r="T106" s="15">
        <f>$C$25*($J$31-T80*(1-T35))</f>
        <v>4450499.1003052173</v>
      </c>
      <c r="U106" s="15">
        <f>$C$25*($J$31-U80*(1-U35))</f>
        <v>4500379.7283481825</v>
      </c>
      <c r="AC106" s="12"/>
      <c r="AD106" s="70"/>
      <c r="AE106" s="15"/>
      <c r="AF106" s="15"/>
      <c r="AG106" s="16"/>
      <c r="AI106" s="48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</row>
    <row r="107" spans="8:52" x14ac:dyDescent="0.25">
      <c r="I107" s="12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AC107" s="12"/>
      <c r="AD107" s="70"/>
      <c r="AE107" s="15"/>
      <c r="AF107" s="15"/>
      <c r="AG107" s="16"/>
      <c r="AI107" s="48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</row>
    <row r="108" spans="8:52" x14ac:dyDescent="0.25">
      <c r="H108" s="12" t="s">
        <v>103</v>
      </c>
      <c r="I108" s="12" t="s">
        <v>130</v>
      </c>
      <c r="J108" s="16">
        <f>$E$25*($J$8-J80*J35)</f>
        <v>9281.9833062222588</v>
      </c>
      <c r="K108" s="16">
        <f>$E$25*($J$8-K80*K35)</f>
        <v>732.43056266445581</v>
      </c>
      <c r="L108" s="16">
        <f>$E$25*($J$8-L80*L35)</f>
        <v>0</v>
      </c>
      <c r="M108" s="16">
        <f>$E$25*($J$8-M80*M35)</f>
        <v>7601.3681006424949</v>
      </c>
      <c r="N108" s="16">
        <f>$E$25*($J$8-N80*N35)</f>
        <v>33630.191924513339</v>
      </c>
      <c r="O108" s="16">
        <f>$E$25*($J$8-O80*O35)</f>
        <v>29426.716058695209</v>
      </c>
      <c r="P108" s="16">
        <f>$E$25*($J$8-P80*P35)</f>
        <v>25868.652365051337</v>
      </c>
      <c r="Q108" s="16">
        <f>$E$25*($J$8-Q80*Q35)</f>
        <v>47634.192752442534</v>
      </c>
      <c r="R108" s="16">
        <f>$E$25*($J$8-R80*R35)</f>
        <v>44510.957910754361</v>
      </c>
      <c r="S108" s="16">
        <f>$E$25*($J$8-S80*S35)</f>
        <v>25625.498310474391</v>
      </c>
      <c r="T108" s="16">
        <f>$E$25*($J$8-T80*T35)</f>
        <v>30566.273923702185</v>
      </c>
      <c r="U108" s="16">
        <f>$E$25*($J$8-U80*U35)</f>
        <v>29239.902678014256</v>
      </c>
      <c r="AD108" s="70"/>
      <c r="AE108" s="16"/>
      <c r="AF108" s="16"/>
      <c r="AG108" s="16"/>
      <c r="AI108" s="48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</row>
    <row r="109" spans="8:52" x14ac:dyDescent="0.25">
      <c r="H109" s="12" t="s">
        <v>104</v>
      </c>
      <c r="I109" s="12" t="s">
        <v>130</v>
      </c>
      <c r="J109" s="15">
        <f>$C$20*J84+$D$20*J85+$E$20*J78+$F$20*J87</f>
        <v>1364822.9775574182</v>
      </c>
      <c r="K109" s="15">
        <f>$C$20*K84+$D$20*K85+$E$20*K78+$F$20*K87</f>
        <v>1159678.5045878757</v>
      </c>
      <c r="L109" s="15">
        <f>$C$20*L84+$D$20*L85+$E$20*L78+$F$20*L87</f>
        <v>1241098.7605122505</v>
      </c>
      <c r="M109" s="15">
        <f>$C$20*M84+$D$20*M85+$E$20*M78+$F$20*M87</f>
        <v>1212648.718401477</v>
      </c>
      <c r="N109" s="15">
        <f>$C$20*N84+$D$20*N85+$E$20*N78+$F$20*N87</f>
        <v>962662.43146891613</v>
      </c>
      <c r="O109" s="15">
        <f>$C$20*O84+$D$20*O85+$E$20*O78+$F$20*O87</f>
        <v>371721.19312929199</v>
      </c>
      <c r="P109" s="15">
        <f>$C$20*P84+$D$20*P85+$E$20*P78+$F$20*P87</f>
        <v>631393.48891435901</v>
      </c>
      <c r="Q109" s="15">
        <f>$C$20*Q84+$D$20*Q85+$E$20*Q78+$F$20*Q87</f>
        <v>702510.1322758114</v>
      </c>
      <c r="R109" s="15">
        <f>$C$20*R84+$D$20*R85+$E$20*R78+$F$20*R87</f>
        <v>751410.46053548506</v>
      </c>
      <c r="S109" s="15">
        <f>$C$20*S84+$D$20*S85+$E$20*S78+$F$20*S87</f>
        <v>1111365.610911425</v>
      </c>
      <c r="T109" s="15">
        <f>$C$20*T84+$D$20*T85+$E$20*T78+$F$20*T87</f>
        <v>1326950.9422492688</v>
      </c>
      <c r="U109" s="15">
        <f>$C$20*U84+$D$20*U85+$E$20*U78+$F$20*U87</f>
        <v>1369661.9768934532</v>
      </c>
      <c r="AC109" s="12"/>
      <c r="AD109" s="70"/>
      <c r="AE109" s="16"/>
      <c r="AF109" s="16"/>
      <c r="AG109" s="16"/>
      <c r="AI109" s="48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</row>
    <row r="110" spans="8:52" x14ac:dyDescent="0.25">
      <c r="H110" s="12" t="s">
        <v>31</v>
      </c>
      <c r="I110" s="12" t="s">
        <v>130</v>
      </c>
      <c r="J110" s="15">
        <f t="shared" ref="J110:U110" si="48">AFV*3.6*J90</f>
        <v>2239801.2000000002</v>
      </c>
      <c r="K110" s="15">
        <f t="shared" si="48"/>
        <v>2220017.7599999998</v>
      </c>
      <c r="L110" s="15">
        <f t="shared" si="48"/>
        <v>2388417.4645282412</v>
      </c>
      <c r="M110" s="15">
        <f t="shared" si="48"/>
        <v>2089521.36</v>
      </c>
      <c r="N110" s="15">
        <f t="shared" si="48"/>
        <v>1185148.8</v>
      </c>
      <c r="O110" s="15">
        <f t="shared" si="48"/>
        <v>566568.00000000012</v>
      </c>
      <c r="P110" s="15">
        <f t="shared" si="48"/>
        <v>595453.68000000005</v>
      </c>
      <c r="Q110" s="15">
        <f t="shared" si="48"/>
        <v>722049.12000000011</v>
      </c>
      <c r="R110" s="15">
        <f t="shared" si="48"/>
        <v>825331.68</v>
      </c>
      <c r="S110" s="15">
        <f t="shared" si="48"/>
        <v>1449856.8</v>
      </c>
      <c r="T110" s="15">
        <f t="shared" si="48"/>
        <v>1895680.8000000003</v>
      </c>
      <c r="U110" s="15">
        <f t="shared" si="48"/>
        <v>1934876.1600000001</v>
      </c>
      <c r="AC110" s="12"/>
      <c r="AD110" s="70"/>
      <c r="AE110" s="15"/>
      <c r="AF110" s="15"/>
      <c r="AG110" s="16"/>
      <c r="AI110" s="48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</row>
    <row r="111" spans="8:52" x14ac:dyDescent="0.25">
      <c r="H111" s="12" t="s">
        <v>32</v>
      </c>
      <c r="I111" s="12" t="s">
        <v>130</v>
      </c>
      <c r="J111" s="16">
        <f t="shared" ref="J111:U111" si="49">ATL*3.6*J99</f>
        <v>1975958.7992407379</v>
      </c>
      <c r="K111" s="16">
        <f t="shared" si="49"/>
        <v>1537357.5028295929</v>
      </c>
      <c r="L111" s="16">
        <f t="shared" si="49"/>
        <v>888473.4865294809</v>
      </c>
      <c r="M111" s="16">
        <f t="shared" si="49"/>
        <v>884952.94893251127</v>
      </c>
      <c r="N111" s="16">
        <f t="shared" si="49"/>
        <v>749006.64787129534</v>
      </c>
      <c r="O111" s="16">
        <f t="shared" si="49"/>
        <v>-294240.12192641001</v>
      </c>
      <c r="P111" s="16">
        <f t="shared" si="49"/>
        <v>87415.306478565573</v>
      </c>
      <c r="Q111" s="16">
        <f t="shared" si="49"/>
        <v>467238.91534370551</v>
      </c>
      <c r="R111" s="16">
        <f t="shared" si="49"/>
        <v>512973.27720666089</v>
      </c>
      <c r="S111" s="16">
        <f t="shared" si="49"/>
        <v>907748.16064693278</v>
      </c>
      <c r="T111" s="16">
        <f t="shared" si="49"/>
        <v>1322624.3576386117</v>
      </c>
      <c r="U111" s="16">
        <f t="shared" si="49"/>
        <v>1376485.2858594516</v>
      </c>
      <c r="AC111" s="12"/>
      <c r="AD111" s="70"/>
      <c r="AE111" s="15"/>
      <c r="AF111" s="15"/>
      <c r="AG111" s="16"/>
      <c r="AI111" s="48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</row>
    <row r="112" spans="8:52" x14ac:dyDescent="0.25">
      <c r="H112" s="12" t="s">
        <v>33</v>
      </c>
      <c r="I112" s="12" t="s">
        <v>130</v>
      </c>
      <c r="J112" s="16">
        <f>CO2afgift*$C$27 /1000 *3.6*J99</f>
        <v>410384.27325740416</v>
      </c>
      <c r="K112" s="16">
        <f>CO2afgift*$C$27 /1000 *3.6*K99</f>
        <v>319291.74929050455</v>
      </c>
      <c r="L112" s="16">
        <f>CO2afgift*$C$27 /1000 *3.6*L99</f>
        <v>184525.88496175961</v>
      </c>
      <c r="M112" s="16">
        <f>CO2afgift*$C$27 /1000 *3.6*M99</f>
        <v>183794.70915801165</v>
      </c>
      <c r="N112" s="16">
        <f>CO2afgift*$C$27 /1000 *3.6*N99</f>
        <v>155560.20144232607</v>
      </c>
      <c r="O112" s="16">
        <f>CO2afgift*$C$27 /1000 *3.6*O99</f>
        <v>-61110.342303867124</v>
      </c>
      <c r="P112" s="16">
        <f>CO2afgift*$C$27 /1000 *3.6*P99</f>
        <v>18155.169548354916</v>
      </c>
      <c r="Q112" s="16">
        <f>CO2afgift*$C$27 /1000 *3.6*Q99</f>
        <v>97040.233219732792</v>
      </c>
      <c r="R112" s="16">
        <f>CO2afgift*$C$27 /1000 *3.6*R99</f>
        <v>106538.74243117584</v>
      </c>
      <c r="S112" s="16">
        <f>CO2afgift*$C$27 /1000 *3.6*S99</f>
        <v>188529.01657209644</v>
      </c>
      <c r="T112" s="16">
        <f>CO2afgift*$C$27 /1000 *3.6*T99</f>
        <v>274694.10597560409</v>
      </c>
      <c r="U112" s="16">
        <f>CO2afgift*$C$27 /1000 *3.6*U99</f>
        <v>285880.41102071531</v>
      </c>
      <c r="AC112" s="12"/>
      <c r="AD112" s="70"/>
      <c r="AE112" s="16"/>
      <c r="AF112" s="16"/>
      <c r="AG112" s="16"/>
      <c r="AI112" s="48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</row>
    <row r="113" spans="8:52" x14ac:dyDescent="0.25">
      <c r="H113" s="12" t="s">
        <v>108</v>
      </c>
      <c r="I113" s="12" t="s">
        <v>130</v>
      </c>
      <c r="J113" s="16">
        <f>J16*$C$28/1000*10.6*J79</f>
        <v>2022445.5665611641</v>
      </c>
      <c r="K113" s="16">
        <f>K16*$C$28/1000*10.6*K79</f>
        <v>2483317.6106091901</v>
      </c>
      <c r="L113" s="16">
        <f>L16*$C$28/1000*10.6*L79</f>
        <v>2883200</v>
      </c>
      <c r="M113" s="16">
        <f>M16*$C$28/1000*10.6*M79</f>
        <v>2695881.4999335688</v>
      </c>
      <c r="N113" s="16">
        <f>N16*$C$28/1000*10.6*N79</f>
        <v>2054460.0909678899</v>
      </c>
      <c r="O113" s="16">
        <f>O16*$C$28/1000*10.6*O79</f>
        <v>2158045.2329877778</v>
      </c>
      <c r="P113" s="16">
        <f>P16*$C$28/1000*10.6*P79</f>
        <v>2245725.6538554183</v>
      </c>
      <c r="Q113" s="16">
        <f>Q16*$C$28/1000*10.6*Q79</f>
        <v>1709363.2090269888</v>
      </c>
      <c r="R113" s="16">
        <f>R16*$C$28/1000*10.6*R79</f>
        <v>1786328.257706949</v>
      </c>
      <c r="S113" s="16">
        <f>S16*$C$28/1000*10.6*S79</f>
        <v>2251717.6347969254</v>
      </c>
      <c r="T113" s="16">
        <f>T16*$C$28/1000*10.6*T79</f>
        <v>2129963.4104545456</v>
      </c>
      <c r="U113" s="16">
        <f>U16*$C$28/1000*10.6*U79</f>
        <v>2162648.8256303361</v>
      </c>
      <c r="AC113" s="12"/>
      <c r="AD113" s="70"/>
      <c r="AE113" s="16"/>
      <c r="AF113" s="16"/>
      <c r="AG113" s="16"/>
      <c r="AI113" s="48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</row>
    <row r="114" spans="8:52" x14ac:dyDescent="0.25">
      <c r="I114" s="12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AC114" s="12"/>
      <c r="AD114" s="70"/>
      <c r="AE114" s="16"/>
      <c r="AF114" s="16"/>
      <c r="AG114" s="16"/>
      <c r="AI114" s="48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</row>
    <row r="115" spans="8:52" x14ac:dyDescent="0.25">
      <c r="H115" s="12" t="s">
        <v>111</v>
      </c>
      <c r="I115" s="12" t="s">
        <v>130</v>
      </c>
      <c r="J115" s="16">
        <f>SUM(J103:J106)</f>
        <v>16292695.043325918</v>
      </c>
      <c r="K115" s="16">
        <f t="shared" ref="K115:U115" si="50">SUM(K103:K106)</f>
        <v>16677469.203518122</v>
      </c>
      <c r="L115" s="16">
        <f t="shared" si="50"/>
        <v>17633572.47287292</v>
      </c>
      <c r="M115" s="16">
        <f t="shared" si="50"/>
        <v>16219198.025484057</v>
      </c>
      <c r="N115" s="16">
        <f t="shared" si="50"/>
        <v>10621705.545639077</v>
      </c>
      <c r="O115" s="16">
        <f t="shared" si="50"/>
        <v>6615696.8654415859</v>
      </c>
      <c r="P115" s="16">
        <f t="shared" si="50"/>
        <v>7481846.3742458057</v>
      </c>
      <c r="Q115" s="16">
        <f t="shared" si="50"/>
        <v>7423818.0485324152</v>
      </c>
      <c r="R115" s="16">
        <f t="shared" si="50"/>
        <v>8155214.5342424856</v>
      </c>
      <c r="S115" s="16">
        <f t="shared" si="50"/>
        <v>12449387.872404732</v>
      </c>
      <c r="T115" s="16">
        <f t="shared" si="50"/>
        <v>14750270.682410542</v>
      </c>
      <c r="U115" s="16">
        <f t="shared" si="50"/>
        <v>15064112.708153639</v>
      </c>
      <c r="AD115" s="70"/>
      <c r="AE115" s="16"/>
      <c r="AF115" s="16"/>
      <c r="AG115" s="16"/>
      <c r="AI115" s="48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</row>
    <row r="116" spans="8:52" x14ac:dyDescent="0.25">
      <c r="H116" s="12" t="s">
        <v>112</v>
      </c>
      <c r="I116" s="12" t="s">
        <v>130</v>
      </c>
      <c r="J116" s="16">
        <f>SUM(J108:J113)</f>
        <v>8022694.7999229478</v>
      </c>
      <c r="K116" s="16">
        <f t="shared" ref="K116:U116" si="51">SUM(K108:K113)</f>
        <v>7720395.5578798279</v>
      </c>
      <c r="L116" s="16">
        <f t="shared" si="51"/>
        <v>7585715.596531732</v>
      </c>
      <c r="M116" s="16">
        <f t="shared" si="51"/>
        <v>7074400.6045262115</v>
      </c>
      <c r="N116" s="16">
        <f t="shared" si="51"/>
        <v>5140468.3636749405</v>
      </c>
      <c r="O116" s="16">
        <f t="shared" si="51"/>
        <v>2770410.6779454881</v>
      </c>
      <c r="P116" s="16">
        <f t="shared" si="51"/>
        <v>3604011.9511617487</v>
      </c>
      <c r="Q116" s="16">
        <f t="shared" si="51"/>
        <v>3745835.8026186815</v>
      </c>
      <c r="R116" s="16">
        <f t="shared" si="51"/>
        <v>4027093.3757910253</v>
      </c>
      <c r="S116" s="16">
        <f t="shared" si="51"/>
        <v>5934842.7212378541</v>
      </c>
      <c r="T116" s="16">
        <f t="shared" si="51"/>
        <v>6980479.8902417328</v>
      </c>
      <c r="U116" s="16">
        <f t="shared" si="51"/>
        <v>7158792.5620819712</v>
      </c>
      <c r="AC116" s="12"/>
      <c r="AD116" s="70"/>
      <c r="AE116" s="16"/>
      <c r="AF116" s="16"/>
      <c r="AG116" s="16"/>
      <c r="AI116" s="48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</row>
    <row r="117" spans="8:52" x14ac:dyDescent="0.25">
      <c r="H117" s="12" t="s">
        <v>113</v>
      </c>
      <c r="I117" s="12" t="s">
        <v>130</v>
      </c>
      <c r="J117" s="16">
        <f>J115-J116</f>
        <v>8270000.24340297</v>
      </c>
      <c r="K117" s="16">
        <f t="shared" ref="K117:U117" si="52">K115-K116</f>
        <v>8957073.6456382945</v>
      </c>
      <c r="L117" s="16">
        <f t="shared" si="52"/>
        <v>10047856.876341188</v>
      </c>
      <c r="M117" s="16">
        <f t="shared" si="52"/>
        <v>9144797.4209578447</v>
      </c>
      <c r="N117" s="16">
        <f t="shared" si="52"/>
        <v>5481237.1819641367</v>
      </c>
      <c r="O117" s="16">
        <f t="shared" si="52"/>
        <v>3845286.1874960978</v>
      </c>
      <c r="P117" s="16">
        <f t="shared" si="52"/>
        <v>3877834.4230840569</v>
      </c>
      <c r="Q117" s="16">
        <f t="shared" si="52"/>
        <v>3677982.2459137337</v>
      </c>
      <c r="R117" s="16">
        <f t="shared" si="52"/>
        <v>4128121.1584514603</v>
      </c>
      <c r="S117" s="16">
        <f t="shared" si="52"/>
        <v>6514545.1511668777</v>
      </c>
      <c r="T117" s="16">
        <f t="shared" si="52"/>
        <v>7769790.7921688091</v>
      </c>
      <c r="U117" s="16">
        <f t="shared" si="52"/>
        <v>7905320.1460716678</v>
      </c>
      <c r="AC117" s="12"/>
      <c r="AD117" s="70"/>
      <c r="AE117" s="16"/>
      <c r="AF117" s="16"/>
      <c r="AG117" s="16"/>
      <c r="AI117" s="48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</row>
    <row r="118" spans="8:52" x14ac:dyDescent="0.25">
      <c r="AC118" s="12"/>
      <c r="AD118" s="70"/>
      <c r="AE118" s="16"/>
      <c r="AF118" s="16"/>
      <c r="AG118" s="16"/>
      <c r="AI118" s="48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</row>
    <row r="119" spans="8:52" x14ac:dyDescent="0.25">
      <c r="H119" s="136" t="s">
        <v>294</v>
      </c>
      <c r="I119" s="135"/>
      <c r="J119" s="73" t="str">
        <f>J3</f>
        <v>JAN</v>
      </c>
      <c r="K119" s="73" t="str">
        <f>K3</f>
        <v>FEB</v>
      </c>
      <c r="L119" s="73" t="str">
        <f>L3</f>
        <v>MAR</v>
      </c>
      <c r="M119" s="73" t="str">
        <f>M3</f>
        <v>APR</v>
      </c>
      <c r="N119" s="73" t="str">
        <f>N3</f>
        <v>MAJ</v>
      </c>
      <c r="O119" s="73" t="str">
        <f>O3</f>
        <v>JUN</v>
      </c>
      <c r="P119" s="73" t="str">
        <f>P3</f>
        <v>JUL</v>
      </c>
      <c r="Q119" s="73" t="str">
        <f>Q3</f>
        <v>AUG</v>
      </c>
      <c r="R119" s="73" t="str">
        <f>R3</f>
        <v>SEP</v>
      </c>
      <c r="S119" s="73" t="str">
        <f>S3</f>
        <v>OKT</v>
      </c>
      <c r="T119" s="73" t="str">
        <f>T3</f>
        <v>NOV</v>
      </c>
      <c r="U119" s="73" t="str">
        <f>U3</f>
        <v>DEC</v>
      </c>
      <c r="AI119" s="48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</row>
    <row r="120" spans="8:52" x14ac:dyDescent="0.25">
      <c r="H120" s="137" t="s">
        <v>300</v>
      </c>
      <c r="I120" s="4" t="s">
        <v>301</v>
      </c>
      <c r="J120" s="16">
        <f>SUM(J117:U117)</f>
        <v>79619845.472657144</v>
      </c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AI120" s="48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</row>
    <row r="121" spans="8:52" x14ac:dyDescent="0.25">
      <c r="H121" s="137" t="s">
        <v>307</v>
      </c>
      <c r="I121" s="4" t="s">
        <v>41</v>
      </c>
      <c r="J121" s="11">
        <f>J90+J61+J91-J5</f>
        <v>0</v>
      </c>
      <c r="K121" s="11">
        <f>K90+K61+K91-K5</f>
        <v>0</v>
      </c>
      <c r="L121" s="11">
        <f>L90+L61+L91-L5</f>
        <v>0</v>
      </c>
      <c r="M121" s="11">
        <f>M90+M61+M91-M5</f>
        <v>0</v>
      </c>
      <c r="N121" s="11">
        <f>N90+N61+N91-N5</f>
        <v>0</v>
      </c>
      <c r="O121" s="11">
        <f>O90+O61+O91-O5</f>
        <v>0</v>
      </c>
      <c r="P121" s="11">
        <f>P90+P61+P91-P5</f>
        <v>0</v>
      </c>
      <c r="Q121" s="11">
        <f>Q90+Q61+Q91-Q5</f>
        <v>0</v>
      </c>
      <c r="R121" s="11">
        <f>R90+R61+R91-R5</f>
        <v>0</v>
      </c>
      <c r="S121" s="11">
        <f>S90+S61+S91-S5</f>
        <v>0</v>
      </c>
      <c r="T121" s="11">
        <f>T90+T61+T91-T5</f>
        <v>0</v>
      </c>
      <c r="U121" s="11">
        <f>U90+U61+U91-U5</f>
        <v>0</v>
      </c>
      <c r="AI121" s="48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</row>
    <row r="122" spans="8:52" x14ac:dyDescent="0.25">
      <c r="H122" s="137" t="s">
        <v>308</v>
      </c>
      <c r="I122" s="4" t="s">
        <v>288</v>
      </c>
      <c r="J122">
        <f>FbioMaxÅr-SUMPRODUCT(J79:U79,J35:U35)</f>
        <v>-31858.197953283045</v>
      </c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AI122" s="48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</row>
    <row r="123" spans="8:52" x14ac:dyDescent="0.25">
      <c r="H123" s="137" t="s">
        <v>309</v>
      </c>
      <c r="I123" s="4" t="s">
        <v>41</v>
      </c>
      <c r="J123" s="11">
        <f>J43-J64</f>
        <v>4355.95652173913</v>
      </c>
      <c r="K123" s="11">
        <f>K43-K64</f>
        <v>2182.521739130435</v>
      </c>
      <c r="L123" s="11">
        <f>L43-L64</f>
        <v>3034.1438855013575</v>
      </c>
      <c r="M123" s="11">
        <f>M43-M64</f>
        <v>4909.434782608696</v>
      </c>
      <c r="N123" s="11">
        <f>N43-N64</f>
        <v>7068</v>
      </c>
      <c r="O123" s="11">
        <f>O43-O64</f>
        <v>2911.1304347826085</v>
      </c>
      <c r="P123" s="11">
        <f>P43-P64</f>
        <v>7068</v>
      </c>
      <c r="Q123" s="11">
        <f>Q43-Q64</f>
        <v>7068</v>
      </c>
      <c r="R123" s="11">
        <f>R43-R64</f>
        <v>6840</v>
      </c>
      <c r="S123" s="11">
        <f>S43-S64</f>
        <v>7068</v>
      </c>
      <c r="T123" s="11">
        <f>T43-T64</f>
        <v>6633.478260869565</v>
      </c>
      <c r="U123" s="11">
        <f>U43-U64</f>
        <v>7068</v>
      </c>
    </row>
    <row r="124" spans="8:52" x14ac:dyDescent="0.25">
      <c r="H124" s="137" t="s">
        <v>310</v>
      </c>
      <c r="I124" s="4" t="s">
        <v>41</v>
      </c>
      <c r="J124" s="11">
        <f>J50-J57</f>
        <v>0</v>
      </c>
      <c r="K124" s="11">
        <f>K50-K57</f>
        <v>0</v>
      </c>
      <c r="L124" s="11">
        <f>L50-L57</f>
        <v>0</v>
      </c>
      <c r="M124" s="11">
        <f>M50-M57</f>
        <v>0</v>
      </c>
      <c r="N124" s="11">
        <f>N50-N57</f>
        <v>6486.4285714285725</v>
      </c>
      <c r="O124" s="11">
        <f>O50-O57</f>
        <v>0</v>
      </c>
      <c r="P124" s="11">
        <f>P50-P57</f>
        <v>11588.303571428572</v>
      </c>
      <c r="Q124" s="11">
        <f>Q50-Q57</f>
        <v>10493.035714285714</v>
      </c>
      <c r="R124" s="11">
        <f>R50-R57</f>
        <v>9059.4642857142862</v>
      </c>
      <c r="S124" s="11">
        <f>S50-S57</f>
        <v>4196.2500000000018</v>
      </c>
      <c r="T124" s="11">
        <f>T50-T57</f>
        <v>0</v>
      </c>
      <c r="U124" s="11">
        <f>U50-U57</f>
        <v>0</v>
      </c>
    </row>
    <row r="125" spans="8:52" x14ac:dyDescent="0.25">
      <c r="H125" s="137" t="s">
        <v>317</v>
      </c>
      <c r="I125" s="4" t="s">
        <v>288</v>
      </c>
      <c r="J125" s="11">
        <f>SUM($J$7:$U$7)-FfriMinÅr</f>
        <v>2500</v>
      </c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</row>
    <row r="126" spans="8:52" x14ac:dyDescent="0.25">
      <c r="H126" s="137" t="s">
        <v>316</v>
      </c>
      <c r="I126" s="12" t="s">
        <v>288</v>
      </c>
      <c r="J126" s="121">
        <f>FfriMaxÅr-SUM($J$7:$U$7)</f>
        <v>2500</v>
      </c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</row>
    <row r="127" spans="8:52" x14ac:dyDescent="0.25">
      <c r="H127" s="137" t="s">
        <v>315</v>
      </c>
      <c r="I127" s="12" t="s">
        <v>41</v>
      </c>
      <c r="J127" s="121">
        <f>J14-J61</f>
        <v>0</v>
      </c>
      <c r="K127" s="121">
        <f>K14-K61</f>
        <v>0</v>
      </c>
      <c r="L127" s="121">
        <f>L14-L61</f>
        <v>0</v>
      </c>
      <c r="M127" s="121">
        <f>M14-M61</f>
        <v>0</v>
      </c>
      <c r="N127" s="121">
        <f>N14-N61</f>
        <v>0</v>
      </c>
      <c r="O127" s="121">
        <f>O14-O61</f>
        <v>0</v>
      </c>
      <c r="P127" s="121">
        <f>P14-P61</f>
        <v>0</v>
      </c>
      <c r="Q127" s="121">
        <f>Q14-Q61</f>
        <v>0</v>
      </c>
      <c r="R127" s="121">
        <f>R14-R61</f>
        <v>0</v>
      </c>
      <c r="S127" s="121">
        <f>S14-S61</f>
        <v>0</v>
      </c>
      <c r="T127" s="121">
        <f>T14-T61</f>
        <v>0</v>
      </c>
      <c r="U127" s="121">
        <f>U14-U61</f>
        <v>957</v>
      </c>
    </row>
    <row r="128" spans="8:52" x14ac:dyDescent="0.25">
      <c r="H128" s="137" t="s">
        <v>322</v>
      </c>
      <c r="I128" s="12" t="s">
        <v>41</v>
      </c>
      <c r="J128" s="121">
        <f>24*$E$11*KapQcool-J78</f>
        <v>6804.04347826087</v>
      </c>
      <c r="K128" s="121">
        <f>24*$E$11*KapQcool-K78</f>
        <v>10725.953162664888</v>
      </c>
      <c r="L128" s="121">
        <f>24*$E$11*KapQcool-L78</f>
        <v>11160</v>
      </c>
      <c r="M128" s="121">
        <f>24*$E$11*KapQcool-M78</f>
        <v>8985.2146581724955</v>
      </c>
      <c r="N128" s="121">
        <f>24*$E$11*KapQcool-N78</f>
        <v>3855.84</v>
      </c>
      <c r="O128" s="121">
        <f>24*$E$11*KapQcool-O78</f>
        <v>7373.7185246239442</v>
      </c>
      <c r="P128" s="121">
        <f>24*$E$11*KapQcool-P78</f>
        <v>3855.84</v>
      </c>
      <c r="Q128" s="121">
        <f>24*$E$11*KapQcool-Q78</f>
        <v>3855.84</v>
      </c>
      <c r="R128" s="121">
        <f>24*$E$11*KapQcool-R78</f>
        <v>4083.84</v>
      </c>
      <c r="S128" s="121">
        <f>24*$E$11*KapQcool-S78</f>
        <v>3855.84</v>
      </c>
      <c r="T128" s="121">
        <f>24*$E$11*KapQcool-T78</f>
        <v>4480.5192664331344</v>
      </c>
      <c r="U128" s="121">
        <f>24*$E$11*KapQcool-U78</f>
        <v>4092</v>
      </c>
    </row>
    <row r="129" spans="9:21" x14ac:dyDescent="0.25">
      <c r="I129" s="12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</row>
    <row r="130" spans="9:21" x14ac:dyDescent="0.25">
      <c r="I130" s="12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</row>
    <row r="131" spans="9:21" x14ac:dyDescent="0.25">
      <c r="I131" s="12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</row>
    <row r="132" spans="9:21" x14ac:dyDescent="0.25">
      <c r="I132" s="12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</row>
    <row r="133" spans="9:21" x14ac:dyDescent="0.25">
      <c r="I133" s="12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</row>
    <row r="134" spans="9:21" x14ac:dyDescent="0.25">
      <c r="I134" s="12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</row>
    <row r="135" spans="9:21" x14ac:dyDescent="0.25">
      <c r="I135" s="12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</row>
  </sheetData>
  <scenarios current="9" show="9" sqref="Q5:Q36">
    <scenario name="RGK 10 %" locked="1" count="1" user="Mogens Bech Laursen" comment="Created by Mogens Bech Laursen on 16-03-2022">
      <inputCells r="J13" val="0,1" numFmtId="9"/>
    </scenario>
    <scenario name="RGK 20 %" locked="1" count="1" user="Mogens Bech Laursen" comment="Created by Mogens Bech Laursen on 16-03-2022">
      <inputCells r="J13" val="0,2" numFmtId="9"/>
    </scenario>
    <scenario name="RGK 30 %" locked="1" count="1" user="Mogens Bech Laursen" comment="Created by Mogens Bech Laursen on 16-03-2022">
      <inputCells r="J13" val="0,3" numFmtId="9"/>
    </scenario>
    <scenario name="RGK 40 %" locked="1" count="1" user="Mogens Bech Laursen" comment="Created by Mogens Bech Laursen on 16-03-2022">
      <inputCells r="J13" val="0,4" numFmtId="9"/>
    </scenario>
    <scenario name="RGK 50 %" locked="1" count="1" user="Mogens Bech Laursen" comment="Created by Mogens Bech Laursen on 16-03-2022">
      <inputCells r="J13" val="0,5" numFmtId="9"/>
    </scenario>
    <scenario name="RGK 60 %" locked="1" count="1" user="Mogens Bech Laursen" comment="Created by Mogens Bech Laursen on 16-03-2022">
      <inputCells r="J13" val="0,6" numFmtId="9"/>
    </scenario>
    <scenario name="RGK 70 %" locked="1" count="1" user="Mogens Bech Laursen" comment="Created by Mogens Bech Laursen on 16-03-2022">
      <inputCells r="J13" val="0,7" numFmtId="9"/>
    </scenario>
    <scenario name="RGK 80 %" locked="1" count="1" user="Mogens Bech Laursen" comment="Created by Mogens Bech Laursen on 16-03-2022">
      <inputCells r="J13" val="0,8" numFmtId="9"/>
    </scenario>
    <scenario name="RGK 90 %" locked="1" count="1" user="Mogens Bech Laursen" comment="Created by Mogens Bech Laursen on 16-03-2022">
      <inputCells r="J13" val="0,9" numFmtId="9"/>
    </scenario>
    <scenario name="RGK 100 %" locked="1" count="1" user="Mogens Bech Laursen" comment="Created by Mogens Bech Laursen on 16-03-2022">
      <inputCells r="J13" val="1" numFmtId="9"/>
    </scenario>
  </scenarios>
  <customSheetViews>
    <customSheetView guid="{D61959C2-356A-4414-A70C-587540F5DA06}" scale="85">
      <selection activeCell="J67" sqref="J67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J67" sqref="J67"/>
      <pageMargins left="0.7" right="0.7" top="0.75" bottom="0.75" header="0.3" footer="0.3"/>
      <pageSetup paperSize="9" orientation="portrait" r:id="rId2"/>
    </customSheetView>
  </customSheetViews>
  <mergeCells count="3">
    <mergeCell ref="H1:M1"/>
    <mergeCell ref="W1:AM1"/>
    <mergeCell ref="AC48:AG48"/>
  </mergeCells>
  <phoneticPr fontId="14" type="noConversion"/>
  <conditionalFormatting sqref="L101 K102:U117 K65:U100 J65:J117 J56:U64">
    <cfRule type="cellIs" dxfId="3" priority="3" operator="lessThan">
      <formula>0</formula>
    </cfRule>
  </conditionalFormatting>
  <conditionalFormatting sqref="J11:U12">
    <cfRule type="expression" dxfId="2" priority="2">
      <formula>OR(J11&lt;0,J11&gt;J$29)</formula>
    </cfRule>
  </conditionalFormatting>
  <conditionalFormatting sqref="J13:U13">
    <cfRule type="expression" dxfId="1" priority="1">
      <formula>OR(J13&lt;0,J13&gt;1)</formula>
    </cfRule>
  </conditionalFormatting>
  <pageMargins left="0.7" right="0.7" top="0.75" bottom="0.75" header="0.3" footer="0.3"/>
  <pageSetup paperSize="9" orientation="portrait" r:id="rId3"/>
  <ignoredErrors>
    <ignoredError sqref="J34:J35 K34:U35" formulaRange="1"/>
  </ignoredErrors>
  <drawing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'Model-1'!N49</f>
        <v>Indtægter total</v>
      </c>
      <c r="B8" s="27"/>
      <c r="C8" s="27" t="s">
        <v>144</v>
      </c>
      <c r="D8" s="21">
        <v>6959978.0260043005</v>
      </c>
      <c r="E8" s="21">
        <v>7549301.93019199</v>
      </c>
      <c r="F8" s="21">
        <v>7471613.2799224304</v>
      </c>
      <c r="G8" s="21">
        <v>7397463.2431226997</v>
      </c>
      <c r="H8" s="21">
        <v>7326615.4346824698</v>
      </c>
      <c r="I8" s="21">
        <v>7258854.0654218197</v>
      </c>
      <c r="J8" s="21">
        <v>7193981.7467885604</v>
      </c>
      <c r="K8" s="21">
        <v>7131817.5704891402</v>
      </c>
      <c r="L8" s="21">
        <v>7072195.4237038204</v>
      </c>
      <c r="M8" s="21">
        <v>7014962.5068443203</v>
      </c>
      <c r="N8" s="21">
        <v>6959978.0260043005</v>
      </c>
    </row>
    <row r="9" spans="1:14" outlineLevel="1" x14ac:dyDescent="0.25">
      <c r="A9" s="4" t="str">
        <f>'Model-1'!N50</f>
        <v>Omkostninger total</v>
      </c>
      <c r="B9" s="27"/>
      <c r="C9" s="27" t="s">
        <v>145</v>
      </c>
      <c r="D9" s="21">
        <v>4024359.2875764999</v>
      </c>
      <c r="E9" s="21">
        <v>4123321.3703158302</v>
      </c>
      <c r="F9" s="21">
        <v>4110275.5213671499</v>
      </c>
      <c r="G9" s="21">
        <v>4097823.8932815501</v>
      </c>
      <c r="H9" s="21">
        <v>4085926.79114307</v>
      </c>
      <c r="I9" s="21">
        <v>4074547.97860272</v>
      </c>
      <c r="J9" s="21">
        <v>4063654.3092326801</v>
      </c>
      <c r="K9" s="21">
        <v>4053215.4040488801</v>
      </c>
      <c r="L9" s="21">
        <v>4043203.3685937799</v>
      </c>
      <c r="M9" s="21">
        <v>4033592.5440312298</v>
      </c>
      <c r="N9" s="21">
        <v>4024359.2875764999</v>
      </c>
    </row>
    <row r="10" spans="1:14" outlineLevel="1" x14ac:dyDescent="0.25">
      <c r="A10" s="4" t="str">
        <f>'Model-1'!N51</f>
        <v>Dækningsbidrag</v>
      </c>
      <c r="B10" s="27"/>
      <c r="C10" s="27" t="s">
        <v>146</v>
      </c>
      <c r="D10" s="21">
        <v>2935618.7384278099</v>
      </c>
      <c r="E10" s="21">
        <v>3425980.5598761602</v>
      </c>
      <c r="F10" s="21">
        <v>3361337.75855528</v>
      </c>
      <c r="G10" s="21">
        <v>3299639.34984115</v>
      </c>
      <c r="H10" s="21">
        <v>3240688.6435393998</v>
      </c>
      <c r="I10" s="21">
        <v>3184306.0868191002</v>
      </c>
      <c r="J10" s="21">
        <v>3130327.4375558798</v>
      </c>
      <c r="K10" s="21">
        <v>3078602.1664402601</v>
      </c>
      <c r="L10" s="21">
        <v>3028992.0551100401</v>
      </c>
      <c r="M10" s="21">
        <v>2981369.9628130901</v>
      </c>
      <c r="N10" s="21">
        <v>2935618.7384278099</v>
      </c>
    </row>
    <row r="11" spans="1:14" outlineLevel="1" x14ac:dyDescent="0.25">
      <c r="A11" s="4">
        <f>'Model-1'!N52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'Model-1'!N53</f>
        <v>Varmesalg</v>
      </c>
      <c r="B12" s="27"/>
      <c r="C12" s="27" t="s">
        <v>148</v>
      </c>
      <c r="D12" s="21">
        <v>2177000</v>
      </c>
      <c r="E12" s="21">
        <v>2177000</v>
      </c>
      <c r="F12" s="21">
        <v>2177000</v>
      </c>
      <c r="G12" s="21">
        <v>2177000</v>
      </c>
      <c r="H12" s="21">
        <v>2177000</v>
      </c>
      <c r="I12" s="21">
        <v>2177000</v>
      </c>
      <c r="J12" s="21">
        <v>2177000</v>
      </c>
      <c r="K12" s="21">
        <v>2177000</v>
      </c>
      <c r="L12" s="21">
        <v>2177000</v>
      </c>
      <c r="M12" s="21">
        <v>2177000</v>
      </c>
      <c r="N12" s="21">
        <v>2177000</v>
      </c>
    </row>
    <row r="13" spans="1:14" outlineLevel="1" x14ac:dyDescent="0.25">
      <c r="A13" s="4" t="str">
        <f>'Model-1'!N54</f>
        <v>Elsalg</v>
      </c>
      <c r="B13" s="27"/>
      <c r="C13" s="27" t="s">
        <v>149</v>
      </c>
      <c r="D13" s="21">
        <v>3572432.8323170701</v>
      </c>
      <c r="E13" s="21">
        <v>3901791.4996825601</v>
      </c>
      <c r="F13" s="21">
        <v>3858373.21961554</v>
      </c>
      <c r="G13" s="21">
        <v>3816932.5837751902</v>
      </c>
      <c r="H13" s="21">
        <v>3777337.4823244801</v>
      </c>
      <c r="I13" s="21">
        <v>3739467.3159864801</v>
      </c>
      <c r="J13" s="21">
        <v>3703211.7691435101</v>
      </c>
      <c r="K13" s="21">
        <v>3668469.7365899901</v>
      </c>
      <c r="L13" s="21">
        <v>3635148.38194759</v>
      </c>
      <c r="M13" s="21">
        <v>3603162.3092762898</v>
      </c>
      <c r="N13" s="21">
        <v>3572432.8323170701</v>
      </c>
    </row>
    <row r="14" spans="1:14" outlineLevel="1" x14ac:dyDescent="0.25">
      <c r="A14" s="4" t="str">
        <f>'Model-1'!N55</f>
        <v>RGK-rabat</v>
      </c>
      <c r="B14" s="27"/>
      <c r="C14" s="27" t="s">
        <v>150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</row>
    <row r="15" spans="1:14" outlineLevel="1" x14ac:dyDescent="0.25">
      <c r="A15" s="4" t="str">
        <f>'Model-1'!N56</f>
        <v>Modtagebetaling affald</v>
      </c>
      <c r="B15" s="27"/>
      <c r="C15" s="27" t="s">
        <v>151</v>
      </c>
      <c r="D15" s="21">
        <v>1210545.1936872301</v>
      </c>
      <c r="E15" s="21">
        <v>1470510.4305094299</v>
      </c>
      <c r="F15" s="21">
        <v>1436240.0603068799</v>
      </c>
      <c r="G15" s="21">
        <v>1403530.65934751</v>
      </c>
      <c r="H15" s="21">
        <v>1372277.95235799</v>
      </c>
      <c r="I15" s="21">
        <v>1342386.7494353401</v>
      </c>
      <c r="J15" s="21">
        <v>1313769.97764506</v>
      </c>
      <c r="K15" s="21">
        <v>1286347.8338991499</v>
      </c>
      <c r="L15" s="21">
        <v>1260047.0417562299</v>
      </c>
      <c r="M15" s="21">
        <v>1234800.1975680301</v>
      </c>
      <c r="N15" s="21">
        <v>1210545.1936872301</v>
      </c>
    </row>
    <row r="16" spans="1:14" outlineLevel="1" x14ac:dyDescent="0.25">
      <c r="A16" s="4">
        <f>'Model-1'!N57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'Model-1'!N58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'Model-1'!N59</f>
        <v>DV-omkostninger</v>
      </c>
      <c r="B18" s="27"/>
      <c r="C18" s="27" t="s">
        <v>154</v>
      </c>
      <c r="D18" s="21">
        <v>1006435.87933248</v>
      </c>
      <c r="E18" s="21">
        <v>993050.77926815301</v>
      </c>
      <c r="F18" s="21">
        <v>994815.29340092698</v>
      </c>
      <c r="G18" s="21">
        <v>996499.43628955702</v>
      </c>
      <c r="H18" s="21">
        <v>998108.57686330995</v>
      </c>
      <c r="I18" s="21">
        <v>999647.61626355199</v>
      </c>
      <c r="J18" s="21">
        <v>1001121.03770487</v>
      </c>
      <c r="K18" s="21">
        <v>1002532.95009171</v>
      </c>
      <c r="L18" s="21">
        <v>1003887.12628429</v>
      </c>
      <c r="M18" s="21">
        <v>1005187.03676424</v>
      </c>
      <c r="N18" s="21">
        <v>1006435.87933248</v>
      </c>
    </row>
    <row r="19" spans="1:14" outlineLevel="1" x14ac:dyDescent="0.25">
      <c r="A19" s="4" t="str">
        <f>'Model-1'!N60</f>
        <v>Affaldvarme-afgift</v>
      </c>
      <c r="B19" s="27"/>
      <c r="C19" s="27" t="s">
        <v>155</v>
      </c>
      <c r="D19" s="21">
        <v>650160</v>
      </c>
      <c r="E19" s="21">
        <v>650160</v>
      </c>
      <c r="F19" s="21">
        <v>650160</v>
      </c>
      <c r="G19" s="21">
        <v>650160</v>
      </c>
      <c r="H19" s="21">
        <v>650160</v>
      </c>
      <c r="I19" s="21">
        <v>650160</v>
      </c>
      <c r="J19" s="21">
        <v>650160</v>
      </c>
      <c r="K19" s="21">
        <v>650160</v>
      </c>
      <c r="L19" s="21">
        <v>650160</v>
      </c>
      <c r="M19" s="21">
        <v>650160</v>
      </c>
      <c r="N19" s="21">
        <v>650160</v>
      </c>
    </row>
    <row r="20" spans="1:14" outlineLevel="1" x14ac:dyDescent="0.25">
      <c r="A20" s="4" t="str">
        <f>'Model-1'!N61</f>
        <v>Tillægsafgift</v>
      </c>
      <c r="B20" s="27"/>
      <c r="C20" s="27" t="s">
        <v>156</v>
      </c>
      <c r="D20" s="21">
        <v>1509008.76178354</v>
      </c>
      <c r="E20" s="21">
        <v>1505061.42298119</v>
      </c>
      <c r="F20" s="21">
        <v>1505581.7877950601</v>
      </c>
      <c r="G20" s="21">
        <v>1506078.45069194</v>
      </c>
      <c r="H20" s="21">
        <v>1506552.9949982699</v>
      </c>
      <c r="I20" s="21">
        <v>1507006.8660873</v>
      </c>
      <c r="J20" s="21">
        <v>1507441.3860833801</v>
      </c>
      <c r="K20" s="21">
        <v>1507857.76672479</v>
      </c>
      <c r="L20" s="21">
        <v>1508257.1206485201</v>
      </c>
      <c r="M20" s="21">
        <v>1508640.4713184701</v>
      </c>
      <c r="N20" s="21">
        <v>1509008.76178354</v>
      </c>
    </row>
    <row r="21" spans="1:14" outlineLevel="1" x14ac:dyDescent="0.25">
      <c r="A21" s="4" t="str">
        <f>'Model-1'!N62</f>
        <v>CO2-afgift</v>
      </c>
      <c r="B21" s="27"/>
      <c r="C21" s="27" t="s">
        <v>157</v>
      </c>
      <c r="D21" s="21">
        <v>313404.03670438298</v>
      </c>
      <c r="E21" s="21">
        <v>312584.21912199003</v>
      </c>
      <c r="F21" s="21">
        <v>312692.293002908</v>
      </c>
      <c r="G21" s="21">
        <v>312795.44426399103</v>
      </c>
      <c r="H21" s="21">
        <v>312894.00174421701</v>
      </c>
      <c r="I21" s="21">
        <v>312988.26563124399</v>
      </c>
      <c r="J21" s="21">
        <v>313078.51051533601</v>
      </c>
      <c r="K21" s="21">
        <v>313164.98806081299</v>
      </c>
      <c r="L21" s="21">
        <v>313247.92934978398</v>
      </c>
      <c r="M21" s="21">
        <v>313327.54694411502</v>
      </c>
      <c r="N21" s="21">
        <v>313404.03670438298</v>
      </c>
    </row>
    <row r="22" spans="1:14" outlineLevel="1" x14ac:dyDescent="0.25">
      <c r="A22" s="4" t="str">
        <f>'Model-1'!N63</f>
        <v>Kvote-omkostning</v>
      </c>
      <c r="B22" s="27"/>
      <c r="C22" s="27" t="s">
        <v>158</v>
      </c>
      <c r="D22" s="21">
        <v>545350.60975609801</v>
      </c>
      <c r="E22" s="21">
        <v>662464.94894449995</v>
      </c>
      <c r="F22" s="21">
        <v>647026.14716825099</v>
      </c>
      <c r="G22" s="21">
        <v>632290.56203605502</v>
      </c>
      <c r="H22" s="21">
        <v>618211.21753727703</v>
      </c>
      <c r="I22" s="21">
        <v>604745.23062062298</v>
      </c>
      <c r="J22" s="21">
        <v>591853.37492909795</v>
      </c>
      <c r="K22" s="21">
        <v>579499.69917156501</v>
      </c>
      <c r="L22" s="21">
        <v>567651.19231118006</v>
      </c>
      <c r="M22" s="21">
        <v>556277.489004398</v>
      </c>
      <c r="N22" s="21">
        <v>545350.60975609801</v>
      </c>
    </row>
    <row r="23" spans="1:14" outlineLevel="1" x14ac:dyDescent="0.25">
      <c r="A23" s="4">
        <f>'Model-1'!N64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'Model-1'!N65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'Model-1'!N66</f>
        <v>Varmeproduktion Ovn2</v>
      </c>
      <c r="B25" s="27"/>
      <c r="C25" s="27" t="s">
        <v>161</v>
      </c>
      <c r="D25" s="22">
        <v>1420</v>
      </c>
      <c r="E25" s="22">
        <v>1420</v>
      </c>
      <c r="F25" s="22">
        <v>1420</v>
      </c>
      <c r="G25" s="22">
        <v>1420</v>
      </c>
      <c r="H25" s="22">
        <v>1420</v>
      </c>
      <c r="I25" s="22">
        <v>1420</v>
      </c>
      <c r="J25" s="22">
        <v>1420</v>
      </c>
      <c r="K25" s="22">
        <v>1420</v>
      </c>
      <c r="L25" s="22">
        <v>1420</v>
      </c>
      <c r="M25" s="22">
        <v>1420</v>
      </c>
      <c r="N25" s="22">
        <v>1420</v>
      </c>
    </row>
    <row r="26" spans="1:14" outlineLevel="1" x14ac:dyDescent="0.25">
      <c r="A26" s="4" t="str">
        <f>'Model-1'!N67</f>
        <v>Varmeproduktion Ovn3</v>
      </c>
      <c r="B26" s="27"/>
      <c r="C26" s="27" t="s">
        <v>162</v>
      </c>
      <c r="D26" s="22">
        <v>16740</v>
      </c>
      <c r="E26" s="22">
        <v>16740</v>
      </c>
      <c r="F26" s="22">
        <v>16740</v>
      </c>
      <c r="G26" s="22">
        <v>16740</v>
      </c>
      <c r="H26" s="22">
        <v>16740</v>
      </c>
      <c r="I26" s="22">
        <v>16740</v>
      </c>
      <c r="J26" s="22">
        <v>16740</v>
      </c>
      <c r="K26" s="22">
        <v>16740</v>
      </c>
      <c r="L26" s="22">
        <v>16740</v>
      </c>
      <c r="M26" s="22">
        <v>16740</v>
      </c>
      <c r="N26" s="22">
        <v>16740</v>
      </c>
    </row>
    <row r="27" spans="1:14" outlineLevel="1" x14ac:dyDescent="0.25">
      <c r="A27" s="4" t="str">
        <f>'Model-1'!N68</f>
        <v>Heraf RGK-varme</v>
      </c>
      <c r="B27" s="27"/>
      <c r="C27" s="27" t="s">
        <v>163</v>
      </c>
      <c r="D27" s="22">
        <v>1523.58793324775</v>
      </c>
      <c r="E27" s="22">
        <v>185.07792681534499</v>
      </c>
      <c r="F27" s="22">
        <v>361.52934009268699</v>
      </c>
      <c r="G27" s="22">
        <v>529.94362895574</v>
      </c>
      <c r="H27" s="22">
        <v>690.85768633096495</v>
      </c>
      <c r="I27" s="22">
        <v>844.76162635518995</v>
      </c>
      <c r="J27" s="22">
        <v>992.10377048690896</v>
      </c>
      <c r="K27" s="22">
        <v>1133.2950091709999</v>
      </c>
      <c r="L27" s="22">
        <v>1268.7126284293599</v>
      </c>
      <c r="M27" s="22">
        <v>1398.70367642417</v>
      </c>
      <c r="N27" s="22">
        <v>1523.58793324775</v>
      </c>
    </row>
    <row r="28" spans="1:14" outlineLevel="1" x14ac:dyDescent="0.25">
      <c r="A28" s="4" t="str">
        <f>'Model-1'!N69</f>
        <v>Bortkølet varme</v>
      </c>
      <c r="B28" s="27"/>
      <c r="C28" s="27" t="s">
        <v>164</v>
      </c>
      <c r="D28" s="22">
        <v>11160</v>
      </c>
      <c r="E28" s="22">
        <v>11160</v>
      </c>
      <c r="F28" s="22">
        <v>11160</v>
      </c>
      <c r="G28" s="22">
        <v>11160</v>
      </c>
      <c r="H28" s="22">
        <v>11160</v>
      </c>
      <c r="I28" s="22">
        <v>11160</v>
      </c>
      <c r="J28" s="22">
        <v>11160</v>
      </c>
      <c r="K28" s="22">
        <v>11160</v>
      </c>
      <c r="L28" s="22">
        <v>11160</v>
      </c>
      <c r="M28" s="22">
        <v>11160</v>
      </c>
      <c r="N28" s="22">
        <v>11160</v>
      </c>
    </row>
    <row r="29" spans="1:14" outlineLevel="1" x14ac:dyDescent="0.25">
      <c r="A29" s="4" t="str">
        <f>'Model-1'!N70</f>
        <v>Leveret affaldsvarme</v>
      </c>
      <c r="B29" s="27"/>
      <c r="C29" s="27" t="s">
        <v>165</v>
      </c>
      <c r="D29" s="22">
        <v>7000</v>
      </c>
      <c r="E29" s="22">
        <v>7000</v>
      </c>
      <c r="F29" s="22">
        <v>7000</v>
      </c>
      <c r="G29" s="22">
        <v>7000</v>
      </c>
      <c r="H29" s="22">
        <v>7000</v>
      </c>
      <c r="I29" s="22">
        <v>7000</v>
      </c>
      <c r="J29" s="22">
        <v>7000</v>
      </c>
      <c r="K29" s="22">
        <v>7000</v>
      </c>
      <c r="L29" s="22">
        <v>7000</v>
      </c>
      <c r="M29" s="22">
        <v>7000</v>
      </c>
      <c r="N29" s="22">
        <v>7000</v>
      </c>
    </row>
    <row r="30" spans="1:14" outlineLevel="1" x14ac:dyDescent="0.25">
      <c r="A30" s="4" t="str">
        <f>'Model-1'!N71</f>
        <v>Spidslastvarme</v>
      </c>
      <c r="B30" s="27"/>
      <c r="C30" s="27" t="s">
        <v>166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N30" s="22">
        <v>0</v>
      </c>
    </row>
    <row r="31" spans="1:14" outlineLevel="1" x14ac:dyDescent="0.25">
      <c r="A31" s="4">
        <f>'Model-1'!N72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'Model-1'!N73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'Model-1'!N74</f>
        <v>Affaldsforbrug Ovn3</v>
      </c>
      <c r="B33" s="27"/>
      <c r="C33" s="27" t="s">
        <v>169</v>
      </c>
      <c r="D33" s="22">
        <v>3026.3629842180799</v>
      </c>
      <c r="E33" s="22">
        <v>3676.2760762735902</v>
      </c>
      <c r="F33" s="22">
        <v>3590.6001507672099</v>
      </c>
      <c r="G33" s="22">
        <v>3508.8266483687898</v>
      </c>
      <c r="H33" s="22">
        <v>3430.6948808949901</v>
      </c>
      <c r="I33" s="22">
        <v>3355.9668735883602</v>
      </c>
      <c r="J33" s="22">
        <v>3284.4249441126399</v>
      </c>
      <c r="K33" s="22">
        <v>3215.8695847478598</v>
      </c>
      <c r="L33" s="22">
        <v>3150.1176043905598</v>
      </c>
      <c r="M33" s="22">
        <v>3087.0004939200799</v>
      </c>
      <c r="N33" s="22">
        <v>3026.3629842180799</v>
      </c>
    </row>
    <row r="34" spans="1:14" outlineLevel="1" x14ac:dyDescent="0.25">
      <c r="A34" s="4" t="str">
        <f>'Model-1'!N75</f>
        <v>Nordic Sugar varme</v>
      </c>
      <c r="B34" s="27"/>
      <c r="C34" s="27" t="s">
        <v>170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</row>
    <row r="35" spans="1:14" outlineLevel="1" x14ac:dyDescent="0.25">
      <c r="A35" s="4" t="str">
        <f>'Model-1'!N76</f>
        <v>Affaldsforbrug Ovn2</v>
      </c>
      <c r="B35" s="27"/>
      <c r="C35" s="27" t="s">
        <v>171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</row>
    <row r="36" spans="1:14" outlineLevel="1" x14ac:dyDescent="0.25">
      <c r="A36" s="4" t="str">
        <f>'Model-1'!N77</f>
        <v>Affaldsforbrug kølevarme Ovn3</v>
      </c>
      <c r="B36" s="27"/>
      <c r="C36" s="27" t="s">
        <v>172</v>
      </c>
      <c r="D36" s="22">
        <v>5240.3156384505</v>
      </c>
      <c r="E36" s="22">
        <v>5240.3156384505</v>
      </c>
      <c r="F36" s="22">
        <v>5240.3156384505</v>
      </c>
      <c r="G36" s="22">
        <v>5240.3156384505</v>
      </c>
      <c r="H36" s="22">
        <v>5240.3156384505</v>
      </c>
      <c r="I36" s="22">
        <v>5240.3156384505</v>
      </c>
      <c r="J36" s="22">
        <v>5240.3156384505</v>
      </c>
      <c r="K36" s="22">
        <v>5240.3156384505</v>
      </c>
      <c r="L36" s="22">
        <v>5240.3156384505</v>
      </c>
      <c r="M36" s="22">
        <v>5240.3156384505</v>
      </c>
      <c r="N36" s="22">
        <v>5240.3156384505</v>
      </c>
    </row>
    <row r="37" spans="1:14" outlineLevel="1" x14ac:dyDescent="0.25">
      <c r="A37" s="4" t="str">
        <f>'Model-1'!N78</f>
        <v>Affaldsforbrug kølevarme Ovn2</v>
      </c>
      <c r="B37" s="27"/>
      <c r="C37" s="27" t="s">
        <v>173</v>
      </c>
      <c r="D37" s="22">
        <v>593.81098410928405</v>
      </c>
      <c r="E37" s="22">
        <v>593.81098410928405</v>
      </c>
      <c r="F37" s="22">
        <v>593.81098410928405</v>
      </c>
      <c r="G37" s="22">
        <v>593.81098410928405</v>
      </c>
      <c r="H37" s="22">
        <v>593.81098410928405</v>
      </c>
      <c r="I37" s="22">
        <v>593.81098410928405</v>
      </c>
      <c r="J37" s="22">
        <v>593.81098410928405</v>
      </c>
      <c r="K37" s="22">
        <v>593.81098410928405</v>
      </c>
      <c r="L37" s="22">
        <v>593.81098410928405</v>
      </c>
      <c r="M37" s="22">
        <v>593.81098410928405</v>
      </c>
      <c r="N37" s="22">
        <v>593.81098410928405</v>
      </c>
    </row>
    <row r="38" spans="1:14" outlineLevel="1" x14ac:dyDescent="0.25">
      <c r="A38" s="4" t="str">
        <f>'Model-1'!N79</f>
        <v>Udnyttet affald</v>
      </c>
      <c r="B38" s="27"/>
      <c r="C38" s="27" t="s">
        <v>174</v>
      </c>
      <c r="D38" s="22">
        <v>8860.4896067778609</v>
      </c>
      <c r="E38" s="22">
        <v>9510.4026988333699</v>
      </c>
      <c r="F38" s="22">
        <v>9424.726773327</v>
      </c>
      <c r="G38" s="22">
        <v>9342.9532709285704</v>
      </c>
      <c r="H38" s="22">
        <v>9264.8215034547702</v>
      </c>
      <c r="I38" s="22">
        <v>9190.0934961481507</v>
      </c>
      <c r="J38" s="22">
        <v>9118.5515666724295</v>
      </c>
      <c r="K38" s="22">
        <v>9049.9962073076495</v>
      </c>
      <c r="L38" s="22">
        <v>8984.2442269503499</v>
      </c>
      <c r="M38" s="22">
        <v>8921.12711647986</v>
      </c>
      <c r="N38" s="22">
        <v>8860.4896067778609</v>
      </c>
    </row>
    <row r="39" spans="1:14" ht="15.75" outlineLevel="1" thickBot="1" x14ac:dyDescent="0.3">
      <c r="A39" s="4" t="str">
        <f>'Model-1'!N80</f>
        <v>Ikke-udnyttet affald</v>
      </c>
      <c r="B39" s="29"/>
      <c r="C39" s="29" t="s">
        <v>175</v>
      </c>
      <c r="D39" s="23">
        <v>8973.6370157819201</v>
      </c>
      <c r="E39" s="23">
        <v>8323.7239237264093</v>
      </c>
      <c r="F39" s="23">
        <v>8409.3998492327901</v>
      </c>
      <c r="G39" s="23">
        <v>8491.1733516312106</v>
      </c>
      <c r="H39" s="23">
        <v>8569.3051191050108</v>
      </c>
      <c r="I39" s="23">
        <v>8644.0331264116394</v>
      </c>
      <c r="J39" s="23">
        <v>8715.5750558873606</v>
      </c>
      <c r="K39" s="23">
        <v>8784.1304152521407</v>
      </c>
      <c r="L39" s="23">
        <v>8849.8823956094293</v>
      </c>
      <c r="M39" s="23">
        <v>8912.9995060799192</v>
      </c>
      <c r="N39" s="23">
        <v>8973.6370157819201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Q31" sqref="Q31"/>
      <pageMargins left="0.7" right="0.7" top="0.75" bottom="0.75" header="0.3" footer="0.3"/>
    </customSheetView>
    <customSheetView guid="{01B8EE19-BF49-4F3C-9D6B-CD607AE52779}" scale="85" showGridLines="0" hiddenRows="1">
      <selection activeCell="Q31" sqref="Q31"/>
      <pageMargins left="0.7" right="0.7" top="0.75" bottom="0.75" header="0.3" footer="0.3"/>
    </customSheetView>
    <customSheetView guid="{2B82E035-636B-4F9F-846A-FEE8C149952C}" scale="85" showGridLines="0" hiddenRows="1">
      <selection activeCell="Q31" sqref="Q31"/>
      <pageMargins left="0.7" right="0.7" top="0.75" bottom="0.75" header="0.3" footer="0.3"/>
    </customSheetView>
    <customSheetView guid="{B8935784-587B-4D0A-AED7-A4A9B4EF97F4}" scale="85" showGridLines="0" hiddenRows="1">
      <selection activeCell="Q31" sqref="Q31"/>
      <pageMargins left="0.7" right="0.7" top="0.75" bottom="0.75" header="0.3" footer="0.3"/>
    </customSheetView>
    <customSheetView guid="{EEB625C4-AF57-4951-B4C5-8C71271FF126}" scale="85" showGridLines="0" hiddenRows="1">
      <selection activeCell="Q31" sqref="Q31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4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'Model-1'!N49</f>
        <v>Indtægter total</v>
      </c>
      <c r="B8" s="27"/>
      <c r="C8" s="27" t="s">
        <v>144</v>
      </c>
      <c r="D8" s="21">
        <v>15704906.5498023</v>
      </c>
      <c r="E8" s="21">
        <v>16190829.9768045</v>
      </c>
      <c r="F8" s="21">
        <v>16102094.8127602</v>
      </c>
      <c r="G8" s="21">
        <v>16016873.9126384</v>
      </c>
      <c r="H8" s="21">
        <v>16136543.7538468</v>
      </c>
      <c r="I8" s="21">
        <v>16057752.8356482</v>
      </c>
      <c r="J8" s="21">
        <v>15981907.3723356</v>
      </c>
      <c r="K8" s="21">
        <v>15908845.2287775</v>
      </c>
      <c r="L8" s="21">
        <v>15838415.9552575</v>
      </c>
      <c r="M8" s="21">
        <v>15770479.753366601</v>
      </c>
      <c r="N8" s="21">
        <v>15704906.5498023</v>
      </c>
    </row>
    <row r="9" spans="1:14" outlineLevel="1" x14ac:dyDescent="0.25">
      <c r="A9" s="4" t="str">
        <f>'Model-1'!N50</f>
        <v>Omkostninger total</v>
      </c>
      <c r="B9" s="27"/>
      <c r="C9" s="27" t="s">
        <v>145</v>
      </c>
      <c r="D9" s="21">
        <v>7601139.8216774501</v>
      </c>
      <c r="E9" s="21">
        <v>7866196.3108281298</v>
      </c>
      <c r="F9" s="21">
        <v>7831849.9144885596</v>
      </c>
      <c r="G9" s="21">
        <v>7798897.0890948502</v>
      </c>
      <c r="H9" s="21">
        <v>7767256.6557569401</v>
      </c>
      <c r="I9" s="21">
        <v>7736853.6206430802</v>
      </c>
      <c r="J9" s="21">
        <v>7707618.5969369598</v>
      </c>
      <c r="K9" s="21">
        <v>7679487.2904326404</v>
      </c>
      <c r="L9" s="21">
        <v>7652400.0407408504</v>
      </c>
      <c r="M9" s="21">
        <v>7626301.4112166697</v>
      </c>
      <c r="N9" s="21">
        <v>7601139.8216774501</v>
      </c>
    </row>
    <row r="10" spans="1:14" outlineLevel="1" x14ac:dyDescent="0.25">
      <c r="A10" s="4" t="str">
        <f>'Model-1'!N51</f>
        <v>Dækningsbidrag</v>
      </c>
      <c r="B10" s="27"/>
      <c r="C10" s="27" t="s">
        <v>146</v>
      </c>
      <c r="D10" s="21">
        <v>8103766.7281248998</v>
      </c>
      <c r="E10" s="21">
        <v>8324633.6659763698</v>
      </c>
      <c r="F10" s="21">
        <v>8270244.8982715895</v>
      </c>
      <c r="G10" s="21">
        <v>8217976.8235435002</v>
      </c>
      <c r="H10" s="21">
        <v>8369287.0980898896</v>
      </c>
      <c r="I10" s="21">
        <v>8320899.2150051603</v>
      </c>
      <c r="J10" s="21">
        <v>8274288.7753986102</v>
      </c>
      <c r="K10" s="21">
        <v>8229357.9383448502</v>
      </c>
      <c r="L10" s="21">
        <v>8186015.9145167004</v>
      </c>
      <c r="M10" s="21">
        <v>8144178.3421499496</v>
      </c>
      <c r="N10" s="21">
        <v>8103766.7281248998</v>
      </c>
    </row>
    <row r="11" spans="1:14" outlineLevel="1" x14ac:dyDescent="0.25">
      <c r="A11" s="4">
        <f>'Model-1'!N52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'Model-1'!N53</f>
        <v>Varmesalg</v>
      </c>
      <c r="B12" s="27"/>
      <c r="C12" s="27" t="s">
        <v>148</v>
      </c>
      <c r="D12" s="21">
        <v>7499765</v>
      </c>
      <c r="E12" s="21">
        <v>7499765</v>
      </c>
      <c r="F12" s="21">
        <v>7499765</v>
      </c>
      <c r="G12" s="21">
        <v>7499765</v>
      </c>
      <c r="H12" s="21">
        <v>7499765</v>
      </c>
      <c r="I12" s="21">
        <v>7499765</v>
      </c>
      <c r="J12" s="21">
        <v>7499765</v>
      </c>
      <c r="K12" s="21">
        <v>7499765</v>
      </c>
      <c r="L12" s="21">
        <v>7499765</v>
      </c>
      <c r="M12" s="21">
        <v>7499765</v>
      </c>
      <c r="N12" s="21">
        <v>7499765</v>
      </c>
    </row>
    <row r="13" spans="1:14" outlineLevel="1" x14ac:dyDescent="0.25">
      <c r="A13" s="4" t="str">
        <f>'Model-1'!N54</f>
        <v>Elsalg</v>
      </c>
      <c r="B13" s="27"/>
      <c r="C13" s="27" t="s">
        <v>149</v>
      </c>
      <c r="D13" s="21">
        <v>3947332.4512195098</v>
      </c>
      <c r="E13" s="21">
        <v>3947332.4512195098</v>
      </c>
      <c r="F13" s="21">
        <v>3947332.4512195098</v>
      </c>
      <c r="G13" s="21">
        <v>3947332.4512195098</v>
      </c>
      <c r="H13" s="21">
        <v>3947332.4512195098</v>
      </c>
      <c r="I13" s="21">
        <v>3947332.4512195098</v>
      </c>
      <c r="J13" s="21">
        <v>3947332.4512195098</v>
      </c>
      <c r="K13" s="21">
        <v>3947332.4512195098</v>
      </c>
      <c r="L13" s="21">
        <v>3947332.4512195098</v>
      </c>
      <c r="M13" s="21">
        <v>3947332.4512195098</v>
      </c>
      <c r="N13" s="21">
        <v>3947332.4512195098</v>
      </c>
    </row>
    <row r="14" spans="1:14" outlineLevel="1" x14ac:dyDescent="0.25">
      <c r="A14" s="4" t="str">
        <f>'Model-1'!N55</f>
        <v>RGK-rabat</v>
      </c>
      <c r="B14" s="27"/>
      <c r="C14" s="27" t="s">
        <v>150</v>
      </c>
      <c r="D14" s="21">
        <v>201581.19181097599</v>
      </c>
      <c r="E14" s="21">
        <v>0</v>
      </c>
      <c r="F14" s="21">
        <v>0</v>
      </c>
      <c r="G14" s="21">
        <v>0</v>
      </c>
      <c r="H14" s="21">
        <v>201581.19181097599</v>
      </c>
      <c r="I14" s="21">
        <v>201581.19181097599</v>
      </c>
      <c r="J14" s="21">
        <v>201581.19181097599</v>
      </c>
      <c r="K14" s="21">
        <v>201581.19181097599</v>
      </c>
      <c r="L14" s="21">
        <v>201581.19181097599</v>
      </c>
      <c r="M14" s="21">
        <v>201581.19181097599</v>
      </c>
      <c r="N14" s="21">
        <v>201581.19181097599</v>
      </c>
    </row>
    <row r="15" spans="1:14" outlineLevel="1" x14ac:dyDescent="0.25">
      <c r="A15" s="4" t="str">
        <f>'Model-1'!N56</f>
        <v>Modtagebetaling affald</v>
      </c>
      <c r="B15" s="27"/>
      <c r="C15" s="27" t="s">
        <v>151</v>
      </c>
      <c r="D15" s="21">
        <v>4056227.9067718601</v>
      </c>
      <c r="E15" s="21">
        <v>4743732.5255849799</v>
      </c>
      <c r="F15" s="21">
        <v>4654997.3615406398</v>
      </c>
      <c r="G15" s="21">
        <v>4569776.4614188401</v>
      </c>
      <c r="H15" s="21">
        <v>4487865.11081634</v>
      </c>
      <c r="I15" s="21">
        <v>4409074.1926177498</v>
      </c>
      <c r="J15" s="21">
        <v>4333228.7293050801</v>
      </c>
      <c r="K15" s="21">
        <v>4260166.5857470101</v>
      </c>
      <c r="L15" s="21">
        <v>4189737.3122270601</v>
      </c>
      <c r="M15" s="21">
        <v>4121801.1103361398</v>
      </c>
      <c r="N15" s="21">
        <v>4056227.9067718601</v>
      </c>
    </row>
    <row r="16" spans="1:14" outlineLevel="1" x14ac:dyDescent="0.25">
      <c r="A16" s="4">
        <f>'Model-1'!N57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'Model-1'!N58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'Model-1'!N59</f>
        <v>DV-omkostninger</v>
      </c>
      <c r="B18" s="27"/>
      <c r="C18" s="27" t="s">
        <v>154</v>
      </c>
      <c r="D18" s="21">
        <v>1099534.71668785</v>
      </c>
      <c r="E18" s="21">
        <v>1054870.37506322</v>
      </c>
      <c r="F18" s="21">
        <v>1060499.17012563</v>
      </c>
      <c r="G18" s="21">
        <v>1065938.36023679</v>
      </c>
      <c r="H18" s="21">
        <v>1071198.99034531</v>
      </c>
      <c r="I18" s="21">
        <v>1076291.2638799101</v>
      </c>
      <c r="J18" s="21">
        <v>1081224.62139614</v>
      </c>
      <c r="K18" s="21">
        <v>1086007.8105647401</v>
      </c>
      <c r="L18" s="21">
        <v>1090648.9485936901</v>
      </c>
      <c r="M18" s="21">
        <v>1095155.5780213701</v>
      </c>
      <c r="N18" s="21">
        <v>1099534.71668785</v>
      </c>
    </row>
    <row r="19" spans="1:14" outlineLevel="1" x14ac:dyDescent="0.25">
      <c r="A19" s="4" t="str">
        <f>'Model-1'!N60</f>
        <v>Affaldvarme-afgift</v>
      </c>
      <c r="B19" s="27"/>
      <c r="C19" s="27" t="s">
        <v>155</v>
      </c>
      <c r="D19" s="21">
        <v>2239801.2000000002</v>
      </c>
      <c r="E19" s="21">
        <v>2239801.2000000002</v>
      </c>
      <c r="F19" s="21">
        <v>2239801.2000000002</v>
      </c>
      <c r="G19" s="21">
        <v>2239801.2000000002</v>
      </c>
      <c r="H19" s="21">
        <v>2239801.2000000002</v>
      </c>
      <c r="I19" s="21">
        <v>2239801.2000000002</v>
      </c>
      <c r="J19" s="21">
        <v>2239801.2000000002</v>
      </c>
      <c r="K19" s="21">
        <v>2239801.2000000002</v>
      </c>
      <c r="L19" s="21">
        <v>2239801.2000000002</v>
      </c>
      <c r="M19" s="21">
        <v>2239801.2000000002</v>
      </c>
      <c r="N19" s="21">
        <v>2239801.2000000002</v>
      </c>
    </row>
    <row r="20" spans="1:14" outlineLevel="1" x14ac:dyDescent="0.25">
      <c r="A20" s="4" t="str">
        <f>'Model-1'!N61</f>
        <v>Tillægsafgift</v>
      </c>
      <c r="B20" s="27"/>
      <c r="C20" s="27" t="s">
        <v>156</v>
      </c>
      <c r="D20" s="21">
        <v>2015811.9181097599</v>
      </c>
      <c r="E20" s="21">
        <v>2015811.9181097599</v>
      </c>
      <c r="F20" s="21">
        <v>2015811.9181097599</v>
      </c>
      <c r="G20" s="21">
        <v>2015811.9181097599</v>
      </c>
      <c r="H20" s="21">
        <v>2015811.9181097599</v>
      </c>
      <c r="I20" s="21">
        <v>2015811.9181097599</v>
      </c>
      <c r="J20" s="21">
        <v>2015811.9181097599</v>
      </c>
      <c r="K20" s="21">
        <v>2015811.9181097599</v>
      </c>
      <c r="L20" s="21">
        <v>2015811.9181097599</v>
      </c>
      <c r="M20" s="21">
        <v>2015811.9181097599</v>
      </c>
      <c r="N20" s="21">
        <v>2015811.9181097599</v>
      </c>
    </row>
    <row r="21" spans="1:14" outlineLevel="1" x14ac:dyDescent="0.25">
      <c r="A21" s="4" t="str">
        <f>'Model-1'!N62</f>
        <v>CO2-afgift</v>
      </c>
      <c r="B21" s="27"/>
      <c r="C21" s="27" t="s">
        <v>157</v>
      </c>
      <c r="D21" s="21">
        <v>418661.31487911602</v>
      </c>
      <c r="E21" s="21">
        <v>418661.31487911602</v>
      </c>
      <c r="F21" s="21">
        <v>418661.31487911602</v>
      </c>
      <c r="G21" s="21">
        <v>418661.31487911602</v>
      </c>
      <c r="H21" s="21">
        <v>418661.31487911602</v>
      </c>
      <c r="I21" s="21">
        <v>418661.31487911602</v>
      </c>
      <c r="J21" s="21">
        <v>418661.31487911602</v>
      </c>
      <c r="K21" s="21">
        <v>418661.31487911602</v>
      </c>
      <c r="L21" s="21">
        <v>418661.31487911602</v>
      </c>
      <c r="M21" s="21">
        <v>418661.31487911602</v>
      </c>
      <c r="N21" s="21">
        <v>418661.31487911602</v>
      </c>
    </row>
    <row r="22" spans="1:14" outlineLevel="1" x14ac:dyDescent="0.25">
      <c r="A22" s="4" t="str">
        <f>'Model-1'!N63</f>
        <v>Kvote-omkostning</v>
      </c>
      <c r="B22" s="27"/>
      <c r="C22" s="27" t="s">
        <v>158</v>
      </c>
      <c r="D22" s="21">
        <v>1827330.6720007199</v>
      </c>
      <c r="E22" s="21">
        <v>2137051.50277603</v>
      </c>
      <c r="F22" s="21">
        <v>2097076.3113740601</v>
      </c>
      <c r="G22" s="21">
        <v>2058684.29586919</v>
      </c>
      <c r="H22" s="21">
        <v>2021783.23242276</v>
      </c>
      <c r="I22" s="21">
        <v>1986287.9237742999</v>
      </c>
      <c r="J22" s="21">
        <v>1952119.5425519401</v>
      </c>
      <c r="K22" s="21">
        <v>1919205.0468790301</v>
      </c>
      <c r="L22" s="21">
        <v>1887476.6591582899</v>
      </c>
      <c r="M22" s="21">
        <v>1856871.4002064299</v>
      </c>
      <c r="N22" s="21">
        <v>1827330.6720007199</v>
      </c>
    </row>
    <row r="23" spans="1:14" outlineLevel="1" x14ac:dyDescent="0.25">
      <c r="A23" s="4">
        <f>'Model-1'!N64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'Model-1'!N65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'Model-1'!N66</f>
        <v>Varmeproduktion Ovn2</v>
      </c>
      <c r="B25" s="27"/>
      <c r="C25" s="27" t="s">
        <v>161</v>
      </c>
      <c r="D25" s="22">
        <v>3283</v>
      </c>
      <c r="E25" s="22">
        <v>6965.8</v>
      </c>
      <c r="F25" s="22">
        <v>6556.6</v>
      </c>
      <c r="G25" s="22">
        <v>6147.4</v>
      </c>
      <c r="H25" s="22">
        <v>5738.2</v>
      </c>
      <c r="I25" s="22">
        <v>5329</v>
      </c>
      <c r="J25" s="22">
        <v>4919.8</v>
      </c>
      <c r="K25" s="22">
        <v>4510.6000000000004</v>
      </c>
      <c r="L25" s="22">
        <v>4101.3999999999996</v>
      </c>
      <c r="M25" s="22">
        <v>3692.2</v>
      </c>
      <c r="N25" s="22">
        <v>3283</v>
      </c>
    </row>
    <row r="26" spans="1:14" outlineLevel="1" x14ac:dyDescent="0.25">
      <c r="A26" s="4" t="str">
        <f>'Model-1'!N67</f>
        <v>Varmeproduktion Ovn3</v>
      </c>
      <c r="B26" s="27"/>
      <c r="C26" s="27" t="s">
        <v>162</v>
      </c>
      <c r="D26" s="22">
        <v>20832</v>
      </c>
      <c r="E26" s="22">
        <v>17149.2</v>
      </c>
      <c r="F26" s="22">
        <v>17558.400000000001</v>
      </c>
      <c r="G26" s="22">
        <v>17967.599999999999</v>
      </c>
      <c r="H26" s="22">
        <v>18376.8</v>
      </c>
      <c r="I26" s="22">
        <v>18786</v>
      </c>
      <c r="J26" s="22">
        <v>19195.2</v>
      </c>
      <c r="K26" s="22">
        <v>19604.400000000001</v>
      </c>
      <c r="L26" s="22">
        <v>20013.599999999999</v>
      </c>
      <c r="M26" s="22">
        <v>20422.8</v>
      </c>
      <c r="N26" s="22">
        <v>20832</v>
      </c>
    </row>
    <row r="27" spans="1:14" outlineLevel="1" x14ac:dyDescent="0.25">
      <c r="A27" s="4" t="str">
        <f>'Model-1'!N68</f>
        <v>Heraf RGK-varme</v>
      </c>
      <c r="B27" s="27"/>
      <c r="C27" s="27" t="s">
        <v>163</v>
      </c>
      <c r="D27" s="22">
        <v>5049.4716687852897</v>
      </c>
      <c r="E27" s="22">
        <v>583.03750632208801</v>
      </c>
      <c r="F27" s="22">
        <v>1145.91701256335</v>
      </c>
      <c r="G27" s="22">
        <v>1689.83602367907</v>
      </c>
      <c r="H27" s="22">
        <v>2215.8990345309498</v>
      </c>
      <c r="I27" s="22">
        <v>2725.1263879911999</v>
      </c>
      <c r="J27" s="22">
        <v>3218.4621396144798</v>
      </c>
      <c r="K27" s="22">
        <v>3696.7810564744</v>
      </c>
      <c r="L27" s="22">
        <v>4160.8948593689802</v>
      </c>
      <c r="M27" s="22">
        <v>4611.5578021370802</v>
      </c>
      <c r="N27" s="22">
        <v>5049.4716687852897</v>
      </c>
    </row>
    <row r="28" spans="1:14" outlineLevel="1" x14ac:dyDescent="0.25">
      <c r="A28" s="4" t="str">
        <f>'Model-1'!N69</f>
        <v>Bortkølet varme</v>
      </c>
      <c r="B28" s="27"/>
      <c r="C28" s="27" t="s">
        <v>164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</row>
    <row r="29" spans="1:14" outlineLevel="1" x14ac:dyDescent="0.25">
      <c r="A29" s="4" t="str">
        <f>'Model-1'!N70</f>
        <v>Leveret affaldsvarme</v>
      </c>
      <c r="B29" s="27"/>
      <c r="C29" s="27" t="s">
        <v>165</v>
      </c>
      <c r="D29" s="22">
        <v>24115</v>
      </c>
      <c r="E29" s="22">
        <v>24115</v>
      </c>
      <c r="F29" s="22">
        <v>24115</v>
      </c>
      <c r="G29" s="22">
        <v>24115</v>
      </c>
      <c r="H29" s="22">
        <v>24115</v>
      </c>
      <c r="I29" s="22">
        <v>24115</v>
      </c>
      <c r="J29" s="22">
        <v>24115</v>
      </c>
      <c r="K29" s="22">
        <v>24115</v>
      </c>
      <c r="L29" s="22">
        <v>24115</v>
      </c>
      <c r="M29" s="22">
        <v>24115</v>
      </c>
      <c r="N29" s="22">
        <v>24115</v>
      </c>
    </row>
    <row r="30" spans="1:14" outlineLevel="1" x14ac:dyDescent="0.25">
      <c r="A30" s="4" t="str">
        <f>'Model-1'!N71</f>
        <v>Spidslastvarme</v>
      </c>
      <c r="B30" s="27"/>
      <c r="C30" s="27" t="s">
        <v>166</v>
      </c>
      <c r="D30" s="22">
        <v>4000</v>
      </c>
      <c r="E30" s="22">
        <v>4000</v>
      </c>
      <c r="F30" s="22">
        <v>4000</v>
      </c>
      <c r="G30" s="22">
        <v>4000</v>
      </c>
      <c r="H30" s="22">
        <v>4000</v>
      </c>
      <c r="I30" s="22">
        <v>4000</v>
      </c>
      <c r="J30" s="22">
        <v>4000</v>
      </c>
      <c r="K30" s="22">
        <v>4000</v>
      </c>
      <c r="L30" s="22">
        <v>4000</v>
      </c>
      <c r="M30" s="22">
        <v>4000</v>
      </c>
      <c r="N30" s="22">
        <v>4000</v>
      </c>
    </row>
    <row r="31" spans="1:14" outlineLevel="1" x14ac:dyDescent="0.25">
      <c r="A31" s="4">
        <f>'Model-1'!N72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'Model-1'!N73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'Model-1'!N74</f>
        <v>Affaldsforbrug Ovn3</v>
      </c>
      <c r="B33" s="27"/>
      <c r="C33" s="27" t="s">
        <v>169</v>
      </c>
      <c r="D33" s="22">
        <v>9006.456241033</v>
      </c>
      <c r="E33" s="22">
        <v>9006.456241033</v>
      </c>
      <c r="F33" s="22">
        <v>9006.456241033</v>
      </c>
      <c r="G33" s="22">
        <v>9006.456241033</v>
      </c>
      <c r="H33" s="22">
        <v>9006.456241033</v>
      </c>
      <c r="I33" s="22">
        <v>9006.456241033</v>
      </c>
      <c r="J33" s="22">
        <v>9006.456241033</v>
      </c>
      <c r="K33" s="22">
        <v>9006.456241033</v>
      </c>
      <c r="L33" s="22">
        <v>9006.456241033</v>
      </c>
      <c r="M33" s="22">
        <v>9006.456241033</v>
      </c>
      <c r="N33" s="22">
        <v>9006.456241033</v>
      </c>
    </row>
    <row r="34" spans="1:14" outlineLevel="1" x14ac:dyDescent="0.25">
      <c r="A34" s="4" t="str">
        <f>'Model-1'!N75</f>
        <v>Nordic Sugar varme</v>
      </c>
      <c r="B34" s="27"/>
      <c r="C34" s="27" t="s">
        <v>170</v>
      </c>
      <c r="D34" s="22">
        <v>4000</v>
      </c>
      <c r="E34" s="22">
        <v>4000</v>
      </c>
      <c r="F34" s="22">
        <v>4000</v>
      </c>
      <c r="G34" s="22">
        <v>4000</v>
      </c>
      <c r="H34" s="22">
        <v>4000</v>
      </c>
      <c r="I34" s="22">
        <v>4000</v>
      </c>
      <c r="J34" s="22">
        <v>4000</v>
      </c>
      <c r="K34" s="22">
        <v>4000</v>
      </c>
      <c r="L34" s="22">
        <v>4000</v>
      </c>
      <c r="M34" s="22">
        <v>4000</v>
      </c>
      <c r="N34" s="22">
        <v>4000</v>
      </c>
    </row>
    <row r="35" spans="1:14" outlineLevel="1" x14ac:dyDescent="0.25">
      <c r="A35" s="4" t="str">
        <f>'Model-1'!N76</f>
        <v>Affaldsforbrug Ovn2</v>
      </c>
      <c r="B35" s="27"/>
      <c r="C35" s="27" t="s">
        <v>171</v>
      </c>
      <c r="D35" s="22">
        <v>1134.1135258966599</v>
      </c>
      <c r="E35" s="22">
        <v>2852.8750729294502</v>
      </c>
      <c r="F35" s="22">
        <v>2631.0371628185999</v>
      </c>
      <c r="G35" s="22">
        <v>2417.98491251411</v>
      </c>
      <c r="H35" s="22">
        <v>2213.20653600786</v>
      </c>
      <c r="I35" s="22">
        <v>2016.2292405113701</v>
      </c>
      <c r="J35" s="22">
        <v>1826.6155822297001</v>
      </c>
      <c r="K35" s="22">
        <v>1643.9602233345199</v>
      </c>
      <c r="L35" s="22">
        <v>1467.8870395346601</v>
      </c>
      <c r="M35" s="22">
        <v>1298.0465348073601</v>
      </c>
      <c r="N35" s="22">
        <v>1134.1135258966599</v>
      </c>
    </row>
    <row r="36" spans="1:14" outlineLevel="1" x14ac:dyDescent="0.25">
      <c r="A36" s="4" t="str">
        <f>'Model-1'!N77</f>
        <v>Affaldsforbrug kølevarme Ovn3</v>
      </c>
      <c r="B36" s="27"/>
      <c r="C36" s="27" t="s">
        <v>172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</row>
    <row r="37" spans="1:14" outlineLevel="1" x14ac:dyDescent="0.25">
      <c r="A37" s="4" t="str">
        <f>'Model-1'!N78</f>
        <v>Affaldsforbrug kølevarme Ovn2</v>
      </c>
      <c r="B37" s="27"/>
      <c r="C37" s="27" t="s">
        <v>173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</row>
    <row r="38" spans="1:14" outlineLevel="1" x14ac:dyDescent="0.25">
      <c r="A38" s="4" t="str">
        <f>'Model-1'!N79</f>
        <v>Udnyttet affald</v>
      </c>
      <c r="B38" s="27"/>
      <c r="C38" s="27" t="s">
        <v>174</v>
      </c>
      <c r="D38" s="22">
        <v>10140.569766929701</v>
      </c>
      <c r="E38" s="22">
        <v>11859.331313962501</v>
      </c>
      <c r="F38" s="22">
        <v>11637.4934038516</v>
      </c>
      <c r="G38" s="22">
        <v>11424.441153547101</v>
      </c>
      <c r="H38" s="22">
        <v>11219.6627770409</v>
      </c>
      <c r="I38" s="22">
        <v>11022.6854815444</v>
      </c>
      <c r="J38" s="22">
        <v>10833.0718232627</v>
      </c>
      <c r="K38" s="22">
        <v>10650.416464367499</v>
      </c>
      <c r="L38" s="22">
        <v>10474.3432805677</v>
      </c>
      <c r="M38" s="22">
        <v>10304.502775840399</v>
      </c>
      <c r="N38" s="22">
        <v>10140.569766929701</v>
      </c>
    </row>
    <row r="39" spans="1:14" ht="15.75" outlineLevel="1" thickBot="1" x14ac:dyDescent="0.3">
      <c r="A39" s="4" t="str">
        <f>'Model-1'!N80</f>
        <v>Ikke-udnyttet affald</v>
      </c>
      <c r="B39" s="29"/>
      <c r="C39" s="29" t="s">
        <v>175</v>
      </c>
      <c r="D39" s="23">
        <v>1859.4302330703399</v>
      </c>
      <c r="E39" s="34">
        <v>140.66868603754901</v>
      </c>
      <c r="F39" s="34">
        <v>362.50659614840498</v>
      </c>
      <c r="G39" s="34">
        <v>575.558846452887</v>
      </c>
      <c r="H39" s="34">
        <v>780.33722295914004</v>
      </c>
      <c r="I39" s="34">
        <v>977.31451845562901</v>
      </c>
      <c r="J39" s="34">
        <v>1166.9281767373</v>
      </c>
      <c r="K39" s="34">
        <v>1349.5835356324801</v>
      </c>
      <c r="L39" s="34">
        <v>1525.65671943234</v>
      </c>
      <c r="M39" s="34">
        <v>1695.4972241596399</v>
      </c>
      <c r="N39" s="34">
        <v>1859.4302330703399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K28" sqref="K28"/>
      <pageMargins left="0.7" right="0.7" top="0.75" bottom="0.75" header="0.3" footer="0.3"/>
    </customSheetView>
    <customSheetView guid="{01B8EE19-BF49-4F3C-9D6B-CD607AE52779}" scale="85" showGridLines="0" hiddenRows="1">
      <selection activeCell="K28" sqref="K28"/>
      <pageMargins left="0.7" right="0.7" top="0.75" bottom="0.75" header="0.3" footer="0.3"/>
    </customSheetView>
    <customSheetView guid="{2B82E035-636B-4F9F-846A-FEE8C149952C}" scale="85" showGridLines="0" hiddenRows="1">
      <selection activeCell="K28" sqref="K28"/>
      <pageMargins left="0.7" right="0.7" top="0.75" bottom="0.75" header="0.3" footer="0.3"/>
    </customSheetView>
    <customSheetView guid="{B8935784-587B-4D0A-AED7-A4A9B4EF97F4}" scale="85" showGridLines="0" hiddenRows="1">
      <selection activeCell="K28" sqref="K28"/>
      <pageMargins left="0.7" right="0.7" top="0.75" bottom="0.75" header="0.3" footer="0.3"/>
    </customSheetView>
    <customSheetView guid="{EEB625C4-AF57-4951-B4C5-8C71271FF126}" scale="85" showGridLines="0" hiddenRows="1">
      <selection activeCell="K28" sqref="K28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'Model-1'!N49</f>
        <v>Indtægter total</v>
      </c>
      <c r="B8" s="27"/>
      <c r="C8" s="27" t="s">
        <v>144</v>
      </c>
      <c r="D8" s="21">
        <v>18118707.4232703</v>
      </c>
      <c r="E8" s="21">
        <v>16310010.253459301</v>
      </c>
      <c r="F8" s="21">
        <v>16483548.253459301</v>
      </c>
      <c r="G8" s="21">
        <v>16657086.253459301</v>
      </c>
      <c r="H8" s="21">
        <v>17048733.495270301</v>
      </c>
      <c r="I8" s="21">
        <v>17227062.483270299</v>
      </c>
      <c r="J8" s="21">
        <v>17405391.4712703</v>
      </c>
      <c r="K8" s="21">
        <v>17583720.459270298</v>
      </c>
      <c r="L8" s="21">
        <v>17762049.4472703</v>
      </c>
      <c r="M8" s="21">
        <v>17940378.435270298</v>
      </c>
      <c r="N8" s="21">
        <v>18118707.4232703</v>
      </c>
    </row>
    <row r="9" spans="1:14" outlineLevel="1" x14ac:dyDescent="0.25">
      <c r="A9" s="4" t="str">
        <f>'Model-1'!N50</f>
        <v>Omkostninger total</v>
      </c>
      <c r="B9" s="27"/>
      <c r="C9" s="27" t="s">
        <v>145</v>
      </c>
      <c r="D9" s="21">
        <v>8974185.9215454608</v>
      </c>
      <c r="E9" s="21">
        <v>7934106.8600176601</v>
      </c>
      <c r="F9" s="21">
        <v>8049671.2001874102</v>
      </c>
      <c r="G9" s="21">
        <v>8165235.5403571697</v>
      </c>
      <c r="H9" s="21">
        <v>8280799.8805269198</v>
      </c>
      <c r="I9" s="21">
        <v>8396364.2206966802</v>
      </c>
      <c r="J9" s="21">
        <v>8511928.5608664397</v>
      </c>
      <c r="K9" s="21">
        <v>8627492.9010361899</v>
      </c>
      <c r="L9" s="21">
        <v>8743057.2412059493</v>
      </c>
      <c r="M9" s="21">
        <v>8858621.5813757107</v>
      </c>
      <c r="N9" s="21">
        <v>8974185.9215454608</v>
      </c>
    </row>
    <row r="10" spans="1:14" outlineLevel="1" x14ac:dyDescent="0.25">
      <c r="A10" s="4" t="str">
        <f>'Model-1'!N51</f>
        <v>Dækningsbidrag</v>
      </c>
      <c r="B10" s="27"/>
      <c r="C10" s="27" t="s">
        <v>146</v>
      </c>
      <c r="D10" s="21">
        <v>9144521.5017248206</v>
      </c>
      <c r="E10" s="21">
        <v>8375903.3934416501</v>
      </c>
      <c r="F10" s="21">
        <v>8433877.0532719009</v>
      </c>
      <c r="G10" s="21">
        <v>8491850.7131021395</v>
      </c>
      <c r="H10" s="21">
        <v>8767933.6147433594</v>
      </c>
      <c r="I10" s="21">
        <v>8830698.2625735998</v>
      </c>
      <c r="J10" s="21">
        <v>8893462.9104038496</v>
      </c>
      <c r="K10" s="21">
        <v>8956227.55823409</v>
      </c>
      <c r="L10" s="21">
        <v>9018992.2060643304</v>
      </c>
      <c r="M10" s="21">
        <v>9081756.8538945802</v>
      </c>
      <c r="N10" s="21">
        <v>9144521.5017248206</v>
      </c>
    </row>
    <row r="11" spans="1:14" outlineLevel="1" x14ac:dyDescent="0.25">
      <c r="A11" s="4">
        <f>'Model-1'!N52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'Model-1'!N53</f>
        <v>Varmesalg</v>
      </c>
      <c r="B12" s="27"/>
      <c r="C12" s="27" t="s">
        <v>148</v>
      </c>
      <c r="D12" s="21">
        <v>9139668</v>
      </c>
      <c r="E12" s="21">
        <v>7577826</v>
      </c>
      <c r="F12" s="21">
        <v>7751364</v>
      </c>
      <c r="G12" s="21">
        <v>7924902</v>
      </c>
      <c r="H12" s="21">
        <v>8098440</v>
      </c>
      <c r="I12" s="21">
        <v>8271978</v>
      </c>
      <c r="J12" s="21">
        <v>8445516</v>
      </c>
      <c r="K12" s="21">
        <v>8619054</v>
      </c>
      <c r="L12" s="21">
        <v>8792592</v>
      </c>
      <c r="M12" s="21">
        <v>8966130</v>
      </c>
      <c r="N12" s="21">
        <v>9139668</v>
      </c>
    </row>
    <row r="13" spans="1:14" outlineLevel="1" x14ac:dyDescent="0.25">
      <c r="A13" s="4" t="str">
        <f>'Model-1'!N54</f>
        <v>Elsalg</v>
      </c>
      <c r="B13" s="27"/>
      <c r="C13" s="27" t="s">
        <v>149</v>
      </c>
      <c r="D13" s="21">
        <v>3947332.4512195098</v>
      </c>
      <c r="E13" s="21">
        <v>3947332.4512195098</v>
      </c>
      <c r="F13" s="21">
        <v>3947332.4512195098</v>
      </c>
      <c r="G13" s="21">
        <v>3947332.4512195098</v>
      </c>
      <c r="H13" s="21">
        <v>3947332.4512195098</v>
      </c>
      <c r="I13" s="21">
        <v>3947332.4512195098</v>
      </c>
      <c r="J13" s="21">
        <v>3947332.4512195098</v>
      </c>
      <c r="K13" s="21">
        <v>3947332.4512195098</v>
      </c>
      <c r="L13" s="21">
        <v>3947332.4512195098</v>
      </c>
      <c r="M13" s="21">
        <v>3947332.4512195098</v>
      </c>
      <c r="N13" s="21">
        <v>3947332.4512195098</v>
      </c>
    </row>
    <row r="14" spans="1:14" outlineLevel="1" x14ac:dyDescent="0.25">
      <c r="A14" s="4" t="str">
        <f>'Model-1'!N55</f>
        <v>RGK-rabat</v>
      </c>
      <c r="B14" s="27"/>
      <c r="C14" s="27" t="s">
        <v>150</v>
      </c>
      <c r="D14" s="21">
        <v>246855.16981097599</v>
      </c>
      <c r="E14" s="21">
        <v>0</v>
      </c>
      <c r="F14" s="21">
        <v>0</v>
      </c>
      <c r="G14" s="21">
        <v>0</v>
      </c>
      <c r="H14" s="21">
        <v>218109.241810976</v>
      </c>
      <c r="I14" s="21">
        <v>222900.22981097599</v>
      </c>
      <c r="J14" s="21">
        <v>227691.217810976</v>
      </c>
      <c r="K14" s="21">
        <v>232482.20581097601</v>
      </c>
      <c r="L14" s="21">
        <v>237273.19381097599</v>
      </c>
      <c r="M14" s="21">
        <v>242064.18181097601</v>
      </c>
      <c r="N14" s="21">
        <v>246855.16981097599</v>
      </c>
    </row>
    <row r="15" spans="1:14" outlineLevel="1" x14ac:dyDescent="0.25">
      <c r="A15" s="4" t="str">
        <f>'Model-1'!N56</f>
        <v>Modtagebetaling affald</v>
      </c>
      <c r="B15" s="27"/>
      <c r="C15" s="27" t="s">
        <v>151</v>
      </c>
      <c r="D15" s="21">
        <v>4784851.8022397999</v>
      </c>
      <c r="E15" s="21">
        <v>4784851.8022397999</v>
      </c>
      <c r="F15" s="21">
        <v>4784851.8022397999</v>
      </c>
      <c r="G15" s="21">
        <v>4784851.8022397999</v>
      </c>
      <c r="H15" s="21">
        <v>4784851.8022397999</v>
      </c>
      <c r="I15" s="21">
        <v>4784851.8022397999</v>
      </c>
      <c r="J15" s="21">
        <v>4784851.8022397999</v>
      </c>
      <c r="K15" s="21">
        <v>4784851.8022397999</v>
      </c>
      <c r="L15" s="21">
        <v>4784851.8022397999</v>
      </c>
      <c r="M15" s="21">
        <v>4784851.8022397999</v>
      </c>
      <c r="N15" s="21">
        <v>4784851.8022397999</v>
      </c>
    </row>
    <row r="16" spans="1:14" outlineLevel="1" x14ac:dyDescent="0.25">
      <c r="A16" s="4">
        <f>'Model-1'!N57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'Model-1'!N58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'Model-1'!N59</f>
        <v>DV-omkostninger</v>
      </c>
      <c r="B18" s="27"/>
      <c r="C18" s="27" t="s">
        <v>154</v>
      </c>
      <c r="D18" s="21">
        <v>1107810.8046975599</v>
      </c>
      <c r="E18" s="21">
        <v>1054917.0804697601</v>
      </c>
      <c r="F18" s="21">
        <v>1060794.16093951</v>
      </c>
      <c r="G18" s="21">
        <v>1066671.2414092701</v>
      </c>
      <c r="H18" s="21">
        <v>1072548.32187902</v>
      </c>
      <c r="I18" s="21">
        <v>1078425.4023487801</v>
      </c>
      <c r="J18" s="21">
        <v>1084302.48281854</v>
      </c>
      <c r="K18" s="21">
        <v>1090179.5632882901</v>
      </c>
      <c r="L18" s="21">
        <v>1096056.6437580499</v>
      </c>
      <c r="M18" s="21">
        <v>1101933.7242278</v>
      </c>
      <c r="N18" s="21">
        <v>1107810.8046975599</v>
      </c>
    </row>
    <row r="19" spans="1:14" outlineLevel="1" x14ac:dyDescent="0.25">
      <c r="A19" s="4" t="str">
        <f>'Model-1'!N60</f>
        <v>Affaldvarme-afgift</v>
      </c>
      <c r="B19" s="27"/>
      <c r="C19" s="27" t="s">
        <v>155</v>
      </c>
      <c r="D19" s="21">
        <v>2729557.44</v>
      </c>
      <c r="E19" s="21">
        <v>2263114.08</v>
      </c>
      <c r="F19" s="21">
        <v>2314941.12</v>
      </c>
      <c r="G19" s="21">
        <v>2366768.16</v>
      </c>
      <c r="H19" s="21">
        <v>2418595.2000000002</v>
      </c>
      <c r="I19" s="21">
        <v>2470422.2400000002</v>
      </c>
      <c r="J19" s="21">
        <v>2522249.2799999998</v>
      </c>
      <c r="K19" s="21">
        <v>2574076.3199999998</v>
      </c>
      <c r="L19" s="21">
        <v>2625903.36</v>
      </c>
      <c r="M19" s="21">
        <v>2677730.4</v>
      </c>
      <c r="N19" s="21">
        <v>2729557.44</v>
      </c>
    </row>
    <row r="20" spans="1:14" outlineLevel="1" x14ac:dyDescent="0.25">
      <c r="A20" s="4" t="str">
        <f>'Model-1'!N61</f>
        <v>Tillægsafgift</v>
      </c>
      <c r="B20" s="27"/>
      <c r="C20" s="27" t="s">
        <v>156</v>
      </c>
      <c r="D20" s="21">
        <v>2468551.6981097599</v>
      </c>
      <c r="E20" s="21">
        <v>2037362.77810976</v>
      </c>
      <c r="F20" s="21">
        <v>2085272.6581097599</v>
      </c>
      <c r="G20" s="21">
        <v>2133182.5381097598</v>
      </c>
      <c r="H20" s="21">
        <v>2181092.4181097602</v>
      </c>
      <c r="I20" s="21">
        <v>2229002.29810976</v>
      </c>
      <c r="J20" s="21">
        <v>2276912.1781097599</v>
      </c>
      <c r="K20" s="21">
        <v>2324822.0581097598</v>
      </c>
      <c r="L20" s="21">
        <v>2372731.9381097602</v>
      </c>
      <c r="M20" s="21">
        <v>2420641.8181097601</v>
      </c>
      <c r="N20" s="21">
        <v>2468551.6981097599</v>
      </c>
    </row>
    <row r="21" spans="1:14" outlineLevel="1" x14ac:dyDescent="0.25">
      <c r="A21" s="4" t="str">
        <f>'Model-1'!N62</f>
        <v>CO2-afgift</v>
      </c>
      <c r="B21" s="27"/>
      <c r="C21" s="27" t="s">
        <v>157</v>
      </c>
      <c r="D21" s="21">
        <v>512690.24182911601</v>
      </c>
      <c r="E21" s="21">
        <v>423137.18452911603</v>
      </c>
      <c r="F21" s="21">
        <v>433087.52422911598</v>
      </c>
      <c r="G21" s="21">
        <v>443037.86392911599</v>
      </c>
      <c r="H21" s="21">
        <v>452988.203629116</v>
      </c>
      <c r="I21" s="21">
        <v>462938.54332911602</v>
      </c>
      <c r="J21" s="21">
        <v>472888.88302911603</v>
      </c>
      <c r="K21" s="21">
        <v>482839.22272911598</v>
      </c>
      <c r="L21" s="21">
        <v>492789.56242911599</v>
      </c>
      <c r="M21" s="21">
        <v>502739.902129116</v>
      </c>
      <c r="N21" s="21">
        <v>512690.24182911601</v>
      </c>
    </row>
    <row r="22" spans="1:14" outlineLevel="1" x14ac:dyDescent="0.25">
      <c r="A22" s="4" t="str">
        <f>'Model-1'!N63</f>
        <v>Kvote-omkostning</v>
      </c>
      <c r="B22" s="27"/>
      <c r="C22" s="27" t="s">
        <v>158</v>
      </c>
      <c r="D22" s="21">
        <v>2155575.73690903</v>
      </c>
      <c r="E22" s="21">
        <v>2155575.73690903</v>
      </c>
      <c r="F22" s="21">
        <v>2155575.73690903</v>
      </c>
      <c r="G22" s="21">
        <v>2155575.73690903</v>
      </c>
      <c r="H22" s="21">
        <v>2155575.73690903</v>
      </c>
      <c r="I22" s="21">
        <v>2155575.73690903</v>
      </c>
      <c r="J22" s="21">
        <v>2155575.73690903</v>
      </c>
      <c r="K22" s="21">
        <v>2155575.73690903</v>
      </c>
      <c r="L22" s="21">
        <v>2155575.73690903</v>
      </c>
      <c r="M22" s="21">
        <v>2155575.73690903</v>
      </c>
      <c r="N22" s="21">
        <v>2155575.73690903</v>
      </c>
    </row>
    <row r="23" spans="1:14" outlineLevel="1" x14ac:dyDescent="0.25">
      <c r="A23" s="4">
        <f>'Model-1'!N64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'Model-1'!N65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'Model-1'!N66</f>
        <v>Varmeproduktion Ovn2</v>
      </c>
      <c r="B25" s="27"/>
      <c r="C25" s="27" t="s">
        <v>161</v>
      </c>
      <c r="D25" s="22">
        <v>8556</v>
      </c>
      <c r="E25" s="22">
        <v>7216.8</v>
      </c>
      <c r="F25" s="22">
        <v>7365.6</v>
      </c>
      <c r="G25" s="22">
        <v>7514.4</v>
      </c>
      <c r="H25" s="22">
        <v>7663.2</v>
      </c>
      <c r="I25" s="22">
        <v>7812</v>
      </c>
      <c r="J25" s="22">
        <v>7960.8</v>
      </c>
      <c r="K25" s="22">
        <v>8109.6</v>
      </c>
      <c r="L25" s="22">
        <v>8258.4</v>
      </c>
      <c r="M25" s="22">
        <v>8407.2000000000007</v>
      </c>
      <c r="N25" s="22">
        <v>8556</v>
      </c>
    </row>
    <row r="26" spans="1:14" outlineLevel="1" x14ac:dyDescent="0.25">
      <c r="A26" s="4" t="str">
        <f>'Model-1'!N67</f>
        <v>Varmeproduktion Ovn3</v>
      </c>
      <c r="B26" s="27"/>
      <c r="C26" s="27" t="s">
        <v>162</v>
      </c>
      <c r="D26" s="22">
        <v>20832</v>
      </c>
      <c r="E26" s="22">
        <v>17149.2</v>
      </c>
      <c r="F26" s="22">
        <v>17558.400000000001</v>
      </c>
      <c r="G26" s="22">
        <v>17967.599999999999</v>
      </c>
      <c r="H26" s="22">
        <v>18376.8</v>
      </c>
      <c r="I26" s="22">
        <v>18786</v>
      </c>
      <c r="J26" s="22">
        <v>19195.2</v>
      </c>
      <c r="K26" s="22">
        <v>19604.400000000001</v>
      </c>
      <c r="L26" s="22">
        <v>20013.599999999999</v>
      </c>
      <c r="M26" s="22">
        <v>20422.8</v>
      </c>
      <c r="N26" s="22">
        <v>20832</v>
      </c>
    </row>
    <row r="27" spans="1:14" outlineLevel="1" x14ac:dyDescent="0.25">
      <c r="A27" s="4" t="str">
        <f>'Model-1'!N68</f>
        <v>Heraf RGK-varme</v>
      </c>
      <c r="B27" s="27"/>
      <c r="C27" s="27" t="s">
        <v>163</v>
      </c>
      <c r="D27" s="22">
        <v>5877.0804697560598</v>
      </c>
      <c r="E27" s="22">
        <v>587.70804697560595</v>
      </c>
      <c r="F27" s="22">
        <v>1175.4160939512101</v>
      </c>
      <c r="G27" s="22">
        <v>1763.12414092682</v>
      </c>
      <c r="H27" s="22">
        <v>2350.8321879024202</v>
      </c>
      <c r="I27" s="22">
        <v>2938.5402348780299</v>
      </c>
      <c r="J27" s="22">
        <v>3526.24828185363</v>
      </c>
      <c r="K27" s="22">
        <v>4113.9563288292402</v>
      </c>
      <c r="L27" s="22">
        <v>4701.6643758048504</v>
      </c>
      <c r="M27" s="22">
        <v>5289.3724227804496</v>
      </c>
      <c r="N27" s="22">
        <v>5877.0804697560598</v>
      </c>
    </row>
    <row r="28" spans="1:14" outlineLevel="1" x14ac:dyDescent="0.25">
      <c r="A28" s="4" t="str">
        <f>'Model-1'!N69</f>
        <v>Bortkølet varme</v>
      </c>
      <c r="B28" s="27"/>
      <c r="C28" s="27" t="s">
        <v>164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</row>
    <row r="29" spans="1:14" outlineLevel="1" x14ac:dyDescent="0.25">
      <c r="A29" s="4" t="str">
        <f>'Model-1'!N70</f>
        <v>Leveret affaldsvarme</v>
      </c>
      <c r="B29" s="27"/>
      <c r="C29" s="27" t="s">
        <v>165</v>
      </c>
      <c r="D29" s="22">
        <v>29388</v>
      </c>
      <c r="E29" s="22">
        <v>24366</v>
      </c>
      <c r="F29" s="22">
        <v>24924</v>
      </c>
      <c r="G29" s="22">
        <v>25482</v>
      </c>
      <c r="H29" s="22">
        <v>26040</v>
      </c>
      <c r="I29" s="22">
        <v>26598</v>
      </c>
      <c r="J29" s="22">
        <v>27156</v>
      </c>
      <c r="K29" s="22">
        <v>27714</v>
      </c>
      <c r="L29" s="22">
        <v>28272</v>
      </c>
      <c r="M29" s="22">
        <v>28830</v>
      </c>
      <c r="N29" s="22">
        <v>29388</v>
      </c>
    </row>
    <row r="30" spans="1:14" outlineLevel="1" x14ac:dyDescent="0.25">
      <c r="A30" s="4" t="str">
        <f>'Model-1'!N71</f>
        <v>Spidslastvarme</v>
      </c>
      <c r="B30" s="27"/>
      <c r="C30" s="27" t="s">
        <v>166</v>
      </c>
      <c r="D30" s="22">
        <v>5612</v>
      </c>
      <c r="E30" s="22">
        <v>10634</v>
      </c>
      <c r="F30" s="22">
        <v>10076</v>
      </c>
      <c r="G30" s="22">
        <v>9518</v>
      </c>
      <c r="H30" s="22">
        <v>8960</v>
      </c>
      <c r="I30" s="22">
        <v>8402</v>
      </c>
      <c r="J30" s="22">
        <v>7844</v>
      </c>
      <c r="K30" s="22">
        <v>7286</v>
      </c>
      <c r="L30" s="22">
        <v>6728</v>
      </c>
      <c r="M30" s="22">
        <v>6170</v>
      </c>
      <c r="N30" s="22">
        <v>5612</v>
      </c>
    </row>
    <row r="31" spans="1:14" outlineLevel="1" x14ac:dyDescent="0.25">
      <c r="A31" s="4">
        <f>'Model-1'!N72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'Model-1'!N73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'Model-1'!N74</f>
        <v>Affaldsforbrug Ovn3</v>
      </c>
      <c r="B33" s="27"/>
      <c r="C33" s="27" t="s">
        <v>169</v>
      </c>
      <c r="D33" s="22">
        <v>9006.456241033</v>
      </c>
      <c r="E33" s="22">
        <v>9006.456241033</v>
      </c>
      <c r="F33" s="22">
        <v>9006.456241033</v>
      </c>
      <c r="G33" s="22">
        <v>9006.456241033</v>
      </c>
      <c r="H33" s="22">
        <v>9006.456241033</v>
      </c>
      <c r="I33" s="22">
        <v>9006.456241033</v>
      </c>
      <c r="J33" s="22">
        <v>9006.456241033</v>
      </c>
      <c r="K33" s="22">
        <v>9006.456241033</v>
      </c>
      <c r="L33" s="22">
        <v>9006.456241033</v>
      </c>
      <c r="M33" s="22">
        <v>9006.456241033</v>
      </c>
      <c r="N33" s="22">
        <v>9006.456241033</v>
      </c>
    </row>
    <row r="34" spans="1:14" outlineLevel="1" x14ac:dyDescent="0.25">
      <c r="A34" s="4" t="str">
        <f>'Model-1'!N75</f>
        <v>Nordic Sugar varme</v>
      </c>
      <c r="B34" s="27"/>
      <c r="C34" s="27" t="s">
        <v>170</v>
      </c>
      <c r="D34" s="22">
        <v>4000</v>
      </c>
      <c r="E34" s="22">
        <v>4000</v>
      </c>
      <c r="F34" s="22">
        <v>4000</v>
      </c>
      <c r="G34" s="22">
        <v>4000</v>
      </c>
      <c r="H34" s="22">
        <v>4000</v>
      </c>
      <c r="I34" s="22">
        <v>4000</v>
      </c>
      <c r="J34" s="22">
        <v>4000</v>
      </c>
      <c r="K34" s="22">
        <v>4000</v>
      </c>
      <c r="L34" s="22">
        <v>4000</v>
      </c>
      <c r="M34" s="22">
        <v>4000</v>
      </c>
      <c r="N34" s="22">
        <v>4000</v>
      </c>
    </row>
    <row r="35" spans="1:14" outlineLevel="1" x14ac:dyDescent="0.25">
      <c r="A35" s="4" t="str">
        <f>'Model-1'!N76</f>
        <v>Affaldsforbrug Ovn2</v>
      </c>
      <c r="B35" s="27"/>
      <c r="C35" s="27" t="s">
        <v>171</v>
      </c>
      <c r="D35" s="22">
        <v>2955.6732645664902</v>
      </c>
      <c r="E35" s="22">
        <v>2955.6732645664902</v>
      </c>
      <c r="F35" s="22">
        <v>2955.6732645664902</v>
      </c>
      <c r="G35" s="22">
        <v>2955.6732645664902</v>
      </c>
      <c r="H35" s="22">
        <v>2955.6732645664902</v>
      </c>
      <c r="I35" s="22">
        <v>2955.6732645664902</v>
      </c>
      <c r="J35" s="22">
        <v>2955.6732645664902</v>
      </c>
      <c r="K35" s="22">
        <v>2955.6732645664902</v>
      </c>
      <c r="L35" s="22">
        <v>2955.6732645664902</v>
      </c>
      <c r="M35" s="22">
        <v>2955.6732645664902</v>
      </c>
      <c r="N35" s="22">
        <v>2955.6732645664902</v>
      </c>
    </row>
    <row r="36" spans="1:14" outlineLevel="1" x14ac:dyDescent="0.25">
      <c r="A36" s="4" t="str">
        <f>'Model-1'!N77</f>
        <v>Affaldsforbrug kølevarme Ovn3</v>
      </c>
      <c r="B36" s="27"/>
      <c r="C36" s="27" t="s">
        <v>172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</row>
    <row r="37" spans="1:14" outlineLevel="1" x14ac:dyDescent="0.25">
      <c r="A37" s="4" t="str">
        <f>'Model-1'!N78</f>
        <v>Affaldsforbrug kølevarme Ovn2</v>
      </c>
      <c r="B37" s="27"/>
      <c r="C37" s="27" t="s">
        <v>173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</row>
    <row r="38" spans="1:14" outlineLevel="1" x14ac:dyDescent="0.25">
      <c r="A38" s="4" t="str">
        <f>'Model-1'!N79</f>
        <v>Udnyttet affald</v>
      </c>
      <c r="B38" s="27"/>
      <c r="C38" s="27" t="s">
        <v>174</v>
      </c>
      <c r="D38" s="22">
        <v>11962.1295055995</v>
      </c>
      <c r="E38" s="22">
        <v>11962.1295055995</v>
      </c>
      <c r="F38" s="22">
        <v>11962.1295055995</v>
      </c>
      <c r="G38" s="22">
        <v>11962.1295055995</v>
      </c>
      <c r="H38" s="22">
        <v>11962.1295055995</v>
      </c>
      <c r="I38" s="22">
        <v>11962.1295055995</v>
      </c>
      <c r="J38" s="22">
        <v>11962.1295055995</v>
      </c>
      <c r="K38" s="22">
        <v>11962.1295055995</v>
      </c>
      <c r="L38" s="22">
        <v>11962.1295055995</v>
      </c>
      <c r="M38" s="22">
        <v>11962.1295055995</v>
      </c>
      <c r="N38" s="22">
        <v>11962.1295055995</v>
      </c>
    </row>
    <row r="39" spans="1:14" ht="15.75" outlineLevel="1" thickBot="1" x14ac:dyDescent="0.3">
      <c r="A39" s="4" t="str">
        <f>'Model-1'!N80</f>
        <v>Ikke-udnyttet affald</v>
      </c>
      <c r="B39" s="29"/>
      <c r="C39" s="29" t="s">
        <v>175</v>
      </c>
      <c r="D39" s="23">
        <v>37.870494400509401</v>
      </c>
      <c r="E39" s="23">
        <v>37.870494400509401</v>
      </c>
      <c r="F39" s="23">
        <v>37.870494400509401</v>
      </c>
      <c r="G39" s="23">
        <v>37.870494400509401</v>
      </c>
      <c r="H39" s="23">
        <v>37.870494400509401</v>
      </c>
      <c r="I39" s="23">
        <v>37.870494400509401</v>
      </c>
      <c r="J39" s="23">
        <v>37.870494400509401</v>
      </c>
      <c r="K39" s="23">
        <v>37.870494400509401</v>
      </c>
      <c r="L39" s="23">
        <v>37.870494400509898</v>
      </c>
      <c r="M39" s="23">
        <v>37.870494400509003</v>
      </c>
      <c r="N39" s="23">
        <v>37.870494400509401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P5" sqref="P5"/>
      <pageMargins left="0.7" right="0.7" top="0.75" bottom="0.75" header="0.3" footer="0.3"/>
    </customSheetView>
    <customSheetView guid="{01B8EE19-BF49-4F3C-9D6B-CD607AE52779}" scale="85" showGridLines="0" hiddenRows="1">
      <selection activeCell="P5" sqref="P5"/>
      <pageMargins left="0.7" right="0.7" top="0.75" bottom="0.75" header="0.3" footer="0.3"/>
    </customSheetView>
    <customSheetView guid="{2B82E035-636B-4F9F-846A-FEE8C149952C}" scale="85" showGridLines="0" hiddenRows="1">
      <selection activeCell="P5" sqref="P5"/>
      <pageMargins left="0.7" right="0.7" top="0.75" bottom="0.75" header="0.3" footer="0.3"/>
    </customSheetView>
    <customSheetView guid="{B8935784-587B-4D0A-AED7-A4A9B4EF97F4}" scale="85" showGridLines="0" hiddenRows="1">
      <selection activeCell="P5" sqref="P5"/>
      <pageMargins left="0.7" right="0.7" top="0.75" bottom="0.75" header="0.3" footer="0.3"/>
    </customSheetView>
    <customSheetView guid="{EEB625C4-AF57-4951-B4C5-8C71271FF126}" scale="85" showGridLines="0" hiddenRows="1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7"/>
  <sheetViews>
    <sheetView zoomScale="85" zoomScaleNormal="85" workbookViewId="0">
      <selection activeCell="E13" sqref="E13"/>
    </sheetView>
  </sheetViews>
  <sheetFormatPr defaultRowHeight="15" x14ac:dyDescent="0.25"/>
  <cols>
    <col min="1" max="1" width="18" customWidth="1"/>
    <col min="2" max="2" width="16" bestFit="1" customWidth="1"/>
  </cols>
  <sheetData>
    <row r="2" spans="1:22" ht="15.75" x14ac:dyDescent="0.25">
      <c r="A2" s="11"/>
      <c r="B2" s="169">
        <v>2021</v>
      </c>
      <c r="C2" s="170" t="s">
        <v>392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22" x14ac:dyDescent="0.25">
      <c r="A3" s="11"/>
      <c r="B3" s="17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72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72"/>
      <c r="C5" s="173" t="s">
        <v>267</v>
      </c>
      <c r="D5" s="173" t="s">
        <v>268</v>
      </c>
      <c r="E5" s="173" t="s">
        <v>269</v>
      </c>
      <c r="F5" s="173" t="s">
        <v>270</v>
      </c>
      <c r="G5" s="173" t="s">
        <v>271</v>
      </c>
      <c r="H5" s="173" t="s">
        <v>272</v>
      </c>
      <c r="I5" s="173" t="s">
        <v>273</v>
      </c>
      <c r="J5" s="173" t="s">
        <v>274</v>
      </c>
      <c r="K5" s="173" t="s">
        <v>275</v>
      </c>
      <c r="L5" s="173" t="s">
        <v>276</v>
      </c>
      <c r="M5" s="173" t="s">
        <v>277</v>
      </c>
      <c r="N5" s="173" t="s">
        <v>278</v>
      </c>
      <c r="O5" s="11"/>
      <c r="P5" s="11" t="s">
        <v>142</v>
      </c>
      <c r="Q5" s="173" t="s">
        <v>393</v>
      </c>
      <c r="R5" s="173" t="s">
        <v>394</v>
      </c>
      <c r="S5" s="173" t="s">
        <v>395</v>
      </c>
      <c r="T5" s="173" t="s">
        <v>396</v>
      </c>
    </row>
    <row r="6" spans="1:22" x14ac:dyDescent="0.25">
      <c r="A6" s="11"/>
      <c r="B6" s="174" t="s">
        <v>68</v>
      </c>
      <c r="C6" s="175">
        <v>3908.64</v>
      </c>
      <c r="D6" s="175">
        <v>973</v>
      </c>
      <c r="E6" s="175">
        <v>1702.59</v>
      </c>
      <c r="F6" s="175">
        <v>1267.99</v>
      </c>
      <c r="G6" s="175">
        <v>105.72</v>
      </c>
      <c r="H6" s="175">
        <v>0</v>
      </c>
      <c r="I6" s="175">
        <v>182.36</v>
      </c>
      <c r="J6" s="175">
        <v>161.74</v>
      </c>
      <c r="K6" s="175">
        <v>1474.88</v>
      </c>
      <c r="L6" s="175">
        <v>1389.91</v>
      </c>
      <c r="M6" s="175">
        <v>187.49</v>
      </c>
      <c r="N6" s="175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8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74" t="s">
        <v>69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8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74" t="s">
        <v>70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8" t="str">
        <f t="shared" si="3"/>
        <v/>
      </c>
      <c r="U8" s="11">
        <v>-1.1999999999999997E-13</v>
      </c>
    </row>
    <row r="9" spans="1:22" x14ac:dyDescent="0.25">
      <c r="A9" s="11"/>
      <c r="B9" s="174" t="s">
        <v>71</v>
      </c>
      <c r="C9" s="175">
        <v>2356.98</v>
      </c>
      <c r="D9" s="175">
        <v>2129.9</v>
      </c>
      <c r="E9" s="175">
        <v>2515.21</v>
      </c>
      <c r="F9" s="175">
        <v>2421.34</v>
      </c>
      <c r="G9" s="175">
        <v>2323.06</v>
      </c>
      <c r="H9" s="175">
        <v>2443.7399999999998</v>
      </c>
      <c r="I9" s="175">
        <v>2591.08</v>
      </c>
      <c r="J9" s="175">
        <v>2530.84</v>
      </c>
      <c r="K9" s="175">
        <v>2388.4499999999998</v>
      </c>
      <c r="L9" s="175">
        <v>2269.38</v>
      </c>
      <c r="M9" s="175">
        <v>2350.34</v>
      </c>
      <c r="N9" s="175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8">
        <f t="shared" si="3"/>
        <v>0.11151682600555217</v>
      </c>
      <c r="U9" s="11">
        <v>28766.80632304</v>
      </c>
    </row>
    <row r="10" spans="1:22" x14ac:dyDescent="0.25">
      <c r="A10" s="11"/>
      <c r="B10" s="174" t="s">
        <v>72</v>
      </c>
      <c r="C10" s="175">
        <v>437.56</v>
      </c>
      <c r="D10" s="175">
        <v>345</v>
      </c>
      <c r="E10" s="175">
        <v>540.71</v>
      </c>
      <c r="F10" s="175">
        <v>440.19</v>
      </c>
      <c r="G10" s="175">
        <v>404.17</v>
      </c>
      <c r="H10" s="175">
        <v>104.08</v>
      </c>
      <c r="I10" s="175">
        <v>311.55</v>
      </c>
      <c r="J10" s="175">
        <v>308.589</v>
      </c>
      <c r="K10" s="175">
        <v>384.76</v>
      </c>
      <c r="L10" s="175">
        <v>338.54</v>
      </c>
      <c r="M10" s="175">
        <v>295.89</v>
      </c>
      <c r="N10" s="175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8">
        <f t="shared" si="3"/>
        <v>0.70490564593355709</v>
      </c>
      <c r="U10" s="11">
        <v>4232.4125081879683</v>
      </c>
    </row>
    <row r="11" spans="1:22" x14ac:dyDescent="0.25">
      <c r="A11" s="11"/>
      <c r="B11" s="174" t="s">
        <v>73</v>
      </c>
      <c r="C11" s="175"/>
      <c r="D11" s="175"/>
      <c r="E11" s="175"/>
      <c r="F11" s="175">
        <v>33.35</v>
      </c>
      <c r="G11" s="175"/>
      <c r="H11" s="175"/>
      <c r="I11" s="175"/>
      <c r="J11" s="175"/>
      <c r="K11" s="175"/>
      <c r="L11" s="175"/>
      <c r="M11" s="175"/>
      <c r="N11" s="175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8">
        <f t="shared" si="3"/>
        <v>11</v>
      </c>
      <c r="U11" s="11">
        <v>33.350033350000082</v>
      </c>
    </row>
    <row r="12" spans="1:22" x14ac:dyDescent="0.25">
      <c r="A12" s="11"/>
      <c r="B12" s="174" t="s">
        <v>74</v>
      </c>
      <c r="C12" s="175">
        <v>291.66000000000003</v>
      </c>
      <c r="D12" s="175">
        <v>260.87</v>
      </c>
      <c r="E12" s="175">
        <v>347.07</v>
      </c>
      <c r="F12" s="175">
        <v>332.39</v>
      </c>
      <c r="G12" s="175">
        <v>330.62</v>
      </c>
      <c r="H12" s="175">
        <v>417.61</v>
      </c>
      <c r="I12" s="175">
        <v>481.77</v>
      </c>
      <c r="J12" s="175">
        <v>404.79</v>
      </c>
      <c r="K12" s="175">
        <v>419.89</v>
      </c>
      <c r="L12" s="175">
        <v>377.54</v>
      </c>
      <c r="M12" s="175">
        <v>311.19</v>
      </c>
      <c r="N12" s="175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8">
        <f t="shared" si="3"/>
        <v>0.34767750327522634</v>
      </c>
      <c r="U12" s="11">
        <v>4041.3723674673893</v>
      </c>
    </row>
    <row r="13" spans="1:22" x14ac:dyDescent="0.25">
      <c r="A13" s="11"/>
      <c r="B13" s="174" t="s">
        <v>75</v>
      </c>
      <c r="C13" s="175">
        <v>6.15</v>
      </c>
      <c r="D13" s="175">
        <v>4.05</v>
      </c>
      <c r="E13" s="175">
        <v>6.72</v>
      </c>
      <c r="F13" s="175">
        <v>18.61</v>
      </c>
      <c r="G13" s="175">
        <v>9.65</v>
      </c>
      <c r="H13" s="175">
        <v>6.24</v>
      </c>
      <c r="I13" s="175">
        <v>13.02</v>
      </c>
      <c r="J13" s="175">
        <v>3.41</v>
      </c>
      <c r="K13" s="175">
        <v>14.3</v>
      </c>
      <c r="L13" s="175">
        <v>12.24</v>
      </c>
      <c r="M13" s="175">
        <v>4.9400000000000004</v>
      </c>
      <c r="N13" s="175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8">
        <f t="shared" si="3"/>
        <v>1.0890551917680078</v>
      </c>
      <c r="U13" s="11">
        <v>106.90010065999999</v>
      </c>
    </row>
    <row r="14" spans="1:22" x14ac:dyDescent="0.25">
      <c r="A14" s="11"/>
      <c r="B14" s="174" t="s">
        <v>76</v>
      </c>
      <c r="C14" s="175">
        <v>257</v>
      </c>
      <c r="D14" s="175">
        <v>257.76</v>
      </c>
      <c r="E14" s="175">
        <v>307.94</v>
      </c>
      <c r="F14" s="175">
        <v>309.31</v>
      </c>
      <c r="G14" s="175">
        <v>337.34</v>
      </c>
      <c r="H14" s="175">
        <v>441.4</v>
      </c>
      <c r="I14" s="175">
        <v>494.33</v>
      </c>
      <c r="J14" s="175">
        <v>298.83999999999997</v>
      </c>
      <c r="K14" s="175">
        <v>458.61</v>
      </c>
      <c r="L14" s="175">
        <v>310.66000000000003</v>
      </c>
      <c r="M14" s="175">
        <v>449.82</v>
      </c>
      <c r="N14" s="175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8">
        <f t="shared" si="3"/>
        <v>0.39042913264014534</v>
      </c>
      <c r="U14" s="11">
        <v>4266.2825730999994</v>
      </c>
    </row>
    <row r="15" spans="1:22" x14ac:dyDescent="0.25">
      <c r="A15" s="11"/>
      <c r="B15" s="174" t="s">
        <v>77</v>
      </c>
      <c r="C15" s="175">
        <v>22.8</v>
      </c>
      <c r="D15" s="175">
        <v>23.96</v>
      </c>
      <c r="E15" s="175">
        <v>21.49</v>
      </c>
      <c r="F15" s="175">
        <v>22.12</v>
      </c>
      <c r="G15" s="175">
        <v>24.73</v>
      </c>
      <c r="H15" s="175">
        <v>27.84</v>
      </c>
      <c r="I15" s="175">
        <v>57.59</v>
      </c>
      <c r="J15" s="175">
        <v>49.56</v>
      </c>
      <c r="K15" s="175">
        <v>33.479999999999997</v>
      </c>
      <c r="L15" s="175">
        <v>43.96</v>
      </c>
      <c r="M15" s="175">
        <v>39.01</v>
      </c>
      <c r="N15" s="175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8">
        <f t="shared" si="3"/>
        <v>0.73437735280831218</v>
      </c>
      <c r="U15" s="11">
        <v>398.46037061999994</v>
      </c>
    </row>
    <row r="16" spans="1:22" x14ac:dyDescent="0.25">
      <c r="A16" s="11"/>
      <c r="B16" s="174" t="s">
        <v>397</v>
      </c>
      <c r="C16" s="175">
        <v>1016</v>
      </c>
      <c r="D16" s="175">
        <v>1240.74</v>
      </c>
      <c r="E16" s="175">
        <v>783.2</v>
      </c>
      <c r="F16" s="175">
        <v>577.03</v>
      </c>
      <c r="G16" s="175">
        <v>314.81</v>
      </c>
      <c r="H16" s="175">
        <v>84.14</v>
      </c>
      <c r="I16" s="175">
        <v>329.48</v>
      </c>
      <c r="J16" s="175">
        <v>582.48</v>
      </c>
      <c r="K16" s="175">
        <v>237.45</v>
      </c>
      <c r="L16" s="175">
        <v>406.18</v>
      </c>
      <c r="M16" s="175">
        <v>337.86</v>
      </c>
      <c r="N16" s="175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8">
        <f t="shared" si="3"/>
        <v>1.4242396611996413</v>
      </c>
      <c r="U16" s="11">
        <v>6141.6760575299995</v>
      </c>
    </row>
    <row r="17" spans="1:21" x14ac:dyDescent="0.25">
      <c r="A17" s="11"/>
      <c r="B17" s="174" t="s">
        <v>78</v>
      </c>
      <c r="C17" s="175">
        <v>13.53</v>
      </c>
      <c r="D17" s="175">
        <v>1.68</v>
      </c>
      <c r="E17" s="175">
        <v>11.22</v>
      </c>
      <c r="F17" s="175">
        <v>9.2799999999999994</v>
      </c>
      <c r="G17" s="175">
        <v>11.42</v>
      </c>
      <c r="H17" s="175">
        <v>5.75</v>
      </c>
      <c r="I17" s="175">
        <v>3.48</v>
      </c>
      <c r="J17" s="175">
        <v>14.44</v>
      </c>
      <c r="K17" s="175">
        <v>5.71</v>
      </c>
      <c r="L17" s="175">
        <v>44.54</v>
      </c>
      <c r="M17" s="175">
        <v>11.77</v>
      </c>
      <c r="N17" s="175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8">
        <f t="shared" si="3"/>
        <v>2.9830091661077582</v>
      </c>
      <c r="U17" s="11">
        <v>134.19012844000002</v>
      </c>
    </row>
    <row r="18" spans="1:21" x14ac:dyDescent="0.25">
      <c r="A18" s="11"/>
      <c r="B18" s="174" t="s">
        <v>79</v>
      </c>
      <c r="C18" s="175">
        <v>6.79</v>
      </c>
      <c r="D18" s="175">
        <v>2.12</v>
      </c>
      <c r="E18" s="175">
        <v>4.6399999999999997</v>
      </c>
      <c r="F18" s="175">
        <v>3.35</v>
      </c>
      <c r="G18" s="175">
        <v>8.83</v>
      </c>
      <c r="H18" s="175">
        <v>8.82</v>
      </c>
      <c r="I18" s="175">
        <v>3.03</v>
      </c>
      <c r="J18" s="175">
        <v>1.72</v>
      </c>
      <c r="K18" s="175">
        <v>4.71</v>
      </c>
      <c r="L18" s="175">
        <v>2.21</v>
      </c>
      <c r="M18" s="175">
        <v>4.29</v>
      </c>
      <c r="N18" s="175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8">
        <f t="shared" si="3"/>
        <v>0.83385254413291787</v>
      </c>
      <c r="U18" s="11">
        <v>48.960039500000001</v>
      </c>
    </row>
    <row r="19" spans="1:21" x14ac:dyDescent="0.25">
      <c r="A19" s="11"/>
      <c r="B19" s="174" t="s">
        <v>80</v>
      </c>
      <c r="C19" s="175"/>
      <c r="D19" s="175">
        <v>4.32</v>
      </c>
      <c r="E19" s="175"/>
      <c r="F19" s="175"/>
      <c r="G19" s="175">
        <v>0.45</v>
      </c>
      <c r="H19" s="175"/>
      <c r="I19" s="175">
        <v>2.4700000000000002</v>
      </c>
      <c r="J19" s="175"/>
      <c r="K19" s="175"/>
      <c r="L19" s="175"/>
      <c r="M19" s="175">
        <v>2.5</v>
      </c>
      <c r="N19" s="175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8">
        <f t="shared" si="3"/>
        <v>3.0217222653219551</v>
      </c>
      <c r="U19" s="11">
        <v>12.890010420000069</v>
      </c>
    </row>
    <row r="20" spans="1:21" x14ac:dyDescent="0.25">
      <c r="A20" s="11"/>
      <c r="B20" s="174" t="s">
        <v>81</v>
      </c>
      <c r="C20" s="175">
        <v>3226.38</v>
      </c>
      <c r="D20" s="175">
        <v>4072.27</v>
      </c>
      <c r="E20" s="175">
        <v>3888.09</v>
      </c>
      <c r="F20" s="175">
        <v>3229.34</v>
      </c>
      <c r="G20" s="175">
        <v>1665.58</v>
      </c>
      <c r="H20" s="175">
        <v>1131.17</v>
      </c>
      <c r="I20" s="175">
        <v>1712.01</v>
      </c>
      <c r="J20" s="175">
        <v>1884.5</v>
      </c>
      <c r="K20" s="175">
        <v>1798.93</v>
      </c>
      <c r="L20" s="175">
        <v>3232.96</v>
      </c>
      <c r="M20" s="175">
        <v>4388.75</v>
      </c>
      <c r="N20" s="175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8">
        <f t="shared" si="3"/>
        <v>0.60347726106245225</v>
      </c>
      <c r="U20" s="11">
        <v>34232.717706079995</v>
      </c>
    </row>
    <row r="21" spans="1:21" x14ac:dyDescent="0.25">
      <c r="A21" s="11"/>
      <c r="B21" s="174" t="s">
        <v>82</v>
      </c>
      <c r="C21" s="175"/>
      <c r="D21" s="175"/>
      <c r="E21" s="175"/>
      <c r="F21" s="175">
        <v>154.09</v>
      </c>
      <c r="G21" s="175"/>
      <c r="H21" s="175"/>
      <c r="I21" s="175"/>
      <c r="J21" s="175"/>
      <c r="K21" s="175"/>
      <c r="L21" s="175"/>
      <c r="M21" s="175"/>
      <c r="N21" s="175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8">
        <f t="shared" si="3"/>
        <v>11</v>
      </c>
      <c r="U21" s="11">
        <v>154.09015409000003</v>
      </c>
    </row>
    <row r="22" spans="1:21" x14ac:dyDescent="0.25">
      <c r="A22" s="11"/>
      <c r="B22" s="174" t="s">
        <v>83</v>
      </c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8" t="str">
        <f t="shared" si="3"/>
        <v/>
      </c>
      <c r="U22" s="11">
        <v>-1.1999999999999997E-13</v>
      </c>
    </row>
    <row r="23" spans="1:21" x14ac:dyDescent="0.25">
      <c r="A23" s="11"/>
      <c r="B23" s="174" t="s">
        <v>84</v>
      </c>
      <c r="C23" s="175">
        <v>57.5</v>
      </c>
      <c r="D23" s="175">
        <v>143.63</v>
      </c>
      <c r="E23" s="175">
        <v>49.69</v>
      </c>
      <c r="F23" s="175">
        <v>116.49</v>
      </c>
      <c r="G23" s="175">
        <v>144.72</v>
      </c>
      <c r="H23" s="175">
        <v>157.86000000000001</v>
      </c>
      <c r="I23" s="175">
        <v>62.1</v>
      </c>
      <c r="J23" s="175">
        <v>2.92</v>
      </c>
      <c r="K23" s="175">
        <v>54.7</v>
      </c>
      <c r="L23" s="175">
        <v>78.22</v>
      </c>
      <c r="M23" s="175">
        <v>92.89</v>
      </c>
      <c r="N23" s="175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8">
        <f t="shared" si="3"/>
        <v>0.966453811762228</v>
      </c>
      <c r="U23" s="11">
        <v>886.67076695000003</v>
      </c>
    </row>
    <row r="24" spans="1:21" x14ac:dyDescent="0.25">
      <c r="A24" s="11"/>
      <c r="B24" s="174" t="s">
        <v>85</v>
      </c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8" t="str">
        <f t="shared" si="3"/>
        <v/>
      </c>
      <c r="U24" s="11">
        <v>-1.1999999999999997E-13</v>
      </c>
    </row>
    <row r="25" spans="1:21" x14ac:dyDescent="0.25">
      <c r="A25" s="11"/>
      <c r="B25" s="174" t="s">
        <v>86</v>
      </c>
      <c r="C25" s="175">
        <v>10.62</v>
      </c>
      <c r="D25" s="175">
        <v>9.24</v>
      </c>
      <c r="E25" s="175">
        <v>15.29</v>
      </c>
      <c r="F25" s="175">
        <v>9.17</v>
      </c>
      <c r="G25" s="175">
        <v>12.23</v>
      </c>
      <c r="H25" s="175">
        <v>12.06</v>
      </c>
      <c r="I25" s="175">
        <v>10.96</v>
      </c>
      <c r="J25" s="175">
        <v>10.58</v>
      </c>
      <c r="K25" s="175">
        <v>0.91</v>
      </c>
      <c r="L25" s="175">
        <v>0</v>
      </c>
      <c r="M25" s="175">
        <v>9.4700000000000006</v>
      </c>
      <c r="N25" s="175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8">
        <f t="shared" si="3"/>
        <v>1</v>
      </c>
      <c r="U25" s="11">
        <v>101.88007943000001</v>
      </c>
    </row>
    <row r="26" spans="1:21" x14ac:dyDescent="0.25">
      <c r="A26" s="11"/>
      <c r="B26" s="174" t="s">
        <v>87</v>
      </c>
      <c r="C26" s="175">
        <v>15.19</v>
      </c>
      <c r="D26" s="175">
        <v>5.42</v>
      </c>
      <c r="E26" s="175">
        <v>32.67</v>
      </c>
      <c r="F26" s="175">
        <v>48.46</v>
      </c>
      <c r="G26" s="175">
        <v>9.11</v>
      </c>
      <c r="H26" s="175">
        <v>2.0499999999999998</v>
      </c>
      <c r="I26" s="175">
        <v>23.1</v>
      </c>
      <c r="J26" s="175">
        <v>25.1</v>
      </c>
      <c r="K26" s="175">
        <v>24.47</v>
      </c>
      <c r="L26" s="175">
        <v>15.68</v>
      </c>
      <c r="M26" s="175">
        <v>4.9800000000000004</v>
      </c>
      <c r="N26" s="175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8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76" t="s">
        <v>398</v>
      </c>
      <c r="C27" s="177">
        <f>SUM(C6:C26)</f>
        <v>11626.800000000003</v>
      </c>
      <c r="D27" s="177">
        <f>SUM(D6:D26)</f>
        <v>9473.9599999999991</v>
      </c>
      <c r="E27" s="177">
        <f>SUM(E6:E26)</f>
        <v>10226.530000000002</v>
      </c>
      <c r="F27" s="177">
        <f>SUM(F6:F26)</f>
        <v>8992.5099999999984</v>
      </c>
      <c r="G27" s="177">
        <f>SUM(G6:G26)</f>
        <v>5702.4399999999987</v>
      </c>
      <c r="H27" s="177">
        <f>SUM(H6:H26)</f>
        <v>4842.76</v>
      </c>
      <c r="I27" s="177">
        <f>SUM(I6:I26)</f>
        <v>6278.3300000000008</v>
      </c>
      <c r="J27" s="177">
        <f>SUM(J6:J26)</f>
        <v>6279.509</v>
      </c>
      <c r="K27" s="177">
        <f>SUM(K6:K26)</f>
        <v>7301.25</v>
      </c>
      <c r="L27" s="177">
        <f>SUM(L6:L26)</f>
        <v>8522.0199999999986</v>
      </c>
      <c r="M27" s="177">
        <f>SUM(M6:M26)</f>
        <v>8491.1899999999987</v>
      </c>
      <c r="N27" s="177">
        <f>SUM(N6:N26)</f>
        <v>9375.9399999999987</v>
      </c>
      <c r="O27" s="11"/>
      <c r="P27" s="177">
        <f>SUM(P6:P26)</f>
        <v>97113.238999999987</v>
      </c>
      <c r="U27" s="11"/>
    </row>
    <row r="28" spans="1:21" ht="15.75" thickTop="1" x14ac:dyDescent="0.25">
      <c r="A28" s="11"/>
      <c r="B28" s="178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11"/>
      <c r="P28" s="57"/>
      <c r="U28" s="11"/>
    </row>
    <row r="29" spans="1:21" x14ac:dyDescent="0.25">
      <c r="A29" s="11"/>
      <c r="B29" s="178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11"/>
      <c r="P29" s="57"/>
      <c r="U29" s="11"/>
    </row>
    <row r="30" spans="1:21" x14ac:dyDescent="0.25">
      <c r="U30" s="11"/>
    </row>
    <row r="31" spans="1:21" x14ac:dyDescent="0.25">
      <c r="B31" t="s">
        <v>399</v>
      </c>
      <c r="C31" s="173" t="s">
        <v>267</v>
      </c>
      <c r="D31" s="173" t="s">
        <v>268</v>
      </c>
      <c r="E31" s="173" t="s">
        <v>269</v>
      </c>
      <c r="F31" s="173" t="s">
        <v>270</v>
      </c>
      <c r="G31" s="173" t="s">
        <v>271</v>
      </c>
      <c r="H31" s="173" t="s">
        <v>272</v>
      </c>
      <c r="I31" s="173" t="s">
        <v>273</v>
      </c>
      <c r="J31" s="173" t="s">
        <v>274</v>
      </c>
      <c r="K31" s="173" t="s">
        <v>275</v>
      </c>
      <c r="L31" s="173" t="s">
        <v>276</v>
      </c>
      <c r="M31" s="173" t="s">
        <v>277</v>
      </c>
      <c r="N31" s="173" t="s">
        <v>278</v>
      </c>
      <c r="U31" s="11"/>
    </row>
    <row r="32" spans="1:21" x14ac:dyDescent="0.25">
      <c r="B32" t="s">
        <v>0</v>
      </c>
      <c r="C32">
        <v>31</v>
      </c>
      <c r="D32">
        <v>27</v>
      </c>
      <c r="E32">
        <v>31</v>
      </c>
      <c r="F32">
        <v>30</v>
      </c>
      <c r="G32">
        <f>31-9</f>
        <v>22</v>
      </c>
      <c r="H32">
        <f>30-15</f>
        <v>15</v>
      </c>
      <c r="I32">
        <v>0</v>
      </c>
      <c r="J32">
        <v>0</v>
      </c>
      <c r="K32">
        <v>0</v>
      </c>
      <c r="L32">
        <v>4</v>
      </c>
      <c r="M32">
        <f>30-11</f>
        <v>19</v>
      </c>
      <c r="N32">
        <v>31</v>
      </c>
      <c r="U32" s="11"/>
    </row>
    <row r="33" spans="2:21" x14ac:dyDescent="0.25">
      <c r="B33" t="s">
        <v>1</v>
      </c>
      <c r="C33">
        <v>31</v>
      </c>
      <c r="D33">
        <v>28</v>
      </c>
      <c r="E33">
        <v>31</v>
      </c>
      <c r="F33">
        <f>30-1</f>
        <v>29</v>
      </c>
      <c r="G33">
        <f>31-14</f>
        <v>17</v>
      </c>
      <c r="H33">
        <f>30-17</f>
        <v>13</v>
      </c>
      <c r="I33">
        <f>31-1</f>
        <v>30</v>
      </c>
      <c r="J33">
        <v>31</v>
      </c>
      <c r="K33">
        <v>30</v>
      </c>
      <c r="L33">
        <f>31-3</f>
        <v>28</v>
      </c>
      <c r="M33">
        <v>31</v>
      </c>
      <c r="N33">
        <v>31</v>
      </c>
      <c r="U33" s="11"/>
    </row>
    <row r="35" spans="2:21" x14ac:dyDescent="0.25">
      <c r="B35" t="str" cm="1">
        <f t="array" ref="B35:D47">TRANSPOSE(B31:N33)</f>
        <v>Driftsdage</v>
      </c>
      <c r="C35" t="str">
        <v>Ovn2</v>
      </c>
      <c r="D35" t="str">
        <v>Ovn3</v>
      </c>
    </row>
    <row r="36" spans="2:21" x14ac:dyDescent="0.25">
      <c r="B36" t="str">
        <v>JAN</v>
      </c>
      <c r="C36">
        <v>31</v>
      </c>
      <c r="D36">
        <v>31</v>
      </c>
    </row>
    <row r="37" spans="2:21" x14ac:dyDescent="0.25">
      <c r="B37" t="str">
        <v>FEB</v>
      </c>
      <c r="C37">
        <v>27</v>
      </c>
      <c r="D37">
        <v>28</v>
      </c>
    </row>
    <row r="38" spans="2:21" x14ac:dyDescent="0.25">
      <c r="B38" t="str">
        <v>MAR</v>
      </c>
      <c r="C38">
        <v>31</v>
      </c>
      <c r="D38">
        <v>31</v>
      </c>
    </row>
    <row r="39" spans="2:21" x14ac:dyDescent="0.25">
      <c r="B39" t="str">
        <v>APR</v>
      </c>
      <c r="C39">
        <v>30</v>
      </c>
      <c r="D39">
        <v>29</v>
      </c>
    </row>
    <row r="40" spans="2:21" x14ac:dyDescent="0.25">
      <c r="B40" t="str">
        <v>MAJ</v>
      </c>
      <c r="C40">
        <v>22</v>
      </c>
      <c r="D40">
        <v>17</v>
      </c>
    </row>
    <row r="41" spans="2:21" x14ac:dyDescent="0.25">
      <c r="B41" t="str">
        <v>JUN</v>
      </c>
      <c r="C41">
        <v>15</v>
      </c>
      <c r="D41">
        <v>13</v>
      </c>
    </row>
    <row r="42" spans="2:21" x14ac:dyDescent="0.25">
      <c r="B42" t="str">
        <v>JUL</v>
      </c>
      <c r="C42">
        <v>0</v>
      </c>
      <c r="D42">
        <v>30</v>
      </c>
    </row>
    <row r="43" spans="2:21" x14ac:dyDescent="0.25">
      <c r="B43" t="str">
        <v>AUG</v>
      </c>
      <c r="C43">
        <v>0</v>
      </c>
      <c r="D43">
        <v>31</v>
      </c>
    </row>
    <row r="44" spans="2:21" x14ac:dyDescent="0.25">
      <c r="B44" t="str">
        <v>SEP</v>
      </c>
      <c r="C44">
        <v>0</v>
      </c>
      <c r="D44">
        <v>30</v>
      </c>
    </row>
    <row r="45" spans="2:21" x14ac:dyDescent="0.25">
      <c r="B45" t="str">
        <v>OKT</v>
      </c>
      <c r="C45">
        <v>4</v>
      </c>
      <c r="D45">
        <v>28</v>
      </c>
    </row>
    <row r="46" spans="2:21" x14ac:dyDescent="0.25">
      <c r="B46" t="str">
        <v>NOV</v>
      </c>
      <c r="C46">
        <v>19</v>
      </c>
      <c r="D46">
        <v>31</v>
      </c>
    </row>
    <row r="47" spans="2:21" x14ac:dyDescent="0.25">
      <c r="B47" t="str">
        <v>DEC</v>
      </c>
      <c r="C47">
        <v>31</v>
      </c>
      <c r="D47">
        <v>31</v>
      </c>
    </row>
  </sheetData>
  <conditionalFormatting sqref="C6:N26">
    <cfRule type="cellIs" dxfId="0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131</vt:i4>
      </vt:variant>
    </vt:vector>
  </HeadingPairs>
  <TitlesOfParts>
    <vt:vector size="141" baseType="lpstr">
      <vt:lpstr>Gemte scenarie Input</vt:lpstr>
      <vt:lpstr>Scenarier</vt:lpstr>
      <vt:lpstr>Model-1</vt:lpstr>
      <vt:lpstr>Scenarier-1B</vt:lpstr>
      <vt:lpstr>Model-1B</vt:lpstr>
      <vt:lpstr>Model-2</vt:lpstr>
      <vt:lpstr>Scenario 7 GWh</vt:lpstr>
      <vt:lpstr>Scenario 28 GWh</vt:lpstr>
      <vt:lpstr>Scenario 35 GWh</vt:lpstr>
      <vt:lpstr>Affald2021</vt:lpstr>
      <vt:lpstr>'Model-1B'!AFV</vt:lpstr>
      <vt:lpstr>'Model-2'!AFV</vt:lpstr>
      <vt:lpstr>AFV</vt:lpstr>
      <vt:lpstr>'Model-1B'!AndelBioaffald</vt:lpstr>
      <vt:lpstr>AndelBioaffald</vt:lpstr>
      <vt:lpstr>'Model-1B'!AndelFossilFast</vt:lpstr>
      <vt:lpstr>AndelFossilFast</vt:lpstr>
      <vt:lpstr>'Model-1B'!AndelFossilFri</vt:lpstr>
      <vt:lpstr>AndelFossilFri</vt:lpstr>
      <vt:lpstr>'Model-1B'!ATL</vt:lpstr>
      <vt:lpstr>'Model-2'!ATL</vt:lpstr>
      <vt:lpstr>ATL</vt:lpstr>
      <vt:lpstr>AvailDaysCooler</vt:lpstr>
      <vt:lpstr>bFossilFriOverBiogen</vt:lpstr>
      <vt:lpstr>BioAffaldTonnage</vt:lpstr>
      <vt:lpstr>'Model-2'!BioTonnage</vt:lpstr>
      <vt:lpstr>BioTonnage</vt:lpstr>
      <vt:lpstr>'Model-1B'!CO2afgift</vt:lpstr>
      <vt:lpstr>'Model-2'!CO2afgift</vt:lpstr>
      <vt:lpstr>CO2afgift</vt:lpstr>
      <vt:lpstr>'Model-1B'!CO2indholdAfgift</vt:lpstr>
      <vt:lpstr>'Model-2'!CO2indholdAfgift</vt:lpstr>
      <vt:lpstr>CO2indholdAfgift</vt:lpstr>
      <vt:lpstr>'Model-1B'!CO2indholdKvote</vt:lpstr>
      <vt:lpstr>'Model-2'!CO2indholdKvote</vt:lpstr>
      <vt:lpstr>CO2indholdKvote</vt:lpstr>
      <vt:lpstr>'Model-1B'!DBmedRGK</vt:lpstr>
      <vt:lpstr>'Model-2'!DBmedRGK</vt:lpstr>
      <vt:lpstr>DBmedRGK</vt:lpstr>
      <vt:lpstr>'Model-1B'!DBudenRGK</vt:lpstr>
      <vt:lpstr>'Model-2'!DBudenRGK</vt:lpstr>
      <vt:lpstr>DBudenRGK</vt:lpstr>
      <vt:lpstr>DoOptim</vt:lpstr>
      <vt:lpstr>'Model-1B'!Elpris</vt:lpstr>
      <vt:lpstr>Elpris</vt:lpstr>
      <vt:lpstr>'Model-1B'!ElprodTarif</vt:lpstr>
      <vt:lpstr>'Model-2'!ElProdTarif</vt:lpstr>
      <vt:lpstr>ElprodTarif</vt:lpstr>
      <vt:lpstr>'Model-1B'!ENSkvoteLHV</vt:lpstr>
      <vt:lpstr>'Model-2'!ENSkvoteLHV</vt:lpstr>
      <vt:lpstr>ENSkvoteLHV</vt:lpstr>
      <vt:lpstr>'Model-1B'!EtaE</vt:lpstr>
      <vt:lpstr>'Model-2'!EtaE</vt:lpstr>
      <vt:lpstr>EtaE</vt:lpstr>
      <vt:lpstr>'Model-1B'!EtaQmaxOvn2</vt:lpstr>
      <vt:lpstr>'Model-2'!EtaQmaxOvn2</vt:lpstr>
      <vt:lpstr>EtaQmaxOvn2</vt:lpstr>
      <vt:lpstr>'Model-1B'!EtaQmaxOvn3</vt:lpstr>
      <vt:lpstr>'Model-2'!EtaQmaxOvn3</vt:lpstr>
      <vt:lpstr>EtaQmaxOvn3</vt:lpstr>
      <vt:lpstr>'Model-1B'!EtaQNomOvn2</vt:lpstr>
      <vt:lpstr>'Model-2'!EtaQNomOvn2</vt:lpstr>
      <vt:lpstr>EtaQNomOvn2</vt:lpstr>
      <vt:lpstr>'Model-1B'!EtaQNomOvn3</vt:lpstr>
      <vt:lpstr>'Model-2'!EtaQNomOvn3</vt:lpstr>
      <vt:lpstr>EtaQNomOvn3</vt:lpstr>
      <vt:lpstr>'Model-1B'!EtaRgkOvn2</vt:lpstr>
      <vt:lpstr>'Model-2'!EtaRgkOvn2</vt:lpstr>
      <vt:lpstr>EtaRgkOvn2</vt:lpstr>
      <vt:lpstr>'Model-1B'!EtaRgkOvn3</vt:lpstr>
      <vt:lpstr>'Model-2'!EtaRgkOvn3</vt:lpstr>
      <vt:lpstr>EtaRgkOvn3</vt:lpstr>
      <vt:lpstr>'Model-1B'!FBiogenFri</vt:lpstr>
      <vt:lpstr>FbioMaxÅr</vt:lpstr>
      <vt:lpstr>FbioMinÅr</vt:lpstr>
      <vt:lpstr>FfastMaxÅr</vt:lpstr>
      <vt:lpstr>FfastMinÅr</vt:lpstr>
      <vt:lpstr>'Model-1B'!FFossilFast</vt:lpstr>
      <vt:lpstr>FFossilFri</vt:lpstr>
      <vt:lpstr>Ffrak1</vt:lpstr>
      <vt:lpstr>Ffrak2</vt:lpstr>
      <vt:lpstr>Ffrak3</vt:lpstr>
      <vt:lpstr>FfriMaxÅr</vt:lpstr>
      <vt:lpstr>FfriMinÅr</vt:lpstr>
      <vt:lpstr>'Model-1B'!Ftotal</vt:lpstr>
      <vt:lpstr>Ftotal</vt:lpstr>
      <vt:lpstr>'Model-1B'!HBiogenFri</vt:lpstr>
      <vt:lpstr>'Model-1B'!HfossilFast</vt:lpstr>
      <vt:lpstr>'Model-1B'!HfossilFri</vt:lpstr>
      <vt:lpstr>Hfrak1</vt:lpstr>
      <vt:lpstr>Hfrak2</vt:lpstr>
      <vt:lpstr>Hfrak3</vt:lpstr>
      <vt:lpstr>'Model-1B'!Htotal</vt:lpstr>
      <vt:lpstr>Htotal</vt:lpstr>
      <vt:lpstr>'Model-1B'!KapQcool</vt:lpstr>
      <vt:lpstr>'Model-2'!KapQcool</vt:lpstr>
      <vt:lpstr>KapQcool</vt:lpstr>
      <vt:lpstr>'Model-1B'!KapQnomOvn2</vt:lpstr>
      <vt:lpstr>'Model-2'!KapQnomOvn2</vt:lpstr>
      <vt:lpstr>KapQnomOvn2</vt:lpstr>
      <vt:lpstr>'Model-1B'!KapQnomOvn3</vt:lpstr>
      <vt:lpstr>'Model-2'!KapQnomOvn3</vt:lpstr>
      <vt:lpstr>KapQnomOvn3</vt:lpstr>
      <vt:lpstr>'Model-1B'!Kvotepris</vt:lpstr>
      <vt:lpstr>Kvotepris</vt:lpstr>
      <vt:lpstr>'Model-2'!LHVbiogent</vt:lpstr>
      <vt:lpstr>LHVbiogent</vt:lpstr>
      <vt:lpstr>'Model-2'!LHVFossilFast</vt:lpstr>
      <vt:lpstr>LHVfossilFast</vt:lpstr>
      <vt:lpstr>LHVfossilFri</vt:lpstr>
      <vt:lpstr>ModtageprisBiogent</vt:lpstr>
      <vt:lpstr>ModtageprisFastFossil</vt:lpstr>
      <vt:lpstr>'Model-1B'!NSvarme</vt:lpstr>
      <vt:lpstr>'Model-2'!NSvarme</vt:lpstr>
      <vt:lpstr>NSvarme</vt:lpstr>
      <vt:lpstr>PrisBiogent</vt:lpstr>
      <vt:lpstr>PrisFossilFast</vt:lpstr>
      <vt:lpstr>PrisFossilFri</vt:lpstr>
      <vt:lpstr>'Model-1B'!Qdemand</vt:lpstr>
      <vt:lpstr>Qdemand</vt:lpstr>
      <vt:lpstr>'Model-1B'!ranCtrlParms</vt:lpstr>
      <vt:lpstr>ranCtrlParms</vt:lpstr>
      <vt:lpstr>'Scenarier-1B'!ranInputNames</vt:lpstr>
      <vt:lpstr>ranInputNames</vt:lpstr>
      <vt:lpstr>'Model-1B'!ranModelResult</vt:lpstr>
      <vt:lpstr>'Model-2'!ranModelResult</vt:lpstr>
      <vt:lpstr>ranModelResult</vt:lpstr>
      <vt:lpstr>'Scenarier-1B'!ranResultNames</vt:lpstr>
      <vt:lpstr>ranResultNames</vt:lpstr>
      <vt:lpstr>'Scenarier-1B'!ranScenOutput</vt:lpstr>
      <vt:lpstr>ranScenOutput</vt:lpstr>
      <vt:lpstr>'Scenarier-1B'!ranScenOutputRowHeader</vt:lpstr>
      <vt:lpstr>ranScenOutputRowHeader</vt:lpstr>
      <vt:lpstr>'Model-1B'!RGKudnyttelse</vt:lpstr>
      <vt:lpstr>RGKudnyttelse</vt:lpstr>
      <vt:lpstr>SR_VPO</vt:lpstr>
      <vt:lpstr>'Scenarier-1B'!TabelScenInput</vt:lpstr>
      <vt:lpstr>TabelScenInput</vt:lpstr>
      <vt:lpstr>'Model-1B'!Varmesalgspris</vt:lpstr>
      <vt:lpstr>'Model-2'!Varmesalgspris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2022-03-23T09:19:44Z</dcterms:modified>
</cp:coreProperties>
</file>